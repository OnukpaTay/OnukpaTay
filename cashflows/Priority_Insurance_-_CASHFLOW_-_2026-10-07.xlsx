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PUTS" sheetId="1" state="visible" r:id="rId3"/>
    <sheet name="CASHFLOW SUMMARY" sheetId="2" state="visible" r:id="rId4"/>
    <sheet name=" CASHFLOW" sheetId="3" state="visible" r:id="rId5"/>
    <sheet name="GEN SUMMARY" sheetId="4" state="visible" r:id="rId6"/>
  </sheets>
  <definedNames>
    <definedName function="false" hidden="false" name="AdvAmt" vbProcedure="false">INPUTS!$C$13</definedName>
    <definedName function="false" hidden="false" name="AdvMonth" vbProcedure="false">INPUTS!$C$14</definedName>
    <definedName function="false" hidden="false" name="AdvPct" vbProcedure="false">INPUTS!$C$12</definedName>
    <definedName function="false" hidden="false" name="CompletionDate" vbProcedure="false">INPUTS!$C$9</definedName>
    <definedName function="false" hidden="false" name="ContractSum" vbProcedure="false">INPUTS!$C$5</definedName>
    <definedName function="false" hidden="false" name="DLP" vbProcedure="false">INPUTS!$C$10</definedName>
    <definedName function="false" hidden="false" name="DLPEndDate" vbProcedure="false">INPUTS!$C$11</definedName>
    <definedName function="false" hidden="false" name="Duration" vbProcedure="false">INPUTS!$C$8</definedName>
    <definedName function="false" hidden="false" name="PeriodMonths" vbProcedure="false">INPUTS!$C$24</definedName>
    <definedName function="false" hidden="false" name="RecEnd" vbProcedure="false">INPUTS!$C$17</definedName>
    <definedName function="false" hidden="false" name="RecMonths" vbProcedure="false">INPUTS!$C$16</definedName>
    <definedName function="false" hidden="false" name="RecStart" vbProcedure="false">INPUTS!$C$15</definedName>
    <definedName function="false" hidden="false" name="Rel1Month" vbProcedure="false">INPUTS!$C$22</definedName>
    <definedName function="false" hidden="false" name="Rel1Pct" vbProcedure="false">INPUTS!$C$21</definedName>
    <definedName function="false" hidden="false" name="Rel2Month" vbProcedure="false">INPUTS!$C$23</definedName>
    <definedName function="false" hidden="false" name="RetLimit" vbProcedure="false">INPUTS!$C$20</definedName>
    <definedName function="false" hidden="false" name="RetLimitPct" vbProcedure="false">INPUTS!$C$19</definedName>
    <definedName function="false" hidden="false" name="RetRate" vbProcedure="false">INPUTS!$C$18</definedName>
    <definedName function="false" hidden="false" name="StartDate" vbProcedure="false">INPUTS!$C$7</definedName>
    <definedName function="false" hidden="false" name="TargetSum" vbProcedure="false">INPUTS!$C$6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<sst xmlns="http://schemas.openxmlformats.org/spreadsheetml/2006/main" count="219" uniqueCount="212">
  <si>
    <t xml:space="preserve">PRIORITY INSURANCE HEAD OFFICE, RIDGE, ACCRA - CASH FLOW INPUTS</t>
  </si>
  <si>
    <t xml:space="preserve">Yellow cells are inputs. Everything else in the workbook is calculated from these cells and from GEN SUMMARY.</t>
  </si>
  <si>
    <t xml:space="preserve">NAME</t>
  </si>
  <si>
    <t xml:space="preserve">DESCRIPTION</t>
  </si>
  <si>
    <t xml:space="preserve">VALUE</t>
  </si>
  <si>
    <t xml:space="preserve">NOTE</t>
  </si>
  <si>
    <t xml:space="preserve">ContractSum</t>
  </si>
  <si>
    <t xml:space="preserve">Contract sum (discounted, excl. taxes)</t>
  </si>
  <si>
    <t xml:space="preserve">Linked to GEN SUMMARY H50</t>
  </si>
  <si>
    <t xml:space="preserve">TargetSum</t>
  </si>
  <si>
    <t xml:space="preserve">Target discounted contract sum</t>
  </si>
  <si>
    <t xml:space="preserve">Agreed discounted amount</t>
  </si>
  <si>
    <t xml:space="preserve">StartDate</t>
  </si>
  <si>
    <t xml:space="preserve">Commencement / contract signing date</t>
  </si>
  <si>
    <t xml:space="preserve">Month 0</t>
  </si>
  <si>
    <t xml:space="preserve">Duration</t>
  </si>
  <si>
    <t xml:space="preserve">Contract period (months)</t>
  </si>
  <si>
    <t xml:space="preserve">CompletionDate</t>
  </si>
  <si>
    <t xml:space="preserve">Practical completion date</t>
  </si>
  <si>
    <t xml:space="preserve">DLP</t>
  </si>
  <si>
    <t xml:space="preserve">Defects liability period (months)</t>
  </si>
  <si>
    <t xml:space="preserve">DLPEndDate</t>
  </si>
  <si>
    <t xml:space="preserve">End of defects liability period</t>
  </si>
  <si>
    <t xml:space="preserve">AdvPct</t>
  </si>
  <si>
    <t xml:space="preserve">Advance mobilisation payment (% of contract sum)</t>
  </si>
  <si>
    <t xml:space="preserve">As Thoroughbred Place reference (25%)</t>
  </si>
  <si>
    <t xml:space="preserve">AdvAmt</t>
  </si>
  <si>
    <t xml:space="preserve">Advance mobilisation amount</t>
  </si>
  <si>
    <t xml:space="preserve">AdvMonth</t>
  </si>
  <si>
    <t xml:space="preserve">Advance paid in month no.</t>
  </si>
  <si>
    <t xml:space="preserve">0 = on contract signing</t>
  </si>
  <si>
    <t xml:space="preserve">RecStart</t>
  </si>
  <si>
    <t xml:space="preserve">Advance recovery starts in month no.</t>
  </si>
  <si>
    <t xml:space="preserve">RecMonths</t>
  </si>
  <si>
    <t xml:space="preserve">Advance recovered over (months)</t>
  </si>
  <si>
    <t xml:space="preserve">Equal monthly deductions</t>
  </si>
  <si>
    <t xml:space="preserve">RecEnd</t>
  </si>
  <si>
    <t xml:space="preserve">Advance recovery ends in month no.</t>
  </si>
  <si>
    <t xml:space="preserve">Must be on or before Duration</t>
  </si>
  <si>
    <t xml:space="preserve">RetRate</t>
  </si>
  <si>
    <t xml:space="preserve">Retention deducted per valuation</t>
  </si>
  <si>
    <t xml:space="preserve">RetLimitPct</t>
  </si>
  <si>
    <t xml:space="preserve">Limit of retention (% of contract sum)</t>
  </si>
  <si>
    <t xml:space="preserve">RetLimit</t>
  </si>
  <si>
    <t xml:space="preserve">Limit of retention</t>
  </si>
  <si>
    <t xml:space="preserve">Rel1Pct</t>
  </si>
  <si>
    <t xml:space="preserve">Retention released at practical completion</t>
  </si>
  <si>
    <t xml:space="preserve">Balance released at end of DLP</t>
  </si>
  <si>
    <t xml:space="preserve">Rel1Month</t>
  </si>
  <si>
    <t xml:space="preserve">1st retention release - month no.</t>
  </si>
  <si>
    <t xml:space="preserve">Month after practical completion (can be overwritten)</t>
  </si>
  <si>
    <t xml:space="preserve">Rel2Month</t>
  </si>
  <si>
    <t xml:space="preserve">2nd retention release - month no.</t>
  </si>
  <si>
    <t xml:space="preserve">End of DLP</t>
  </si>
  <si>
    <t xml:space="preserve">PeriodMonths</t>
  </si>
  <si>
    <t xml:space="preserve">Months per aggregated payment (summary sheet)</t>
  </si>
  <si>
    <t xml:space="preserve">Reference used 4-monthly payments</t>
  </si>
  <si>
    <t xml:space="preserve">CHECKS (all should read OK)</t>
  </si>
  <si>
    <t xml:space="preserve">CHECK</t>
  </si>
  <si>
    <t xml:space="preserve">SHOULD EQUAL</t>
  </si>
  <si>
    <t xml:space="preserve">RESULT</t>
  </si>
  <si>
    <t xml:space="preserve">Contract sum = target US$ 6,250,000.00</t>
  </si>
  <si>
    <t xml:space="preserve">Total of bills = contract sum</t>
  </si>
  <si>
    <t xml:space="preserve">Total valuations = contract sum</t>
  </si>
  <si>
    <t xml:space="preserve">Total payments = contract sum</t>
  </si>
  <si>
    <t xml:space="preserve">Summary aggregated total = contract sum</t>
  </si>
  <si>
    <t xml:space="preserve">Summary monthly total = contract sum</t>
  </si>
  <si>
    <t xml:space="preserve">Advance fully recovered</t>
  </si>
  <si>
    <t xml:space="preserve">Retention deducted = limit of retention</t>
  </si>
  <si>
    <t xml:space="preserve">Retention fully released</t>
  </si>
  <si>
    <t xml:space="preserve">No negative monthly payment</t>
  </si>
  <si>
    <t xml:space="preserve">All bills finish by practical completion</t>
  </si>
  <si>
    <t xml:space="preserve">Advance recovered before completion</t>
  </si>
  <si>
    <t xml:space="preserve">Nothing paid after end of DLP</t>
  </si>
  <si>
    <t xml:space="preserve">PRIORITY INSURANCE HEAD OFFICE - PROPOSED CASH FLOW</t>
  </si>
  <si>
    <t xml:space="preserve">PROPOSED CASH FLOW AGGREGATED</t>
  </si>
  <si>
    <t xml:space="preserve">PAYMENT NO.</t>
  </si>
  <si>
    <t xml:space="preserve">PAYMENT DATE</t>
  </si>
  <si>
    <t xml:space="preserve">MONTHS COVERED</t>
  </si>
  <si>
    <t xml:space="preserve">AMOUNT (US$)</t>
  </si>
  <si>
    <t xml:space="preserve">CUMULATIVE (US$)</t>
  </si>
  <si>
    <t xml:space="preserve">PMT 1 (ADV.)</t>
  </si>
  <si>
    <t xml:space="preserve">TOTAL PAYMENT</t>
  </si>
  <si>
    <t xml:space="preserve">Check vs contract sum:</t>
  </si>
  <si>
    <t xml:space="preserve">PROPOSED CASH FLOW MONTHLY</t>
  </si>
  <si>
    <t xml:space="preserve">MONTH NO.</t>
  </si>
  <si>
    <t xml:space="preserve">MONTH ENDING</t>
  </si>
  <si>
    <t xml:space="preserve">VALUATION (US$)</t>
  </si>
  <si>
    <t xml:space="preserve">PAYMENT (US$)</t>
  </si>
  <si>
    <t xml:space="preserve">CUMULATIVE PAYMENT (US$)</t>
  </si>
  <si>
    <t xml:space="preserve">% OF CONTRACT PAID</t>
  </si>
  <si>
    <t xml:space="preserve">TOTAL</t>
  </si>
  <si>
    <t xml:space="preserve">PROJECT: PROPOSED HEAD OFFICE FOR PRIORITY INSURANCE</t>
  </si>
  <si>
    <t xml:space="preserve">LOCATION: RIDGE, ACCRA     CLIENT: PRIORITY INSURANCE</t>
  </si>
  <si>
    <t xml:space="preserve">ITEM</t>
  </si>
  <si>
    <t xml:space="preserve">PH.1 START MONTH</t>
  </si>
  <si>
    <t xml:space="preserve">PH.1 DURATION (MONTHS)</t>
  </si>
  <si>
    <t xml:space="preserve">PH.1 %</t>
  </si>
  <si>
    <t xml:space="preserve">PH.2 START MONTH</t>
  </si>
  <si>
    <t xml:space="preserve">PH.2 DURATION (MONTHS)</t>
  </si>
  <si>
    <t xml:space="preserve">PH.2 %</t>
  </si>
  <si>
    <t xml:space="preserve">M0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</si>
  <si>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</si>
  <si>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</si>
  <si>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</si>
  <si>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</si>
  <si>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</si>
  <si>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</si>
  <si>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</si>
  <si>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</si>
  <si>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</si>
  <si>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</si>
  <si>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</si>
  <si>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</si>
  <si>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</si>
  <si>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</si>
  <si>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</si>
  <si>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</si>
  <si>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</si>
  <si>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</si>
  <si>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</si>
  <si>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</si>
  <si>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</si>
  <si>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</si>
  <si>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</si>
  <si>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</si>
  <si>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</si>
  <si>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</si>
  <si>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</si>
  <si>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</si>
  <si>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</si>
  <si>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</si>
  <si>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</si>
  <si>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</si>
  <si>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</si>
  <si>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</si>
  <si>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</si>
  <si>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</si>
  <si>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CHECK (TOTAL - AMOUNT)</t>
  </si>
  <si>
    <t xml:space="preserve">LAST MONTH</t>
  </si>
  <si>
    <t xml:space="preserve">Month no.</t>
  </si>
  <si>
    <t xml:space="preserve">Month ending</t>
  </si>
  <si>
    <t xml:space="preserve">ESTIMATED MONTHLY VALUATION (WORK DONE)</t>
  </si>
  <si>
    <t xml:space="preserve">CUMULATIVE VALUATION</t>
  </si>
  <si>
    <t xml:space="preserve">CUMULATIVE % COMPLETE</t>
  </si>
  <si>
    <t xml:space="preserve">ADD: ADVANCE MOBILISATION PAYMENT</t>
  </si>
  <si>
    <t xml:space="preserve">LESS: RETENTION DEDUCTED</t>
  </si>
  <si>
    <t xml:space="preserve">CUMULATIVE RETENTION DEDUCTED</t>
  </si>
  <si>
    <t xml:space="preserve">ADD: RETENTION RELEASED</t>
  </si>
  <si>
    <t xml:space="preserve">RETENTION HELD (BALANCE)</t>
  </si>
  <si>
    <t xml:space="preserve">LESS: ADVANCE RECOVERY</t>
  </si>
  <si>
    <t xml:space="preserve">CUMULATIVE ADVANCE RECOVERED</t>
  </si>
  <si>
    <t xml:space="preserve">ESTIMATED MONTHLY PAYMENT</t>
  </si>
  <si>
    <t xml:space="preserve">CUMULATIVE MONTHLY PAYMENT</t>
  </si>
  <si>
    <t xml:space="preserve">NOTES:</t>
  </si>
  <si>
    <t xml:space="preserve">1. Taxes (VAT, NHIL, GETFund, COVID levies) are NOT included. Amounts are the discounted figures in GEN SUMMARY column H.</t>
  </si>
  <si>
    <t xml:space="preserve">2. Each bill is spread over two phases: Phase 1 (start month, duration, %) and Phase 2 (start month, duration, balance %). Edit the yellow cells to re-programme.</t>
  </si>
  <si>
    <t xml:space="preserve">3. Phasing basis: Floors 50% structure / 50% finishes &amp; MEP fit-out; MEP 60% first fix / 40% second fix &amp; commissioning; Facade 70% procurement / 30% installation; Kitchen 70% order / 30% installation; Prelims 50% possession &amp; set-up / 50% maintenance.</t>
  </si>
  <si>
    <t xml:space="preserve">4. Retention at RetRate of each valuation, stopping when the limit (RetLimit) is reached; Rel1Pct released the month after practical completion, balance at the end of the DLP.</t>
  </si>
  <si>
    <t xml:space="preserve">5. Advance mobilisation paid on signing and recovered in equal monthly deductions from RecStart to RecEnd.</t>
  </si>
  <si>
    <t xml:space="preserve">6. Payments shown in the month of the valuation (month ending dates). Months beyond the end of the DLP are shaded grey and should total zero.</t>
  </si>
  <si>
    <t xml:space="preserve">PROJECT: PROPOSED HEAD OFFICE FOR  PRIORITY INSURANCE</t>
  </si>
  <si>
    <t xml:space="preserve">LOCATION: RIDGE, ACCRA</t>
  </si>
  <si>
    <t xml:space="preserve">CLIENT: PRIORITY INSURANCE</t>
  </si>
  <si>
    <t xml:space="preserve">DATE:7/28/2026</t>
  </si>
  <si>
    <t xml:space="preserve">GENERAL SUMMARY</t>
  </si>
  <si>
    <t xml:space="preserve">AREA</t>
  </si>
  <si>
    <t xml:space="preserve">AMOUNT USD</t>
  </si>
  <si>
    <t xml:space="preserve">DISCOUNT SPREAD USD</t>
  </si>
  <si>
    <t xml:space="preserve">Source: Preliminary Estimate for Priority Insurance - 2026-10-07 (rev 6), sheet "OPTION 1rev". Column H (discounted) drives the cash flow.</t>
  </si>
  <si>
    <t xml:space="preserve">A</t>
  </si>
  <si>
    <t xml:space="preserve"> PRELIMINARIES AND GENERAL ITEMS</t>
  </si>
  <si>
    <t xml:space="preserve">B</t>
  </si>
  <si>
    <t xml:space="preserve"> DEMOLITIONS AND ALTERATIONS</t>
  </si>
  <si>
    <t xml:space="preserve">C</t>
  </si>
  <si>
    <t xml:space="preserve">SUBSTRUCTURE (ALL PROVISIONAL)</t>
  </si>
  <si>
    <t xml:space="preserve">E</t>
  </si>
  <si>
    <t xml:space="preserve">SUB-BASEMENT FLOOR </t>
  </si>
  <si>
    <t xml:space="preserve">F</t>
  </si>
  <si>
    <t xml:space="preserve">GROUND FLOOR</t>
  </si>
  <si>
    <t xml:space="preserve">G</t>
  </si>
  <si>
    <t xml:space="preserve">FIRST FLOOR </t>
  </si>
  <si>
    <t xml:space="preserve">H</t>
  </si>
  <si>
    <t xml:space="preserve">SECOND FLOOR</t>
  </si>
  <si>
    <t xml:space="preserve">J</t>
  </si>
  <si>
    <t xml:space="preserve">THIRD FLOOR</t>
  </si>
  <si>
    <t xml:space="preserve">K</t>
  </si>
  <si>
    <t xml:space="preserve">FOURTH FLOOR</t>
  </si>
  <si>
    <t xml:space="preserve">L</t>
  </si>
  <si>
    <t xml:space="preserve">FIFTH FLOOR </t>
  </si>
  <si>
    <t xml:space="preserve">M</t>
  </si>
  <si>
    <t xml:space="preserve">KITCHEN CABINETRY/WALL CLADDING </t>
  </si>
  <si>
    <t xml:space="preserve">N</t>
  </si>
  <si>
    <t xml:space="preserve">PLUMBING, FIRE-FIGHTING AND MECHANICAL </t>
  </si>
  <si>
    <t xml:space="preserve">P</t>
  </si>
  <si>
    <t xml:space="preserve">ELECTRICAL WORKS</t>
  </si>
  <si>
    <t xml:space="preserve">Q</t>
  </si>
  <si>
    <t xml:space="preserve">EXTERNAL FAÇADE WORKS</t>
  </si>
  <si>
    <t xml:space="preserve">R</t>
  </si>
  <si>
    <t xml:space="preserve">EXTERNAL WORKS (ALL PROVISIONAL)</t>
  </si>
  <si>
    <t xml:space="preserve">S</t>
  </si>
  <si>
    <t xml:space="preserve">DESIGN FEES</t>
  </si>
  <si>
    <t xml:space="preserve">T</t>
  </si>
  <si>
    <t xml:space="preserve">PROJECT MANAGEMENT FEES</t>
  </si>
  <si>
    <t xml:space="preserve">SUB - TOTAL (1)</t>
  </si>
  <si>
    <t xml:space="preserve">US $</t>
  </si>
  <si>
    <t xml:space="preserve">ADD: CONTINGENCY</t>
  </si>
  <si>
    <t xml:space="preserve">LESS: DISCOUNT</t>
  </si>
  <si>
    <t xml:space="preserve">TOTAL COST OF THE WORKS</t>
  </si>
  <si>
    <t xml:space="preserve">TOTAL AREA</t>
  </si>
  <si>
    <t xml:space="preserve">SIGNED: ……………………………………………………………</t>
  </si>
  <si>
    <t xml:space="preserve">DATE: ………………………………………...........………….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</si>
</sst>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#,##0.00;[RED]\(#,##0.00\);\-"/>
    <numFmt numFmtId="166" formatCode="dd\ mmm\ yyyy"/>
    <numFmt numFmtId="167" formatCode="0"/>
    <numFmt numFmtId="168" formatCode="0.00%"/>
    <numFmt numFmtId="169" formatCode="mmmm&quot;, &quot;yyyy"/>
    <numFmt numFmtId="170" formatCode="0.0%"/>
    <numFmt numFmtId="171" formatCode="mmm\-yy"/>
    <numFmt numFmtId="172" formatCode="0%"/>
    <numFmt numFmtId="173" formatCode="General"/>
    <numFmt numFmtId="174" formatCode="_-[$$-409]* #,##0.00_ ;_-[$$-409]* \-#,##0.00\ ;_-[$$-409]* \-??_ ;_-@_ "/>
    <numFmt numFmtId="175" formatCode="m/d/yyyy"/>
    <numFmt numFmtId="176" formatCode="_([$$-409]* #,##0.00_);_([$$-409]* \(#,##0.00\);_([$$-409]* \-??_);_(@_)"/>
    <numFmt numFmtId="177" formatCode="_(* #,##0.00_);_(* \(#,##0.00\);_(* \-??_);_(@_)"/>
    <numFmt numFmtId="178" formatCode="#,##0.00"/>
    <numFmt numFmtId="179" formatCode="_-* #,##0.00_-;\-* #,##0.00_-;_-* \-??_-;_-@_-"/>
  </numFmts>
  <fonts count="2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i val="true"/>
      <sz val="11"/>
      <color rgb="FF808080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4"/>
      <color theme="1"/>
      <name val="Calibri"/>
      <family val="2"/>
      <charset val="1"/>
    </font>
    <font>
      <sz val="14"/>
      <color theme="1"/>
      <name val="Calibri"/>
      <family val="2"/>
      <charset val="1"/>
    </font>
    <font>
      <sz val="16"/>
      <color theme="1"/>
      <name val="Calibri"/>
      <family val="2"/>
      <charset val="1"/>
    </font>
    <font>
      <sz val="16"/>
      <color theme="0"/>
      <name val="Calibri"/>
      <family val="2"/>
      <charset val="1"/>
    </font>
    <font>
      <b val="true"/>
      <sz val="16"/>
      <color theme="1"/>
      <name val="Calibri"/>
      <family val="2"/>
      <charset val="1"/>
    </font>
    <font>
      <b val="true"/>
      <u val="single"/>
      <sz val="14"/>
      <color theme="1"/>
      <name val="Calibri"/>
      <family val="2"/>
      <charset val="1"/>
    </font>
    <font>
      <sz val="16"/>
      <color rgb="FF000000"/>
      <name val="Calibri"/>
      <family val="2"/>
      <charset val="1"/>
    </font>
    <font>
      <sz val="14"/>
      <name val="Calibri"/>
      <family val="2"/>
      <charset val="1"/>
    </font>
    <font>
      <sz val="16"/>
      <name val="Calibri"/>
      <family val="2"/>
      <charset val="1"/>
    </font>
    <font>
      <sz val="11"/>
      <name val="Calibri"/>
      <family val="2"/>
      <charset val="1"/>
    </font>
    <font>
      <sz val="14"/>
      <color rgb="FFFF0000"/>
      <name val="Calibri"/>
      <family val="2"/>
      <charset val="1"/>
    </font>
    <font>
      <sz val="11"/>
      <color rgb="FFFF0000"/>
      <name val="Calibri"/>
      <family val="2"/>
      <charset val="1"/>
    </font>
    <font>
      <sz val="14"/>
      <color theme="0"/>
      <name val="Calibri"/>
      <family val="2"/>
      <charset val="1"/>
    </font>
    <font>
      <b val="true"/>
      <sz val="16"/>
      <color rgb="FF000000"/>
      <name val="Calibri"/>
      <family val="2"/>
      <charset val="1"/>
    </font>
    <font>
      <b val="true"/>
      <sz val="14"/>
      <color rgb="FFFF0000"/>
      <name val="Calibri"/>
      <family val="2"/>
      <charset val="1"/>
    </font>
    <font>
      <b val="true"/>
      <sz val="16"/>
      <color rgb="FFFF0000"/>
      <name val="Calibri"/>
      <family val="2"/>
      <charset val="1"/>
    </font>
    <font>
      <b val="true"/>
      <sz val="18"/>
      <color theme="1"/>
      <name val="Calibri"/>
      <family val="2"/>
      <charset val="1"/>
    </font>
    <font>
      <b val="true"/>
      <sz val="16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EDEDED"/>
      </patternFill>
    </fill>
    <fill>
      <patternFill patternType="solid">
        <fgColor rgb="FFE2EFDA"/>
        <bgColor rgb="FFEDEDED"/>
      </patternFill>
    </fill>
    <fill>
      <patternFill patternType="solid">
        <fgColor rgb="FFD9E1F2"/>
        <bgColor rgb="FFD9D9D9"/>
      </patternFill>
    </fill>
  </fills>
  <borders count="1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medium"/>
      <right style="medium"/>
      <top/>
      <bottom style="double"/>
      <diagonal/>
    </border>
    <border diagonalUp="false" diagonalDown="false">
      <left style="medium"/>
      <right style="thin"/>
      <top/>
      <bottom style="double"/>
      <diagonal/>
    </border>
    <border diagonalUp="false" diagonalDown="false">
      <left style="medium"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7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13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3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2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1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9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3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13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5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15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24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23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2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1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21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2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9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7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8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28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24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9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3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7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9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9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12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3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8CBAD"/>
        </patternFill>
      </fill>
    </dxf>
    <dxf>
      <fill>
        <patternFill>
          <bgColor rgb="FFE2EFDA"/>
        </patternFill>
      </fill>
    </dxf>
    <dxf>
      <font>
        <color rgb="FFA6A6A6"/>
      </font>
      <fill>
        <patternFill>
          <bgColor rgb="FFEDEDE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6A6A6"/>
      <rgbColor rgb="FF808080"/>
      <rgbColor rgb="FF878787"/>
      <rgbColor rgb="FFBE4B48"/>
      <rgbColor rgb="FFFFF2CC"/>
      <rgbColor rgb="FFEDED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2EFDA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4F81BD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payment and cumulative payment (US$)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'CASHFLOW SUMMARY'!D24</c:f>
              <c:strCache>
                <c:ptCount val="1"/>
                <c:pt idx="0">
                  <c:v>PAYMENT (US$)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'CASHFLOW SUMMARY'!$B$25:$B$55</c:f>
              <c:strCache>
                <c:ptCount val="31"/>
                <c:pt idx="0">
                  <c:v>September, 2026</c:v>
                </c:pt>
                <c:pt idx="1">
                  <c:v>October, 2026</c:v>
                </c:pt>
                <c:pt idx="2">
                  <c:v>November, 2026</c:v>
                </c:pt>
                <c:pt idx="3">
                  <c:v>December, 2026</c:v>
                </c:pt>
                <c:pt idx="4">
                  <c:v>January, 2027</c:v>
                </c:pt>
                <c:pt idx="5">
                  <c:v>February, 2027</c:v>
                </c:pt>
                <c:pt idx="6">
                  <c:v>March, 2027</c:v>
                </c:pt>
                <c:pt idx="7">
                  <c:v>April, 2027</c:v>
                </c:pt>
                <c:pt idx="8">
                  <c:v>May, 2027</c:v>
                </c:pt>
                <c:pt idx="9">
                  <c:v>June, 2027</c:v>
                </c:pt>
                <c:pt idx="10">
                  <c:v>July, 2027</c:v>
                </c:pt>
                <c:pt idx="11">
                  <c:v>August, 2027</c:v>
                </c:pt>
                <c:pt idx="12">
                  <c:v>September, 2027</c:v>
                </c:pt>
                <c:pt idx="13">
                  <c:v>October, 2027</c:v>
                </c:pt>
                <c:pt idx="14">
                  <c:v>November, 2027</c:v>
                </c:pt>
                <c:pt idx="15">
                  <c:v>December, 2027</c:v>
                </c:pt>
                <c:pt idx="16">
                  <c:v>January, 2028</c:v>
                </c:pt>
                <c:pt idx="17">
                  <c:v>February, 2028</c:v>
                </c:pt>
                <c:pt idx="18">
                  <c:v>March, 2028</c:v>
                </c:pt>
                <c:pt idx="19">
                  <c:v>April, 2028</c:v>
                </c:pt>
                <c:pt idx="20">
                  <c:v>May, 2028</c:v>
                </c:pt>
                <c:pt idx="21">
                  <c:v>June, 2028</c:v>
                </c:pt>
                <c:pt idx="22">
                  <c:v>July, 2028</c:v>
                </c:pt>
                <c:pt idx="23">
                  <c:v>August, 2028</c:v>
                </c:pt>
                <c:pt idx="24">
                  <c:v>September, 2028</c:v>
                </c:pt>
                <c:pt idx="25">
                  <c:v>October, 2028</c:v>
                </c:pt>
                <c:pt idx="26">
                  <c:v>November, 2028</c:v>
                </c:pt>
                <c:pt idx="27">
                  <c:v>December, 2028</c:v>
                </c:pt>
                <c:pt idx="28">
                  <c:v>January, 2029</c:v>
                </c:pt>
                <c:pt idx="29">
                  <c:v>February, 2029</c:v>
                </c:pt>
                <c:pt idx="30">
                  <c:v>March, 2029</c:v>
                </c:pt>
              </c:strCache>
            </c:strRef>
          </c:cat>
          <c:val>
            <c:numRef>
              <c:f>'CASHFLOW SUMMARY'!$D$25:$D$55</c:f>
              <c:numCache>
                <c:formatCode>#,##0.00;[RED]\(#,##0.00\);\-</c:formatCode>
                <c:ptCount val="31"/>
                <c:pt idx="0">
                  <c:v>1562500</c:v>
                </c:pt>
                <c:pt idx="1">
                  <c:v>420668.697174198</c:v>
                </c:pt>
                <c:pt idx="2">
                  <c:v>154994.927510327</c:v>
                </c:pt>
                <c:pt idx="3">
                  <c:v>126129.459058874</c:v>
                </c:pt>
                <c:pt idx="4">
                  <c:v>188427.812065147</c:v>
                </c:pt>
                <c:pt idx="5">
                  <c:v>103766.258796607</c:v>
                </c:pt>
                <c:pt idx="6">
                  <c:v>103766.258796607</c:v>
                </c:pt>
                <c:pt idx="7">
                  <c:v>101395.665581758</c:v>
                </c:pt>
                <c:pt idx="8">
                  <c:v>77260.6667880463</c:v>
                </c:pt>
                <c:pt idx="9">
                  <c:v>119094.664697146</c:v>
                </c:pt>
                <c:pt idx="10">
                  <c:v>87719.1662653213</c:v>
                </c:pt>
                <c:pt idx="11">
                  <c:v>129553.164174421</c:v>
                </c:pt>
                <c:pt idx="12">
                  <c:v>228526.204962447</c:v>
                </c:pt>
                <c:pt idx="13">
                  <c:v>290378.415957835</c:v>
                </c:pt>
                <c:pt idx="14">
                  <c:v>270850.435866674</c:v>
                </c:pt>
                <c:pt idx="15">
                  <c:v>197728.063538558</c:v>
                </c:pt>
                <c:pt idx="16">
                  <c:v>258702.719557753</c:v>
                </c:pt>
                <c:pt idx="17">
                  <c:v>171166.795024844</c:v>
                </c:pt>
                <c:pt idx="18">
                  <c:v>152573.907065244</c:v>
                </c:pt>
                <c:pt idx="19">
                  <c:v>197236.193114465</c:v>
                </c:pt>
                <c:pt idx="20">
                  <c:v>217053.510683473</c:v>
                </c:pt>
                <c:pt idx="21">
                  <c:v>295814.066641125</c:v>
                </c:pt>
                <c:pt idx="22">
                  <c:v>270248.845696675</c:v>
                </c:pt>
                <c:pt idx="23">
                  <c:v>175192.442720419</c:v>
                </c:pt>
                <c:pt idx="24">
                  <c:v>36751.6582620346</c:v>
                </c:pt>
                <c:pt idx="25">
                  <c:v>156250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156250</c:v>
                </c:pt>
              </c:numCache>
            </c:numRef>
          </c:val>
        </c:ser>
        <c:gapWidth val="150"/>
        <c:overlap val="0"/>
        <c:axId val="83645965"/>
        <c:axId val="98865791"/>
      </c:barChart>
      <c:lineChart>
        <c:grouping val="standard"/>
        <c:varyColors val="0"/>
        <c:ser>
          <c:idx val="1"/>
          <c:order val="1"/>
          <c:tx>
            <c:strRef>
              <c:f>'CASHFLOW SUMMARY'!E24</c:f>
              <c:strCache>
                <c:ptCount val="1"/>
                <c:pt idx="0">
                  <c:v>CUMULATIVE PAYMENT (US$)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'CASHFLOW SUMMARY'!$B$25:$B$55</c:f>
              <c:strCache>
                <c:ptCount val="31"/>
                <c:pt idx="0">
                  <c:v>September, 2026</c:v>
                </c:pt>
                <c:pt idx="1">
                  <c:v>October, 2026</c:v>
                </c:pt>
                <c:pt idx="2">
                  <c:v>November, 2026</c:v>
                </c:pt>
                <c:pt idx="3">
                  <c:v>December, 2026</c:v>
                </c:pt>
                <c:pt idx="4">
                  <c:v>January, 2027</c:v>
                </c:pt>
                <c:pt idx="5">
                  <c:v>February, 2027</c:v>
                </c:pt>
                <c:pt idx="6">
                  <c:v>March, 2027</c:v>
                </c:pt>
                <c:pt idx="7">
                  <c:v>April, 2027</c:v>
                </c:pt>
                <c:pt idx="8">
                  <c:v>May, 2027</c:v>
                </c:pt>
                <c:pt idx="9">
                  <c:v>June, 2027</c:v>
                </c:pt>
                <c:pt idx="10">
                  <c:v>July, 2027</c:v>
                </c:pt>
                <c:pt idx="11">
                  <c:v>August, 2027</c:v>
                </c:pt>
                <c:pt idx="12">
                  <c:v>September, 2027</c:v>
                </c:pt>
                <c:pt idx="13">
                  <c:v>October, 2027</c:v>
                </c:pt>
                <c:pt idx="14">
                  <c:v>November, 2027</c:v>
                </c:pt>
                <c:pt idx="15">
                  <c:v>December, 2027</c:v>
                </c:pt>
                <c:pt idx="16">
                  <c:v>January, 2028</c:v>
                </c:pt>
                <c:pt idx="17">
                  <c:v>February, 2028</c:v>
                </c:pt>
                <c:pt idx="18">
                  <c:v>March, 2028</c:v>
                </c:pt>
                <c:pt idx="19">
                  <c:v>April, 2028</c:v>
                </c:pt>
                <c:pt idx="20">
                  <c:v>May, 2028</c:v>
                </c:pt>
                <c:pt idx="21">
                  <c:v>June, 2028</c:v>
                </c:pt>
                <c:pt idx="22">
                  <c:v>July, 2028</c:v>
                </c:pt>
                <c:pt idx="23">
                  <c:v>August, 2028</c:v>
                </c:pt>
                <c:pt idx="24">
                  <c:v>September, 2028</c:v>
                </c:pt>
                <c:pt idx="25">
                  <c:v>October, 2028</c:v>
                </c:pt>
                <c:pt idx="26">
                  <c:v>November, 2028</c:v>
                </c:pt>
                <c:pt idx="27">
                  <c:v>December, 2028</c:v>
                </c:pt>
                <c:pt idx="28">
                  <c:v>January, 2029</c:v>
                </c:pt>
                <c:pt idx="29">
                  <c:v>February, 2029</c:v>
                </c:pt>
                <c:pt idx="30">
                  <c:v>March, 2029</c:v>
                </c:pt>
              </c:strCache>
            </c:strRef>
          </c:cat>
          <c:val>
            <c:numRef>
              <c:f>'CASHFLOW SUMMARY'!$E$25:$E$55</c:f>
              <c:numCache>
                <c:formatCode>#,##0.00;[RED]\(#,##0.00\);\-</c:formatCode>
                <c:ptCount val="31"/>
                <c:pt idx="0">
                  <c:v>1562500</c:v>
                </c:pt>
                <c:pt idx="1">
                  <c:v>1983168.6971742</c:v>
                </c:pt>
                <c:pt idx="2">
                  <c:v>2138163.62468452</c:v>
                </c:pt>
                <c:pt idx="3">
                  <c:v>2264293.0837434</c:v>
                </c:pt>
                <c:pt idx="4">
                  <c:v>2452720.89580855</c:v>
                </c:pt>
                <c:pt idx="5">
                  <c:v>2556487.15460515</c:v>
                </c:pt>
                <c:pt idx="6">
                  <c:v>2660253.41340176</c:v>
                </c:pt>
                <c:pt idx="7">
                  <c:v>2761649.07898352</c:v>
                </c:pt>
                <c:pt idx="8">
                  <c:v>2838909.74577156</c:v>
                </c:pt>
                <c:pt idx="9">
                  <c:v>2958004.41046871</c:v>
                </c:pt>
                <c:pt idx="10">
                  <c:v>3045723.57673403</c:v>
                </c:pt>
                <c:pt idx="11">
                  <c:v>3175276.74090845</c:v>
                </c:pt>
                <c:pt idx="12">
                  <c:v>3403802.9458709</c:v>
                </c:pt>
                <c:pt idx="13">
                  <c:v>3694181.36182873</c:v>
                </c:pt>
                <c:pt idx="14">
                  <c:v>3965031.79769541</c:v>
                </c:pt>
                <c:pt idx="15">
                  <c:v>4162759.86123397</c:v>
                </c:pt>
                <c:pt idx="16">
                  <c:v>4421462.58079172</c:v>
                </c:pt>
                <c:pt idx="17">
                  <c:v>4592629.37581656</c:v>
                </c:pt>
                <c:pt idx="18">
                  <c:v>4745203.28288181</c:v>
                </c:pt>
                <c:pt idx="19">
                  <c:v>4942439.47599627</c:v>
                </c:pt>
                <c:pt idx="20">
                  <c:v>5159492.98667975</c:v>
                </c:pt>
                <c:pt idx="21">
                  <c:v>5455307.05332087</c:v>
                </c:pt>
                <c:pt idx="22">
                  <c:v>5725555.89901755</c:v>
                </c:pt>
                <c:pt idx="23">
                  <c:v>5900748.34173797</c:v>
                </c:pt>
                <c:pt idx="24">
                  <c:v>5937500</c:v>
                </c:pt>
                <c:pt idx="25">
                  <c:v>6093750</c:v>
                </c:pt>
                <c:pt idx="26">
                  <c:v>6093750</c:v>
                </c:pt>
                <c:pt idx="27">
                  <c:v>6093750</c:v>
                </c:pt>
                <c:pt idx="28">
                  <c:v>6093750</c:v>
                </c:pt>
                <c:pt idx="29">
                  <c:v>6093750</c:v>
                </c:pt>
                <c:pt idx="30">
                  <c:v>6250000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1504354"/>
        <c:axId val="78400135"/>
      </c:lineChart>
      <c:catAx>
        <c:axId val="83645965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865791"/>
        <c:crosses val="autoZero"/>
        <c:auto val="1"/>
        <c:lblAlgn val="ctr"/>
        <c:lblOffset val="100"/>
        <c:noMultiLvlLbl val="0"/>
      </c:catAx>
      <c:valAx>
        <c:axId val="988657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Monthly (US$)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;[RED]\(#,##0.0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645965"/>
        <c:crosses val="autoZero"/>
        <c:crossBetween val="between"/>
      </c:valAx>
      <c:catAx>
        <c:axId val="71504354"/>
        <c:scaling>
          <c:orientation val="minMax"/>
        </c:scaling>
        <c:delete val="0"/>
        <c:axPos val="t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400135"/>
        <c:crosses val="autoZero"/>
        <c:auto val="1"/>
        <c:lblAlgn val="ctr"/>
        <c:lblOffset val="100"/>
        <c:noMultiLvlLbl val="0"/>
      </c:catAx>
      <c:valAx>
        <c:axId val="78400135"/>
        <c:scaling>
          <c:orientation val="minMax"/>
        </c:scaling>
        <c:delete val="0"/>
        <c:axPos val="r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Cumulative (US$)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;[RED]\(#,##0.0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504354"/>
        <c:crosses val="max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176040</xdr:rowOff>
    </xdr:from>
    <xdr:to>
      <xdr:col>21</xdr:col>
      <xdr:colOff>78480</xdr:colOff>
      <xdr:row>21</xdr:row>
      <xdr:rowOff>156240</xdr:rowOff>
    </xdr:to>
    <xdr:graphicFrame>
      <xdr:nvGraphicFramePr>
        <xdr:cNvPr id="0" name="Chart 1"/>
        <xdr:cNvGraphicFramePr/>
      </xdr:nvGraphicFramePr>
      <xdr:xfrm>
        <a:off x="8223840" y="571680"/>
        <a:ext cx="863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50"/>
    <col collapsed="false" customWidth="true" hidden="false" outlineLevel="0" max="3" min="3" style="0" width="18"/>
    <col collapsed="false" customWidth="true" hidden="false" outlineLevel="0" max="4" min="4" style="0" width="48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4" t="s">
        <v>7</v>
      </c>
      <c r="C5" s="5" t="n">
        <f aca="false">'GEN SUMMARY'!H50</f>
        <v>6250000</v>
      </c>
      <c r="D5" s="4" t="s">
        <v>8</v>
      </c>
    </row>
    <row r="6" customFormat="false" ht="15" hidden="false" customHeight="false" outlineLevel="0" collapsed="false">
      <c r="A6" s="4" t="s">
        <v>9</v>
      </c>
      <c r="B6" s="4" t="s">
        <v>10</v>
      </c>
      <c r="C6" s="6" t="n">
        <v>6250000</v>
      </c>
      <c r="D6" s="4" t="s">
        <v>11</v>
      </c>
    </row>
    <row r="7" customFormat="false" ht="15" hidden="false" customHeight="false" outlineLevel="0" collapsed="false">
      <c r="A7" s="4" t="s">
        <v>12</v>
      </c>
      <c r="B7" s="4" t="s">
        <v>13</v>
      </c>
      <c r="C7" s="7" t="n">
        <v>46295</v>
      </c>
      <c r="D7" s="4" t="s">
        <v>14</v>
      </c>
    </row>
    <row r="8" customFormat="false" ht="15" hidden="false" customHeight="false" outlineLevel="0" collapsed="false">
      <c r="A8" s="4" t="s">
        <v>15</v>
      </c>
      <c r="B8" s="4" t="s">
        <v>16</v>
      </c>
      <c r="C8" s="8" t="n">
        <v>24</v>
      </c>
      <c r="D8" s="4"/>
    </row>
    <row r="9" customFormat="false" ht="15" hidden="false" customHeight="false" outlineLevel="0" collapsed="false">
      <c r="A9" s="4" t="s">
        <v>17</v>
      </c>
      <c r="B9" s="4" t="s">
        <v>18</v>
      </c>
      <c r="C9" s="9" t="n">
        <f aca="false">EOMONTH(StartDate,Duration)</f>
        <v>47026</v>
      </c>
      <c r="D9" s="4"/>
    </row>
    <row r="10" customFormat="false" ht="15" hidden="false" customHeight="false" outlineLevel="0" collapsed="false">
      <c r="A10" s="4" t="s">
        <v>19</v>
      </c>
      <c r="B10" s="4" t="s">
        <v>20</v>
      </c>
      <c r="C10" s="8" t="n">
        <v>6</v>
      </c>
      <c r="D10" s="4"/>
    </row>
    <row r="11" customFormat="false" ht="15" hidden="false" customHeight="false" outlineLevel="0" collapsed="false">
      <c r="A11" s="4" t="s">
        <v>21</v>
      </c>
      <c r="B11" s="4" t="s">
        <v>22</v>
      </c>
      <c r="C11" s="9" t="n">
        <f aca="false">EOMONTH(CompletionDate,DLP)</f>
        <v>47208</v>
      </c>
      <c r="D11" s="4"/>
    </row>
    <row r="12" customFormat="false" ht="15" hidden="false" customHeight="false" outlineLevel="0" collapsed="false">
      <c r="A12" s="4" t="s">
        <v>23</v>
      </c>
      <c r="B12" s="4" t="s">
        <v>24</v>
      </c>
      <c r="C12" s="10" t="n">
        <v>0.25</v>
      </c>
      <c r="D12" s="4" t="s">
        <v>25</v>
      </c>
    </row>
    <row r="13" customFormat="false" ht="15" hidden="false" customHeight="false" outlineLevel="0" collapsed="false">
      <c r="A13" s="4" t="s">
        <v>26</v>
      </c>
      <c r="B13" s="4" t="s">
        <v>27</v>
      </c>
      <c r="C13" s="5" t="n">
        <f aca="false">ROUND(AdvPct*ContractSum,2)</f>
        <v>1562500</v>
      </c>
      <c r="D13" s="4"/>
    </row>
    <row r="14" customFormat="false" ht="15" hidden="false" customHeight="false" outlineLevel="0" collapsed="false">
      <c r="A14" s="4" t="s">
        <v>28</v>
      </c>
      <c r="B14" s="4" t="s">
        <v>29</v>
      </c>
      <c r="C14" s="8" t="n">
        <v>0</v>
      </c>
      <c r="D14" s="4" t="s">
        <v>30</v>
      </c>
    </row>
    <row r="15" customFormat="false" ht="15" hidden="false" customHeight="false" outlineLevel="0" collapsed="false">
      <c r="A15" s="4" t="s">
        <v>31</v>
      </c>
      <c r="B15" s="4" t="s">
        <v>32</v>
      </c>
      <c r="C15" s="8" t="n">
        <v>3</v>
      </c>
      <c r="D15" s="4"/>
    </row>
    <row r="16" customFormat="false" ht="15" hidden="false" customHeight="false" outlineLevel="0" collapsed="false">
      <c r="A16" s="4" t="s">
        <v>33</v>
      </c>
      <c r="B16" s="4" t="s">
        <v>34</v>
      </c>
      <c r="C16" s="8" t="n">
        <v>18</v>
      </c>
      <c r="D16" s="4" t="s">
        <v>35</v>
      </c>
    </row>
    <row r="17" customFormat="false" ht="15" hidden="false" customHeight="false" outlineLevel="0" collapsed="false">
      <c r="A17" s="4" t="s">
        <v>36</v>
      </c>
      <c r="B17" s="4" t="s">
        <v>37</v>
      </c>
      <c r="C17" s="11" t="n">
        <f aca="false">RecStart+RecMonths-1</f>
        <v>20</v>
      </c>
      <c r="D17" s="4" t="s">
        <v>38</v>
      </c>
    </row>
    <row r="18" customFormat="false" ht="15" hidden="false" customHeight="false" outlineLevel="0" collapsed="false">
      <c r="A18" s="4" t="s">
        <v>39</v>
      </c>
      <c r="B18" s="4" t="s">
        <v>40</v>
      </c>
      <c r="C18" s="10" t="n">
        <v>0.1</v>
      </c>
      <c r="D18" s="4"/>
    </row>
    <row r="19" customFormat="false" ht="15" hidden="false" customHeight="false" outlineLevel="0" collapsed="false">
      <c r="A19" s="4" t="s">
        <v>41</v>
      </c>
      <c r="B19" s="4" t="s">
        <v>42</v>
      </c>
      <c r="C19" s="10" t="n">
        <v>0.05</v>
      </c>
      <c r="D19" s="4"/>
    </row>
    <row r="20" customFormat="false" ht="15" hidden="false" customHeight="false" outlineLevel="0" collapsed="false">
      <c r="A20" s="4" t="s">
        <v>43</v>
      </c>
      <c r="B20" s="4" t="s">
        <v>44</v>
      </c>
      <c r="C20" s="5" t="n">
        <f aca="false">ROUND(RetLimitPct*ContractSum,2)</f>
        <v>312500</v>
      </c>
      <c r="D20" s="4"/>
    </row>
    <row r="21" customFormat="false" ht="15" hidden="false" customHeight="false" outlineLevel="0" collapsed="false">
      <c r="A21" s="4" t="s">
        <v>45</v>
      </c>
      <c r="B21" s="4" t="s">
        <v>46</v>
      </c>
      <c r="C21" s="10" t="n">
        <v>0.5</v>
      </c>
      <c r="D21" s="4" t="s">
        <v>47</v>
      </c>
    </row>
    <row r="22" customFormat="false" ht="15" hidden="false" customHeight="false" outlineLevel="0" collapsed="false">
      <c r="A22" s="4" t="s">
        <v>48</v>
      </c>
      <c r="B22" s="4" t="s">
        <v>49</v>
      </c>
      <c r="C22" s="11" t="n">
        <f aca="false">Duration+1</f>
        <v>25</v>
      </c>
      <c r="D22" s="4" t="s">
        <v>50</v>
      </c>
    </row>
    <row r="23" customFormat="false" ht="15" hidden="false" customHeight="false" outlineLevel="0" collapsed="false">
      <c r="A23" s="4" t="s">
        <v>51</v>
      </c>
      <c r="B23" s="4" t="s">
        <v>52</v>
      </c>
      <c r="C23" s="11" t="n">
        <f aca="false">Duration+DLP</f>
        <v>30</v>
      </c>
      <c r="D23" s="4" t="s">
        <v>53</v>
      </c>
    </row>
    <row r="24" customFormat="false" ht="15" hidden="false" customHeight="false" outlineLevel="0" collapsed="false">
      <c r="A24" s="4" t="s">
        <v>54</v>
      </c>
      <c r="B24" s="4" t="s">
        <v>55</v>
      </c>
      <c r="C24" s="8" t="n">
        <v>4</v>
      </c>
      <c r="D24" s="4" t="s">
        <v>56</v>
      </c>
    </row>
    <row r="27" customFormat="false" ht="15" hidden="false" customHeight="false" outlineLevel="0" collapsed="false">
      <c r="A27" s="12" t="s">
        <v>57</v>
      </c>
    </row>
    <row r="28" customFormat="false" ht="15" hidden="false" customHeight="false" outlineLevel="0" collapsed="false">
      <c r="A28" s="13" t="s">
        <v>58</v>
      </c>
      <c r="B28" s="13" t="s">
        <v>4</v>
      </c>
      <c r="C28" s="13" t="s">
        <v>59</v>
      </c>
      <c r="D28" s="13" t="s">
        <v>60</v>
      </c>
    </row>
    <row r="29" customFormat="false" ht="15" hidden="false" customHeight="false" outlineLevel="0" collapsed="false">
      <c r="A29" s="0" t="s">
        <v>61</v>
      </c>
      <c r="B29" s="14" t="n">
        <f aca="false">ContractSum</f>
        <v>6250000</v>
      </c>
      <c r="C29" s="14" t="n">
        <f aca="false">TargetSum</f>
        <v>6250000</v>
      </c>
      <c r="D29" s="0" t="str">
        <f aca="false">IF(ROUND(B29-C29,2)=0,"OK","CHECK")</f>
        <v>OK</v>
      </c>
    </row>
    <row r="30" customFormat="false" ht="15" hidden="false" customHeight="false" outlineLevel="0" collapsed="false">
      <c r="A30" s="0" t="s">
        <v>62</v>
      </c>
      <c r="B30" s="14" t="n">
        <f aca="false">' CASHFLOW'!C26</f>
        <v>6250000</v>
      </c>
      <c r="C30" s="14" t="n">
        <f aca="false">ContractSum</f>
        <v>6250000</v>
      </c>
      <c r="D30" s="0" t="str">
        <f aca="false">IF(ROUND(B30-C30,2)=0,"OK","CHECK")</f>
        <v>OK</v>
      </c>
    </row>
    <row r="31" customFormat="false" ht="15" hidden="false" customHeight="false" outlineLevel="0" collapsed="false">
      <c r="A31" s="0" t="s">
        <v>63</v>
      </c>
      <c r="B31" s="14" t="n">
        <f aca="false">' CASHFLOW'!AV26</f>
        <v>6250000</v>
      </c>
      <c r="C31" s="14" t="n">
        <f aca="false">ContractSum</f>
        <v>6250000</v>
      </c>
      <c r="D31" s="0" t="str">
        <f aca="false">IF(ROUND(B31-C31,2)=0,"OK","CHECK")</f>
        <v>OK</v>
      </c>
    </row>
    <row r="32" customFormat="false" ht="15" hidden="false" customHeight="false" outlineLevel="0" collapsed="false">
      <c r="A32" s="0" t="s">
        <v>64</v>
      </c>
      <c r="B32" s="14" t="n">
        <f aca="false">' CASHFLOW'!AV38</f>
        <v>6250000</v>
      </c>
      <c r="C32" s="14" t="n">
        <f aca="false">ContractSum</f>
        <v>6250000</v>
      </c>
      <c r="D32" s="0" t="str">
        <f aca="false">IF(ROUND(B32-C32,2)=0,"OK","CHECK")</f>
        <v>OK</v>
      </c>
    </row>
    <row r="33" customFormat="false" ht="15" hidden="false" customHeight="false" outlineLevel="0" collapsed="false">
      <c r="A33" s="0" t="s">
        <v>65</v>
      </c>
      <c r="B33" s="14" t="n">
        <f aca="false">'CASHFLOW SUMMARY'!D20</f>
        <v>6250000</v>
      </c>
      <c r="C33" s="14" t="n">
        <f aca="false">ContractSum</f>
        <v>6250000</v>
      </c>
      <c r="D33" s="0" t="str">
        <f aca="false">IF(ROUND(B33-C33,2)=0,"OK","CHECK")</f>
        <v>OK</v>
      </c>
    </row>
    <row r="34" customFormat="false" ht="15" hidden="false" customHeight="false" outlineLevel="0" collapsed="false">
      <c r="A34" s="0" t="s">
        <v>66</v>
      </c>
      <c r="B34" s="14" t="n">
        <f aca="false">'CASHFLOW SUMMARY'!D62</f>
        <v>6250000</v>
      </c>
      <c r="C34" s="14" t="n">
        <f aca="false">ContractSum</f>
        <v>6250000</v>
      </c>
      <c r="D34" s="0" t="str">
        <f aca="false">IF(ROUND(B34-C34,2)=0,"OK","CHECK")</f>
        <v>OK</v>
      </c>
    </row>
    <row r="35" customFormat="false" ht="15" hidden="false" customHeight="false" outlineLevel="0" collapsed="false">
      <c r="A35" s="0" t="s">
        <v>67</v>
      </c>
      <c r="B35" s="14" t="n">
        <f aca="false">' CASHFLOW'!AV35</f>
        <v>1562500</v>
      </c>
      <c r="C35" s="14" t="n">
        <f aca="false">AdvAmt</f>
        <v>1562500</v>
      </c>
      <c r="D35" s="0" t="str">
        <f aca="false">IF(ROUND(B35-C35,2)=0,"OK","CHECK")</f>
        <v>OK</v>
      </c>
    </row>
    <row r="36" customFormat="false" ht="15" hidden="false" customHeight="false" outlineLevel="0" collapsed="false">
      <c r="A36" s="0" t="s">
        <v>68</v>
      </c>
      <c r="B36" s="14" t="n">
        <f aca="false">' CASHFLOW'!AV31</f>
        <v>312500</v>
      </c>
      <c r="C36" s="14" t="n">
        <f aca="false">RetLimit</f>
        <v>312500</v>
      </c>
      <c r="D36" s="0" t="str">
        <f aca="false">IF(ROUND(B36-C36,2)=0,"OK","CHECK")</f>
        <v>OK</v>
      </c>
    </row>
    <row r="37" customFormat="false" ht="15" hidden="false" customHeight="false" outlineLevel="0" collapsed="false">
      <c r="A37" s="0" t="s">
        <v>69</v>
      </c>
      <c r="B37" s="14" t="n">
        <f aca="false">' CASHFLOW'!AV33</f>
        <v>312500</v>
      </c>
      <c r="C37" s="14" t="n">
        <f aca="false">' CASHFLOW'!AV31</f>
        <v>312500</v>
      </c>
      <c r="D37" s="0" t="str">
        <f aca="false">IF(ROUND(B37-C37,2)=0,"OK","CHECK")</f>
        <v>OK</v>
      </c>
    </row>
    <row r="38" customFormat="false" ht="15" hidden="false" customHeight="false" outlineLevel="0" collapsed="false">
      <c r="A38" s="0" t="s">
        <v>70</v>
      </c>
      <c r="B38" s="0" t="n">
        <f aca="false">MIN(' CASHFLOW'!K38:AU38)</f>
        <v>0</v>
      </c>
      <c r="C38" s="0" t="n">
        <v>0</v>
      </c>
      <c r="D38" s="0" t="str">
        <f aca="false">IF(B38&gt;=0,"OK","CHECK")</f>
        <v>OK</v>
      </c>
    </row>
    <row r="39" customFormat="false" ht="15" hidden="false" customHeight="false" outlineLevel="0" collapsed="false">
      <c r="A39" s="0" t="s">
        <v>71</v>
      </c>
      <c r="B39" s="0" t="n">
        <f aca="false">MAX(' CASHFLOW'!AX9:AX25)</f>
        <v>24</v>
      </c>
      <c r="C39" s="15" t="n">
        <f aca="false">Duration</f>
        <v>24</v>
      </c>
      <c r="D39" s="0" t="str">
        <f aca="false">IF(B39&lt;=C39,"OK","CHECK")</f>
        <v>OK</v>
      </c>
    </row>
    <row r="40" customFormat="false" ht="15" hidden="false" customHeight="false" outlineLevel="0" collapsed="false">
      <c r="A40" s="0" t="s">
        <v>72</v>
      </c>
      <c r="B40" s="15" t="n">
        <f aca="false">RecEnd</f>
        <v>20</v>
      </c>
      <c r="C40" s="15" t="n">
        <f aca="false">Duration</f>
        <v>24</v>
      </c>
      <c r="D40" s="0" t="str">
        <f aca="false">IF(B40&lt;=C40,"OK","CHECK")</f>
        <v>OK</v>
      </c>
    </row>
    <row r="41" customFormat="false" ht="15" hidden="false" customHeight="false" outlineLevel="0" collapsed="false">
      <c r="A41" s="0" t="s">
        <v>73</v>
      </c>
      <c r="B41" s="0" t="n">
        <f aca="false">SUMPRODUCT((' CASHFLOW'!K6:AU6&gt;Rel2Month)*ABS(' CASHFLOW'!K38:AU38))</f>
        <v>0</v>
      </c>
      <c r="C41" s="0" t="n">
        <v>0</v>
      </c>
      <c r="D41" s="0" t="str">
        <f aca="false">IF(ROUND(B41,2)=0,"OK","CHECK")</f>
        <v>OK</v>
      </c>
    </row>
  </sheetData>
  <conditionalFormatting sqref="D29:D42">
    <cfRule type="expression" priority="2" aboveAverage="0" equalAverage="0" bottom="0" percent="0" rank="0" text="" dxfId="0">
      <formula>D29="CHECK"</formula>
    </cfRule>
    <cfRule type="expression" priority="3" aboveAverage="0" equalAverage="0" bottom="0" percent="0" rank="0" text="" dxfId="1">
      <formula>D29="OK"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18"/>
    <col collapsed="false" customWidth="true" hidden="false" outlineLevel="0" max="5" min="5" style="0" width="22"/>
    <col collapsed="false" customWidth="true" hidden="false" outlineLevel="0" max="6" min="6" style="0" width="14"/>
  </cols>
  <sheetData>
    <row r="1" customFormat="false" ht="16.15" hidden="false" customHeight="false" outlineLevel="0" collapsed="false">
      <c r="A1" s="1" t="s">
        <v>74</v>
      </c>
    </row>
    <row r="2" customFormat="false" ht="15" hidden="false" customHeight="false" outlineLevel="0" collapsed="false">
      <c r="A2" s="0" t="str">
        <f aca="false">"Contract sum (discounted, excl. taxes): US$ "&amp;TEXT(ContractSum,"#,##0.00")</f>
        <v>Contract sum (discounted, excl. taxes): US$ 6,250,000.00</v>
      </c>
    </row>
    <row r="4" customFormat="false" ht="15" hidden="false" customHeight="false" outlineLevel="0" collapsed="false">
      <c r="A4" s="12" t="s">
        <v>75</v>
      </c>
    </row>
    <row r="5" customFormat="false" ht="15" hidden="false" customHeight="false" outlineLevel="0" collapsed="false">
      <c r="A5" s="2" t="str">
        <f aca="false">"Every "&amp;PeriodMonths&amp;" months (change PeriodMonths on INPUTS)"</f>
        <v>Every 4 months (change PeriodMonths on INPUTS)</v>
      </c>
    </row>
    <row r="6" customFormat="false" ht="15" hidden="false" customHeight="false" outlineLevel="0" collapsed="false">
      <c r="A6" s="16" t="s">
        <v>76</v>
      </c>
      <c r="B6" s="16" t="s">
        <v>77</v>
      </c>
      <c r="C6" s="16" t="s">
        <v>78</v>
      </c>
      <c r="D6" s="16" t="s">
        <v>79</v>
      </c>
      <c r="E6" s="16" t="s">
        <v>80</v>
      </c>
    </row>
    <row r="7" customFormat="false" ht="15" hidden="false" customHeight="false" outlineLevel="0" collapsed="false">
      <c r="A7" s="4" t="s">
        <v>81</v>
      </c>
      <c r="B7" s="17" t="n">
        <f aca="false">EOMONTH(StartDate,AdvMonth)</f>
        <v>46295</v>
      </c>
      <c r="C7" s="4" t="str">
        <f aca="false">"M0 - M"&amp;AdvMonth</f>
        <v>M0 - M0</v>
      </c>
      <c r="D7" s="5" t="n">
        <f aca="false">SUMPRODUCT((' CASHFLOW'!$K$6:$AU$6&lt;=AdvMonth)*' CASHFLOW'!$K$38:$AU$38)</f>
        <v>1562500</v>
      </c>
      <c r="E7" s="5" t="n">
        <f aca="false">D7</f>
        <v>1562500</v>
      </c>
    </row>
    <row r="8" customFormat="false" ht="15" hidden="false" customHeight="false" outlineLevel="0" collapsed="false">
      <c r="A8" s="4" t="str">
        <f aca="false">IF((AdvMonth+1+(1-1)*PeriodMonths)&lt;=Rel2Month,"PMT 2","")</f>
        <v>PMT 2</v>
      </c>
      <c r="B8" s="17" t="n">
        <f aca="false">IF((AdvMonth+1+(1-1)*PeriodMonths)&lt;=Rel2Month,EOMONTH(StartDate,MIN(AdvMonth+1*PeriodMonths,Rel2Month)),"")</f>
        <v>46418</v>
      </c>
      <c r="C8" s="4" t="str">
        <f aca="false">IF((AdvMonth+1+(1-1)*PeriodMonths)&lt;=Rel2Month,"M"&amp;(AdvMonth+1+(1-1)*PeriodMonths)&amp;" - M"&amp;MIN(AdvMonth+1*PeriodMonths,Rel2Month),"")</f>
        <v>M1 - M4</v>
      </c>
      <c r="D8" s="5" t="n">
        <f aca="false">IF((AdvMonth+1+(1-1)*PeriodMonths)&lt;=Rel2Month,SUMPRODUCT((' CASHFLOW'!$K$6:$AU$6&gt;=(AdvMonth+1+(1-1)*PeriodMonths))*(' CASHFLOW'!$K$6:$AU$6&lt;=MIN(AdvMonth+1*PeriodMonths,Rel2Month))*' CASHFLOW'!$K$38:$AU$38),"")</f>
        <v>890220.895808546</v>
      </c>
      <c r="E8" s="5" t="n">
        <f aca="false">IF((AdvMonth+1+(1-1)*PeriodMonths)&lt;=Rel2Month,E7+D8,"")</f>
        <v>2452720.89580855</v>
      </c>
    </row>
    <row r="9" customFormat="false" ht="15" hidden="false" customHeight="false" outlineLevel="0" collapsed="false">
      <c r="A9" s="4" t="str">
        <f aca="false">IF((AdvMonth+1+(2-1)*PeriodMonths)&lt;=Rel2Month,"PMT 3","")</f>
        <v>PMT 3</v>
      </c>
      <c r="B9" s="17" t="n">
        <f aca="false">IF((AdvMonth+1+(2-1)*PeriodMonths)&lt;=Rel2Month,EOMONTH(StartDate,MIN(AdvMonth+2*PeriodMonths,Rel2Month)),"")</f>
        <v>46538</v>
      </c>
      <c r="C9" s="4" t="str">
        <f aca="false">IF((AdvMonth+1+(2-1)*PeriodMonths)&lt;=Rel2Month,"M"&amp;(AdvMonth+1+(2-1)*PeriodMonths)&amp;" - M"&amp;MIN(AdvMonth+2*PeriodMonths,Rel2Month),"")</f>
        <v>M5 - M8</v>
      </c>
      <c r="D9" s="5" t="n">
        <f aca="false">IF((AdvMonth+1+(2-1)*PeriodMonths)&lt;=Rel2Month,SUMPRODUCT((' CASHFLOW'!$K$6:$AU$6&gt;=(AdvMonth+1+(2-1)*PeriodMonths))*(' CASHFLOW'!$K$6:$AU$6&lt;=MIN(AdvMonth+2*PeriodMonths,Rel2Month))*' CASHFLOW'!$K$38:$AU$38),"")</f>
        <v>386188.849963017</v>
      </c>
      <c r="E9" s="5" t="n">
        <f aca="false">IF((AdvMonth+1+(2-1)*PeriodMonths)&lt;=Rel2Month,E8+D9,"")</f>
        <v>2838909.74577156</v>
      </c>
    </row>
    <row r="10" customFormat="false" ht="15" hidden="false" customHeight="false" outlineLevel="0" collapsed="false">
      <c r="A10" s="4" t="str">
        <f aca="false">IF((AdvMonth+1+(3-1)*PeriodMonths)&lt;=Rel2Month,"PMT 4","")</f>
        <v>PMT 4</v>
      </c>
      <c r="B10" s="17" t="n">
        <f aca="false">IF((AdvMonth+1+(3-1)*PeriodMonths)&lt;=Rel2Month,EOMONTH(StartDate,MIN(AdvMonth+3*PeriodMonths,Rel2Month)),"")</f>
        <v>46660</v>
      </c>
      <c r="C10" s="4" t="str">
        <f aca="false">IF((AdvMonth+1+(3-1)*PeriodMonths)&lt;=Rel2Month,"M"&amp;(AdvMonth+1+(3-1)*PeriodMonths)&amp;" - M"&amp;MIN(AdvMonth+3*PeriodMonths,Rel2Month),"")</f>
        <v>M9 - M12</v>
      </c>
      <c r="D10" s="5" t="n">
        <f aca="false">IF((AdvMonth+1+(3-1)*PeriodMonths)&lt;=Rel2Month,SUMPRODUCT((' CASHFLOW'!$K$6:$AU$6&gt;=(AdvMonth+1+(3-1)*PeriodMonths))*(' CASHFLOW'!$K$6:$AU$6&lt;=MIN(AdvMonth+3*PeriodMonths,Rel2Month))*' CASHFLOW'!$K$38:$AU$38),"")</f>
        <v>564893.200099336</v>
      </c>
      <c r="E10" s="5" t="n">
        <f aca="false">IF((AdvMonth+1+(3-1)*PeriodMonths)&lt;=Rel2Month,E9+D10,"")</f>
        <v>3403802.9458709</v>
      </c>
    </row>
    <row r="11" customFormat="false" ht="15" hidden="false" customHeight="false" outlineLevel="0" collapsed="false">
      <c r="A11" s="4" t="str">
        <f aca="false">IF((AdvMonth+1+(4-1)*PeriodMonths)&lt;=Rel2Month,"PMT 5","")</f>
        <v>PMT 5</v>
      </c>
      <c r="B11" s="17" t="n">
        <f aca="false">IF((AdvMonth+1+(4-1)*PeriodMonths)&lt;=Rel2Month,EOMONTH(StartDate,MIN(AdvMonth+4*PeriodMonths,Rel2Month)),"")</f>
        <v>46783</v>
      </c>
      <c r="C11" s="4" t="str">
        <f aca="false">IF((AdvMonth+1+(4-1)*PeriodMonths)&lt;=Rel2Month,"M"&amp;(AdvMonth+1+(4-1)*PeriodMonths)&amp;" - M"&amp;MIN(AdvMonth+4*PeriodMonths,Rel2Month),"")</f>
        <v>M13 - M16</v>
      </c>
      <c r="D11" s="5" t="n">
        <f aca="false">IF((AdvMonth+1+(4-1)*PeriodMonths)&lt;=Rel2Month,SUMPRODUCT((' CASHFLOW'!$K$6:$AU$6&gt;=(AdvMonth+1+(4-1)*PeriodMonths))*(' CASHFLOW'!$K$6:$AU$6&lt;=MIN(AdvMonth+4*PeriodMonths,Rel2Month))*' CASHFLOW'!$K$38:$AU$38),"")</f>
        <v>1017659.63492082</v>
      </c>
      <c r="E11" s="5" t="n">
        <f aca="false">IF((AdvMonth+1+(4-1)*PeriodMonths)&lt;=Rel2Month,E10+D11,"")</f>
        <v>4421462.58079172</v>
      </c>
    </row>
    <row r="12" customFormat="false" ht="15" hidden="false" customHeight="false" outlineLevel="0" collapsed="false">
      <c r="A12" s="4" t="str">
        <f aca="false">IF((AdvMonth+1+(5-1)*PeriodMonths)&lt;=Rel2Month,"PMT 6","")</f>
        <v>PMT 6</v>
      </c>
      <c r="B12" s="17" t="n">
        <f aca="false">IF((AdvMonth+1+(5-1)*PeriodMonths)&lt;=Rel2Month,EOMONTH(StartDate,MIN(AdvMonth+5*PeriodMonths,Rel2Month)),"")</f>
        <v>46904</v>
      </c>
      <c r="C12" s="4" t="str">
        <f aca="false">IF((AdvMonth+1+(5-1)*PeriodMonths)&lt;=Rel2Month,"M"&amp;(AdvMonth+1+(5-1)*PeriodMonths)&amp;" - M"&amp;MIN(AdvMonth+5*PeriodMonths,Rel2Month),"")</f>
        <v>M17 - M20</v>
      </c>
      <c r="D12" s="5" t="n">
        <f aca="false">IF((AdvMonth+1+(5-1)*PeriodMonths)&lt;=Rel2Month,SUMPRODUCT((' CASHFLOW'!$K$6:$AU$6&gt;=(AdvMonth+1+(5-1)*PeriodMonths))*(' CASHFLOW'!$K$6:$AU$6&lt;=MIN(AdvMonth+5*PeriodMonths,Rel2Month))*' CASHFLOW'!$K$38:$AU$38),"")</f>
        <v>738030.405888026</v>
      </c>
      <c r="E12" s="5" t="n">
        <f aca="false">IF((AdvMonth+1+(5-1)*PeriodMonths)&lt;=Rel2Month,E11+D12,"")</f>
        <v>5159492.98667975</v>
      </c>
    </row>
    <row r="13" customFormat="false" ht="15" hidden="false" customHeight="false" outlineLevel="0" collapsed="false">
      <c r="A13" s="4" t="str">
        <f aca="false">IF((AdvMonth+1+(6-1)*PeriodMonths)&lt;=Rel2Month,"PMT 7","")</f>
        <v>PMT 7</v>
      </c>
      <c r="B13" s="17" t="n">
        <f aca="false">IF((AdvMonth+1+(6-1)*PeriodMonths)&lt;=Rel2Month,EOMONTH(StartDate,MIN(AdvMonth+6*PeriodMonths,Rel2Month)),"")</f>
        <v>47026</v>
      </c>
      <c r="C13" s="4" t="str">
        <f aca="false">IF((AdvMonth+1+(6-1)*PeriodMonths)&lt;=Rel2Month,"M"&amp;(AdvMonth+1+(6-1)*PeriodMonths)&amp;" - M"&amp;MIN(AdvMonth+6*PeriodMonths,Rel2Month),"")</f>
        <v>M21 - M24</v>
      </c>
      <c r="D13" s="5" t="n">
        <f aca="false">IF((AdvMonth+1+(6-1)*PeriodMonths)&lt;=Rel2Month,SUMPRODUCT((' CASHFLOW'!$K$6:$AU$6&gt;=(AdvMonth+1+(6-1)*PeriodMonths))*(' CASHFLOW'!$K$6:$AU$6&lt;=MIN(AdvMonth+6*PeriodMonths,Rel2Month))*' CASHFLOW'!$K$38:$AU$38),"")</f>
        <v>778007.013320254</v>
      </c>
      <c r="E13" s="5" t="n">
        <f aca="false">IF((AdvMonth+1+(6-1)*PeriodMonths)&lt;=Rel2Month,E12+D13,"")</f>
        <v>5937500</v>
      </c>
    </row>
    <row r="14" customFormat="false" ht="15" hidden="false" customHeight="false" outlineLevel="0" collapsed="false">
      <c r="A14" s="4" t="str">
        <f aca="false">IF((AdvMonth+1+(7-1)*PeriodMonths)&lt;=Rel2Month,"PMT 8","")</f>
        <v>PMT 8</v>
      </c>
      <c r="B14" s="17" t="n">
        <f aca="false">IF((AdvMonth+1+(7-1)*PeriodMonths)&lt;=Rel2Month,EOMONTH(StartDate,MIN(AdvMonth+7*PeriodMonths,Rel2Month)),"")</f>
        <v>47149</v>
      </c>
      <c r="C14" s="4" t="str">
        <f aca="false">IF((AdvMonth+1+(7-1)*PeriodMonths)&lt;=Rel2Month,"M"&amp;(AdvMonth+1+(7-1)*PeriodMonths)&amp;" - M"&amp;MIN(AdvMonth+7*PeriodMonths,Rel2Month),"")</f>
        <v>M25 - M28</v>
      </c>
      <c r="D14" s="5" t="n">
        <f aca="false">IF((AdvMonth+1+(7-1)*PeriodMonths)&lt;=Rel2Month,SUMPRODUCT((' CASHFLOW'!$K$6:$AU$6&gt;=(AdvMonth+1+(7-1)*PeriodMonths))*(' CASHFLOW'!$K$6:$AU$6&lt;=MIN(AdvMonth+7*PeriodMonths,Rel2Month))*' CASHFLOW'!$K$38:$AU$38),"")</f>
        <v>156250</v>
      </c>
      <c r="E14" s="5" t="n">
        <f aca="false">IF((AdvMonth+1+(7-1)*PeriodMonths)&lt;=Rel2Month,E13+D14,"")</f>
        <v>6093750</v>
      </c>
    </row>
    <row r="15" customFormat="false" ht="15" hidden="false" customHeight="false" outlineLevel="0" collapsed="false">
      <c r="A15" s="4" t="str">
        <f aca="false">IF((AdvMonth+1+(8-1)*PeriodMonths)&lt;=Rel2Month,"PMT 9","")</f>
        <v>PMT 9</v>
      </c>
      <c r="B15" s="17" t="n">
        <f aca="false">IF((AdvMonth+1+(8-1)*PeriodMonths)&lt;=Rel2Month,EOMONTH(StartDate,MIN(AdvMonth+8*PeriodMonths,Rel2Month)),"")</f>
        <v>47208</v>
      </c>
      <c r="C15" s="4" t="str">
        <f aca="false">IF((AdvMonth+1+(8-1)*PeriodMonths)&lt;=Rel2Month,"M"&amp;(AdvMonth+1+(8-1)*PeriodMonths)&amp;" - M"&amp;MIN(AdvMonth+8*PeriodMonths,Rel2Month),"")</f>
        <v>M29 - M30</v>
      </c>
      <c r="D15" s="5" t="n">
        <f aca="false">IF((AdvMonth+1+(8-1)*PeriodMonths)&lt;=Rel2Month,SUMPRODUCT((' CASHFLOW'!$K$6:$AU$6&gt;=(AdvMonth+1+(8-1)*PeriodMonths))*(' CASHFLOW'!$K$6:$AU$6&lt;=MIN(AdvMonth+8*PeriodMonths,Rel2Month))*' CASHFLOW'!$K$38:$AU$38),"")</f>
        <v>156250</v>
      </c>
      <c r="E15" s="5" t="n">
        <f aca="false">IF((AdvMonth+1+(8-1)*PeriodMonths)&lt;=Rel2Month,E14+D15,"")</f>
        <v>6250000</v>
      </c>
    </row>
    <row r="16" customFormat="false" ht="15" hidden="false" customHeight="false" outlineLevel="0" collapsed="false">
      <c r="A16" s="4" t="str">
        <f aca="false">IF((AdvMonth+1+(9-1)*PeriodMonths)&lt;=Rel2Month,"PMT 10","")</f>
        <v/>
      </c>
      <c r="B16" s="17" t="str">
        <f aca="false">IF((AdvMonth+1+(9-1)*PeriodMonths)&lt;=Rel2Month,EOMONTH(StartDate,MIN(AdvMonth+9*PeriodMonths,Rel2Month)),"")</f>
        <v/>
      </c>
      <c r="C16" s="4" t="str">
        <f aca="false">IF((AdvMonth+1+(9-1)*PeriodMonths)&lt;=Rel2Month,"M"&amp;(AdvMonth+1+(9-1)*PeriodMonths)&amp;" - M"&amp;MIN(AdvMonth+9*PeriodMonths,Rel2Month),"")</f>
        <v/>
      </c>
      <c r="D16" s="5" t="str">
        <f aca="false">IF((AdvMonth+1+(9-1)*PeriodMonths)&lt;=Rel2Month,SUMPRODUCT((' CASHFLOW'!$K$6:$AU$6&gt;=(AdvMonth+1+(9-1)*PeriodMonths))*(' CASHFLOW'!$K$6:$AU$6&lt;=MIN(AdvMonth+9*PeriodMonths,Rel2Month))*' CASHFLOW'!$K$38:$AU$38),"")</f>
        <v/>
      </c>
      <c r="E16" s="5" t="str">
        <f aca="false">IF((AdvMonth+1+(9-1)*PeriodMonths)&lt;=Rel2Month,E15+D16,"")</f>
        <v/>
      </c>
    </row>
    <row r="17" customFormat="false" ht="15" hidden="false" customHeight="false" outlineLevel="0" collapsed="false">
      <c r="A17" s="4" t="str">
        <f aca="false">IF((AdvMonth+1+(10-1)*PeriodMonths)&lt;=Rel2Month,"PMT 11","")</f>
        <v/>
      </c>
      <c r="B17" s="17" t="str">
        <f aca="false">IF((AdvMonth+1+(10-1)*PeriodMonths)&lt;=Rel2Month,EOMONTH(StartDate,MIN(AdvMonth+10*PeriodMonths,Rel2Month)),"")</f>
        <v/>
      </c>
      <c r="C17" s="4" t="str">
        <f aca="false">IF((AdvMonth+1+(10-1)*PeriodMonths)&lt;=Rel2Month,"M"&amp;(AdvMonth+1+(10-1)*PeriodMonths)&amp;" - M"&amp;MIN(AdvMonth+10*PeriodMonths,Rel2Month),"")</f>
        <v/>
      </c>
      <c r="D17" s="5" t="str">
        <f aca="false">IF((AdvMonth+1+(10-1)*PeriodMonths)&lt;=Rel2Month,SUMPRODUCT((' CASHFLOW'!$K$6:$AU$6&gt;=(AdvMonth+1+(10-1)*PeriodMonths))*(' CASHFLOW'!$K$6:$AU$6&lt;=MIN(AdvMonth+10*PeriodMonths,Rel2Month))*' CASHFLOW'!$K$38:$AU$38),"")</f>
        <v/>
      </c>
      <c r="E17" s="5" t="str">
        <f aca="false">IF((AdvMonth+1+(10-1)*PeriodMonths)&lt;=Rel2Month,E16+D17,"")</f>
        <v/>
      </c>
    </row>
    <row r="18" customFormat="false" ht="15" hidden="false" customHeight="false" outlineLevel="0" collapsed="false">
      <c r="A18" s="4" t="str">
        <f aca="false">IF((AdvMonth+1+(11-1)*PeriodMonths)&lt;=Rel2Month,"PMT 12","")</f>
        <v/>
      </c>
      <c r="B18" s="17" t="str">
        <f aca="false">IF((AdvMonth+1+(11-1)*PeriodMonths)&lt;=Rel2Month,EOMONTH(StartDate,MIN(AdvMonth+11*PeriodMonths,Rel2Month)),"")</f>
        <v/>
      </c>
      <c r="C18" s="4" t="str">
        <f aca="false">IF((AdvMonth+1+(11-1)*PeriodMonths)&lt;=Rel2Month,"M"&amp;(AdvMonth+1+(11-1)*PeriodMonths)&amp;" - M"&amp;MIN(AdvMonth+11*PeriodMonths,Rel2Month),"")</f>
        <v/>
      </c>
      <c r="D18" s="5" t="str">
        <f aca="false">IF((AdvMonth+1+(11-1)*PeriodMonths)&lt;=Rel2Month,SUMPRODUCT((' CASHFLOW'!$K$6:$AU$6&gt;=(AdvMonth+1+(11-1)*PeriodMonths))*(' CASHFLOW'!$K$6:$AU$6&lt;=MIN(AdvMonth+11*PeriodMonths,Rel2Month))*' CASHFLOW'!$K$38:$AU$38),"")</f>
        <v/>
      </c>
      <c r="E18" s="5" t="str">
        <f aca="false">IF((AdvMonth+1+(11-1)*PeriodMonths)&lt;=Rel2Month,E17+D18,"")</f>
        <v/>
      </c>
    </row>
    <row r="19" customFormat="false" ht="15" hidden="false" customHeight="false" outlineLevel="0" collapsed="false">
      <c r="A19" s="4" t="str">
        <f aca="false">IF((AdvMonth+1+(12-1)*PeriodMonths)&lt;=Rel2Month,"PMT 13","")</f>
        <v/>
      </c>
      <c r="B19" s="17" t="str">
        <f aca="false">IF((AdvMonth+1+(12-1)*PeriodMonths)&lt;=Rel2Month,EOMONTH(StartDate,MIN(AdvMonth+12*PeriodMonths,Rel2Month)),"")</f>
        <v/>
      </c>
      <c r="C19" s="4" t="str">
        <f aca="false">IF((AdvMonth+1+(12-1)*PeriodMonths)&lt;=Rel2Month,"M"&amp;(AdvMonth+1+(12-1)*PeriodMonths)&amp;" - M"&amp;MIN(AdvMonth+12*PeriodMonths,Rel2Month),"")</f>
        <v/>
      </c>
      <c r="D19" s="5" t="str">
        <f aca="false">IF((AdvMonth+1+(12-1)*PeriodMonths)&lt;=Rel2Month,SUMPRODUCT((' CASHFLOW'!$K$6:$AU$6&gt;=(AdvMonth+1+(12-1)*PeriodMonths))*(' CASHFLOW'!$K$6:$AU$6&lt;=MIN(AdvMonth+12*PeriodMonths,Rel2Month))*' CASHFLOW'!$K$38:$AU$38),"")</f>
        <v/>
      </c>
      <c r="E19" s="5" t="str">
        <f aca="false">IF((AdvMonth+1+(12-1)*PeriodMonths)&lt;=Rel2Month,E18+D19,"")</f>
        <v/>
      </c>
    </row>
    <row r="20" customFormat="false" ht="15" hidden="false" customHeight="false" outlineLevel="0" collapsed="false">
      <c r="A20" s="18" t="s">
        <v>82</v>
      </c>
      <c r="B20" s="19"/>
      <c r="C20" s="18" t="s">
        <v>83</v>
      </c>
      <c r="D20" s="20" t="n">
        <f aca="false">SUM(D7:D19)</f>
        <v>6250000</v>
      </c>
      <c r="E20" s="20" t="n">
        <f aca="false">ROUND(D20-ContractSum,2)</f>
        <v>0</v>
      </c>
    </row>
    <row r="23" customFormat="false" ht="15" hidden="false" customHeight="false" outlineLevel="0" collapsed="false">
      <c r="A23" s="12" t="s">
        <v>84</v>
      </c>
    </row>
    <row r="24" customFormat="false" ht="41.75" hidden="false" customHeight="false" outlineLevel="0" collapsed="false">
      <c r="A24" s="16" t="s">
        <v>85</v>
      </c>
      <c r="B24" s="16" t="s">
        <v>86</v>
      </c>
      <c r="C24" s="16" t="s">
        <v>87</v>
      </c>
      <c r="D24" s="16" t="s">
        <v>88</v>
      </c>
      <c r="E24" s="16" t="s">
        <v>89</v>
      </c>
      <c r="F24" s="16" t="s">
        <v>90</v>
      </c>
    </row>
    <row r="25" customFormat="false" ht="15" hidden="false" customHeight="false" outlineLevel="0" collapsed="false">
      <c r="A25" s="21" t="n">
        <v>0</v>
      </c>
      <c r="B25" s="17" t="n">
        <f aca="false">EOMONTH(StartDate,A25)</f>
        <v>46295</v>
      </c>
      <c r="C25" s="5" t="n">
        <f aca="false">INDEX(' CASHFLOW'!$K$26:$AU$26,1,A25+1)</f>
        <v>0</v>
      </c>
      <c r="D25" s="5" t="n">
        <f aca="false">INDEX(' CASHFLOW'!$K$38:$AU$38,1,A25+1)</f>
        <v>1562500</v>
      </c>
      <c r="E25" s="5" t="n">
        <f aca="false">D25</f>
        <v>1562500</v>
      </c>
      <c r="F25" s="22" t="n">
        <f aca="false">E25/ContractSum</f>
        <v>0.25</v>
      </c>
    </row>
    <row r="26" customFormat="false" ht="15" hidden="false" customHeight="false" outlineLevel="0" collapsed="false">
      <c r="A26" s="21" t="n">
        <v>1</v>
      </c>
      <c r="B26" s="17" t="n">
        <f aca="false">EOMONTH(StartDate,A26)</f>
        <v>46326</v>
      </c>
      <c r="C26" s="5" t="n">
        <f aca="false">INDEX(' CASHFLOW'!$K$26:$AU$26,1,A26+1)</f>
        <v>467409.663526887</v>
      </c>
      <c r="D26" s="5" t="n">
        <f aca="false">INDEX(' CASHFLOW'!$K$38:$AU$38,1,A26+1)</f>
        <v>420668.697174198</v>
      </c>
      <c r="E26" s="5" t="n">
        <f aca="false">E25+D26</f>
        <v>1983168.6971742</v>
      </c>
      <c r="F26" s="22" t="n">
        <f aca="false">E26/ContractSum</f>
        <v>0.317306991547872</v>
      </c>
    </row>
    <row r="27" customFormat="false" ht="15" hidden="false" customHeight="false" outlineLevel="0" collapsed="false">
      <c r="A27" s="21" t="n">
        <v>2</v>
      </c>
      <c r="B27" s="17" t="n">
        <f aca="false">EOMONTH(StartDate,A27)</f>
        <v>46356</v>
      </c>
      <c r="C27" s="5" t="n">
        <f aca="false">INDEX(' CASHFLOW'!$K$26:$AU$26,1,A27+1)</f>
        <v>172216.586122585</v>
      </c>
      <c r="D27" s="5" t="n">
        <f aca="false">INDEX(' CASHFLOW'!$K$38:$AU$38,1,A27+1)</f>
        <v>154994.927510327</v>
      </c>
      <c r="E27" s="5" t="n">
        <f aca="false">E26+D27</f>
        <v>2138163.62468452</v>
      </c>
      <c r="F27" s="22" t="n">
        <f aca="false">E27/ContractSum</f>
        <v>0.342106179949524</v>
      </c>
    </row>
    <row r="28" customFormat="false" ht="15" hidden="false" customHeight="false" outlineLevel="0" collapsed="false">
      <c r="A28" s="21" t="n">
        <v>3</v>
      </c>
      <c r="B28" s="17" t="n">
        <f aca="false">EOMONTH(StartDate,A28)</f>
        <v>46387</v>
      </c>
      <c r="C28" s="5" t="n">
        <f aca="false">INDEX(' CASHFLOW'!$K$26:$AU$26,1,A28+1)</f>
        <v>236594.4606827</v>
      </c>
      <c r="D28" s="5" t="n">
        <f aca="false">INDEX(' CASHFLOW'!$K$38:$AU$38,1,A28+1)</f>
        <v>126129.459058874</v>
      </c>
      <c r="E28" s="5" t="n">
        <f aca="false">E27+D28</f>
        <v>2264293.0837434</v>
      </c>
      <c r="F28" s="22" t="n">
        <f aca="false">E28/ContractSum</f>
        <v>0.362286893398944</v>
      </c>
    </row>
    <row r="29" customFormat="false" ht="15" hidden="false" customHeight="false" outlineLevel="0" collapsed="false">
      <c r="A29" s="21" t="n">
        <v>4</v>
      </c>
      <c r="B29" s="17" t="n">
        <f aca="false">EOMONTH(StartDate,A29)</f>
        <v>46418</v>
      </c>
      <c r="C29" s="5" t="n">
        <f aca="false">INDEX(' CASHFLOW'!$K$26:$AU$26,1,A29+1)</f>
        <v>305814.852911892</v>
      </c>
      <c r="D29" s="5" t="n">
        <f aca="false">INDEX(' CASHFLOW'!$K$38:$AU$38,1,A29+1)</f>
        <v>188427.812065147</v>
      </c>
      <c r="E29" s="5" t="n">
        <f aca="false">E28+D29</f>
        <v>2452720.89580855</v>
      </c>
      <c r="F29" s="22" t="n">
        <f aca="false">E29/ContractSum</f>
        <v>0.392435343329367</v>
      </c>
    </row>
    <row r="30" customFormat="false" ht="15" hidden="false" customHeight="false" outlineLevel="0" collapsed="false">
      <c r="A30" s="21" t="n">
        <v>5</v>
      </c>
      <c r="B30" s="17" t="n">
        <f aca="false">EOMONTH(StartDate,A30)</f>
        <v>46446</v>
      </c>
      <c r="C30" s="5" t="n">
        <f aca="false">INDEX(' CASHFLOW'!$K$26:$AU$26,1,A30+1)</f>
        <v>211746.460391291</v>
      </c>
      <c r="D30" s="5" t="n">
        <f aca="false">INDEX(' CASHFLOW'!$K$38:$AU$38,1,A30+1)</f>
        <v>103766.258796607</v>
      </c>
      <c r="E30" s="5" t="n">
        <f aca="false">E29+D30</f>
        <v>2556487.15460515</v>
      </c>
      <c r="F30" s="22" t="n">
        <f aca="false">E30/ContractSum</f>
        <v>0.409037944736825</v>
      </c>
    </row>
    <row r="31" customFormat="false" ht="15" hidden="false" customHeight="false" outlineLevel="0" collapsed="false">
      <c r="A31" s="21" t="n">
        <v>6</v>
      </c>
      <c r="B31" s="17" t="n">
        <f aca="false">EOMONTH(StartDate,A31)</f>
        <v>46477</v>
      </c>
      <c r="C31" s="5" t="n">
        <f aca="false">INDEX(' CASHFLOW'!$K$26:$AU$26,1,A31+1)</f>
        <v>211746.460391291</v>
      </c>
      <c r="D31" s="5" t="n">
        <f aca="false">INDEX(' CASHFLOW'!$K$38:$AU$38,1,A31+1)</f>
        <v>103766.258796607</v>
      </c>
      <c r="E31" s="5" t="n">
        <f aca="false">E30+D31</f>
        <v>2660253.41340176</v>
      </c>
      <c r="F31" s="22" t="n">
        <f aca="false">E31/ContractSum</f>
        <v>0.425640546144282</v>
      </c>
    </row>
    <row r="32" customFormat="false" ht="15" hidden="false" customHeight="false" outlineLevel="0" collapsed="false">
      <c r="A32" s="21" t="n">
        <v>7</v>
      </c>
      <c r="B32" s="17" t="n">
        <f aca="false">EOMONTH(StartDate,A32)</f>
        <v>46507</v>
      </c>
      <c r="C32" s="5" t="n">
        <f aca="false">INDEX(' CASHFLOW'!$K$26:$AU$26,1,A32+1)</f>
        <v>209112.467930348</v>
      </c>
      <c r="D32" s="5" t="n">
        <f aca="false">INDEX(' CASHFLOW'!$K$38:$AU$38,1,A32+1)</f>
        <v>101395.665581758</v>
      </c>
      <c r="E32" s="5" t="n">
        <f aca="false">E31+D32</f>
        <v>2761649.07898352</v>
      </c>
      <c r="F32" s="22" t="n">
        <f aca="false">E32/ContractSum</f>
        <v>0.441863852637363</v>
      </c>
    </row>
    <row r="33" customFormat="false" ht="15" hidden="false" customHeight="false" outlineLevel="0" collapsed="false">
      <c r="A33" s="21" t="n">
        <v>8</v>
      </c>
      <c r="B33" s="17" t="n">
        <f aca="false">EOMONTH(StartDate,A33)</f>
        <v>46538</v>
      </c>
      <c r="C33" s="5" t="n">
        <f aca="false">INDEX(' CASHFLOW'!$K$26:$AU$26,1,A33+1)</f>
        <v>182295.802604002</v>
      </c>
      <c r="D33" s="5" t="n">
        <f aca="false">INDEX(' CASHFLOW'!$K$38:$AU$38,1,A33+1)</f>
        <v>77260.6667880463</v>
      </c>
      <c r="E33" s="5" t="n">
        <f aca="false">E32+D33</f>
        <v>2838909.74577156</v>
      </c>
      <c r="F33" s="22" t="n">
        <f aca="false">E33/ContractSum</f>
        <v>0.45422555932345</v>
      </c>
    </row>
    <row r="34" customFormat="false" ht="15" hidden="false" customHeight="false" outlineLevel="0" collapsed="false">
      <c r="A34" s="21" t="n">
        <v>9</v>
      </c>
      <c r="B34" s="17" t="n">
        <f aca="false">EOMONTH(StartDate,A34)</f>
        <v>46568</v>
      </c>
      <c r="C34" s="5" t="n">
        <f aca="false">INDEX(' CASHFLOW'!$K$26:$AU$26,1,A34+1)</f>
        <v>228778.022503002</v>
      </c>
      <c r="D34" s="5" t="n">
        <f aca="false">INDEX(' CASHFLOW'!$K$38:$AU$38,1,A34+1)</f>
        <v>119094.664697146</v>
      </c>
      <c r="E34" s="5" t="n">
        <f aca="false">E33+D34</f>
        <v>2958004.41046871</v>
      </c>
      <c r="F34" s="22" t="n">
        <f aca="false">E34/ContractSum</f>
        <v>0.473280705674994</v>
      </c>
    </row>
    <row r="35" customFormat="false" ht="15" hidden="false" customHeight="false" outlineLevel="0" collapsed="false">
      <c r="A35" s="21" t="n">
        <v>10</v>
      </c>
      <c r="B35" s="17" t="n">
        <f aca="false">EOMONTH(StartDate,A35)</f>
        <v>46599</v>
      </c>
      <c r="C35" s="5" t="n">
        <f aca="false">INDEX(' CASHFLOW'!$K$26:$AU$26,1,A35+1)</f>
        <v>193916.357578752</v>
      </c>
      <c r="D35" s="5" t="n">
        <f aca="false">INDEX(' CASHFLOW'!$K$38:$AU$38,1,A35+1)</f>
        <v>87719.1662653213</v>
      </c>
      <c r="E35" s="5" t="n">
        <f aca="false">E34+D35</f>
        <v>3045723.57673403</v>
      </c>
      <c r="F35" s="22" t="n">
        <f aca="false">E35/ContractSum</f>
        <v>0.487315772277445</v>
      </c>
    </row>
    <row r="36" customFormat="false" ht="15" hidden="false" customHeight="false" outlineLevel="0" collapsed="false">
      <c r="A36" s="21" t="n">
        <v>11</v>
      </c>
      <c r="B36" s="17" t="n">
        <f aca="false">EOMONTH(StartDate,A36)</f>
        <v>46630</v>
      </c>
      <c r="C36" s="5" t="n">
        <f aca="false">INDEX(' CASHFLOW'!$K$26:$AU$26,1,A36+1)</f>
        <v>240398.577477752</v>
      </c>
      <c r="D36" s="5" t="n">
        <f aca="false">INDEX(' CASHFLOW'!$K$38:$AU$38,1,A36+1)</f>
        <v>129553.164174421</v>
      </c>
      <c r="E36" s="5" t="n">
        <f aca="false">E35+D36</f>
        <v>3175276.74090845</v>
      </c>
      <c r="F36" s="22" t="n">
        <f aca="false">E36/ContractSum</f>
        <v>0.508044278545352</v>
      </c>
    </row>
    <row r="37" customFormat="false" ht="15" hidden="false" customHeight="false" outlineLevel="0" collapsed="false">
      <c r="A37" s="21" t="n">
        <v>12</v>
      </c>
      <c r="B37" s="17" t="n">
        <f aca="false">EOMONTH(StartDate,A37)</f>
        <v>46660</v>
      </c>
      <c r="C37" s="5" t="n">
        <f aca="false">INDEX(' CASHFLOW'!$K$26:$AU$26,1,A37+1)</f>
        <v>350368.622797781</v>
      </c>
      <c r="D37" s="5" t="n">
        <f aca="false">INDEX(' CASHFLOW'!$K$38:$AU$38,1,A37+1)</f>
        <v>228526.204962447</v>
      </c>
      <c r="E37" s="5" t="n">
        <f aca="false">E36+D37</f>
        <v>3403802.9458709</v>
      </c>
      <c r="F37" s="22" t="n">
        <f aca="false">E37/ContractSum</f>
        <v>0.544608471339344</v>
      </c>
    </row>
    <row r="38" customFormat="false" ht="15" hidden="false" customHeight="false" outlineLevel="0" collapsed="false">
      <c r="A38" s="21" t="n">
        <v>13</v>
      </c>
      <c r="B38" s="17" t="n">
        <f aca="false">EOMONTH(StartDate,A38)</f>
        <v>46691</v>
      </c>
      <c r="C38" s="5" t="n">
        <f aca="false">INDEX(' CASHFLOW'!$K$26:$AU$26,1,A38+1)</f>
        <v>388644.138021563</v>
      </c>
      <c r="D38" s="5" t="n">
        <f aca="false">INDEX(' CASHFLOW'!$K$38:$AU$38,1,A38+1)</f>
        <v>290378.415957835</v>
      </c>
      <c r="E38" s="5" t="n">
        <f aca="false">E37+D38</f>
        <v>3694181.36182873</v>
      </c>
      <c r="F38" s="22" t="n">
        <f aca="false">E38/ContractSum</f>
        <v>0.591069017892598</v>
      </c>
    </row>
    <row r="39" customFormat="false" ht="15" hidden="false" customHeight="false" outlineLevel="0" collapsed="false">
      <c r="A39" s="21" t="n">
        <v>14</v>
      </c>
      <c r="B39" s="17" t="n">
        <f aca="false">EOMONTH(StartDate,A39)</f>
        <v>46721</v>
      </c>
      <c r="C39" s="5" t="n">
        <f aca="false">INDEX(' CASHFLOW'!$K$26:$AU$26,1,A39+1)</f>
        <v>357655.99142223</v>
      </c>
      <c r="D39" s="5" t="n">
        <f aca="false">INDEX(' CASHFLOW'!$K$38:$AU$38,1,A39+1)</f>
        <v>270850.435866674</v>
      </c>
      <c r="E39" s="5" t="n">
        <f aca="false">E38+D39</f>
        <v>3965031.79769541</v>
      </c>
      <c r="F39" s="22" t="n">
        <f aca="false">E39/ContractSum</f>
        <v>0.634405087631265</v>
      </c>
    </row>
    <row r="40" customFormat="false" ht="15" hidden="false" customHeight="false" outlineLevel="0" collapsed="false">
      <c r="A40" s="21" t="n">
        <v>15</v>
      </c>
      <c r="B40" s="17" t="n">
        <f aca="false">EOMONTH(StartDate,A40)</f>
        <v>46752</v>
      </c>
      <c r="C40" s="5" t="n">
        <f aca="false">INDEX(' CASHFLOW'!$K$26:$AU$26,1,A40+1)</f>
        <v>284533.619094114</v>
      </c>
      <c r="D40" s="5" t="n">
        <f aca="false">INDEX(' CASHFLOW'!$K$38:$AU$38,1,A40+1)</f>
        <v>197728.063538558</v>
      </c>
      <c r="E40" s="5" t="n">
        <f aca="false">E39+D40</f>
        <v>4162759.86123397</v>
      </c>
      <c r="F40" s="22" t="n">
        <f aca="false">E40/ContractSum</f>
        <v>0.666041577797435</v>
      </c>
    </row>
    <row r="41" customFormat="false" ht="15" hidden="false" customHeight="false" outlineLevel="0" collapsed="false">
      <c r="A41" s="21" t="n">
        <v>16</v>
      </c>
      <c r="B41" s="17" t="n">
        <f aca="false">EOMONTH(StartDate,A41)</f>
        <v>46783</v>
      </c>
      <c r="C41" s="5" t="n">
        <f aca="false">INDEX(' CASHFLOW'!$K$26:$AU$26,1,A41+1)</f>
        <v>345508.275113309</v>
      </c>
      <c r="D41" s="5" t="n">
        <f aca="false">INDEX(' CASHFLOW'!$K$38:$AU$38,1,A41+1)</f>
        <v>258702.719557753</v>
      </c>
      <c r="E41" s="5" t="n">
        <f aca="false">E40+D41</f>
        <v>4421462.58079172</v>
      </c>
      <c r="F41" s="22" t="n">
        <f aca="false">E41/ContractSum</f>
        <v>0.707434012926675</v>
      </c>
    </row>
    <row r="42" customFormat="false" ht="15" hidden="false" customHeight="false" outlineLevel="0" collapsed="false">
      <c r="A42" s="21" t="n">
        <v>17</v>
      </c>
      <c r="B42" s="17" t="n">
        <f aca="false">EOMONTH(StartDate,A42)</f>
        <v>46812</v>
      </c>
      <c r="C42" s="5" t="n">
        <f aca="false">INDEX(' CASHFLOW'!$K$26:$AU$26,1,A42+1)</f>
        <v>257972.3505804</v>
      </c>
      <c r="D42" s="5" t="n">
        <f aca="false">INDEX(' CASHFLOW'!$K$38:$AU$38,1,A42+1)</f>
        <v>171166.795024844</v>
      </c>
      <c r="E42" s="5" t="n">
        <f aca="false">E41+D42</f>
        <v>4592629.37581656</v>
      </c>
      <c r="F42" s="22" t="n">
        <f aca="false">E42/ContractSum</f>
        <v>0.73482070013065</v>
      </c>
    </row>
    <row r="43" customFormat="false" ht="15" hidden="false" customHeight="false" outlineLevel="0" collapsed="false">
      <c r="A43" s="21" t="n">
        <v>18</v>
      </c>
      <c r="B43" s="17" t="n">
        <f aca="false">EOMONTH(StartDate,A43)</f>
        <v>46843</v>
      </c>
      <c r="C43" s="5" t="n">
        <f aca="false">INDEX(' CASHFLOW'!$K$26:$AU$26,1,A43+1)</f>
        <v>239379.4626208</v>
      </c>
      <c r="D43" s="5" t="n">
        <f aca="false">INDEX(' CASHFLOW'!$K$38:$AU$38,1,A43+1)</f>
        <v>152573.907065244</v>
      </c>
      <c r="E43" s="5" t="n">
        <f aca="false">E42+D43</f>
        <v>4745203.28288181</v>
      </c>
      <c r="F43" s="22" t="n">
        <f aca="false">E43/ContractSum</f>
        <v>0.759232525261089</v>
      </c>
    </row>
    <row r="44" customFormat="false" ht="15" hidden="false" customHeight="false" outlineLevel="0" collapsed="false">
      <c r="A44" s="21" t="n">
        <v>19</v>
      </c>
      <c r="B44" s="17" t="n">
        <f aca="false">EOMONTH(StartDate,A44)</f>
        <v>46873</v>
      </c>
      <c r="C44" s="5" t="n">
        <f aca="false">INDEX(' CASHFLOW'!$K$26:$AU$26,1,A44+1)</f>
        <v>284041.748670021</v>
      </c>
      <c r="D44" s="5" t="n">
        <f aca="false">INDEX(' CASHFLOW'!$K$38:$AU$38,1,A44+1)</f>
        <v>197236.193114465</v>
      </c>
      <c r="E44" s="5" t="n">
        <f aca="false">E43+D44</f>
        <v>4942439.47599627</v>
      </c>
      <c r="F44" s="22" t="n">
        <f aca="false">E44/ContractSum</f>
        <v>0.790790316159404</v>
      </c>
    </row>
    <row r="45" customFormat="false" ht="15" hidden="false" customHeight="false" outlineLevel="0" collapsed="false">
      <c r="A45" s="21" t="n">
        <v>20</v>
      </c>
      <c r="B45" s="17" t="n">
        <f aca="false">EOMONTH(StartDate,A45)</f>
        <v>46904</v>
      </c>
      <c r="C45" s="5" t="n">
        <f aca="false">INDEX(' CASHFLOW'!$K$26:$AU$26,1,A45+1)</f>
        <v>303859.066239029</v>
      </c>
      <c r="D45" s="5" t="n">
        <f aca="false">INDEX(' CASHFLOW'!$K$38:$AU$38,1,A45+1)</f>
        <v>217053.510683473</v>
      </c>
      <c r="E45" s="5" t="n">
        <f aca="false">E44+D45</f>
        <v>5159492.98667975</v>
      </c>
      <c r="F45" s="22" t="n">
        <f aca="false">E45/ContractSum</f>
        <v>0.825518877868759</v>
      </c>
    </row>
    <row r="46" customFormat="false" ht="15" hidden="false" customHeight="false" outlineLevel="0" collapsed="false">
      <c r="A46" s="21" t="n">
        <v>21</v>
      </c>
      <c r="B46" s="17" t="n">
        <f aca="false">EOMONTH(StartDate,A46)</f>
        <v>46934</v>
      </c>
      <c r="C46" s="5" t="n">
        <f aca="false">INDEX(' CASHFLOW'!$K$26:$AU$26,1,A46+1)</f>
        <v>295814.066641125</v>
      </c>
      <c r="D46" s="5" t="n">
        <f aca="false">INDEX(' CASHFLOW'!$K$38:$AU$38,1,A46+1)</f>
        <v>295814.066641125</v>
      </c>
      <c r="E46" s="5" t="n">
        <f aca="false">E45+D46</f>
        <v>5455307.05332087</v>
      </c>
      <c r="F46" s="22" t="n">
        <f aca="false">E46/ContractSum</f>
        <v>0.872849128531339</v>
      </c>
    </row>
    <row r="47" customFormat="false" ht="15" hidden="false" customHeight="false" outlineLevel="0" collapsed="false">
      <c r="A47" s="21" t="n">
        <v>22</v>
      </c>
      <c r="B47" s="17" t="n">
        <f aca="false">EOMONTH(StartDate,A47)</f>
        <v>46965</v>
      </c>
      <c r="C47" s="5" t="n">
        <f aca="false">INDEX(' CASHFLOW'!$K$26:$AU$26,1,A47+1)</f>
        <v>270248.845696675</v>
      </c>
      <c r="D47" s="5" t="n">
        <f aca="false">INDEX(' CASHFLOW'!$K$38:$AU$38,1,A47+1)</f>
        <v>270248.845696675</v>
      </c>
      <c r="E47" s="5" t="n">
        <f aca="false">E46+D47</f>
        <v>5725555.89901755</v>
      </c>
      <c r="F47" s="22" t="n">
        <f aca="false">E47/ContractSum</f>
        <v>0.916088943842808</v>
      </c>
    </row>
    <row r="48" customFormat="false" ht="15" hidden="false" customHeight="false" outlineLevel="0" collapsed="false">
      <c r="A48" s="21" t="n">
        <v>23</v>
      </c>
      <c r="B48" s="17" t="n">
        <f aca="false">EOMONTH(StartDate,A48)</f>
        <v>46996</v>
      </c>
      <c r="C48" s="5" t="n">
        <f aca="false">INDEX(' CASHFLOW'!$K$26:$AU$26,1,A48+1)</f>
        <v>175192.442720419</v>
      </c>
      <c r="D48" s="5" t="n">
        <f aca="false">INDEX(' CASHFLOW'!$K$38:$AU$38,1,A48+1)</f>
        <v>175192.442720419</v>
      </c>
      <c r="E48" s="5" t="n">
        <f aca="false">E47+D48</f>
        <v>5900748.34173797</v>
      </c>
      <c r="F48" s="22" t="n">
        <f aca="false">E48/ContractSum</f>
        <v>0.944119734678075</v>
      </c>
    </row>
    <row r="49" customFormat="false" ht="15" hidden="false" customHeight="false" outlineLevel="0" collapsed="false">
      <c r="A49" s="21" t="n">
        <v>24</v>
      </c>
      <c r="B49" s="17" t="n">
        <f aca="false">EOMONTH(StartDate,A49)</f>
        <v>47026</v>
      </c>
      <c r="C49" s="5" t="n">
        <f aca="false">INDEX(' CASHFLOW'!$K$26:$AU$26,1,A49+1)</f>
        <v>36751.6582620346</v>
      </c>
      <c r="D49" s="5" t="n">
        <f aca="false">INDEX(' CASHFLOW'!$K$38:$AU$38,1,A49+1)</f>
        <v>36751.6582620346</v>
      </c>
      <c r="E49" s="5" t="n">
        <f aca="false">E48+D49</f>
        <v>5937500</v>
      </c>
      <c r="F49" s="22" t="n">
        <f aca="false">E49/ContractSum</f>
        <v>0.95</v>
      </c>
    </row>
    <row r="50" customFormat="false" ht="15" hidden="false" customHeight="false" outlineLevel="0" collapsed="false">
      <c r="A50" s="21" t="n">
        <v>25</v>
      </c>
      <c r="B50" s="17" t="n">
        <f aca="false">EOMONTH(StartDate,A50)</f>
        <v>47057</v>
      </c>
      <c r="C50" s="5" t="n">
        <f aca="false">INDEX(' CASHFLOW'!$K$26:$AU$26,1,A50+1)</f>
        <v>0</v>
      </c>
      <c r="D50" s="5" t="n">
        <f aca="false">INDEX(' CASHFLOW'!$K$38:$AU$38,1,A50+1)</f>
        <v>156250</v>
      </c>
      <c r="E50" s="5" t="n">
        <f aca="false">E49+D50</f>
        <v>6093750</v>
      </c>
      <c r="F50" s="22" t="n">
        <f aca="false">E50/ContractSum</f>
        <v>0.975</v>
      </c>
    </row>
    <row r="51" customFormat="false" ht="15" hidden="false" customHeight="false" outlineLevel="0" collapsed="false">
      <c r="A51" s="21" t="n">
        <v>26</v>
      </c>
      <c r="B51" s="17" t="n">
        <f aca="false">EOMONTH(StartDate,A51)</f>
        <v>47087</v>
      </c>
      <c r="C51" s="5" t="n">
        <f aca="false">INDEX(' CASHFLOW'!$K$26:$AU$26,1,A51+1)</f>
        <v>0</v>
      </c>
      <c r="D51" s="5" t="n">
        <f aca="false">INDEX(' CASHFLOW'!$K$38:$AU$38,1,A51+1)</f>
        <v>0</v>
      </c>
      <c r="E51" s="5" t="n">
        <f aca="false">E50+D51</f>
        <v>6093750</v>
      </c>
      <c r="F51" s="22" t="n">
        <f aca="false">E51/ContractSum</f>
        <v>0.975</v>
      </c>
    </row>
    <row r="52" customFormat="false" ht="15" hidden="false" customHeight="false" outlineLevel="0" collapsed="false">
      <c r="A52" s="21" t="n">
        <v>27</v>
      </c>
      <c r="B52" s="17" t="n">
        <f aca="false">EOMONTH(StartDate,A52)</f>
        <v>47118</v>
      </c>
      <c r="C52" s="5" t="n">
        <f aca="false">INDEX(' CASHFLOW'!$K$26:$AU$26,1,A52+1)</f>
        <v>0</v>
      </c>
      <c r="D52" s="5" t="n">
        <f aca="false">INDEX(' CASHFLOW'!$K$38:$AU$38,1,A52+1)</f>
        <v>0</v>
      </c>
      <c r="E52" s="5" t="n">
        <f aca="false">E51+D52</f>
        <v>6093750</v>
      </c>
      <c r="F52" s="22" t="n">
        <f aca="false">E52/ContractSum</f>
        <v>0.975</v>
      </c>
    </row>
    <row r="53" customFormat="false" ht="15" hidden="false" customHeight="false" outlineLevel="0" collapsed="false">
      <c r="A53" s="21" t="n">
        <v>28</v>
      </c>
      <c r="B53" s="17" t="n">
        <f aca="false">EOMONTH(StartDate,A53)</f>
        <v>47149</v>
      </c>
      <c r="C53" s="5" t="n">
        <f aca="false">INDEX(' CASHFLOW'!$K$26:$AU$26,1,A53+1)</f>
        <v>0</v>
      </c>
      <c r="D53" s="5" t="n">
        <f aca="false">INDEX(' CASHFLOW'!$K$38:$AU$38,1,A53+1)</f>
        <v>0</v>
      </c>
      <c r="E53" s="5" t="n">
        <f aca="false">E52+D53</f>
        <v>6093750</v>
      </c>
      <c r="F53" s="22" t="n">
        <f aca="false">E53/ContractSum</f>
        <v>0.975</v>
      </c>
    </row>
    <row r="54" customFormat="false" ht="15" hidden="false" customHeight="false" outlineLevel="0" collapsed="false">
      <c r="A54" s="21" t="n">
        <v>29</v>
      </c>
      <c r="B54" s="17" t="n">
        <f aca="false">EOMONTH(StartDate,A54)</f>
        <v>47177</v>
      </c>
      <c r="C54" s="5" t="n">
        <f aca="false">INDEX(' CASHFLOW'!$K$26:$AU$26,1,A54+1)</f>
        <v>0</v>
      </c>
      <c r="D54" s="5" t="n">
        <f aca="false">INDEX(' CASHFLOW'!$K$38:$AU$38,1,A54+1)</f>
        <v>0</v>
      </c>
      <c r="E54" s="5" t="n">
        <f aca="false">E53+D54</f>
        <v>6093750</v>
      </c>
      <c r="F54" s="22" t="n">
        <f aca="false">E54/ContractSum</f>
        <v>0.975</v>
      </c>
    </row>
    <row r="55" customFormat="false" ht="15" hidden="false" customHeight="false" outlineLevel="0" collapsed="false">
      <c r="A55" s="21" t="n">
        <v>30</v>
      </c>
      <c r="B55" s="17" t="n">
        <f aca="false">EOMONTH(StartDate,A55)</f>
        <v>47208</v>
      </c>
      <c r="C55" s="5" t="n">
        <f aca="false">INDEX(' CASHFLOW'!$K$26:$AU$26,1,A55+1)</f>
        <v>0</v>
      </c>
      <c r="D55" s="5" t="n">
        <f aca="false">INDEX(' CASHFLOW'!$K$38:$AU$38,1,A55+1)</f>
        <v>156250</v>
      </c>
      <c r="E55" s="5" t="n">
        <f aca="false">E54+D55</f>
        <v>6250000</v>
      </c>
      <c r="F55" s="22" t="n">
        <f aca="false">E55/ContractSum</f>
        <v>1</v>
      </c>
    </row>
    <row r="56" customFormat="false" ht="15" hidden="false" customHeight="false" outlineLevel="0" collapsed="false">
      <c r="A56" s="21" t="n">
        <v>31</v>
      </c>
      <c r="B56" s="17" t="n">
        <f aca="false">EOMONTH(StartDate,A56)</f>
        <v>47238</v>
      </c>
      <c r="C56" s="5" t="n">
        <f aca="false">INDEX(' CASHFLOW'!$K$26:$AU$26,1,A56+1)</f>
        <v>0</v>
      </c>
      <c r="D56" s="5" t="n">
        <f aca="false">INDEX(' CASHFLOW'!$K$38:$AU$38,1,A56+1)</f>
        <v>0</v>
      </c>
      <c r="E56" s="5" t="n">
        <f aca="false">E55+D56</f>
        <v>6250000</v>
      </c>
      <c r="F56" s="22" t="n">
        <f aca="false">E56/ContractSum</f>
        <v>1</v>
      </c>
    </row>
    <row r="57" customFormat="false" ht="15" hidden="false" customHeight="false" outlineLevel="0" collapsed="false">
      <c r="A57" s="21" t="n">
        <v>32</v>
      </c>
      <c r="B57" s="17" t="n">
        <f aca="false">EOMONTH(StartDate,A57)</f>
        <v>47269</v>
      </c>
      <c r="C57" s="5" t="n">
        <f aca="false">INDEX(' CASHFLOW'!$K$26:$AU$26,1,A57+1)</f>
        <v>0</v>
      </c>
      <c r="D57" s="5" t="n">
        <f aca="false">INDEX(' CASHFLOW'!$K$38:$AU$38,1,A57+1)</f>
        <v>0</v>
      </c>
      <c r="E57" s="5" t="n">
        <f aca="false">E56+D57</f>
        <v>6250000</v>
      </c>
      <c r="F57" s="22" t="n">
        <f aca="false">E57/ContractSum</f>
        <v>1</v>
      </c>
    </row>
    <row r="58" customFormat="false" ht="15" hidden="false" customHeight="false" outlineLevel="0" collapsed="false">
      <c r="A58" s="21" t="n">
        <v>33</v>
      </c>
      <c r="B58" s="17" t="n">
        <f aca="false">EOMONTH(StartDate,A58)</f>
        <v>47299</v>
      </c>
      <c r="C58" s="5" t="n">
        <f aca="false">INDEX(' CASHFLOW'!$K$26:$AU$26,1,A58+1)</f>
        <v>0</v>
      </c>
      <c r="D58" s="5" t="n">
        <f aca="false">INDEX(' CASHFLOW'!$K$38:$AU$38,1,A58+1)</f>
        <v>0</v>
      </c>
      <c r="E58" s="5" t="n">
        <f aca="false">E57+D58</f>
        <v>6250000</v>
      </c>
      <c r="F58" s="22" t="n">
        <f aca="false">E58/ContractSum</f>
        <v>1</v>
      </c>
    </row>
    <row r="59" customFormat="false" ht="15" hidden="false" customHeight="false" outlineLevel="0" collapsed="false">
      <c r="A59" s="21" t="n">
        <v>34</v>
      </c>
      <c r="B59" s="17" t="n">
        <f aca="false">EOMONTH(StartDate,A59)</f>
        <v>47330</v>
      </c>
      <c r="C59" s="5" t="n">
        <f aca="false">INDEX(' CASHFLOW'!$K$26:$AU$26,1,A59+1)</f>
        <v>0</v>
      </c>
      <c r="D59" s="5" t="n">
        <f aca="false">INDEX(' CASHFLOW'!$K$38:$AU$38,1,A59+1)</f>
        <v>0</v>
      </c>
      <c r="E59" s="5" t="n">
        <f aca="false">E58+D59</f>
        <v>6250000</v>
      </c>
      <c r="F59" s="22" t="n">
        <f aca="false">E59/ContractSum</f>
        <v>1</v>
      </c>
    </row>
    <row r="60" customFormat="false" ht="15" hidden="false" customHeight="false" outlineLevel="0" collapsed="false">
      <c r="A60" s="21" t="n">
        <v>35</v>
      </c>
      <c r="B60" s="17" t="n">
        <f aca="false">EOMONTH(StartDate,A60)</f>
        <v>47361</v>
      </c>
      <c r="C60" s="5" t="n">
        <f aca="false">INDEX(' CASHFLOW'!$K$26:$AU$26,1,A60+1)</f>
        <v>0</v>
      </c>
      <c r="D60" s="5" t="n">
        <f aca="false">INDEX(' CASHFLOW'!$K$38:$AU$38,1,A60+1)</f>
        <v>0</v>
      </c>
      <c r="E60" s="5" t="n">
        <f aca="false">E59+D60</f>
        <v>6250000</v>
      </c>
      <c r="F60" s="22" t="n">
        <f aca="false">E60/ContractSum</f>
        <v>1</v>
      </c>
    </row>
    <row r="61" customFormat="false" ht="15" hidden="false" customHeight="false" outlineLevel="0" collapsed="false">
      <c r="A61" s="21" t="n">
        <v>36</v>
      </c>
      <c r="B61" s="17" t="n">
        <f aca="false">EOMONTH(StartDate,A61)</f>
        <v>47391</v>
      </c>
      <c r="C61" s="5" t="n">
        <f aca="false">INDEX(' CASHFLOW'!$K$26:$AU$26,1,A61+1)</f>
        <v>0</v>
      </c>
      <c r="D61" s="5" t="n">
        <f aca="false">INDEX(' CASHFLOW'!$K$38:$AU$38,1,A61+1)</f>
        <v>0</v>
      </c>
      <c r="E61" s="5" t="n">
        <f aca="false">E60+D61</f>
        <v>6250000</v>
      </c>
      <c r="F61" s="22" t="n">
        <f aca="false">E61/ContractSum</f>
        <v>1</v>
      </c>
    </row>
    <row r="62" customFormat="false" ht="15" hidden="false" customHeight="false" outlineLevel="0" collapsed="false">
      <c r="A62" s="23" t="s">
        <v>91</v>
      </c>
      <c r="B62" s="23"/>
      <c r="C62" s="24" t="n">
        <f aca="false">SUM(C25:C61)</f>
        <v>6250000</v>
      </c>
      <c r="D62" s="24" t="n">
        <f aca="false">SUM(D25:D61)</f>
        <v>6250000</v>
      </c>
      <c r="E62" s="23"/>
      <c r="F62" s="23"/>
    </row>
  </sheetData>
  <conditionalFormatting sqref="A25:F61">
    <cfRule type="expression" priority="2" aboveAverage="0" equalAverage="0" bottom="0" percent="0" rank="0" text="" dxfId="2">
      <formula>$A25&gt;Rel2Month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0" ySplit="7" topLeftCell="K8" activePane="bottomRight" state="frozen"/>
      <selection pane="topLeft" activeCell="A1" activeCellId="0" sqref="A1"/>
      <selection pane="topRight" activeCell="K1" activeCellId="0" sqref="K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3" min="3" style="0" width="15"/>
    <col collapsed="false" customWidth="true" hidden="false" outlineLevel="0" max="9" min="4" style="0" width="9.51"/>
    <col collapsed="false" customWidth="true" hidden="false" outlineLevel="0" max="10" min="10" style="0" width="2"/>
    <col collapsed="false" customWidth="true" hidden="false" outlineLevel="0" max="47" min="11" style="0" width="12.5"/>
    <col collapsed="false" customWidth="true" hidden="false" outlineLevel="0" max="48" min="48" style="0" width="15"/>
    <col collapsed="false" customWidth="true" hidden="false" outlineLevel="0" max="49" min="49" style="0" width="13"/>
    <col collapsed="false" customWidth="true" hidden="false" outlineLevel="0" max="50" min="50" style="0" width="9"/>
  </cols>
  <sheetData>
    <row r="1" customFormat="false" ht="15" hidden="false" customHeight="false" outlineLevel="0" collapsed="false">
      <c r="A1" s="12" t="s">
        <v>92</v>
      </c>
    </row>
    <row r="2" customFormat="false" ht="15" hidden="false" customHeight="false" outlineLevel="0" collapsed="false">
      <c r="A2" s="12" t="s">
        <v>93</v>
      </c>
    </row>
    <row r="3" customFormat="false" ht="15" hidden="false" customHeight="false" outlineLevel="0" collapsed="false">
      <c r="A3" s="12" t="str">
        <f aca="false">"CASH FLOW FORECAST - CONTRACT SUM US$ "&amp;TEXT(ContractSum,"#,##0.00")&amp;" - "&amp;TEXT(StartDate,"dd mmm yyyy")&amp;" TO "&amp;TEXT(CompletionDate,"dd mmm yyyy")&amp;", DLP TO "&amp;TEXT(DLPEndDate,"mmm yyyy")</f>
        <v>CASH FLOW FORECAST - CONTRACT SUM US$ 6,250,000.00 - 30 Sep 2026 TO 30 Sep 2028, DLP TO Mar 2029</v>
      </c>
    </row>
    <row r="5" customFormat="false" ht="45" hidden="false" customHeight="true" outlineLevel="0" collapsed="false">
      <c r="A5" s="16" t="s">
        <v>94</v>
      </c>
      <c r="B5" s="16" t="s">
        <v>3</v>
      </c>
      <c r="C5" s="16" t="s">
        <v>79</v>
      </c>
      <c r="D5" s="16" t="s">
        <v>95</v>
      </c>
      <c r="E5" s="16" t="s">
        <v>96</v>
      </c>
      <c r="F5" s="16" t="s">
        <v>97</v>
      </c>
      <c r="G5" s="16" t="s">
        <v>98</v>
      </c>
      <c r="H5" s="16" t="s">
        <v>99</v>
      </c>
      <c r="I5" s="16" t="s">
        <v>100</v>
      </c>
      <c r="J5" s="16"/>
      <c r="K5" s="16" t="s">
        <v>101</v>
      </c>
      <c r="L5" s="16" t="s">
        <v>102</v>
      </c>
      <c r="M5" s="16" t="s">
        <v>103</v>
      </c>
      <c r="N5" s="16" t="s">
        <v>104</v>
      </c>
      <c r="O5" s="16" t="s">
        <v>105</v>
      </c>
      <c r="P5" s="16" t="s">
        <v>106</v>
      </c>
      <c r="Q5" s="16" t="s">
        <v>107</v>
      </c>
      <c r="R5" s="16" t="s">
        <v>108</v>
      </c>
      <c r="S5" s="16" t="s">
        <v>109</v>
      </c>
      <c r="T5" s="16" t="s">
        <v>110</v>
      </c>
      <c r="U5" s="16" t="s">
        <v>111</v>
      </c>
      <c r="V5" s="16" t="s">
        <v>112</v>
      </c>
      <c r="W5" s="16" t="s">
        <v>113</v>
      </c>
      <c r="X5" s="16" t="s">
        <v>114</v>
      </c>
      <c r="Y5" s="16" t="s">
        <v>115</v>
      </c>
      <c r="Z5" s="16" t="s">
        <v>116</v>
      </c>
      <c r="AA5" s="16" t="s">
        <v>117</v>
      </c>
      <c r="AB5" s="16" t="s">
        <v>118</v>
      </c>
      <c r="AC5" s="16" t="s">
        <v>119</v>
      </c>
      <c r="AD5" s="16" t="s">
        <v>120</v>
      </c>
      <c r="AE5" s="16" t="s">
        <v>121</v>
      </c>
      <c r="AF5" s="16" t="s">
        <v>122</v>
      </c>
      <c r="AG5" s="16" t="s">
        <v>123</v>
      </c>
      <c r="AH5" s="16" t="s">
        <v>124</v>
      </c>
      <c r="AI5" s="16" t="s">
        <v>125</v>
      </c>
      <c r="AJ5" s="16" t="s">
        <v>126</v>
      </c>
      <c r="AK5" s="16" t="s">
        <v>127</v>
      </c>
      <c r="AL5" s="16" t="s">
        <v>128</v>
      </c>
      <c r="AM5" s="16" t="s">
        <v>129</v>
      </c>
      <c r="AN5" s="16" t="s">
        <v>130</v>
      </c>
      <c r="AO5" s="16" t="s">
        <v>131</v>
      </c>
      <c r="AP5" s="16" t="s">
        <v>132</v>
      </c>
      <c r="AQ5" s="16" t="s">
        <v>133</v>
      </c>
      <c r="AR5" s="16" t="s">
        <v>134</v>
      </c>
      <c r="AS5" s="16" t="s">
        <v>135</v>
      </c>
      <c r="AT5" s="16" t="s">
        <v>136</v>
      </c>
      <c r="AU5" s="16" t="s">
        <v>137</v>
      </c>
      <c r="AV5" s="16" t="s">
        <v>91</v>
      </c>
      <c r="AW5" s="16" t="s">
        <v>138</v>
      </c>
      <c r="AX5" s="16" t="s">
        <v>139</v>
      </c>
    </row>
    <row r="6" customFormat="false" ht="15" hidden="false" customHeight="false" outlineLevel="0" collapsed="false">
      <c r="A6" s="25"/>
      <c r="B6" s="25" t="s">
        <v>140</v>
      </c>
      <c r="C6" s="25"/>
      <c r="D6" s="25"/>
      <c r="E6" s="25"/>
      <c r="F6" s="25"/>
      <c r="G6" s="25"/>
      <c r="H6" s="25"/>
      <c r="I6" s="25"/>
      <c r="J6" s="25"/>
      <c r="K6" s="26" t="n">
        <v>0</v>
      </c>
      <c r="L6" s="26" t="n">
        <f aca="false">K6+1</f>
        <v>1</v>
      </c>
      <c r="M6" s="26" t="n">
        <f aca="false">L6+1</f>
        <v>2</v>
      </c>
      <c r="N6" s="26" t="n">
        <f aca="false">M6+1</f>
        <v>3</v>
      </c>
      <c r="O6" s="26" t="n">
        <f aca="false">N6+1</f>
        <v>4</v>
      </c>
      <c r="P6" s="26" t="n">
        <f aca="false">O6+1</f>
        <v>5</v>
      </c>
      <c r="Q6" s="26" t="n">
        <f aca="false">P6+1</f>
        <v>6</v>
      </c>
      <c r="R6" s="26" t="n">
        <f aca="false">Q6+1</f>
        <v>7</v>
      </c>
      <c r="S6" s="26" t="n">
        <f aca="false">R6+1</f>
        <v>8</v>
      </c>
      <c r="T6" s="26" t="n">
        <f aca="false">S6+1</f>
        <v>9</v>
      </c>
      <c r="U6" s="26" t="n">
        <f aca="false">T6+1</f>
        <v>10</v>
      </c>
      <c r="V6" s="26" t="n">
        <f aca="false">U6+1</f>
        <v>11</v>
      </c>
      <c r="W6" s="26" t="n">
        <f aca="false">V6+1</f>
        <v>12</v>
      </c>
      <c r="X6" s="26" t="n">
        <f aca="false">W6+1</f>
        <v>13</v>
      </c>
      <c r="Y6" s="26" t="n">
        <f aca="false">X6+1</f>
        <v>14</v>
      </c>
      <c r="Z6" s="26" t="n">
        <f aca="false">Y6+1</f>
        <v>15</v>
      </c>
      <c r="AA6" s="26" t="n">
        <f aca="false">Z6+1</f>
        <v>16</v>
      </c>
      <c r="AB6" s="26" t="n">
        <f aca="false">AA6+1</f>
        <v>17</v>
      </c>
      <c r="AC6" s="26" t="n">
        <f aca="false">AB6+1</f>
        <v>18</v>
      </c>
      <c r="AD6" s="26" t="n">
        <f aca="false">AC6+1</f>
        <v>19</v>
      </c>
      <c r="AE6" s="26" t="n">
        <f aca="false">AD6+1</f>
        <v>20</v>
      </c>
      <c r="AF6" s="26" t="n">
        <f aca="false">AE6+1</f>
        <v>21</v>
      </c>
      <c r="AG6" s="26" t="n">
        <f aca="false">AF6+1</f>
        <v>22</v>
      </c>
      <c r="AH6" s="26" t="n">
        <f aca="false">AG6+1</f>
        <v>23</v>
      </c>
      <c r="AI6" s="26" t="n">
        <f aca="false">AH6+1</f>
        <v>24</v>
      </c>
      <c r="AJ6" s="26" t="n">
        <f aca="false">AI6+1</f>
        <v>25</v>
      </c>
      <c r="AK6" s="26" t="n">
        <f aca="false">AJ6+1</f>
        <v>26</v>
      </c>
      <c r="AL6" s="26" t="n">
        <f aca="false">AK6+1</f>
        <v>27</v>
      </c>
      <c r="AM6" s="26" t="n">
        <f aca="false">AL6+1</f>
        <v>28</v>
      </c>
      <c r="AN6" s="26" t="n">
        <f aca="false">AM6+1</f>
        <v>29</v>
      </c>
      <c r="AO6" s="26" t="n">
        <f aca="false">AN6+1</f>
        <v>30</v>
      </c>
      <c r="AP6" s="26" t="n">
        <f aca="false">AO6+1</f>
        <v>31</v>
      </c>
      <c r="AQ6" s="26" t="n">
        <f aca="false">AP6+1</f>
        <v>32</v>
      </c>
      <c r="AR6" s="26" t="n">
        <f aca="false">AQ6+1</f>
        <v>33</v>
      </c>
      <c r="AS6" s="26" t="n">
        <f aca="false">AR6+1</f>
        <v>34</v>
      </c>
      <c r="AT6" s="26" t="n">
        <f aca="false">AS6+1</f>
        <v>35</v>
      </c>
      <c r="AU6" s="26" t="n">
        <f aca="false">AT6+1</f>
        <v>36</v>
      </c>
      <c r="AV6" s="25"/>
      <c r="AW6" s="25"/>
      <c r="AX6" s="25"/>
    </row>
    <row r="7" customFormat="false" ht="15" hidden="false" customHeight="false" outlineLevel="0" collapsed="false">
      <c r="A7" s="25"/>
      <c r="B7" s="25" t="s">
        <v>141</v>
      </c>
      <c r="C7" s="25"/>
      <c r="D7" s="25"/>
      <c r="E7" s="25"/>
      <c r="F7" s="25"/>
      <c r="G7" s="25"/>
      <c r="H7" s="25"/>
      <c r="I7" s="25"/>
      <c r="J7" s="25"/>
      <c r="K7" s="27" t="n">
        <f aca="false">EOMONTH(StartDate,K$6)</f>
        <v>46295</v>
      </c>
      <c r="L7" s="27" t="n">
        <f aca="false">EOMONTH(StartDate,L$6)</f>
        <v>46326</v>
      </c>
      <c r="M7" s="27" t="n">
        <f aca="false">EOMONTH(StartDate,M$6)</f>
        <v>46356</v>
      </c>
      <c r="N7" s="27" t="n">
        <f aca="false">EOMONTH(StartDate,N$6)</f>
        <v>46387</v>
      </c>
      <c r="O7" s="27" t="n">
        <f aca="false">EOMONTH(StartDate,O$6)</f>
        <v>46418</v>
      </c>
      <c r="P7" s="27" t="n">
        <f aca="false">EOMONTH(StartDate,P$6)</f>
        <v>46446</v>
      </c>
      <c r="Q7" s="27" t="n">
        <f aca="false">EOMONTH(StartDate,Q$6)</f>
        <v>46477</v>
      </c>
      <c r="R7" s="27" t="n">
        <f aca="false">EOMONTH(StartDate,R$6)</f>
        <v>46507</v>
      </c>
      <c r="S7" s="27" t="n">
        <f aca="false">EOMONTH(StartDate,S$6)</f>
        <v>46538</v>
      </c>
      <c r="T7" s="27" t="n">
        <f aca="false">EOMONTH(StartDate,T$6)</f>
        <v>46568</v>
      </c>
      <c r="U7" s="27" t="n">
        <f aca="false">EOMONTH(StartDate,U$6)</f>
        <v>46599</v>
      </c>
      <c r="V7" s="27" t="n">
        <f aca="false">EOMONTH(StartDate,V$6)</f>
        <v>46630</v>
      </c>
      <c r="W7" s="27" t="n">
        <f aca="false">EOMONTH(StartDate,W$6)</f>
        <v>46660</v>
      </c>
      <c r="X7" s="27" t="n">
        <f aca="false">EOMONTH(StartDate,X$6)</f>
        <v>46691</v>
      </c>
      <c r="Y7" s="27" t="n">
        <f aca="false">EOMONTH(StartDate,Y$6)</f>
        <v>46721</v>
      </c>
      <c r="Z7" s="27" t="n">
        <f aca="false">EOMONTH(StartDate,Z$6)</f>
        <v>46752</v>
      </c>
      <c r="AA7" s="27" t="n">
        <f aca="false">EOMONTH(StartDate,AA$6)</f>
        <v>46783</v>
      </c>
      <c r="AB7" s="27" t="n">
        <f aca="false">EOMONTH(StartDate,AB$6)</f>
        <v>46812</v>
      </c>
      <c r="AC7" s="27" t="n">
        <f aca="false">EOMONTH(StartDate,AC$6)</f>
        <v>46843</v>
      </c>
      <c r="AD7" s="27" t="n">
        <f aca="false">EOMONTH(StartDate,AD$6)</f>
        <v>46873</v>
      </c>
      <c r="AE7" s="27" t="n">
        <f aca="false">EOMONTH(StartDate,AE$6)</f>
        <v>46904</v>
      </c>
      <c r="AF7" s="27" t="n">
        <f aca="false">EOMONTH(StartDate,AF$6)</f>
        <v>46934</v>
      </c>
      <c r="AG7" s="27" t="n">
        <f aca="false">EOMONTH(StartDate,AG$6)</f>
        <v>46965</v>
      </c>
      <c r="AH7" s="27" t="n">
        <f aca="false">EOMONTH(StartDate,AH$6)</f>
        <v>46996</v>
      </c>
      <c r="AI7" s="27" t="n">
        <f aca="false">EOMONTH(StartDate,AI$6)</f>
        <v>47026</v>
      </c>
      <c r="AJ7" s="27" t="n">
        <f aca="false">EOMONTH(StartDate,AJ$6)</f>
        <v>47057</v>
      </c>
      <c r="AK7" s="27" t="n">
        <f aca="false">EOMONTH(StartDate,AK$6)</f>
        <v>47087</v>
      </c>
      <c r="AL7" s="27" t="n">
        <f aca="false">EOMONTH(StartDate,AL$6)</f>
        <v>47118</v>
      </c>
      <c r="AM7" s="27" t="n">
        <f aca="false">EOMONTH(StartDate,AM$6)</f>
        <v>47149</v>
      </c>
      <c r="AN7" s="27" t="n">
        <f aca="false">EOMONTH(StartDate,AN$6)</f>
        <v>47177</v>
      </c>
      <c r="AO7" s="27" t="n">
        <f aca="false">EOMONTH(StartDate,AO$6)</f>
        <v>47208</v>
      </c>
      <c r="AP7" s="27" t="n">
        <f aca="false">EOMONTH(StartDate,AP$6)</f>
        <v>47238</v>
      </c>
      <c r="AQ7" s="27" t="n">
        <f aca="false">EOMONTH(StartDate,AQ$6)</f>
        <v>47269</v>
      </c>
      <c r="AR7" s="27" t="n">
        <f aca="false">EOMONTH(StartDate,AR$6)</f>
        <v>47299</v>
      </c>
      <c r="AS7" s="27" t="n">
        <f aca="false">EOMONTH(StartDate,AS$6)</f>
        <v>47330</v>
      </c>
      <c r="AT7" s="27" t="n">
        <f aca="false">EOMONTH(StartDate,AT$6)</f>
        <v>47361</v>
      </c>
      <c r="AU7" s="27" t="n">
        <f aca="false">EOMONTH(StartDate,AU$6)</f>
        <v>47391</v>
      </c>
      <c r="AV7" s="25"/>
      <c r="AW7" s="25"/>
      <c r="AX7" s="25"/>
    </row>
    <row r="9" customFormat="false" ht="15" hidden="false" customHeight="false" outlineLevel="0" collapsed="false">
      <c r="A9" s="0" t="str">
        <f aca="false">'GEN SUMMARY'!A7</f>
        <v>A</v>
      </c>
      <c r="B9" s="0" t="str">
        <f aca="false">TRIM('GEN SUMMARY'!B7)</f>
        <v>PRELIMINARIES AND GENERAL ITEMS</v>
      </c>
      <c r="C9" s="14" t="n">
        <f aca="false">'GEN SUMMARY'!H7</f>
        <v>387313.097308415</v>
      </c>
      <c r="D9" s="28" t="n">
        <v>1</v>
      </c>
      <c r="E9" s="28" t="n">
        <v>1</v>
      </c>
      <c r="F9" s="29" t="n">
        <v>0.5</v>
      </c>
      <c r="G9" s="28" t="n">
        <v>2</v>
      </c>
      <c r="H9" s="28" t="n">
        <v>23</v>
      </c>
      <c r="I9" s="30" t="n">
        <f aca="false">1-F9</f>
        <v>0.5</v>
      </c>
      <c r="K9" s="14" t="n">
        <f aca="false">IF(AND($E9&gt;0,K$6&gt;=$D9,K$6&lt;$D9+$E9),$C9*$F9/$E9,0)+IF(AND($H9&gt;0,K$6&gt;=$G9,K$6&lt;$G9+$H9),$C9*$I9/$H9,0)</f>
        <v>0</v>
      </c>
      <c r="L9" s="14" t="n">
        <f aca="false">IF(AND($E9&gt;0,L$6&gt;=$D9,L$6&lt;$D9+$E9),$C9*$F9/$E9,0)+IF(AND($H9&gt;0,L$6&gt;=$G9,L$6&lt;$G9+$H9),$C9*$I9/$H9,0)</f>
        <v>193656.548654207</v>
      </c>
      <c r="M9" s="14" t="n">
        <f aca="false">IF(AND($E9&gt;0,M$6&gt;=$D9,M$6&lt;$D9+$E9),$C9*$F9/$E9,0)+IF(AND($H9&gt;0,M$6&gt;=$G9,M$6&lt;$G9+$H9),$C9*$I9/$H9,0)</f>
        <v>8419.84994148728</v>
      </c>
      <c r="N9" s="14" t="n">
        <f aca="false">IF(AND($E9&gt;0,N$6&gt;=$D9,N$6&lt;$D9+$E9),$C9*$F9/$E9,0)+IF(AND($H9&gt;0,N$6&gt;=$G9,N$6&lt;$G9+$H9),$C9*$I9/$H9,0)</f>
        <v>8419.84994148728</v>
      </c>
      <c r="O9" s="14" t="n">
        <f aca="false">IF(AND($E9&gt;0,O$6&gt;=$D9,O$6&lt;$D9+$E9),$C9*$F9/$E9,0)+IF(AND($H9&gt;0,O$6&gt;=$G9,O$6&lt;$G9+$H9),$C9*$I9/$H9,0)</f>
        <v>8419.84994148728</v>
      </c>
      <c r="P9" s="14" t="n">
        <f aca="false">IF(AND($E9&gt;0,P$6&gt;=$D9,P$6&lt;$D9+$E9),$C9*$F9/$E9,0)+IF(AND($H9&gt;0,P$6&gt;=$G9,P$6&lt;$G9+$H9),$C9*$I9/$H9,0)</f>
        <v>8419.84994148728</v>
      </c>
      <c r="Q9" s="14" t="n">
        <f aca="false">IF(AND($E9&gt;0,Q$6&gt;=$D9,Q$6&lt;$D9+$E9),$C9*$F9/$E9,0)+IF(AND($H9&gt;0,Q$6&gt;=$G9,Q$6&lt;$G9+$H9),$C9*$I9/$H9,0)</f>
        <v>8419.84994148728</v>
      </c>
      <c r="R9" s="14" t="n">
        <f aca="false">IF(AND($E9&gt;0,R$6&gt;=$D9,R$6&lt;$D9+$E9),$C9*$F9/$E9,0)+IF(AND($H9&gt;0,R$6&gt;=$G9,R$6&lt;$G9+$H9),$C9*$I9/$H9,0)</f>
        <v>8419.84994148728</v>
      </c>
      <c r="S9" s="14" t="n">
        <f aca="false">IF(AND($E9&gt;0,S$6&gt;=$D9,S$6&lt;$D9+$E9),$C9*$F9/$E9,0)+IF(AND($H9&gt;0,S$6&gt;=$G9,S$6&lt;$G9+$H9),$C9*$I9/$H9,0)</f>
        <v>8419.84994148728</v>
      </c>
      <c r="T9" s="14" t="n">
        <f aca="false">IF(AND($E9&gt;0,T$6&gt;=$D9,T$6&lt;$D9+$E9),$C9*$F9/$E9,0)+IF(AND($H9&gt;0,T$6&gt;=$G9,T$6&lt;$G9+$H9),$C9*$I9/$H9,0)</f>
        <v>8419.84994148728</v>
      </c>
      <c r="U9" s="14" t="n">
        <f aca="false">IF(AND($E9&gt;0,U$6&gt;=$D9,U$6&lt;$D9+$E9),$C9*$F9/$E9,0)+IF(AND($H9&gt;0,U$6&gt;=$G9,U$6&lt;$G9+$H9),$C9*$I9/$H9,0)</f>
        <v>8419.84994148728</v>
      </c>
      <c r="V9" s="14" t="n">
        <f aca="false">IF(AND($E9&gt;0,V$6&gt;=$D9,V$6&lt;$D9+$E9),$C9*$F9/$E9,0)+IF(AND($H9&gt;0,V$6&gt;=$G9,V$6&lt;$G9+$H9),$C9*$I9/$H9,0)</f>
        <v>8419.84994148728</v>
      </c>
      <c r="W9" s="14" t="n">
        <f aca="false">IF(AND($E9&gt;0,W$6&gt;=$D9,W$6&lt;$D9+$E9),$C9*$F9/$E9,0)+IF(AND($H9&gt;0,W$6&gt;=$G9,W$6&lt;$G9+$H9),$C9*$I9/$H9,0)</f>
        <v>8419.84994148728</v>
      </c>
      <c r="X9" s="14" t="n">
        <f aca="false">IF(AND($E9&gt;0,X$6&gt;=$D9,X$6&lt;$D9+$E9),$C9*$F9/$E9,0)+IF(AND($H9&gt;0,X$6&gt;=$G9,X$6&lt;$G9+$H9),$C9*$I9/$H9,0)</f>
        <v>8419.84994148728</v>
      </c>
      <c r="Y9" s="14" t="n">
        <f aca="false">IF(AND($E9&gt;0,Y$6&gt;=$D9,Y$6&lt;$D9+$E9),$C9*$F9/$E9,0)+IF(AND($H9&gt;0,Y$6&gt;=$G9,Y$6&lt;$G9+$H9),$C9*$I9/$H9,0)</f>
        <v>8419.84994148728</v>
      </c>
      <c r="Z9" s="14" t="n">
        <f aca="false">IF(AND($E9&gt;0,Z$6&gt;=$D9,Z$6&lt;$D9+$E9),$C9*$F9/$E9,0)+IF(AND($H9&gt;0,Z$6&gt;=$G9,Z$6&lt;$G9+$H9),$C9*$I9/$H9,0)</f>
        <v>8419.84994148728</v>
      </c>
      <c r="AA9" s="14" t="n">
        <f aca="false">IF(AND($E9&gt;0,AA$6&gt;=$D9,AA$6&lt;$D9+$E9),$C9*$F9/$E9,0)+IF(AND($H9&gt;0,AA$6&gt;=$G9,AA$6&lt;$G9+$H9),$C9*$I9/$H9,0)</f>
        <v>8419.84994148728</v>
      </c>
      <c r="AB9" s="14" t="n">
        <f aca="false">IF(AND($E9&gt;0,AB$6&gt;=$D9,AB$6&lt;$D9+$E9),$C9*$F9/$E9,0)+IF(AND($H9&gt;0,AB$6&gt;=$G9,AB$6&lt;$G9+$H9),$C9*$I9/$H9,0)</f>
        <v>8419.84994148728</v>
      </c>
      <c r="AC9" s="14" t="n">
        <f aca="false">IF(AND($E9&gt;0,AC$6&gt;=$D9,AC$6&lt;$D9+$E9),$C9*$F9/$E9,0)+IF(AND($H9&gt;0,AC$6&gt;=$G9,AC$6&lt;$G9+$H9),$C9*$I9/$H9,0)</f>
        <v>8419.84994148728</v>
      </c>
      <c r="AD9" s="14" t="n">
        <f aca="false">IF(AND($E9&gt;0,AD$6&gt;=$D9,AD$6&lt;$D9+$E9),$C9*$F9/$E9,0)+IF(AND($H9&gt;0,AD$6&gt;=$G9,AD$6&lt;$G9+$H9),$C9*$I9/$H9,0)</f>
        <v>8419.84994148728</v>
      </c>
      <c r="AE9" s="14" t="n">
        <f aca="false">IF(AND($E9&gt;0,AE$6&gt;=$D9,AE$6&lt;$D9+$E9),$C9*$F9/$E9,0)+IF(AND($H9&gt;0,AE$6&gt;=$G9,AE$6&lt;$G9+$H9),$C9*$I9/$H9,0)</f>
        <v>8419.84994148728</v>
      </c>
      <c r="AF9" s="14" t="n">
        <f aca="false">IF(AND($E9&gt;0,AF$6&gt;=$D9,AF$6&lt;$D9+$E9),$C9*$F9/$E9,0)+IF(AND($H9&gt;0,AF$6&gt;=$G9,AF$6&lt;$G9+$H9),$C9*$I9/$H9,0)</f>
        <v>8419.84994148728</v>
      </c>
      <c r="AG9" s="14" t="n">
        <f aca="false">IF(AND($E9&gt;0,AG$6&gt;=$D9,AG$6&lt;$D9+$E9),$C9*$F9/$E9,0)+IF(AND($H9&gt;0,AG$6&gt;=$G9,AG$6&lt;$G9+$H9),$C9*$I9/$H9,0)</f>
        <v>8419.84994148728</v>
      </c>
      <c r="AH9" s="14" t="n">
        <f aca="false">IF(AND($E9&gt;0,AH$6&gt;=$D9,AH$6&lt;$D9+$E9),$C9*$F9/$E9,0)+IF(AND($H9&gt;0,AH$6&gt;=$G9,AH$6&lt;$G9+$H9),$C9*$I9/$H9,0)</f>
        <v>8419.84994148728</v>
      </c>
      <c r="AI9" s="14" t="n">
        <f aca="false">IF(AND($E9&gt;0,AI$6&gt;=$D9,AI$6&lt;$D9+$E9),$C9*$F9/$E9,0)+IF(AND($H9&gt;0,AI$6&gt;=$G9,AI$6&lt;$G9+$H9),$C9*$I9/$H9,0)</f>
        <v>8419.84994148728</v>
      </c>
      <c r="AJ9" s="14" t="n">
        <f aca="false">IF(AND($E9&gt;0,AJ$6&gt;=$D9,AJ$6&lt;$D9+$E9),$C9*$F9/$E9,0)+IF(AND($H9&gt;0,AJ$6&gt;=$G9,AJ$6&lt;$G9+$H9),$C9*$I9/$H9,0)</f>
        <v>0</v>
      </c>
      <c r="AK9" s="14" t="n">
        <f aca="false">IF(AND($E9&gt;0,AK$6&gt;=$D9,AK$6&lt;$D9+$E9),$C9*$F9/$E9,0)+IF(AND($H9&gt;0,AK$6&gt;=$G9,AK$6&lt;$G9+$H9),$C9*$I9/$H9,0)</f>
        <v>0</v>
      </c>
      <c r="AL9" s="14" t="n">
        <f aca="false">IF(AND($E9&gt;0,AL$6&gt;=$D9,AL$6&lt;$D9+$E9),$C9*$F9/$E9,0)+IF(AND($H9&gt;0,AL$6&gt;=$G9,AL$6&lt;$G9+$H9),$C9*$I9/$H9,0)</f>
        <v>0</v>
      </c>
      <c r="AM9" s="14" t="n">
        <f aca="false">IF(AND($E9&gt;0,AM$6&gt;=$D9,AM$6&lt;$D9+$E9),$C9*$F9/$E9,0)+IF(AND($H9&gt;0,AM$6&gt;=$G9,AM$6&lt;$G9+$H9),$C9*$I9/$H9,0)</f>
        <v>0</v>
      </c>
      <c r="AN9" s="14" t="n">
        <f aca="false">IF(AND($E9&gt;0,AN$6&gt;=$D9,AN$6&lt;$D9+$E9),$C9*$F9/$E9,0)+IF(AND($H9&gt;0,AN$6&gt;=$G9,AN$6&lt;$G9+$H9),$C9*$I9/$H9,0)</f>
        <v>0</v>
      </c>
      <c r="AO9" s="14" t="n">
        <f aca="false">IF(AND($E9&gt;0,AO$6&gt;=$D9,AO$6&lt;$D9+$E9),$C9*$F9/$E9,0)+IF(AND($H9&gt;0,AO$6&gt;=$G9,AO$6&lt;$G9+$H9),$C9*$I9/$H9,0)</f>
        <v>0</v>
      </c>
      <c r="AP9" s="14" t="n">
        <f aca="false">IF(AND($E9&gt;0,AP$6&gt;=$D9,AP$6&lt;$D9+$E9),$C9*$F9/$E9,0)+IF(AND($H9&gt;0,AP$6&gt;=$G9,AP$6&lt;$G9+$H9),$C9*$I9/$H9,0)</f>
        <v>0</v>
      </c>
      <c r="AQ9" s="14" t="n">
        <f aca="false">IF(AND($E9&gt;0,AQ$6&gt;=$D9,AQ$6&lt;$D9+$E9),$C9*$F9/$E9,0)+IF(AND($H9&gt;0,AQ$6&gt;=$G9,AQ$6&lt;$G9+$H9),$C9*$I9/$H9,0)</f>
        <v>0</v>
      </c>
      <c r="AR9" s="14" t="n">
        <f aca="false">IF(AND($E9&gt;0,AR$6&gt;=$D9,AR$6&lt;$D9+$E9),$C9*$F9/$E9,0)+IF(AND($H9&gt;0,AR$6&gt;=$G9,AR$6&lt;$G9+$H9),$C9*$I9/$H9,0)</f>
        <v>0</v>
      </c>
      <c r="AS9" s="14" t="n">
        <f aca="false">IF(AND($E9&gt;0,AS$6&gt;=$D9,AS$6&lt;$D9+$E9),$C9*$F9/$E9,0)+IF(AND($H9&gt;0,AS$6&gt;=$G9,AS$6&lt;$G9+$H9),$C9*$I9/$H9,0)</f>
        <v>0</v>
      </c>
      <c r="AT9" s="14" t="n">
        <f aca="false">IF(AND($E9&gt;0,AT$6&gt;=$D9,AT$6&lt;$D9+$E9),$C9*$F9/$E9,0)+IF(AND($H9&gt;0,AT$6&gt;=$G9,AT$6&lt;$G9+$H9),$C9*$I9/$H9,0)</f>
        <v>0</v>
      </c>
      <c r="AU9" s="14" t="n">
        <f aca="false">IF(AND($E9&gt;0,AU$6&gt;=$D9,AU$6&lt;$D9+$E9),$C9*$F9/$E9,0)+IF(AND($H9&gt;0,AU$6&gt;=$G9,AU$6&lt;$G9+$H9),$C9*$I9/$H9,0)</f>
        <v>0</v>
      </c>
      <c r="AV9" s="14" t="n">
        <f aca="false">SUM(K9:AU9)</f>
        <v>387313.097308415</v>
      </c>
      <c r="AW9" s="14" t="n">
        <f aca="false">ROUND(AV9-C9,2)</f>
        <v>0</v>
      </c>
      <c r="AX9" s="31" t="n">
        <f aca="false">MAX(IF(E9&gt;0,D9+E9-1,0),IF(H9&gt;0,G9+H9-1,0))</f>
        <v>24</v>
      </c>
    </row>
    <row r="10" customFormat="false" ht="15" hidden="false" customHeight="false" outlineLevel="0" collapsed="false">
      <c r="A10" s="0" t="str">
        <f aca="false">'GEN SUMMARY'!A9</f>
        <v>B</v>
      </c>
      <c r="B10" s="0" t="str">
        <f aca="false">TRIM('GEN SUMMARY'!B9)</f>
        <v>DEMOLITIONS AND ALTERATIONS</v>
      </c>
      <c r="C10" s="14" t="n">
        <f aca="false">'GEN SUMMARY'!H9</f>
        <v>46482.2198989997</v>
      </c>
      <c r="D10" s="28" t="n">
        <v>1</v>
      </c>
      <c r="E10" s="28" t="n">
        <v>1</v>
      </c>
      <c r="F10" s="29" t="n">
        <v>0.8</v>
      </c>
      <c r="G10" s="28" t="n">
        <v>2</v>
      </c>
      <c r="H10" s="28" t="n">
        <v>1</v>
      </c>
      <c r="I10" s="30" t="n">
        <f aca="false">1-F10</f>
        <v>0.2</v>
      </c>
      <c r="K10" s="14" t="n">
        <f aca="false">IF(AND($E10&gt;0,K$6&gt;=$D10,K$6&lt;$D10+$E10),$C10*$F10/$E10,0)+IF(AND($H10&gt;0,K$6&gt;=$G10,K$6&lt;$G10+$H10),$C10*$I10/$H10,0)</f>
        <v>0</v>
      </c>
      <c r="L10" s="14" t="n">
        <f aca="false">IF(AND($E10&gt;0,L$6&gt;=$D10,L$6&lt;$D10+$E10),$C10*$F10/$E10,0)+IF(AND($H10&gt;0,L$6&gt;=$G10,L$6&lt;$G10+$H10),$C10*$I10/$H10,0)</f>
        <v>37185.7759191997</v>
      </c>
      <c r="M10" s="14" t="n">
        <f aca="false">IF(AND($E10&gt;0,M$6&gt;=$D10,M$6&lt;$D10+$E10),$C10*$F10/$E10,0)+IF(AND($H10&gt;0,M$6&gt;=$G10,M$6&lt;$G10+$H10),$C10*$I10/$H10,0)</f>
        <v>9296.44397979993</v>
      </c>
      <c r="N10" s="14" t="n">
        <f aca="false">IF(AND($E10&gt;0,N$6&gt;=$D10,N$6&lt;$D10+$E10),$C10*$F10/$E10,0)+IF(AND($H10&gt;0,N$6&gt;=$G10,N$6&lt;$G10+$H10),$C10*$I10/$H10,0)</f>
        <v>0</v>
      </c>
      <c r="O10" s="14" t="n">
        <f aca="false">IF(AND($E10&gt;0,O$6&gt;=$D10,O$6&lt;$D10+$E10),$C10*$F10/$E10,0)+IF(AND($H10&gt;0,O$6&gt;=$G10,O$6&lt;$G10+$H10),$C10*$I10/$H10,0)</f>
        <v>0</v>
      </c>
      <c r="P10" s="14" t="n">
        <f aca="false">IF(AND($E10&gt;0,P$6&gt;=$D10,P$6&lt;$D10+$E10),$C10*$F10/$E10,0)+IF(AND($H10&gt;0,P$6&gt;=$G10,P$6&lt;$G10+$H10),$C10*$I10/$H10,0)</f>
        <v>0</v>
      </c>
      <c r="Q10" s="14" t="n">
        <f aca="false">IF(AND($E10&gt;0,Q$6&gt;=$D10,Q$6&lt;$D10+$E10),$C10*$F10/$E10,0)+IF(AND($H10&gt;0,Q$6&gt;=$G10,Q$6&lt;$G10+$H10),$C10*$I10/$H10,0)</f>
        <v>0</v>
      </c>
      <c r="R10" s="14" t="n">
        <f aca="false">IF(AND($E10&gt;0,R$6&gt;=$D10,R$6&lt;$D10+$E10),$C10*$F10/$E10,0)+IF(AND($H10&gt;0,R$6&gt;=$G10,R$6&lt;$G10+$H10),$C10*$I10/$H10,0)</f>
        <v>0</v>
      </c>
      <c r="S10" s="14" t="n">
        <f aca="false">IF(AND($E10&gt;0,S$6&gt;=$D10,S$6&lt;$D10+$E10),$C10*$F10/$E10,0)+IF(AND($H10&gt;0,S$6&gt;=$G10,S$6&lt;$G10+$H10),$C10*$I10/$H10,0)</f>
        <v>0</v>
      </c>
      <c r="T10" s="14" t="n">
        <f aca="false">IF(AND($E10&gt;0,T$6&gt;=$D10,T$6&lt;$D10+$E10),$C10*$F10/$E10,0)+IF(AND($H10&gt;0,T$6&gt;=$G10,T$6&lt;$G10+$H10),$C10*$I10/$H10,0)</f>
        <v>0</v>
      </c>
      <c r="U10" s="14" t="n">
        <f aca="false">IF(AND($E10&gt;0,U$6&gt;=$D10,U$6&lt;$D10+$E10),$C10*$F10/$E10,0)+IF(AND($H10&gt;0,U$6&gt;=$G10,U$6&lt;$G10+$H10),$C10*$I10/$H10,0)</f>
        <v>0</v>
      </c>
      <c r="V10" s="14" t="n">
        <f aca="false">IF(AND($E10&gt;0,V$6&gt;=$D10,V$6&lt;$D10+$E10),$C10*$F10/$E10,0)+IF(AND($H10&gt;0,V$6&gt;=$G10,V$6&lt;$G10+$H10),$C10*$I10/$H10,0)</f>
        <v>0</v>
      </c>
      <c r="W10" s="14" t="n">
        <f aca="false">IF(AND($E10&gt;0,W$6&gt;=$D10,W$6&lt;$D10+$E10),$C10*$F10/$E10,0)+IF(AND($H10&gt;0,W$6&gt;=$G10,W$6&lt;$G10+$H10),$C10*$I10/$H10,0)</f>
        <v>0</v>
      </c>
      <c r="X10" s="14" t="n">
        <f aca="false">IF(AND($E10&gt;0,X$6&gt;=$D10,X$6&lt;$D10+$E10),$C10*$F10/$E10,0)+IF(AND($H10&gt;0,X$6&gt;=$G10,X$6&lt;$G10+$H10),$C10*$I10/$H10,0)</f>
        <v>0</v>
      </c>
      <c r="Y10" s="14" t="n">
        <f aca="false">IF(AND($E10&gt;0,Y$6&gt;=$D10,Y$6&lt;$D10+$E10),$C10*$F10/$E10,0)+IF(AND($H10&gt;0,Y$6&gt;=$G10,Y$6&lt;$G10+$H10),$C10*$I10/$H10,0)</f>
        <v>0</v>
      </c>
      <c r="Z10" s="14" t="n">
        <f aca="false">IF(AND($E10&gt;0,Z$6&gt;=$D10,Z$6&lt;$D10+$E10),$C10*$F10/$E10,0)+IF(AND($H10&gt;0,Z$6&gt;=$G10,Z$6&lt;$G10+$H10),$C10*$I10/$H10,0)</f>
        <v>0</v>
      </c>
      <c r="AA10" s="14" t="n">
        <f aca="false">IF(AND($E10&gt;0,AA$6&gt;=$D10,AA$6&lt;$D10+$E10),$C10*$F10/$E10,0)+IF(AND($H10&gt;0,AA$6&gt;=$G10,AA$6&lt;$G10+$H10),$C10*$I10/$H10,0)</f>
        <v>0</v>
      </c>
      <c r="AB10" s="14" t="n">
        <f aca="false">IF(AND($E10&gt;0,AB$6&gt;=$D10,AB$6&lt;$D10+$E10),$C10*$F10/$E10,0)+IF(AND($H10&gt;0,AB$6&gt;=$G10,AB$6&lt;$G10+$H10),$C10*$I10/$H10,0)</f>
        <v>0</v>
      </c>
      <c r="AC10" s="14" t="n">
        <f aca="false">IF(AND($E10&gt;0,AC$6&gt;=$D10,AC$6&lt;$D10+$E10),$C10*$F10/$E10,0)+IF(AND($H10&gt;0,AC$6&gt;=$G10,AC$6&lt;$G10+$H10),$C10*$I10/$H10,0)</f>
        <v>0</v>
      </c>
      <c r="AD10" s="14" t="n">
        <f aca="false">IF(AND($E10&gt;0,AD$6&gt;=$D10,AD$6&lt;$D10+$E10),$C10*$F10/$E10,0)+IF(AND($H10&gt;0,AD$6&gt;=$G10,AD$6&lt;$G10+$H10),$C10*$I10/$H10,0)</f>
        <v>0</v>
      </c>
      <c r="AE10" s="14" t="n">
        <f aca="false">IF(AND($E10&gt;0,AE$6&gt;=$D10,AE$6&lt;$D10+$E10),$C10*$F10/$E10,0)+IF(AND($H10&gt;0,AE$6&gt;=$G10,AE$6&lt;$G10+$H10),$C10*$I10/$H10,0)</f>
        <v>0</v>
      </c>
      <c r="AF10" s="14" t="n">
        <f aca="false">IF(AND($E10&gt;0,AF$6&gt;=$D10,AF$6&lt;$D10+$E10),$C10*$F10/$E10,0)+IF(AND($H10&gt;0,AF$6&gt;=$G10,AF$6&lt;$G10+$H10),$C10*$I10/$H10,0)</f>
        <v>0</v>
      </c>
      <c r="AG10" s="14" t="n">
        <f aca="false">IF(AND($E10&gt;0,AG$6&gt;=$D10,AG$6&lt;$D10+$E10),$C10*$F10/$E10,0)+IF(AND($H10&gt;0,AG$6&gt;=$G10,AG$6&lt;$G10+$H10),$C10*$I10/$H10,0)</f>
        <v>0</v>
      </c>
      <c r="AH10" s="14" t="n">
        <f aca="false">IF(AND($E10&gt;0,AH$6&gt;=$D10,AH$6&lt;$D10+$E10),$C10*$F10/$E10,0)+IF(AND($H10&gt;0,AH$6&gt;=$G10,AH$6&lt;$G10+$H10),$C10*$I10/$H10,0)</f>
        <v>0</v>
      </c>
      <c r="AI10" s="14" t="n">
        <f aca="false">IF(AND($E10&gt;0,AI$6&gt;=$D10,AI$6&lt;$D10+$E10),$C10*$F10/$E10,0)+IF(AND($H10&gt;0,AI$6&gt;=$G10,AI$6&lt;$G10+$H10),$C10*$I10/$H10,0)</f>
        <v>0</v>
      </c>
      <c r="AJ10" s="14" t="n">
        <f aca="false">IF(AND($E10&gt;0,AJ$6&gt;=$D10,AJ$6&lt;$D10+$E10),$C10*$F10/$E10,0)+IF(AND($H10&gt;0,AJ$6&gt;=$G10,AJ$6&lt;$G10+$H10),$C10*$I10/$H10,0)</f>
        <v>0</v>
      </c>
      <c r="AK10" s="14" t="n">
        <f aca="false">IF(AND($E10&gt;0,AK$6&gt;=$D10,AK$6&lt;$D10+$E10),$C10*$F10/$E10,0)+IF(AND($H10&gt;0,AK$6&gt;=$G10,AK$6&lt;$G10+$H10),$C10*$I10/$H10,0)</f>
        <v>0</v>
      </c>
      <c r="AL10" s="14" t="n">
        <f aca="false">IF(AND($E10&gt;0,AL$6&gt;=$D10,AL$6&lt;$D10+$E10),$C10*$F10/$E10,0)+IF(AND($H10&gt;0,AL$6&gt;=$G10,AL$6&lt;$G10+$H10),$C10*$I10/$H10,0)</f>
        <v>0</v>
      </c>
      <c r="AM10" s="14" t="n">
        <f aca="false">IF(AND($E10&gt;0,AM$6&gt;=$D10,AM$6&lt;$D10+$E10),$C10*$F10/$E10,0)+IF(AND($H10&gt;0,AM$6&gt;=$G10,AM$6&lt;$G10+$H10),$C10*$I10/$H10,0)</f>
        <v>0</v>
      </c>
      <c r="AN10" s="14" t="n">
        <f aca="false">IF(AND($E10&gt;0,AN$6&gt;=$D10,AN$6&lt;$D10+$E10),$C10*$F10/$E10,0)+IF(AND($H10&gt;0,AN$6&gt;=$G10,AN$6&lt;$G10+$H10),$C10*$I10/$H10,0)</f>
        <v>0</v>
      </c>
      <c r="AO10" s="14" t="n">
        <f aca="false">IF(AND($E10&gt;0,AO$6&gt;=$D10,AO$6&lt;$D10+$E10),$C10*$F10/$E10,0)+IF(AND($H10&gt;0,AO$6&gt;=$G10,AO$6&lt;$G10+$H10),$C10*$I10/$H10,0)</f>
        <v>0</v>
      </c>
      <c r="AP10" s="14" t="n">
        <f aca="false">IF(AND($E10&gt;0,AP$6&gt;=$D10,AP$6&lt;$D10+$E10),$C10*$F10/$E10,0)+IF(AND($H10&gt;0,AP$6&gt;=$G10,AP$6&lt;$G10+$H10),$C10*$I10/$H10,0)</f>
        <v>0</v>
      </c>
      <c r="AQ10" s="14" t="n">
        <f aca="false">IF(AND($E10&gt;0,AQ$6&gt;=$D10,AQ$6&lt;$D10+$E10),$C10*$F10/$E10,0)+IF(AND($H10&gt;0,AQ$6&gt;=$G10,AQ$6&lt;$G10+$H10),$C10*$I10/$H10,0)</f>
        <v>0</v>
      </c>
      <c r="AR10" s="14" t="n">
        <f aca="false">IF(AND($E10&gt;0,AR$6&gt;=$D10,AR$6&lt;$D10+$E10),$C10*$F10/$E10,0)+IF(AND($H10&gt;0,AR$6&gt;=$G10,AR$6&lt;$G10+$H10),$C10*$I10/$H10,0)</f>
        <v>0</v>
      </c>
      <c r="AS10" s="14" t="n">
        <f aca="false">IF(AND($E10&gt;0,AS$6&gt;=$D10,AS$6&lt;$D10+$E10),$C10*$F10/$E10,0)+IF(AND($H10&gt;0,AS$6&gt;=$G10,AS$6&lt;$G10+$H10),$C10*$I10/$H10,0)</f>
        <v>0</v>
      </c>
      <c r="AT10" s="14" t="n">
        <f aca="false">IF(AND($E10&gt;0,AT$6&gt;=$D10,AT$6&lt;$D10+$E10),$C10*$F10/$E10,0)+IF(AND($H10&gt;0,AT$6&gt;=$G10,AT$6&lt;$G10+$H10),$C10*$I10/$H10,0)</f>
        <v>0</v>
      </c>
      <c r="AU10" s="14" t="n">
        <f aca="false">IF(AND($E10&gt;0,AU$6&gt;=$D10,AU$6&lt;$D10+$E10),$C10*$F10/$E10,0)+IF(AND($H10&gt;0,AU$6&gt;=$G10,AU$6&lt;$G10+$H10),$C10*$I10/$H10,0)</f>
        <v>0</v>
      </c>
      <c r="AV10" s="14" t="n">
        <f aca="false">SUM(K10:AU10)</f>
        <v>46482.2198989997</v>
      </c>
      <c r="AW10" s="14" t="n">
        <f aca="false">ROUND(AV10-C10,2)</f>
        <v>0</v>
      </c>
      <c r="AX10" s="31" t="n">
        <f aca="false">MAX(IF(E10&gt;0,D10+E10-1,0),IF(H10&gt;0,G10+H10-1,0))</f>
        <v>2</v>
      </c>
    </row>
    <row r="11" customFormat="false" ht="15" hidden="false" customHeight="false" outlineLevel="0" collapsed="false">
      <c r="A11" s="0" t="str">
        <f aca="false">'GEN SUMMARY'!A11</f>
        <v>C</v>
      </c>
      <c r="B11" s="0" t="str">
        <f aca="false">TRIM('GEN SUMMARY'!B11)</f>
        <v>SUBSTRUCTURE (ALL PROVISIONAL)</v>
      </c>
      <c r="C11" s="14" t="n">
        <f aca="false">'GEN SUMMARY'!H11</f>
        <v>515720.229779401</v>
      </c>
      <c r="D11" s="28" t="n">
        <v>1</v>
      </c>
      <c r="E11" s="28" t="n">
        <v>2</v>
      </c>
      <c r="F11" s="29" t="n">
        <v>0.5</v>
      </c>
      <c r="G11" s="28" t="n">
        <v>3</v>
      </c>
      <c r="H11" s="28" t="n">
        <v>2</v>
      </c>
      <c r="I11" s="30" t="n">
        <f aca="false">1-F11</f>
        <v>0.5</v>
      </c>
      <c r="K11" s="14" t="n">
        <f aca="false">IF(AND($E11&gt;0,K$6&gt;=$D11,K$6&lt;$D11+$E11),$C11*$F11/$E11,0)+IF(AND($H11&gt;0,K$6&gt;=$G11,K$6&lt;$G11+$H11),$C11*$I11/$H11,0)</f>
        <v>0</v>
      </c>
      <c r="L11" s="14" t="n">
        <f aca="false">IF(AND($E11&gt;0,L$6&gt;=$D11,L$6&lt;$D11+$E11),$C11*$F11/$E11,0)+IF(AND($H11&gt;0,L$6&gt;=$G11,L$6&lt;$G11+$H11),$C11*$I11/$H11,0)</f>
        <v>128930.05744485</v>
      </c>
      <c r="M11" s="14" t="n">
        <f aca="false">IF(AND($E11&gt;0,M$6&gt;=$D11,M$6&lt;$D11+$E11),$C11*$F11/$E11,0)+IF(AND($H11&gt;0,M$6&gt;=$G11,M$6&lt;$G11+$H11),$C11*$I11/$H11,0)</f>
        <v>128930.05744485</v>
      </c>
      <c r="N11" s="14" t="n">
        <f aca="false">IF(AND($E11&gt;0,N$6&gt;=$D11,N$6&lt;$D11+$E11),$C11*$F11/$E11,0)+IF(AND($H11&gt;0,N$6&gt;=$G11,N$6&lt;$G11+$H11),$C11*$I11/$H11,0)</f>
        <v>128930.05744485</v>
      </c>
      <c r="O11" s="14" t="n">
        <f aca="false">IF(AND($E11&gt;0,O$6&gt;=$D11,O$6&lt;$D11+$E11),$C11*$F11/$E11,0)+IF(AND($H11&gt;0,O$6&gt;=$G11,O$6&lt;$G11+$H11),$C11*$I11/$H11,0)</f>
        <v>128930.05744485</v>
      </c>
      <c r="P11" s="14" t="n">
        <f aca="false">IF(AND($E11&gt;0,P$6&gt;=$D11,P$6&lt;$D11+$E11),$C11*$F11/$E11,0)+IF(AND($H11&gt;0,P$6&gt;=$G11,P$6&lt;$G11+$H11),$C11*$I11/$H11,0)</f>
        <v>0</v>
      </c>
      <c r="Q11" s="14" t="n">
        <f aca="false">IF(AND($E11&gt;0,Q$6&gt;=$D11,Q$6&lt;$D11+$E11),$C11*$F11/$E11,0)+IF(AND($H11&gt;0,Q$6&gt;=$G11,Q$6&lt;$G11+$H11),$C11*$I11/$H11,0)</f>
        <v>0</v>
      </c>
      <c r="R11" s="14" t="n">
        <f aca="false">IF(AND($E11&gt;0,R$6&gt;=$D11,R$6&lt;$D11+$E11),$C11*$F11/$E11,0)+IF(AND($H11&gt;0,R$6&gt;=$G11,R$6&lt;$G11+$H11),$C11*$I11/$H11,0)</f>
        <v>0</v>
      </c>
      <c r="S11" s="14" t="n">
        <f aca="false">IF(AND($E11&gt;0,S$6&gt;=$D11,S$6&lt;$D11+$E11),$C11*$F11/$E11,0)+IF(AND($H11&gt;0,S$6&gt;=$G11,S$6&lt;$G11+$H11),$C11*$I11/$H11,0)</f>
        <v>0</v>
      </c>
      <c r="T11" s="14" t="n">
        <f aca="false">IF(AND($E11&gt;0,T$6&gt;=$D11,T$6&lt;$D11+$E11),$C11*$F11/$E11,0)+IF(AND($H11&gt;0,T$6&gt;=$G11,T$6&lt;$G11+$H11),$C11*$I11/$H11,0)</f>
        <v>0</v>
      </c>
      <c r="U11" s="14" t="n">
        <f aca="false">IF(AND($E11&gt;0,U$6&gt;=$D11,U$6&lt;$D11+$E11),$C11*$F11/$E11,0)+IF(AND($H11&gt;0,U$6&gt;=$G11,U$6&lt;$G11+$H11),$C11*$I11/$H11,0)</f>
        <v>0</v>
      </c>
      <c r="V11" s="14" t="n">
        <f aca="false">IF(AND($E11&gt;0,V$6&gt;=$D11,V$6&lt;$D11+$E11),$C11*$F11/$E11,0)+IF(AND($H11&gt;0,V$6&gt;=$G11,V$6&lt;$G11+$H11),$C11*$I11/$H11,0)</f>
        <v>0</v>
      </c>
      <c r="W11" s="14" t="n">
        <f aca="false">IF(AND($E11&gt;0,W$6&gt;=$D11,W$6&lt;$D11+$E11),$C11*$F11/$E11,0)+IF(AND($H11&gt;0,W$6&gt;=$G11,W$6&lt;$G11+$H11),$C11*$I11/$H11,0)</f>
        <v>0</v>
      </c>
      <c r="X11" s="14" t="n">
        <f aca="false">IF(AND($E11&gt;0,X$6&gt;=$D11,X$6&lt;$D11+$E11),$C11*$F11/$E11,0)+IF(AND($H11&gt;0,X$6&gt;=$G11,X$6&lt;$G11+$H11),$C11*$I11/$H11,0)</f>
        <v>0</v>
      </c>
      <c r="Y11" s="14" t="n">
        <f aca="false">IF(AND($E11&gt;0,Y$6&gt;=$D11,Y$6&lt;$D11+$E11),$C11*$F11/$E11,0)+IF(AND($H11&gt;0,Y$6&gt;=$G11,Y$6&lt;$G11+$H11),$C11*$I11/$H11,0)</f>
        <v>0</v>
      </c>
      <c r="Z11" s="14" t="n">
        <f aca="false">IF(AND($E11&gt;0,Z$6&gt;=$D11,Z$6&lt;$D11+$E11),$C11*$F11/$E11,0)+IF(AND($H11&gt;0,Z$6&gt;=$G11,Z$6&lt;$G11+$H11),$C11*$I11/$H11,0)</f>
        <v>0</v>
      </c>
      <c r="AA11" s="14" t="n">
        <f aca="false">IF(AND($E11&gt;0,AA$6&gt;=$D11,AA$6&lt;$D11+$E11),$C11*$F11/$E11,0)+IF(AND($H11&gt;0,AA$6&gt;=$G11,AA$6&lt;$G11+$H11),$C11*$I11/$H11,0)</f>
        <v>0</v>
      </c>
      <c r="AB11" s="14" t="n">
        <f aca="false">IF(AND($E11&gt;0,AB$6&gt;=$D11,AB$6&lt;$D11+$E11),$C11*$F11/$E11,0)+IF(AND($H11&gt;0,AB$6&gt;=$G11,AB$6&lt;$G11+$H11),$C11*$I11/$H11,0)</f>
        <v>0</v>
      </c>
      <c r="AC11" s="14" t="n">
        <f aca="false">IF(AND($E11&gt;0,AC$6&gt;=$D11,AC$6&lt;$D11+$E11),$C11*$F11/$E11,0)+IF(AND($H11&gt;0,AC$6&gt;=$G11,AC$6&lt;$G11+$H11),$C11*$I11/$H11,0)</f>
        <v>0</v>
      </c>
      <c r="AD11" s="14" t="n">
        <f aca="false">IF(AND($E11&gt;0,AD$6&gt;=$D11,AD$6&lt;$D11+$E11),$C11*$F11/$E11,0)+IF(AND($H11&gt;0,AD$6&gt;=$G11,AD$6&lt;$G11+$H11),$C11*$I11/$H11,0)</f>
        <v>0</v>
      </c>
      <c r="AE11" s="14" t="n">
        <f aca="false">IF(AND($E11&gt;0,AE$6&gt;=$D11,AE$6&lt;$D11+$E11),$C11*$F11/$E11,0)+IF(AND($H11&gt;0,AE$6&gt;=$G11,AE$6&lt;$G11+$H11),$C11*$I11/$H11,0)</f>
        <v>0</v>
      </c>
      <c r="AF11" s="14" t="n">
        <f aca="false">IF(AND($E11&gt;0,AF$6&gt;=$D11,AF$6&lt;$D11+$E11),$C11*$F11/$E11,0)+IF(AND($H11&gt;0,AF$6&gt;=$G11,AF$6&lt;$G11+$H11),$C11*$I11/$H11,0)</f>
        <v>0</v>
      </c>
      <c r="AG11" s="14" t="n">
        <f aca="false">IF(AND($E11&gt;0,AG$6&gt;=$D11,AG$6&lt;$D11+$E11),$C11*$F11/$E11,0)+IF(AND($H11&gt;0,AG$6&gt;=$G11,AG$6&lt;$G11+$H11),$C11*$I11/$H11,0)</f>
        <v>0</v>
      </c>
      <c r="AH11" s="14" t="n">
        <f aca="false">IF(AND($E11&gt;0,AH$6&gt;=$D11,AH$6&lt;$D11+$E11),$C11*$F11/$E11,0)+IF(AND($H11&gt;0,AH$6&gt;=$G11,AH$6&lt;$G11+$H11),$C11*$I11/$H11,0)</f>
        <v>0</v>
      </c>
      <c r="AI11" s="14" t="n">
        <f aca="false">IF(AND($E11&gt;0,AI$6&gt;=$D11,AI$6&lt;$D11+$E11),$C11*$F11/$E11,0)+IF(AND($H11&gt;0,AI$6&gt;=$G11,AI$6&lt;$G11+$H11),$C11*$I11/$H11,0)</f>
        <v>0</v>
      </c>
      <c r="AJ11" s="14" t="n">
        <f aca="false">IF(AND($E11&gt;0,AJ$6&gt;=$D11,AJ$6&lt;$D11+$E11),$C11*$F11/$E11,0)+IF(AND($H11&gt;0,AJ$6&gt;=$G11,AJ$6&lt;$G11+$H11),$C11*$I11/$H11,0)</f>
        <v>0</v>
      </c>
      <c r="AK11" s="14" t="n">
        <f aca="false">IF(AND($E11&gt;0,AK$6&gt;=$D11,AK$6&lt;$D11+$E11),$C11*$F11/$E11,0)+IF(AND($H11&gt;0,AK$6&gt;=$G11,AK$6&lt;$G11+$H11),$C11*$I11/$H11,0)</f>
        <v>0</v>
      </c>
      <c r="AL11" s="14" t="n">
        <f aca="false">IF(AND($E11&gt;0,AL$6&gt;=$D11,AL$6&lt;$D11+$E11),$C11*$F11/$E11,0)+IF(AND($H11&gt;0,AL$6&gt;=$G11,AL$6&lt;$G11+$H11),$C11*$I11/$H11,0)</f>
        <v>0</v>
      </c>
      <c r="AM11" s="14" t="n">
        <f aca="false">IF(AND($E11&gt;0,AM$6&gt;=$D11,AM$6&lt;$D11+$E11),$C11*$F11/$E11,0)+IF(AND($H11&gt;0,AM$6&gt;=$G11,AM$6&lt;$G11+$H11),$C11*$I11/$H11,0)</f>
        <v>0</v>
      </c>
      <c r="AN11" s="14" t="n">
        <f aca="false">IF(AND($E11&gt;0,AN$6&gt;=$D11,AN$6&lt;$D11+$E11),$C11*$F11/$E11,0)+IF(AND($H11&gt;0,AN$6&gt;=$G11,AN$6&lt;$G11+$H11),$C11*$I11/$H11,0)</f>
        <v>0</v>
      </c>
      <c r="AO11" s="14" t="n">
        <f aca="false">IF(AND($E11&gt;0,AO$6&gt;=$D11,AO$6&lt;$D11+$E11),$C11*$F11/$E11,0)+IF(AND($H11&gt;0,AO$6&gt;=$G11,AO$6&lt;$G11+$H11),$C11*$I11/$H11,0)</f>
        <v>0</v>
      </c>
      <c r="AP11" s="14" t="n">
        <f aca="false">IF(AND($E11&gt;0,AP$6&gt;=$D11,AP$6&lt;$D11+$E11),$C11*$F11/$E11,0)+IF(AND($H11&gt;0,AP$6&gt;=$G11,AP$6&lt;$G11+$H11),$C11*$I11/$H11,0)</f>
        <v>0</v>
      </c>
      <c r="AQ11" s="14" t="n">
        <f aca="false">IF(AND($E11&gt;0,AQ$6&gt;=$D11,AQ$6&lt;$D11+$E11),$C11*$F11/$E11,0)+IF(AND($H11&gt;0,AQ$6&gt;=$G11,AQ$6&lt;$G11+$H11),$C11*$I11/$H11,0)</f>
        <v>0</v>
      </c>
      <c r="AR11" s="14" t="n">
        <f aca="false">IF(AND($E11&gt;0,AR$6&gt;=$D11,AR$6&lt;$D11+$E11),$C11*$F11/$E11,0)+IF(AND($H11&gt;0,AR$6&gt;=$G11,AR$6&lt;$G11+$H11),$C11*$I11/$H11,0)</f>
        <v>0</v>
      </c>
      <c r="AS11" s="14" t="n">
        <f aca="false">IF(AND($E11&gt;0,AS$6&gt;=$D11,AS$6&lt;$D11+$E11),$C11*$F11/$E11,0)+IF(AND($H11&gt;0,AS$6&gt;=$G11,AS$6&lt;$G11+$H11),$C11*$I11/$H11,0)</f>
        <v>0</v>
      </c>
      <c r="AT11" s="14" t="n">
        <f aca="false">IF(AND($E11&gt;0,AT$6&gt;=$D11,AT$6&lt;$D11+$E11),$C11*$F11/$E11,0)+IF(AND($H11&gt;0,AT$6&gt;=$G11,AT$6&lt;$G11+$H11),$C11*$I11/$H11,0)</f>
        <v>0</v>
      </c>
      <c r="AU11" s="14" t="n">
        <f aca="false">IF(AND($E11&gt;0,AU$6&gt;=$D11,AU$6&lt;$D11+$E11),$C11*$F11/$E11,0)+IF(AND($H11&gt;0,AU$6&gt;=$G11,AU$6&lt;$G11+$H11),$C11*$I11/$H11,0)</f>
        <v>0</v>
      </c>
      <c r="AV11" s="14" t="n">
        <f aca="false">SUM(K11:AU11)</f>
        <v>515720.229779401</v>
      </c>
      <c r="AW11" s="14" t="n">
        <f aca="false">ROUND(AV11-C11,2)</f>
        <v>0</v>
      </c>
      <c r="AX11" s="31" t="n">
        <f aca="false">MAX(IF(E11&gt;0,D11+E11-1,0),IF(H11&gt;0,G11+H11-1,0))</f>
        <v>4</v>
      </c>
    </row>
    <row r="12" customFormat="false" ht="15" hidden="false" customHeight="false" outlineLevel="0" collapsed="false">
      <c r="A12" s="0" t="str">
        <f aca="false">'GEN SUMMARY'!A13</f>
        <v>E</v>
      </c>
      <c r="B12" s="0" t="str">
        <f aca="false">TRIM('GEN SUMMARY'!B13)</f>
        <v>SUB-BASEMENT FLOOR</v>
      </c>
      <c r="C12" s="14" t="n">
        <f aca="false">'GEN SUMMARY'!H13</f>
        <v>589394.548319316</v>
      </c>
      <c r="D12" s="28" t="n">
        <v>3</v>
      </c>
      <c r="E12" s="28" t="n">
        <v>4</v>
      </c>
      <c r="F12" s="29" t="n">
        <v>0.5</v>
      </c>
      <c r="G12" s="28" t="n">
        <v>7</v>
      </c>
      <c r="H12" s="28" t="n">
        <v>12</v>
      </c>
      <c r="I12" s="30" t="n">
        <f aca="false">1-F12</f>
        <v>0.5</v>
      </c>
      <c r="K12" s="14" t="n">
        <f aca="false">IF(AND($E12&gt;0,K$6&gt;=$D12,K$6&lt;$D12+$E12),$C12*$F12/$E12,0)+IF(AND($H12&gt;0,K$6&gt;=$G12,K$6&lt;$G12+$H12),$C12*$I12/$H12,0)</f>
        <v>0</v>
      </c>
      <c r="L12" s="14" t="n">
        <f aca="false">IF(AND($E12&gt;0,L$6&gt;=$D12,L$6&lt;$D12+$E12),$C12*$F12/$E12,0)+IF(AND($H12&gt;0,L$6&gt;=$G12,L$6&lt;$G12+$H12),$C12*$I12/$H12,0)</f>
        <v>0</v>
      </c>
      <c r="M12" s="14" t="n">
        <f aca="false">IF(AND($E12&gt;0,M$6&gt;=$D12,M$6&lt;$D12+$E12),$C12*$F12/$E12,0)+IF(AND($H12&gt;0,M$6&gt;=$G12,M$6&lt;$G12+$H12),$C12*$I12/$H12,0)</f>
        <v>0</v>
      </c>
      <c r="N12" s="14" t="n">
        <f aca="false">IF(AND($E12&gt;0,N$6&gt;=$D12,N$6&lt;$D12+$E12),$C12*$F12/$E12,0)+IF(AND($H12&gt;0,N$6&gt;=$G12,N$6&lt;$G12+$H12),$C12*$I12/$H12,0)</f>
        <v>73674.3185399145</v>
      </c>
      <c r="O12" s="14" t="n">
        <f aca="false">IF(AND($E12&gt;0,O$6&gt;=$D12,O$6&lt;$D12+$E12),$C12*$F12/$E12,0)+IF(AND($H12&gt;0,O$6&gt;=$G12,O$6&lt;$G12+$H12),$C12*$I12/$H12,0)</f>
        <v>73674.3185399145</v>
      </c>
      <c r="P12" s="14" t="n">
        <f aca="false">IF(AND($E12&gt;0,P$6&gt;=$D12,P$6&lt;$D12+$E12),$C12*$F12/$E12,0)+IF(AND($H12&gt;0,P$6&gt;=$G12,P$6&lt;$G12+$H12),$C12*$I12/$H12,0)</f>
        <v>73674.3185399145</v>
      </c>
      <c r="Q12" s="14" t="n">
        <f aca="false">IF(AND($E12&gt;0,Q$6&gt;=$D12,Q$6&lt;$D12+$E12),$C12*$F12/$E12,0)+IF(AND($H12&gt;0,Q$6&gt;=$G12,Q$6&lt;$G12+$H12),$C12*$I12/$H12,0)</f>
        <v>73674.3185399145</v>
      </c>
      <c r="R12" s="14" t="n">
        <f aca="false">IF(AND($E12&gt;0,R$6&gt;=$D12,R$6&lt;$D12+$E12),$C12*$F12/$E12,0)+IF(AND($H12&gt;0,R$6&gt;=$G12,R$6&lt;$G12+$H12),$C12*$I12/$H12,0)</f>
        <v>24558.1061799715</v>
      </c>
      <c r="S12" s="14" t="n">
        <f aca="false">IF(AND($E12&gt;0,S$6&gt;=$D12,S$6&lt;$D12+$E12),$C12*$F12/$E12,0)+IF(AND($H12&gt;0,S$6&gt;=$G12,S$6&lt;$G12+$H12),$C12*$I12/$H12,0)</f>
        <v>24558.1061799715</v>
      </c>
      <c r="T12" s="14" t="n">
        <f aca="false">IF(AND($E12&gt;0,T$6&gt;=$D12,T$6&lt;$D12+$E12),$C12*$F12/$E12,0)+IF(AND($H12&gt;0,T$6&gt;=$G12,T$6&lt;$G12+$H12),$C12*$I12/$H12,0)</f>
        <v>24558.1061799715</v>
      </c>
      <c r="U12" s="14" t="n">
        <f aca="false">IF(AND($E12&gt;0,U$6&gt;=$D12,U$6&lt;$D12+$E12),$C12*$F12/$E12,0)+IF(AND($H12&gt;0,U$6&gt;=$G12,U$6&lt;$G12+$H12),$C12*$I12/$H12,0)</f>
        <v>24558.1061799715</v>
      </c>
      <c r="V12" s="14" t="n">
        <f aca="false">IF(AND($E12&gt;0,V$6&gt;=$D12,V$6&lt;$D12+$E12),$C12*$F12/$E12,0)+IF(AND($H12&gt;0,V$6&gt;=$G12,V$6&lt;$G12+$H12),$C12*$I12/$H12,0)</f>
        <v>24558.1061799715</v>
      </c>
      <c r="W12" s="14" t="n">
        <f aca="false">IF(AND($E12&gt;0,W$6&gt;=$D12,W$6&lt;$D12+$E12),$C12*$F12/$E12,0)+IF(AND($H12&gt;0,W$6&gt;=$G12,W$6&lt;$G12+$H12),$C12*$I12/$H12,0)</f>
        <v>24558.1061799715</v>
      </c>
      <c r="X12" s="14" t="n">
        <f aca="false">IF(AND($E12&gt;0,X$6&gt;=$D12,X$6&lt;$D12+$E12),$C12*$F12/$E12,0)+IF(AND($H12&gt;0,X$6&gt;=$G12,X$6&lt;$G12+$H12),$C12*$I12/$H12,0)</f>
        <v>24558.1061799715</v>
      </c>
      <c r="Y12" s="14" t="n">
        <f aca="false">IF(AND($E12&gt;0,Y$6&gt;=$D12,Y$6&lt;$D12+$E12),$C12*$F12/$E12,0)+IF(AND($H12&gt;0,Y$6&gt;=$G12,Y$6&lt;$G12+$H12),$C12*$I12/$H12,0)</f>
        <v>24558.1061799715</v>
      </c>
      <c r="Z12" s="14" t="n">
        <f aca="false">IF(AND($E12&gt;0,Z$6&gt;=$D12,Z$6&lt;$D12+$E12),$C12*$F12/$E12,0)+IF(AND($H12&gt;0,Z$6&gt;=$G12,Z$6&lt;$G12+$H12),$C12*$I12/$H12,0)</f>
        <v>24558.1061799715</v>
      </c>
      <c r="AA12" s="14" t="n">
        <f aca="false">IF(AND($E12&gt;0,AA$6&gt;=$D12,AA$6&lt;$D12+$E12),$C12*$F12/$E12,0)+IF(AND($H12&gt;0,AA$6&gt;=$G12,AA$6&lt;$G12+$H12),$C12*$I12/$H12,0)</f>
        <v>24558.1061799715</v>
      </c>
      <c r="AB12" s="14" t="n">
        <f aca="false">IF(AND($E12&gt;0,AB$6&gt;=$D12,AB$6&lt;$D12+$E12),$C12*$F12/$E12,0)+IF(AND($H12&gt;0,AB$6&gt;=$G12,AB$6&lt;$G12+$H12),$C12*$I12/$H12,0)</f>
        <v>24558.1061799715</v>
      </c>
      <c r="AC12" s="14" t="n">
        <f aca="false">IF(AND($E12&gt;0,AC$6&gt;=$D12,AC$6&lt;$D12+$E12),$C12*$F12/$E12,0)+IF(AND($H12&gt;0,AC$6&gt;=$G12,AC$6&lt;$G12+$H12),$C12*$I12/$H12,0)</f>
        <v>24558.1061799715</v>
      </c>
      <c r="AD12" s="14" t="n">
        <f aca="false">IF(AND($E12&gt;0,AD$6&gt;=$D12,AD$6&lt;$D12+$E12),$C12*$F12/$E12,0)+IF(AND($H12&gt;0,AD$6&gt;=$G12,AD$6&lt;$G12+$H12),$C12*$I12/$H12,0)</f>
        <v>0</v>
      </c>
      <c r="AE12" s="14" t="n">
        <f aca="false">IF(AND($E12&gt;0,AE$6&gt;=$D12,AE$6&lt;$D12+$E12),$C12*$F12/$E12,0)+IF(AND($H12&gt;0,AE$6&gt;=$G12,AE$6&lt;$G12+$H12),$C12*$I12/$H12,0)</f>
        <v>0</v>
      </c>
      <c r="AF12" s="14" t="n">
        <f aca="false">IF(AND($E12&gt;0,AF$6&gt;=$D12,AF$6&lt;$D12+$E12),$C12*$F12/$E12,0)+IF(AND($H12&gt;0,AF$6&gt;=$G12,AF$6&lt;$G12+$H12),$C12*$I12/$H12,0)</f>
        <v>0</v>
      </c>
      <c r="AG12" s="14" t="n">
        <f aca="false">IF(AND($E12&gt;0,AG$6&gt;=$D12,AG$6&lt;$D12+$E12),$C12*$F12/$E12,0)+IF(AND($H12&gt;0,AG$6&gt;=$G12,AG$6&lt;$G12+$H12),$C12*$I12/$H12,0)</f>
        <v>0</v>
      </c>
      <c r="AH12" s="14" t="n">
        <f aca="false">IF(AND($E12&gt;0,AH$6&gt;=$D12,AH$6&lt;$D12+$E12),$C12*$F12/$E12,0)+IF(AND($H12&gt;0,AH$6&gt;=$G12,AH$6&lt;$G12+$H12),$C12*$I12/$H12,0)</f>
        <v>0</v>
      </c>
      <c r="AI12" s="14" t="n">
        <f aca="false">IF(AND($E12&gt;0,AI$6&gt;=$D12,AI$6&lt;$D12+$E12),$C12*$F12/$E12,0)+IF(AND($H12&gt;0,AI$6&gt;=$G12,AI$6&lt;$G12+$H12),$C12*$I12/$H12,0)</f>
        <v>0</v>
      </c>
      <c r="AJ12" s="14" t="n">
        <f aca="false">IF(AND($E12&gt;0,AJ$6&gt;=$D12,AJ$6&lt;$D12+$E12),$C12*$F12/$E12,0)+IF(AND($H12&gt;0,AJ$6&gt;=$G12,AJ$6&lt;$G12+$H12),$C12*$I12/$H12,0)</f>
        <v>0</v>
      </c>
      <c r="AK12" s="14" t="n">
        <f aca="false">IF(AND($E12&gt;0,AK$6&gt;=$D12,AK$6&lt;$D12+$E12),$C12*$F12/$E12,0)+IF(AND($H12&gt;0,AK$6&gt;=$G12,AK$6&lt;$G12+$H12),$C12*$I12/$H12,0)</f>
        <v>0</v>
      </c>
      <c r="AL12" s="14" t="n">
        <f aca="false">IF(AND($E12&gt;0,AL$6&gt;=$D12,AL$6&lt;$D12+$E12),$C12*$F12/$E12,0)+IF(AND($H12&gt;0,AL$6&gt;=$G12,AL$6&lt;$G12+$H12),$C12*$I12/$H12,0)</f>
        <v>0</v>
      </c>
      <c r="AM12" s="14" t="n">
        <f aca="false">IF(AND($E12&gt;0,AM$6&gt;=$D12,AM$6&lt;$D12+$E12),$C12*$F12/$E12,0)+IF(AND($H12&gt;0,AM$6&gt;=$G12,AM$6&lt;$G12+$H12),$C12*$I12/$H12,0)</f>
        <v>0</v>
      </c>
      <c r="AN12" s="14" t="n">
        <f aca="false">IF(AND($E12&gt;0,AN$6&gt;=$D12,AN$6&lt;$D12+$E12),$C12*$F12/$E12,0)+IF(AND($H12&gt;0,AN$6&gt;=$G12,AN$6&lt;$G12+$H12),$C12*$I12/$H12,0)</f>
        <v>0</v>
      </c>
      <c r="AO12" s="14" t="n">
        <f aca="false">IF(AND($E12&gt;0,AO$6&gt;=$D12,AO$6&lt;$D12+$E12),$C12*$F12/$E12,0)+IF(AND($H12&gt;0,AO$6&gt;=$G12,AO$6&lt;$G12+$H12),$C12*$I12/$H12,0)</f>
        <v>0</v>
      </c>
      <c r="AP12" s="14" t="n">
        <f aca="false">IF(AND($E12&gt;0,AP$6&gt;=$D12,AP$6&lt;$D12+$E12),$C12*$F12/$E12,0)+IF(AND($H12&gt;0,AP$6&gt;=$G12,AP$6&lt;$G12+$H12),$C12*$I12/$H12,0)</f>
        <v>0</v>
      </c>
      <c r="AQ12" s="14" t="n">
        <f aca="false">IF(AND($E12&gt;0,AQ$6&gt;=$D12,AQ$6&lt;$D12+$E12),$C12*$F12/$E12,0)+IF(AND($H12&gt;0,AQ$6&gt;=$G12,AQ$6&lt;$G12+$H12),$C12*$I12/$H12,0)</f>
        <v>0</v>
      </c>
      <c r="AR12" s="14" t="n">
        <f aca="false">IF(AND($E12&gt;0,AR$6&gt;=$D12,AR$6&lt;$D12+$E12),$C12*$F12/$E12,0)+IF(AND($H12&gt;0,AR$6&gt;=$G12,AR$6&lt;$G12+$H12),$C12*$I12/$H12,0)</f>
        <v>0</v>
      </c>
      <c r="AS12" s="14" t="n">
        <f aca="false">IF(AND($E12&gt;0,AS$6&gt;=$D12,AS$6&lt;$D12+$E12),$C12*$F12/$E12,0)+IF(AND($H12&gt;0,AS$6&gt;=$G12,AS$6&lt;$G12+$H12),$C12*$I12/$H12,0)</f>
        <v>0</v>
      </c>
      <c r="AT12" s="14" t="n">
        <f aca="false">IF(AND($E12&gt;0,AT$6&gt;=$D12,AT$6&lt;$D12+$E12),$C12*$F12/$E12,0)+IF(AND($H12&gt;0,AT$6&gt;=$G12,AT$6&lt;$G12+$H12),$C12*$I12/$H12,0)</f>
        <v>0</v>
      </c>
      <c r="AU12" s="14" t="n">
        <f aca="false">IF(AND($E12&gt;0,AU$6&gt;=$D12,AU$6&lt;$D12+$E12),$C12*$F12/$E12,0)+IF(AND($H12&gt;0,AU$6&gt;=$G12,AU$6&lt;$G12+$H12),$C12*$I12/$H12,0)</f>
        <v>0</v>
      </c>
      <c r="AV12" s="14" t="n">
        <f aca="false">SUM(K12:AU12)</f>
        <v>589394.548319316</v>
      </c>
      <c r="AW12" s="14" t="n">
        <f aca="false">ROUND(AV12-C12,2)</f>
        <v>0</v>
      </c>
      <c r="AX12" s="31" t="n">
        <f aca="false">MAX(IF(E12&gt;0,D12+E12-1,0),IF(H12&gt;0,G12+H12-1,0))</f>
        <v>18</v>
      </c>
    </row>
    <row r="13" customFormat="false" ht="15" hidden="false" customHeight="false" outlineLevel="0" collapsed="false">
      <c r="A13" s="0" t="str">
        <f aca="false">'GEN SUMMARY'!A15</f>
        <v>F</v>
      </c>
      <c r="B13" s="0" t="str">
        <f aca="false">TRIM('GEN SUMMARY'!B15)</f>
        <v>GROUND FLOOR</v>
      </c>
      <c r="C13" s="14" t="n">
        <f aca="false">'GEN SUMMARY'!H15</f>
        <v>209169.989545498</v>
      </c>
      <c r="D13" s="28" t="n">
        <v>5</v>
      </c>
      <c r="E13" s="28" t="n">
        <v>3</v>
      </c>
      <c r="F13" s="29" t="n">
        <v>0.5</v>
      </c>
      <c r="G13" s="28" t="n">
        <v>8</v>
      </c>
      <c r="H13" s="28" t="n">
        <v>13</v>
      </c>
      <c r="I13" s="30" t="n">
        <f aca="false">1-F13</f>
        <v>0.5</v>
      </c>
      <c r="K13" s="14" t="n">
        <f aca="false">IF(AND($E13&gt;0,K$6&gt;=$D13,K$6&lt;$D13+$E13),$C13*$F13/$E13,0)+IF(AND($H13&gt;0,K$6&gt;=$G13,K$6&lt;$G13+$H13),$C13*$I13/$H13,0)</f>
        <v>0</v>
      </c>
      <c r="L13" s="14" t="n">
        <f aca="false">IF(AND($E13&gt;0,L$6&gt;=$D13,L$6&lt;$D13+$E13),$C13*$F13/$E13,0)+IF(AND($H13&gt;0,L$6&gt;=$G13,L$6&lt;$G13+$H13),$C13*$I13/$H13,0)</f>
        <v>0</v>
      </c>
      <c r="M13" s="14" t="n">
        <f aca="false">IF(AND($E13&gt;0,M$6&gt;=$D13,M$6&lt;$D13+$E13),$C13*$F13/$E13,0)+IF(AND($H13&gt;0,M$6&gt;=$G13,M$6&lt;$G13+$H13),$C13*$I13/$H13,0)</f>
        <v>0</v>
      </c>
      <c r="N13" s="14" t="n">
        <f aca="false">IF(AND($E13&gt;0,N$6&gt;=$D13,N$6&lt;$D13+$E13),$C13*$F13/$E13,0)+IF(AND($H13&gt;0,N$6&gt;=$G13,N$6&lt;$G13+$H13),$C13*$I13/$H13,0)</f>
        <v>0</v>
      </c>
      <c r="O13" s="14" t="n">
        <f aca="false">IF(AND($E13&gt;0,O$6&gt;=$D13,O$6&lt;$D13+$E13),$C13*$F13/$E13,0)+IF(AND($H13&gt;0,O$6&gt;=$G13,O$6&lt;$G13+$H13),$C13*$I13/$H13,0)</f>
        <v>0</v>
      </c>
      <c r="P13" s="14" t="n">
        <f aca="false">IF(AND($E13&gt;0,P$6&gt;=$D13,P$6&lt;$D13+$E13),$C13*$F13/$E13,0)+IF(AND($H13&gt;0,P$6&gt;=$G13,P$6&lt;$G13+$H13),$C13*$I13/$H13,0)</f>
        <v>34861.6649242497</v>
      </c>
      <c r="Q13" s="14" t="n">
        <f aca="false">IF(AND($E13&gt;0,Q$6&gt;=$D13,Q$6&lt;$D13+$E13),$C13*$F13/$E13,0)+IF(AND($H13&gt;0,Q$6&gt;=$G13,Q$6&lt;$G13+$H13),$C13*$I13/$H13,0)</f>
        <v>34861.6649242497</v>
      </c>
      <c r="R13" s="14" t="n">
        <f aca="false">IF(AND($E13&gt;0,R$6&gt;=$D13,R$6&lt;$D13+$E13),$C13*$F13/$E13,0)+IF(AND($H13&gt;0,R$6&gt;=$G13,R$6&lt;$G13+$H13),$C13*$I13/$H13,0)</f>
        <v>34861.6649242497</v>
      </c>
      <c r="S13" s="14" t="n">
        <f aca="false">IF(AND($E13&gt;0,S$6&gt;=$D13,S$6&lt;$D13+$E13),$C13*$F13/$E13,0)+IF(AND($H13&gt;0,S$6&gt;=$G13,S$6&lt;$G13+$H13),$C13*$I13/$H13,0)</f>
        <v>8044.99959790379</v>
      </c>
      <c r="T13" s="14" t="n">
        <f aca="false">IF(AND($E13&gt;0,T$6&gt;=$D13,T$6&lt;$D13+$E13),$C13*$F13/$E13,0)+IF(AND($H13&gt;0,T$6&gt;=$G13,T$6&lt;$G13+$H13),$C13*$I13/$H13,0)</f>
        <v>8044.99959790379</v>
      </c>
      <c r="U13" s="14" t="n">
        <f aca="false">IF(AND($E13&gt;0,U$6&gt;=$D13,U$6&lt;$D13+$E13),$C13*$F13/$E13,0)+IF(AND($H13&gt;0,U$6&gt;=$G13,U$6&lt;$G13+$H13),$C13*$I13/$H13,0)</f>
        <v>8044.99959790379</v>
      </c>
      <c r="V13" s="14" t="n">
        <f aca="false">IF(AND($E13&gt;0,V$6&gt;=$D13,V$6&lt;$D13+$E13),$C13*$F13/$E13,0)+IF(AND($H13&gt;0,V$6&gt;=$G13,V$6&lt;$G13+$H13),$C13*$I13/$H13,0)</f>
        <v>8044.99959790379</v>
      </c>
      <c r="W13" s="14" t="n">
        <f aca="false">IF(AND($E13&gt;0,W$6&gt;=$D13,W$6&lt;$D13+$E13),$C13*$F13/$E13,0)+IF(AND($H13&gt;0,W$6&gt;=$G13,W$6&lt;$G13+$H13),$C13*$I13/$H13,0)</f>
        <v>8044.99959790379</v>
      </c>
      <c r="X13" s="14" t="n">
        <f aca="false">IF(AND($E13&gt;0,X$6&gt;=$D13,X$6&lt;$D13+$E13),$C13*$F13/$E13,0)+IF(AND($H13&gt;0,X$6&gt;=$G13,X$6&lt;$G13+$H13),$C13*$I13/$H13,0)</f>
        <v>8044.99959790379</v>
      </c>
      <c r="Y13" s="14" t="n">
        <f aca="false">IF(AND($E13&gt;0,Y$6&gt;=$D13,Y$6&lt;$D13+$E13),$C13*$F13/$E13,0)+IF(AND($H13&gt;0,Y$6&gt;=$G13,Y$6&lt;$G13+$H13),$C13*$I13/$H13,0)</f>
        <v>8044.99959790379</v>
      </c>
      <c r="Z13" s="14" t="n">
        <f aca="false">IF(AND($E13&gt;0,Z$6&gt;=$D13,Z$6&lt;$D13+$E13),$C13*$F13/$E13,0)+IF(AND($H13&gt;0,Z$6&gt;=$G13,Z$6&lt;$G13+$H13),$C13*$I13/$H13,0)</f>
        <v>8044.99959790379</v>
      </c>
      <c r="AA13" s="14" t="n">
        <f aca="false">IF(AND($E13&gt;0,AA$6&gt;=$D13,AA$6&lt;$D13+$E13),$C13*$F13/$E13,0)+IF(AND($H13&gt;0,AA$6&gt;=$G13,AA$6&lt;$G13+$H13),$C13*$I13/$H13,0)</f>
        <v>8044.99959790379</v>
      </c>
      <c r="AB13" s="14" t="n">
        <f aca="false">IF(AND($E13&gt;0,AB$6&gt;=$D13,AB$6&lt;$D13+$E13),$C13*$F13/$E13,0)+IF(AND($H13&gt;0,AB$6&gt;=$G13,AB$6&lt;$G13+$H13),$C13*$I13/$H13,0)</f>
        <v>8044.99959790379</v>
      </c>
      <c r="AC13" s="14" t="n">
        <f aca="false">IF(AND($E13&gt;0,AC$6&gt;=$D13,AC$6&lt;$D13+$E13),$C13*$F13/$E13,0)+IF(AND($H13&gt;0,AC$6&gt;=$G13,AC$6&lt;$G13+$H13),$C13*$I13/$H13,0)</f>
        <v>8044.99959790379</v>
      </c>
      <c r="AD13" s="14" t="n">
        <f aca="false">IF(AND($E13&gt;0,AD$6&gt;=$D13,AD$6&lt;$D13+$E13),$C13*$F13/$E13,0)+IF(AND($H13&gt;0,AD$6&gt;=$G13,AD$6&lt;$G13+$H13),$C13*$I13/$H13,0)</f>
        <v>8044.99959790379</v>
      </c>
      <c r="AE13" s="14" t="n">
        <f aca="false">IF(AND($E13&gt;0,AE$6&gt;=$D13,AE$6&lt;$D13+$E13),$C13*$F13/$E13,0)+IF(AND($H13&gt;0,AE$6&gt;=$G13,AE$6&lt;$G13+$H13),$C13*$I13/$H13,0)</f>
        <v>8044.99959790379</v>
      </c>
      <c r="AF13" s="14" t="n">
        <f aca="false">IF(AND($E13&gt;0,AF$6&gt;=$D13,AF$6&lt;$D13+$E13),$C13*$F13/$E13,0)+IF(AND($H13&gt;0,AF$6&gt;=$G13,AF$6&lt;$G13+$H13),$C13*$I13/$H13,0)</f>
        <v>0</v>
      </c>
      <c r="AG13" s="14" t="n">
        <f aca="false">IF(AND($E13&gt;0,AG$6&gt;=$D13,AG$6&lt;$D13+$E13),$C13*$F13/$E13,0)+IF(AND($H13&gt;0,AG$6&gt;=$G13,AG$6&lt;$G13+$H13),$C13*$I13/$H13,0)</f>
        <v>0</v>
      </c>
      <c r="AH13" s="14" t="n">
        <f aca="false">IF(AND($E13&gt;0,AH$6&gt;=$D13,AH$6&lt;$D13+$E13),$C13*$F13/$E13,0)+IF(AND($H13&gt;0,AH$6&gt;=$G13,AH$6&lt;$G13+$H13),$C13*$I13/$H13,0)</f>
        <v>0</v>
      </c>
      <c r="AI13" s="14" t="n">
        <f aca="false">IF(AND($E13&gt;0,AI$6&gt;=$D13,AI$6&lt;$D13+$E13),$C13*$F13/$E13,0)+IF(AND($H13&gt;0,AI$6&gt;=$G13,AI$6&lt;$G13+$H13),$C13*$I13/$H13,0)</f>
        <v>0</v>
      </c>
      <c r="AJ13" s="14" t="n">
        <f aca="false">IF(AND($E13&gt;0,AJ$6&gt;=$D13,AJ$6&lt;$D13+$E13),$C13*$F13/$E13,0)+IF(AND($H13&gt;0,AJ$6&gt;=$G13,AJ$6&lt;$G13+$H13),$C13*$I13/$H13,0)</f>
        <v>0</v>
      </c>
      <c r="AK13" s="14" t="n">
        <f aca="false">IF(AND($E13&gt;0,AK$6&gt;=$D13,AK$6&lt;$D13+$E13),$C13*$F13/$E13,0)+IF(AND($H13&gt;0,AK$6&gt;=$G13,AK$6&lt;$G13+$H13),$C13*$I13/$H13,0)</f>
        <v>0</v>
      </c>
      <c r="AL13" s="14" t="n">
        <f aca="false">IF(AND($E13&gt;0,AL$6&gt;=$D13,AL$6&lt;$D13+$E13),$C13*$F13/$E13,0)+IF(AND($H13&gt;0,AL$6&gt;=$G13,AL$6&lt;$G13+$H13),$C13*$I13/$H13,0)</f>
        <v>0</v>
      </c>
      <c r="AM13" s="14" t="n">
        <f aca="false">IF(AND($E13&gt;0,AM$6&gt;=$D13,AM$6&lt;$D13+$E13),$C13*$F13/$E13,0)+IF(AND($H13&gt;0,AM$6&gt;=$G13,AM$6&lt;$G13+$H13),$C13*$I13/$H13,0)</f>
        <v>0</v>
      </c>
      <c r="AN13" s="14" t="n">
        <f aca="false">IF(AND($E13&gt;0,AN$6&gt;=$D13,AN$6&lt;$D13+$E13),$C13*$F13/$E13,0)+IF(AND($H13&gt;0,AN$6&gt;=$G13,AN$6&lt;$G13+$H13),$C13*$I13/$H13,0)</f>
        <v>0</v>
      </c>
      <c r="AO13" s="14" t="n">
        <f aca="false">IF(AND($E13&gt;0,AO$6&gt;=$D13,AO$6&lt;$D13+$E13),$C13*$F13/$E13,0)+IF(AND($H13&gt;0,AO$6&gt;=$G13,AO$6&lt;$G13+$H13),$C13*$I13/$H13,0)</f>
        <v>0</v>
      </c>
      <c r="AP13" s="14" t="n">
        <f aca="false">IF(AND($E13&gt;0,AP$6&gt;=$D13,AP$6&lt;$D13+$E13),$C13*$F13/$E13,0)+IF(AND($H13&gt;0,AP$6&gt;=$G13,AP$6&lt;$G13+$H13),$C13*$I13/$H13,0)</f>
        <v>0</v>
      </c>
      <c r="AQ13" s="14" t="n">
        <f aca="false">IF(AND($E13&gt;0,AQ$6&gt;=$D13,AQ$6&lt;$D13+$E13),$C13*$F13/$E13,0)+IF(AND($H13&gt;0,AQ$6&gt;=$G13,AQ$6&lt;$G13+$H13),$C13*$I13/$H13,0)</f>
        <v>0</v>
      </c>
      <c r="AR13" s="14" t="n">
        <f aca="false">IF(AND($E13&gt;0,AR$6&gt;=$D13,AR$6&lt;$D13+$E13),$C13*$F13/$E13,0)+IF(AND($H13&gt;0,AR$6&gt;=$G13,AR$6&lt;$G13+$H13),$C13*$I13/$H13,0)</f>
        <v>0</v>
      </c>
      <c r="AS13" s="14" t="n">
        <f aca="false">IF(AND($E13&gt;0,AS$6&gt;=$D13,AS$6&lt;$D13+$E13),$C13*$F13/$E13,0)+IF(AND($H13&gt;0,AS$6&gt;=$G13,AS$6&lt;$G13+$H13),$C13*$I13/$H13,0)</f>
        <v>0</v>
      </c>
      <c r="AT13" s="14" t="n">
        <f aca="false">IF(AND($E13&gt;0,AT$6&gt;=$D13,AT$6&lt;$D13+$E13),$C13*$F13/$E13,0)+IF(AND($H13&gt;0,AT$6&gt;=$G13,AT$6&lt;$G13+$H13),$C13*$I13/$H13,0)</f>
        <v>0</v>
      </c>
      <c r="AU13" s="14" t="n">
        <f aca="false">IF(AND($E13&gt;0,AU$6&gt;=$D13,AU$6&lt;$D13+$E13),$C13*$F13/$E13,0)+IF(AND($H13&gt;0,AU$6&gt;=$G13,AU$6&lt;$G13+$H13),$C13*$I13/$H13,0)</f>
        <v>0</v>
      </c>
      <c r="AV13" s="14" t="n">
        <f aca="false">SUM(K13:AU13)</f>
        <v>209169.989545498</v>
      </c>
      <c r="AW13" s="14" t="n">
        <f aca="false">ROUND(AV13-C13,2)</f>
        <v>0</v>
      </c>
      <c r="AX13" s="31" t="n">
        <f aca="false">MAX(IF(E13&gt;0,D13+E13-1,0),IF(H13&gt;0,G13+H13-1,0))</f>
        <v>20</v>
      </c>
    </row>
    <row r="14" customFormat="false" ht="15" hidden="false" customHeight="false" outlineLevel="0" collapsed="false">
      <c r="A14" s="0" t="str">
        <f aca="false">'GEN SUMMARY'!A17</f>
        <v>G</v>
      </c>
      <c r="B14" s="0" t="str">
        <f aca="false">TRIM('GEN SUMMARY'!B17)</f>
        <v>FIRST FLOOR</v>
      </c>
      <c r="C14" s="14" t="n">
        <f aca="false">'GEN SUMMARY'!H17</f>
        <v>278893.319393998</v>
      </c>
      <c r="D14" s="28" t="n">
        <v>7</v>
      </c>
      <c r="E14" s="28" t="n">
        <v>3</v>
      </c>
      <c r="F14" s="29" t="n">
        <v>0.5</v>
      </c>
      <c r="G14" s="28" t="n">
        <v>10</v>
      </c>
      <c r="H14" s="28" t="n">
        <v>12</v>
      </c>
      <c r="I14" s="30" t="n">
        <f aca="false">1-F14</f>
        <v>0.5</v>
      </c>
      <c r="K14" s="14" t="n">
        <f aca="false">IF(AND($E14&gt;0,K$6&gt;=$D14,K$6&lt;$D14+$E14),$C14*$F14/$E14,0)+IF(AND($H14&gt;0,K$6&gt;=$G14,K$6&lt;$G14+$H14),$C14*$I14/$H14,0)</f>
        <v>0</v>
      </c>
      <c r="L14" s="14" t="n">
        <f aca="false">IF(AND($E14&gt;0,L$6&gt;=$D14,L$6&lt;$D14+$E14),$C14*$F14/$E14,0)+IF(AND($H14&gt;0,L$6&gt;=$G14,L$6&lt;$G14+$H14),$C14*$I14/$H14,0)</f>
        <v>0</v>
      </c>
      <c r="M14" s="14" t="n">
        <f aca="false">IF(AND($E14&gt;0,M$6&gt;=$D14,M$6&lt;$D14+$E14),$C14*$F14/$E14,0)+IF(AND($H14&gt;0,M$6&gt;=$G14,M$6&lt;$G14+$H14),$C14*$I14/$H14,0)</f>
        <v>0</v>
      </c>
      <c r="N14" s="14" t="n">
        <f aca="false">IF(AND($E14&gt;0,N$6&gt;=$D14,N$6&lt;$D14+$E14),$C14*$F14/$E14,0)+IF(AND($H14&gt;0,N$6&gt;=$G14,N$6&lt;$G14+$H14),$C14*$I14/$H14,0)</f>
        <v>0</v>
      </c>
      <c r="O14" s="14" t="n">
        <f aca="false">IF(AND($E14&gt;0,O$6&gt;=$D14,O$6&lt;$D14+$E14),$C14*$F14/$E14,0)+IF(AND($H14&gt;0,O$6&gt;=$G14,O$6&lt;$G14+$H14),$C14*$I14/$H14,0)</f>
        <v>0</v>
      </c>
      <c r="P14" s="14" t="n">
        <f aca="false">IF(AND($E14&gt;0,P$6&gt;=$D14,P$6&lt;$D14+$E14),$C14*$F14/$E14,0)+IF(AND($H14&gt;0,P$6&gt;=$G14,P$6&lt;$G14+$H14),$C14*$I14/$H14,0)</f>
        <v>0</v>
      </c>
      <c r="Q14" s="14" t="n">
        <f aca="false">IF(AND($E14&gt;0,Q$6&gt;=$D14,Q$6&lt;$D14+$E14),$C14*$F14/$E14,0)+IF(AND($H14&gt;0,Q$6&gt;=$G14,Q$6&lt;$G14+$H14),$C14*$I14/$H14,0)</f>
        <v>0</v>
      </c>
      <c r="R14" s="14" t="n">
        <f aca="false">IF(AND($E14&gt;0,R$6&gt;=$D14,R$6&lt;$D14+$E14),$C14*$F14/$E14,0)+IF(AND($H14&gt;0,R$6&gt;=$G14,R$6&lt;$G14+$H14),$C14*$I14/$H14,0)</f>
        <v>46482.2198989997</v>
      </c>
      <c r="S14" s="14" t="n">
        <f aca="false">IF(AND($E14&gt;0,S$6&gt;=$D14,S$6&lt;$D14+$E14),$C14*$F14/$E14,0)+IF(AND($H14&gt;0,S$6&gt;=$G14,S$6&lt;$G14+$H14),$C14*$I14/$H14,0)</f>
        <v>46482.2198989997</v>
      </c>
      <c r="T14" s="14" t="n">
        <f aca="false">IF(AND($E14&gt;0,T$6&gt;=$D14,T$6&lt;$D14+$E14),$C14*$F14/$E14,0)+IF(AND($H14&gt;0,T$6&gt;=$G14,T$6&lt;$G14+$H14),$C14*$I14/$H14,0)</f>
        <v>46482.2198989997</v>
      </c>
      <c r="U14" s="14" t="n">
        <f aca="false">IF(AND($E14&gt;0,U$6&gt;=$D14,U$6&lt;$D14+$E14),$C14*$F14/$E14,0)+IF(AND($H14&gt;0,U$6&gt;=$G14,U$6&lt;$G14+$H14),$C14*$I14/$H14,0)</f>
        <v>11620.5549747499</v>
      </c>
      <c r="V14" s="14" t="n">
        <f aca="false">IF(AND($E14&gt;0,V$6&gt;=$D14,V$6&lt;$D14+$E14),$C14*$F14/$E14,0)+IF(AND($H14&gt;0,V$6&gt;=$G14,V$6&lt;$G14+$H14),$C14*$I14/$H14,0)</f>
        <v>11620.5549747499</v>
      </c>
      <c r="W14" s="14" t="n">
        <f aca="false">IF(AND($E14&gt;0,W$6&gt;=$D14,W$6&lt;$D14+$E14),$C14*$F14/$E14,0)+IF(AND($H14&gt;0,W$6&gt;=$G14,W$6&lt;$G14+$H14),$C14*$I14/$H14,0)</f>
        <v>11620.5549747499</v>
      </c>
      <c r="X14" s="14" t="n">
        <f aca="false">IF(AND($E14&gt;0,X$6&gt;=$D14,X$6&lt;$D14+$E14),$C14*$F14/$E14,0)+IF(AND($H14&gt;0,X$6&gt;=$G14,X$6&lt;$G14+$H14),$C14*$I14/$H14,0)</f>
        <v>11620.5549747499</v>
      </c>
      <c r="Y14" s="14" t="n">
        <f aca="false">IF(AND($E14&gt;0,Y$6&gt;=$D14,Y$6&lt;$D14+$E14),$C14*$F14/$E14,0)+IF(AND($H14&gt;0,Y$6&gt;=$G14,Y$6&lt;$G14+$H14),$C14*$I14/$H14,0)</f>
        <v>11620.5549747499</v>
      </c>
      <c r="Z14" s="14" t="n">
        <f aca="false">IF(AND($E14&gt;0,Z$6&gt;=$D14,Z$6&lt;$D14+$E14),$C14*$F14/$E14,0)+IF(AND($H14&gt;0,Z$6&gt;=$G14,Z$6&lt;$G14+$H14),$C14*$I14/$H14,0)</f>
        <v>11620.5549747499</v>
      </c>
      <c r="AA14" s="14" t="n">
        <f aca="false">IF(AND($E14&gt;0,AA$6&gt;=$D14,AA$6&lt;$D14+$E14),$C14*$F14/$E14,0)+IF(AND($H14&gt;0,AA$6&gt;=$G14,AA$6&lt;$G14+$H14),$C14*$I14/$H14,0)</f>
        <v>11620.5549747499</v>
      </c>
      <c r="AB14" s="14" t="n">
        <f aca="false">IF(AND($E14&gt;0,AB$6&gt;=$D14,AB$6&lt;$D14+$E14),$C14*$F14/$E14,0)+IF(AND($H14&gt;0,AB$6&gt;=$G14,AB$6&lt;$G14+$H14),$C14*$I14/$H14,0)</f>
        <v>11620.5549747499</v>
      </c>
      <c r="AC14" s="14" t="n">
        <f aca="false">IF(AND($E14&gt;0,AC$6&gt;=$D14,AC$6&lt;$D14+$E14),$C14*$F14/$E14,0)+IF(AND($H14&gt;0,AC$6&gt;=$G14,AC$6&lt;$G14+$H14),$C14*$I14/$H14,0)</f>
        <v>11620.5549747499</v>
      </c>
      <c r="AD14" s="14" t="n">
        <f aca="false">IF(AND($E14&gt;0,AD$6&gt;=$D14,AD$6&lt;$D14+$E14),$C14*$F14/$E14,0)+IF(AND($H14&gt;0,AD$6&gt;=$G14,AD$6&lt;$G14+$H14),$C14*$I14/$H14,0)</f>
        <v>11620.5549747499</v>
      </c>
      <c r="AE14" s="14" t="n">
        <f aca="false">IF(AND($E14&gt;0,AE$6&gt;=$D14,AE$6&lt;$D14+$E14),$C14*$F14/$E14,0)+IF(AND($H14&gt;0,AE$6&gt;=$G14,AE$6&lt;$G14+$H14),$C14*$I14/$H14,0)</f>
        <v>11620.5549747499</v>
      </c>
      <c r="AF14" s="14" t="n">
        <f aca="false">IF(AND($E14&gt;0,AF$6&gt;=$D14,AF$6&lt;$D14+$E14),$C14*$F14/$E14,0)+IF(AND($H14&gt;0,AF$6&gt;=$G14,AF$6&lt;$G14+$H14),$C14*$I14/$H14,0)</f>
        <v>11620.5549747499</v>
      </c>
      <c r="AG14" s="14" t="n">
        <f aca="false">IF(AND($E14&gt;0,AG$6&gt;=$D14,AG$6&lt;$D14+$E14),$C14*$F14/$E14,0)+IF(AND($H14&gt;0,AG$6&gt;=$G14,AG$6&lt;$G14+$H14),$C14*$I14/$H14,0)</f>
        <v>0</v>
      </c>
      <c r="AH14" s="14" t="n">
        <f aca="false">IF(AND($E14&gt;0,AH$6&gt;=$D14,AH$6&lt;$D14+$E14),$C14*$F14/$E14,0)+IF(AND($H14&gt;0,AH$6&gt;=$G14,AH$6&lt;$G14+$H14),$C14*$I14/$H14,0)</f>
        <v>0</v>
      </c>
      <c r="AI14" s="14" t="n">
        <f aca="false">IF(AND($E14&gt;0,AI$6&gt;=$D14,AI$6&lt;$D14+$E14),$C14*$F14/$E14,0)+IF(AND($H14&gt;0,AI$6&gt;=$G14,AI$6&lt;$G14+$H14),$C14*$I14/$H14,0)</f>
        <v>0</v>
      </c>
      <c r="AJ14" s="14" t="n">
        <f aca="false">IF(AND($E14&gt;0,AJ$6&gt;=$D14,AJ$6&lt;$D14+$E14),$C14*$F14/$E14,0)+IF(AND($H14&gt;0,AJ$6&gt;=$G14,AJ$6&lt;$G14+$H14),$C14*$I14/$H14,0)</f>
        <v>0</v>
      </c>
      <c r="AK14" s="14" t="n">
        <f aca="false">IF(AND($E14&gt;0,AK$6&gt;=$D14,AK$6&lt;$D14+$E14),$C14*$F14/$E14,0)+IF(AND($H14&gt;0,AK$6&gt;=$G14,AK$6&lt;$G14+$H14),$C14*$I14/$H14,0)</f>
        <v>0</v>
      </c>
      <c r="AL14" s="14" t="n">
        <f aca="false">IF(AND($E14&gt;0,AL$6&gt;=$D14,AL$6&lt;$D14+$E14),$C14*$F14/$E14,0)+IF(AND($H14&gt;0,AL$6&gt;=$G14,AL$6&lt;$G14+$H14),$C14*$I14/$H14,0)</f>
        <v>0</v>
      </c>
      <c r="AM14" s="14" t="n">
        <f aca="false">IF(AND($E14&gt;0,AM$6&gt;=$D14,AM$6&lt;$D14+$E14),$C14*$F14/$E14,0)+IF(AND($H14&gt;0,AM$6&gt;=$G14,AM$6&lt;$G14+$H14),$C14*$I14/$H14,0)</f>
        <v>0</v>
      </c>
      <c r="AN14" s="14" t="n">
        <f aca="false">IF(AND($E14&gt;0,AN$6&gt;=$D14,AN$6&lt;$D14+$E14),$C14*$F14/$E14,0)+IF(AND($H14&gt;0,AN$6&gt;=$G14,AN$6&lt;$G14+$H14),$C14*$I14/$H14,0)</f>
        <v>0</v>
      </c>
      <c r="AO14" s="14" t="n">
        <f aca="false">IF(AND($E14&gt;0,AO$6&gt;=$D14,AO$6&lt;$D14+$E14),$C14*$F14/$E14,0)+IF(AND($H14&gt;0,AO$6&gt;=$G14,AO$6&lt;$G14+$H14),$C14*$I14/$H14,0)</f>
        <v>0</v>
      </c>
      <c r="AP14" s="14" t="n">
        <f aca="false">IF(AND($E14&gt;0,AP$6&gt;=$D14,AP$6&lt;$D14+$E14),$C14*$F14/$E14,0)+IF(AND($H14&gt;0,AP$6&gt;=$G14,AP$6&lt;$G14+$H14),$C14*$I14/$H14,0)</f>
        <v>0</v>
      </c>
      <c r="AQ14" s="14" t="n">
        <f aca="false">IF(AND($E14&gt;0,AQ$6&gt;=$D14,AQ$6&lt;$D14+$E14),$C14*$F14/$E14,0)+IF(AND($H14&gt;0,AQ$6&gt;=$G14,AQ$6&lt;$G14+$H14),$C14*$I14/$H14,0)</f>
        <v>0</v>
      </c>
      <c r="AR14" s="14" t="n">
        <f aca="false">IF(AND($E14&gt;0,AR$6&gt;=$D14,AR$6&lt;$D14+$E14),$C14*$F14/$E14,0)+IF(AND($H14&gt;0,AR$6&gt;=$G14,AR$6&lt;$G14+$H14),$C14*$I14/$H14,0)</f>
        <v>0</v>
      </c>
      <c r="AS14" s="14" t="n">
        <f aca="false">IF(AND($E14&gt;0,AS$6&gt;=$D14,AS$6&lt;$D14+$E14),$C14*$F14/$E14,0)+IF(AND($H14&gt;0,AS$6&gt;=$G14,AS$6&lt;$G14+$H14),$C14*$I14/$H14,0)</f>
        <v>0</v>
      </c>
      <c r="AT14" s="14" t="n">
        <f aca="false">IF(AND($E14&gt;0,AT$6&gt;=$D14,AT$6&lt;$D14+$E14),$C14*$F14/$E14,0)+IF(AND($H14&gt;0,AT$6&gt;=$G14,AT$6&lt;$G14+$H14),$C14*$I14/$H14,0)</f>
        <v>0</v>
      </c>
      <c r="AU14" s="14" t="n">
        <f aca="false">IF(AND($E14&gt;0,AU$6&gt;=$D14,AU$6&lt;$D14+$E14),$C14*$F14/$E14,0)+IF(AND($H14&gt;0,AU$6&gt;=$G14,AU$6&lt;$G14+$H14),$C14*$I14/$H14,0)</f>
        <v>0</v>
      </c>
      <c r="AV14" s="14" t="n">
        <f aca="false">SUM(K14:AU14)</f>
        <v>278893.319393998</v>
      </c>
      <c r="AW14" s="14" t="n">
        <f aca="false">ROUND(AV14-C14,2)</f>
        <v>0</v>
      </c>
      <c r="AX14" s="31" t="n">
        <f aca="false">MAX(IF(E14&gt;0,D14+E14-1,0),IF(H14&gt;0,G14+H14-1,0))</f>
        <v>21</v>
      </c>
    </row>
    <row r="15" customFormat="false" ht="15" hidden="false" customHeight="false" outlineLevel="0" collapsed="false">
      <c r="A15" s="0" t="str">
        <f aca="false">'GEN SUMMARY'!A19</f>
        <v>H</v>
      </c>
      <c r="B15" s="0" t="str">
        <f aca="false">TRIM('GEN SUMMARY'!B19)</f>
        <v>SECOND FLOOR</v>
      </c>
      <c r="C15" s="14" t="n">
        <f aca="false">'GEN SUMMARY'!H19</f>
        <v>278893.319393998</v>
      </c>
      <c r="D15" s="28" t="n">
        <v>9</v>
      </c>
      <c r="E15" s="28" t="n">
        <v>3</v>
      </c>
      <c r="F15" s="29" t="n">
        <v>0.5</v>
      </c>
      <c r="G15" s="28" t="n">
        <v>12</v>
      </c>
      <c r="H15" s="28" t="n">
        <v>10</v>
      </c>
      <c r="I15" s="30" t="n">
        <f aca="false">1-F15</f>
        <v>0.5</v>
      </c>
      <c r="K15" s="14" t="n">
        <f aca="false">IF(AND($E15&gt;0,K$6&gt;=$D15,K$6&lt;$D15+$E15),$C15*$F15/$E15,0)+IF(AND($H15&gt;0,K$6&gt;=$G15,K$6&lt;$G15+$H15),$C15*$I15/$H15,0)</f>
        <v>0</v>
      </c>
      <c r="L15" s="14" t="n">
        <f aca="false">IF(AND($E15&gt;0,L$6&gt;=$D15,L$6&lt;$D15+$E15),$C15*$F15/$E15,0)+IF(AND($H15&gt;0,L$6&gt;=$G15,L$6&lt;$G15+$H15),$C15*$I15/$H15,0)</f>
        <v>0</v>
      </c>
      <c r="M15" s="14" t="n">
        <f aca="false">IF(AND($E15&gt;0,M$6&gt;=$D15,M$6&lt;$D15+$E15),$C15*$F15/$E15,0)+IF(AND($H15&gt;0,M$6&gt;=$G15,M$6&lt;$G15+$H15),$C15*$I15/$H15,0)</f>
        <v>0</v>
      </c>
      <c r="N15" s="14" t="n">
        <f aca="false">IF(AND($E15&gt;0,N$6&gt;=$D15,N$6&lt;$D15+$E15),$C15*$F15/$E15,0)+IF(AND($H15&gt;0,N$6&gt;=$G15,N$6&lt;$G15+$H15),$C15*$I15/$H15,0)</f>
        <v>0</v>
      </c>
      <c r="O15" s="14" t="n">
        <f aca="false">IF(AND($E15&gt;0,O$6&gt;=$D15,O$6&lt;$D15+$E15),$C15*$F15/$E15,0)+IF(AND($H15&gt;0,O$6&gt;=$G15,O$6&lt;$G15+$H15),$C15*$I15/$H15,0)</f>
        <v>0</v>
      </c>
      <c r="P15" s="14" t="n">
        <f aca="false">IF(AND($E15&gt;0,P$6&gt;=$D15,P$6&lt;$D15+$E15),$C15*$F15/$E15,0)+IF(AND($H15&gt;0,P$6&gt;=$G15,P$6&lt;$G15+$H15),$C15*$I15/$H15,0)</f>
        <v>0</v>
      </c>
      <c r="Q15" s="14" t="n">
        <f aca="false">IF(AND($E15&gt;0,Q$6&gt;=$D15,Q$6&lt;$D15+$E15),$C15*$F15/$E15,0)+IF(AND($H15&gt;0,Q$6&gt;=$G15,Q$6&lt;$G15+$H15),$C15*$I15/$H15,0)</f>
        <v>0</v>
      </c>
      <c r="R15" s="14" t="n">
        <f aca="false">IF(AND($E15&gt;0,R$6&gt;=$D15,R$6&lt;$D15+$E15),$C15*$F15/$E15,0)+IF(AND($H15&gt;0,R$6&gt;=$G15,R$6&lt;$G15+$H15),$C15*$I15/$H15,0)</f>
        <v>0</v>
      </c>
      <c r="S15" s="14" t="n">
        <f aca="false">IF(AND($E15&gt;0,S$6&gt;=$D15,S$6&lt;$D15+$E15),$C15*$F15/$E15,0)+IF(AND($H15&gt;0,S$6&gt;=$G15,S$6&lt;$G15+$H15),$C15*$I15/$H15,0)</f>
        <v>0</v>
      </c>
      <c r="T15" s="14" t="n">
        <f aca="false">IF(AND($E15&gt;0,T$6&gt;=$D15,T$6&lt;$D15+$E15),$C15*$F15/$E15,0)+IF(AND($H15&gt;0,T$6&gt;=$G15,T$6&lt;$G15+$H15),$C15*$I15/$H15,0)</f>
        <v>46482.2198989997</v>
      </c>
      <c r="U15" s="14" t="n">
        <f aca="false">IF(AND($E15&gt;0,U$6&gt;=$D15,U$6&lt;$D15+$E15),$C15*$F15/$E15,0)+IF(AND($H15&gt;0,U$6&gt;=$G15,U$6&lt;$G15+$H15),$C15*$I15/$H15,0)</f>
        <v>46482.2198989997</v>
      </c>
      <c r="V15" s="14" t="n">
        <f aca="false">IF(AND($E15&gt;0,V$6&gt;=$D15,V$6&lt;$D15+$E15),$C15*$F15/$E15,0)+IF(AND($H15&gt;0,V$6&gt;=$G15,V$6&lt;$G15+$H15),$C15*$I15/$H15,0)</f>
        <v>46482.2198989997</v>
      </c>
      <c r="W15" s="14" t="n">
        <f aca="false">IF(AND($E15&gt;0,W$6&gt;=$D15,W$6&lt;$D15+$E15),$C15*$F15/$E15,0)+IF(AND($H15&gt;0,W$6&gt;=$G15,W$6&lt;$G15+$H15),$C15*$I15/$H15,0)</f>
        <v>13944.6659696999</v>
      </c>
      <c r="X15" s="14" t="n">
        <f aca="false">IF(AND($E15&gt;0,X$6&gt;=$D15,X$6&lt;$D15+$E15),$C15*$F15/$E15,0)+IF(AND($H15&gt;0,X$6&gt;=$G15,X$6&lt;$G15+$H15),$C15*$I15/$H15,0)</f>
        <v>13944.6659696999</v>
      </c>
      <c r="Y15" s="14" t="n">
        <f aca="false">IF(AND($E15&gt;0,Y$6&gt;=$D15,Y$6&lt;$D15+$E15),$C15*$F15/$E15,0)+IF(AND($H15&gt;0,Y$6&gt;=$G15,Y$6&lt;$G15+$H15),$C15*$I15/$H15,0)</f>
        <v>13944.6659696999</v>
      </c>
      <c r="Z15" s="14" t="n">
        <f aca="false">IF(AND($E15&gt;0,Z$6&gt;=$D15,Z$6&lt;$D15+$E15),$C15*$F15/$E15,0)+IF(AND($H15&gt;0,Z$6&gt;=$G15,Z$6&lt;$G15+$H15),$C15*$I15/$H15,0)</f>
        <v>13944.6659696999</v>
      </c>
      <c r="AA15" s="14" t="n">
        <f aca="false">IF(AND($E15&gt;0,AA$6&gt;=$D15,AA$6&lt;$D15+$E15),$C15*$F15/$E15,0)+IF(AND($H15&gt;0,AA$6&gt;=$G15,AA$6&lt;$G15+$H15),$C15*$I15/$H15,0)</f>
        <v>13944.6659696999</v>
      </c>
      <c r="AB15" s="14" t="n">
        <f aca="false">IF(AND($E15&gt;0,AB$6&gt;=$D15,AB$6&lt;$D15+$E15),$C15*$F15/$E15,0)+IF(AND($H15&gt;0,AB$6&gt;=$G15,AB$6&lt;$G15+$H15),$C15*$I15/$H15,0)</f>
        <v>13944.6659696999</v>
      </c>
      <c r="AC15" s="14" t="n">
        <f aca="false">IF(AND($E15&gt;0,AC$6&gt;=$D15,AC$6&lt;$D15+$E15),$C15*$F15/$E15,0)+IF(AND($H15&gt;0,AC$6&gt;=$G15,AC$6&lt;$G15+$H15),$C15*$I15/$H15,0)</f>
        <v>13944.6659696999</v>
      </c>
      <c r="AD15" s="14" t="n">
        <f aca="false">IF(AND($E15&gt;0,AD$6&gt;=$D15,AD$6&lt;$D15+$E15),$C15*$F15/$E15,0)+IF(AND($H15&gt;0,AD$6&gt;=$G15,AD$6&lt;$G15+$H15),$C15*$I15/$H15,0)</f>
        <v>13944.6659696999</v>
      </c>
      <c r="AE15" s="14" t="n">
        <f aca="false">IF(AND($E15&gt;0,AE$6&gt;=$D15,AE$6&lt;$D15+$E15),$C15*$F15/$E15,0)+IF(AND($H15&gt;0,AE$6&gt;=$G15,AE$6&lt;$G15+$H15),$C15*$I15/$H15,0)</f>
        <v>13944.6659696999</v>
      </c>
      <c r="AF15" s="14" t="n">
        <f aca="false">IF(AND($E15&gt;0,AF$6&gt;=$D15,AF$6&lt;$D15+$E15),$C15*$F15/$E15,0)+IF(AND($H15&gt;0,AF$6&gt;=$G15,AF$6&lt;$G15+$H15),$C15*$I15/$H15,0)</f>
        <v>13944.6659696999</v>
      </c>
      <c r="AG15" s="14" t="n">
        <f aca="false">IF(AND($E15&gt;0,AG$6&gt;=$D15,AG$6&lt;$D15+$E15),$C15*$F15/$E15,0)+IF(AND($H15&gt;0,AG$6&gt;=$G15,AG$6&lt;$G15+$H15),$C15*$I15/$H15,0)</f>
        <v>0</v>
      </c>
      <c r="AH15" s="14" t="n">
        <f aca="false">IF(AND($E15&gt;0,AH$6&gt;=$D15,AH$6&lt;$D15+$E15),$C15*$F15/$E15,0)+IF(AND($H15&gt;0,AH$6&gt;=$G15,AH$6&lt;$G15+$H15),$C15*$I15/$H15,0)</f>
        <v>0</v>
      </c>
      <c r="AI15" s="14" t="n">
        <f aca="false">IF(AND($E15&gt;0,AI$6&gt;=$D15,AI$6&lt;$D15+$E15),$C15*$F15/$E15,0)+IF(AND($H15&gt;0,AI$6&gt;=$G15,AI$6&lt;$G15+$H15),$C15*$I15/$H15,0)</f>
        <v>0</v>
      </c>
      <c r="AJ15" s="14" t="n">
        <f aca="false">IF(AND($E15&gt;0,AJ$6&gt;=$D15,AJ$6&lt;$D15+$E15),$C15*$F15/$E15,0)+IF(AND($H15&gt;0,AJ$6&gt;=$G15,AJ$6&lt;$G15+$H15),$C15*$I15/$H15,0)</f>
        <v>0</v>
      </c>
      <c r="AK15" s="14" t="n">
        <f aca="false">IF(AND($E15&gt;0,AK$6&gt;=$D15,AK$6&lt;$D15+$E15),$C15*$F15/$E15,0)+IF(AND($H15&gt;0,AK$6&gt;=$G15,AK$6&lt;$G15+$H15),$C15*$I15/$H15,0)</f>
        <v>0</v>
      </c>
      <c r="AL15" s="14" t="n">
        <f aca="false">IF(AND($E15&gt;0,AL$6&gt;=$D15,AL$6&lt;$D15+$E15),$C15*$F15/$E15,0)+IF(AND($H15&gt;0,AL$6&gt;=$G15,AL$6&lt;$G15+$H15),$C15*$I15/$H15,0)</f>
        <v>0</v>
      </c>
      <c r="AM15" s="14" t="n">
        <f aca="false">IF(AND($E15&gt;0,AM$6&gt;=$D15,AM$6&lt;$D15+$E15),$C15*$F15/$E15,0)+IF(AND($H15&gt;0,AM$6&gt;=$G15,AM$6&lt;$G15+$H15),$C15*$I15/$H15,0)</f>
        <v>0</v>
      </c>
      <c r="AN15" s="14" t="n">
        <f aca="false">IF(AND($E15&gt;0,AN$6&gt;=$D15,AN$6&lt;$D15+$E15),$C15*$F15/$E15,0)+IF(AND($H15&gt;0,AN$6&gt;=$G15,AN$6&lt;$G15+$H15),$C15*$I15/$H15,0)</f>
        <v>0</v>
      </c>
      <c r="AO15" s="14" t="n">
        <f aca="false">IF(AND($E15&gt;0,AO$6&gt;=$D15,AO$6&lt;$D15+$E15),$C15*$F15/$E15,0)+IF(AND($H15&gt;0,AO$6&gt;=$G15,AO$6&lt;$G15+$H15),$C15*$I15/$H15,0)</f>
        <v>0</v>
      </c>
      <c r="AP15" s="14" t="n">
        <f aca="false">IF(AND($E15&gt;0,AP$6&gt;=$D15,AP$6&lt;$D15+$E15),$C15*$F15/$E15,0)+IF(AND($H15&gt;0,AP$6&gt;=$G15,AP$6&lt;$G15+$H15),$C15*$I15/$H15,0)</f>
        <v>0</v>
      </c>
      <c r="AQ15" s="14" t="n">
        <f aca="false">IF(AND($E15&gt;0,AQ$6&gt;=$D15,AQ$6&lt;$D15+$E15),$C15*$F15/$E15,0)+IF(AND($H15&gt;0,AQ$6&gt;=$G15,AQ$6&lt;$G15+$H15),$C15*$I15/$H15,0)</f>
        <v>0</v>
      </c>
      <c r="AR15" s="14" t="n">
        <f aca="false">IF(AND($E15&gt;0,AR$6&gt;=$D15,AR$6&lt;$D15+$E15),$C15*$F15/$E15,0)+IF(AND($H15&gt;0,AR$6&gt;=$G15,AR$6&lt;$G15+$H15),$C15*$I15/$H15,0)</f>
        <v>0</v>
      </c>
      <c r="AS15" s="14" t="n">
        <f aca="false">IF(AND($E15&gt;0,AS$6&gt;=$D15,AS$6&lt;$D15+$E15),$C15*$F15/$E15,0)+IF(AND($H15&gt;0,AS$6&gt;=$G15,AS$6&lt;$G15+$H15),$C15*$I15/$H15,0)</f>
        <v>0</v>
      </c>
      <c r="AT15" s="14" t="n">
        <f aca="false">IF(AND($E15&gt;0,AT$6&gt;=$D15,AT$6&lt;$D15+$E15),$C15*$F15/$E15,0)+IF(AND($H15&gt;0,AT$6&gt;=$G15,AT$6&lt;$G15+$H15),$C15*$I15/$H15,0)</f>
        <v>0</v>
      </c>
      <c r="AU15" s="14" t="n">
        <f aca="false">IF(AND($E15&gt;0,AU$6&gt;=$D15,AU$6&lt;$D15+$E15),$C15*$F15/$E15,0)+IF(AND($H15&gt;0,AU$6&gt;=$G15,AU$6&lt;$G15+$H15),$C15*$I15/$H15,0)</f>
        <v>0</v>
      </c>
      <c r="AV15" s="14" t="n">
        <f aca="false">SUM(K15:AU15)</f>
        <v>278893.319393998</v>
      </c>
      <c r="AW15" s="14" t="n">
        <f aca="false">ROUND(AV15-C15,2)</f>
        <v>0</v>
      </c>
      <c r="AX15" s="31" t="n">
        <f aca="false">MAX(IF(E15&gt;0,D15+E15-1,0),IF(H15&gt;0,G15+H15-1,0))</f>
        <v>21</v>
      </c>
    </row>
    <row r="16" customFormat="false" ht="15" hidden="false" customHeight="false" outlineLevel="0" collapsed="false">
      <c r="A16" s="0" t="str">
        <f aca="false">'GEN SUMMARY'!A21</f>
        <v>J</v>
      </c>
      <c r="B16" s="0" t="str">
        <f aca="false">TRIM('GEN SUMMARY'!B21)</f>
        <v>THIRD FLOOR</v>
      </c>
      <c r="C16" s="14" t="n">
        <f aca="false">'GEN SUMMARY'!H21</f>
        <v>278893.319393998</v>
      </c>
      <c r="D16" s="28" t="n">
        <v>11</v>
      </c>
      <c r="E16" s="28" t="n">
        <v>3</v>
      </c>
      <c r="F16" s="29" t="n">
        <v>0.5</v>
      </c>
      <c r="G16" s="28" t="n">
        <v>14</v>
      </c>
      <c r="H16" s="28" t="n">
        <v>9</v>
      </c>
      <c r="I16" s="30" t="n">
        <f aca="false">1-F16</f>
        <v>0.5</v>
      </c>
      <c r="K16" s="14" t="n">
        <f aca="false">IF(AND($E16&gt;0,K$6&gt;=$D16,K$6&lt;$D16+$E16),$C16*$F16/$E16,0)+IF(AND($H16&gt;0,K$6&gt;=$G16,K$6&lt;$G16+$H16),$C16*$I16/$H16,0)</f>
        <v>0</v>
      </c>
      <c r="L16" s="14" t="n">
        <f aca="false">IF(AND($E16&gt;0,L$6&gt;=$D16,L$6&lt;$D16+$E16),$C16*$F16/$E16,0)+IF(AND($H16&gt;0,L$6&gt;=$G16,L$6&lt;$G16+$H16),$C16*$I16/$H16,0)</f>
        <v>0</v>
      </c>
      <c r="M16" s="14" t="n">
        <f aca="false">IF(AND($E16&gt;0,M$6&gt;=$D16,M$6&lt;$D16+$E16),$C16*$F16/$E16,0)+IF(AND($H16&gt;0,M$6&gt;=$G16,M$6&lt;$G16+$H16),$C16*$I16/$H16,0)</f>
        <v>0</v>
      </c>
      <c r="N16" s="14" t="n">
        <f aca="false">IF(AND($E16&gt;0,N$6&gt;=$D16,N$6&lt;$D16+$E16),$C16*$F16/$E16,0)+IF(AND($H16&gt;0,N$6&gt;=$G16,N$6&lt;$G16+$H16),$C16*$I16/$H16,0)</f>
        <v>0</v>
      </c>
      <c r="O16" s="14" t="n">
        <f aca="false">IF(AND($E16&gt;0,O$6&gt;=$D16,O$6&lt;$D16+$E16),$C16*$F16/$E16,0)+IF(AND($H16&gt;0,O$6&gt;=$G16,O$6&lt;$G16+$H16),$C16*$I16/$H16,0)</f>
        <v>0</v>
      </c>
      <c r="P16" s="14" t="n">
        <f aca="false">IF(AND($E16&gt;0,P$6&gt;=$D16,P$6&lt;$D16+$E16),$C16*$F16/$E16,0)+IF(AND($H16&gt;0,P$6&gt;=$G16,P$6&lt;$G16+$H16),$C16*$I16/$H16,0)</f>
        <v>0</v>
      </c>
      <c r="Q16" s="14" t="n">
        <f aca="false">IF(AND($E16&gt;0,Q$6&gt;=$D16,Q$6&lt;$D16+$E16),$C16*$F16/$E16,0)+IF(AND($H16&gt;0,Q$6&gt;=$G16,Q$6&lt;$G16+$H16),$C16*$I16/$H16,0)</f>
        <v>0</v>
      </c>
      <c r="R16" s="14" t="n">
        <f aca="false">IF(AND($E16&gt;0,R$6&gt;=$D16,R$6&lt;$D16+$E16),$C16*$F16/$E16,0)+IF(AND($H16&gt;0,R$6&gt;=$G16,R$6&lt;$G16+$H16),$C16*$I16/$H16,0)</f>
        <v>0</v>
      </c>
      <c r="S16" s="14" t="n">
        <f aca="false">IF(AND($E16&gt;0,S$6&gt;=$D16,S$6&lt;$D16+$E16),$C16*$F16/$E16,0)+IF(AND($H16&gt;0,S$6&gt;=$G16,S$6&lt;$G16+$H16),$C16*$I16/$H16,0)</f>
        <v>0</v>
      </c>
      <c r="T16" s="14" t="n">
        <f aca="false">IF(AND($E16&gt;0,T$6&gt;=$D16,T$6&lt;$D16+$E16),$C16*$F16/$E16,0)+IF(AND($H16&gt;0,T$6&gt;=$G16,T$6&lt;$G16+$H16),$C16*$I16/$H16,0)</f>
        <v>0</v>
      </c>
      <c r="U16" s="14" t="n">
        <f aca="false">IF(AND($E16&gt;0,U$6&gt;=$D16,U$6&lt;$D16+$E16),$C16*$F16/$E16,0)+IF(AND($H16&gt;0,U$6&gt;=$G16,U$6&lt;$G16+$H16),$C16*$I16/$H16,0)</f>
        <v>0</v>
      </c>
      <c r="V16" s="14" t="n">
        <f aca="false">IF(AND($E16&gt;0,V$6&gt;=$D16,V$6&lt;$D16+$E16),$C16*$F16/$E16,0)+IF(AND($H16&gt;0,V$6&gt;=$G16,V$6&lt;$G16+$H16),$C16*$I16/$H16,0)</f>
        <v>46482.2198989997</v>
      </c>
      <c r="W16" s="14" t="n">
        <f aca="false">IF(AND($E16&gt;0,W$6&gt;=$D16,W$6&lt;$D16+$E16),$C16*$F16/$E16,0)+IF(AND($H16&gt;0,W$6&gt;=$G16,W$6&lt;$G16+$H16),$C16*$I16/$H16,0)</f>
        <v>46482.2198989997</v>
      </c>
      <c r="X16" s="14" t="n">
        <f aca="false">IF(AND($E16&gt;0,X$6&gt;=$D16,X$6&lt;$D16+$E16),$C16*$F16/$E16,0)+IF(AND($H16&gt;0,X$6&gt;=$G16,X$6&lt;$G16+$H16),$C16*$I16/$H16,0)</f>
        <v>46482.2198989997</v>
      </c>
      <c r="Y16" s="14" t="n">
        <f aca="false">IF(AND($E16&gt;0,Y$6&gt;=$D16,Y$6&lt;$D16+$E16),$C16*$F16/$E16,0)+IF(AND($H16&gt;0,Y$6&gt;=$G16,Y$6&lt;$G16+$H16),$C16*$I16/$H16,0)</f>
        <v>15494.0732996666</v>
      </c>
      <c r="Z16" s="14" t="n">
        <f aca="false">IF(AND($E16&gt;0,Z$6&gt;=$D16,Z$6&lt;$D16+$E16),$C16*$F16/$E16,0)+IF(AND($H16&gt;0,Z$6&gt;=$G16,Z$6&lt;$G16+$H16),$C16*$I16/$H16,0)</f>
        <v>15494.0732996666</v>
      </c>
      <c r="AA16" s="14" t="n">
        <f aca="false">IF(AND($E16&gt;0,AA$6&gt;=$D16,AA$6&lt;$D16+$E16),$C16*$F16/$E16,0)+IF(AND($H16&gt;0,AA$6&gt;=$G16,AA$6&lt;$G16+$H16),$C16*$I16/$H16,0)</f>
        <v>15494.0732996666</v>
      </c>
      <c r="AB16" s="14" t="n">
        <f aca="false">IF(AND($E16&gt;0,AB$6&gt;=$D16,AB$6&lt;$D16+$E16),$C16*$F16/$E16,0)+IF(AND($H16&gt;0,AB$6&gt;=$G16,AB$6&lt;$G16+$H16),$C16*$I16/$H16,0)</f>
        <v>15494.0732996666</v>
      </c>
      <c r="AC16" s="14" t="n">
        <f aca="false">IF(AND($E16&gt;0,AC$6&gt;=$D16,AC$6&lt;$D16+$E16),$C16*$F16/$E16,0)+IF(AND($H16&gt;0,AC$6&gt;=$G16,AC$6&lt;$G16+$H16),$C16*$I16/$H16,0)</f>
        <v>15494.0732996666</v>
      </c>
      <c r="AD16" s="14" t="n">
        <f aca="false">IF(AND($E16&gt;0,AD$6&gt;=$D16,AD$6&lt;$D16+$E16),$C16*$F16/$E16,0)+IF(AND($H16&gt;0,AD$6&gt;=$G16,AD$6&lt;$G16+$H16),$C16*$I16/$H16,0)</f>
        <v>15494.0732996666</v>
      </c>
      <c r="AE16" s="14" t="n">
        <f aca="false">IF(AND($E16&gt;0,AE$6&gt;=$D16,AE$6&lt;$D16+$E16),$C16*$F16/$E16,0)+IF(AND($H16&gt;0,AE$6&gt;=$G16,AE$6&lt;$G16+$H16),$C16*$I16/$H16,0)</f>
        <v>15494.0732996666</v>
      </c>
      <c r="AF16" s="14" t="n">
        <f aca="false">IF(AND($E16&gt;0,AF$6&gt;=$D16,AF$6&lt;$D16+$E16),$C16*$F16/$E16,0)+IF(AND($H16&gt;0,AF$6&gt;=$G16,AF$6&lt;$G16+$H16),$C16*$I16/$H16,0)</f>
        <v>15494.0732996666</v>
      </c>
      <c r="AG16" s="14" t="n">
        <f aca="false">IF(AND($E16&gt;0,AG$6&gt;=$D16,AG$6&lt;$D16+$E16),$C16*$F16/$E16,0)+IF(AND($H16&gt;0,AG$6&gt;=$G16,AG$6&lt;$G16+$H16),$C16*$I16/$H16,0)</f>
        <v>15494.0732996666</v>
      </c>
      <c r="AH16" s="14" t="n">
        <f aca="false">IF(AND($E16&gt;0,AH$6&gt;=$D16,AH$6&lt;$D16+$E16),$C16*$F16/$E16,0)+IF(AND($H16&gt;0,AH$6&gt;=$G16,AH$6&lt;$G16+$H16),$C16*$I16/$H16,0)</f>
        <v>0</v>
      </c>
      <c r="AI16" s="14" t="n">
        <f aca="false">IF(AND($E16&gt;0,AI$6&gt;=$D16,AI$6&lt;$D16+$E16),$C16*$F16/$E16,0)+IF(AND($H16&gt;0,AI$6&gt;=$G16,AI$6&lt;$G16+$H16),$C16*$I16/$H16,0)</f>
        <v>0</v>
      </c>
      <c r="AJ16" s="14" t="n">
        <f aca="false">IF(AND($E16&gt;0,AJ$6&gt;=$D16,AJ$6&lt;$D16+$E16),$C16*$F16/$E16,0)+IF(AND($H16&gt;0,AJ$6&gt;=$G16,AJ$6&lt;$G16+$H16),$C16*$I16/$H16,0)</f>
        <v>0</v>
      </c>
      <c r="AK16" s="14" t="n">
        <f aca="false">IF(AND($E16&gt;0,AK$6&gt;=$D16,AK$6&lt;$D16+$E16),$C16*$F16/$E16,0)+IF(AND($H16&gt;0,AK$6&gt;=$G16,AK$6&lt;$G16+$H16),$C16*$I16/$H16,0)</f>
        <v>0</v>
      </c>
      <c r="AL16" s="14" t="n">
        <f aca="false">IF(AND($E16&gt;0,AL$6&gt;=$D16,AL$6&lt;$D16+$E16),$C16*$F16/$E16,0)+IF(AND($H16&gt;0,AL$6&gt;=$G16,AL$6&lt;$G16+$H16),$C16*$I16/$H16,0)</f>
        <v>0</v>
      </c>
      <c r="AM16" s="14" t="n">
        <f aca="false">IF(AND($E16&gt;0,AM$6&gt;=$D16,AM$6&lt;$D16+$E16),$C16*$F16/$E16,0)+IF(AND($H16&gt;0,AM$6&gt;=$G16,AM$6&lt;$G16+$H16),$C16*$I16/$H16,0)</f>
        <v>0</v>
      </c>
      <c r="AN16" s="14" t="n">
        <f aca="false">IF(AND($E16&gt;0,AN$6&gt;=$D16,AN$6&lt;$D16+$E16),$C16*$F16/$E16,0)+IF(AND($H16&gt;0,AN$6&gt;=$G16,AN$6&lt;$G16+$H16),$C16*$I16/$H16,0)</f>
        <v>0</v>
      </c>
      <c r="AO16" s="14" t="n">
        <f aca="false">IF(AND($E16&gt;0,AO$6&gt;=$D16,AO$6&lt;$D16+$E16),$C16*$F16/$E16,0)+IF(AND($H16&gt;0,AO$6&gt;=$G16,AO$6&lt;$G16+$H16),$C16*$I16/$H16,0)</f>
        <v>0</v>
      </c>
      <c r="AP16" s="14" t="n">
        <f aca="false">IF(AND($E16&gt;0,AP$6&gt;=$D16,AP$6&lt;$D16+$E16),$C16*$F16/$E16,0)+IF(AND($H16&gt;0,AP$6&gt;=$G16,AP$6&lt;$G16+$H16),$C16*$I16/$H16,0)</f>
        <v>0</v>
      </c>
      <c r="AQ16" s="14" t="n">
        <f aca="false">IF(AND($E16&gt;0,AQ$6&gt;=$D16,AQ$6&lt;$D16+$E16),$C16*$F16/$E16,0)+IF(AND($H16&gt;0,AQ$6&gt;=$G16,AQ$6&lt;$G16+$H16),$C16*$I16/$H16,0)</f>
        <v>0</v>
      </c>
      <c r="AR16" s="14" t="n">
        <f aca="false">IF(AND($E16&gt;0,AR$6&gt;=$D16,AR$6&lt;$D16+$E16),$C16*$F16/$E16,0)+IF(AND($H16&gt;0,AR$6&gt;=$G16,AR$6&lt;$G16+$H16),$C16*$I16/$H16,0)</f>
        <v>0</v>
      </c>
      <c r="AS16" s="14" t="n">
        <f aca="false">IF(AND($E16&gt;0,AS$6&gt;=$D16,AS$6&lt;$D16+$E16),$C16*$F16/$E16,0)+IF(AND($H16&gt;0,AS$6&gt;=$G16,AS$6&lt;$G16+$H16),$C16*$I16/$H16,0)</f>
        <v>0</v>
      </c>
      <c r="AT16" s="14" t="n">
        <f aca="false">IF(AND($E16&gt;0,AT$6&gt;=$D16,AT$6&lt;$D16+$E16),$C16*$F16/$E16,0)+IF(AND($H16&gt;0,AT$6&gt;=$G16,AT$6&lt;$G16+$H16),$C16*$I16/$H16,0)</f>
        <v>0</v>
      </c>
      <c r="AU16" s="14" t="n">
        <f aca="false">IF(AND($E16&gt;0,AU$6&gt;=$D16,AU$6&lt;$D16+$E16),$C16*$F16/$E16,0)+IF(AND($H16&gt;0,AU$6&gt;=$G16,AU$6&lt;$G16+$H16),$C16*$I16/$H16,0)</f>
        <v>0</v>
      </c>
      <c r="AV16" s="14" t="n">
        <f aca="false">SUM(K16:AU16)</f>
        <v>278893.319393998</v>
      </c>
      <c r="AW16" s="14" t="n">
        <f aca="false">ROUND(AV16-C16,2)</f>
        <v>0</v>
      </c>
      <c r="AX16" s="31" t="n">
        <f aca="false">MAX(IF(E16&gt;0,D16+E16-1,0),IF(H16&gt;0,G16+H16-1,0))</f>
        <v>22</v>
      </c>
    </row>
    <row r="17" customFormat="false" ht="15" hidden="false" customHeight="false" outlineLevel="0" collapsed="false">
      <c r="A17" s="0" t="str">
        <f aca="false">'GEN SUMMARY'!A23</f>
        <v>K</v>
      </c>
      <c r="B17" s="0" t="str">
        <f aca="false">TRIM('GEN SUMMARY'!B23)</f>
        <v>FOURTH FLOOR</v>
      </c>
      <c r="C17" s="14" t="n">
        <f aca="false">'GEN SUMMARY'!H23</f>
        <v>278893.319393998</v>
      </c>
      <c r="D17" s="28" t="n">
        <v>13</v>
      </c>
      <c r="E17" s="28" t="n">
        <v>3</v>
      </c>
      <c r="F17" s="29" t="n">
        <v>0.5</v>
      </c>
      <c r="G17" s="28" t="n">
        <v>16</v>
      </c>
      <c r="H17" s="28" t="n">
        <v>7</v>
      </c>
      <c r="I17" s="30" t="n">
        <f aca="false">1-F17</f>
        <v>0.5</v>
      </c>
      <c r="K17" s="14" t="n">
        <f aca="false">IF(AND($E17&gt;0,K$6&gt;=$D17,K$6&lt;$D17+$E17),$C17*$F17/$E17,0)+IF(AND($H17&gt;0,K$6&gt;=$G17,K$6&lt;$G17+$H17),$C17*$I17/$H17,0)</f>
        <v>0</v>
      </c>
      <c r="L17" s="14" t="n">
        <f aca="false">IF(AND($E17&gt;0,L$6&gt;=$D17,L$6&lt;$D17+$E17),$C17*$F17/$E17,0)+IF(AND($H17&gt;0,L$6&gt;=$G17,L$6&lt;$G17+$H17),$C17*$I17/$H17,0)</f>
        <v>0</v>
      </c>
      <c r="M17" s="14" t="n">
        <f aca="false">IF(AND($E17&gt;0,M$6&gt;=$D17,M$6&lt;$D17+$E17),$C17*$F17/$E17,0)+IF(AND($H17&gt;0,M$6&gt;=$G17,M$6&lt;$G17+$H17),$C17*$I17/$H17,0)</f>
        <v>0</v>
      </c>
      <c r="N17" s="14" t="n">
        <f aca="false">IF(AND($E17&gt;0,N$6&gt;=$D17,N$6&lt;$D17+$E17),$C17*$F17/$E17,0)+IF(AND($H17&gt;0,N$6&gt;=$G17,N$6&lt;$G17+$H17),$C17*$I17/$H17,0)</f>
        <v>0</v>
      </c>
      <c r="O17" s="14" t="n">
        <f aca="false">IF(AND($E17&gt;0,O$6&gt;=$D17,O$6&lt;$D17+$E17),$C17*$F17/$E17,0)+IF(AND($H17&gt;0,O$6&gt;=$G17,O$6&lt;$G17+$H17),$C17*$I17/$H17,0)</f>
        <v>0</v>
      </c>
      <c r="P17" s="14" t="n">
        <f aca="false">IF(AND($E17&gt;0,P$6&gt;=$D17,P$6&lt;$D17+$E17),$C17*$F17/$E17,0)+IF(AND($H17&gt;0,P$6&gt;=$G17,P$6&lt;$G17+$H17),$C17*$I17/$H17,0)</f>
        <v>0</v>
      </c>
      <c r="Q17" s="14" t="n">
        <f aca="false">IF(AND($E17&gt;0,Q$6&gt;=$D17,Q$6&lt;$D17+$E17),$C17*$F17/$E17,0)+IF(AND($H17&gt;0,Q$6&gt;=$G17,Q$6&lt;$G17+$H17),$C17*$I17/$H17,0)</f>
        <v>0</v>
      </c>
      <c r="R17" s="14" t="n">
        <f aca="false">IF(AND($E17&gt;0,R$6&gt;=$D17,R$6&lt;$D17+$E17),$C17*$F17/$E17,0)+IF(AND($H17&gt;0,R$6&gt;=$G17,R$6&lt;$G17+$H17),$C17*$I17/$H17,0)</f>
        <v>0</v>
      </c>
      <c r="S17" s="14" t="n">
        <f aca="false">IF(AND($E17&gt;0,S$6&gt;=$D17,S$6&lt;$D17+$E17),$C17*$F17/$E17,0)+IF(AND($H17&gt;0,S$6&gt;=$G17,S$6&lt;$G17+$H17),$C17*$I17/$H17,0)</f>
        <v>0</v>
      </c>
      <c r="T17" s="14" t="n">
        <f aca="false">IF(AND($E17&gt;0,T$6&gt;=$D17,T$6&lt;$D17+$E17),$C17*$F17/$E17,0)+IF(AND($H17&gt;0,T$6&gt;=$G17,T$6&lt;$G17+$H17),$C17*$I17/$H17,0)</f>
        <v>0</v>
      </c>
      <c r="U17" s="14" t="n">
        <f aca="false">IF(AND($E17&gt;0,U$6&gt;=$D17,U$6&lt;$D17+$E17),$C17*$F17/$E17,0)+IF(AND($H17&gt;0,U$6&gt;=$G17,U$6&lt;$G17+$H17),$C17*$I17/$H17,0)</f>
        <v>0</v>
      </c>
      <c r="V17" s="14" t="n">
        <f aca="false">IF(AND($E17&gt;0,V$6&gt;=$D17,V$6&lt;$D17+$E17),$C17*$F17/$E17,0)+IF(AND($H17&gt;0,V$6&gt;=$G17,V$6&lt;$G17+$H17),$C17*$I17/$H17,0)</f>
        <v>0</v>
      </c>
      <c r="W17" s="14" t="n">
        <f aca="false">IF(AND($E17&gt;0,W$6&gt;=$D17,W$6&lt;$D17+$E17),$C17*$F17/$E17,0)+IF(AND($H17&gt;0,W$6&gt;=$G17,W$6&lt;$G17+$H17),$C17*$I17/$H17,0)</f>
        <v>0</v>
      </c>
      <c r="X17" s="14" t="n">
        <f aca="false">IF(AND($E17&gt;0,X$6&gt;=$D17,X$6&lt;$D17+$E17),$C17*$F17/$E17,0)+IF(AND($H17&gt;0,X$6&gt;=$G17,X$6&lt;$G17+$H17),$C17*$I17/$H17,0)</f>
        <v>46482.2198989997</v>
      </c>
      <c r="Y17" s="14" t="n">
        <f aca="false">IF(AND($E17&gt;0,Y$6&gt;=$D17,Y$6&lt;$D17+$E17),$C17*$F17/$E17,0)+IF(AND($H17&gt;0,Y$6&gt;=$G17,Y$6&lt;$G17+$H17),$C17*$I17/$H17,0)</f>
        <v>46482.2198989997</v>
      </c>
      <c r="Z17" s="14" t="n">
        <f aca="false">IF(AND($E17&gt;0,Z$6&gt;=$D17,Z$6&lt;$D17+$E17),$C17*$F17/$E17,0)+IF(AND($H17&gt;0,Z$6&gt;=$G17,Z$6&lt;$G17+$H17),$C17*$I17/$H17,0)</f>
        <v>46482.2198989997</v>
      </c>
      <c r="AA17" s="14" t="n">
        <f aca="false">IF(AND($E17&gt;0,AA$6&gt;=$D17,AA$6&lt;$D17+$E17),$C17*$F17/$E17,0)+IF(AND($H17&gt;0,AA$6&gt;=$G17,AA$6&lt;$G17+$H17),$C17*$I17/$H17,0)</f>
        <v>19920.9513852856</v>
      </c>
      <c r="AB17" s="14" t="n">
        <f aca="false">IF(AND($E17&gt;0,AB$6&gt;=$D17,AB$6&lt;$D17+$E17),$C17*$F17/$E17,0)+IF(AND($H17&gt;0,AB$6&gt;=$G17,AB$6&lt;$G17+$H17),$C17*$I17/$H17,0)</f>
        <v>19920.9513852856</v>
      </c>
      <c r="AC17" s="14" t="n">
        <f aca="false">IF(AND($E17&gt;0,AC$6&gt;=$D17,AC$6&lt;$D17+$E17),$C17*$F17/$E17,0)+IF(AND($H17&gt;0,AC$6&gt;=$G17,AC$6&lt;$G17+$H17),$C17*$I17/$H17,0)</f>
        <v>19920.9513852856</v>
      </c>
      <c r="AD17" s="14" t="n">
        <f aca="false">IF(AND($E17&gt;0,AD$6&gt;=$D17,AD$6&lt;$D17+$E17),$C17*$F17/$E17,0)+IF(AND($H17&gt;0,AD$6&gt;=$G17,AD$6&lt;$G17+$H17),$C17*$I17/$H17,0)</f>
        <v>19920.9513852856</v>
      </c>
      <c r="AE17" s="14" t="n">
        <f aca="false">IF(AND($E17&gt;0,AE$6&gt;=$D17,AE$6&lt;$D17+$E17),$C17*$F17/$E17,0)+IF(AND($H17&gt;0,AE$6&gt;=$G17,AE$6&lt;$G17+$H17),$C17*$I17/$H17,0)</f>
        <v>19920.9513852856</v>
      </c>
      <c r="AF17" s="14" t="n">
        <f aca="false">IF(AND($E17&gt;0,AF$6&gt;=$D17,AF$6&lt;$D17+$E17),$C17*$F17/$E17,0)+IF(AND($H17&gt;0,AF$6&gt;=$G17,AF$6&lt;$G17+$H17),$C17*$I17/$H17,0)</f>
        <v>19920.9513852856</v>
      </c>
      <c r="AG17" s="14" t="n">
        <f aca="false">IF(AND($E17&gt;0,AG$6&gt;=$D17,AG$6&lt;$D17+$E17),$C17*$F17/$E17,0)+IF(AND($H17&gt;0,AG$6&gt;=$G17,AG$6&lt;$G17+$H17),$C17*$I17/$H17,0)</f>
        <v>19920.9513852856</v>
      </c>
      <c r="AH17" s="14" t="n">
        <f aca="false">IF(AND($E17&gt;0,AH$6&gt;=$D17,AH$6&lt;$D17+$E17),$C17*$F17/$E17,0)+IF(AND($H17&gt;0,AH$6&gt;=$G17,AH$6&lt;$G17+$H17),$C17*$I17/$H17,0)</f>
        <v>0</v>
      </c>
      <c r="AI17" s="14" t="n">
        <f aca="false">IF(AND($E17&gt;0,AI$6&gt;=$D17,AI$6&lt;$D17+$E17),$C17*$F17/$E17,0)+IF(AND($H17&gt;0,AI$6&gt;=$G17,AI$6&lt;$G17+$H17),$C17*$I17/$H17,0)</f>
        <v>0</v>
      </c>
      <c r="AJ17" s="14" t="n">
        <f aca="false">IF(AND($E17&gt;0,AJ$6&gt;=$D17,AJ$6&lt;$D17+$E17),$C17*$F17/$E17,0)+IF(AND($H17&gt;0,AJ$6&gt;=$G17,AJ$6&lt;$G17+$H17),$C17*$I17/$H17,0)</f>
        <v>0</v>
      </c>
      <c r="AK17" s="14" t="n">
        <f aca="false">IF(AND($E17&gt;0,AK$6&gt;=$D17,AK$6&lt;$D17+$E17),$C17*$F17/$E17,0)+IF(AND($H17&gt;0,AK$6&gt;=$G17,AK$6&lt;$G17+$H17),$C17*$I17/$H17,0)</f>
        <v>0</v>
      </c>
      <c r="AL17" s="14" t="n">
        <f aca="false">IF(AND($E17&gt;0,AL$6&gt;=$D17,AL$6&lt;$D17+$E17),$C17*$F17/$E17,0)+IF(AND($H17&gt;0,AL$6&gt;=$G17,AL$6&lt;$G17+$H17),$C17*$I17/$H17,0)</f>
        <v>0</v>
      </c>
      <c r="AM17" s="14" t="n">
        <f aca="false">IF(AND($E17&gt;0,AM$6&gt;=$D17,AM$6&lt;$D17+$E17),$C17*$F17/$E17,0)+IF(AND($H17&gt;0,AM$6&gt;=$G17,AM$6&lt;$G17+$H17),$C17*$I17/$H17,0)</f>
        <v>0</v>
      </c>
      <c r="AN17" s="14" t="n">
        <f aca="false">IF(AND($E17&gt;0,AN$6&gt;=$D17,AN$6&lt;$D17+$E17),$C17*$F17/$E17,0)+IF(AND($H17&gt;0,AN$6&gt;=$G17,AN$6&lt;$G17+$H17),$C17*$I17/$H17,0)</f>
        <v>0</v>
      </c>
      <c r="AO17" s="14" t="n">
        <f aca="false">IF(AND($E17&gt;0,AO$6&gt;=$D17,AO$6&lt;$D17+$E17),$C17*$F17/$E17,0)+IF(AND($H17&gt;0,AO$6&gt;=$G17,AO$6&lt;$G17+$H17),$C17*$I17/$H17,0)</f>
        <v>0</v>
      </c>
      <c r="AP17" s="14" t="n">
        <f aca="false">IF(AND($E17&gt;0,AP$6&gt;=$D17,AP$6&lt;$D17+$E17),$C17*$F17/$E17,0)+IF(AND($H17&gt;0,AP$6&gt;=$G17,AP$6&lt;$G17+$H17),$C17*$I17/$H17,0)</f>
        <v>0</v>
      </c>
      <c r="AQ17" s="14" t="n">
        <f aca="false">IF(AND($E17&gt;0,AQ$6&gt;=$D17,AQ$6&lt;$D17+$E17),$C17*$F17/$E17,0)+IF(AND($H17&gt;0,AQ$6&gt;=$G17,AQ$6&lt;$G17+$H17),$C17*$I17/$H17,0)</f>
        <v>0</v>
      </c>
      <c r="AR17" s="14" t="n">
        <f aca="false">IF(AND($E17&gt;0,AR$6&gt;=$D17,AR$6&lt;$D17+$E17),$C17*$F17/$E17,0)+IF(AND($H17&gt;0,AR$6&gt;=$G17,AR$6&lt;$G17+$H17),$C17*$I17/$H17,0)</f>
        <v>0</v>
      </c>
      <c r="AS17" s="14" t="n">
        <f aca="false">IF(AND($E17&gt;0,AS$6&gt;=$D17,AS$6&lt;$D17+$E17),$C17*$F17/$E17,0)+IF(AND($H17&gt;0,AS$6&gt;=$G17,AS$6&lt;$G17+$H17),$C17*$I17/$H17,0)</f>
        <v>0</v>
      </c>
      <c r="AT17" s="14" t="n">
        <f aca="false">IF(AND($E17&gt;0,AT$6&gt;=$D17,AT$6&lt;$D17+$E17),$C17*$F17/$E17,0)+IF(AND($H17&gt;0,AT$6&gt;=$G17,AT$6&lt;$G17+$H17),$C17*$I17/$H17,0)</f>
        <v>0</v>
      </c>
      <c r="AU17" s="14" t="n">
        <f aca="false">IF(AND($E17&gt;0,AU$6&gt;=$D17,AU$6&lt;$D17+$E17),$C17*$F17/$E17,0)+IF(AND($H17&gt;0,AU$6&gt;=$G17,AU$6&lt;$G17+$H17),$C17*$I17/$H17,0)</f>
        <v>0</v>
      </c>
      <c r="AV17" s="14" t="n">
        <f aca="false">SUM(K17:AU17)</f>
        <v>278893.319393998</v>
      </c>
      <c r="AW17" s="14" t="n">
        <f aca="false">ROUND(AV17-C17,2)</f>
        <v>0</v>
      </c>
      <c r="AX17" s="31" t="n">
        <f aca="false">MAX(IF(E17&gt;0,D17+E17-1,0),IF(H17&gt;0,G17+H17-1,0))</f>
        <v>22</v>
      </c>
    </row>
    <row r="18" customFormat="false" ht="15" hidden="false" customHeight="false" outlineLevel="0" collapsed="false">
      <c r="A18" s="0" t="str">
        <f aca="false">'GEN SUMMARY'!A25</f>
        <v>L</v>
      </c>
      <c r="B18" s="0" t="str">
        <f aca="false">TRIM('GEN SUMMARY'!B25)</f>
        <v>FIFTH FLOOR</v>
      </c>
      <c r="C18" s="14" t="n">
        <f aca="false">'GEN SUMMARY'!H25</f>
        <v>278893.319393998</v>
      </c>
      <c r="D18" s="28" t="n">
        <v>15</v>
      </c>
      <c r="E18" s="28" t="n">
        <v>3</v>
      </c>
      <c r="F18" s="29" t="n">
        <v>0.5</v>
      </c>
      <c r="G18" s="28" t="n">
        <v>18</v>
      </c>
      <c r="H18" s="28" t="n">
        <v>5</v>
      </c>
      <c r="I18" s="30" t="n">
        <f aca="false">1-F18</f>
        <v>0.5</v>
      </c>
      <c r="K18" s="14" t="n">
        <f aca="false">IF(AND($E18&gt;0,K$6&gt;=$D18,K$6&lt;$D18+$E18),$C18*$F18/$E18,0)+IF(AND($H18&gt;0,K$6&gt;=$G18,K$6&lt;$G18+$H18),$C18*$I18/$H18,0)</f>
        <v>0</v>
      </c>
      <c r="L18" s="14" t="n">
        <f aca="false">IF(AND($E18&gt;0,L$6&gt;=$D18,L$6&lt;$D18+$E18),$C18*$F18/$E18,0)+IF(AND($H18&gt;0,L$6&gt;=$G18,L$6&lt;$G18+$H18),$C18*$I18/$H18,0)</f>
        <v>0</v>
      </c>
      <c r="M18" s="14" t="n">
        <f aca="false">IF(AND($E18&gt;0,M$6&gt;=$D18,M$6&lt;$D18+$E18),$C18*$F18/$E18,0)+IF(AND($H18&gt;0,M$6&gt;=$G18,M$6&lt;$G18+$H18),$C18*$I18/$H18,0)</f>
        <v>0</v>
      </c>
      <c r="N18" s="14" t="n">
        <f aca="false">IF(AND($E18&gt;0,N$6&gt;=$D18,N$6&lt;$D18+$E18),$C18*$F18/$E18,0)+IF(AND($H18&gt;0,N$6&gt;=$G18,N$6&lt;$G18+$H18),$C18*$I18/$H18,0)</f>
        <v>0</v>
      </c>
      <c r="O18" s="14" t="n">
        <f aca="false">IF(AND($E18&gt;0,O$6&gt;=$D18,O$6&lt;$D18+$E18),$C18*$F18/$E18,0)+IF(AND($H18&gt;0,O$6&gt;=$G18,O$6&lt;$G18+$H18),$C18*$I18/$H18,0)</f>
        <v>0</v>
      </c>
      <c r="P18" s="14" t="n">
        <f aca="false">IF(AND($E18&gt;0,P$6&gt;=$D18,P$6&lt;$D18+$E18),$C18*$F18/$E18,0)+IF(AND($H18&gt;0,P$6&gt;=$G18,P$6&lt;$G18+$H18),$C18*$I18/$H18,0)</f>
        <v>0</v>
      </c>
      <c r="Q18" s="14" t="n">
        <f aca="false">IF(AND($E18&gt;0,Q$6&gt;=$D18,Q$6&lt;$D18+$E18),$C18*$F18/$E18,0)+IF(AND($H18&gt;0,Q$6&gt;=$G18,Q$6&lt;$G18+$H18),$C18*$I18/$H18,0)</f>
        <v>0</v>
      </c>
      <c r="R18" s="14" t="n">
        <f aca="false">IF(AND($E18&gt;0,R$6&gt;=$D18,R$6&lt;$D18+$E18),$C18*$F18/$E18,0)+IF(AND($H18&gt;0,R$6&gt;=$G18,R$6&lt;$G18+$H18),$C18*$I18/$H18,0)</f>
        <v>0</v>
      </c>
      <c r="S18" s="14" t="n">
        <f aca="false">IF(AND($E18&gt;0,S$6&gt;=$D18,S$6&lt;$D18+$E18),$C18*$F18/$E18,0)+IF(AND($H18&gt;0,S$6&gt;=$G18,S$6&lt;$G18+$H18),$C18*$I18/$H18,0)</f>
        <v>0</v>
      </c>
      <c r="T18" s="14" t="n">
        <f aca="false">IF(AND($E18&gt;0,T$6&gt;=$D18,T$6&lt;$D18+$E18),$C18*$F18/$E18,0)+IF(AND($H18&gt;0,T$6&gt;=$G18,T$6&lt;$G18+$H18),$C18*$I18/$H18,0)</f>
        <v>0</v>
      </c>
      <c r="U18" s="14" t="n">
        <f aca="false">IF(AND($E18&gt;0,U$6&gt;=$D18,U$6&lt;$D18+$E18),$C18*$F18/$E18,0)+IF(AND($H18&gt;0,U$6&gt;=$G18,U$6&lt;$G18+$H18),$C18*$I18/$H18,0)</f>
        <v>0</v>
      </c>
      <c r="V18" s="14" t="n">
        <f aca="false">IF(AND($E18&gt;0,V$6&gt;=$D18,V$6&lt;$D18+$E18),$C18*$F18/$E18,0)+IF(AND($H18&gt;0,V$6&gt;=$G18,V$6&lt;$G18+$H18),$C18*$I18/$H18,0)</f>
        <v>0</v>
      </c>
      <c r="W18" s="14" t="n">
        <f aca="false">IF(AND($E18&gt;0,W$6&gt;=$D18,W$6&lt;$D18+$E18),$C18*$F18/$E18,0)+IF(AND($H18&gt;0,W$6&gt;=$G18,W$6&lt;$G18+$H18),$C18*$I18/$H18,0)</f>
        <v>0</v>
      </c>
      <c r="X18" s="14" t="n">
        <f aca="false">IF(AND($E18&gt;0,X$6&gt;=$D18,X$6&lt;$D18+$E18),$C18*$F18/$E18,0)+IF(AND($H18&gt;0,X$6&gt;=$G18,X$6&lt;$G18+$H18),$C18*$I18/$H18,0)</f>
        <v>0</v>
      </c>
      <c r="Y18" s="14" t="n">
        <f aca="false">IF(AND($E18&gt;0,Y$6&gt;=$D18,Y$6&lt;$D18+$E18),$C18*$F18/$E18,0)+IF(AND($H18&gt;0,Y$6&gt;=$G18,Y$6&lt;$G18+$H18),$C18*$I18/$H18,0)</f>
        <v>0</v>
      </c>
      <c r="Z18" s="14" t="n">
        <f aca="false">IF(AND($E18&gt;0,Z$6&gt;=$D18,Z$6&lt;$D18+$E18),$C18*$F18/$E18,0)+IF(AND($H18&gt;0,Z$6&gt;=$G18,Z$6&lt;$G18+$H18),$C18*$I18/$H18,0)</f>
        <v>46482.2198989997</v>
      </c>
      <c r="AA18" s="14" t="n">
        <f aca="false">IF(AND($E18&gt;0,AA$6&gt;=$D18,AA$6&lt;$D18+$E18),$C18*$F18/$E18,0)+IF(AND($H18&gt;0,AA$6&gt;=$G18,AA$6&lt;$G18+$H18),$C18*$I18/$H18,0)</f>
        <v>46482.2198989997</v>
      </c>
      <c r="AB18" s="14" t="n">
        <f aca="false">IF(AND($E18&gt;0,AB$6&gt;=$D18,AB$6&lt;$D18+$E18),$C18*$F18/$E18,0)+IF(AND($H18&gt;0,AB$6&gt;=$G18,AB$6&lt;$G18+$H18),$C18*$I18/$H18,0)</f>
        <v>46482.2198989997</v>
      </c>
      <c r="AC18" s="14" t="n">
        <f aca="false">IF(AND($E18&gt;0,AC$6&gt;=$D18,AC$6&lt;$D18+$E18),$C18*$F18/$E18,0)+IF(AND($H18&gt;0,AC$6&gt;=$G18,AC$6&lt;$G18+$H18),$C18*$I18/$H18,0)</f>
        <v>27889.3319393998</v>
      </c>
      <c r="AD18" s="14" t="n">
        <f aca="false">IF(AND($E18&gt;0,AD$6&gt;=$D18,AD$6&lt;$D18+$E18),$C18*$F18/$E18,0)+IF(AND($H18&gt;0,AD$6&gt;=$G18,AD$6&lt;$G18+$H18),$C18*$I18/$H18,0)</f>
        <v>27889.3319393998</v>
      </c>
      <c r="AE18" s="14" t="n">
        <f aca="false">IF(AND($E18&gt;0,AE$6&gt;=$D18,AE$6&lt;$D18+$E18),$C18*$F18/$E18,0)+IF(AND($H18&gt;0,AE$6&gt;=$G18,AE$6&lt;$G18+$H18),$C18*$I18/$H18,0)</f>
        <v>27889.3319393998</v>
      </c>
      <c r="AF18" s="14" t="n">
        <f aca="false">IF(AND($E18&gt;0,AF$6&gt;=$D18,AF$6&lt;$D18+$E18),$C18*$F18/$E18,0)+IF(AND($H18&gt;0,AF$6&gt;=$G18,AF$6&lt;$G18+$H18),$C18*$I18/$H18,0)</f>
        <v>27889.3319393998</v>
      </c>
      <c r="AG18" s="14" t="n">
        <f aca="false">IF(AND($E18&gt;0,AG$6&gt;=$D18,AG$6&lt;$D18+$E18),$C18*$F18/$E18,0)+IF(AND($H18&gt;0,AG$6&gt;=$G18,AG$6&lt;$G18+$H18),$C18*$I18/$H18,0)</f>
        <v>27889.3319393998</v>
      </c>
      <c r="AH18" s="14" t="n">
        <f aca="false">IF(AND($E18&gt;0,AH$6&gt;=$D18,AH$6&lt;$D18+$E18),$C18*$F18/$E18,0)+IF(AND($H18&gt;0,AH$6&gt;=$G18,AH$6&lt;$G18+$H18),$C18*$I18/$H18,0)</f>
        <v>0</v>
      </c>
      <c r="AI18" s="14" t="n">
        <f aca="false">IF(AND($E18&gt;0,AI$6&gt;=$D18,AI$6&lt;$D18+$E18),$C18*$F18/$E18,0)+IF(AND($H18&gt;0,AI$6&gt;=$G18,AI$6&lt;$G18+$H18),$C18*$I18/$H18,0)</f>
        <v>0</v>
      </c>
      <c r="AJ18" s="14" t="n">
        <f aca="false">IF(AND($E18&gt;0,AJ$6&gt;=$D18,AJ$6&lt;$D18+$E18),$C18*$F18/$E18,0)+IF(AND($H18&gt;0,AJ$6&gt;=$G18,AJ$6&lt;$G18+$H18),$C18*$I18/$H18,0)</f>
        <v>0</v>
      </c>
      <c r="AK18" s="14" t="n">
        <f aca="false">IF(AND($E18&gt;0,AK$6&gt;=$D18,AK$6&lt;$D18+$E18),$C18*$F18/$E18,0)+IF(AND($H18&gt;0,AK$6&gt;=$G18,AK$6&lt;$G18+$H18),$C18*$I18/$H18,0)</f>
        <v>0</v>
      </c>
      <c r="AL18" s="14" t="n">
        <f aca="false">IF(AND($E18&gt;0,AL$6&gt;=$D18,AL$6&lt;$D18+$E18),$C18*$F18/$E18,0)+IF(AND($H18&gt;0,AL$6&gt;=$G18,AL$6&lt;$G18+$H18),$C18*$I18/$H18,0)</f>
        <v>0</v>
      </c>
      <c r="AM18" s="14" t="n">
        <f aca="false">IF(AND($E18&gt;0,AM$6&gt;=$D18,AM$6&lt;$D18+$E18),$C18*$F18/$E18,0)+IF(AND($H18&gt;0,AM$6&gt;=$G18,AM$6&lt;$G18+$H18),$C18*$I18/$H18,0)</f>
        <v>0</v>
      </c>
      <c r="AN18" s="14" t="n">
        <f aca="false">IF(AND($E18&gt;0,AN$6&gt;=$D18,AN$6&lt;$D18+$E18),$C18*$F18/$E18,0)+IF(AND($H18&gt;0,AN$6&gt;=$G18,AN$6&lt;$G18+$H18),$C18*$I18/$H18,0)</f>
        <v>0</v>
      </c>
      <c r="AO18" s="14" t="n">
        <f aca="false">IF(AND($E18&gt;0,AO$6&gt;=$D18,AO$6&lt;$D18+$E18),$C18*$F18/$E18,0)+IF(AND($H18&gt;0,AO$6&gt;=$G18,AO$6&lt;$G18+$H18),$C18*$I18/$H18,0)</f>
        <v>0</v>
      </c>
      <c r="AP18" s="14" t="n">
        <f aca="false">IF(AND($E18&gt;0,AP$6&gt;=$D18,AP$6&lt;$D18+$E18),$C18*$F18/$E18,0)+IF(AND($H18&gt;0,AP$6&gt;=$G18,AP$6&lt;$G18+$H18),$C18*$I18/$H18,0)</f>
        <v>0</v>
      </c>
      <c r="AQ18" s="14" t="n">
        <f aca="false">IF(AND($E18&gt;0,AQ$6&gt;=$D18,AQ$6&lt;$D18+$E18),$C18*$F18/$E18,0)+IF(AND($H18&gt;0,AQ$6&gt;=$G18,AQ$6&lt;$G18+$H18),$C18*$I18/$H18,0)</f>
        <v>0</v>
      </c>
      <c r="AR18" s="14" t="n">
        <f aca="false">IF(AND($E18&gt;0,AR$6&gt;=$D18,AR$6&lt;$D18+$E18),$C18*$F18/$E18,0)+IF(AND($H18&gt;0,AR$6&gt;=$G18,AR$6&lt;$G18+$H18),$C18*$I18/$H18,0)</f>
        <v>0</v>
      </c>
      <c r="AS18" s="14" t="n">
        <f aca="false">IF(AND($E18&gt;0,AS$6&gt;=$D18,AS$6&lt;$D18+$E18),$C18*$F18/$E18,0)+IF(AND($H18&gt;0,AS$6&gt;=$G18,AS$6&lt;$G18+$H18),$C18*$I18/$H18,0)</f>
        <v>0</v>
      </c>
      <c r="AT18" s="14" t="n">
        <f aca="false">IF(AND($E18&gt;0,AT$6&gt;=$D18,AT$6&lt;$D18+$E18),$C18*$F18/$E18,0)+IF(AND($H18&gt;0,AT$6&gt;=$G18,AT$6&lt;$G18+$H18),$C18*$I18/$H18,0)</f>
        <v>0</v>
      </c>
      <c r="AU18" s="14" t="n">
        <f aca="false">IF(AND($E18&gt;0,AU$6&gt;=$D18,AU$6&lt;$D18+$E18),$C18*$F18/$E18,0)+IF(AND($H18&gt;0,AU$6&gt;=$G18,AU$6&lt;$G18+$H18),$C18*$I18/$H18,0)</f>
        <v>0</v>
      </c>
      <c r="AV18" s="14" t="n">
        <f aca="false">SUM(K18:AU18)</f>
        <v>278893.319393998</v>
      </c>
      <c r="AW18" s="14" t="n">
        <f aca="false">ROUND(AV18-C18,2)</f>
        <v>0</v>
      </c>
      <c r="AX18" s="31" t="n">
        <f aca="false">MAX(IF(E18&gt;0,D18+E18-1,0),IF(H18&gt;0,G18+H18-1,0))</f>
        <v>22</v>
      </c>
    </row>
    <row r="19" customFormat="false" ht="15" hidden="false" customHeight="false" outlineLevel="0" collapsed="false">
      <c r="A19" s="0" t="str">
        <f aca="false">'GEN SUMMARY'!A27</f>
        <v>M</v>
      </c>
      <c r="B19" s="0" t="str">
        <f aca="false">TRIM('GEN SUMMARY'!B27)</f>
        <v>KITCHEN CABINETRY/WALL CLADDING</v>
      </c>
      <c r="C19" s="14" t="n">
        <f aca="false">'GEN SUMMARY'!H27</f>
        <v>125051.320761299</v>
      </c>
      <c r="D19" s="28" t="n">
        <v>16</v>
      </c>
      <c r="E19" s="28" t="n">
        <v>1</v>
      </c>
      <c r="F19" s="29" t="n">
        <v>0.7</v>
      </c>
      <c r="G19" s="28" t="n">
        <v>20</v>
      </c>
      <c r="H19" s="28" t="n">
        <v>3</v>
      </c>
      <c r="I19" s="30" t="n">
        <f aca="false">1-F19</f>
        <v>0.3</v>
      </c>
      <c r="K19" s="14" t="n">
        <f aca="false">IF(AND($E19&gt;0,K$6&gt;=$D19,K$6&lt;$D19+$E19),$C19*$F19/$E19,0)+IF(AND($H19&gt;0,K$6&gt;=$G19,K$6&lt;$G19+$H19),$C19*$I19/$H19,0)</f>
        <v>0</v>
      </c>
      <c r="L19" s="14" t="n">
        <f aca="false">IF(AND($E19&gt;0,L$6&gt;=$D19,L$6&lt;$D19+$E19),$C19*$F19/$E19,0)+IF(AND($H19&gt;0,L$6&gt;=$G19,L$6&lt;$G19+$H19),$C19*$I19/$H19,0)</f>
        <v>0</v>
      </c>
      <c r="M19" s="14" t="n">
        <f aca="false">IF(AND($E19&gt;0,M$6&gt;=$D19,M$6&lt;$D19+$E19),$C19*$F19/$E19,0)+IF(AND($H19&gt;0,M$6&gt;=$G19,M$6&lt;$G19+$H19),$C19*$I19/$H19,0)</f>
        <v>0</v>
      </c>
      <c r="N19" s="14" t="n">
        <f aca="false">IF(AND($E19&gt;0,N$6&gt;=$D19,N$6&lt;$D19+$E19),$C19*$F19/$E19,0)+IF(AND($H19&gt;0,N$6&gt;=$G19,N$6&lt;$G19+$H19),$C19*$I19/$H19,0)</f>
        <v>0</v>
      </c>
      <c r="O19" s="14" t="n">
        <f aca="false">IF(AND($E19&gt;0,O$6&gt;=$D19,O$6&lt;$D19+$E19),$C19*$F19/$E19,0)+IF(AND($H19&gt;0,O$6&gt;=$G19,O$6&lt;$G19+$H19),$C19*$I19/$H19,0)</f>
        <v>0</v>
      </c>
      <c r="P19" s="14" t="n">
        <f aca="false">IF(AND($E19&gt;0,P$6&gt;=$D19,P$6&lt;$D19+$E19),$C19*$F19/$E19,0)+IF(AND($H19&gt;0,P$6&gt;=$G19,P$6&lt;$G19+$H19),$C19*$I19/$H19,0)</f>
        <v>0</v>
      </c>
      <c r="Q19" s="14" t="n">
        <f aca="false">IF(AND($E19&gt;0,Q$6&gt;=$D19,Q$6&lt;$D19+$E19),$C19*$F19/$E19,0)+IF(AND($H19&gt;0,Q$6&gt;=$G19,Q$6&lt;$G19+$H19),$C19*$I19/$H19,0)</f>
        <v>0</v>
      </c>
      <c r="R19" s="14" t="n">
        <f aca="false">IF(AND($E19&gt;0,R$6&gt;=$D19,R$6&lt;$D19+$E19),$C19*$F19/$E19,0)+IF(AND($H19&gt;0,R$6&gt;=$G19,R$6&lt;$G19+$H19),$C19*$I19/$H19,0)</f>
        <v>0</v>
      </c>
      <c r="S19" s="14" t="n">
        <f aca="false">IF(AND($E19&gt;0,S$6&gt;=$D19,S$6&lt;$D19+$E19),$C19*$F19/$E19,0)+IF(AND($H19&gt;0,S$6&gt;=$G19,S$6&lt;$G19+$H19),$C19*$I19/$H19,0)</f>
        <v>0</v>
      </c>
      <c r="T19" s="14" t="n">
        <f aca="false">IF(AND($E19&gt;0,T$6&gt;=$D19,T$6&lt;$D19+$E19),$C19*$F19/$E19,0)+IF(AND($H19&gt;0,T$6&gt;=$G19,T$6&lt;$G19+$H19),$C19*$I19/$H19,0)</f>
        <v>0</v>
      </c>
      <c r="U19" s="14" t="n">
        <f aca="false">IF(AND($E19&gt;0,U$6&gt;=$D19,U$6&lt;$D19+$E19),$C19*$F19/$E19,0)+IF(AND($H19&gt;0,U$6&gt;=$G19,U$6&lt;$G19+$H19),$C19*$I19/$H19,0)</f>
        <v>0</v>
      </c>
      <c r="V19" s="14" t="n">
        <f aca="false">IF(AND($E19&gt;0,V$6&gt;=$D19,V$6&lt;$D19+$E19),$C19*$F19/$E19,0)+IF(AND($H19&gt;0,V$6&gt;=$G19,V$6&lt;$G19+$H19),$C19*$I19/$H19,0)</f>
        <v>0</v>
      </c>
      <c r="W19" s="14" t="n">
        <f aca="false">IF(AND($E19&gt;0,W$6&gt;=$D19,W$6&lt;$D19+$E19),$C19*$F19/$E19,0)+IF(AND($H19&gt;0,W$6&gt;=$G19,W$6&lt;$G19+$H19),$C19*$I19/$H19,0)</f>
        <v>0</v>
      </c>
      <c r="X19" s="14" t="n">
        <f aca="false">IF(AND($E19&gt;0,X$6&gt;=$D19,X$6&lt;$D19+$E19),$C19*$F19/$E19,0)+IF(AND($H19&gt;0,X$6&gt;=$G19,X$6&lt;$G19+$H19),$C19*$I19/$H19,0)</f>
        <v>0</v>
      </c>
      <c r="Y19" s="14" t="n">
        <f aca="false">IF(AND($E19&gt;0,Y$6&gt;=$D19,Y$6&lt;$D19+$E19),$C19*$F19/$E19,0)+IF(AND($H19&gt;0,Y$6&gt;=$G19,Y$6&lt;$G19+$H19),$C19*$I19/$H19,0)</f>
        <v>0</v>
      </c>
      <c r="Z19" s="14" t="n">
        <f aca="false">IF(AND($E19&gt;0,Z$6&gt;=$D19,Z$6&lt;$D19+$E19),$C19*$F19/$E19,0)+IF(AND($H19&gt;0,Z$6&gt;=$G19,Z$6&lt;$G19+$H19),$C19*$I19/$H19,0)</f>
        <v>0</v>
      </c>
      <c r="AA19" s="14" t="n">
        <f aca="false">IF(AND($E19&gt;0,AA$6&gt;=$D19,AA$6&lt;$D19+$E19),$C19*$F19/$E19,0)+IF(AND($H19&gt;0,AA$6&gt;=$G19,AA$6&lt;$G19+$H19),$C19*$I19/$H19,0)</f>
        <v>87535.9245329094</v>
      </c>
      <c r="AB19" s="14" t="n">
        <f aca="false">IF(AND($E19&gt;0,AB$6&gt;=$D19,AB$6&lt;$D19+$E19),$C19*$F19/$E19,0)+IF(AND($H19&gt;0,AB$6&gt;=$G19,AB$6&lt;$G19+$H19),$C19*$I19/$H19,0)</f>
        <v>0</v>
      </c>
      <c r="AC19" s="14" t="n">
        <f aca="false">IF(AND($E19&gt;0,AC$6&gt;=$D19,AC$6&lt;$D19+$E19),$C19*$F19/$E19,0)+IF(AND($H19&gt;0,AC$6&gt;=$G19,AC$6&lt;$G19+$H19),$C19*$I19/$H19,0)</f>
        <v>0</v>
      </c>
      <c r="AD19" s="14" t="n">
        <f aca="false">IF(AND($E19&gt;0,AD$6&gt;=$D19,AD$6&lt;$D19+$E19),$C19*$F19/$E19,0)+IF(AND($H19&gt;0,AD$6&gt;=$G19,AD$6&lt;$G19+$H19),$C19*$I19/$H19,0)</f>
        <v>0</v>
      </c>
      <c r="AE19" s="14" t="n">
        <f aca="false">IF(AND($E19&gt;0,AE$6&gt;=$D19,AE$6&lt;$D19+$E19),$C19*$F19/$E19,0)+IF(AND($H19&gt;0,AE$6&gt;=$G19,AE$6&lt;$G19+$H19),$C19*$I19/$H19,0)</f>
        <v>12505.1320761299</v>
      </c>
      <c r="AF19" s="14" t="n">
        <f aca="false">IF(AND($E19&gt;0,AF$6&gt;=$D19,AF$6&lt;$D19+$E19),$C19*$F19/$E19,0)+IF(AND($H19&gt;0,AF$6&gt;=$G19,AF$6&lt;$G19+$H19),$C19*$I19/$H19,0)</f>
        <v>12505.1320761299</v>
      </c>
      <c r="AG19" s="14" t="n">
        <f aca="false">IF(AND($E19&gt;0,AG$6&gt;=$D19,AG$6&lt;$D19+$E19),$C19*$F19/$E19,0)+IF(AND($H19&gt;0,AG$6&gt;=$G19,AG$6&lt;$G19+$H19),$C19*$I19/$H19,0)</f>
        <v>12505.1320761299</v>
      </c>
      <c r="AH19" s="14" t="n">
        <f aca="false">IF(AND($E19&gt;0,AH$6&gt;=$D19,AH$6&lt;$D19+$E19),$C19*$F19/$E19,0)+IF(AND($H19&gt;0,AH$6&gt;=$G19,AH$6&lt;$G19+$H19),$C19*$I19/$H19,0)</f>
        <v>0</v>
      </c>
      <c r="AI19" s="14" t="n">
        <f aca="false">IF(AND($E19&gt;0,AI$6&gt;=$D19,AI$6&lt;$D19+$E19),$C19*$F19/$E19,0)+IF(AND($H19&gt;0,AI$6&gt;=$G19,AI$6&lt;$G19+$H19),$C19*$I19/$H19,0)</f>
        <v>0</v>
      </c>
      <c r="AJ19" s="14" t="n">
        <f aca="false">IF(AND($E19&gt;0,AJ$6&gt;=$D19,AJ$6&lt;$D19+$E19),$C19*$F19/$E19,0)+IF(AND($H19&gt;0,AJ$6&gt;=$G19,AJ$6&lt;$G19+$H19),$C19*$I19/$H19,0)</f>
        <v>0</v>
      </c>
      <c r="AK19" s="14" t="n">
        <f aca="false">IF(AND($E19&gt;0,AK$6&gt;=$D19,AK$6&lt;$D19+$E19),$C19*$F19/$E19,0)+IF(AND($H19&gt;0,AK$6&gt;=$G19,AK$6&lt;$G19+$H19),$C19*$I19/$H19,0)</f>
        <v>0</v>
      </c>
      <c r="AL19" s="14" t="n">
        <f aca="false">IF(AND($E19&gt;0,AL$6&gt;=$D19,AL$6&lt;$D19+$E19),$C19*$F19/$E19,0)+IF(AND($H19&gt;0,AL$6&gt;=$G19,AL$6&lt;$G19+$H19),$C19*$I19/$H19,0)</f>
        <v>0</v>
      </c>
      <c r="AM19" s="14" t="n">
        <f aca="false">IF(AND($E19&gt;0,AM$6&gt;=$D19,AM$6&lt;$D19+$E19),$C19*$F19/$E19,0)+IF(AND($H19&gt;0,AM$6&gt;=$G19,AM$6&lt;$G19+$H19),$C19*$I19/$H19,0)</f>
        <v>0</v>
      </c>
      <c r="AN19" s="14" t="n">
        <f aca="false">IF(AND($E19&gt;0,AN$6&gt;=$D19,AN$6&lt;$D19+$E19),$C19*$F19/$E19,0)+IF(AND($H19&gt;0,AN$6&gt;=$G19,AN$6&lt;$G19+$H19),$C19*$I19/$H19,0)</f>
        <v>0</v>
      </c>
      <c r="AO19" s="14" t="n">
        <f aca="false">IF(AND($E19&gt;0,AO$6&gt;=$D19,AO$6&lt;$D19+$E19),$C19*$F19/$E19,0)+IF(AND($H19&gt;0,AO$6&gt;=$G19,AO$6&lt;$G19+$H19),$C19*$I19/$H19,0)</f>
        <v>0</v>
      </c>
      <c r="AP19" s="14" t="n">
        <f aca="false">IF(AND($E19&gt;0,AP$6&gt;=$D19,AP$6&lt;$D19+$E19),$C19*$F19/$E19,0)+IF(AND($H19&gt;0,AP$6&gt;=$G19,AP$6&lt;$G19+$H19),$C19*$I19/$H19,0)</f>
        <v>0</v>
      </c>
      <c r="AQ19" s="14" t="n">
        <f aca="false">IF(AND($E19&gt;0,AQ$6&gt;=$D19,AQ$6&lt;$D19+$E19),$C19*$F19/$E19,0)+IF(AND($H19&gt;0,AQ$6&gt;=$G19,AQ$6&lt;$G19+$H19),$C19*$I19/$H19,0)</f>
        <v>0</v>
      </c>
      <c r="AR19" s="14" t="n">
        <f aca="false">IF(AND($E19&gt;0,AR$6&gt;=$D19,AR$6&lt;$D19+$E19),$C19*$F19/$E19,0)+IF(AND($H19&gt;0,AR$6&gt;=$G19,AR$6&lt;$G19+$H19),$C19*$I19/$H19,0)</f>
        <v>0</v>
      </c>
      <c r="AS19" s="14" t="n">
        <f aca="false">IF(AND($E19&gt;0,AS$6&gt;=$D19,AS$6&lt;$D19+$E19),$C19*$F19/$E19,0)+IF(AND($H19&gt;0,AS$6&gt;=$G19,AS$6&lt;$G19+$H19),$C19*$I19/$H19,0)</f>
        <v>0</v>
      </c>
      <c r="AT19" s="14" t="n">
        <f aca="false">IF(AND($E19&gt;0,AT$6&gt;=$D19,AT$6&lt;$D19+$E19),$C19*$F19/$E19,0)+IF(AND($H19&gt;0,AT$6&gt;=$G19,AT$6&lt;$G19+$H19),$C19*$I19/$H19,0)</f>
        <v>0</v>
      </c>
      <c r="AU19" s="14" t="n">
        <f aca="false">IF(AND($E19&gt;0,AU$6&gt;=$D19,AU$6&lt;$D19+$E19),$C19*$F19/$E19,0)+IF(AND($H19&gt;0,AU$6&gt;=$G19,AU$6&lt;$G19+$H19),$C19*$I19/$H19,0)</f>
        <v>0</v>
      </c>
      <c r="AV19" s="14" t="n">
        <f aca="false">SUM(K19:AU19)</f>
        <v>125051.320761299</v>
      </c>
      <c r="AW19" s="14" t="n">
        <f aca="false">ROUND(AV19-C19,2)</f>
        <v>0</v>
      </c>
      <c r="AX19" s="31" t="n">
        <f aca="false">MAX(IF(E19&gt;0,D19+E19-1,0),IF(H19&gt;0,G19+H19-1,0))</f>
        <v>22</v>
      </c>
    </row>
    <row r="20" customFormat="false" ht="15" hidden="false" customHeight="false" outlineLevel="0" collapsed="false">
      <c r="A20" s="0" t="str">
        <f aca="false">'GEN SUMMARY'!A29</f>
        <v>N</v>
      </c>
      <c r="B20" s="0" t="str">
        <f aca="false">TRIM('GEN SUMMARY'!B29)</f>
        <v>PLUMBING, FIRE-FIGHTING AND MECHANICAL</v>
      </c>
      <c r="C20" s="14" t="n">
        <f aca="false">'GEN SUMMARY'!H29</f>
        <v>729701.129084446</v>
      </c>
      <c r="D20" s="28" t="n">
        <v>4</v>
      </c>
      <c r="E20" s="28" t="n">
        <v>15</v>
      </c>
      <c r="F20" s="29" t="n">
        <v>0.6</v>
      </c>
      <c r="G20" s="28" t="n">
        <v>19</v>
      </c>
      <c r="H20" s="28" t="n">
        <v>5</v>
      </c>
      <c r="I20" s="30" t="n">
        <f aca="false">1-F20</f>
        <v>0.4</v>
      </c>
      <c r="K20" s="14" t="n">
        <f aca="false">IF(AND($E20&gt;0,K$6&gt;=$D20,K$6&lt;$D20+$E20),$C20*$F20/$E20,0)+IF(AND($H20&gt;0,K$6&gt;=$G20,K$6&lt;$G20+$H20),$C20*$I20/$H20,0)</f>
        <v>0</v>
      </c>
      <c r="L20" s="14" t="n">
        <f aca="false">IF(AND($E20&gt;0,L$6&gt;=$D20,L$6&lt;$D20+$E20),$C20*$F20/$E20,0)+IF(AND($H20&gt;0,L$6&gt;=$G20,L$6&lt;$G20+$H20),$C20*$I20/$H20,0)</f>
        <v>0</v>
      </c>
      <c r="M20" s="14" t="n">
        <f aca="false">IF(AND($E20&gt;0,M$6&gt;=$D20,M$6&lt;$D20+$E20),$C20*$F20/$E20,0)+IF(AND($H20&gt;0,M$6&gt;=$G20,M$6&lt;$G20+$H20),$C20*$I20/$H20,0)</f>
        <v>0</v>
      </c>
      <c r="N20" s="14" t="n">
        <f aca="false">IF(AND($E20&gt;0,N$6&gt;=$D20,N$6&lt;$D20+$E20),$C20*$F20/$E20,0)+IF(AND($H20&gt;0,N$6&gt;=$G20,N$6&lt;$G20+$H20),$C20*$I20/$H20,0)</f>
        <v>0</v>
      </c>
      <c r="O20" s="14" t="n">
        <f aca="false">IF(AND($E20&gt;0,O$6&gt;=$D20,O$6&lt;$D20+$E20),$C20*$F20/$E20,0)+IF(AND($H20&gt;0,O$6&gt;=$G20,O$6&lt;$G20+$H20),$C20*$I20/$H20,0)</f>
        <v>29188.0451633778</v>
      </c>
      <c r="P20" s="14" t="n">
        <f aca="false">IF(AND($E20&gt;0,P$6&gt;=$D20,P$6&lt;$D20+$E20),$C20*$F20/$E20,0)+IF(AND($H20&gt;0,P$6&gt;=$G20,P$6&lt;$G20+$H20),$C20*$I20/$H20,0)</f>
        <v>29188.0451633778</v>
      </c>
      <c r="Q20" s="14" t="n">
        <f aca="false">IF(AND($E20&gt;0,Q$6&gt;=$D20,Q$6&lt;$D20+$E20),$C20*$F20/$E20,0)+IF(AND($H20&gt;0,Q$6&gt;=$G20,Q$6&lt;$G20+$H20),$C20*$I20/$H20,0)</f>
        <v>29188.0451633778</v>
      </c>
      <c r="R20" s="14" t="n">
        <f aca="false">IF(AND($E20&gt;0,R$6&gt;=$D20,R$6&lt;$D20+$E20),$C20*$F20/$E20,0)+IF(AND($H20&gt;0,R$6&gt;=$G20,R$6&lt;$G20+$H20),$C20*$I20/$H20,0)</f>
        <v>29188.0451633778</v>
      </c>
      <c r="S20" s="14" t="n">
        <f aca="false">IF(AND($E20&gt;0,S$6&gt;=$D20,S$6&lt;$D20+$E20),$C20*$F20/$E20,0)+IF(AND($H20&gt;0,S$6&gt;=$G20,S$6&lt;$G20+$H20),$C20*$I20/$H20,0)</f>
        <v>29188.0451633778</v>
      </c>
      <c r="T20" s="14" t="n">
        <f aca="false">IF(AND($E20&gt;0,T$6&gt;=$D20,T$6&lt;$D20+$E20),$C20*$F20/$E20,0)+IF(AND($H20&gt;0,T$6&gt;=$G20,T$6&lt;$G20+$H20),$C20*$I20/$H20,0)</f>
        <v>29188.0451633778</v>
      </c>
      <c r="U20" s="14" t="n">
        <f aca="false">IF(AND($E20&gt;0,U$6&gt;=$D20,U$6&lt;$D20+$E20),$C20*$F20/$E20,0)+IF(AND($H20&gt;0,U$6&gt;=$G20,U$6&lt;$G20+$H20),$C20*$I20/$H20,0)</f>
        <v>29188.0451633778</v>
      </c>
      <c r="V20" s="14" t="n">
        <f aca="false">IF(AND($E20&gt;0,V$6&gt;=$D20,V$6&lt;$D20+$E20),$C20*$F20/$E20,0)+IF(AND($H20&gt;0,V$6&gt;=$G20,V$6&lt;$G20+$H20),$C20*$I20/$H20,0)</f>
        <v>29188.0451633778</v>
      </c>
      <c r="W20" s="14" t="n">
        <f aca="false">IF(AND($E20&gt;0,W$6&gt;=$D20,W$6&lt;$D20+$E20),$C20*$F20/$E20,0)+IF(AND($H20&gt;0,W$6&gt;=$G20,W$6&lt;$G20+$H20),$C20*$I20/$H20,0)</f>
        <v>29188.0451633778</v>
      </c>
      <c r="X20" s="14" t="n">
        <f aca="false">IF(AND($E20&gt;0,X$6&gt;=$D20,X$6&lt;$D20+$E20),$C20*$F20/$E20,0)+IF(AND($H20&gt;0,X$6&gt;=$G20,X$6&lt;$G20+$H20),$C20*$I20/$H20,0)</f>
        <v>29188.0451633778</v>
      </c>
      <c r="Y20" s="14" t="n">
        <f aca="false">IF(AND($E20&gt;0,Y$6&gt;=$D20,Y$6&lt;$D20+$E20),$C20*$F20/$E20,0)+IF(AND($H20&gt;0,Y$6&gt;=$G20,Y$6&lt;$G20+$H20),$C20*$I20/$H20,0)</f>
        <v>29188.0451633778</v>
      </c>
      <c r="Z20" s="14" t="n">
        <f aca="false">IF(AND($E20&gt;0,Z$6&gt;=$D20,Z$6&lt;$D20+$E20),$C20*$F20/$E20,0)+IF(AND($H20&gt;0,Z$6&gt;=$G20,Z$6&lt;$G20+$H20),$C20*$I20/$H20,0)</f>
        <v>29188.0451633778</v>
      </c>
      <c r="AA20" s="14" t="n">
        <f aca="false">IF(AND($E20&gt;0,AA$6&gt;=$D20,AA$6&lt;$D20+$E20),$C20*$F20/$E20,0)+IF(AND($H20&gt;0,AA$6&gt;=$G20,AA$6&lt;$G20+$H20),$C20*$I20/$H20,0)</f>
        <v>29188.0451633778</v>
      </c>
      <c r="AB20" s="14" t="n">
        <f aca="false">IF(AND($E20&gt;0,AB$6&gt;=$D20,AB$6&lt;$D20+$E20),$C20*$F20/$E20,0)+IF(AND($H20&gt;0,AB$6&gt;=$G20,AB$6&lt;$G20+$H20),$C20*$I20/$H20,0)</f>
        <v>29188.0451633778</v>
      </c>
      <c r="AC20" s="14" t="n">
        <f aca="false">IF(AND($E20&gt;0,AC$6&gt;=$D20,AC$6&lt;$D20+$E20),$C20*$F20/$E20,0)+IF(AND($H20&gt;0,AC$6&gt;=$G20,AC$6&lt;$G20+$H20),$C20*$I20/$H20,0)</f>
        <v>29188.0451633778</v>
      </c>
      <c r="AD20" s="14" t="n">
        <f aca="false">IF(AND($E20&gt;0,AD$6&gt;=$D20,AD$6&lt;$D20+$E20),$C20*$F20/$E20,0)+IF(AND($H20&gt;0,AD$6&gt;=$G20,AD$6&lt;$G20+$H20),$C20*$I20/$H20,0)</f>
        <v>58376.0903267557</v>
      </c>
      <c r="AE20" s="14" t="n">
        <f aca="false">IF(AND($E20&gt;0,AE$6&gt;=$D20,AE$6&lt;$D20+$E20),$C20*$F20/$E20,0)+IF(AND($H20&gt;0,AE$6&gt;=$G20,AE$6&lt;$G20+$H20),$C20*$I20/$H20,0)</f>
        <v>58376.0903267557</v>
      </c>
      <c r="AF20" s="14" t="n">
        <f aca="false">IF(AND($E20&gt;0,AF$6&gt;=$D20,AF$6&lt;$D20+$E20),$C20*$F20/$E20,0)+IF(AND($H20&gt;0,AF$6&gt;=$G20,AF$6&lt;$G20+$H20),$C20*$I20/$H20,0)</f>
        <v>58376.0903267557</v>
      </c>
      <c r="AG20" s="14" t="n">
        <f aca="false">IF(AND($E20&gt;0,AG$6&gt;=$D20,AG$6&lt;$D20+$E20),$C20*$F20/$E20,0)+IF(AND($H20&gt;0,AG$6&gt;=$G20,AG$6&lt;$G20+$H20),$C20*$I20/$H20,0)</f>
        <v>58376.0903267557</v>
      </c>
      <c r="AH20" s="14" t="n">
        <f aca="false">IF(AND($E20&gt;0,AH$6&gt;=$D20,AH$6&lt;$D20+$E20),$C20*$F20/$E20,0)+IF(AND($H20&gt;0,AH$6&gt;=$G20,AH$6&lt;$G20+$H20),$C20*$I20/$H20,0)</f>
        <v>58376.0903267557</v>
      </c>
      <c r="AI20" s="14" t="n">
        <f aca="false">IF(AND($E20&gt;0,AI$6&gt;=$D20,AI$6&lt;$D20+$E20),$C20*$F20/$E20,0)+IF(AND($H20&gt;0,AI$6&gt;=$G20,AI$6&lt;$G20+$H20),$C20*$I20/$H20,0)</f>
        <v>0</v>
      </c>
      <c r="AJ20" s="14" t="n">
        <f aca="false">IF(AND($E20&gt;0,AJ$6&gt;=$D20,AJ$6&lt;$D20+$E20),$C20*$F20/$E20,0)+IF(AND($H20&gt;0,AJ$6&gt;=$G20,AJ$6&lt;$G20+$H20),$C20*$I20/$H20,0)</f>
        <v>0</v>
      </c>
      <c r="AK20" s="14" t="n">
        <f aca="false">IF(AND($E20&gt;0,AK$6&gt;=$D20,AK$6&lt;$D20+$E20),$C20*$F20/$E20,0)+IF(AND($H20&gt;0,AK$6&gt;=$G20,AK$6&lt;$G20+$H20),$C20*$I20/$H20,0)</f>
        <v>0</v>
      </c>
      <c r="AL20" s="14" t="n">
        <f aca="false">IF(AND($E20&gt;0,AL$6&gt;=$D20,AL$6&lt;$D20+$E20),$C20*$F20/$E20,0)+IF(AND($H20&gt;0,AL$6&gt;=$G20,AL$6&lt;$G20+$H20),$C20*$I20/$H20,0)</f>
        <v>0</v>
      </c>
      <c r="AM20" s="14" t="n">
        <f aca="false">IF(AND($E20&gt;0,AM$6&gt;=$D20,AM$6&lt;$D20+$E20),$C20*$F20/$E20,0)+IF(AND($H20&gt;0,AM$6&gt;=$G20,AM$6&lt;$G20+$H20),$C20*$I20/$H20,0)</f>
        <v>0</v>
      </c>
      <c r="AN20" s="14" t="n">
        <f aca="false">IF(AND($E20&gt;0,AN$6&gt;=$D20,AN$6&lt;$D20+$E20),$C20*$F20/$E20,0)+IF(AND($H20&gt;0,AN$6&gt;=$G20,AN$6&lt;$G20+$H20),$C20*$I20/$H20,0)</f>
        <v>0</v>
      </c>
      <c r="AO20" s="14" t="n">
        <f aca="false">IF(AND($E20&gt;0,AO$6&gt;=$D20,AO$6&lt;$D20+$E20),$C20*$F20/$E20,0)+IF(AND($H20&gt;0,AO$6&gt;=$G20,AO$6&lt;$G20+$H20),$C20*$I20/$H20,0)</f>
        <v>0</v>
      </c>
      <c r="AP20" s="14" t="n">
        <f aca="false">IF(AND($E20&gt;0,AP$6&gt;=$D20,AP$6&lt;$D20+$E20),$C20*$F20/$E20,0)+IF(AND($H20&gt;0,AP$6&gt;=$G20,AP$6&lt;$G20+$H20),$C20*$I20/$H20,0)</f>
        <v>0</v>
      </c>
      <c r="AQ20" s="14" t="n">
        <f aca="false">IF(AND($E20&gt;0,AQ$6&gt;=$D20,AQ$6&lt;$D20+$E20),$C20*$F20/$E20,0)+IF(AND($H20&gt;0,AQ$6&gt;=$G20,AQ$6&lt;$G20+$H20),$C20*$I20/$H20,0)</f>
        <v>0</v>
      </c>
      <c r="AR20" s="14" t="n">
        <f aca="false">IF(AND($E20&gt;0,AR$6&gt;=$D20,AR$6&lt;$D20+$E20),$C20*$F20/$E20,0)+IF(AND($H20&gt;0,AR$6&gt;=$G20,AR$6&lt;$G20+$H20),$C20*$I20/$H20,0)</f>
        <v>0</v>
      </c>
      <c r="AS20" s="14" t="n">
        <f aca="false">IF(AND($E20&gt;0,AS$6&gt;=$D20,AS$6&lt;$D20+$E20),$C20*$F20/$E20,0)+IF(AND($H20&gt;0,AS$6&gt;=$G20,AS$6&lt;$G20+$H20),$C20*$I20/$H20,0)</f>
        <v>0</v>
      </c>
      <c r="AT20" s="14" t="n">
        <f aca="false">IF(AND($E20&gt;0,AT$6&gt;=$D20,AT$6&lt;$D20+$E20),$C20*$F20/$E20,0)+IF(AND($H20&gt;0,AT$6&gt;=$G20,AT$6&lt;$G20+$H20),$C20*$I20/$H20,0)</f>
        <v>0</v>
      </c>
      <c r="AU20" s="14" t="n">
        <f aca="false">IF(AND($E20&gt;0,AU$6&gt;=$D20,AU$6&lt;$D20+$E20),$C20*$F20/$E20,0)+IF(AND($H20&gt;0,AU$6&gt;=$G20,AU$6&lt;$G20+$H20),$C20*$I20/$H20,0)</f>
        <v>0</v>
      </c>
      <c r="AV20" s="14" t="n">
        <f aca="false">SUM(K20:AU20)</f>
        <v>729701.129084446</v>
      </c>
      <c r="AW20" s="14" t="n">
        <f aca="false">ROUND(AV20-C20,2)</f>
        <v>0</v>
      </c>
      <c r="AX20" s="31" t="n">
        <f aca="false">MAX(IF(E20&gt;0,D20+E20-1,0),IF(H20&gt;0,G20+H20-1,0))</f>
        <v>23</v>
      </c>
    </row>
    <row r="21" customFormat="false" ht="15" hidden="false" customHeight="false" outlineLevel="0" collapsed="false">
      <c r="A21" s="0" t="str">
        <f aca="false">'GEN SUMMARY'!A31</f>
        <v>P</v>
      </c>
      <c r="B21" s="0" t="str">
        <f aca="false">TRIM('GEN SUMMARY'!B31)</f>
        <v>ELECTRICAL WORKS</v>
      </c>
      <c r="C21" s="14" t="n">
        <f aca="false">'GEN SUMMARY'!H31</f>
        <v>1000808.67664536</v>
      </c>
      <c r="D21" s="28" t="n">
        <v>4</v>
      </c>
      <c r="E21" s="28" t="n">
        <v>15</v>
      </c>
      <c r="F21" s="29" t="n">
        <v>0.6</v>
      </c>
      <c r="G21" s="28" t="n">
        <v>19</v>
      </c>
      <c r="H21" s="28" t="n">
        <v>5</v>
      </c>
      <c r="I21" s="30" t="n">
        <f aca="false">1-F21</f>
        <v>0.4</v>
      </c>
      <c r="K21" s="14" t="n">
        <f aca="false">IF(AND($E21&gt;0,K$6&gt;=$D21,K$6&lt;$D21+$E21),$C21*$F21/$E21,0)+IF(AND($H21&gt;0,K$6&gt;=$G21,K$6&lt;$G21+$H21),$C21*$I21/$H21,0)</f>
        <v>0</v>
      </c>
      <c r="L21" s="14" t="n">
        <f aca="false">IF(AND($E21&gt;0,L$6&gt;=$D21,L$6&lt;$D21+$E21),$C21*$F21/$E21,0)+IF(AND($H21&gt;0,L$6&gt;=$G21,L$6&lt;$G21+$H21),$C21*$I21/$H21,0)</f>
        <v>0</v>
      </c>
      <c r="M21" s="14" t="n">
        <f aca="false">IF(AND($E21&gt;0,M$6&gt;=$D21,M$6&lt;$D21+$E21),$C21*$F21/$E21,0)+IF(AND($H21&gt;0,M$6&gt;=$G21,M$6&lt;$G21+$H21),$C21*$I21/$H21,0)</f>
        <v>0</v>
      </c>
      <c r="N21" s="14" t="n">
        <f aca="false">IF(AND($E21&gt;0,N$6&gt;=$D21,N$6&lt;$D21+$E21),$C21*$F21/$E21,0)+IF(AND($H21&gt;0,N$6&gt;=$G21,N$6&lt;$G21+$H21),$C21*$I21/$H21,0)</f>
        <v>0</v>
      </c>
      <c r="O21" s="14" t="n">
        <f aca="false">IF(AND($E21&gt;0,O$6&gt;=$D21,O$6&lt;$D21+$E21),$C21*$F21/$E21,0)+IF(AND($H21&gt;0,O$6&gt;=$G21,O$6&lt;$G21+$H21),$C21*$I21/$H21,0)</f>
        <v>40032.3470658145</v>
      </c>
      <c r="P21" s="14" t="n">
        <f aca="false">IF(AND($E21&gt;0,P$6&gt;=$D21,P$6&lt;$D21+$E21),$C21*$F21/$E21,0)+IF(AND($H21&gt;0,P$6&gt;=$G21,P$6&lt;$G21+$H21),$C21*$I21/$H21,0)</f>
        <v>40032.3470658145</v>
      </c>
      <c r="Q21" s="14" t="n">
        <f aca="false">IF(AND($E21&gt;0,Q$6&gt;=$D21,Q$6&lt;$D21+$E21),$C21*$F21/$E21,0)+IF(AND($H21&gt;0,Q$6&gt;=$G21,Q$6&lt;$G21+$H21),$C21*$I21/$H21,0)</f>
        <v>40032.3470658145</v>
      </c>
      <c r="R21" s="14" t="n">
        <f aca="false">IF(AND($E21&gt;0,R$6&gt;=$D21,R$6&lt;$D21+$E21),$C21*$F21/$E21,0)+IF(AND($H21&gt;0,R$6&gt;=$G21,R$6&lt;$G21+$H21),$C21*$I21/$H21,0)</f>
        <v>40032.3470658145</v>
      </c>
      <c r="S21" s="14" t="n">
        <f aca="false">IF(AND($E21&gt;0,S$6&gt;=$D21,S$6&lt;$D21+$E21),$C21*$F21/$E21,0)+IF(AND($H21&gt;0,S$6&gt;=$G21,S$6&lt;$G21+$H21),$C21*$I21/$H21,0)</f>
        <v>40032.3470658145</v>
      </c>
      <c r="T21" s="14" t="n">
        <f aca="false">IF(AND($E21&gt;0,T$6&gt;=$D21,T$6&lt;$D21+$E21),$C21*$F21/$E21,0)+IF(AND($H21&gt;0,T$6&gt;=$G21,T$6&lt;$G21+$H21),$C21*$I21/$H21,0)</f>
        <v>40032.3470658145</v>
      </c>
      <c r="U21" s="14" t="n">
        <f aca="false">IF(AND($E21&gt;0,U$6&gt;=$D21,U$6&lt;$D21+$E21),$C21*$F21/$E21,0)+IF(AND($H21&gt;0,U$6&gt;=$G21,U$6&lt;$G21+$H21),$C21*$I21/$H21,0)</f>
        <v>40032.3470658145</v>
      </c>
      <c r="V21" s="14" t="n">
        <f aca="false">IF(AND($E21&gt;0,V$6&gt;=$D21,V$6&lt;$D21+$E21),$C21*$F21/$E21,0)+IF(AND($H21&gt;0,V$6&gt;=$G21,V$6&lt;$G21+$H21),$C21*$I21/$H21,0)</f>
        <v>40032.3470658145</v>
      </c>
      <c r="W21" s="14" t="n">
        <f aca="false">IF(AND($E21&gt;0,W$6&gt;=$D21,W$6&lt;$D21+$E21),$C21*$F21/$E21,0)+IF(AND($H21&gt;0,W$6&gt;=$G21,W$6&lt;$G21+$H21),$C21*$I21/$H21,0)</f>
        <v>40032.3470658145</v>
      </c>
      <c r="X21" s="14" t="n">
        <f aca="false">IF(AND($E21&gt;0,X$6&gt;=$D21,X$6&lt;$D21+$E21),$C21*$F21/$E21,0)+IF(AND($H21&gt;0,X$6&gt;=$G21,X$6&lt;$G21+$H21),$C21*$I21/$H21,0)</f>
        <v>40032.3470658145</v>
      </c>
      <c r="Y21" s="14" t="n">
        <f aca="false">IF(AND($E21&gt;0,Y$6&gt;=$D21,Y$6&lt;$D21+$E21),$C21*$F21/$E21,0)+IF(AND($H21&gt;0,Y$6&gt;=$G21,Y$6&lt;$G21+$H21),$C21*$I21/$H21,0)</f>
        <v>40032.3470658145</v>
      </c>
      <c r="Z21" s="14" t="n">
        <f aca="false">IF(AND($E21&gt;0,Z$6&gt;=$D21,Z$6&lt;$D21+$E21),$C21*$F21/$E21,0)+IF(AND($H21&gt;0,Z$6&gt;=$G21,Z$6&lt;$G21+$H21),$C21*$I21/$H21,0)</f>
        <v>40032.3470658145</v>
      </c>
      <c r="AA21" s="14" t="n">
        <f aca="false">IF(AND($E21&gt;0,AA$6&gt;=$D21,AA$6&lt;$D21+$E21),$C21*$F21/$E21,0)+IF(AND($H21&gt;0,AA$6&gt;=$G21,AA$6&lt;$G21+$H21),$C21*$I21/$H21,0)</f>
        <v>40032.3470658145</v>
      </c>
      <c r="AB21" s="14" t="n">
        <f aca="false">IF(AND($E21&gt;0,AB$6&gt;=$D21,AB$6&lt;$D21+$E21),$C21*$F21/$E21,0)+IF(AND($H21&gt;0,AB$6&gt;=$G21,AB$6&lt;$G21+$H21),$C21*$I21/$H21,0)</f>
        <v>40032.3470658145</v>
      </c>
      <c r="AC21" s="14" t="n">
        <f aca="false">IF(AND($E21&gt;0,AC$6&gt;=$D21,AC$6&lt;$D21+$E21),$C21*$F21/$E21,0)+IF(AND($H21&gt;0,AC$6&gt;=$G21,AC$6&lt;$G21+$H21),$C21*$I21/$H21,0)</f>
        <v>40032.3470658145</v>
      </c>
      <c r="AD21" s="14" t="n">
        <f aca="false">IF(AND($E21&gt;0,AD$6&gt;=$D21,AD$6&lt;$D21+$E21),$C21*$F21/$E21,0)+IF(AND($H21&gt;0,AD$6&gt;=$G21,AD$6&lt;$G21+$H21),$C21*$I21/$H21,0)</f>
        <v>80064.6941316289</v>
      </c>
      <c r="AE21" s="14" t="n">
        <f aca="false">IF(AND($E21&gt;0,AE$6&gt;=$D21,AE$6&lt;$D21+$E21),$C21*$F21/$E21,0)+IF(AND($H21&gt;0,AE$6&gt;=$G21,AE$6&lt;$G21+$H21),$C21*$I21/$H21,0)</f>
        <v>80064.6941316289</v>
      </c>
      <c r="AF21" s="14" t="n">
        <f aca="false">IF(AND($E21&gt;0,AF$6&gt;=$D21,AF$6&lt;$D21+$E21),$C21*$F21/$E21,0)+IF(AND($H21&gt;0,AF$6&gt;=$G21,AF$6&lt;$G21+$H21),$C21*$I21/$H21,0)</f>
        <v>80064.6941316289</v>
      </c>
      <c r="AG21" s="14" t="n">
        <f aca="false">IF(AND($E21&gt;0,AG$6&gt;=$D21,AG$6&lt;$D21+$E21),$C21*$F21/$E21,0)+IF(AND($H21&gt;0,AG$6&gt;=$G21,AG$6&lt;$G21+$H21),$C21*$I21/$H21,0)</f>
        <v>80064.6941316289</v>
      </c>
      <c r="AH21" s="14" t="n">
        <f aca="false">IF(AND($E21&gt;0,AH$6&gt;=$D21,AH$6&lt;$D21+$E21),$C21*$F21/$E21,0)+IF(AND($H21&gt;0,AH$6&gt;=$G21,AH$6&lt;$G21+$H21),$C21*$I21/$H21,0)</f>
        <v>80064.6941316289</v>
      </c>
      <c r="AI21" s="14" t="n">
        <f aca="false">IF(AND($E21&gt;0,AI$6&gt;=$D21,AI$6&lt;$D21+$E21),$C21*$F21/$E21,0)+IF(AND($H21&gt;0,AI$6&gt;=$G21,AI$6&lt;$G21+$H21),$C21*$I21/$H21,0)</f>
        <v>0</v>
      </c>
      <c r="AJ21" s="14" t="n">
        <f aca="false">IF(AND($E21&gt;0,AJ$6&gt;=$D21,AJ$6&lt;$D21+$E21),$C21*$F21/$E21,0)+IF(AND($H21&gt;0,AJ$6&gt;=$G21,AJ$6&lt;$G21+$H21),$C21*$I21/$H21,0)</f>
        <v>0</v>
      </c>
      <c r="AK21" s="14" t="n">
        <f aca="false">IF(AND($E21&gt;0,AK$6&gt;=$D21,AK$6&lt;$D21+$E21),$C21*$F21/$E21,0)+IF(AND($H21&gt;0,AK$6&gt;=$G21,AK$6&lt;$G21+$H21),$C21*$I21/$H21,0)</f>
        <v>0</v>
      </c>
      <c r="AL21" s="14" t="n">
        <f aca="false">IF(AND($E21&gt;0,AL$6&gt;=$D21,AL$6&lt;$D21+$E21),$C21*$F21/$E21,0)+IF(AND($H21&gt;0,AL$6&gt;=$G21,AL$6&lt;$G21+$H21),$C21*$I21/$H21,0)</f>
        <v>0</v>
      </c>
      <c r="AM21" s="14" t="n">
        <f aca="false">IF(AND($E21&gt;0,AM$6&gt;=$D21,AM$6&lt;$D21+$E21),$C21*$F21/$E21,0)+IF(AND($H21&gt;0,AM$6&gt;=$G21,AM$6&lt;$G21+$H21),$C21*$I21/$H21,0)</f>
        <v>0</v>
      </c>
      <c r="AN21" s="14" t="n">
        <f aca="false">IF(AND($E21&gt;0,AN$6&gt;=$D21,AN$6&lt;$D21+$E21),$C21*$F21/$E21,0)+IF(AND($H21&gt;0,AN$6&gt;=$G21,AN$6&lt;$G21+$H21),$C21*$I21/$H21,0)</f>
        <v>0</v>
      </c>
      <c r="AO21" s="14" t="n">
        <f aca="false">IF(AND($E21&gt;0,AO$6&gt;=$D21,AO$6&lt;$D21+$E21),$C21*$F21/$E21,0)+IF(AND($H21&gt;0,AO$6&gt;=$G21,AO$6&lt;$G21+$H21),$C21*$I21/$H21,0)</f>
        <v>0</v>
      </c>
      <c r="AP21" s="14" t="n">
        <f aca="false">IF(AND($E21&gt;0,AP$6&gt;=$D21,AP$6&lt;$D21+$E21),$C21*$F21/$E21,0)+IF(AND($H21&gt;0,AP$6&gt;=$G21,AP$6&lt;$G21+$H21),$C21*$I21/$H21,0)</f>
        <v>0</v>
      </c>
      <c r="AQ21" s="14" t="n">
        <f aca="false">IF(AND($E21&gt;0,AQ$6&gt;=$D21,AQ$6&lt;$D21+$E21),$C21*$F21/$E21,0)+IF(AND($H21&gt;0,AQ$6&gt;=$G21,AQ$6&lt;$G21+$H21),$C21*$I21/$H21,0)</f>
        <v>0</v>
      </c>
      <c r="AR21" s="14" t="n">
        <f aca="false">IF(AND($E21&gt;0,AR$6&gt;=$D21,AR$6&lt;$D21+$E21),$C21*$F21/$E21,0)+IF(AND($H21&gt;0,AR$6&gt;=$G21,AR$6&lt;$G21+$H21),$C21*$I21/$H21,0)</f>
        <v>0</v>
      </c>
      <c r="AS21" s="14" t="n">
        <f aca="false">IF(AND($E21&gt;0,AS$6&gt;=$D21,AS$6&lt;$D21+$E21),$C21*$F21/$E21,0)+IF(AND($H21&gt;0,AS$6&gt;=$G21,AS$6&lt;$G21+$H21),$C21*$I21/$H21,0)</f>
        <v>0</v>
      </c>
      <c r="AT21" s="14" t="n">
        <f aca="false">IF(AND($E21&gt;0,AT$6&gt;=$D21,AT$6&lt;$D21+$E21),$C21*$F21/$E21,0)+IF(AND($H21&gt;0,AT$6&gt;=$G21,AT$6&lt;$G21+$H21),$C21*$I21/$H21,0)</f>
        <v>0</v>
      </c>
      <c r="AU21" s="14" t="n">
        <f aca="false">IF(AND($E21&gt;0,AU$6&gt;=$D21,AU$6&lt;$D21+$E21),$C21*$F21/$E21,0)+IF(AND($H21&gt;0,AU$6&gt;=$G21,AU$6&lt;$G21+$H21),$C21*$I21/$H21,0)</f>
        <v>0</v>
      </c>
      <c r="AV21" s="14" t="n">
        <f aca="false">SUM(K21:AU21)</f>
        <v>1000808.67664536</v>
      </c>
      <c r="AW21" s="14" t="n">
        <f aca="false">ROUND(AV21-C21,2)</f>
        <v>0</v>
      </c>
      <c r="AX21" s="31" t="n">
        <f aca="false">MAX(IF(E21&gt;0,D21+E21-1,0),IF(H21&gt;0,G21+H21-1,0))</f>
        <v>23</v>
      </c>
    </row>
    <row r="22" customFormat="false" ht="15" hidden="false" customHeight="false" outlineLevel="0" collapsed="false">
      <c r="A22" s="0" t="str">
        <f aca="false">'GEN SUMMARY'!A33</f>
        <v>Q</v>
      </c>
      <c r="B22" s="0" t="str">
        <f aca="false">TRIM('GEN SUMMARY'!B33)</f>
        <v>EXTERNAL FAÇADE WORKS</v>
      </c>
      <c r="C22" s="14" t="n">
        <f aca="false">'GEN SUMMARY'!H33</f>
        <v>610746.853925696</v>
      </c>
      <c r="D22" s="28" t="n">
        <v>12</v>
      </c>
      <c r="E22" s="28" t="n">
        <v>3</v>
      </c>
      <c r="F22" s="29" t="n">
        <v>0.7</v>
      </c>
      <c r="G22" s="28" t="n">
        <v>15</v>
      </c>
      <c r="H22" s="28" t="n">
        <v>8</v>
      </c>
      <c r="I22" s="30" t="n">
        <f aca="false">1-F22</f>
        <v>0.3</v>
      </c>
      <c r="K22" s="14" t="n">
        <f aca="false">IF(AND($E22&gt;0,K$6&gt;=$D22,K$6&lt;$D22+$E22),$C22*$F22/$E22,0)+IF(AND($H22&gt;0,K$6&gt;=$G22,K$6&lt;$G22+$H22),$C22*$I22/$H22,0)</f>
        <v>0</v>
      </c>
      <c r="L22" s="14" t="n">
        <f aca="false">IF(AND($E22&gt;0,L$6&gt;=$D22,L$6&lt;$D22+$E22),$C22*$F22/$E22,0)+IF(AND($H22&gt;0,L$6&gt;=$G22,L$6&lt;$G22+$H22),$C22*$I22/$H22,0)</f>
        <v>0</v>
      </c>
      <c r="M22" s="14" t="n">
        <f aca="false">IF(AND($E22&gt;0,M$6&gt;=$D22,M$6&lt;$D22+$E22),$C22*$F22/$E22,0)+IF(AND($H22&gt;0,M$6&gt;=$G22,M$6&lt;$G22+$H22),$C22*$I22/$H22,0)</f>
        <v>0</v>
      </c>
      <c r="N22" s="14" t="n">
        <f aca="false">IF(AND($E22&gt;0,N$6&gt;=$D22,N$6&lt;$D22+$E22),$C22*$F22/$E22,0)+IF(AND($H22&gt;0,N$6&gt;=$G22,N$6&lt;$G22+$H22),$C22*$I22/$H22,0)</f>
        <v>0</v>
      </c>
      <c r="O22" s="14" t="n">
        <f aca="false">IF(AND($E22&gt;0,O$6&gt;=$D22,O$6&lt;$D22+$E22),$C22*$F22/$E22,0)+IF(AND($H22&gt;0,O$6&gt;=$G22,O$6&lt;$G22+$H22),$C22*$I22/$H22,0)</f>
        <v>0</v>
      </c>
      <c r="P22" s="14" t="n">
        <f aca="false">IF(AND($E22&gt;0,P$6&gt;=$D22,P$6&lt;$D22+$E22),$C22*$F22/$E22,0)+IF(AND($H22&gt;0,P$6&gt;=$G22,P$6&lt;$G22+$H22),$C22*$I22/$H22,0)</f>
        <v>0</v>
      </c>
      <c r="Q22" s="14" t="n">
        <f aca="false">IF(AND($E22&gt;0,Q$6&gt;=$D22,Q$6&lt;$D22+$E22),$C22*$F22/$E22,0)+IF(AND($H22&gt;0,Q$6&gt;=$G22,Q$6&lt;$G22+$H22),$C22*$I22/$H22,0)</f>
        <v>0</v>
      </c>
      <c r="R22" s="14" t="n">
        <f aca="false">IF(AND($E22&gt;0,R$6&gt;=$D22,R$6&lt;$D22+$E22),$C22*$F22/$E22,0)+IF(AND($H22&gt;0,R$6&gt;=$G22,R$6&lt;$G22+$H22),$C22*$I22/$H22,0)</f>
        <v>0</v>
      </c>
      <c r="S22" s="14" t="n">
        <f aca="false">IF(AND($E22&gt;0,S$6&gt;=$D22,S$6&lt;$D22+$E22),$C22*$F22/$E22,0)+IF(AND($H22&gt;0,S$6&gt;=$G22,S$6&lt;$G22+$H22),$C22*$I22/$H22,0)</f>
        <v>0</v>
      </c>
      <c r="T22" s="14" t="n">
        <f aca="false">IF(AND($E22&gt;0,T$6&gt;=$D22,T$6&lt;$D22+$E22),$C22*$F22/$E22,0)+IF(AND($H22&gt;0,T$6&gt;=$G22,T$6&lt;$G22+$H22),$C22*$I22/$H22,0)</f>
        <v>0</v>
      </c>
      <c r="U22" s="14" t="n">
        <f aca="false">IF(AND($E22&gt;0,U$6&gt;=$D22,U$6&lt;$D22+$E22),$C22*$F22/$E22,0)+IF(AND($H22&gt;0,U$6&gt;=$G22,U$6&lt;$G22+$H22),$C22*$I22/$H22,0)</f>
        <v>0</v>
      </c>
      <c r="V22" s="14" t="n">
        <f aca="false">IF(AND($E22&gt;0,V$6&gt;=$D22,V$6&lt;$D22+$E22),$C22*$F22/$E22,0)+IF(AND($H22&gt;0,V$6&gt;=$G22,V$6&lt;$G22+$H22),$C22*$I22/$H22,0)</f>
        <v>0</v>
      </c>
      <c r="W22" s="14" t="n">
        <f aca="false">IF(AND($E22&gt;0,W$6&gt;=$D22,W$6&lt;$D22+$E22),$C22*$F22/$E22,0)+IF(AND($H22&gt;0,W$6&gt;=$G22,W$6&lt;$G22+$H22),$C22*$I22/$H22,0)</f>
        <v>142507.599249329</v>
      </c>
      <c r="X22" s="14" t="n">
        <f aca="false">IF(AND($E22&gt;0,X$6&gt;=$D22,X$6&lt;$D22+$E22),$C22*$F22/$E22,0)+IF(AND($H22&gt;0,X$6&gt;=$G22,X$6&lt;$G22+$H22),$C22*$I22/$H22,0)</f>
        <v>142507.599249329</v>
      </c>
      <c r="Y22" s="14" t="n">
        <f aca="false">IF(AND($E22&gt;0,Y$6&gt;=$D22,Y$6&lt;$D22+$E22),$C22*$F22/$E22,0)+IF(AND($H22&gt;0,Y$6&gt;=$G22,Y$6&lt;$G22+$H22),$C22*$I22/$H22,0)</f>
        <v>142507.599249329</v>
      </c>
      <c r="Z22" s="14" t="n">
        <f aca="false">IF(AND($E22&gt;0,Z$6&gt;=$D22,Z$6&lt;$D22+$E22),$C22*$F22/$E22,0)+IF(AND($H22&gt;0,Z$6&gt;=$G22,Z$6&lt;$G22+$H22),$C22*$I22/$H22,0)</f>
        <v>22903.0070222136</v>
      </c>
      <c r="AA22" s="14" t="n">
        <f aca="false">IF(AND($E22&gt;0,AA$6&gt;=$D22,AA$6&lt;$D22+$E22),$C22*$F22/$E22,0)+IF(AND($H22&gt;0,AA$6&gt;=$G22,AA$6&lt;$G22+$H22),$C22*$I22/$H22,0)</f>
        <v>22903.0070222136</v>
      </c>
      <c r="AB22" s="14" t="n">
        <f aca="false">IF(AND($E22&gt;0,AB$6&gt;=$D22,AB$6&lt;$D22+$E22),$C22*$F22/$E22,0)+IF(AND($H22&gt;0,AB$6&gt;=$G22,AB$6&lt;$G22+$H22),$C22*$I22/$H22,0)</f>
        <v>22903.0070222136</v>
      </c>
      <c r="AC22" s="14" t="n">
        <f aca="false">IF(AND($E22&gt;0,AC$6&gt;=$D22,AC$6&lt;$D22+$E22),$C22*$F22/$E22,0)+IF(AND($H22&gt;0,AC$6&gt;=$G22,AC$6&lt;$G22+$H22),$C22*$I22/$H22,0)</f>
        <v>22903.0070222136</v>
      </c>
      <c r="AD22" s="14" t="n">
        <f aca="false">IF(AND($E22&gt;0,AD$6&gt;=$D22,AD$6&lt;$D22+$E22),$C22*$F22/$E22,0)+IF(AND($H22&gt;0,AD$6&gt;=$G22,AD$6&lt;$G22+$H22),$C22*$I22/$H22,0)</f>
        <v>22903.0070222136</v>
      </c>
      <c r="AE22" s="14" t="n">
        <f aca="false">IF(AND($E22&gt;0,AE$6&gt;=$D22,AE$6&lt;$D22+$E22),$C22*$F22/$E22,0)+IF(AND($H22&gt;0,AE$6&gt;=$G22,AE$6&lt;$G22+$H22),$C22*$I22/$H22,0)</f>
        <v>22903.0070222136</v>
      </c>
      <c r="AF22" s="14" t="n">
        <f aca="false">IF(AND($E22&gt;0,AF$6&gt;=$D22,AF$6&lt;$D22+$E22),$C22*$F22/$E22,0)+IF(AND($H22&gt;0,AF$6&gt;=$G22,AF$6&lt;$G22+$H22),$C22*$I22/$H22,0)</f>
        <v>22903.0070222136</v>
      </c>
      <c r="AG22" s="14" t="n">
        <f aca="false">IF(AND($E22&gt;0,AG$6&gt;=$D22,AG$6&lt;$D22+$E22),$C22*$F22/$E22,0)+IF(AND($H22&gt;0,AG$6&gt;=$G22,AG$6&lt;$G22+$H22),$C22*$I22/$H22,0)</f>
        <v>22903.0070222136</v>
      </c>
      <c r="AH22" s="14" t="n">
        <f aca="false">IF(AND($E22&gt;0,AH$6&gt;=$D22,AH$6&lt;$D22+$E22),$C22*$F22/$E22,0)+IF(AND($H22&gt;0,AH$6&gt;=$G22,AH$6&lt;$G22+$H22),$C22*$I22/$H22,0)</f>
        <v>0</v>
      </c>
      <c r="AI22" s="14" t="n">
        <f aca="false">IF(AND($E22&gt;0,AI$6&gt;=$D22,AI$6&lt;$D22+$E22),$C22*$F22/$E22,0)+IF(AND($H22&gt;0,AI$6&gt;=$G22,AI$6&lt;$G22+$H22),$C22*$I22/$H22,0)</f>
        <v>0</v>
      </c>
      <c r="AJ22" s="14" t="n">
        <f aca="false">IF(AND($E22&gt;0,AJ$6&gt;=$D22,AJ$6&lt;$D22+$E22),$C22*$F22/$E22,0)+IF(AND($H22&gt;0,AJ$6&gt;=$G22,AJ$6&lt;$G22+$H22),$C22*$I22/$H22,0)</f>
        <v>0</v>
      </c>
      <c r="AK22" s="14" t="n">
        <f aca="false">IF(AND($E22&gt;0,AK$6&gt;=$D22,AK$6&lt;$D22+$E22),$C22*$F22/$E22,0)+IF(AND($H22&gt;0,AK$6&gt;=$G22,AK$6&lt;$G22+$H22),$C22*$I22/$H22,0)</f>
        <v>0</v>
      </c>
      <c r="AL22" s="14" t="n">
        <f aca="false">IF(AND($E22&gt;0,AL$6&gt;=$D22,AL$6&lt;$D22+$E22),$C22*$F22/$E22,0)+IF(AND($H22&gt;0,AL$6&gt;=$G22,AL$6&lt;$G22+$H22),$C22*$I22/$H22,0)</f>
        <v>0</v>
      </c>
      <c r="AM22" s="14" t="n">
        <f aca="false">IF(AND($E22&gt;0,AM$6&gt;=$D22,AM$6&lt;$D22+$E22),$C22*$F22/$E22,0)+IF(AND($H22&gt;0,AM$6&gt;=$G22,AM$6&lt;$G22+$H22),$C22*$I22/$H22,0)</f>
        <v>0</v>
      </c>
      <c r="AN22" s="14" t="n">
        <f aca="false">IF(AND($E22&gt;0,AN$6&gt;=$D22,AN$6&lt;$D22+$E22),$C22*$F22/$E22,0)+IF(AND($H22&gt;0,AN$6&gt;=$G22,AN$6&lt;$G22+$H22),$C22*$I22/$H22,0)</f>
        <v>0</v>
      </c>
      <c r="AO22" s="14" t="n">
        <f aca="false">IF(AND($E22&gt;0,AO$6&gt;=$D22,AO$6&lt;$D22+$E22),$C22*$F22/$E22,0)+IF(AND($H22&gt;0,AO$6&gt;=$G22,AO$6&lt;$G22+$H22),$C22*$I22/$H22,0)</f>
        <v>0</v>
      </c>
      <c r="AP22" s="14" t="n">
        <f aca="false">IF(AND($E22&gt;0,AP$6&gt;=$D22,AP$6&lt;$D22+$E22),$C22*$F22/$E22,0)+IF(AND($H22&gt;0,AP$6&gt;=$G22,AP$6&lt;$G22+$H22),$C22*$I22/$H22,0)</f>
        <v>0</v>
      </c>
      <c r="AQ22" s="14" t="n">
        <f aca="false">IF(AND($E22&gt;0,AQ$6&gt;=$D22,AQ$6&lt;$D22+$E22),$C22*$F22/$E22,0)+IF(AND($H22&gt;0,AQ$6&gt;=$G22,AQ$6&lt;$G22+$H22),$C22*$I22/$H22,0)</f>
        <v>0</v>
      </c>
      <c r="AR22" s="14" t="n">
        <f aca="false">IF(AND($E22&gt;0,AR$6&gt;=$D22,AR$6&lt;$D22+$E22),$C22*$F22/$E22,0)+IF(AND($H22&gt;0,AR$6&gt;=$G22,AR$6&lt;$G22+$H22),$C22*$I22/$H22,0)</f>
        <v>0</v>
      </c>
      <c r="AS22" s="14" t="n">
        <f aca="false">IF(AND($E22&gt;0,AS$6&gt;=$D22,AS$6&lt;$D22+$E22),$C22*$F22/$E22,0)+IF(AND($H22&gt;0,AS$6&gt;=$G22,AS$6&lt;$G22+$H22),$C22*$I22/$H22,0)</f>
        <v>0</v>
      </c>
      <c r="AT22" s="14" t="n">
        <f aca="false">IF(AND($E22&gt;0,AT$6&gt;=$D22,AT$6&lt;$D22+$E22),$C22*$F22/$E22,0)+IF(AND($H22&gt;0,AT$6&gt;=$G22,AT$6&lt;$G22+$H22),$C22*$I22/$H22,0)</f>
        <v>0</v>
      </c>
      <c r="AU22" s="14" t="n">
        <f aca="false">IF(AND($E22&gt;0,AU$6&gt;=$D22,AU$6&lt;$D22+$E22),$C22*$F22/$E22,0)+IF(AND($H22&gt;0,AU$6&gt;=$G22,AU$6&lt;$G22+$H22),$C22*$I22/$H22,0)</f>
        <v>0</v>
      </c>
      <c r="AV22" s="14" t="n">
        <f aca="false">SUM(K22:AU22)</f>
        <v>610746.853925697</v>
      </c>
      <c r="AW22" s="14" t="n">
        <f aca="false">ROUND(AV22-C22,2)</f>
        <v>0</v>
      </c>
      <c r="AX22" s="31" t="n">
        <f aca="false">MAX(IF(E22&gt;0,D22+E22-1,0),IF(H22&gt;0,G22+H22-1,0))</f>
        <v>22</v>
      </c>
    </row>
    <row r="23" customFormat="false" ht="15" hidden="false" customHeight="false" outlineLevel="0" collapsed="false">
      <c r="A23" s="0" t="str">
        <f aca="false">'GEN SUMMARY'!A35</f>
        <v>R</v>
      </c>
      <c r="B23" s="0" t="str">
        <f aca="false">TRIM('GEN SUMMARY'!B35)</f>
        <v>EXTERNAL WORKS (ALL PROVISIONAL)</v>
      </c>
      <c r="C23" s="14" t="n">
        <f aca="false">'GEN SUMMARY'!H35</f>
        <v>43873.1129572714</v>
      </c>
      <c r="D23" s="28" t="n">
        <v>20</v>
      </c>
      <c r="E23" s="28" t="n">
        <v>3</v>
      </c>
      <c r="F23" s="29" t="n">
        <v>0.5</v>
      </c>
      <c r="G23" s="28" t="n">
        <v>23</v>
      </c>
      <c r="H23" s="28" t="n">
        <v>2</v>
      </c>
      <c r="I23" s="30" t="n">
        <f aca="false">1-F23</f>
        <v>0.5</v>
      </c>
      <c r="K23" s="14" t="n">
        <f aca="false">IF(AND($E23&gt;0,K$6&gt;=$D23,K$6&lt;$D23+$E23),$C23*$F23/$E23,0)+IF(AND($H23&gt;0,K$6&gt;=$G23,K$6&lt;$G23+$H23),$C23*$I23/$H23,0)</f>
        <v>0</v>
      </c>
      <c r="L23" s="14" t="n">
        <f aca="false">IF(AND($E23&gt;0,L$6&gt;=$D23,L$6&lt;$D23+$E23),$C23*$F23/$E23,0)+IF(AND($H23&gt;0,L$6&gt;=$G23,L$6&lt;$G23+$H23),$C23*$I23/$H23,0)</f>
        <v>0</v>
      </c>
      <c r="M23" s="14" t="n">
        <f aca="false">IF(AND($E23&gt;0,M$6&gt;=$D23,M$6&lt;$D23+$E23),$C23*$F23/$E23,0)+IF(AND($H23&gt;0,M$6&gt;=$G23,M$6&lt;$G23+$H23),$C23*$I23/$H23,0)</f>
        <v>0</v>
      </c>
      <c r="N23" s="14" t="n">
        <f aca="false">IF(AND($E23&gt;0,N$6&gt;=$D23,N$6&lt;$D23+$E23),$C23*$F23/$E23,0)+IF(AND($H23&gt;0,N$6&gt;=$G23,N$6&lt;$G23+$H23),$C23*$I23/$H23,0)</f>
        <v>0</v>
      </c>
      <c r="O23" s="14" t="n">
        <f aca="false">IF(AND($E23&gt;0,O$6&gt;=$D23,O$6&lt;$D23+$E23),$C23*$F23/$E23,0)+IF(AND($H23&gt;0,O$6&gt;=$G23,O$6&lt;$G23+$H23),$C23*$I23/$H23,0)</f>
        <v>0</v>
      </c>
      <c r="P23" s="14" t="n">
        <f aca="false">IF(AND($E23&gt;0,P$6&gt;=$D23,P$6&lt;$D23+$E23),$C23*$F23/$E23,0)+IF(AND($H23&gt;0,P$6&gt;=$G23,P$6&lt;$G23+$H23),$C23*$I23/$H23,0)</f>
        <v>0</v>
      </c>
      <c r="Q23" s="14" t="n">
        <f aca="false">IF(AND($E23&gt;0,Q$6&gt;=$D23,Q$6&lt;$D23+$E23),$C23*$F23/$E23,0)+IF(AND($H23&gt;0,Q$6&gt;=$G23,Q$6&lt;$G23+$H23),$C23*$I23/$H23,0)</f>
        <v>0</v>
      </c>
      <c r="R23" s="14" t="n">
        <f aca="false">IF(AND($E23&gt;0,R$6&gt;=$D23,R$6&lt;$D23+$E23),$C23*$F23/$E23,0)+IF(AND($H23&gt;0,R$6&gt;=$G23,R$6&lt;$G23+$H23),$C23*$I23/$H23,0)</f>
        <v>0</v>
      </c>
      <c r="S23" s="14" t="n">
        <f aca="false">IF(AND($E23&gt;0,S$6&gt;=$D23,S$6&lt;$D23+$E23),$C23*$F23/$E23,0)+IF(AND($H23&gt;0,S$6&gt;=$G23,S$6&lt;$G23+$H23),$C23*$I23/$H23,0)</f>
        <v>0</v>
      </c>
      <c r="T23" s="14" t="n">
        <f aca="false">IF(AND($E23&gt;0,T$6&gt;=$D23,T$6&lt;$D23+$E23),$C23*$F23/$E23,0)+IF(AND($H23&gt;0,T$6&gt;=$G23,T$6&lt;$G23+$H23),$C23*$I23/$H23,0)</f>
        <v>0</v>
      </c>
      <c r="U23" s="14" t="n">
        <f aca="false">IF(AND($E23&gt;0,U$6&gt;=$D23,U$6&lt;$D23+$E23),$C23*$F23/$E23,0)+IF(AND($H23&gt;0,U$6&gt;=$G23,U$6&lt;$G23+$H23),$C23*$I23/$H23,0)</f>
        <v>0</v>
      </c>
      <c r="V23" s="14" t="n">
        <f aca="false">IF(AND($E23&gt;0,V$6&gt;=$D23,V$6&lt;$D23+$E23),$C23*$F23/$E23,0)+IF(AND($H23&gt;0,V$6&gt;=$G23,V$6&lt;$G23+$H23),$C23*$I23/$H23,0)</f>
        <v>0</v>
      </c>
      <c r="W23" s="14" t="n">
        <f aca="false">IF(AND($E23&gt;0,W$6&gt;=$D23,W$6&lt;$D23+$E23),$C23*$F23/$E23,0)+IF(AND($H23&gt;0,W$6&gt;=$G23,W$6&lt;$G23+$H23),$C23*$I23/$H23,0)</f>
        <v>0</v>
      </c>
      <c r="X23" s="14" t="n">
        <f aca="false">IF(AND($E23&gt;0,X$6&gt;=$D23,X$6&lt;$D23+$E23),$C23*$F23/$E23,0)+IF(AND($H23&gt;0,X$6&gt;=$G23,X$6&lt;$G23+$H23),$C23*$I23/$H23,0)</f>
        <v>0</v>
      </c>
      <c r="Y23" s="14" t="n">
        <f aca="false">IF(AND($E23&gt;0,Y$6&gt;=$D23,Y$6&lt;$D23+$E23),$C23*$F23/$E23,0)+IF(AND($H23&gt;0,Y$6&gt;=$G23,Y$6&lt;$G23+$H23),$C23*$I23/$H23,0)</f>
        <v>0</v>
      </c>
      <c r="Z23" s="14" t="n">
        <f aca="false">IF(AND($E23&gt;0,Z$6&gt;=$D23,Z$6&lt;$D23+$E23),$C23*$F23/$E23,0)+IF(AND($H23&gt;0,Z$6&gt;=$G23,Z$6&lt;$G23+$H23),$C23*$I23/$H23,0)</f>
        <v>0</v>
      </c>
      <c r="AA23" s="14" t="n">
        <f aca="false">IF(AND($E23&gt;0,AA$6&gt;=$D23,AA$6&lt;$D23+$E23),$C23*$F23/$E23,0)+IF(AND($H23&gt;0,AA$6&gt;=$G23,AA$6&lt;$G23+$H23),$C23*$I23/$H23,0)</f>
        <v>0</v>
      </c>
      <c r="AB23" s="14" t="n">
        <f aca="false">IF(AND($E23&gt;0,AB$6&gt;=$D23,AB$6&lt;$D23+$E23),$C23*$F23/$E23,0)+IF(AND($H23&gt;0,AB$6&gt;=$G23,AB$6&lt;$G23+$H23),$C23*$I23/$H23,0)</f>
        <v>0</v>
      </c>
      <c r="AC23" s="14" t="n">
        <f aca="false">IF(AND($E23&gt;0,AC$6&gt;=$D23,AC$6&lt;$D23+$E23),$C23*$F23/$E23,0)+IF(AND($H23&gt;0,AC$6&gt;=$G23,AC$6&lt;$G23+$H23),$C23*$I23/$H23,0)</f>
        <v>0</v>
      </c>
      <c r="AD23" s="14" t="n">
        <f aca="false">IF(AND($E23&gt;0,AD$6&gt;=$D23,AD$6&lt;$D23+$E23),$C23*$F23/$E23,0)+IF(AND($H23&gt;0,AD$6&gt;=$G23,AD$6&lt;$G23+$H23),$C23*$I23/$H23,0)</f>
        <v>0</v>
      </c>
      <c r="AE23" s="14" t="n">
        <f aca="false">IF(AND($E23&gt;0,AE$6&gt;=$D23,AE$6&lt;$D23+$E23),$C23*$F23/$E23,0)+IF(AND($H23&gt;0,AE$6&gt;=$G23,AE$6&lt;$G23+$H23),$C23*$I23/$H23,0)</f>
        <v>7312.18549287856</v>
      </c>
      <c r="AF23" s="14" t="n">
        <f aca="false">IF(AND($E23&gt;0,AF$6&gt;=$D23,AF$6&lt;$D23+$E23),$C23*$F23/$E23,0)+IF(AND($H23&gt;0,AF$6&gt;=$G23,AF$6&lt;$G23+$H23),$C23*$I23/$H23,0)</f>
        <v>7312.18549287856</v>
      </c>
      <c r="AG23" s="14" t="n">
        <f aca="false">IF(AND($E23&gt;0,AG$6&gt;=$D23,AG$6&lt;$D23+$E23),$C23*$F23/$E23,0)+IF(AND($H23&gt;0,AG$6&gt;=$G23,AG$6&lt;$G23+$H23),$C23*$I23/$H23,0)</f>
        <v>7312.18549287856</v>
      </c>
      <c r="AH23" s="14" t="n">
        <f aca="false">IF(AND($E23&gt;0,AH$6&gt;=$D23,AH$6&lt;$D23+$E23),$C23*$F23/$E23,0)+IF(AND($H23&gt;0,AH$6&gt;=$G23,AH$6&lt;$G23+$H23),$C23*$I23/$H23,0)</f>
        <v>10968.2782393178</v>
      </c>
      <c r="AI23" s="14" t="n">
        <f aca="false">IF(AND($E23&gt;0,AI$6&gt;=$D23,AI$6&lt;$D23+$E23),$C23*$F23/$E23,0)+IF(AND($H23&gt;0,AI$6&gt;=$G23,AI$6&lt;$G23+$H23),$C23*$I23/$H23,0)</f>
        <v>10968.2782393178</v>
      </c>
      <c r="AJ23" s="14" t="n">
        <f aca="false">IF(AND($E23&gt;0,AJ$6&gt;=$D23,AJ$6&lt;$D23+$E23),$C23*$F23/$E23,0)+IF(AND($H23&gt;0,AJ$6&gt;=$G23,AJ$6&lt;$G23+$H23),$C23*$I23/$H23,0)</f>
        <v>0</v>
      </c>
      <c r="AK23" s="14" t="n">
        <f aca="false">IF(AND($E23&gt;0,AK$6&gt;=$D23,AK$6&lt;$D23+$E23),$C23*$F23/$E23,0)+IF(AND($H23&gt;0,AK$6&gt;=$G23,AK$6&lt;$G23+$H23),$C23*$I23/$H23,0)</f>
        <v>0</v>
      </c>
      <c r="AL23" s="14" t="n">
        <f aca="false">IF(AND($E23&gt;0,AL$6&gt;=$D23,AL$6&lt;$D23+$E23),$C23*$F23/$E23,0)+IF(AND($H23&gt;0,AL$6&gt;=$G23,AL$6&lt;$G23+$H23),$C23*$I23/$H23,0)</f>
        <v>0</v>
      </c>
      <c r="AM23" s="14" t="n">
        <f aca="false">IF(AND($E23&gt;0,AM$6&gt;=$D23,AM$6&lt;$D23+$E23),$C23*$F23/$E23,0)+IF(AND($H23&gt;0,AM$6&gt;=$G23,AM$6&lt;$G23+$H23),$C23*$I23/$H23,0)</f>
        <v>0</v>
      </c>
      <c r="AN23" s="14" t="n">
        <f aca="false">IF(AND($E23&gt;0,AN$6&gt;=$D23,AN$6&lt;$D23+$E23),$C23*$F23/$E23,0)+IF(AND($H23&gt;0,AN$6&gt;=$G23,AN$6&lt;$G23+$H23),$C23*$I23/$H23,0)</f>
        <v>0</v>
      </c>
      <c r="AO23" s="14" t="n">
        <f aca="false">IF(AND($E23&gt;0,AO$6&gt;=$D23,AO$6&lt;$D23+$E23),$C23*$F23/$E23,0)+IF(AND($H23&gt;0,AO$6&gt;=$G23,AO$6&lt;$G23+$H23),$C23*$I23/$H23,0)</f>
        <v>0</v>
      </c>
      <c r="AP23" s="14" t="n">
        <f aca="false">IF(AND($E23&gt;0,AP$6&gt;=$D23,AP$6&lt;$D23+$E23),$C23*$F23/$E23,0)+IF(AND($H23&gt;0,AP$6&gt;=$G23,AP$6&lt;$G23+$H23),$C23*$I23/$H23,0)</f>
        <v>0</v>
      </c>
      <c r="AQ23" s="14" t="n">
        <f aca="false">IF(AND($E23&gt;0,AQ$6&gt;=$D23,AQ$6&lt;$D23+$E23),$C23*$F23/$E23,0)+IF(AND($H23&gt;0,AQ$6&gt;=$G23,AQ$6&lt;$G23+$H23),$C23*$I23/$H23,0)</f>
        <v>0</v>
      </c>
      <c r="AR23" s="14" t="n">
        <f aca="false">IF(AND($E23&gt;0,AR$6&gt;=$D23,AR$6&lt;$D23+$E23),$C23*$F23/$E23,0)+IF(AND($H23&gt;0,AR$6&gt;=$G23,AR$6&lt;$G23+$H23),$C23*$I23/$H23,0)</f>
        <v>0</v>
      </c>
      <c r="AS23" s="14" t="n">
        <f aca="false">IF(AND($E23&gt;0,AS$6&gt;=$D23,AS$6&lt;$D23+$E23),$C23*$F23/$E23,0)+IF(AND($H23&gt;0,AS$6&gt;=$G23,AS$6&lt;$G23+$H23),$C23*$I23/$H23,0)</f>
        <v>0</v>
      </c>
      <c r="AT23" s="14" t="n">
        <f aca="false">IF(AND($E23&gt;0,AT$6&gt;=$D23,AT$6&lt;$D23+$E23),$C23*$F23/$E23,0)+IF(AND($H23&gt;0,AT$6&gt;=$G23,AT$6&lt;$G23+$H23),$C23*$I23/$H23,0)</f>
        <v>0</v>
      </c>
      <c r="AU23" s="14" t="n">
        <f aca="false">IF(AND($E23&gt;0,AU$6&gt;=$D23,AU$6&lt;$D23+$E23),$C23*$F23/$E23,0)+IF(AND($H23&gt;0,AU$6&gt;=$G23,AU$6&lt;$G23+$H23),$C23*$I23/$H23,0)</f>
        <v>0</v>
      </c>
      <c r="AV23" s="14" t="n">
        <f aca="false">SUM(K23:AU23)</f>
        <v>43873.1129572714</v>
      </c>
      <c r="AW23" s="14" t="n">
        <f aca="false">ROUND(AV23-C23,2)</f>
        <v>0</v>
      </c>
      <c r="AX23" s="31" t="n">
        <f aca="false">MAX(IF(E23&gt;0,D23+E23-1,0),IF(H23&gt;0,G23+H23-1,0))</f>
        <v>24</v>
      </c>
    </row>
    <row r="24" customFormat="false" ht="15" hidden="false" customHeight="false" outlineLevel="0" collapsed="false">
      <c r="A24" s="0" t="str">
        <f aca="false">'GEN SUMMARY'!A37</f>
        <v>S</v>
      </c>
      <c r="B24" s="0" t="str">
        <f aca="false">TRIM('GEN SUMMARY'!B37)</f>
        <v>DESIGN FEES</v>
      </c>
      <c r="C24" s="14" t="n">
        <f aca="false">'GEN SUMMARY'!H37</f>
        <v>180547.502854799</v>
      </c>
      <c r="D24" s="28" t="n">
        <v>1</v>
      </c>
      <c r="E24" s="28" t="n">
        <v>1</v>
      </c>
      <c r="F24" s="29" t="n">
        <v>0.5</v>
      </c>
      <c r="G24" s="28" t="n">
        <v>2</v>
      </c>
      <c r="H24" s="28" t="n">
        <v>11</v>
      </c>
      <c r="I24" s="30" t="n">
        <f aca="false">1-F24</f>
        <v>0.5</v>
      </c>
      <c r="K24" s="14" t="n">
        <f aca="false">IF(AND($E24&gt;0,K$6&gt;=$D24,K$6&lt;$D24+$E24),$C24*$F24/$E24,0)+IF(AND($H24&gt;0,K$6&gt;=$G24,K$6&lt;$G24+$H24),$C24*$I24/$H24,0)</f>
        <v>0</v>
      </c>
      <c r="L24" s="14" t="n">
        <f aca="false">IF(AND($E24&gt;0,L$6&gt;=$D24,L$6&lt;$D24+$E24),$C24*$F24/$E24,0)+IF(AND($H24&gt;0,L$6&gt;=$G24,L$6&lt;$G24+$H24),$C24*$I24/$H24,0)</f>
        <v>90273.7514273997</v>
      </c>
      <c r="M24" s="14" t="n">
        <f aca="false">IF(AND($E24&gt;0,M$6&gt;=$D24,M$6&lt;$D24+$E24),$C24*$F24/$E24,0)+IF(AND($H24&gt;0,M$6&gt;=$G24,M$6&lt;$G24+$H24),$C24*$I24/$H24,0)</f>
        <v>8206.70467521816</v>
      </c>
      <c r="N24" s="14" t="n">
        <f aca="false">IF(AND($E24&gt;0,N$6&gt;=$D24,N$6&lt;$D24+$E24),$C24*$F24/$E24,0)+IF(AND($H24&gt;0,N$6&gt;=$G24,N$6&lt;$G24+$H24),$C24*$I24/$H24,0)</f>
        <v>8206.70467521816</v>
      </c>
      <c r="O24" s="14" t="n">
        <f aca="false">IF(AND($E24&gt;0,O$6&gt;=$D24,O$6&lt;$D24+$E24),$C24*$F24/$E24,0)+IF(AND($H24&gt;0,O$6&gt;=$G24,O$6&lt;$G24+$H24),$C24*$I24/$H24,0)</f>
        <v>8206.70467521816</v>
      </c>
      <c r="P24" s="14" t="n">
        <f aca="false">IF(AND($E24&gt;0,P$6&gt;=$D24,P$6&lt;$D24+$E24),$C24*$F24/$E24,0)+IF(AND($H24&gt;0,P$6&gt;=$G24,P$6&lt;$G24+$H24),$C24*$I24/$H24,0)</f>
        <v>8206.70467521816</v>
      </c>
      <c r="Q24" s="14" t="n">
        <f aca="false">IF(AND($E24&gt;0,Q$6&gt;=$D24,Q$6&lt;$D24+$E24),$C24*$F24/$E24,0)+IF(AND($H24&gt;0,Q$6&gt;=$G24,Q$6&lt;$G24+$H24),$C24*$I24/$H24,0)</f>
        <v>8206.70467521816</v>
      </c>
      <c r="R24" s="14" t="n">
        <f aca="false">IF(AND($E24&gt;0,R$6&gt;=$D24,R$6&lt;$D24+$E24),$C24*$F24/$E24,0)+IF(AND($H24&gt;0,R$6&gt;=$G24,R$6&lt;$G24+$H24),$C24*$I24/$H24,0)</f>
        <v>8206.70467521816</v>
      </c>
      <c r="S24" s="14" t="n">
        <f aca="false">IF(AND($E24&gt;0,S$6&gt;=$D24,S$6&lt;$D24+$E24),$C24*$F24/$E24,0)+IF(AND($H24&gt;0,S$6&gt;=$G24,S$6&lt;$G24+$H24),$C24*$I24/$H24,0)</f>
        <v>8206.70467521816</v>
      </c>
      <c r="T24" s="14" t="n">
        <f aca="false">IF(AND($E24&gt;0,T$6&gt;=$D24,T$6&lt;$D24+$E24),$C24*$F24/$E24,0)+IF(AND($H24&gt;0,T$6&gt;=$G24,T$6&lt;$G24+$H24),$C24*$I24/$H24,0)</f>
        <v>8206.70467521816</v>
      </c>
      <c r="U24" s="14" t="n">
        <f aca="false">IF(AND($E24&gt;0,U$6&gt;=$D24,U$6&lt;$D24+$E24),$C24*$F24/$E24,0)+IF(AND($H24&gt;0,U$6&gt;=$G24,U$6&lt;$G24+$H24),$C24*$I24/$H24,0)</f>
        <v>8206.70467521816</v>
      </c>
      <c r="V24" s="14" t="n">
        <f aca="false">IF(AND($E24&gt;0,V$6&gt;=$D24,V$6&lt;$D24+$E24),$C24*$F24/$E24,0)+IF(AND($H24&gt;0,V$6&gt;=$G24,V$6&lt;$G24+$H24),$C24*$I24/$H24,0)</f>
        <v>8206.70467521816</v>
      </c>
      <c r="W24" s="14" t="n">
        <f aca="false">IF(AND($E24&gt;0,W$6&gt;=$D24,W$6&lt;$D24+$E24),$C24*$F24/$E24,0)+IF(AND($H24&gt;0,W$6&gt;=$G24,W$6&lt;$G24+$H24),$C24*$I24/$H24,0)</f>
        <v>8206.70467521816</v>
      </c>
      <c r="X24" s="14" t="n">
        <f aca="false">IF(AND($E24&gt;0,X$6&gt;=$D24,X$6&lt;$D24+$E24),$C24*$F24/$E24,0)+IF(AND($H24&gt;0,X$6&gt;=$G24,X$6&lt;$G24+$H24),$C24*$I24/$H24,0)</f>
        <v>0</v>
      </c>
      <c r="Y24" s="14" t="n">
        <f aca="false">IF(AND($E24&gt;0,Y$6&gt;=$D24,Y$6&lt;$D24+$E24),$C24*$F24/$E24,0)+IF(AND($H24&gt;0,Y$6&gt;=$G24,Y$6&lt;$G24+$H24),$C24*$I24/$H24,0)</f>
        <v>0</v>
      </c>
      <c r="Z24" s="14" t="n">
        <f aca="false">IF(AND($E24&gt;0,Z$6&gt;=$D24,Z$6&lt;$D24+$E24),$C24*$F24/$E24,0)+IF(AND($H24&gt;0,Z$6&gt;=$G24,Z$6&lt;$G24+$H24),$C24*$I24/$H24,0)</f>
        <v>0</v>
      </c>
      <c r="AA24" s="14" t="n">
        <f aca="false">IF(AND($E24&gt;0,AA$6&gt;=$D24,AA$6&lt;$D24+$E24),$C24*$F24/$E24,0)+IF(AND($H24&gt;0,AA$6&gt;=$G24,AA$6&lt;$G24+$H24),$C24*$I24/$H24,0)</f>
        <v>0</v>
      </c>
      <c r="AB24" s="14" t="n">
        <f aca="false">IF(AND($E24&gt;0,AB$6&gt;=$D24,AB$6&lt;$D24+$E24),$C24*$F24/$E24,0)+IF(AND($H24&gt;0,AB$6&gt;=$G24,AB$6&lt;$G24+$H24),$C24*$I24/$H24,0)</f>
        <v>0</v>
      </c>
      <c r="AC24" s="14" t="n">
        <f aca="false">IF(AND($E24&gt;0,AC$6&gt;=$D24,AC$6&lt;$D24+$E24),$C24*$F24/$E24,0)+IF(AND($H24&gt;0,AC$6&gt;=$G24,AC$6&lt;$G24+$H24),$C24*$I24/$H24,0)</f>
        <v>0</v>
      </c>
      <c r="AD24" s="14" t="n">
        <f aca="false">IF(AND($E24&gt;0,AD$6&gt;=$D24,AD$6&lt;$D24+$E24),$C24*$F24/$E24,0)+IF(AND($H24&gt;0,AD$6&gt;=$G24,AD$6&lt;$G24+$H24),$C24*$I24/$H24,0)</f>
        <v>0</v>
      </c>
      <c r="AE24" s="14" t="n">
        <f aca="false">IF(AND($E24&gt;0,AE$6&gt;=$D24,AE$6&lt;$D24+$E24),$C24*$F24/$E24,0)+IF(AND($H24&gt;0,AE$6&gt;=$G24,AE$6&lt;$G24+$H24),$C24*$I24/$H24,0)</f>
        <v>0</v>
      </c>
      <c r="AF24" s="14" t="n">
        <f aca="false">IF(AND($E24&gt;0,AF$6&gt;=$D24,AF$6&lt;$D24+$E24),$C24*$F24/$E24,0)+IF(AND($H24&gt;0,AF$6&gt;=$G24,AF$6&lt;$G24+$H24),$C24*$I24/$H24,0)</f>
        <v>0</v>
      </c>
      <c r="AG24" s="14" t="n">
        <f aca="false">IF(AND($E24&gt;0,AG$6&gt;=$D24,AG$6&lt;$D24+$E24),$C24*$F24/$E24,0)+IF(AND($H24&gt;0,AG$6&gt;=$G24,AG$6&lt;$G24+$H24),$C24*$I24/$H24,0)</f>
        <v>0</v>
      </c>
      <c r="AH24" s="14" t="n">
        <f aca="false">IF(AND($E24&gt;0,AH$6&gt;=$D24,AH$6&lt;$D24+$E24),$C24*$F24/$E24,0)+IF(AND($H24&gt;0,AH$6&gt;=$G24,AH$6&lt;$G24+$H24),$C24*$I24/$H24,0)</f>
        <v>0</v>
      </c>
      <c r="AI24" s="14" t="n">
        <f aca="false">IF(AND($E24&gt;0,AI$6&gt;=$D24,AI$6&lt;$D24+$E24),$C24*$F24/$E24,0)+IF(AND($H24&gt;0,AI$6&gt;=$G24,AI$6&lt;$G24+$H24),$C24*$I24/$H24,0)</f>
        <v>0</v>
      </c>
      <c r="AJ24" s="14" t="n">
        <f aca="false">IF(AND($E24&gt;0,AJ$6&gt;=$D24,AJ$6&lt;$D24+$E24),$C24*$F24/$E24,0)+IF(AND($H24&gt;0,AJ$6&gt;=$G24,AJ$6&lt;$G24+$H24),$C24*$I24/$H24,0)</f>
        <v>0</v>
      </c>
      <c r="AK24" s="14" t="n">
        <f aca="false">IF(AND($E24&gt;0,AK$6&gt;=$D24,AK$6&lt;$D24+$E24),$C24*$F24/$E24,0)+IF(AND($H24&gt;0,AK$6&gt;=$G24,AK$6&lt;$G24+$H24),$C24*$I24/$H24,0)</f>
        <v>0</v>
      </c>
      <c r="AL24" s="14" t="n">
        <f aca="false">IF(AND($E24&gt;0,AL$6&gt;=$D24,AL$6&lt;$D24+$E24),$C24*$F24/$E24,0)+IF(AND($H24&gt;0,AL$6&gt;=$G24,AL$6&lt;$G24+$H24),$C24*$I24/$H24,0)</f>
        <v>0</v>
      </c>
      <c r="AM24" s="14" t="n">
        <f aca="false">IF(AND($E24&gt;0,AM$6&gt;=$D24,AM$6&lt;$D24+$E24),$C24*$F24/$E24,0)+IF(AND($H24&gt;0,AM$6&gt;=$G24,AM$6&lt;$G24+$H24),$C24*$I24/$H24,0)</f>
        <v>0</v>
      </c>
      <c r="AN24" s="14" t="n">
        <f aca="false">IF(AND($E24&gt;0,AN$6&gt;=$D24,AN$6&lt;$D24+$E24),$C24*$F24/$E24,0)+IF(AND($H24&gt;0,AN$6&gt;=$G24,AN$6&lt;$G24+$H24),$C24*$I24/$H24,0)</f>
        <v>0</v>
      </c>
      <c r="AO24" s="14" t="n">
        <f aca="false">IF(AND($E24&gt;0,AO$6&gt;=$D24,AO$6&lt;$D24+$E24),$C24*$F24/$E24,0)+IF(AND($H24&gt;0,AO$6&gt;=$G24,AO$6&lt;$G24+$H24),$C24*$I24/$H24,0)</f>
        <v>0</v>
      </c>
      <c r="AP24" s="14" t="n">
        <f aca="false">IF(AND($E24&gt;0,AP$6&gt;=$D24,AP$6&lt;$D24+$E24),$C24*$F24/$E24,0)+IF(AND($H24&gt;0,AP$6&gt;=$G24,AP$6&lt;$G24+$H24),$C24*$I24/$H24,0)</f>
        <v>0</v>
      </c>
      <c r="AQ24" s="14" t="n">
        <f aca="false">IF(AND($E24&gt;0,AQ$6&gt;=$D24,AQ$6&lt;$D24+$E24),$C24*$F24/$E24,0)+IF(AND($H24&gt;0,AQ$6&gt;=$G24,AQ$6&lt;$G24+$H24),$C24*$I24/$H24,0)</f>
        <v>0</v>
      </c>
      <c r="AR24" s="14" t="n">
        <f aca="false">IF(AND($E24&gt;0,AR$6&gt;=$D24,AR$6&lt;$D24+$E24),$C24*$F24/$E24,0)+IF(AND($H24&gt;0,AR$6&gt;=$G24,AR$6&lt;$G24+$H24),$C24*$I24/$H24,0)</f>
        <v>0</v>
      </c>
      <c r="AS24" s="14" t="n">
        <f aca="false">IF(AND($E24&gt;0,AS$6&gt;=$D24,AS$6&lt;$D24+$E24),$C24*$F24/$E24,0)+IF(AND($H24&gt;0,AS$6&gt;=$G24,AS$6&lt;$G24+$H24),$C24*$I24/$H24,0)</f>
        <v>0</v>
      </c>
      <c r="AT24" s="14" t="n">
        <f aca="false">IF(AND($E24&gt;0,AT$6&gt;=$D24,AT$6&lt;$D24+$E24),$C24*$F24/$E24,0)+IF(AND($H24&gt;0,AT$6&gt;=$G24,AT$6&lt;$G24+$H24),$C24*$I24/$H24,0)</f>
        <v>0</v>
      </c>
      <c r="AU24" s="14" t="n">
        <f aca="false">IF(AND($E24&gt;0,AU$6&gt;=$D24,AU$6&lt;$D24+$E24),$C24*$F24/$E24,0)+IF(AND($H24&gt;0,AU$6&gt;=$G24,AU$6&lt;$G24+$H24),$C24*$I24/$H24,0)</f>
        <v>0</v>
      </c>
      <c r="AV24" s="14" t="n">
        <f aca="false">SUM(K24:AU24)</f>
        <v>180547.502854799</v>
      </c>
      <c r="AW24" s="14" t="n">
        <f aca="false">ROUND(AV24-C24,2)</f>
        <v>0</v>
      </c>
      <c r="AX24" s="31" t="n">
        <f aca="false">MAX(IF(E24&gt;0,D24+E24-1,0),IF(H24&gt;0,G24+H24-1,0))</f>
        <v>12</v>
      </c>
    </row>
    <row r="25" customFormat="false" ht="15" hidden="false" customHeight="false" outlineLevel="0" collapsed="false">
      <c r="A25" s="0" t="str">
        <f aca="false">'GEN SUMMARY'!A39</f>
        <v>T</v>
      </c>
      <c r="B25" s="0" t="str">
        <f aca="false">TRIM('GEN SUMMARY'!B39)</f>
        <v>PROJECT MANAGEMENT FEES</v>
      </c>
      <c r="C25" s="14" t="n">
        <f aca="false">'GEN SUMMARY'!H39</f>
        <v>416724.721949507</v>
      </c>
      <c r="D25" s="28" t="n">
        <v>1</v>
      </c>
      <c r="E25" s="28" t="n">
        <v>12</v>
      </c>
      <c r="F25" s="29" t="n">
        <v>0.5</v>
      </c>
      <c r="G25" s="28" t="n">
        <v>13</v>
      </c>
      <c r="H25" s="28" t="n">
        <v>12</v>
      </c>
      <c r="I25" s="30" t="n">
        <f aca="false">1-F25</f>
        <v>0.5</v>
      </c>
      <c r="K25" s="14" t="n">
        <f aca="false">IF(AND($E25&gt;0,K$6&gt;=$D25,K$6&lt;$D25+$E25),$C25*$F25/$E25,0)+IF(AND($H25&gt;0,K$6&gt;=$G25,K$6&lt;$G25+$H25),$C25*$I25/$H25,0)</f>
        <v>0</v>
      </c>
      <c r="L25" s="14" t="n">
        <f aca="false">IF(AND($E25&gt;0,L$6&gt;=$D25,L$6&lt;$D25+$E25),$C25*$F25/$E25,0)+IF(AND($H25&gt;0,L$6&gt;=$G25,L$6&lt;$G25+$H25),$C25*$I25/$H25,0)</f>
        <v>17363.5300812294</v>
      </c>
      <c r="M25" s="14" t="n">
        <f aca="false">IF(AND($E25&gt;0,M$6&gt;=$D25,M$6&lt;$D25+$E25),$C25*$F25/$E25,0)+IF(AND($H25&gt;0,M$6&gt;=$G25,M$6&lt;$G25+$H25),$C25*$I25/$H25,0)</f>
        <v>17363.5300812294</v>
      </c>
      <c r="N25" s="14" t="n">
        <f aca="false">IF(AND($E25&gt;0,N$6&gt;=$D25,N$6&lt;$D25+$E25),$C25*$F25/$E25,0)+IF(AND($H25&gt;0,N$6&gt;=$G25,N$6&lt;$G25+$H25),$C25*$I25/$H25,0)</f>
        <v>17363.5300812294</v>
      </c>
      <c r="O25" s="14" t="n">
        <f aca="false">IF(AND($E25&gt;0,O$6&gt;=$D25,O$6&lt;$D25+$E25),$C25*$F25/$E25,0)+IF(AND($H25&gt;0,O$6&gt;=$G25,O$6&lt;$G25+$H25),$C25*$I25/$H25,0)</f>
        <v>17363.5300812294</v>
      </c>
      <c r="P25" s="14" t="n">
        <f aca="false">IF(AND($E25&gt;0,P$6&gt;=$D25,P$6&lt;$D25+$E25),$C25*$F25/$E25,0)+IF(AND($H25&gt;0,P$6&gt;=$G25,P$6&lt;$G25+$H25),$C25*$I25/$H25,0)</f>
        <v>17363.5300812294</v>
      </c>
      <c r="Q25" s="14" t="n">
        <f aca="false">IF(AND($E25&gt;0,Q$6&gt;=$D25,Q$6&lt;$D25+$E25),$C25*$F25/$E25,0)+IF(AND($H25&gt;0,Q$6&gt;=$G25,Q$6&lt;$G25+$H25),$C25*$I25/$H25,0)</f>
        <v>17363.5300812294</v>
      </c>
      <c r="R25" s="14" t="n">
        <f aca="false">IF(AND($E25&gt;0,R$6&gt;=$D25,R$6&lt;$D25+$E25),$C25*$F25/$E25,0)+IF(AND($H25&gt;0,R$6&gt;=$G25,R$6&lt;$G25+$H25),$C25*$I25/$H25,0)</f>
        <v>17363.5300812294</v>
      </c>
      <c r="S25" s="14" t="n">
        <f aca="false">IF(AND($E25&gt;0,S$6&gt;=$D25,S$6&lt;$D25+$E25),$C25*$F25/$E25,0)+IF(AND($H25&gt;0,S$6&gt;=$G25,S$6&lt;$G25+$H25),$C25*$I25/$H25,0)</f>
        <v>17363.5300812294</v>
      </c>
      <c r="T25" s="14" t="n">
        <f aca="false">IF(AND($E25&gt;0,T$6&gt;=$D25,T$6&lt;$D25+$E25),$C25*$F25/$E25,0)+IF(AND($H25&gt;0,T$6&gt;=$G25,T$6&lt;$G25+$H25),$C25*$I25/$H25,0)</f>
        <v>17363.5300812294</v>
      </c>
      <c r="U25" s="14" t="n">
        <f aca="false">IF(AND($E25&gt;0,U$6&gt;=$D25,U$6&lt;$D25+$E25),$C25*$F25/$E25,0)+IF(AND($H25&gt;0,U$6&gt;=$G25,U$6&lt;$G25+$H25),$C25*$I25/$H25,0)</f>
        <v>17363.5300812294</v>
      </c>
      <c r="V25" s="14" t="n">
        <f aca="false">IF(AND($E25&gt;0,V$6&gt;=$D25,V$6&lt;$D25+$E25),$C25*$F25/$E25,0)+IF(AND($H25&gt;0,V$6&gt;=$G25,V$6&lt;$G25+$H25),$C25*$I25/$H25,0)</f>
        <v>17363.5300812294</v>
      </c>
      <c r="W25" s="14" t="n">
        <f aca="false">IF(AND($E25&gt;0,W$6&gt;=$D25,W$6&lt;$D25+$E25),$C25*$F25/$E25,0)+IF(AND($H25&gt;0,W$6&gt;=$G25,W$6&lt;$G25+$H25),$C25*$I25/$H25,0)</f>
        <v>17363.5300812294</v>
      </c>
      <c r="X25" s="14" t="n">
        <f aca="false">IF(AND($E25&gt;0,X$6&gt;=$D25,X$6&lt;$D25+$E25),$C25*$F25/$E25,0)+IF(AND($H25&gt;0,X$6&gt;=$G25,X$6&lt;$G25+$H25),$C25*$I25/$H25,0)</f>
        <v>17363.5300812294</v>
      </c>
      <c r="Y25" s="14" t="n">
        <f aca="false">IF(AND($E25&gt;0,Y$6&gt;=$D25,Y$6&lt;$D25+$E25),$C25*$F25/$E25,0)+IF(AND($H25&gt;0,Y$6&gt;=$G25,Y$6&lt;$G25+$H25),$C25*$I25/$H25,0)</f>
        <v>17363.5300812294</v>
      </c>
      <c r="Z25" s="14" t="n">
        <f aca="false">IF(AND($E25&gt;0,Z$6&gt;=$D25,Z$6&lt;$D25+$E25),$C25*$F25/$E25,0)+IF(AND($H25&gt;0,Z$6&gt;=$G25,Z$6&lt;$G25+$H25),$C25*$I25/$H25,0)</f>
        <v>17363.5300812294</v>
      </c>
      <c r="AA25" s="14" t="n">
        <f aca="false">IF(AND($E25&gt;0,AA$6&gt;=$D25,AA$6&lt;$D25+$E25),$C25*$F25/$E25,0)+IF(AND($H25&gt;0,AA$6&gt;=$G25,AA$6&lt;$G25+$H25),$C25*$I25/$H25,0)</f>
        <v>17363.5300812294</v>
      </c>
      <c r="AB25" s="14" t="n">
        <f aca="false">IF(AND($E25&gt;0,AB$6&gt;=$D25,AB$6&lt;$D25+$E25),$C25*$F25/$E25,0)+IF(AND($H25&gt;0,AB$6&gt;=$G25,AB$6&lt;$G25+$H25),$C25*$I25/$H25,0)</f>
        <v>17363.5300812294</v>
      </c>
      <c r="AC25" s="14" t="n">
        <f aca="false">IF(AND($E25&gt;0,AC$6&gt;=$D25,AC$6&lt;$D25+$E25),$C25*$F25/$E25,0)+IF(AND($H25&gt;0,AC$6&gt;=$G25,AC$6&lt;$G25+$H25),$C25*$I25/$H25,0)</f>
        <v>17363.5300812294</v>
      </c>
      <c r="AD25" s="14" t="n">
        <f aca="false">IF(AND($E25&gt;0,AD$6&gt;=$D25,AD$6&lt;$D25+$E25),$C25*$F25/$E25,0)+IF(AND($H25&gt;0,AD$6&gt;=$G25,AD$6&lt;$G25+$H25),$C25*$I25/$H25,0)</f>
        <v>17363.5300812294</v>
      </c>
      <c r="AE25" s="14" t="n">
        <f aca="false">IF(AND($E25&gt;0,AE$6&gt;=$D25,AE$6&lt;$D25+$E25),$C25*$F25/$E25,0)+IF(AND($H25&gt;0,AE$6&gt;=$G25,AE$6&lt;$G25+$H25),$C25*$I25/$H25,0)</f>
        <v>17363.5300812294</v>
      </c>
      <c r="AF25" s="14" t="n">
        <f aca="false">IF(AND($E25&gt;0,AF$6&gt;=$D25,AF$6&lt;$D25+$E25),$C25*$F25/$E25,0)+IF(AND($H25&gt;0,AF$6&gt;=$G25,AF$6&lt;$G25+$H25),$C25*$I25/$H25,0)</f>
        <v>17363.5300812294</v>
      </c>
      <c r="AG25" s="14" t="n">
        <f aca="false">IF(AND($E25&gt;0,AG$6&gt;=$D25,AG$6&lt;$D25+$E25),$C25*$F25/$E25,0)+IF(AND($H25&gt;0,AG$6&gt;=$G25,AG$6&lt;$G25+$H25),$C25*$I25/$H25,0)</f>
        <v>17363.5300812294</v>
      </c>
      <c r="AH25" s="14" t="n">
        <f aca="false">IF(AND($E25&gt;0,AH$6&gt;=$D25,AH$6&lt;$D25+$E25),$C25*$F25/$E25,0)+IF(AND($H25&gt;0,AH$6&gt;=$G25,AH$6&lt;$G25+$H25),$C25*$I25/$H25,0)</f>
        <v>17363.5300812294</v>
      </c>
      <c r="AI25" s="14" t="n">
        <f aca="false">IF(AND($E25&gt;0,AI$6&gt;=$D25,AI$6&lt;$D25+$E25),$C25*$F25/$E25,0)+IF(AND($H25&gt;0,AI$6&gt;=$G25,AI$6&lt;$G25+$H25),$C25*$I25/$H25,0)</f>
        <v>17363.5300812294</v>
      </c>
      <c r="AJ25" s="14" t="n">
        <f aca="false">IF(AND($E25&gt;0,AJ$6&gt;=$D25,AJ$6&lt;$D25+$E25),$C25*$F25/$E25,0)+IF(AND($H25&gt;0,AJ$6&gt;=$G25,AJ$6&lt;$G25+$H25),$C25*$I25/$H25,0)</f>
        <v>0</v>
      </c>
      <c r="AK25" s="14" t="n">
        <f aca="false">IF(AND($E25&gt;0,AK$6&gt;=$D25,AK$6&lt;$D25+$E25),$C25*$F25/$E25,0)+IF(AND($H25&gt;0,AK$6&gt;=$G25,AK$6&lt;$G25+$H25),$C25*$I25/$H25,0)</f>
        <v>0</v>
      </c>
      <c r="AL25" s="14" t="n">
        <f aca="false">IF(AND($E25&gt;0,AL$6&gt;=$D25,AL$6&lt;$D25+$E25),$C25*$F25/$E25,0)+IF(AND($H25&gt;0,AL$6&gt;=$G25,AL$6&lt;$G25+$H25),$C25*$I25/$H25,0)</f>
        <v>0</v>
      </c>
      <c r="AM25" s="14" t="n">
        <f aca="false">IF(AND($E25&gt;0,AM$6&gt;=$D25,AM$6&lt;$D25+$E25),$C25*$F25/$E25,0)+IF(AND($H25&gt;0,AM$6&gt;=$G25,AM$6&lt;$G25+$H25),$C25*$I25/$H25,0)</f>
        <v>0</v>
      </c>
      <c r="AN25" s="14" t="n">
        <f aca="false">IF(AND($E25&gt;0,AN$6&gt;=$D25,AN$6&lt;$D25+$E25),$C25*$F25/$E25,0)+IF(AND($H25&gt;0,AN$6&gt;=$G25,AN$6&lt;$G25+$H25),$C25*$I25/$H25,0)</f>
        <v>0</v>
      </c>
      <c r="AO25" s="14" t="n">
        <f aca="false">IF(AND($E25&gt;0,AO$6&gt;=$D25,AO$6&lt;$D25+$E25),$C25*$F25/$E25,0)+IF(AND($H25&gt;0,AO$6&gt;=$G25,AO$6&lt;$G25+$H25),$C25*$I25/$H25,0)</f>
        <v>0</v>
      </c>
      <c r="AP25" s="14" t="n">
        <f aca="false">IF(AND($E25&gt;0,AP$6&gt;=$D25,AP$6&lt;$D25+$E25),$C25*$F25/$E25,0)+IF(AND($H25&gt;0,AP$6&gt;=$G25,AP$6&lt;$G25+$H25),$C25*$I25/$H25,0)</f>
        <v>0</v>
      </c>
      <c r="AQ25" s="14" t="n">
        <f aca="false">IF(AND($E25&gt;0,AQ$6&gt;=$D25,AQ$6&lt;$D25+$E25),$C25*$F25/$E25,0)+IF(AND($H25&gt;0,AQ$6&gt;=$G25,AQ$6&lt;$G25+$H25),$C25*$I25/$H25,0)</f>
        <v>0</v>
      </c>
      <c r="AR25" s="14" t="n">
        <f aca="false">IF(AND($E25&gt;0,AR$6&gt;=$D25,AR$6&lt;$D25+$E25),$C25*$F25/$E25,0)+IF(AND($H25&gt;0,AR$6&gt;=$G25,AR$6&lt;$G25+$H25),$C25*$I25/$H25,0)</f>
        <v>0</v>
      </c>
      <c r="AS25" s="14" t="n">
        <f aca="false">IF(AND($E25&gt;0,AS$6&gt;=$D25,AS$6&lt;$D25+$E25),$C25*$F25/$E25,0)+IF(AND($H25&gt;0,AS$6&gt;=$G25,AS$6&lt;$G25+$H25),$C25*$I25/$H25,0)</f>
        <v>0</v>
      </c>
      <c r="AT25" s="14" t="n">
        <f aca="false">IF(AND($E25&gt;0,AT$6&gt;=$D25,AT$6&lt;$D25+$E25),$C25*$F25/$E25,0)+IF(AND($H25&gt;0,AT$6&gt;=$G25,AT$6&lt;$G25+$H25),$C25*$I25/$H25,0)</f>
        <v>0</v>
      </c>
      <c r="AU25" s="14" t="n">
        <f aca="false">IF(AND($E25&gt;0,AU$6&gt;=$D25,AU$6&lt;$D25+$E25),$C25*$F25/$E25,0)+IF(AND($H25&gt;0,AU$6&gt;=$G25,AU$6&lt;$G25+$H25),$C25*$I25/$H25,0)</f>
        <v>0</v>
      </c>
      <c r="AV25" s="14" t="n">
        <f aca="false">SUM(K25:AU25)</f>
        <v>416724.721949507</v>
      </c>
      <c r="AW25" s="14" t="n">
        <f aca="false">ROUND(AV25-C25,2)</f>
        <v>0</v>
      </c>
      <c r="AX25" s="31" t="n">
        <f aca="false">MAX(IF(E25&gt;0,D25+E25-1,0),IF(H25&gt;0,G25+H25-1,0))</f>
        <v>24</v>
      </c>
    </row>
    <row r="26" customFormat="false" ht="15" hidden="false" customHeight="false" outlineLevel="0" collapsed="false">
      <c r="A26" s="25"/>
      <c r="B26" s="25" t="s">
        <v>142</v>
      </c>
      <c r="C26" s="32" t="n">
        <f aca="false">SUM(C9:C25)</f>
        <v>6250000</v>
      </c>
      <c r="D26" s="25"/>
      <c r="E26" s="25"/>
      <c r="F26" s="25"/>
      <c r="G26" s="25"/>
      <c r="H26" s="25"/>
      <c r="I26" s="25"/>
      <c r="J26" s="25"/>
      <c r="K26" s="32" t="n">
        <f aca="false">SUM(K9:K25)</f>
        <v>0</v>
      </c>
      <c r="L26" s="32" t="n">
        <f aca="false">SUM(L9:L25)</f>
        <v>467409.663526887</v>
      </c>
      <c r="M26" s="32" t="n">
        <f aca="false">SUM(M9:M25)</f>
        <v>172216.586122585</v>
      </c>
      <c r="N26" s="32" t="n">
        <f aca="false">SUM(N9:N25)</f>
        <v>236594.4606827</v>
      </c>
      <c r="O26" s="32" t="n">
        <f aca="false">SUM(O9:O25)</f>
        <v>305814.852911892</v>
      </c>
      <c r="P26" s="32" t="n">
        <f aca="false">SUM(P9:P25)</f>
        <v>211746.460391291</v>
      </c>
      <c r="Q26" s="32" t="n">
        <f aca="false">SUM(Q9:Q25)</f>
        <v>211746.460391291</v>
      </c>
      <c r="R26" s="32" t="n">
        <f aca="false">SUM(R9:R25)</f>
        <v>209112.467930348</v>
      </c>
      <c r="S26" s="32" t="n">
        <f aca="false">SUM(S9:S25)</f>
        <v>182295.802604002</v>
      </c>
      <c r="T26" s="32" t="n">
        <f aca="false">SUM(T9:T25)</f>
        <v>228778.022503002</v>
      </c>
      <c r="U26" s="32" t="n">
        <f aca="false">SUM(U9:U25)</f>
        <v>193916.357578752</v>
      </c>
      <c r="V26" s="32" t="n">
        <f aca="false">SUM(V9:V25)</f>
        <v>240398.577477752</v>
      </c>
      <c r="W26" s="32" t="n">
        <f aca="false">SUM(W9:W25)</f>
        <v>350368.622797781</v>
      </c>
      <c r="X26" s="32" t="n">
        <f aca="false">SUM(X9:X25)</f>
        <v>388644.138021563</v>
      </c>
      <c r="Y26" s="32" t="n">
        <f aca="false">SUM(Y9:Y25)</f>
        <v>357655.99142223</v>
      </c>
      <c r="Z26" s="32" t="n">
        <f aca="false">SUM(Z9:Z25)</f>
        <v>284533.619094114</v>
      </c>
      <c r="AA26" s="32" t="n">
        <f aca="false">SUM(AA9:AA25)</f>
        <v>345508.275113309</v>
      </c>
      <c r="AB26" s="32" t="n">
        <f aca="false">SUM(AB9:AB25)</f>
        <v>257972.3505804</v>
      </c>
      <c r="AC26" s="32" t="n">
        <f aca="false">SUM(AC9:AC25)</f>
        <v>239379.4626208</v>
      </c>
      <c r="AD26" s="32" t="n">
        <f aca="false">SUM(AD9:AD25)</f>
        <v>284041.748670021</v>
      </c>
      <c r="AE26" s="32" t="n">
        <f aca="false">SUM(AE9:AE25)</f>
        <v>303859.066239029</v>
      </c>
      <c r="AF26" s="32" t="n">
        <f aca="false">SUM(AF9:AF25)</f>
        <v>295814.066641125</v>
      </c>
      <c r="AG26" s="32" t="n">
        <f aca="false">SUM(AG9:AG25)</f>
        <v>270248.845696675</v>
      </c>
      <c r="AH26" s="32" t="n">
        <f aca="false">SUM(AH9:AH25)</f>
        <v>175192.442720419</v>
      </c>
      <c r="AI26" s="32" t="n">
        <f aca="false">SUM(AI9:AI25)</f>
        <v>36751.6582620346</v>
      </c>
      <c r="AJ26" s="32" t="n">
        <f aca="false">SUM(AJ9:AJ25)</f>
        <v>0</v>
      </c>
      <c r="AK26" s="32" t="n">
        <f aca="false">SUM(AK9:AK25)</f>
        <v>0</v>
      </c>
      <c r="AL26" s="32" t="n">
        <f aca="false">SUM(AL9:AL25)</f>
        <v>0</v>
      </c>
      <c r="AM26" s="32" t="n">
        <f aca="false">SUM(AM9:AM25)</f>
        <v>0</v>
      </c>
      <c r="AN26" s="32" t="n">
        <f aca="false">SUM(AN9:AN25)</f>
        <v>0</v>
      </c>
      <c r="AO26" s="32" t="n">
        <f aca="false">SUM(AO9:AO25)</f>
        <v>0</v>
      </c>
      <c r="AP26" s="32" t="n">
        <f aca="false">SUM(AP9:AP25)</f>
        <v>0</v>
      </c>
      <c r="AQ26" s="32" t="n">
        <f aca="false">SUM(AQ9:AQ25)</f>
        <v>0</v>
      </c>
      <c r="AR26" s="32" t="n">
        <f aca="false">SUM(AR9:AR25)</f>
        <v>0</v>
      </c>
      <c r="AS26" s="32" t="n">
        <f aca="false">SUM(AS9:AS25)</f>
        <v>0</v>
      </c>
      <c r="AT26" s="32" t="n">
        <f aca="false">SUM(AT9:AT25)</f>
        <v>0</v>
      </c>
      <c r="AU26" s="32" t="n">
        <f aca="false">SUM(AU9:AU25)</f>
        <v>0</v>
      </c>
      <c r="AV26" s="32" t="n">
        <f aca="false">SUM(K26:AU26)</f>
        <v>6250000</v>
      </c>
      <c r="AW26" s="32" t="n">
        <f aca="false">ROUND(AV26-ContractSum,2)</f>
        <v>0</v>
      </c>
      <c r="AX26" s="25"/>
    </row>
    <row r="27" customFormat="false" ht="15" hidden="false" customHeight="false" outlineLevel="0" collapsed="false">
      <c r="B27" s="0" t="s">
        <v>143</v>
      </c>
      <c r="K27" s="14" t="n">
        <f aca="false">K26</f>
        <v>0</v>
      </c>
      <c r="L27" s="14" t="n">
        <f aca="false">K27+L26</f>
        <v>467409.663526887</v>
      </c>
      <c r="M27" s="14" t="n">
        <f aca="false">L27+M26</f>
        <v>639626.249649472</v>
      </c>
      <c r="N27" s="14" t="n">
        <f aca="false">M27+N26</f>
        <v>876220.710332171</v>
      </c>
      <c r="O27" s="14" t="n">
        <f aca="false">N27+O26</f>
        <v>1182035.56324406</v>
      </c>
      <c r="P27" s="14" t="n">
        <f aca="false">O27+P26</f>
        <v>1393782.02363535</v>
      </c>
      <c r="Q27" s="14" t="n">
        <f aca="false">P27+Q26</f>
        <v>1605528.48402665</v>
      </c>
      <c r="R27" s="14" t="n">
        <f aca="false">Q27+R26</f>
        <v>1814640.95195699</v>
      </c>
      <c r="S27" s="14" t="n">
        <f aca="false">R27+S26</f>
        <v>1996936.754561</v>
      </c>
      <c r="T27" s="14" t="n">
        <f aca="false">S27+T26</f>
        <v>2225714.777064</v>
      </c>
      <c r="U27" s="14" t="n">
        <f aca="false">T27+U26</f>
        <v>2419631.13464275</v>
      </c>
      <c r="V27" s="14" t="n">
        <f aca="false">U27+V26</f>
        <v>2660029.7121205</v>
      </c>
      <c r="W27" s="14" t="n">
        <f aca="false">V27+W26</f>
        <v>3010398.33491828</v>
      </c>
      <c r="X27" s="14" t="n">
        <f aca="false">W27+X26</f>
        <v>3399042.47293985</v>
      </c>
      <c r="Y27" s="14" t="n">
        <f aca="false">X27+Y26</f>
        <v>3756698.46436208</v>
      </c>
      <c r="Z27" s="14" t="n">
        <f aca="false">Y27+Z26</f>
        <v>4041232.08345619</v>
      </c>
      <c r="AA27" s="14" t="n">
        <f aca="false">Z27+AA26</f>
        <v>4386740.3585695</v>
      </c>
      <c r="AB27" s="14" t="n">
        <f aca="false">AA27+AB26</f>
        <v>4644712.7091499</v>
      </c>
      <c r="AC27" s="14" t="n">
        <f aca="false">AB27+AC26</f>
        <v>4884092.1717707</v>
      </c>
      <c r="AD27" s="14" t="n">
        <f aca="false">AC27+AD26</f>
        <v>5168133.92044072</v>
      </c>
      <c r="AE27" s="14" t="n">
        <f aca="false">AD27+AE26</f>
        <v>5471992.98667975</v>
      </c>
      <c r="AF27" s="14" t="n">
        <f aca="false">AE27+AF26</f>
        <v>5767807.05332087</v>
      </c>
      <c r="AG27" s="14" t="n">
        <f aca="false">AF27+AG26</f>
        <v>6038055.89901755</v>
      </c>
      <c r="AH27" s="14" t="n">
        <f aca="false">AG27+AH26</f>
        <v>6213248.34173797</v>
      </c>
      <c r="AI27" s="14" t="n">
        <f aca="false">AH27+AI26</f>
        <v>6250000</v>
      </c>
      <c r="AJ27" s="14" t="n">
        <f aca="false">AI27+AJ26</f>
        <v>6250000</v>
      </c>
      <c r="AK27" s="14" t="n">
        <f aca="false">AJ27+AK26</f>
        <v>6250000</v>
      </c>
      <c r="AL27" s="14" t="n">
        <f aca="false">AK27+AL26</f>
        <v>6250000</v>
      </c>
      <c r="AM27" s="14" t="n">
        <f aca="false">AL27+AM26</f>
        <v>6250000</v>
      </c>
      <c r="AN27" s="14" t="n">
        <f aca="false">AM27+AN26</f>
        <v>6250000</v>
      </c>
      <c r="AO27" s="14" t="n">
        <f aca="false">AN27+AO26</f>
        <v>6250000</v>
      </c>
      <c r="AP27" s="14" t="n">
        <f aca="false">AO27+AP26</f>
        <v>6250000</v>
      </c>
      <c r="AQ27" s="14" t="n">
        <f aca="false">AP27+AQ26</f>
        <v>6250000</v>
      </c>
      <c r="AR27" s="14" t="n">
        <f aca="false">AQ27+AR26</f>
        <v>6250000</v>
      </c>
      <c r="AS27" s="14" t="n">
        <f aca="false">AR27+AS26</f>
        <v>6250000</v>
      </c>
      <c r="AT27" s="14" t="n">
        <f aca="false">AS27+AT26</f>
        <v>6250000</v>
      </c>
      <c r="AU27" s="14" t="n">
        <f aca="false">AT27+AU26</f>
        <v>6250000</v>
      </c>
    </row>
    <row r="28" customFormat="false" ht="15" hidden="false" customHeight="false" outlineLevel="0" collapsed="false">
      <c r="B28" s="0" t="s">
        <v>144</v>
      </c>
      <c r="K28" s="33" t="n">
        <f aca="false">K27/ContractSum</f>
        <v>0</v>
      </c>
      <c r="L28" s="33" t="n">
        <f aca="false">L27/ContractSum</f>
        <v>0.0747855461643018</v>
      </c>
      <c r="M28" s="33" t="n">
        <f aca="false">M27/ContractSum</f>
        <v>0.102340199943915</v>
      </c>
      <c r="N28" s="33" t="n">
        <f aca="false">N27/ContractSum</f>
        <v>0.140195313653147</v>
      </c>
      <c r="O28" s="33" t="n">
        <f aca="false">O27/ContractSum</f>
        <v>0.18912569011905</v>
      </c>
      <c r="P28" s="33" t="n">
        <f aca="false">P27/ContractSum</f>
        <v>0.223005123781657</v>
      </c>
      <c r="Q28" s="33" t="n">
        <f aca="false">Q27/ContractSum</f>
        <v>0.256884557444263</v>
      </c>
      <c r="R28" s="33" t="n">
        <f aca="false">R27/ContractSum</f>
        <v>0.290342552313119</v>
      </c>
      <c r="S28" s="33" t="n">
        <f aca="false">S27/ContractSum</f>
        <v>0.319509880729759</v>
      </c>
      <c r="T28" s="33" t="n">
        <f aca="false">T27/ContractSum</f>
        <v>0.35611436433024</v>
      </c>
      <c r="U28" s="33" t="n">
        <f aca="false">U27/ContractSum</f>
        <v>0.38714098154284</v>
      </c>
      <c r="V28" s="33" t="n">
        <f aca="false">V27/ContractSum</f>
        <v>0.42560475393928</v>
      </c>
      <c r="W28" s="33" t="n">
        <f aca="false">W27/ContractSum</f>
        <v>0.481663733586925</v>
      </c>
      <c r="X28" s="33" t="n">
        <f aca="false">X27/ContractSum</f>
        <v>0.543846795670375</v>
      </c>
      <c r="Y28" s="33" t="n">
        <f aca="false">Y27/ContractSum</f>
        <v>0.601071754297932</v>
      </c>
      <c r="Z28" s="33" t="n">
        <f aca="false">Z27/ContractSum</f>
        <v>0.64659713335299</v>
      </c>
      <c r="AA28" s="33" t="n">
        <f aca="false">AA27/ContractSum</f>
        <v>0.70187845737112</v>
      </c>
      <c r="AB28" s="33" t="n">
        <f aca="false">AB27/ContractSum</f>
        <v>0.743154033463984</v>
      </c>
      <c r="AC28" s="33" t="n">
        <f aca="false">AC27/ContractSum</f>
        <v>0.781454747483312</v>
      </c>
      <c r="AD28" s="33" t="n">
        <f aca="false">AD27/ContractSum</f>
        <v>0.826901427270515</v>
      </c>
      <c r="AE28" s="33" t="n">
        <f aca="false">AE27/ContractSum</f>
        <v>0.87551887786876</v>
      </c>
      <c r="AF28" s="33" t="n">
        <f aca="false">AF27/ContractSum</f>
        <v>0.92284912853134</v>
      </c>
      <c r="AG28" s="33" t="n">
        <f aca="false">AG27/ContractSum</f>
        <v>0.966088943842808</v>
      </c>
      <c r="AH28" s="33" t="n">
        <f aca="false">AH27/ContractSum</f>
        <v>0.994119734678075</v>
      </c>
      <c r="AI28" s="33" t="n">
        <f aca="false">AI27/ContractSum</f>
        <v>1</v>
      </c>
      <c r="AJ28" s="33" t="n">
        <f aca="false">AJ27/ContractSum</f>
        <v>1</v>
      </c>
      <c r="AK28" s="33" t="n">
        <f aca="false">AK27/ContractSum</f>
        <v>1</v>
      </c>
      <c r="AL28" s="33" t="n">
        <f aca="false">AL27/ContractSum</f>
        <v>1</v>
      </c>
      <c r="AM28" s="33" t="n">
        <f aca="false">AM27/ContractSum</f>
        <v>1</v>
      </c>
      <c r="AN28" s="33" t="n">
        <f aca="false">AN27/ContractSum</f>
        <v>1</v>
      </c>
      <c r="AO28" s="33" t="n">
        <f aca="false">AO27/ContractSum</f>
        <v>1</v>
      </c>
      <c r="AP28" s="33" t="n">
        <f aca="false">AP27/ContractSum</f>
        <v>1</v>
      </c>
      <c r="AQ28" s="33" t="n">
        <f aca="false">AQ27/ContractSum</f>
        <v>1</v>
      </c>
      <c r="AR28" s="33" t="n">
        <f aca="false">AR27/ContractSum</f>
        <v>1</v>
      </c>
      <c r="AS28" s="33" t="n">
        <f aca="false">AS27/ContractSum</f>
        <v>1</v>
      </c>
      <c r="AT28" s="33" t="n">
        <f aca="false">AT27/ContractSum</f>
        <v>1</v>
      </c>
      <c r="AU28" s="33" t="n">
        <f aca="false">AU27/ContractSum</f>
        <v>1</v>
      </c>
    </row>
    <row r="30" customFormat="false" ht="15" hidden="false" customHeight="false" outlineLevel="0" collapsed="false">
      <c r="B30" s="0" t="s">
        <v>145</v>
      </c>
      <c r="K30" s="14" t="n">
        <f aca="false">IF(K$6=AdvMonth,AdvAmt,0)</f>
        <v>1562500</v>
      </c>
      <c r="L30" s="14" t="n">
        <f aca="false">IF(L$6=AdvMonth,AdvAmt,0)</f>
        <v>0</v>
      </c>
      <c r="M30" s="14" t="n">
        <f aca="false">IF(M$6=AdvMonth,AdvAmt,0)</f>
        <v>0</v>
      </c>
      <c r="N30" s="14" t="n">
        <f aca="false">IF(N$6=AdvMonth,AdvAmt,0)</f>
        <v>0</v>
      </c>
      <c r="O30" s="14" t="n">
        <f aca="false">IF(O$6=AdvMonth,AdvAmt,0)</f>
        <v>0</v>
      </c>
      <c r="P30" s="14" t="n">
        <f aca="false">IF(P$6=AdvMonth,AdvAmt,0)</f>
        <v>0</v>
      </c>
      <c r="Q30" s="14" t="n">
        <f aca="false">IF(Q$6=AdvMonth,AdvAmt,0)</f>
        <v>0</v>
      </c>
      <c r="R30" s="14" t="n">
        <f aca="false">IF(R$6=AdvMonth,AdvAmt,0)</f>
        <v>0</v>
      </c>
      <c r="S30" s="14" t="n">
        <f aca="false">IF(S$6=AdvMonth,AdvAmt,0)</f>
        <v>0</v>
      </c>
      <c r="T30" s="14" t="n">
        <f aca="false">IF(T$6=AdvMonth,AdvAmt,0)</f>
        <v>0</v>
      </c>
      <c r="U30" s="14" t="n">
        <f aca="false">IF(U$6=AdvMonth,AdvAmt,0)</f>
        <v>0</v>
      </c>
      <c r="V30" s="14" t="n">
        <f aca="false">IF(V$6=AdvMonth,AdvAmt,0)</f>
        <v>0</v>
      </c>
      <c r="W30" s="14" t="n">
        <f aca="false">IF(W$6=AdvMonth,AdvAmt,0)</f>
        <v>0</v>
      </c>
      <c r="X30" s="14" t="n">
        <f aca="false">IF(X$6=AdvMonth,AdvAmt,0)</f>
        <v>0</v>
      </c>
      <c r="Y30" s="14" t="n">
        <f aca="false">IF(Y$6=AdvMonth,AdvAmt,0)</f>
        <v>0</v>
      </c>
      <c r="Z30" s="14" t="n">
        <f aca="false">IF(Z$6=AdvMonth,AdvAmt,0)</f>
        <v>0</v>
      </c>
      <c r="AA30" s="14" t="n">
        <f aca="false">IF(AA$6=AdvMonth,AdvAmt,0)</f>
        <v>0</v>
      </c>
      <c r="AB30" s="14" t="n">
        <f aca="false">IF(AB$6=AdvMonth,AdvAmt,0)</f>
        <v>0</v>
      </c>
      <c r="AC30" s="14" t="n">
        <f aca="false">IF(AC$6=AdvMonth,AdvAmt,0)</f>
        <v>0</v>
      </c>
      <c r="AD30" s="14" t="n">
        <f aca="false">IF(AD$6=AdvMonth,AdvAmt,0)</f>
        <v>0</v>
      </c>
      <c r="AE30" s="14" t="n">
        <f aca="false">IF(AE$6=AdvMonth,AdvAmt,0)</f>
        <v>0</v>
      </c>
      <c r="AF30" s="14" t="n">
        <f aca="false">IF(AF$6=AdvMonth,AdvAmt,0)</f>
        <v>0</v>
      </c>
      <c r="AG30" s="14" t="n">
        <f aca="false">IF(AG$6=AdvMonth,AdvAmt,0)</f>
        <v>0</v>
      </c>
      <c r="AH30" s="14" t="n">
        <f aca="false">IF(AH$6=AdvMonth,AdvAmt,0)</f>
        <v>0</v>
      </c>
      <c r="AI30" s="14" t="n">
        <f aca="false">IF(AI$6=AdvMonth,AdvAmt,0)</f>
        <v>0</v>
      </c>
      <c r="AJ30" s="14" t="n">
        <f aca="false">IF(AJ$6=AdvMonth,AdvAmt,0)</f>
        <v>0</v>
      </c>
      <c r="AK30" s="14" t="n">
        <f aca="false">IF(AK$6=AdvMonth,AdvAmt,0)</f>
        <v>0</v>
      </c>
      <c r="AL30" s="14" t="n">
        <f aca="false">IF(AL$6=AdvMonth,AdvAmt,0)</f>
        <v>0</v>
      </c>
      <c r="AM30" s="14" t="n">
        <f aca="false">IF(AM$6=AdvMonth,AdvAmt,0)</f>
        <v>0</v>
      </c>
      <c r="AN30" s="14" t="n">
        <f aca="false">IF(AN$6=AdvMonth,AdvAmt,0)</f>
        <v>0</v>
      </c>
      <c r="AO30" s="14" t="n">
        <f aca="false">IF(AO$6=AdvMonth,AdvAmt,0)</f>
        <v>0</v>
      </c>
      <c r="AP30" s="14" t="n">
        <f aca="false">IF(AP$6=AdvMonth,AdvAmt,0)</f>
        <v>0</v>
      </c>
      <c r="AQ30" s="14" t="n">
        <f aca="false">IF(AQ$6=AdvMonth,AdvAmt,0)</f>
        <v>0</v>
      </c>
      <c r="AR30" s="14" t="n">
        <f aca="false">IF(AR$6=AdvMonth,AdvAmt,0)</f>
        <v>0</v>
      </c>
      <c r="AS30" s="14" t="n">
        <f aca="false">IF(AS$6=AdvMonth,AdvAmt,0)</f>
        <v>0</v>
      </c>
      <c r="AT30" s="14" t="n">
        <f aca="false">IF(AT$6=AdvMonth,AdvAmt,0)</f>
        <v>0</v>
      </c>
      <c r="AU30" s="14" t="n">
        <f aca="false">IF(AU$6=AdvMonth,AdvAmt,0)</f>
        <v>0</v>
      </c>
      <c r="AV30" s="14" t="n">
        <f aca="false">SUM(K30:AU30)</f>
        <v>1562500</v>
      </c>
    </row>
    <row r="31" customFormat="false" ht="15" hidden="false" customHeight="false" outlineLevel="0" collapsed="false">
      <c r="B31" s="0" t="s">
        <v>146</v>
      </c>
      <c r="K31" s="14" t="n">
        <f aca="false">MIN(RetRate*K26,MAX(0,RetLimit-0))</f>
        <v>0</v>
      </c>
      <c r="L31" s="14" t="n">
        <f aca="false">MIN(RetRate*L26,MAX(0,RetLimit-K32))</f>
        <v>46740.9663526887</v>
      </c>
      <c r="M31" s="14" t="n">
        <f aca="false">MIN(RetRate*M26,MAX(0,RetLimit-L32))</f>
        <v>17221.6586122585</v>
      </c>
      <c r="N31" s="14" t="n">
        <f aca="false">MIN(RetRate*N26,MAX(0,RetLimit-M32))</f>
        <v>23659.44606827</v>
      </c>
      <c r="O31" s="14" t="n">
        <f aca="false">MIN(RetRate*O26,MAX(0,RetLimit-N32))</f>
        <v>30581.4852911892</v>
      </c>
      <c r="P31" s="14" t="n">
        <f aca="false">MIN(RetRate*P26,MAX(0,RetLimit-O32))</f>
        <v>21174.6460391291</v>
      </c>
      <c r="Q31" s="14" t="n">
        <f aca="false">MIN(RetRate*Q26,MAX(0,RetLimit-P32))</f>
        <v>21174.6460391291</v>
      </c>
      <c r="R31" s="14" t="n">
        <f aca="false">MIN(RetRate*R26,MAX(0,RetLimit-Q32))</f>
        <v>20911.2467930348</v>
      </c>
      <c r="S31" s="14" t="n">
        <f aca="false">MIN(RetRate*S26,MAX(0,RetLimit-R32))</f>
        <v>18229.5802604002</v>
      </c>
      <c r="T31" s="14" t="n">
        <f aca="false">MIN(RetRate*T26,MAX(0,RetLimit-S32))</f>
        <v>22877.8022503002</v>
      </c>
      <c r="U31" s="14" t="n">
        <f aca="false">MIN(RetRate*U26,MAX(0,RetLimit-T32))</f>
        <v>19391.6357578752</v>
      </c>
      <c r="V31" s="14" t="n">
        <f aca="false">MIN(RetRate*V26,MAX(0,RetLimit-U32))</f>
        <v>24039.8577477752</v>
      </c>
      <c r="W31" s="14" t="n">
        <f aca="false">MIN(RetRate*W26,MAX(0,RetLimit-V32))</f>
        <v>35036.8622797781</v>
      </c>
      <c r="X31" s="14" t="n">
        <f aca="false">MIN(RetRate*X26,MAX(0,RetLimit-W32))</f>
        <v>11460.1665081717</v>
      </c>
      <c r="Y31" s="14" t="n">
        <f aca="false">MIN(RetRate*Y26,MAX(0,RetLimit-X32))</f>
        <v>0</v>
      </c>
      <c r="Z31" s="14" t="n">
        <f aca="false">MIN(RetRate*Z26,MAX(0,RetLimit-Y32))</f>
        <v>0</v>
      </c>
      <c r="AA31" s="14" t="n">
        <f aca="false">MIN(RetRate*AA26,MAX(0,RetLimit-Z32))</f>
        <v>0</v>
      </c>
      <c r="AB31" s="14" t="n">
        <f aca="false">MIN(RetRate*AB26,MAX(0,RetLimit-AA32))</f>
        <v>0</v>
      </c>
      <c r="AC31" s="14" t="n">
        <f aca="false">MIN(RetRate*AC26,MAX(0,RetLimit-AB32))</f>
        <v>0</v>
      </c>
      <c r="AD31" s="14" t="n">
        <f aca="false">MIN(RetRate*AD26,MAX(0,RetLimit-AC32))</f>
        <v>0</v>
      </c>
      <c r="AE31" s="14" t="n">
        <f aca="false">MIN(RetRate*AE26,MAX(0,RetLimit-AD32))</f>
        <v>0</v>
      </c>
      <c r="AF31" s="14" t="n">
        <f aca="false">MIN(RetRate*AF26,MAX(0,RetLimit-AE32))</f>
        <v>0</v>
      </c>
      <c r="AG31" s="14" t="n">
        <f aca="false">MIN(RetRate*AG26,MAX(0,RetLimit-AF32))</f>
        <v>0</v>
      </c>
      <c r="AH31" s="14" t="n">
        <f aca="false">MIN(RetRate*AH26,MAX(0,RetLimit-AG32))</f>
        <v>0</v>
      </c>
      <c r="AI31" s="14" t="n">
        <f aca="false">MIN(RetRate*AI26,MAX(0,RetLimit-AH32))</f>
        <v>0</v>
      </c>
      <c r="AJ31" s="14" t="n">
        <f aca="false">MIN(RetRate*AJ26,MAX(0,RetLimit-AI32))</f>
        <v>0</v>
      </c>
      <c r="AK31" s="14" t="n">
        <f aca="false">MIN(RetRate*AK26,MAX(0,RetLimit-AJ32))</f>
        <v>0</v>
      </c>
      <c r="AL31" s="14" t="n">
        <f aca="false">MIN(RetRate*AL26,MAX(0,RetLimit-AK32))</f>
        <v>0</v>
      </c>
      <c r="AM31" s="14" t="n">
        <f aca="false">MIN(RetRate*AM26,MAX(0,RetLimit-AL32))</f>
        <v>0</v>
      </c>
      <c r="AN31" s="14" t="n">
        <f aca="false">MIN(RetRate*AN26,MAX(0,RetLimit-AM32))</f>
        <v>0</v>
      </c>
      <c r="AO31" s="14" t="n">
        <f aca="false">MIN(RetRate*AO26,MAX(0,RetLimit-AN32))</f>
        <v>0</v>
      </c>
      <c r="AP31" s="14" t="n">
        <f aca="false">MIN(RetRate*AP26,MAX(0,RetLimit-AO32))</f>
        <v>0</v>
      </c>
      <c r="AQ31" s="14" t="n">
        <f aca="false">MIN(RetRate*AQ26,MAX(0,RetLimit-AP32))</f>
        <v>0</v>
      </c>
      <c r="AR31" s="14" t="n">
        <f aca="false">MIN(RetRate*AR26,MAX(0,RetLimit-AQ32))</f>
        <v>0</v>
      </c>
      <c r="AS31" s="14" t="n">
        <f aca="false">MIN(RetRate*AS26,MAX(0,RetLimit-AR32))</f>
        <v>0</v>
      </c>
      <c r="AT31" s="14" t="n">
        <f aca="false">MIN(RetRate*AT26,MAX(0,RetLimit-AS32))</f>
        <v>0</v>
      </c>
      <c r="AU31" s="14" t="n">
        <f aca="false">MIN(RetRate*AU26,MAX(0,RetLimit-AT32))</f>
        <v>0</v>
      </c>
      <c r="AV31" s="14" t="n">
        <f aca="false">SUM(K31:AU31)</f>
        <v>312500</v>
      </c>
    </row>
    <row r="32" customFormat="false" ht="15" hidden="false" customHeight="false" outlineLevel="0" collapsed="false">
      <c r="B32" s="0" t="s">
        <v>147</v>
      </c>
      <c r="K32" s="14" t="n">
        <f aca="false">0+K31</f>
        <v>0</v>
      </c>
      <c r="L32" s="14" t="n">
        <f aca="false">K32+L31</f>
        <v>46740.9663526887</v>
      </c>
      <c r="M32" s="14" t="n">
        <f aca="false">L32+M31</f>
        <v>63962.6249649472</v>
      </c>
      <c r="N32" s="14" t="n">
        <f aca="false">M32+N31</f>
        <v>87622.0710332171</v>
      </c>
      <c r="O32" s="14" t="n">
        <f aca="false">N32+O31</f>
        <v>118203.556324406</v>
      </c>
      <c r="P32" s="14" t="n">
        <f aca="false">O32+P31</f>
        <v>139378.202363535</v>
      </c>
      <c r="Q32" s="14" t="n">
        <f aca="false">P32+Q31</f>
        <v>160552.848402665</v>
      </c>
      <c r="R32" s="14" t="n">
        <f aca="false">Q32+R31</f>
        <v>181464.095195699</v>
      </c>
      <c r="S32" s="14" t="n">
        <f aca="false">R32+S31</f>
        <v>199693.6754561</v>
      </c>
      <c r="T32" s="14" t="n">
        <f aca="false">S32+T31</f>
        <v>222571.4777064</v>
      </c>
      <c r="U32" s="14" t="n">
        <f aca="false">T32+U31</f>
        <v>241963.113464275</v>
      </c>
      <c r="V32" s="14" t="n">
        <f aca="false">U32+V31</f>
        <v>266002.97121205</v>
      </c>
      <c r="W32" s="14" t="n">
        <f aca="false">V32+W31</f>
        <v>301039.833491828</v>
      </c>
      <c r="X32" s="14" t="n">
        <f aca="false">W32+X31</f>
        <v>312500</v>
      </c>
      <c r="Y32" s="14" t="n">
        <f aca="false">X32+Y31</f>
        <v>312500</v>
      </c>
      <c r="Z32" s="14" t="n">
        <f aca="false">Y32+Z31</f>
        <v>312500</v>
      </c>
      <c r="AA32" s="14" t="n">
        <f aca="false">Z32+AA31</f>
        <v>312500</v>
      </c>
      <c r="AB32" s="14" t="n">
        <f aca="false">AA32+AB31</f>
        <v>312500</v>
      </c>
      <c r="AC32" s="14" t="n">
        <f aca="false">AB32+AC31</f>
        <v>312500</v>
      </c>
      <c r="AD32" s="14" t="n">
        <f aca="false">AC32+AD31</f>
        <v>312500</v>
      </c>
      <c r="AE32" s="14" t="n">
        <f aca="false">AD32+AE31</f>
        <v>312500</v>
      </c>
      <c r="AF32" s="14" t="n">
        <f aca="false">AE32+AF31</f>
        <v>312500</v>
      </c>
      <c r="AG32" s="14" t="n">
        <f aca="false">AF32+AG31</f>
        <v>312500</v>
      </c>
      <c r="AH32" s="14" t="n">
        <f aca="false">AG32+AH31</f>
        <v>312500</v>
      </c>
      <c r="AI32" s="14" t="n">
        <f aca="false">AH32+AI31</f>
        <v>312500</v>
      </c>
      <c r="AJ32" s="14" t="n">
        <f aca="false">AI32+AJ31</f>
        <v>312500</v>
      </c>
      <c r="AK32" s="14" t="n">
        <f aca="false">AJ32+AK31</f>
        <v>312500</v>
      </c>
      <c r="AL32" s="14" t="n">
        <f aca="false">AK32+AL31</f>
        <v>312500</v>
      </c>
      <c r="AM32" s="14" t="n">
        <f aca="false">AL32+AM31</f>
        <v>312500</v>
      </c>
      <c r="AN32" s="14" t="n">
        <f aca="false">AM32+AN31</f>
        <v>312500</v>
      </c>
      <c r="AO32" s="14" t="n">
        <f aca="false">AN32+AO31</f>
        <v>312500</v>
      </c>
      <c r="AP32" s="14" t="n">
        <f aca="false">AO32+AP31</f>
        <v>312500</v>
      </c>
      <c r="AQ32" s="14" t="n">
        <f aca="false">AP32+AQ31</f>
        <v>312500</v>
      </c>
      <c r="AR32" s="14" t="n">
        <f aca="false">AQ32+AR31</f>
        <v>312500</v>
      </c>
      <c r="AS32" s="14" t="n">
        <f aca="false">AR32+AS31</f>
        <v>312500</v>
      </c>
      <c r="AT32" s="14" t="n">
        <f aca="false">AS32+AT31</f>
        <v>312500</v>
      </c>
      <c r="AU32" s="14" t="n">
        <f aca="false">AT32+AU31</f>
        <v>312500</v>
      </c>
    </row>
    <row r="33" customFormat="false" ht="15" hidden="false" customHeight="false" outlineLevel="0" collapsed="false">
      <c r="B33" s="0" t="s">
        <v>148</v>
      </c>
      <c r="K33" s="14" t="n">
        <f aca="false">IF(K$6=Rel1Month,ROUND(Rel1Pct*K32,2),0)+IF(K$6=Rel2Month,K32,0)</f>
        <v>0</v>
      </c>
      <c r="L33" s="14" t="n">
        <f aca="false">IF(L$6=Rel1Month,ROUND(Rel1Pct*L32,2),0)+IF(L$6=Rel2Month,L32-SUM($K33:K33)*1,0)</f>
        <v>0</v>
      </c>
      <c r="M33" s="14" t="n">
        <f aca="false">IF(M$6=Rel1Month,ROUND(Rel1Pct*M32,2),0)+IF(M$6=Rel2Month,M32-SUM($K33:L33)*1,0)</f>
        <v>0</v>
      </c>
      <c r="N33" s="14" t="n">
        <f aca="false">IF(N$6=Rel1Month,ROUND(Rel1Pct*N32,2),0)+IF(N$6=Rel2Month,N32-SUM($K33:M33)*1,0)</f>
        <v>0</v>
      </c>
      <c r="O33" s="14" t="n">
        <f aca="false">IF(O$6=Rel1Month,ROUND(Rel1Pct*O32,2),0)+IF(O$6=Rel2Month,O32-SUM($K33:N33)*1,0)</f>
        <v>0</v>
      </c>
      <c r="P33" s="14" t="n">
        <f aca="false">IF(P$6=Rel1Month,ROUND(Rel1Pct*P32,2),0)+IF(P$6=Rel2Month,P32-SUM($K33:O33)*1,0)</f>
        <v>0</v>
      </c>
      <c r="Q33" s="14" t="n">
        <f aca="false">IF(Q$6=Rel1Month,ROUND(Rel1Pct*Q32,2),0)+IF(Q$6=Rel2Month,Q32-SUM($K33:P33)*1,0)</f>
        <v>0</v>
      </c>
      <c r="R33" s="14" t="n">
        <f aca="false">IF(R$6=Rel1Month,ROUND(Rel1Pct*R32,2),0)+IF(R$6=Rel2Month,R32-SUM($K33:Q33)*1,0)</f>
        <v>0</v>
      </c>
      <c r="S33" s="14" t="n">
        <f aca="false">IF(S$6=Rel1Month,ROUND(Rel1Pct*S32,2),0)+IF(S$6=Rel2Month,S32-SUM($K33:R33)*1,0)</f>
        <v>0</v>
      </c>
      <c r="T33" s="14" t="n">
        <f aca="false">IF(T$6=Rel1Month,ROUND(Rel1Pct*T32,2),0)+IF(T$6=Rel2Month,T32-SUM($K33:S33)*1,0)</f>
        <v>0</v>
      </c>
      <c r="U33" s="14" t="n">
        <f aca="false">IF(U$6=Rel1Month,ROUND(Rel1Pct*U32,2),0)+IF(U$6=Rel2Month,U32-SUM($K33:T33)*1,0)</f>
        <v>0</v>
      </c>
      <c r="V33" s="14" t="n">
        <f aca="false">IF(V$6=Rel1Month,ROUND(Rel1Pct*V32,2),0)+IF(V$6=Rel2Month,V32-SUM($K33:U33)*1,0)</f>
        <v>0</v>
      </c>
      <c r="W33" s="14" t="n">
        <f aca="false">IF(W$6=Rel1Month,ROUND(Rel1Pct*W32,2),0)+IF(W$6=Rel2Month,W32-SUM($K33:V33)*1,0)</f>
        <v>0</v>
      </c>
      <c r="X33" s="14" t="n">
        <f aca="false">IF(X$6=Rel1Month,ROUND(Rel1Pct*X32,2),0)+IF(X$6=Rel2Month,X32-SUM($K33:W33)*1,0)</f>
        <v>0</v>
      </c>
      <c r="Y33" s="14" t="n">
        <f aca="false">IF(Y$6=Rel1Month,ROUND(Rel1Pct*Y32,2),0)+IF(Y$6=Rel2Month,Y32-SUM($K33:X33)*1,0)</f>
        <v>0</v>
      </c>
      <c r="Z33" s="14" t="n">
        <f aca="false">IF(Z$6=Rel1Month,ROUND(Rel1Pct*Z32,2),0)+IF(Z$6=Rel2Month,Z32-SUM($K33:Y33)*1,0)</f>
        <v>0</v>
      </c>
      <c r="AA33" s="14" t="n">
        <f aca="false">IF(AA$6=Rel1Month,ROUND(Rel1Pct*AA32,2),0)+IF(AA$6=Rel2Month,AA32-SUM($K33:Z33)*1,0)</f>
        <v>0</v>
      </c>
      <c r="AB33" s="14" t="n">
        <f aca="false">IF(AB$6=Rel1Month,ROUND(Rel1Pct*AB32,2),0)+IF(AB$6=Rel2Month,AB32-SUM($K33:AA33)*1,0)</f>
        <v>0</v>
      </c>
      <c r="AC33" s="14" t="n">
        <f aca="false">IF(AC$6=Rel1Month,ROUND(Rel1Pct*AC32,2),0)+IF(AC$6=Rel2Month,AC32-SUM($K33:AB33)*1,0)</f>
        <v>0</v>
      </c>
      <c r="AD33" s="14" t="n">
        <f aca="false">IF(AD$6=Rel1Month,ROUND(Rel1Pct*AD32,2),0)+IF(AD$6=Rel2Month,AD32-SUM($K33:AC33)*1,0)</f>
        <v>0</v>
      </c>
      <c r="AE33" s="14" t="n">
        <f aca="false">IF(AE$6=Rel1Month,ROUND(Rel1Pct*AE32,2),0)+IF(AE$6=Rel2Month,AE32-SUM($K33:AD33)*1,0)</f>
        <v>0</v>
      </c>
      <c r="AF33" s="14" t="n">
        <f aca="false">IF(AF$6=Rel1Month,ROUND(Rel1Pct*AF32,2),0)+IF(AF$6=Rel2Month,AF32-SUM($K33:AE33)*1,0)</f>
        <v>0</v>
      </c>
      <c r="AG33" s="14" t="n">
        <f aca="false">IF(AG$6=Rel1Month,ROUND(Rel1Pct*AG32,2),0)+IF(AG$6=Rel2Month,AG32-SUM($K33:AF33)*1,0)</f>
        <v>0</v>
      </c>
      <c r="AH33" s="14" t="n">
        <f aca="false">IF(AH$6=Rel1Month,ROUND(Rel1Pct*AH32,2),0)+IF(AH$6=Rel2Month,AH32-SUM($K33:AG33)*1,0)</f>
        <v>0</v>
      </c>
      <c r="AI33" s="14" t="n">
        <f aca="false">IF(AI$6=Rel1Month,ROUND(Rel1Pct*AI32,2),0)+IF(AI$6=Rel2Month,AI32-SUM($K33:AH33)*1,0)</f>
        <v>0</v>
      </c>
      <c r="AJ33" s="14" t="n">
        <f aca="false">IF(AJ$6=Rel1Month,ROUND(Rel1Pct*AJ32,2),0)+IF(AJ$6=Rel2Month,AJ32-SUM($K33:AI33)*1,0)</f>
        <v>156250</v>
      </c>
      <c r="AK33" s="14" t="n">
        <f aca="false">IF(AK$6=Rel1Month,ROUND(Rel1Pct*AK32,2),0)+IF(AK$6=Rel2Month,AK32-SUM($K33:AJ33)*1,0)</f>
        <v>0</v>
      </c>
      <c r="AL33" s="14" t="n">
        <f aca="false">IF(AL$6=Rel1Month,ROUND(Rel1Pct*AL32,2),0)+IF(AL$6=Rel2Month,AL32-SUM($K33:AK33)*1,0)</f>
        <v>0</v>
      </c>
      <c r="AM33" s="14" t="n">
        <f aca="false">IF(AM$6=Rel1Month,ROUND(Rel1Pct*AM32,2),0)+IF(AM$6=Rel2Month,AM32-SUM($K33:AL33)*1,0)</f>
        <v>0</v>
      </c>
      <c r="AN33" s="14" t="n">
        <f aca="false">IF(AN$6=Rel1Month,ROUND(Rel1Pct*AN32,2),0)+IF(AN$6=Rel2Month,AN32-SUM($K33:AM33)*1,0)</f>
        <v>0</v>
      </c>
      <c r="AO33" s="14" t="n">
        <f aca="false">IF(AO$6=Rel1Month,ROUND(Rel1Pct*AO32,2),0)+IF(AO$6=Rel2Month,AO32-SUM($K33:AN33)*1,0)</f>
        <v>156250</v>
      </c>
      <c r="AP33" s="14" t="n">
        <f aca="false">IF(AP$6=Rel1Month,ROUND(Rel1Pct*AP32,2),0)+IF(AP$6=Rel2Month,AP32-SUM($K33:AO33)*1,0)</f>
        <v>0</v>
      </c>
      <c r="AQ33" s="14" t="n">
        <f aca="false">IF(AQ$6=Rel1Month,ROUND(Rel1Pct*AQ32,2),0)+IF(AQ$6=Rel2Month,AQ32-SUM($K33:AP33)*1,0)</f>
        <v>0</v>
      </c>
      <c r="AR33" s="14" t="n">
        <f aca="false">IF(AR$6=Rel1Month,ROUND(Rel1Pct*AR32,2),0)+IF(AR$6=Rel2Month,AR32-SUM($K33:AQ33)*1,0)</f>
        <v>0</v>
      </c>
      <c r="AS33" s="14" t="n">
        <f aca="false">IF(AS$6=Rel1Month,ROUND(Rel1Pct*AS32,2),0)+IF(AS$6=Rel2Month,AS32-SUM($K33:AR33)*1,0)</f>
        <v>0</v>
      </c>
      <c r="AT33" s="14" t="n">
        <f aca="false">IF(AT$6=Rel1Month,ROUND(Rel1Pct*AT32,2),0)+IF(AT$6=Rel2Month,AT32-SUM($K33:AS33)*1,0)</f>
        <v>0</v>
      </c>
      <c r="AU33" s="14" t="n">
        <f aca="false">IF(AU$6=Rel1Month,ROUND(Rel1Pct*AU32,2),0)+IF(AU$6=Rel2Month,AU32-SUM($K33:AT33)*1,0)</f>
        <v>0</v>
      </c>
      <c r="AV33" s="14" t="n">
        <f aca="false">SUM(K33:AU33)</f>
        <v>312500</v>
      </c>
    </row>
    <row r="34" customFormat="false" ht="15" hidden="false" customHeight="false" outlineLevel="0" collapsed="false">
      <c r="B34" s="0" t="s">
        <v>149</v>
      </c>
      <c r="K34" s="14" t="n">
        <f aca="false">K32-SUM($K33:K33)</f>
        <v>0</v>
      </c>
      <c r="L34" s="14" t="n">
        <f aca="false">L32-SUM($K33:L33)</f>
        <v>46740.9663526887</v>
      </c>
      <c r="M34" s="14" t="n">
        <f aca="false">M32-SUM($K33:M33)</f>
        <v>63962.6249649472</v>
      </c>
      <c r="N34" s="14" t="n">
        <f aca="false">N32-SUM($K33:N33)</f>
        <v>87622.0710332171</v>
      </c>
      <c r="O34" s="14" t="n">
        <f aca="false">O32-SUM($K33:O33)</f>
        <v>118203.556324406</v>
      </c>
      <c r="P34" s="14" t="n">
        <f aca="false">P32-SUM($K33:P33)</f>
        <v>139378.202363535</v>
      </c>
      <c r="Q34" s="14" t="n">
        <f aca="false">Q32-SUM($K33:Q33)</f>
        <v>160552.848402665</v>
      </c>
      <c r="R34" s="14" t="n">
        <f aca="false">R32-SUM($K33:R33)</f>
        <v>181464.095195699</v>
      </c>
      <c r="S34" s="14" t="n">
        <f aca="false">S32-SUM($K33:S33)</f>
        <v>199693.6754561</v>
      </c>
      <c r="T34" s="14" t="n">
        <f aca="false">T32-SUM($K33:T33)</f>
        <v>222571.4777064</v>
      </c>
      <c r="U34" s="14" t="n">
        <f aca="false">U32-SUM($K33:U33)</f>
        <v>241963.113464275</v>
      </c>
      <c r="V34" s="14" t="n">
        <f aca="false">V32-SUM($K33:V33)</f>
        <v>266002.97121205</v>
      </c>
      <c r="W34" s="14" t="n">
        <f aca="false">W32-SUM($K33:W33)</f>
        <v>301039.833491828</v>
      </c>
      <c r="X34" s="14" t="n">
        <f aca="false">X32-SUM($K33:X33)</f>
        <v>312500</v>
      </c>
      <c r="Y34" s="14" t="n">
        <f aca="false">Y32-SUM($K33:Y33)</f>
        <v>312500</v>
      </c>
      <c r="Z34" s="14" t="n">
        <f aca="false">Z32-SUM($K33:Z33)</f>
        <v>312500</v>
      </c>
      <c r="AA34" s="14" t="n">
        <f aca="false">AA32-SUM($K33:AA33)</f>
        <v>312500</v>
      </c>
      <c r="AB34" s="14" t="n">
        <f aca="false">AB32-SUM($K33:AB33)</f>
        <v>312500</v>
      </c>
      <c r="AC34" s="14" t="n">
        <f aca="false">AC32-SUM($K33:AC33)</f>
        <v>312500</v>
      </c>
      <c r="AD34" s="14" t="n">
        <f aca="false">AD32-SUM($K33:AD33)</f>
        <v>312500</v>
      </c>
      <c r="AE34" s="14" t="n">
        <f aca="false">AE32-SUM($K33:AE33)</f>
        <v>312500</v>
      </c>
      <c r="AF34" s="14" t="n">
        <f aca="false">AF32-SUM($K33:AF33)</f>
        <v>312500</v>
      </c>
      <c r="AG34" s="14" t="n">
        <f aca="false">AG32-SUM($K33:AG33)</f>
        <v>312500</v>
      </c>
      <c r="AH34" s="14" t="n">
        <f aca="false">AH32-SUM($K33:AH33)</f>
        <v>312500</v>
      </c>
      <c r="AI34" s="14" t="n">
        <f aca="false">AI32-SUM($K33:AI33)</f>
        <v>312500</v>
      </c>
      <c r="AJ34" s="14" t="n">
        <f aca="false">AJ32-SUM($K33:AJ33)</f>
        <v>156250</v>
      </c>
      <c r="AK34" s="14" t="n">
        <f aca="false">AK32-SUM($K33:AK33)</f>
        <v>156250</v>
      </c>
      <c r="AL34" s="14" t="n">
        <f aca="false">AL32-SUM($K33:AL33)</f>
        <v>156250</v>
      </c>
      <c r="AM34" s="14" t="n">
        <f aca="false">AM32-SUM($K33:AM33)</f>
        <v>156250</v>
      </c>
      <c r="AN34" s="14" t="n">
        <f aca="false">AN32-SUM($K33:AN33)</f>
        <v>156250</v>
      </c>
      <c r="AO34" s="14" t="n">
        <f aca="false">AO32-SUM($K33:AO33)</f>
        <v>0</v>
      </c>
      <c r="AP34" s="14" t="n">
        <f aca="false">AP32-SUM($K33:AP33)</f>
        <v>0</v>
      </c>
      <c r="AQ34" s="14" t="n">
        <f aca="false">AQ32-SUM($K33:AQ33)</f>
        <v>0</v>
      </c>
      <c r="AR34" s="14" t="n">
        <f aca="false">AR32-SUM($K33:AR33)</f>
        <v>0</v>
      </c>
      <c r="AS34" s="14" t="n">
        <f aca="false">AS32-SUM($K33:AS33)</f>
        <v>0</v>
      </c>
      <c r="AT34" s="14" t="n">
        <f aca="false">AT32-SUM($K33:AT33)</f>
        <v>0</v>
      </c>
      <c r="AU34" s="14" t="n">
        <f aca="false">AU32-SUM($K33:AU33)</f>
        <v>0</v>
      </c>
    </row>
    <row r="35" customFormat="false" ht="15" hidden="false" customHeight="false" outlineLevel="0" collapsed="false">
      <c r="B35" s="0" t="s">
        <v>150</v>
      </c>
      <c r="K35" s="14" t="n">
        <f aca="false">IF(AND(K$6&gt;=RecStart,K$6&lt;=RecEnd),AdvAmt/RecMonths,0)</f>
        <v>0</v>
      </c>
      <c r="L35" s="14" t="n">
        <f aca="false">IF(AND(L$6&gt;=RecStart,L$6&lt;=RecEnd),AdvAmt/RecMonths,0)</f>
        <v>0</v>
      </c>
      <c r="M35" s="14" t="n">
        <f aca="false">IF(AND(M$6&gt;=RecStart,M$6&lt;=RecEnd),AdvAmt/RecMonths,0)</f>
        <v>0</v>
      </c>
      <c r="N35" s="14" t="n">
        <f aca="false">IF(AND(N$6&gt;=RecStart,N$6&lt;=RecEnd),AdvAmt/RecMonths,0)</f>
        <v>86805.5555555556</v>
      </c>
      <c r="O35" s="14" t="n">
        <f aca="false">IF(AND(O$6&gt;=RecStart,O$6&lt;=RecEnd),AdvAmt/RecMonths,0)</f>
        <v>86805.5555555556</v>
      </c>
      <c r="P35" s="14" t="n">
        <f aca="false">IF(AND(P$6&gt;=RecStart,P$6&lt;=RecEnd),AdvAmt/RecMonths,0)</f>
        <v>86805.5555555556</v>
      </c>
      <c r="Q35" s="14" t="n">
        <f aca="false">IF(AND(Q$6&gt;=RecStart,Q$6&lt;=RecEnd),AdvAmt/RecMonths,0)</f>
        <v>86805.5555555556</v>
      </c>
      <c r="R35" s="14" t="n">
        <f aca="false">IF(AND(R$6&gt;=RecStart,R$6&lt;=RecEnd),AdvAmt/RecMonths,0)</f>
        <v>86805.5555555556</v>
      </c>
      <c r="S35" s="14" t="n">
        <f aca="false">IF(AND(S$6&gt;=RecStart,S$6&lt;=RecEnd),AdvAmt/RecMonths,0)</f>
        <v>86805.5555555556</v>
      </c>
      <c r="T35" s="14" t="n">
        <f aca="false">IF(AND(T$6&gt;=RecStart,T$6&lt;=RecEnd),AdvAmt/RecMonths,0)</f>
        <v>86805.5555555556</v>
      </c>
      <c r="U35" s="14" t="n">
        <f aca="false">IF(AND(U$6&gt;=RecStart,U$6&lt;=RecEnd),AdvAmt/RecMonths,0)</f>
        <v>86805.5555555556</v>
      </c>
      <c r="V35" s="14" t="n">
        <f aca="false">IF(AND(V$6&gt;=RecStart,V$6&lt;=RecEnd),AdvAmt/RecMonths,0)</f>
        <v>86805.5555555556</v>
      </c>
      <c r="W35" s="14" t="n">
        <f aca="false">IF(AND(W$6&gt;=RecStart,W$6&lt;=RecEnd),AdvAmt/RecMonths,0)</f>
        <v>86805.5555555556</v>
      </c>
      <c r="X35" s="14" t="n">
        <f aca="false">IF(AND(X$6&gt;=RecStart,X$6&lt;=RecEnd),AdvAmt/RecMonths,0)</f>
        <v>86805.5555555556</v>
      </c>
      <c r="Y35" s="14" t="n">
        <f aca="false">IF(AND(Y$6&gt;=RecStart,Y$6&lt;=RecEnd),AdvAmt/RecMonths,0)</f>
        <v>86805.5555555556</v>
      </c>
      <c r="Z35" s="14" t="n">
        <f aca="false">IF(AND(Z$6&gt;=RecStart,Z$6&lt;=RecEnd),AdvAmt/RecMonths,0)</f>
        <v>86805.5555555556</v>
      </c>
      <c r="AA35" s="14" t="n">
        <f aca="false">IF(AND(AA$6&gt;=RecStart,AA$6&lt;=RecEnd),AdvAmt/RecMonths,0)</f>
        <v>86805.5555555556</v>
      </c>
      <c r="AB35" s="14" t="n">
        <f aca="false">IF(AND(AB$6&gt;=RecStart,AB$6&lt;=RecEnd),AdvAmt/RecMonths,0)</f>
        <v>86805.5555555556</v>
      </c>
      <c r="AC35" s="14" t="n">
        <f aca="false">IF(AND(AC$6&gt;=RecStart,AC$6&lt;=RecEnd),AdvAmt/RecMonths,0)</f>
        <v>86805.5555555556</v>
      </c>
      <c r="AD35" s="14" t="n">
        <f aca="false">IF(AND(AD$6&gt;=RecStart,AD$6&lt;=RecEnd),AdvAmt/RecMonths,0)</f>
        <v>86805.5555555556</v>
      </c>
      <c r="AE35" s="14" t="n">
        <f aca="false">IF(AND(AE$6&gt;=RecStart,AE$6&lt;=RecEnd),AdvAmt/RecMonths,0)</f>
        <v>86805.5555555556</v>
      </c>
      <c r="AF35" s="14" t="n">
        <f aca="false">IF(AND(AF$6&gt;=RecStart,AF$6&lt;=RecEnd),AdvAmt/RecMonths,0)</f>
        <v>0</v>
      </c>
      <c r="AG35" s="14" t="n">
        <f aca="false">IF(AND(AG$6&gt;=RecStart,AG$6&lt;=RecEnd),AdvAmt/RecMonths,0)</f>
        <v>0</v>
      </c>
      <c r="AH35" s="14" t="n">
        <f aca="false">IF(AND(AH$6&gt;=RecStart,AH$6&lt;=RecEnd),AdvAmt/RecMonths,0)</f>
        <v>0</v>
      </c>
      <c r="AI35" s="14" t="n">
        <f aca="false">IF(AND(AI$6&gt;=RecStart,AI$6&lt;=RecEnd),AdvAmt/RecMonths,0)</f>
        <v>0</v>
      </c>
      <c r="AJ35" s="14" t="n">
        <f aca="false">IF(AND(AJ$6&gt;=RecStart,AJ$6&lt;=RecEnd),AdvAmt/RecMonths,0)</f>
        <v>0</v>
      </c>
      <c r="AK35" s="14" t="n">
        <f aca="false">IF(AND(AK$6&gt;=RecStart,AK$6&lt;=RecEnd),AdvAmt/RecMonths,0)</f>
        <v>0</v>
      </c>
      <c r="AL35" s="14" t="n">
        <f aca="false">IF(AND(AL$6&gt;=RecStart,AL$6&lt;=RecEnd),AdvAmt/RecMonths,0)</f>
        <v>0</v>
      </c>
      <c r="AM35" s="14" t="n">
        <f aca="false">IF(AND(AM$6&gt;=RecStart,AM$6&lt;=RecEnd),AdvAmt/RecMonths,0)</f>
        <v>0</v>
      </c>
      <c r="AN35" s="14" t="n">
        <f aca="false">IF(AND(AN$6&gt;=RecStart,AN$6&lt;=RecEnd),AdvAmt/RecMonths,0)</f>
        <v>0</v>
      </c>
      <c r="AO35" s="14" t="n">
        <f aca="false">IF(AND(AO$6&gt;=RecStart,AO$6&lt;=RecEnd),AdvAmt/RecMonths,0)</f>
        <v>0</v>
      </c>
      <c r="AP35" s="14" t="n">
        <f aca="false">IF(AND(AP$6&gt;=RecStart,AP$6&lt;=RecEnd),AdvAmt/RecMonths,0)</f>
        <v>0</v>
      </c>
      <c r="AQ35" s="14" t="n">
        <f aca="false">IF(AND(AQ$6&gt;=RecStart,AQ$6&lt;=RecEnd),AdvAmt/RecMonths,0)</f>
        <v>0</v>
      </c>
      <c r="AR35" s="14" t="n">
        <f aca="false">IF(AND(AR$6&gt;=RecStart,AR$6&lt;=RecEnd),AdvAmt/RecMonths,0)</f>
        <v>0</v>
      </c>
      <c r="AS35" s="14" t="n">
        <f aca="false">IF(AND(AS$6&gt;=RecStart,AS$6&lt;=RecEnd),AdvAmt/RecMonths,0)</f>
        <v>0</v>
      </c>
      <c r="AT35" s="14" t="n">
        <f aca="false">IF(AND(AT$6&gt;=RecStart,AT$6&lt;=RecEnd),AdvAmt/RecMonths,0)</f>
        <v>0</v>
      </c>
      <c r="AU35" s="14" t="n">
        <f aca="false">IF(AND(AU$6&gt;=RecStart,AU$6&lt;=RecEnd),AdvAmt/RecMonths,0)</f>
        <v>0</v>
      </c>
      <c r="AV35" s="14" t="n">
        <f aca="false">SUM(K35:AU35)</f>
        <v>1562500</v>
      </c>
    </row>
    <row r="36" customFormat="false" ht="15" hidden="false" customHeight="false" outlineLevel="0" collapsed="false">
      <c r="B36" s="0" t="s">
        <v>151</v>
      </c>
      <c r="K36" s="14" t="n">
        <f aca="false">0+K35</f>
        <v>0</v>
      </c>
      <c r="L36" s="14" t="n">
        <f aca="false">K36+L35</f>
        <v>0</v>
      </c>
      <c r="M36" s="14" t="n">
        <f aca="false">L36+M35</f>
        <v>0</v>
      </c>
      <c r="N36" s="14" t="n">
        <f aca="false">M36+N35</f>
        <v>86805.5555555556</v>
      </c>
      <c r="O36" s="14" t="n">
        <f aca="false">N36+O35</f>
        <v>173611.111111111</v>
      </c>
      <c r="P36" s="14" t="n">
        <f aca="false">O36+P35</f>
        <v>260416.666666667</v>
      </c>
      <c r="Q36" s="14" t="n">
        <f aca="false">P36+Q35</f>
        <v>347222.222222222</v>
      </c>
      <c r="R36" s="14" t="n">
        <f aca="false">Q36+R35</f>
        <v>434027.777777778</v>
      </c>
      <c r="S36" s="14" t="n">
        <f aca="false">R36+S35</f>
        <v>520833.333333333</v>
      </c>
      <c r="T36" s="14" t="n">
        <f aca="false">S36+T35</f>
        <v>607638.888888889</v>
      </c>
      <c r="U36" s="14" t="n">
        <f aca="false">T36+U35</f>
        <v>694444.444444445</v>
      </c>
      <c r="V36" s="14" t="n">
        <f aca="false">U36+V35</f>
        <v>781250</v>
      </c>
      <c r="W36" s="14" t="n">
        <f aca="false">V36+W35</f>
        <v>868055.555555556</v>
      </c>
      <c r="X36" s="14" t="n">
        <f aca="false">W36+X35</f>
        <v>954861.111111111</v>
      </c>
      <c r="Y36" s="14" t="n">
        <f aca="false">X36+Y35</f>
        <v>1041666.66666667</v>
      </c>
      <c r="Z36" s="14" t="n">
        <f aca="false">Y36+Z35</f>
        <v>1128472.22222222</v>
      </c>
      <c r="AA36" s="14" t="n">
        <f aca="false">Z36+AA35</f>
        <v>1215277.77777778</v>
      </c>
      <c r="AB36" s="14" t="n">
        <f aca="false">AA36+AB35</f>
        <v>1302083.33333333</v>
      </c>
      <c r="AC36" s="14" t="n">
        <f aca="false">AB36+AC35</f>
        <v>1388888.88888889</v>
      </c>
      <c r="AD36" s="14" t="n">
        <f aca="false">AC36+AD35</f>
        <v>1475694.44444444</v>
      </c>
      <c r="AE36" s="14" t="n">
        <f aca="false">AD36+AE35</f>
        <v>1562500</v>
      </c>
      <c r="AF36" s="14" t="n">
        <f aca="false">AE36+AF35</f>
        <v>1562500</v>
      </c>
      <c r="AG36" s="14" t="n">
        <f aca="false">AF36+AG35</f>
        <v>1562500</v>
      </c>
      <c r="AH36" s="14" t="n">
        <f aca="false">AG36+AH35</f>
        <v>1562500</v>
      </c>
      <c r="AI36" s="14" t="n">
        <f aca="false">AH36+AI35</f>
        <v>1562500</v>
      </c>
      <c r="AJ36" s="14" t="n">
        <f aca="false">AI36+AJ35</f>
        <v>1562500</v>
      </c>
      <c r="AK36" s="14" t="n">
        <f aca="false">AJ36+AK35</f>
        <v>1562500</v>
      </c>
      <c r="AL36" s="14" t="n">
        <f aca="false">AK36+AL35</f>
        <v>1562500</v>
      </c>
      <c r="AM36" s="14" t="n">
        <f aca="false">AL36+AM35</f>
        <v>1562500</v>
      </c>
      <c r="AN36" s="14" t="n">
        <f aca="false">AM36+AN35</f>
        <v>1562500</v>
      </c>
      <c r="AO36" s="14" t="n">
        <f aca="false">AN36+AO35</f>
        <v>1562500</v>
      </c>
      <c r="AP36" s="14" t="n">
        <f aca="false">AO36+AP35</f>
        <v>1562500</v>
      </c>
      <c r="AQ36" s="14" t="n">
        <f aca="false">AP36+AQ35</f>
        <v>1562500</v>
      </c>
      <c r="AR36" s="14" t="n">
        <f aca="false">AQ36+AR35</f>
        <v>1562500</v>
      </c>
      <c r="AS36" s="14" t="n">
        <f aca="false">AR36+AS35</f>
        <v>1562500</v>
      </c>
      <c r="AT36" s="14" t="n">
        <f aca="false">AS36+AT35</f>
        <v>1562500</v>
      </c>
      <c r="AU36" s="14" t="n">
        <f aca="false">AT36+AU35</f>
        <v>1562500</v>
      </c>
    </row>
    <row r="38" customFormat="false" ht="15" hidden="false" customHeight="false" outlineLevel="0" collapsed="false">
      <c r="A38" s="23"/>
      <c r="B38" s="23" t="s">
        <v>152</v>
      </c>
      <c r="C38" s="23"/>
      <c r="D38" s="23"/>
      <c r="E38" s="23"/>
      <c r="F38" s="23"/>
      <c r="G38" s="23"/>
      <c r="H38" s="23"/>
      <c r="I38" s="23"/>
      <c r="J38" s="23"/>
      <c r="K38" s="24" t="n">
        <f aca="false">K26+K30-K31+K33-K35</f>
        <v>1562500</v>
      </c>
      <c r="L38" s="24" t="n">
        <f aca="false">L26+L30-L31+L33-L35</f>
        <v>420668.697174198</v>
      </c>
      <c r="M38" s="24" t="n">
        <f aca="false">M26+M30-M31+M33-M35</f>
        <v>154994.927510327</v>
      </c>
      <c r="N38" s="24" t="n">
        <f aca="false">N26+N30-N31+N33-N35</f>
        <v>126129.459058874</v>
      </c>
      <c r="O38" s="24" t="n">
        <f aca="false">O26+O30-O31+O33-O35</f>
        <v>188427.812065147</v>
      </c>
      <c r="P38" s="24" t="n">
        <f aca="false">P26+P30-P31+P33-P35</f>
        <v>103766.258796607</v>
      </c>
      <c r="Q38" s="24" t="n">
        <f aca="false">Q26+Q30-Q31+Q33-Q35</f>
        <v>103766.258796607</v>
      </c>
      <c r="R38" s="24" t="n">
        <f aca="false">R26+R30-R31+R33-R35</f>
        <v>101395.665581758</v>
      </c>
      <c r="S38" s="24" t="n">
        <f aca="false">S26+S30-S31+S33-S35</f>
        <v>77260.6667880463</v>
      </c>
      <c r="T38" s="24" t="n">
        <f aca="false">T26+T30-T31+T33-T35</f>
        <v>119094.664697146</v>
      </c>
      <c r="U38" s="24" t="n">
        <f aca="false">U26+U30-U31+U33-U35</f>
        <v>87719.1662653213</v>
      </c>
      <c r="V38" s="24" t="n">
        <f aca="false">V26+V30-V31+V33-V35</f>
        <v>129553.164174421</v>
      </c>
      <c r="W38" s="24" t="n">
        <f aca="false">W26+W30-W31+W33-W35</f>
        <v>228526.204962447</v>
      </c>
      <c r="X38" s="24" t="n">
        <f aca="false">X26+X30-X31+X33-X35</f>
        <v>290378.415957835</v>
      </c>
      <c r="Y38" s="24" t="n">
        <f aca="false">Y26+Y30-Y31+Y33-Y35</f>
        <v>270850.435866674</v>
      </c>
      <c r="Z38" s="24" t="n">
        <f aca="false">Z26+Z30-Z31+Z33-Z35</f>
        <v>197728.063538558</v>
      </c>
      <c r="AA38" s="24" t="n">
        <f aca="false">AA26+AA30-AA31+AA33-AA35</f>
        <v>258702.719557753</v>
      </c>
      <c r="AB38" s="24" t="n">
        <f aca="false">AB26+AB30-AB31+AB33-AB35</f>
        <v>171166.795024844</v>
      </c>
      <c r="AC38" s="24" t="n">
        <f aca="false">AC26+AC30-AC31+AC33-AC35</f>
        <v>152573.907065244</v>
      </c>
      <c r="AD38" s="24" t="n">
        <f aca="false">AD26+AD30-AD31+AD33-AD35</f>
        <v>197236.193114465</v>
      </c>
      <c r="AE38" s="24" t="n">
        <f aca="false">AE26+AE30-AE31+AE33-AE35</f>
        <v>217053.510683473</v>
      </c>
      <c r="AF38" s="24" t="n">
        <f aca="false">AF26+AF30-AF31+AF33-AF35</f>
        <v>295814.066641125</v>
      </c>
      <c r="AG38" s="24" t="n">
        <f aca="false">AG26+AG30-AG31+AG33-AG35</f>
        <v>270248.845696675</v>
      </c>
      <c r="AH38" s="24" t="n">
        <f aca="false">AH26+AH30-AH31+AH33-AH35</f>
        <v>175192.442720419</v>
      </c>
      <c r="AI38" s="24" t="n">
        <f aca="false">AI26+AI30-AI31+AI33-AI35</f>
        <v>36751.6582620346</v>
      </c>
      <c r="AJ38" s="24" t="n">
        <f aca="false">AJ26+AJ30-AJ31+AJ33-AJ35</f>
        <v>156250</v>
      </c>
      <c r="AK38" s="24" t="n">
        <f aca="false">AK26+AK30-AK31+AK33-AK35</f>
        <v>0</v>
      </c>
      <c r="AL38" s="24" t="n">
        <f aca="false">AL26+AL30-AL31+AL33-AL35</f>
        <v>0</v>
      </c>
      <c r="AM38" s="24" t="n">
        <f aca="false">AM26+AM30-AM31+AM33-AM35</f>
        <v>0</v>
      </c>
      <c r="AN38" s="24" t="n">
        <f aca="false">AN26+AN30-AN31+AN33-AN35</f>
        <v>0</v>
      </c>
      <c r="AO38" s="24" t="n">
        <f aca="false">AO26+AO30-AO31+AO33-AO35</f>
        <v>156250</v>
      </c>
      <c r="AP38" s="24" t="n">
        <f aca="false">AP26+AP30-AP31+AP33-AP35</f>
        <v>0</v>
      </c>
      <c r="AQ38" s="24" t="n">
        <f aca="false">AQ26+AQ30-AQ31+AQ33-AQ35</f>
        <v>0</v>
      </c>
      <c r="AR38" s="24" t="n">
        <f aca="false">AR26+AR30-AR31+AR33-AR35</f>
        <v>0</v>
      </c>
      <c r="AS38" s="24" t="n">
        <f aca="false">AS26+AS30-AS31+AS33-AS35</f>
        <v>0</v>
      </c>
      <c r="AT38" s="24" t="n">
        <f aca="false">AT26+AT30-AT31+AT33-AT35</f>
        <v>0</v>
      </c>
      <c r="AU38" s="24" t="n">
        <f aca="false">AU26+AU30-AU31+AU33-AU35</f>
        <v>0</v>
      </c>
      <c r="AV38" s="24" t="n">
        <f aca="false">SUM(K38:AU38)</f>
        <v>6250000</v>
      </c>
      <c r="AW38" s="24" t="n">
        <f aca="false">ROUND(AV38-ContractSum,2)</f>
        <v>0</v>
      </c>
      <c r="AX38" s="23"/>
    </row>
    <row r="39" customFormat="false" ht="15" hidden="false" customHeight="false" outlineLevel="0" collapsed="false">
      <c r="A39" s="23"/>
      <c r="B39" s="23" t="s">
        <v>153</v>
      </c>
      <c r="C39" s="23"/>
      <c r="D39" s="23"/>
      <c r="E39" s="23"/>
      <c r="F39" s="23"/>
      <c r="G39" s="23"/>
      <c r="H39" s="23"/>
      <c r="I39" s="23"/>
      <c r="J39" s="23"/>
      <c r="K39" s="24" t="n">
        <f aca="false">0+K38</f>
        <v>1562500</v>
      </c>
      <c r="L39" s="24" t="n">
        <f aca="false">K39+L38</f>
        <v>1983168.6971742</v>
      </c>
      <c r="M39" s="24" t="n">
        <f aca="false">L39+M38</f>
        <v>2138163.62468452</v>
      </c>
      <c r="N39" s="24" t="n">
        <f aca="false">M39+N38</f>
        <v>2264293.0837434</v>
      </c>
      <c r="O39" s="24" t="n">
        <f aca="false">N39+O38</f>
        <v>2452720.89580855</v>
      </c>
      <c r="P39" s="24" t="n">
        <f aca="false">O39+P38</f>
        <v>2556487.15460515</v>
      </c>
      <c r="Q39" s="24" t="n">
        <f aca="false">P39+Q38</f>
        <v>2660253.41340176</v>
      </c>
      <c r="R39" s="24" t="n">
        <f aca="false">Q39+R38</f>
        <v>2761649.07898352</v>
      </c>
      <c r="S39" s="24" t="n">
        <f aca="false">R39+S38</f>
        <v>2838909.74577156</v>
      </c>
      <c r="T39" s="24" t="n">
        <f aca="false">S39+T38</f>
        <v>2958004.41046871</v>
      </c>
      <c r="U39" s="24" t="n">
        <f aca="false">T39+U38</f>
        <v>3045723.57673403</v>
      </c>
      <c r="V39" s="24" t="n">
        <f aca="false">U39+V38</f>
        <v>3175276.74090845</v>
      </c>
      <c r="W39" s="24" t="n">
        <f aca="false">V39+W38</f>
        <v>3403802.9458709</v>
      </c>
      <c r="X39" s="24" t="n">
        <f aca="false">W39+X38</f>
        <v>3694181.36182873</v>
      </c>
      <c r="Y39" s="24" t="n">
        <f aca="false">X39+Y38</f>
        <v>3965031.79769541</v>
      </c>
      <c r="Z39" s="24" t="n">
        <f aca="false">Y39+Z38</f>
        <v>4162759.86123397</v>
      </c>
      <c r="AA39" s="24" t="n">
        <f aca="false">Z39+AA38</f>
        <v>4421462.58079172</v>
      </c>
      <c r="AB39" s="24" t="n">
        <f aca="false">AA39+AB38</f>
        <v>4592629.37581656</v>
      </c>
      <c r="AC39" s="24" t="n">
        <f aca="false">AB39+AC38</f>
        <v>4745203.28288181</v>
      </c>
      <c r="AD39" s="24" t="n">
        <f aca="false">AC39+AD38</f>
        <v>4942439.47599627</v>
      </c>
      <c r="AE39" s="24" t="n">
        <f aca="false">AD39+AE38</f>
        <v>5159492.98667975</v>
      </c>
      <c r="AF39" s="24" t="n">
        <f aca="false">AE39+AF38</f>
        <v>5455307.05332087</v>
      </c>
      <c r="AG39" s="24" t="n">
        <f aca="false">AF39+AG38</f>
        <v>5725555.89901755</v>
      </c>
      <c r="AH39" s="24" t="n">
        <f aca="false">AG39+AH38</f>
        <v>5900748.34173797</v>
      </c>
      <c r="AI39" s="24" t="n">
        <f aca="false">AH39+AI38</f>
        <v>5937500</v>
      </c>
      <c r="AJ39" s="24" t="n">
        <f aca="false">AI39+AJ38</f>
        <v>6093750</v>
      </c>
      <c r="AK39" s="24" t="n">
        <f aca="false">AJ39+AK38</f>
        <v>6093750</v>
      </c>
      <c r="AL39" s="24" t="n">
        <f aca="false">AK39+AL38</f>
        <v>6093750</v>
      </c>
      <c r="AM39" s="24" t="n">
        <f aca="false">AL39+AM38</f>
        <v>6093750</v>
      </c>
      <c r="AN39" s="24" t="n">
        <f aca="false">AM39+AN38</f>
        <v>6093750</v>
      </c>
      <c r="AO39" s="24" t="n">
        <f aca="false">AN39+AO38</f>
        <v>6250000</v>
      </c>
      <c r="AP39" s="24" t="n">
        <f aca="false">AO39+AP38</f>
        <v>6250000</v>
      </c>
      <c r="AQ39" s="24" t="n">
        <f aca="false">AP39+AQ38</f>
        <v>6250000</v>
      </c>
      <c r="AR39" s="24" t="n">
        <f aca="false">AQ39+AR38</f>
        <v>6250000</v>
      </c>
      <c r="AS39" s="24" t="n">
        <f aca="false">AR39+AS38</f>
        <v>6250000</v>
      </c>
      <c r="AT39" s="24" t="n">
        <f aca="false">AS39+AT38</f>
        <v>6250000</v>
      </c>
      <c r="AU39" s="24" t="n">
        <f aca="false">AT39+AU38</f>
        <v>6250000</v>
      </c>
      <c r="AV39" s="23"/>
      <c r="AW39" s="23"/>
      <c r="AX39" s="23"/>
    </row>
    <row r="42" customFormat="false" ht="15" hidden="false" customHeight="false" outlineLevel="0" collapsed="false">
      <c r="B42" s="12" t="s">
        <v>154</v>
      </c>
    </row>
    <row r="43" customFormat="false" ht="15" hidden="false" customHeight="false" outlineLevel="0" collapsed="false">
      <c r="B43" s="0" t="s">
        <v>155</v>
      </c>
    </row>
    <row r="44" customFormat="false" ht="15" hidden="false" customHeight="false" outlineLevel="0" collapsed="false">
      <c r="B44" s="0" t="s">
        <v>156</v>
      </c>
    </row>
    <row r="45" customFormat="false" ht="15" hidden="false" customHeight="false" outlineLevel="0" collapsed="false">
      <c r="B45" s="0" t="s">
        <v>157</v>
      </c>
    </row>
    <row r="46" customFormat="false" ht="15" hidden="false" customHeight="false" outlineLevel="0" collapsed="false">
      <c r="B46" s="0" t="s">
        <v>158</v>
      </c>
    </row>
    <row r="47" customFormat="false" ht="15" hidden="false" customHeight="false" outlineLevel="0" collapsed="false">
      <c r="B47" s="0" t="s">
        <v>159</v>
      </c>
    </row>
    <row r="48" customFormat="false" ht="15" hidden="false" customHeight="false" outlineLevel="0" collapsed="false">
      <c r="B48" s="0" t="s">
        <v>160</v>
      </c>
    </row>
  </sheetData>
  <conditionalFormatting sqref="K5:AU39">
    <cfRule type="expression" priority="2" aboveAverage="0" equalAverage="0" bottom="0" percent="0" rank="0" text="" dxfId="2">
      <formula>K$6&gt;Rel2Month</formula>
    </cfRule>
  </conditionalFormatting>
  <conditionalFormatting sqref="AW9:AW38">
    <cfRule type="expression" priority="3" aboveAverage="0" equalAverage="0" bottom="0" percent="0" rank="0" text="" dxfId="0">
      <formula>ABS(AW9)&gt;0.005</formula>
    </cfRule>
  </conditionalFormatting>
  <conditionalFormatting sqref="AX9:AX25">
    <cfRule type="expression" priority="4" aboveAverage="0" equalAverage="0" bottom="0" percent="0" rank="0" text="" dxfId="0">
      <formula>AX9&gt;Duration</formula>
    </cfRule>
  </conditionalFormatting>
  <conditionalFormatting sqref="K38:AU38">
    <cfRule type="expression" priority="5" aboveAverage="0" equalAverage="0" bottom="0" percent="0" rank="0" text="" dxfId="0">
      <formula>K38&lt;0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.33"/>
    <col collapsed="false" customWidth="true" hidden="false" outlineLevel="0" max="2" min="2" style="0" width="80.44"/>
    <col collapsed="false" customWidth="true" hidden="false" outlineLevel="0" max="3" min="3" style="0" width="25.56"/>
    <col collapsed="false" customWidth="true" hidden="false" outlineLevel="0" max="4" min="4" style="0" width="30.88"/>
    <col collapsed="false" customWidth="true" hidden="false" outlineLevel="0" max="5" min="5" style="0" width="27"/>
    <col collapsed="false" customWidth="true" hidden="false" outlineLevel="0" max="6" min="6" style="0" width="29.44"/>
    <col collapsed="false" customWidth="true" hidden="false" outlineLevel="0" max="7" min="7" style="0" width="20.66"/>
    <col collapsed="false" customWidth="true" hidden="false" outlineLevel="0" max="8" min="8" style="0" width="27"/>
    <col collapsed="false" customWidth="true" hidden="false" outlineLevel="0" max="9" min="9" style="0" width="15.44"/>
    <col collapsed="false" customWidth="true" hidden="false" outlineLevel="0" max="10" min="10" style="0" width="14.44"/>
    <col collapsed="false" customWidth="true" hidden="false" outlineLevel="0" max="12" min="12" style="0" width="14.44"/>
  </cols>
  <sheetData>
    <row r="1" customFormat="false" ht="19.7" hidden="false" customHeight="false" outlineLevel="0" collapsed="false">
      <c r="A1" s="34" t="s">
        <v>161</v>
      </c>
      <c r="B1" s="34"/>
      <c r="C1" s="35"/>
      <c r="D1" s="35"/>
      <c r="E1" s="36"/>
      <c r="F1" s="37"/>
      <c r="H1" s="36"/>
    </row>
    <row r="2" customFormat="false" ht="19.7" hidden="false" customHeight="false" outlineLevel="0" collapsed="false">
      <c r="A2" s="34" t="s">
        <v>162</v>
      </c>
      <c r="B2" s="34"/>
      <c r="C2" s="35"/>
      <c r="D2" s="35"/>
      <c r="E2" s="38" t="n">
        <v>15</v>
      </c>
      <c r="F2" s="39"/>
      <c r="H2" s="38" t="n">
        <v>15</v>
      </c>
    </row>
    <row r="3" customFormat="false" ht="19.7" hidden="false" customHeight="false" outlineLevel="0" collapsed="false">
      <c r="A3" s="34" t="s">
        <v>163</v>
      </c>
      <c r="B3" s="34"/>
      <c r="C3" s="35"/>
      <c r="D3" s="35"/>
      <c r="E3" s="36"/>
      <c r="F3" s="37"/>
      <c r="H3" s="36"/>
    </row>
    <row r="4" customFormat="false" ht="19.7" hidden="false" customHeight="false" outlineLevel="0" collapsed="false">
      <c r="A4" s="34" t="s">
        <v>164</v>
      </c>
      <c r="B4" s="40"/>
      <c r="C4" s="41"/>
      <c r="D4" s="35"/>
      <c r="E4" s="36"/>
      <c r="F4" s="37"/>
      <c r="H4" s="36"/>
    </row>
    <row r="5" customFormat="false" ht="40.25" hidden="false" customHeight="false" outlineLevel="0" collapsed="false">
      <c r="A5" s="42" t="s">
        <v>94</v>
      </c>
      <c r="B5" s="43" t="s">
        <v>165</v>
      </c>
      <c r="C5" s="42" t="s">
        <v>166</v>
      </c>
      <c r="D5" s="42"/>
      <c r="E5" s="44" t="s">
        <v>167</v>
      </c>
      <c r="F5" s="45"/>
      <c r="G5" s="44" t="s">
        <v>168</v>
      </c>
      <c r="H5" s="44" t="s">
        <v>167</v>
      </c>
      <c r="J5" s="2" t="s">
        <v>169</v>
      </c>
    </row>
    <row r="6" customFormat="false" ht="19.7" hidden="false" customHeight="false" outlineLevel="0" collapsed="false">
      <c r="A6" s="46"/>
      <c r="B6" s="47"/>
      <c r="C6" s="48"/>
      <c r="D6" s="46"/>
      <c r="E6" s="49"/>
      <c r="F6" s="50"/>
      <c r="G6" s="49"/>
      <c r="H6" s="49"/>
    </row>
    <row r="7" customFormat="false" ht="19.7" hidden="false" customHeight="false" outlineLevel="0" collapsed="false">
      <c r="A7" s="46" t="s">
        <v>170</v>
      </c>
      <c r="B7" s="51" t="s">
        <v>171</v>
      </c>
      <c r="C7" s="46"/>
      <c r="D7" s="52"/>
      <c r="E7" s="49" t="n">
        <f aca="false">366625+50000</f>
        <v>416625</v>
      </c>
      <c r="F7" s="50" t="n">
        <f aca="false">E7/$E$50</f>
        <v>0.06666</v>
      </c>
      <c r="G7" s="53" t="n">
        <f aca="false">-$E$46*E7/$E$42</f>
        <v>-29311.9026915853</v>
      </c>
      <c r="H7" s="53" t="n">
        <f aca="false">E7+G7</f>
        <v>387313.097308415</v>
      </c>
      <c r="I7" s="30"/>
    </row>
    <row r="8" customFormat="false" ht="19.7" hidden="false" customHeight="false" outlineLevel="0" collapsed="false">
      <c r="A8" s="46"/>
      <c r="B8" s="51"/>
      <c r="C8" s="46"/>
      <c r="D8" s="51"/>
      <c r="E8" s="49"/>
      <c r="F8" s="50"/>
      <c r="G8" s="53"/>
      <c r="H8" s="53"/>
    </row>
    <row r="9" customFormat="false" ht="19.7" hidden="false" customHeight="false" outlineLevel="0" collapsed="false">
      <c r="A9" s="46" t="s">
        <v>172</v>
      </c>
      <c r="B9" s="51" t="s">
        <v>173</v>
      </c>
      <c r="C9" s="46"/>
      <c r="D9" s="51"/>
      <c r="E9" s="49" t="n">
        <v>50000</v>
      </c>
      <c r="F9" s="50" t="n">
        <f aca="false">E9/$E$50</f>
        <v>0.008</v>
      </c>
      <c r="G9" s="53" t="n">
        <f aca="false">-$E$46*E9/$E$42</f>
        <v>-3517.78010100034</v>
      </c>
      <c r="H9" s="53" t="n">
        <f aca="false">E9+G9</f>
        <v>46482.2198989997</v>
      </c>
    </row>
    <row r="10" customFormat="false" ht="19.7" hidden="false" customHeight="false" outlineLevel="0" collapsed="false">
      <c r="A10" s="46"/>
      <c r="B10" s="51"/>
      <c r="C10" s="54"/>
      <c r="D10" s="51"/>
      <c r="E10" s="49"/>
      <c r="F10" s="50"/>
      <c r="G10" s="53"/>
      <c r="H10" s="53"/>
    </row>
    <row r="11" customFormat="false" ht="19.7" hidden="false" customHeight="false" outlineLevel="0" collapsed="false">
      <c r="A11" s="46" t="s">
        <v>174</v>
      </c>
      <c r="B11" s="51" t="s">
        <v>175</v>
      </c>
      <c r="C11" s="54" t="n">
        <v>1585</v>
      </c>
      <c r="D11" s="55" t="n">
        <v>350</v>
      </c>
      <c r="E11" s="49" t="n">
        <f aca="false">D11*C11</f>
        <v>554750</v>
      </c>
      <c r="F11" s="50" t="n">
        <f aca="false">E11/$E$50</f>
        <v>0.08876</v>
      </c>
      <c r="G11" s="53" t="n">
        <f aca="false">-$E$46*E11/$E$42</f>
        <v>-39029.7702205988</v>
      </c>
      <c r="H11" s="53" t="n">
        <f aca="false">E11+G11</f>
        <v>515720.229779401</v>
      </c>
    </row>
    <row r="12" customFormat="false" ht="19.7" hidden="false" customHeight="false" outlineLevel="0" collapsed="false">
      <c r="A12" s="46"/>
      <c r="B12" s="51"/>
      <c r="C12" s="54"/>
      <c r="D12" s="51"/>
      <c r="E12" s="49"/>
      <c r="F12" s="50"/>
      <c r="G12" s="53"/>
      <c r="H12" s="53"/>
    </row>
    <row r="13" customFormat="false" ht="19.7" hidden="false" customHeight="false" outlineLevel="0" collapsed="false">
      <c r="A13" s="46" t="s">
        <v>176</v>
      </c>
      <c r="B13" s="51" t="s">
        <v>177</v>
      </c>
      <c r="C13" s="54" t="n">
        <f aca="false">C11</f>
        <v>1585</v>
      </c>
      <c r="D13" s="55" t="n">
        <v>400</v>
      </c>
      <c r="E13" s="49" t="n">
        <f aca="false">D13*C13</f>
        <v>634000</v>
      </c>
      <c r="F13" s="50" t="n">
        <f aca="false">E13/$E$50</f>
        <v>0.10144</v>
      </c>
      <c r="G13" s="53" t="n">
        <f aca="false">-$E$46*E13/$E$42</f>
        <v>-44605.4516806843</v>
      </c>
      <c r="H13" s="53" t="n">
        <f aca="false">E13+G13</f>
        <v>589394.548319316</v>
      </c>
    </row>
    <row r="14" customFormat="false" ht="19.7" hidden="false" customHeight="false" outlineLevel="0" collapsed="false">
      <c r="A14" s="46"/>
      <c r="B14" s="51"/>
      <c r="C14" s="54"/>
      <c r="D14" s="51"/>
      <c r="E14" s="49"/>
      <c r="F14" s="50"/>
      <c r="G14" s="53"/>
      <c r="H14" s="53"/>
    </row>
    <row r="15" customFormat="false" ht="19.7" hidden="false" customHeight="false" outlineLevel="0" collapsed="false">
      <c r="A15" s="46" t="s">
        <v>178</v>
      </c>
      <c r="B15" s="51" t="s">
        <v>179</v>
      </c>
      <c r="C15" s="54" t="n">
        <f aca="false">C11-1135</f>
        <v>450</v>
      </c>
      <c r="D15" s="55" t="n">
        <v>500</v>
      </c>
      <c r="E15" s="49" t="n">
        <f aca="false">D15*C15</f>
        <v>225000</v>
      </c>
      <c r="F15" s="50" t="n">
        <f aca="false">E15/$E$50</f>
        <v>0.036</v>
      </c>
      <c r="G15" s="53" t="n">
        <f aca="false">-$E$46*E15/$E$42</f>
        <v>-15830.0104545015</v>
      </c>
      <c r="H15" s="53" t="n">
        <f aca="false">E15+G15</f>
        <v>209169.989545498</v>
      </c>
    </row>
    <row r="16" customFormat="false" ht="19.7" hidden="false" customHeight="false" outlineLevel="0" collapsed="false">
      <c r="A16" s="46"/>
      <c r="B16" s="51"/>
      <c r="C16" s="54"/>
      <c r="D16" s="51"/>
      <c r="E16" s="49"/>
      <c r="F16" s="50"/>
      <c r="G16" s="53"/>
      <c r="H16" s="53"/>
    </row>
    <row r="17" customFormat="false" ht="19.7" hidden="false" customHeight="false" outlineLevel="0" collapsed="false">
      <c r="A17" s="46" t="s">
        <v>180</v>
      </c>
      <c r="B17" s="51" t="s">
        <v>181</v>
      </c>
      <c r="C17" s="54" t="n">
        <f aca="false">C11-985</f>
        <v>600</v>
      </c>
      <c r="D17" s="55" t="n">
        <f aca="false">D15</f>
        <v>500</v>
      </c>
      <c r="E17" s="49" t="n">
        <f aca="false">D17*C17</f>
        <v>300000</v>
      </c>
      <c r="F17" s="50" t="n">
        <f aca="false">E17/$E$50</f>
        <v>0.048</v>
      </c>
      <c r="G17" s="53" t="n">
        <f aca="false">-$E$46*E17/$E$42</f>
        <v>-21106.680606002</v>
      </c>
      <c r="H17" s="53" t="n">
        <f aca="false">E17+G17</f>
        <v>278893.319393998</v>
      </c>
    </row>
    <row r="18" customFormat="false" ht="19.7" hidden="false" customHeight="false" outlineLevel="0" collapsed="false">
      <c r="A18" s="46"/>
      <c r="B18" s="51"/>
      <c r="C18" s="54"/>
      <c r="D18" s="51"/>
      <c r="E18" s="49"/>
      <c r="F18" s="50"/>
      <c r="G18" s="53"/>
      <c r="H18" s="53"/>
    </row>
    <row r="19" customFormat="false" ht="19.7" hidden="false" customHeight="false" outlineLevel="0" collapsed="false">
      <c r="A19" s="46" t="s">
        <v>182</v>
      </c>
      <c r="B19" s="51" t="s">
        <v>183</v>
      </c>
      <c r="C19" s="54" t="n">
        <f aca="false">C17</f>
        <v>600</v>
      </c>
      <c r="D19" s="55" t="n">
        <f aca="false">D17</f>
        <v>500</v>
      </c>
      <c r="E19" s="49" t="n">
        <f aca="false">D19*C19</f>
        <v>300000</v>
      </c>
      <c r="F19" s="50" t="n">
        <f aca="false">E19/$E$50</f>
        <v>0.048</v>
      </c>
      <c r="G19" s="53" t="n">
        <f aca="false">-$E$46*E19/$E$42</f>
        <v>-21106.680606002</v>
      </c>
      <c r="H19" s="53" t="n">
        <f aca="false">E19+G19</f>
        <v>278893.319393998</v>
      </c>
    </row>
    <row r="20" customFormat="false" ht="19.7" hidden="false" customHeight="false" outlineLevel="0" collapsed="false">
      <c r="A20" s="46"/>
      <c r="B20" s="51"/>
      <c r="C20" s="54"/>
      <c r="D20" s="51"/>
      <c r="E20" s="49"/>
      <c r="F20" s="50"/>
      <c r="G20" s="53"/>
      <c r="H20" s="53"/>
    </row>
    <row r="21" customFormat="false" ht="19.7" hidden="false" customHeight="false" outlineLevel="0" collapsed="false">
      <c r="A21" s="46" t="s">
        <v>184</v>
      </c>
      <c r="B21" s="51" t="s">
        <v>185</v>
      </c>
      <c r="C21" s="54" t="n">
        <f aca="false">C19</f>
        <v>600</v>
      </c>
      <c r="D21" s="55" t="n">
        <f aca="false">D19</f>
        <v>500</v>
      </c>
      <c r="E21" s="49" t="n">
        <f aca="false">D21*C21</f>
        <v>300000</v>
      </c>
      <c r="F21" s="50" t="n">
        <f aca="false">E21/$E$50</f>
        <v>0.048</v>
      </c>
      <c r="G21" s="53" t="n">
        <f aca="false">-$E$46*E21/$E$42</f>
        <v>-21106.680606002</v>
      </c>
      <c r="H21" s="53" t="n">
        <f aca="false">E21+G21</f>
        <v>278893.319393998</v>
      </c>
    </row>
    <row r="22" customFormat="false" ht="19.7" hidden="false" customHeight="false" outlineLevel="0" collapsed="false">
      <c r="A22" s="46"/>
      <c r="B22" s="51"/>
      <c r="C22" s="54"/>
      <c r="D22" s="51"/>
      <c r="E22" s="49"/>
      <c r="F22" s="50"/>
      <c r="G22" s="53"/>
      <c r="H22" s="53"/>
    </row>
    <row r="23" customFormat="false" ht="19.7" hidden="false" customHeight="false" outlineLevel="0" collapsed="false">
      <c r="A23" s="46" t="s">
        <v>186</v>
      </c>
      <c r="B23" s="51" t="s">
        <v>187</v>
      </c>
      <c r="C23" s="54" t="n">
        <f aca="false">C21</f>
        <v>600</v>
      </c>
      <c r="D23" s="55" t="n">
        <f aca="false">D21</f>
        <v>500</v>
      </c>
      <c r="E23" s="49" t="n">
        <f aca="false">D23*C23</f>
        <v>300000</v>
      </c>
      <c r="F23" s="50" t="n">
        <f aca="false">E23/$E$50</f>
        <v>0.048</v>
      </c>
      <c r="G23" s="53" t="n">
        <f aca="false">-$E$46*E23/$E$42</f>
        <v>-21106.680606002</v>
      </c>
      <c r="H23" s="53" t="n">
        <f aca="false">E23+G23</f>
        <v>278893.319393998</v>
      </c>
    </row>
    <row r="24" customFormat="false" ht="19.7" hidden="false" customHeight="false" outlineLevel="0" collapsed="false">
      <c r="A24" s="46"/>
      <c r="B24" s="51"/>
      <c r="C24" s="54"/>
      <c r="D24" s="51"/>
      <c r="E24" s="49"/>
      <c r="F24" s="50"/>
      <c r="G24" s="53"/>
      <c r="H24" s="53"/>
    </row>
    <row r="25" customFormat="false" ht="19.7" hidden="false" customHeight="false" outlineLevel="0" collapsed="false">
      <c r="A25" s="46" t="s">
        <v>188</v>
      </c>
      <c r="B25" s="51" t="s">
        <v>189</v>
      </c>
      <c r="C25" s="54" t="n">
        <f aca="false">C23</f>
        <v>600</v>
      </c>
      <c r="D25" s="55" t="n">
        <f aca="false">D23</f>
        <v>500</v>
      </c>
      <c r="E25" s="49" t="n">
        <f aca="false">D25*C25</f>
        <v>300000</v>
      </c>
      <c r="F25" s="50" t="n">
        <f aca="false">E25/$E$50</f>
        <v>0.048</v>
      </c>
      <c r="G25" s="53" t="n">
        <f aca="false">-$E$46*E25/$E$42</f>
        <v>-21106.680606002</v>
      </c>
      <c r="H25" s="53" t="n">
        <f aca="false">E25+G25</f>
        <v>278893.319393998</v>
      </c>
      <c r="I25" s="56"/>
      <c r="J25" s="56"/>
    </row>
    <row r="26" customFormat="false" ht="19.7" hidden="false" customHeight="false" outlineLevel="0" collapsed="false">
      <c r="A26" s="46"/>
      <c r="B26" s="51"/>
      <c r="C26" s="46"/>
      <c r="D26" s="51"/>
      <c r="E26" s="49"/>
      <c r="F26" s="50"/>
      <c r="G26" s="53"/>
      <c r="H26" s="53"/>
    </row>
    <row r="27" customFormat="false" ht="19.7" hidden="false" customHeight="false" outlineLevel="0" collapsed="false">
      <c r="A27" s="57" t="s">
        <v>190</v>
      </c>
      <c r="B27" s="58" t="s">
        <v>191</v>
      </c>
      <c r="C27" s="57"/>
      <c r="D27" s="59"/>
      <c r="E27" s="60" t="n">
        <v>134515.220048678</v>
      </c>
      <c r="F27" s="50" t="n">
        <f aca="false">E27/$E$50</f>
        <v>0.0215224352077884</v>
      </c>
      <c r="G27" s="53" t="n">
        <f aca="false">-$E$46*E27/$E$42</f>
        <v>-9463.89928737841</v>
      </c>
      <c r="H27" s="53" t="n">
        <f aca="false">E27+G27</f>
        <v>125051.320761299</v>
      </c>
      <c r="I27" s="61"/>
    </row>
    <row r="28" customFormat="false" ht="19.7" hidden="false" customHeight="false" outlineLevel="0" collapsed="false">
      <c r="A28" s="62"/>
      <c r="B28" s="63"/>
      <c r="C28" s="62"/>
      <c r="D28" s="58"/>
      <c r="E28" s="49"/>
      <c r="F28" s="50"/>
      <c r="G28" s="53"/>
      <c r="H28" s="53"/>
    </row>
    <row r="29" customFormat="false" ht="19.7" hidden="false" customHeight="false" outlineLevel="0" collapsed="false">
      <c r="A29" s="57" t="s">
        <v>192</v>
      </c>
      <c r="B29" s="58" t="s">
        <v>193</v>
      </c>
      <c r="C29" s="57"/>
      <c r="D29" s="59"/>
      <c r="E29" s="60" t="n">
        <f aca="false">659925+125000</f>
        <v>784925</v>
      </c>
      <c r="F29" s="50" t="n">
        <f aca="false">E29/$E$50</f>
        <v>0.125588</v>
      </c>
      <c r="G29" s="53" t="n">
        <f aca="false">-$E$46*E29/$E$42</f>
        <v>-55223.8709155539</v>
      </c>
      <c r="H29" s="53" t="n">
        <f aca="false">E29+G29</f>
        <v>729701.129084446</v>
      </c>
      <c r="I29" s="61"/>
    </row>
    <row r="30" customFormat="false" ht="19.7" hidden="false" customHeight="false" outlineLevel="0" collapsed="false">
      <c r="A30" s="62"/>
      <c r="B30" s="64"/>
      <c r="C30" s="65"/>
      <c r="D30" s="63"/>
      <c r="E30" s="49"/>
      <c r="F30" s="50"/>
      <c r="G30" s="53"/>
      <c r="H30" s="53"/>
    </row>
    <row r="31" customFormat="false" ht="19.7" hidden="false" customHeight="false" outlineLevel="0" collapsed="false">
      <c r="A31" s="57" t="s">
        <v>194</v>
      </c>
      <c r="B31" s="66" t="s">
        <v>195</v>
      </c>
      <c r="C31" s="57"/>
      <c r="D31" s="59"/>
      <c r="E31" s="60" t="n">
        <f aca="false">1026550+50000</f>
        <v>1076550</v>
      </c>
      <c r="F31" s="50" t="n">
        <f aca="false">E31/$E$50</f>
        <v>0.172248</v>
      </c>
      <c r="G31" s="53" t="n">
        <f aca="false">-$E$46*E31/$E$42</f>
        <v>-75741.3233546383</v>
      </c>
      <c r="H31" s="53" t="n">
        <f aca="false">E31+G31</f>
        <v>1000808.67664536</v>
      </c>
      <c r="I31" s="61"/>
    </row>
    <row r="32" customFormat="false" ht="19.7" hidden="false" customHeight="false" outlineLevel="0" collapsed="false">
      <c r="A32" s="62"/>
      <c r="B32" s="67"/>
      <c r="C32" s="62"/>
      <c r="D32" s="58"/>
      <c r="E32" s="49"/>
      <c r="F32" s="50"/>
      <c r="G32" s="53"/>
      <c r="H32" s="53"/>
    </row>
    <row r="33" customFormat="false" ht="19.7" hidden="false" customHeight="false" outlineLevel="0" collapsed="false">
      <c r="A33" s="57" t="s">
        <v>196</v>
      </c>
      <c r="B33" s="66" t="s">
        <v>197</v>
      </c>
      <c r="C33" s="57"/>
      <c r="D33" s="59"/>
      <c r="E33" s="60" t="n">
        <f aca="false">606968.250712613+50000</f>
        <v>656968.250712613</v>
      </c>
      <c r="F33" s="50" t="n">
        <f aca="false">E33/$E$50</f>
        <v>0.105114920114018</v>
      </c>
      <c r="G33" s="53" t="n">
        <f aca="false">-$E$46*E33/$E$42</f>
        <v>-46221.3967869167</v>
      </c>
      <c r="H33" s="53" t="n">
        <f aca="false">E33+G33</f>
        <v>610746.853925696</v>
      </c>
      <c r="I33" s="61"/>
    </row>
    <row r="34" customFormat="false" ht="19.7" hidden="false" customHeight="false" outlineLevel="0" collapsed="false">
      <c r="A34" s="46"/>
      <c r="B34" s="68"/>
      <c r="C34" s="46"/>
      <c r="D34" s="58"/>
      <c r="E34" s="49"/>
      <c r="F34" s="50"/>
      <c r="G34" s="53"/>
      <c r="H34" s="53"/>
    </row>
    <row r="35" customFormat="false" ht="19.7" hidden="false" customHeight="false" outlineLevel="0" collapsed="false">
      <c r="A35" s="46" t="s">
        <v>198</v>
      </c>
      <c r="B35" s="68" t="s">
        <v>199</v>
      </c>
      <c r="C35" s="46"/>
      <c r="D35" s="51"/>
      <c r="E35" s="60" t="n">
        <v>47193.435525027</v>
      </c>
      <c r="F35" s="50" t="n">
        <f aca="false">E35/$E$50</f>
        <v>0.00755094968400432</v>
      </c>
      <c r="G35" s="53" t="n">
        <f aca="false">-$E$46*E35/$E$42</f>
        <v>-3320.32256775565</v>
      </c>
      <c r="H35" s="53" t="n">
        <f aca="false">E35+G35</f>
        <v>43873.1129572714</v>
      </c>
      <c r="I35" s="61"/>
    </row>
    <row r="36" customFormat="false" ht="19.7" hidden="false" customHeight="false" outlineLevel="0" collapsed="false">
      <c r="A36" s="46"/>
      <c r="B36" s="69"/>
      <c r="C36" s="70"/>
      <c r="D36" s="51"/>
      <c r="E36" s="49"/>
      <c r="F36" s="50"/>
      <c r="G36" s="53"/>
      <c r="H36" s="53"/>
    </row>
    <row r="37" customFormat="false" ht="19.7" hidden="false" customHeight="false" outlineLevel="0" collapsed="false">
      <c r="A37" s="46" t="s">
        <v>200</v>
      </c>
      <c r="B37" s="51" t="s">
        <v>201</v>
      </c>
      <c r="C37" s="46"/>
      <c r="D37" s="51"/>
      <c r="E37" s="60" t="n">
        <v>194211.360007233</v>
      </c>
      <c r="F37" s="50" t="n">
        <f aca="false">E37/$E$50</f>
        <v>0.0310738176011572</v>
      </c>
      <c r="G37" s="53" t="n">
        <f aca="false">-$E$46*E37/$E$42</f>
        <v>-13663.8571524331</v>
      </c>
      <c r="H37" s="53" t="n">
        <f aca="false">E37+G37</f>
        <v>180547.502854799</v>
      </c>
      <c r="I37" s="71"/>
      <c r="J37" s="30"/>
    </row>
    <row r="38" customFormat="false" ht="19.7" hidden="false" customHeight="false" outlineLevel="0" collapsed="false">
      <c r="A38" s="46"/>
      <c r="B38" s="51"/>
      <c r="C38" s="46"/>
      <c r="D38" s="51"/>
      <c r="E38" s="60"/>
      <c r="F38" s="50"/>
      <c r="G38" s="53"/>
      <c r="H38" s="53"/>
      <c r="I38" s="61"/>
    </row>
    <row r="39" customFormat="false" ht="19.7" hidden="false" customHeight="false" outlineLevel="0" collapsed="false">
      <c r="A39" s="46" t="s">
        <v>202</v>
      </c>
      <c r="B39" s="51" t="s">
        <v>203</v>
      </c>
      <c r="C39" s="46"/>
      <c r="D39" s="51"/>
      <c r="E39" s="60" t="n">
        <f aca="false">623262.5-175000</f>
        <v>448262.5</v>
      </c>
      <c r="F39" s="50" t="n">
        <f aca="false">E39/$E$50</f>
        <v>0.071722</v>
      </c>
      <c r="G39" s="53" t="n">
        <f aca="false">-$E$46*E39/$E$42</f>
        <v>-31537.7780504933</v>
      </c>
      <c r="H39" s="53" t="n">
        <f aca="false">E39+G39</f>
        <v>416724.721949507</v>
      </c>
      <c r="I39" s="61"/>
    </row>
    <row r="40" customFormat="false" ht="19.7" hidden="false" customHeight="false" outlineLevel="0" collapsed="false">
      <c r="A40" s="72"/>
      <c r="B40" s="73"/>
      <c r="C40" s="72"/>
      <c r="D40" s="73"/>
      <c r="E40" s="74"/>
      <c r="F40" s="50"/>
      <c r="G40" s="75"/>
      <c r="H40" s="75"/>
    </row>
    <row r="41" customFormat="false" ht="19.7" hidden="false" customHeight="false" outlineLevel="0" collapsed="false">
      <c r="A41" s="76"/>
      <c r="B41" s="77"/>
      <c r="C41" s="78" t="n">
        <f aca="false">SUM(C13:C40)</f>
        <v>5035</v>
      </c>
      <c r="D41" s="76"/>
      <c r="E41" s="79"/>
      <c r="F41" s="50"/>
      <c r="G41" s="80"/>
      <c r="H41" s="80"/>
    </row>
    <row r="42" customFormat="false" ht="19.7" hidden="false" customHeight="false" outlineLevel="0" collapsed="false">
      <c r="A42" s="70"/>
      <c r="B42" s="81" t="s">
        <v>204</v>
      </c>
      <c r="C42" s="82"/>
      <c r="D42" s="83" t="s">
        <v>205</v>
      </c>
      <c r="E42" s="84" t="n">
        <f aca="false">SUM(E6:E40)</f>
        <v>6723000.76629355</v>
      </c>
      <c r="F42" s="85" t="n">
        <f aca="false">SUM(F6:F40)</f>
        <v>1.07568012260697</v>
      </c>
      <c r="G42" s="86" t="n">
        <f aca="false">SUM(G6:G40)</f>
        <v>-473000.76629355</v>
      </c>
      <c r="H42" s="86" t="n">
        <f aca="false">SUM(H6:H40)</f>
        <v>6250000</v>
      </c>
    </row>
    <row r="43" customFormat="false" ht="19.7" hidden="false" customHeight="false" outlineLevel="0" collapsed="false">
      <c r="A43" s="51"/>
      <c r="B43" s="51"/>
      <c r="C43" s="87" t="n">
        <v>1315.73525718391</v>
      </c>
      <c r="D43" s="46"/>
      <c r="E43" s="49"/>
      <c r="F43" s="50"/>
      <c r="G43" s="49"/>
      <c r="H43" s="53"/>
    </row>
    <row r="44" customFormat="false" ht="19.7" hidden="false" customHeight="false" outlineLevel="0" collapsed="false">
      <c r="A44" s="51"/>
      <c r="B44" s="51" t="s">
        <v>206</v>
      </c>
      <c r="C44" s="88" t="n">
        <f aca="false">C41*C43</f>
        <v>6624727.01992098</v>
      </c>
      <c r="D44" s="89"/>
      <c r="E44" s="49"/>
      <c r="F44" s="50"/>
      <c r="G44" s="49"/>
      <c r="H44" s="53"/>
    </row>
    <row r="45" customFormat="false" ht="19.7" hidden="false" customHeight="false" outlineLevel="0" collapsed="false">
      <c r="A45" s="51"/>
      <c r="B45" s="51"/>
      <c r="C45" s="88"/>
      <c r="D45" s="89"/>
      <c r="E45" s="49"/>
      <c r="F45" s="50"/>
      <c r="G45" s="49"/>
      <c r="H45" s="53"/>
    </row>
    <row r="46" customFormat="false" ht="19.7" hidden="false" customHeight="false" outlineLevel="0" collapsed="false">
      <c r="A46" s="63"/>
      <c r="B46" s="90" t="s">
        <v>207</v>
      </c>
      <c r="C46" s="91"/>
      <c r="D46" s="92"/>
      <c r="E46" s="93" t="n">
        <v>473000.76629355</v>
      </c>
      <c r="F46" s="50" t="n">
        <f aca="false">-E46/$E$50</f>
        <v>-0.075680122606968</v>
      </c>
      <c r="G46" s="93"/>
      <c r="H46" s="94" t="n">
        <f aca="false">E46+G42</f>
        <v>0</v>
      </c>
    </row>
    <row r="47" customFormat="false" ht="19.7" hidden="false" customHeight="false" outlineLevel="0" collapsed="false">
      <c r="A47" s="51"/>
      <c r="B47" s="51"/>
      <c r="C47" s="46"/>
      <c r="D47" s="46"/>
      <c r="E47" s="49"/>
      <c r="F47" s="50"/>
      <c r="G47" s="49"/>
      <c r="H47" s="53"/>
    </row>
    <row r="48" customFormat="false" ht="19.7" hidden="false" customHeight="false" outlineLevel="0" collapsed="false">
      <c r="A48" s="77"/>
      <c r="B48" s="77"/>
      <c r="C48" s="76"/>
      <c r="D48" s="76"/>
      <c r="E48" s="79"/>
      <c r="F48" s="50"/>
      <c r="G48" s="79"/>
      <c r="H48" s="80"/>
    </row>
    <row r="49" customFormat="false" ht="19.7" hidden="false" customHeight="false" outlineLevel="0" collapsed="false">
      <c r="A49" s="46"/>
      <c r="B49" s="51"/>
      <c r="C49" s="46"/>
      <c r="D49" s="46"/>
      <c r="E49" s="95"/>
      <c r="F49" s="50"/>
      <c r="G49" s="95"/>
      <c r="H49" s="96"/>
    </row>
    <row r="50" customFormat="false" ht="22.05" hidden="false" customHeight="false" outlineLevel="0" collapsed="false">
      <c r="A50" s="97"/>
      <c r="B50" s="98" t="s">
        <v>208</v>
      </c>
      <c r="C50" s="98"/>
      <c r="D50" s="99" t="s">
        <v>205</v>
      </c>
      <c r="E50" s="100" t="n">
        <f aca="false">E42-E46</f>
        <v>6250000</v>
      </c>
      <c r="F50" s="101" t="n">
        <f aca="false">F42+F46</f>
        <v>1</v>
      </c>
      <c r="G50" s="100"/>
      <c r="H50" s="102" t="n">
        <f aca="false">H42-H46</f>
        <v>6250000</v>
      </c>
    </row>
    <row r="51" customFormat="false" ht="19.7" hidden="false" customHeight="false" outlineLevel="0" collapsed="false">
      <c r="A51" s="103"/>
      <c r="B51" s="104"/>
      <c r="C51" s="103"/>
      <c r="D51" s="103"/>
      <c r="E51" s="105"/>
      <c r="F51" s="106"/>
      <c r="H51" s="107"/>
    </row>
    <row r="52" customFormat="false" ht="22.05" hidden="false" customHeight="false" outlineLevel="0" collapsed="false">
      <c r="A52" s="46"/>
      <c r="B52" s="108" t="s">
        <v>209</v>
      </c>
      <c r="C52" s="108"/>
      <c r="D52" s="108"/>
      <c r="E52" s="60" t="n">
        <f aca="false">E50/C41</f>
        <v>1241.31082423039</v>
      </c>
      <c r="F52" s="109"/>
      <c r="H52" s="110" t="n">
        <f aca="false">H50/C41</f>
        <v>1241.31082423039</v>
      </c>
    </row>
    <row r="53" customFormat="false" ht="19.7" hidden="false" customHeight="false" outlineLevel="0" collapsed="false">
      <c r="A53" s="46"/>
      <c r="B53" s="51"/>
      <c r="C53" s="46"/>
      <c r="D53" s="46"/>
      <c r="E53" s="60"/>
      <c r="F53" s="109"/>
      <c r="H53" s="60"/>
    </row>
    <row r="54" customFormat="false" ht="19.7" hidden="false" customHeight="false" outlineLevel="0" collapsed="false">
      <c r="A54" s="46"/>
      <c r="B54" s="51" t="s">
        <v>210</v>
      </c>
      <c r="C54" s="46"/>
      <c r="D54" s="46"/>
      <c r="E54" s="111"/>
      <c r="F54" s="112"/>
      <c r="H54" s="111"/>
    </row>
    <row r="55" customFormat="false" ht="19.7" hidden="false" customHeight="false" outlineLevel="0" collapsed="false">
      <c r="A55" s="46"/>
      <c r="B55" s="51"/>
      <c r="C55" s="46"/>
      <c r="D55" s="46"/>
      <c r="E55" s="113"/>
      <c r="F55" s="112"/>
      <c r="H55" s="113"/>
    </row>
    <row r="56" customFormat="false" ht="19.7" hidden="false" customHeight="false" outlineLevel="0" collapsed="false">
      <c r="A56" s="46"/>
      <c r="B56" s="51"/>
      <c r="C56" s="46"/>
      <c r="D56" s="46"/>
      <c r="E56" s="113"/>
      <c r="F56" s="112"/>
      <c r="H56" s="113"/>
    </row>
    <row r="57" customFormat="false" ht="19.7" hidden="false" customHeight="false" outlineLevel="0" collapsed="false">
      <c r="A57" s="46"/>
      <c r="B57" s="51" t="s">
        <v>211</v>
      </c>
      <c r="C57" s="46"/>
      <c r="D57" s="114"/>
      <c r="E57" s="113"/>
      <c r="F57" s="112"/>
      <c r="H57" s="113"/>
    </row>
    <row r="58" customFormat="false" ht="19.7" hidden="false" customHeight="false" outlineLevel="0" collapsed="false">
      <c r="A58" s="46"/>
      <c r="B58" s="51"/>
      <c r="C58" s="46"/>
      <c r="D58" s="46"/>
      <c r="E58" s="113"/>
      <c r="F58" s="112"/>
      <c r="H58" s="113"/>
    </row>
    <row r="59" customFormat="false" ht="19.7" hidden="false" customHeight="false" outlineLevel="0" collapsed="false">
      <c r="A59" s="115"/>
      <c r="B59" s="116"/>
      <c r="C59" s="115"/>
      <c r="D59" s="115"/>
      <c r="E59" s="117"/>
      <c r="F59" s="37"/>
      <c r="H59" s="117"/>
    </row>
    <row r="60" customFormat="false" ht="15" hidden="false" customHeight="false" outlineLevel="0" collapsed="false">
      <c r="A60" s="69"/>
      <c r="B60" s="69"/>
      <c r="C60" s="118"/>
      <c r="D60" s="69"/>
      <c r="E60" s="36"/>
      <c r="F60" s="37"/>
      <c r="H60" s="3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2026-10-07T10:27:37Z</dcterms:created>
  <dc:creator>openpyxl</dc:creator>
  <dc:description/>
  <dc:language>en-US</dc:language>
  <cp:lastModifiedBy/>
  <dcterms:modified xsi:type="dcterms:W3CDTF">2026-10-07T10:27:37Z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