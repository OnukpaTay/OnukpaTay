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ver Page ." sheetId="1" state="visible" r:id="rId1"/>
    <sheet xmlns:r="http://schemas.openxmlformats.org/officeDocument/2006/relationships" name="CASHFLOW SUMMARY" sheetId="2" state="visible" r:id="rId2"/>
    <sheet xmlns:r="http://schemas.openxmlformats.org/officeDocument/2006/relationships" name="CASHFLOW SUMMARY CHART" sheetId="3" state="visible" r:id="rId3"/>
    <sheet xmlns:r="http://schemas.openxmlformats.org/officeDocument/2006/relationships" name=" CASHFLOW" sheetId="4" state="visible" r:id="rId4"/>
    <sheet xmlns:r="http://schemas.openxmlformats.org/officeDocument/2006/relationships" name="GEN SUMMARY." sheetId="5" state="visible" r:id="rId5"/>
  </sheets>
  <definedNames>
    <definedName name="_xlnm.Print_Area" localSheetId="0">'Cover Page .'!$A$1:$F$23</definedName>
    <definedName name="_xlnm.Print_Area" localSheetId="1">'CASHFLOW SUMMARY'!$A$15:$D$44</definedName>
    <definedName name="_xlnm.Print_Area" localSheetId="3">' CASHFLOW'!$A$1:$AF$123</definedName>
    <definedName name="_xlnm.Print_Area" localSheetId="4">'GEN SUMMARY.'!$A$1:$F$59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[$$-409]* #,##0.00_ ;_-[$$-409]* \-#,##0.00\ ;_-[$$-409]* &quot;-&quot;??_ ;_-@_ "/>
    <numFmt numFmtId="165" formatCode="_-&quot;GH₵&quot;* #,##0.00_-;\-&quot;GH₵&quot;* #,##0.00_-;_-&quot;GH₵&quot;* &quot;-&quot;??_-;_-@_-"/>
    <numFmt numFmtId="166" formatCode="_-* #,##0.00_-;\-* #,##0.00_-;_-* &quot;-&quot;??_-;_-@_-"/>
    <numFmt numFmtId="167" formatCode="_-* #,##0.00\ [$CHF-100C]_-;\-* #,##0.00\ [$CHF-100C]_-;_-* &quot;-&quot;??\ [$CHF-100C]_-;_-@_-"/>
    <numFmt numFmtId="168" formatCode="_([$$-409]* #,##0.00_);_([$$-409]* \(#,##0.00\);_([$$-409]* &quot;-&quot;??_);_(@_)"/>
    <numFmt numFmtId="169" formatCode="yyyy-mm-dd"/>
    <numFmt numFmtId="170" formatCode="dd mmmm yyyy"/>
    <numFmt numFmtId="171" formatCode="mmmm, yyyy"/>
  </numFmts>
  <fonts count="73">
    <font>
      <name val="Arial Narrow"/>
      <family val="2"/>
      <color theme="1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Swis721 Cn BT"/>
      <sz val="10"/>
    </font>
    <font>
      <name val="Swis721 Cn BT"/>
      <sz val="28"/>
    </font>
    <font>
      <name val="Swis721 Cn BT"/>
      <sz val="36"/>
    </font>
    <font>
      <name val="Swis721 Cn BT"/>
      <color theme="1"/>
      <sz val="10"/>
    </font>
    <font>
      <name val="Swis721 Cn BT"/>
      <b val="1"/>
      <color rgb="FF323E4F"/>
      <sz val="72"/>
    </font>
    <font>
      <name val="Swis721 Cn BT"/>
      <b val="1"/>
      <color rgb="FF323E4F"/>
      <sz val="28"/>
    </font>
    <font>
      <name val="Swis721 Cn BT"/>
      <color theme="1"/>
      <sz val="14"/>
    </font>
    <font>
      <name val="Swis721 Cn BT"/>
      <sz val="16"/>
    </font>
    <font>
      <name val="Swis721 Cn BT"/>
      <color theme="1"/>
      <sz val="16"/>
    </font>
    <font>
      <name val="Swis721 Cn BT"/>
      <sz val="14"/>
    </font>
    <font>
      <name val="Swis721 Cn BT"/>
      <color rgb="FF767171"/>
      <sz val="17"/>
    </font>
    <font>
      <name val="Swis721 Cn BT"/>
      <color rgb="FFED7D31"/>
      <sz val="17"/>
    </font>
    <font>
      <name val="Arial Narrow"/>
      <family val="2"/>
      <b val="1"/>
      <color theme="1"/>
      <sz val="26"/>
    </font>
    <font>
      <name val="Arial Narrow"/>
      <family val="2"/>
      <color theme="1"/>
      <sz val="12"/>
    </font>
    <font>
      <name val="Arial Narrow"/>
      <family val="2"/>
      <color theme="1"/>
      <sz val="28"/>
    </font>
    <font>
      <name val="Arial Narrow"/>
      <family val="2"/>
      <b val="1"/>
      <color theme="1"/>
      <sz val="22"/>
    </font>
    <font>
      <name val="Arial Narrow"/>
      <family val="2"/>
      <color theme="1"/>
      <sz val="24"/>
    </font>
    <font>
      <name val="Arial Narrow"/>
      <family val="2"/>
      <b val="1"/>
      <color theme="1"/>
      <sz val="28"/>
    </font>
    <font>
      <name val="Arial Narrow"/>
      <family val="2"/>
      <color theme="1"/>
      <sz val="22"/>
    </font>
    <font>
      <name val="Arial Narrow"/>
      <family val="2"/>
      <b val="1"/>
      <color theme="1"/>
      <sz val="24"/>
    </font>
    <font>
      <name val="Arial Narrow"/>
      <family val="2"/>
      <color theme="1"/>
      <sz val="11"/>
    </font>
    <font>
      <name val="Arial Narrow"/>
      <family val="2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color theme="1"/>
      <sz val="26"/>
    </font>
    <font>
      <name val="Times New Roman"/>
      <family val="1"/>
      <color theme="1"/>
      <sz val="18"/>
    </font>
    <font>
      <name val="Times New Roman"/>
      <family val="1"/>
      <b val="1"/>
      <color rgb="FF0070C0"/>
      <sz val="22"/>
    </font>
    <font>
      <name val="Times New Roman"/>
      <family val="1"/>
      <b val="1"/>
      <color theme="7" tint="-0.249977111117893"/>
      <sz val="16"/>
    </font>
    <font>
      <name val="Times New Roman"/>
      <family val="1"/>
      <b val="1"/>
      <color rgb="FFC00000"/>
      <sz val="16"/>
    </font>
    <font>
      <name val="Times New Roman"/>
      <family val="1"/>
      <b val="1"/>
      <color rgb="FF0070C0"/>
      <sz val="16"/>
    </font>
    <font>
      <name val="Times New Roman"/>
      <family val="1"/>
      <color theme="1"/>
      <sz val="11"/>
    </font>
    <font>
      <name val="Times New Roman"/>
      <family val="1"/>
      <sz val="22"/>
    </font>
    <font>
      <name val="Times New Roman"/>
      <family val="1"/>
      <b val="1"/>
      <sz val="16"/>
    </font>
    <font>
      <name val="Times New Roman"/>
      <family val="1"/>
      <color theme="1"/>
      <sz val="16"/>
    </font>
    <font>
      <name val="Times New Roman"/>
      <family val="1"/>
      <b val="1"/>
      <sz val="22"/>
    </font>
    <font>
      <name val="Times New Roman"/>
      <family val="1"/>
      <b val="1"/>
      <color theme="9" tint="-0.249977111117893"/>
      <sz val="18"/>
    </font>
    <font>
      <name val="Times New Roman"/>
      <family val="1"/>
      <b val="1"/>
      <color theme="9" tint="-0.249977111117893"/>
      <sz val="22"/>
    </font>
    <font>
      <name val="Times New Roman"/>
      <family val="1"/>
      <sz val="16"/>
    </font>
    <font>
      <name val="Times New Roman"/>
      <family val="1"/>
      <b val="1"/>
      <color theme="1"/>
      <sz val="11"/>
    </font>
    <font>
      <name val="Times New Roman"/>
      <family val="1"/>
      <color theme="4"/>
      <sz val="18"/>
    </font>
    <font>
      <name val="Times New Roman"/>
      <family val="1"/>
      <color theme="4"/>
      <sz val="22"/>
    </font>
    <font>
      <name val="Times New Roman"/>
      <family val="1"/>
      <b val="1"/>
      <color rgb="FF002060"/>
      <sz val="26"/>
    </font>
    <font>
      <name val="Times New Roman"/>
      <family val="1"/>
      <b val="1"/>
      <color rgb="FF002060"/>
      <sz val="16"/>
    </font>
    <font>
      <name val="Times New Roman"/>
      <family val="1"/>
      <b val="1"/>
      <i val="1"/>
      <color theme="9" tint="-0.249977111117893"/>
      <sz val="18"/>
    </font>
    <font>
      <name val="Times New Roman"/>
      <family val="1"/>
      <i val="1"/>
      <color theme="1"/>
      <sz val="16"/>
    </font>
    <font>
      <name val="Times New Roman"/>
      <family val="1"/>
      <i val="1"/>
      <color indexed="2"/>
      <sz val="16"/>
    </font>
    <font>
      <name val="Times New Roman"/>
      <family val="1"/>
      <b val="1"/>
      <color indexed="2"/>
      <sz val="16"/>
    </font>
    <font>
      <name val="Times New Roman"/>
      <family val="1"/>
      <b val="1"/>
      <i val="1"/>
      <color theme="1"/>
      <sz val="18"/>
    </font>
    <font>
      <name val="Times New Roman"/>
      <family val="1"/>
      <b val="1"/>
      <i val="1"/>
      <color theme="1"/>
      <sz val="16"/>
    </font>
    <font>
      <name val="Times New Roman"/>
      <family val="1"/>
      <b val="1"/>
      <color rgb="FF002060"/>
      <sz val="18"/>
    </font>
    <font>
      <name val="Times New Roman"/>
      <family val="1"/>
      <b val="1"/>
      <color rgb="FF002060"/>
      <sz val="22"/>
    </font>
    <font>
      <name val="Times New Roman"/>
      <family val="1"/>
      <color theme="1"/>
      <sz val="22"/>
    </font>
    <font>
      <name val="Times New Roman"/>
      <family val="1"/>
      <b val="1"/>
      <sz val="18"/>
    </font>
    <font>
      <name val="Times New Roman"/>
      <family val="1"/>
      <i val="1"/>
      <color theme="0" tint="-0.3499862666707358"/>
      <sz val="18"/>
    </font>
    <font>
      <name val="Times New Roman"/>
      <family val="1"/>
      <i val="1"/>
      <color theme="0" tint="-0.3499862666707358"/>
      <sz val="16"/>
    </font>
    <font>
      <name val="Times New Roman"/>
      <family val="1"/>
      <color theme="1"/>
      <sz val="12"/>
    </font>
    <font>
      <name val="Times New Roman"/>
      <family val="1"/>
      <color theme="1"/>
      <sz val="24"/>
    </font>
    <font>
      <name val="Times New Roman"/>
      <family val="1"/>
      <i val="1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4"/>
    </font>
    <font>
      <name val="Calibri"/>
      <family val="2"/>
      <b val="1"/>
      <color theme="1"/>
      <sz val="11"/>
    </font>
    <font>
      <name val="Calibri"/>
      <family val="2"/>
      <b val="1"/>
      <color theme="1"/>
      <sz val="14"/>
      <u val="single"/>
    </font>
    <font>
      <name val="Calibri"/>
      <family val="2"/>
      <color theme="1"/>
      <sz val="14"/>
      <u val="single"/>
    </font>
    <font>
      <name val="Calibri"/>
      <family val="2"/>
      <b val="1"/>
      <color theme="4"/>
      <sz val="14"/>
    </font>
    <font>
      <name val="Calibri"/>
      <family val="2"/>
      <i val="1"/>
      <color theme="1" tint="0.499984740745262"/>
      <sz val="11"/>
    </font>
    <font>
      <name val="Calibri"/>
      <family val="2"/>
      <b val="1"/>
      <i val="1"/>
      <color theme="1" tint="0.499984740745262"/>
      <sz val="14"/>
    </font>
    <font>
      <name val="Calibri"/>
      <family val="2"/>
      <b val="1"/>
      <i val="1"/>
      <color theme="1" tint="0.499984740745262"/>
      <sz val="11"/>
    </font>
    <font>
      <name val="Calibri"/>
      <family val="2"/>
      <b val="1"/>
      <color theme="1"/>
      <sz val="18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3" tint="0.5999938962981048"/>
        <bgColor indexed="65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double">
        <color indexed="64"/>
      </right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double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2">
    <xf numFmtId="0" fontId="16" fillId="0" borderId="0"/>
    <xf numFmtId="165" fontId="16" fillId="0" borderId="0"/>
    <xf numFmtId="9" fontId="16" fillId="0" borderId="0"/>
    <xf numFmtId="0" fontId="2" fillId="0" borderId="0"/>
    <xf numFmtId="0" fontId="6" fillId="0" borderId="0"/>
    <xf numFmtId="0" fontId="1" fillId="0" borderId="0"/>
    <xf numFmtId="166" fontId="1" fillId="0" borderId="0"/>
    <xf numFmtId="165" fontId="1" fillId="0" borderId="0"/>
    <xf numFmtId="0" fontId="1" fillId="0" borderId="0"/>
    <xf numFmtId="0" fontId="1" fillId="0" borderId="0"/>
    <xf numFmtId="166" fontId="1" fillId="0" borderId="0"/>
    <xf numFmtId="9" fontId="1" fillId="0" borderId="0"/>
  </cellStyleXfs>
  <cellXfs count="390">
    <xf numFmtId="0" fontId="0" fillId="0" borderId="0" pivotButton="0" quotePrefix="0" xfId="0"/>
    <xf numFmtId="0" fontId="3" fillId="0" borderId="0" applyAlignment="1" pivotButton="0" quotePrefix="0" xfId="3">
      <alignment horizontal="center"/>
    </xf>
    <xf numFmtId="0" fontId="4" fillId="0" borderId="0" pivotButton="0" quotePrefix="0" xfId="3"/>
    <xf numFmtId="1" fontId="4" fillId="0" borderId="0" applyAlignment="1" pivotButton="0" quotePrefix="0" xfId="3">
      <alignment horizontal="center"/>
    </xf>
    <xf numFmtId="0" fontId="4" fillId="0" borderId="0" applyAlignment="1" pivotButton="0" quotePrefix="0" xfId="3">
      <alignment horizontal="center"/>
    </xf>
    <xf numFmtId="43" fontId="4" fillId="0" borderId="0" pivotButton="0" quotePrefix="0" xfId="3"/>
    <xf numFmtId="0" fontId="3" fillId="0" borderId="0" pivotButton="0" quotePrefix="0" xfId="3"/>
    <xf numFmtId="0" fontId="5" fillId="0" borderId="0" pivotButton="0" quotePrefix="0" xfId="3"/>
    <xf numFmtId="0" fontId="7" fillId="0" borderId="0" applyAlignment="1" pivotButton="0" quotePrefix="0" xfId="4">
      <alignment horizontal="center" wrapText="1"/>
    </xf>
    <xf numFmtId="0" fontId="8" fillId="0" borderId="0" applyAlignment="1" pivotButton="0" quotePrefix="0" xfId="4">
      <alignment horizontal="right" vertical="center"/>
    </xf>
    <xf numFmtId="0" fontId="8" fillId="0" borderId="0" applyAlignment="1" pivotButton="0" quotePrefix="0" xfId="4">
      <alignment horizontal="right" vertical="center"/>
    </xf>
    <xf numFmtId="1" fontId="3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right" vertical="center"/>
    </xf>
    <xf numFmtId="0" fontId="10" fillId="0" borderId="0" pivotButton="0" quotePrefix="0" xfId="3"/>
    <xf numFmtId="43" fontId="10" fillId="0" borderId="0" pivotButton="0" quotePrefix="0" xfId="3"/>
    <xf numFmtId="43" fontId="3" fillId="0" borderId="0" pivotButton="0" quotePrefix="0" xfId="3"/>
    <xf numFmtId="0" fontId="11" fillId="0" borderId="0" applyAlignment="1" pivotButton="0" quotePrefix="0" xfId="4">
      <alignment horizontal="right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vertical="center"/>
    </xf>
    <xf numFmtId="43" fontId="12" fillId="0" borderId="0" applyAlignment="1" pivotButton="0" quotePrefix="0" xfId="3">
      <alignment vertical="center"/>
    </xf>
    <xf numFmtId="0" fontId="13" fillId="0" borderId="0" applyAlignment="1" pivotButton="0" quotePrefix="0" xfId="4">
      <alignment horizontal="right" vertical="center"/>
    </xf>
    <xf numFmtId="0" fontId="15" fillId="3" borderId="1" applyAlignment="1" pivotButton="0" quotePrefix="0" xfId="5">
      <alignment horizontal="center" vertical="center"/>
    </xf>
    <xf numFmtId="0" fontId="15" fillId="3" borderId="2" applyAlignment="1" pivotButton="0" quotePrefix="0" xfId="5">
      <alignment horizontal="center" vertical="center"/>
    </xf>
    <xf numFmtId="0" fontId="15" fillId="3" borderId="3" applyAlignment="1" pivotButton="0" quotePrefix="0" xfId="5">
      <alignment horizontal="center" vertical="center"/>
    </xf>
    <xf numFmtId="0" fontId="17" fillId="0" borderId="0" pivotButton="0" quotePrefix="0" xfId="0"/>
    <xf numFmtId="0" fontId="18" fillId="0" borderId="4" applyAlignment="1" pivotButton="0" quotePrefix="0" xfId="5">
      <alignment horizontal="center" vertical="center"/>
    </xf>
    <xf numFmtId="0" fontId="18" fillId="0" borderId="5" applyAlignment="1" pivotButton="0" quotePrefix="0" xfId="6">
      <alignment horizontal="center" vertical="center"/>
    </xf>
    <xf numFmtId="164" fontId="18" fillId="2" borderId="6" applyAlignment="1" pivotButton="0" quotePrefix="0" xfId="6">
      <alignment horizontal="center" vertical="center"/>
    </xf>
    <xf numFmtId="0" fontId="18" fillId="0" borderId="7" applyAlignment="1" pivotButton="0" quotePrefix="0" xfId="5">
      <alignment horizontal="center" vertical="center" wrapText="1"/>
    </xf>
    <xf numFmtId="17" fontId="19" fillId="0" borderId="8" applyAlignment="1" pivotButton="0" quotePrefix="0" xfId="5">
      <alignment horizontal="center" vertical="center"/>
    </xf>
    <xf numFmtId="164" fontId="18" fillId="2" borderId="9" applyAlignment="1" pivotButton="0" quotePrefix="0" xfId="7">
      <alignment horizontal="right" vertical="center"/>
    </xf>
    <xf numFmtId="0" fontId="18" fillId="0" borderId="7" applyAlignment="1" pivotButton="0" quotePrefix="0" xfId="5">
      <alignment horizontal="center" vertical="center"/>
    </xf>
    <xf numFmtId="0" fontId="20" fillId="0" borderId="1" applyAlignment="1" pivotButton="0" quotePrefix="0" xfId="5">
      <alignment horizontal="center"/>
    </xf>
    <xf numFmtId="0" fontId="20" fillId="0" borderId="3" applyAlignment="1" pivotButton="0" quotePrefix="0" xfId="5">
      <alignment horizontal="center"/>
    </xf>
    <xf numFmtId="164" fontId="20" fillId="3" borderId="10" applyAlignment="1" pivotButton="0" quotePrefix="0" xfId="7">
      <alignment horizontal="right" vertical="center"/>
    </xf>
    <xf numFmtId="0" fontId="21" fillId="0" borderId="0" pivotButton="0" quotePrefix="0" xfId="5"/>
    <xf numFmtId="164" fontId="21" fillId="0" borderId="0" pivotButton="0" quotePrefix="0" xfId="5"/>
    <xf numFmtId="17" fontId="19" fillId="0" borderId="8" applyAlignment="1" pivotButton="0" quotePrefix="0" xfId="5">
      <alignment horizontal="left" vertical="center"/>
    </xf>
    <xf numFmtId="164" fontId="22" fillId="2" borderId="9" applyAlignment="1" pivotButton="0" quotePrefix="0" xfId="7">
      <alignment horizontal="right" vertical="center"/>
    </xf>
    <xf numFmtId="164" fontId="17" fillId="0" borderId="0" pivotButton="0" quotePrefix="0" xfId="0"/>
    <xf numFmtId="165" fontId="16" fillId="0" borderId="0" pivotButton="0" quotePrefix="0" xfId="1"/>
    <xf numFmtId="0" fontId="20" fillId="0" borderId="1" applyAlignment="1" pivotButton="0" quotePrefix="0" xfId="5">
      <alignment horizontal="left" vertical="center"/>
    </xf>
    <xf numFmtId="0" fontId="20" fillId="0" borderId="3" applyAlignment="1" pivotButton="0" quotePrefix="0" xfId="5">
      <alignment horizontal="left" vertical="center"/>
    </xf>
    <xf numFmtId="164" fontId="23" fillId="0" borderId="0" pivotButton="0" quotePrefix="0" xfId="5"/>
    <xf numFmtId="164" fontId="23" fillId="0" borderId="0" applyAlignment="1" pivotButton="0" quotePrefix="0" xfId="5">
      <alignment wrapText="1"/>
    </xf>
    <xf numFmtId="14" fontId="24" fillId="0" borderId="0" applyAlignment="1" pivotButton="0" quotePrefix="0" xfId="5">
      <alignment horizontal="center" vertical="center"/>
    </xf>
    <xf numFmtId="164" fontId="24" fillId="0" borderId="0" applyAlignment="1" pivotButton="0" quotePrefix="0" xfId="5">
      <alignment horizontal="center" vertical="center"/>
    </xf>
    <xf numFmtId="14" fontId="25" fillId="8" borderId="11" applyAlignment="1" pivotButton="0" quotePrefix="0" xfId="5">
      <alignment horizontal="center" vertical="center" wrapText="1"/>
    </xf>
    <xf numFmtId="14" fontId="25" fillId="8" borderId="12" applyAlignment="1" pivotButton="0" quotePrefix="0" xfId="5">
      <alignment horizontal="center" vertical="center" wrapText="1"/>
    </xf>
    <xf numFmtId="14" fontId="25" fillId="8" borderId="13" applyAlignment="1" pivotButton="0" quotePrefix="0" xfId="5">
      <alignment horizontal="center" vertical="center" wrapText="1"/>
    </xf>
    <xf numFmtId="164" fontId="26" fillId="2" borderId="14" applyAlignment="1" pivotButton="0" quotePrefix="0" xfId="5">
      <alignment horizontal="center" vertical="center"/>
    </xf>
    <xf numFmtId="17" fontId="27" fillId="2" borderId="12" applyAlignment="1" pivotButton="0" quotePrefix="0" xfId="5">
      <alignment horizontal="center" vertical="center"/>
    </xf>
    <xf numFmtId="17" fontId="27" fillId="6" borderId="12" applyAlignment="1" pivotButton="0" quotePrefix="0" xfId="5">
      <alignment horizontal="center" vertical="center"/>
    </xf>
    <xf numFmtId="17" fontId="27" fillId="3" borderId="12" applyAlignment="1" pivotButton="0" quotePrefix="0" xfId="5">
      <alignment horizontal="center" vertical="center"/>
    </xf>
    <xf numFmtId="17" fontId="27" fillId="5" borderId="12" applyAlignment="1" pivotButton="0" quotePrefix="0" xfId="5">
      <alignment horizontal="center" vertical="center"/>
    </xf>
    <xf numFmtId="17" fontId="27" fillId="7" borderId="12" applyAlignment="1" pivotButton="0" quotePrefix="0" xfId="5">
      <alignment horizontal="center" vertical="center"/>
    </xf>
    <xf numFmtId="164" fontId="27" fillId="8" borderId="15" applyAlignment="1" pivotButton="0" quotePrefix="0" xfId="5">
      <alignment horizontal="center" vertical="center"/>
    </xf>
    <xf numFmtId="166" fontId="28" fillId="0" borderId="0" pivotButton="0" quotePrefix="0" xfId="6"/>
    <xf numFmtId="0" fontId="29" fillId="0" borderId="16" applyAlignment="1" pivotButton="0" quotePrefix="0" xfId="0">
      <alignment horizontal="center"/>
    </xf>
    <xf numFmtId="0" fontId="29" fillId="0" borderId="17" pivotButton="0" quotePrefix="0" xfId="0"/>
    <xf numFmtId="0" fontId="29" fillId="0" borderId="18" applyAlignment="1" pivotButton="0" quotePrefix="0" xfId="0">
      <alignment horizontal="center"/>
    </xf>
    <xf numFmtId="164" fontId="30" fillId="0" borderId="19" applyAlignment="1" pivotButton="0" quotePrefix="0" xfId="6">
      <alignment vertical="center"/>
    </xf>
    <xf numFmtId="0" fontId="31" fillId="2" borderId="20" applyAlignment="1" pivotButton="0" quotePrefix="0" xfId="6">
      <alignment horizontal="center" vertical="center" wrapText="1"/>
    </xf>
    <xf numFmtId="0" fontId="31" fillId="2" borderId="20" applyAlignment="1" pivotButton="0" quotePrefix="0" xfId="6">
      <alignment horizontal="center" vertical="center"/>
    </xf>
    <xf numFmtId="0" fontId="31" fillId="6" borderId="20" applyAlignment="1" pivotButton="0" quotePrefix="0" xfId="6">
      <alignment horizontal="center" vertical="center"/>
    </xf>
    <xf numFmtId="0" fontId="31" fillId="6" borderId="20" applyAlignment="1" pivotButton="0" quotePrefix="0" xfId="6">
      <alignment horizontal="center" vertical="center" wrapText="1"/>
    </xf>
    <xf numFmtId="0" fontId="31" fillId="3" borderId="20" applyAlignment="1" pivotButton="0" quotePrefix="0" xfId="6">
      <alignment horizontal="center" vertical="center"/>
    </xf>
    <xf numFmtId="0" fontId="31" fillId="3" borderId="20" applyAlignment="1" pivotButton="0" quotePrefix="0" xfId="6">
      <alignment horizontal="center" vertical="center" wrapText="1"/>
    </xf>
    <xf numFmtId="0" fontId="32" fillId="5" borderId="20" applyAlignment="1" pivotButton="0" quotePrefix="0" xfId="6">
      <alignment horizontal="center" vertical="center"/>
    </xf>
    <xf numFmtId="0" fontId="32" fillId="7" borderId="20" applyAlignment="1" pivotButton="0" quotePrefix="0" xfId="6">
      <alignment horizontal="center" vertical="center" wrapText="1"/>
    </xf>
    <xf numFmtId="164" fontId="33" fillId="8" borderId="21" applyAlignment="1" pivotButton="0" quotePrefix="0" xfId="6">
      <alignment vertical="center"/>
    </xf>
    <xf numFmtId="166" fontId="34" fillId="0" borderId="0" pivotButton="0" quotePrefix="0" xfId="6"/>
    <xf numFmtId="0" fontId="29" fillId="0" borderId="22" applyAlignment="1" pivotButton="0" quotePrefix="0" xfId="0">
      <alignment horizontal="center" vertical="center"/>
    </xf>
    <xf numFmtId="0" fontId="29" fillId="0" borderId="21" pivotButton="0" quotePrefix="0" xfId="0"/>
    <xf numFmtId="0" fontId="29" fillId="0" borderId="23" applyAlignment="1" pivotButton="0" quotePrefix="0" xfId="0">
      <alignment horizontal="center"/>
    </xf>
    <xf numFmtId="164" fontId="35" fillId="0" borderId="19" applyAlignment="1" pivotButton="0" quotePrefix="0" xfId="6">
      <alignment vertical="center"/>
    </xf>
    <xf numFmtId="166" fontId="33" fillId="2" borderId="24" applyAlignment="1" pivotButton="0" quotePrefix="0" xfId="6">
      <alignment vertical="center"/>
    </xf>
    <xf numFmtId="166" fontId="33" fillId="6" borderId="24" applyAlignment="1" pivotButton="0" quotePrefix="0" xfId="6">
      <alignment vertical="center"/>
    </xf>
    <xf numFmtId="166" fontId="33" fillId="3" borderId="24" applyAlignment="1" pivotButton="0" quotePrefix="0" xfId="6">
      <alignment vertical="center"/>
    </xf>
    <xf numFmtId="166" fontId="33" fillId="5" borderId="24" applyAlignment="1" pivotButton="0" quotePrefix="0" xfId="6">
      <alignment vertical="center"/>
    </xf>
    <xf numFmtId="166" fontId="33" fillId="7" borderId="24" applyAlignment="1" pivotButton="0" quotePrefix="0" xfId="6">
      <alignment vertical="center"/>
    </xf>
    <xf numFmtId="164" fontId="36" fillId="8" borderId="21" applyAlignment="1" pivotButton="0" quotePrefix="0" xfId="6">
      <alignment vertical="center"/>
    </xf>
    <xf numFmtId="164" fontId="34" fillId="0" borderId="0" pivotButton="0" quotePrefix="0" xfId="5"/>
    <xf numFmtId="9" fontId="29" fillId="0" borderId="23" applyAlignment="1" pivotButton="0" quotePrefix="0" xfId="0">
      <alignment horizontal="center"/>
    </xf>
    <xf numFmtId="166" fontId="37" fillId="2" borderId="24" applyAlignment="1" pivotButton="0" quotePrefix="0" xfId="6">
      <alignment vertical="center" wrapText="1"/>
    </xf>
    <xf numFmtId="0" fontId="29" fillId="0" borderId="25" pivotButton="0" quotePrefix="0" xfId="0"/>
    <xf numFmtId="164" fontId="38" fillId="0" borderId="19" applyAlignment="1" pivotButton="0" quotePrefix="0" xfId="6">
      <alignment vertical="center"/>
    </xf>
    <xf numFmtId="166" fontId="37" fillId="2" borderId="19" applyAlignment="1" pivotButton="0" quotePrefix="0" xfId="6">
      <alignment vertical="center" wrapText="1"/>
    </xf>
    <xf numFmtId="0" fontId="29" fillId="0" borderId="22" applyAlignment="1" pivotButton="0" quotePrefix="0" xfId="0">
      <alignment horizontal="center"/>
    </xf>
    <xf numFmtId="0" fontId="39" fillId="0" borderId="21" pivotButton="0" quotePrefix="0" xfId="0"/>
    <xf numFmtId="0" fontId="39" fillId="0" borderId="23" applyAlignment="1" pivotButton="0" quotePrefix="0" xfId="0">
      <alignment horizontal="center"/>
    </xf>
    <xf numFmtId="164" fontId="40" fillId="0" borderId="19" applyAlignment="1" pivotButton="0" quotePrefix="0" xfId="6">
      <alignment vertical="center"/>
    </xf>
    <xf numFmtId="166" fontId="37" fillId="6" borderId="24" applyAlignment="1" pivotButton="0" quotePrefix="0" xfId="6">
      <alignment vertical="center" wrapText="1"/>
    </xf>
    <xf numFmtId="166" fontId="37" fillId="3" borderId="24" applyAlignment="1" pivotButton="0" quotePrefix="0" xfId="6">
      <alignment vertical="center" wrapText="1"/>
    </xf>
    <xf numFmtId="166" fontId="37" fillId="5" borderId="24" applyAlignment="1" pivotButton="0" quotePrefix="0" xfId="6">
      <alignment vertical="center" wrapText="1"/>
    </xf>
    <xf numFmtId="166" fontId="37" fillId="7" borderId="24" applyAlignment="1" pivotButton="0" quotePrefix="0" xfId="6">
      <alignment vertical="center" wrapText="1"/>
    </xf>
    <xf numFmtId="164" fontId="41" fillId="8" borderId="21" applyAlignment="1" pivotButton="0" quotePrefix="0" xfId="6">
      <alignment vertical="center"/>
    </xf>
    <xf numFmtId="0" fontId="34" fillId="0" borderId="0" pivotButton="0" quotePrefix="0" xfId="5"/>
    <xf numFmtId="167" fontId="42" fillId="0" borderId="0" applyAlignment="1" pivotButton="0" quotePrefix="0" xfId="1">
      <alignment horizontal="center"/>
    </xf>
    <xf numFmtId="166" fontId="29" fillId="0" borderId="0" applyAlignment="1" pivotButton="0" quotePrefix="0" xfId="6">
      <alignment vertical="center"/>
    </xf>
    <xf numFmtId="0" fontId="43" fillId="0" borderId="21" pivotButton="0" quotePrefix="0" xfId="0"/>
    <xf numFmtId="9" fontId="43" fillId="0" borderId="23" applyAlignment="1" pivotButton="0" quotePrefix="0" xfId="0">
      <alignment horizontal="center"/>
    </xf>
    <xf numFmtId="164" fontId="44" fillId="0" borderId="19" applyAlignment="1" pivotButton="0" quotePrefix="0" xfId="6">
      <alignment vertical="center"/>
    </xf>
    <xf numFmtId="0" fontId="43" fillId="0" borderId="25" pivotButton="0" quotePrefix="0" xfId="0"/>
    <xf numFmtId="0" fontId="39" fillId="0" borderId="21" applyAlignment="1" pivotButton="0" quotePrefix="0" xfId="0">
      <alignment horizontal="left"/>
    </xf>
    <xf numFmtId="0" fontId="43" fillId="0" borderId="21" applyAlignment="1" pivotButton="0" quotePrefix="0" xfId="0">
      <alignment horizontal="left"/>
    </xf>
    <xf numFmtId="0" fontId="29" fillId="0" borderId="21" applyAlignment="1" pivotButton="0" quotePrefix="0" xfId="0">
      <alignment horizontal="left"/>
    </xf>
    <xf numFmtId="9" fontId="37" fillId="2" borderId="24" applyAlignment="1" pivotButton="0" quotePrefix="0" xfId="2">
      <alignment vertical="center" wrapText="1"/>
    </xf>
    <xf numFmtId="0" fontId="29" fillId="0" borderId="25" applyAlignment="1" pivotButton="0" quotePrefix="0" xfId="0">
      <alignment horizontal="left"/>
    </xf>
    <xf numFmtId="9" fontId="29" fillId="0" borderId="21" applyAlignment="1" pivotButton="0" quotePrefix="0" xfId="0">
      <alignment horizontal="left"/>
    </xf>
    <xf numFmtId="166" fontId="37" fillId="2" borderId="22" applyAlignment="1" pivotButton="0" quotePrefix="0" xfId="6">
      <alignment vertical="center" wrapText="1"/>
    </xf>
    <xf numFmtId="164" fontId="29" fillId="0" borderId="0" applyAlignment="1" pivotButton="0" quotePrefix="0" xfId="6">
      <alignment vertical="center"/>
    </xf>
    <xf numFmtId="166" fontId="25" fillId="0" borderId="26" applyAlignment="1" pivotButton="0" quotePrefix="0" xfId="6">
      <alignment horizontal="left" vertical="center" wrapText="1"/>
    </xf>
    <xf numFmtId="166" fontId="25" fillId="0" borderId="27" applyAlignment="1" pivotButton="0" quotePrefix="0" xfId="6">
      <alignment horizontal="center" vertical="center" wrapText="1"/>
    </xf>
    <xf numFmtId="164" fontId="45" fillId="0" borderId="28" applyAlignment="1" pivotButton="0" quotePrefix="0" xfId="6">
      <alignment vertical="center"/>
    </xf>
    <xf numFmtId="166" fontId="27" fillId="2" borderId="16" applyAlignment="1" pivotButton="0" quotePrefix="0" xfId="6">
      <alignment vertical="center"/>
    </xf>
    <xf numFmtId="166" fontId="27" fillId="2" borderId="29" applyAlignment="1" pivotButton="0" quotePrefix="0" xfId="6">
      <alignment vertical="center"/>
    </xf>
    <xf numFmtId="166" fontId="27" fillId="6" borderId="29" applyAlignment="1" pivotButton="0" quotePrefix="0" xfId="6">
      <alignment vertical="center"/>
    </xf>
    <xf numFmtId="166" fontId="27" fillId="3" borderId="29" applyAlignment="1" pivotButton="0" quotePrefix="0" xfId="6">
      <alignment vertical="center"/>
    </xf>
    <xf numFmtId="166" fontId="27" fillId="5" borderId="29" applyAlignment="1" pivotButton="0" quotePrefix="0" xfId="6">
      <alignment vertical="center"/>
    </xf>
    <xf numFmtId="166" fontId="27" fillId="7" borderId="29" applyAlignment="1" pivotButton="0" quotePrefix="0" xfId="6">
      <alignment vertical="center"/>
    </xf>
    <xf numFmtId="164" fontId="46" fillId="8" borderId="15" applyAlignment="1" pivotButton="0" quotePrefix="0" xfId="6">
      <alignment vertical="center"/>
    </xf>
    <xf numFmtId="166" fontId="47" fillId="0" borderId="30" applyAlignment="1" pivotButton="0" quotePrefix="0" xfId="6">
      <alignment horizontal="left" vertical="center" wrapText="1"/>
    </xf>
    <xf numFmtId="166" fontId="47" fillId="0" borderId="0" applyAlignment="1" pivotButton="0" quotePrefix="0" xfId="6">
      <alignment horizontal="center" vertical="center" wrapText="1"/>
    </xf>
    <xf numFmtId="164" fontId="45" fillId="0" borderId="13" applyAlignment="1" pivotButton="0" quotePrefix="0" xfId="6">
      <alignment vertical="center"/>
    </xf>
    <xf numFmtId="166" fontId="48" fillId="2" borderId="22" applyAlignment="1" pivotButton="0" quotePrefix="0" xfId="6">
      <alignment vertical="center" wrapText="1"/>
    </xf>
    <xf numFmtId="166" fontId="48" fillId="2" borderId="24" applyAlignment="1" pivotButton="0" quotePrefix="0" xfId="6">
      <alignment vertical="center" wrapText="1"/>
    </xf>
    <xf numFmtId="166" fontId="48" fillId="6" borderId="24" applyAlignment="1" pivotButton="0" quotePrefix="0" xfId="6">
      <alignment vertical="center" wrapText="1"/>
    </xf>
    <xf numFmtId="166" fontId="48" fillId="3" borderId="24" applyAlignment="1" pivotButton="0" quotePrefix="0" xfId="6">
      <alignment vertical="center" wrapText="1"/>
    </xf>
    <xf numFmtId="166" fontId="27" fillId="5" borderId="20" applyAlignment="1" pivotButton="0" quotePrefix="0" xfId="6">
      <alignment vertical="center"/>
    </xf>
    <xf numFmtId="166" fontId="27" fillId="7" borderId="20" applyAlignment="1" pivotButton="0" quotePrefix="0" xfId="6">
      <alignment vertical="center"/>
    </xf>
    <xf numFmtId="166" fontId="25" fillId="0" borderId="30" applyAlignment="1" pivotButton="0" quotePrefix="0" xfId="6">
      <alignment horizontal="left" vertical="center" wrapText="1"/>
    </xf>
    <xf numFmtId="166" fontId="25" fillId="0" borderId="0" applyAlignment="1" pivotButton="0" quotePrefix="0" xfId="6">
      <alignment horizontal="center" vertical="center" wrapText="1"/>
    </xf>
    <xf numFmtId="166" fontId="49" fillId="2" borderId="24" applyAlignment="1" pivotButton="0" quotePrefix="0" xfId="6">
      <alignment vertical="center" wrapText="1"/>
    </xf>
    <xf numFmtId="166" fontId="49" fillId="6" borderId="24" applyAlignment="1" pivotButton="0" quotePrefix="0" xfId="6">
      <alignment vertical="center" wrapText="1"/>
    </xf>
    <xf numFmtId="166" fontId="49" fillId="3" borderId="24" applyAlignment="1" pivotButton="0" quotePrefix="0" xfId="6">
      <alignment vertical="center" wrapText="1"/>
    </xf>
    <xf numFmtId="166" fontId="50" fillId="5" borderId="20" applyAlignment="1" pivotButton="0" quotePrefix="0" xfId="6">
      <alignment vertical="center"/>
    </xf>
    <xf numFmtId="166" fontId="50" fillId="5" borderId="31" applyAlignment="1" pivotButton="0" quotePrefix="0" xfId="6">
      <alignment vertical="center"/>
    </xf>
    <xf numFmtId="166" fontId="50" fillId="7" borderId="31" applyAlignment="1" pivotButton="0" quotePrefix="0" xfId="6">
      <alignment vertical="center"/>
    </xf>
    <xf numFmtId="164" fontId="50" fillId="8" borderId="15" applyAlignment="1" pivotButton="0" quotePrefix="0" xfId="6">
      <alignment vertical="center"/>
    </xf>
    <xf numFmtId="14" fontId="26" fillId="0" borderId="0" applyAlignment="1" pivotButton="0" quotePrefix="0" xfId="5">
      <alignment horizontal="center" vertical="center"/>
    </xf>
    <xf numFmtId="164" fontId="28" fillId="0" borderId="0" pivotButton="0" quotePrefix="0" xfId="5"/>
    <xf numFmtId="166" fontId="27" fillId="5" borderId="31" applyAlignment="1" pivotButton="0" quotePrefix="0" xfId="6">
      <alignment vertical="center"/>
    </xf>
    <xf numFmtId="166" fontId="27" fillId="7" borderId="31" applyAlignment="1" pivotButton="0" quotePrefix="0" xfId="6">
      <alignment vertical="center"/>
    </xf>
    <xf numFmtId="0" fontId="29" fillId="0" borderId="22" applyAlignment="1" pivotButton="0" quotePrefix="0" xfId="6">
      <alignment horizontal="center" vertical="center" wrapText="1"/>
    </xf>
    <xf numFmtId="166" fontId="48" fillId="5" borderId="24" applyAlignment="1" pivotButton="0" quotePrefix="0" xfId="6">
      <alignment vertical="center" wrapText="1"/>
    </xf>
    <xf numFmtId="164" fontId="46" fillId="8" borderId="32" applyAlignment="1" pivotButton="0" quotePrefix="0" xfId="6">
      <alignment vertical="center"/>
    </xf>
    <xf numFmtId="166" fontId="51" fillId="0" borderId="33" applyAlignment="1" pivotButton="0" quotePrefix="0" xfId="6">
      <alignment horizontal="left" vertical="center"/>
    </xf>
    <xf numFmtId="166" fontId="51" fillId="0" borderId="34" applyAlignment="1" pivotButton="0" quotePrefix="0" xfId="6">
      <alignment horizontal="center" vertical="center"/>
    </xf>
    <xf numFmtId="164" fontId="45" fillId="0" borderId="14" applyAlignment="1" pivotButton="0" quotePrefix="0" xfId="6">
      <alignment vertical="center"/>
    </xf>
    <xf numFmtId="166" fontId="49" fillId="2" borderId="22" applyAlignment="1" pivotButton="0" quotePrefix="0" xfId="6">
      <alignment vertical="center" wrapText="1"/>
    </xf>
    <xf numFmtId="166" fontId="49" fillId="5" borderId="24" applyAlignment="1" pivotButton="0" quotePrefix="0" xfId="6">
      <alignment vertical="center" wrapText="1"/>
    </xf>
    <xf numFmtId="166" fontId="49" fillId="7" borderId="24" applyAlignment="1" pivotButton="0" quotePrefix="0" xfId="6">
      <alignment vertical="center" wrapText="1"/>
    </xf>
    <xf numFmtId="164" fontId="50" fillId="8" borderId="32" applyAlignment="1" pivotButton="0" quotePrefix="0" xfId="6">
      <alignment vertical="center"/>
    </xf>
    <xf numFmtId="166" fontId="52" fillId="3" borderId="24" applyAlignment="1" pivotButton="0" quotePrefix="0" xfId="6">
      <alignment vertical="center" wrapText="1"/>
    </xf>
    <xf numFmtId="166" fontId="53" fillId="2" borderId="26" applyAlignment="1" pivotButton="0" quotePrefix="0" xfId="6">
      <alignment horizontal="left" vertical="center" wrapText="1"/>
    </xf>
    <xf numFmtId="166" fontId="53" fillId="2" borderId="18" applyAlignment="1" pivotButton="0" quotePrefix="0" xfId="6">
      <alignment horizontal="center" vertical="center" wrapText="1"/>
    </xf>
    <xf numFmtId="164" fontId="54" fillId="2" borderId="35" applyAlignment="1" pivotButton="0" quotePrefix="0" xfId="6">
      <alignment vertical="center"/>
    </xf>
    <xf numFmtId="166" fontId="46" fillId="6" borderId="29" applyAlignment="1" pivotButton="0" quotePrefix="0" xfId="6">
      <alignment vertical="center" wrapText="1"/>
    </xf>
    <xf numFmtId="166" fontId="55" fillId="0" borderId="0" applyAlignment="1" pivotButton="0" quotePrefix="0" xfId="6">
      <alignment vertical="center"/>
    </xf>
    <xf numFmtId="0" fontId="55" fillId="0" borderId="0" applyAlignment="1" pivotButton="0" quotePrefix="0" xfId="6">
      <alignment vertical="center"/>
    </xf>
    <xf numFmtId="164" fontId="55" fillId="0" borderId="0" applyAlignment="1" pivotButton="0" quotePrefix="0" xfId="6">
      <alignment vertical="center"/>
    </xf>
    <xf numFmtId="0" fontId="29" fillId="0" borderId="36" applyAlignment="1" pivotButton="0" quotePrefix="0" xfId="6">
      <alignment horizontal="center" vertical="center" wrapText="1"/>
    </xf>
    <xf numFmtId="166" fontId="53" fillId="2" borderId="37" applyAlignment="1" pivotButton="0" quotePrefix="0" xfId="6">
      <alignment horizontal="left" vertical="center" wrapText="1"/>
    </xf>
    <xf numFmtId="166" fontId="53" fillId="2" borderId="0" applyAlignment="1" pivotButton="0" quotePrefix="0" xfId="6">
      <alignment horizontal="center" vertical="center" wrapText="1"/>
    </xf>
    <xf numFmtId="166" fontId="46" fillId="2" borderId="38" applyAlignment="1" pivotButton="0" quotePrefix="0" xfId="6">
      <alignment vertical="center" wrapText="1"/>
    </xf>
    <xf numFmtId="166" fontId="46" fillId="2" borderId="39" applyAlignment="1" pivotButton="0" quotePrefix="0" xfId="6">
      <alignment vertical="center" wrapText="1"/>
    </xf>
    <xf numFmtId="166" fontId="46" fillId="2" borderId="40" applyAlignment="1" pivotButton="0" quotePrefix="0" xfId="6">
      <alignment vertical="center" wrapText="1"/>
    </xf>
    <xf numFmtId="166" fontId="37" fillId="0" borderId="41" applyAlignment="1" pivotButton="0" quotePrefix="0" xfId="6">
      <alignment vertical="center"/>
    </xf>
    <xf numFmtId="166" fontId="29" fillId="0" borderId="0" applyAlignment="1" pivotButton="0" quotePrefix="0" xfId="6">
      <alignment horizontal="left" wrapText="1"/>
    </xf>
    <xf numFmtId="166" fontId="29" fillId="0" borderId="0" applyAlignment="1" pivotButton="0" quotePrefix="0" xfId="6">
      <alignment horizontal="center" wrapText="1"/>
    </xf>
    <xf numFmtId="166" fontId="37" fillId="0" borderId="0" applyAlignment="1" pivotButton="0" quotePrefix="0" xfId="6">
      <alignment vertical="center"/>
    </xf>
    <xf numFmtId="166" fontId="56" fillId="4" borderId="16" applyAlignment="1" pivotButton="0" quotePrefix="0" xfId="6">
      <alignment horizontal="center" vertical="center"/>
    </xf>
    <xf numFmtId="166" fontId="56" fillId="4" borderId="29" applyAlignment="1" pivotButton="0" quotePrefix="0" xfId="6">
      <alignment horizontal="left" vertical="center"/>
    </xf>
    <xf numFmtId="166" fontId="36" fillId="4" borderId="17" applyAlignment="1" pivotButton="0" quotePrefix="0" xfId="6">
      <alignment horizontal="center" vertical="center"/>
    </xf>
    <xf numFmtId="166" fontId="37" fillId="0" borderId="0" applyAlignment="1" pivotButton="0" quotePrefix="0" xfId="6">
      <alignment wrapText="1"/>
    </xf>
    <xf numFmtId="166" fontId="57" fillId="0" borderId="0" applyAlignment="1" pivotButton="0" quotePrefix="0" xfId="6">
      <alignment wrapText="1"/>
    </xf>
    <xf numFmtId="166" fontId="58" fillId="0" borderId="0" applyAlignment="1" pivotButton="0" quotePrefix="0" xfId="6">
      <alignment wrapText="1"/>
    </xf>
    <xf numFmtId="166" fontId="56" fillId="2" borderId="22" applyAlignment="1" pivotButton="0" quotePrefix="0" xfId="6">
      <alignment horizontal="center" vertical="center"/>
    </xf>
    <xf numFmtId="166" fontId="56" fillId="2" borderId="24" applyAlignment="1" pivotButton="0" quotePrefix="0" xfId="6">
      <alignment horizontal="left" vertical="center"/>
    </xf>
    <xf numFmtId="164" fontId="36" fillId="2" borderId="21" applyAlignment="1" pivotButton="0" quotePrefix="0" xfId="6">
      <alignment vertical="center"/>
    </xf>
    <xf numFmtId="166" fontId="27" fillId="0" borderId="0" applyAlignment="1" pivotButton="0" quotePrefix="0" xfId="6">
      <alignment vertical="center"/>
    </xf>
    <xf numFmtId="166" fontId="56" fillId="2" borderId="36" applyAlignment="1" pivotButton="0" quotePrefix="0" xfId="6">
      <alignment horizontal="center" vertical="center"/>
    </xf>
    <xf numFmtId="166" fontId="56" fillId="2" borderId="42" applyAlignment="1" pivotButton="0" quotePrefix="0" xfId="6">
      <alignment horizontal="left" vertical="center"/>
    </xf>
    <xf numFmtId="164" fontId="36" fillId="2" borderId="32" applyAlignment="1" pivotButton="0" quotePrefix="0" xfId="6">
      <alignment vertical="center"/>
    </xf>
    <xf numFmtId="164" fontId="27" fillId="0" borderId="0" applyAlignment="1" pivotButton="0" quotePrefix="0" xfId="6">
      <alignment vertical="center"/>
    </xf>
    <xf numFmtId="166" fontId="59" fillId="0" borderId="0" applyAlignment="1" pivotButton="0" quotePrefix="0" xfId="6">
      <alignment vertical="center"/>
    </xf>
    <xf numFmtId="166" fontId="59" fillId="0" borderId="0" applyAlignment="1" pivotButton="0" quotePrefix="0" xfId="6">
      <alignment horizontal="left" vertical="center"/>
    </xf>
    <xf numFmtId="166" fontId="59" fillId="0" borderId="0" applyAlignment="1" pivotButton="0" quotePrefix="0" xfId="6">
      <alignment horizontal="center" vertical="center"/>
    </xf>
    <xf numFmtId="166" fontId="37" fillId="0" borderId="0" applyAlignment="1" pivotButton="0" quotePrefix="0" xfId="6">
      <alignment vertical="center" wrapText="1"/>
    </xf>
    <xf numFmtId="164" fontId="37" fillId="0" borderId="0" applyAlignment="1" pivotButton="0" quotePrefix="0" xfId="6">
      <alignment vertical="center"/>
    </xf>
    <xf numFmtId="166" fontId="42" fillId="0" borderId="0" applyAlignment="1" pivotButton="0" quotePrefix="0" xfId="6">
      <alignment vertical="center"/>
    </xf>
    <xf numFmtId="166" fontId="57" fillId="0" borderId="0" applyAlignment="1" pivotButton="0" quotePrefix="0" xfId="6">
      <alignment vertical="center"/>
    </xf>
    <xf numFmtId="166" fontId="57" fillId="0" borderId="0" applyAlignment="1" pivotButton="0" quotePrefix="0" xfId="6">
      <alignment horizontal="center" vertical="center"/>
    </xf>
    <xf numFmtId="166" fontId="37" fillId="0" borderId="0" pivotButton="0" quotePrefix="0" xfId="6"/>
    <xf numFmtId="166" fontId="60" fillId="0" borderId="0" applyAlignment="1" pivotButton="0" quotePrefix="0" xfId="6">
      <alignment vertical="center"/>
    </xf>
    <xf numFmtId="164" fontId="37" fillId="0" borderId="0" pivotButton="0" quotePrefix="0" xfId="5"/>
    <xf numFmtId="166" fontId="61" fillId="0" borderId="0" applyAlignment="1" pivotButton="0" quotePrefix="0" xfId="6">
      <alignment vertical="center"/>
    </xf>
    <xf numFmtId="164" fontId="61" fillId="0" borderId="0" applyAlignment="1" pivotButton="0" quotePrefix="0" xfId="6">
      <alignment vertical="center"/>
    </xf>
    <xf numFmtId="166" fontId="57" fillId="0" borderId="0" pivotButton="0" quotePrefix="0" xfId="6"/>
    <xf numFmtId="164" fontId="60" fillId="0" borderId="0" applyAlignment="1" pivotButton="0" quotePrefix="0" xfId="6">
      <alignment vertical="center"/>
    </xf>
    <xf numFmtId="166" fontId="29" fillId="0" borderId="0" pivotButton="0" quotePrefix="0" xfId="6"/>
    <xf numFmtId="166" fontId="37" fillId="0" borderId="0" applyAlignment="1" pivotButton="0" quotePrefix="0" xfId="6">
      <alignment horizontal="center" vertical="center" wrapText="1"/>
    </xf>
    <xf numFmtId="164" fontId="42" fillId="0" borderId="0" applyAlignment="1" pivotButton="0" quotePrefix="0" xfId="6">
      <alignment vertical="center"/>
    </xf>
    <xf numFmtId="164" fontId="34" fillId="0" borderId="0" pivotButton="0" quotePrefix="0" xfId="6"/>
    <xf numFmtId="164" fontId="29" fillId="0" borderId="0" pivotButton="0" quotePrefix="0" xfId="5"/>
    <xf numFmtId="164" fontId="29" fillId="0" borderId="0" applyAlignment="1" pivotButton="0" quotePrefix="0" xfId="5">
      <alignment horizontal="center"/>
    </xf>
    <xf numFmtId="0" fontId="37" fillId="0" borderId="0" applyAlignment="1" pivotButton="0" quotePrefix="0" xfId="6">
      <alignment vertical="center"/>
    </xf>
    <xf numFmtId="0" fontId="29" fillId="0" borderId="0" applyAlignment="1" pivotButton="0" quotePrefix="0" xfId="6">
      <alignment vertical="center"/>
    </xf>
    <xf numFmtId="0" fontId="29" fillId="0" borderId="0" applyAlignment="1" pivotButton="0" quotePrefix="0" xfId="6">
      <alignment horizontal="center" vertical="center"/>
    </xf>
    <xf numFmtId="166" fontId="29" fillId="0" borderId="0" applyAlignment="1" pivotButton="0" quotePrefix="0" xfId="6">
      <alignment horizontal="center" vertical="center"/>
    </xf>
    <xf numFmtId="164" fontId="37" fillId="0" borderId="0" applyAlignment="1" pivotButton="0" quotePrefix="0" xfId="5">
      <alignment wrapText="1"/>
    </xf>
    <xf numFmtId="166" fontId="48" fillId="0" borderId="0" applyAlignment="1" pivotButton="0" quotePrefix="0" xfId="6">
      <alignment vertical="center"/>
    </xf>
    <xf numFmtId="166" fontId="29" fillId="0" borderId="0" applyAlignment="1" pivotButton="0" quotePrefix="0" xfId="6">
      <alignment horizontal="center"/>
    </xf>
    <xf numFmtId="164" fontId="48" fillId="0" borderId="0" applyAlignment="1" pivotButton="0" quotePrefix="0" xfId="6">
      <alignment vertical="center"/>
    </xf>
    <xf numFmtId="164" fontId="37" fillId="0" borderId="0" pivotButton="0" quotePrefix="0" xfId="6"/>
    <xf numFmtId="0" fontId="62" fillId="0" borderId="0" applyAlignment="1" pivotButton="0" quotePrefix="0" xfId="8">
      <alignment horizontal="left"/>
    </xf>
    <xf numFmtId="0" fontId="62" fillId="0" borderId="0" applyAlignment="1" pivotButton="0" quotePrefix="0" xfId="8">
      <alignment horizontal="center"/>
    </xf>
    <xf numFmtId="164" fontId="62" fillId="0" borderId="0" pivotButton="0" quotePrefix="0" xfId="8"/>
    <xf numFmtId="0" fontId="63" fillId="0" borderId="0" pivotButton="0" quotePrefix="0" xfId="9"/>
    <xf numFmtId="0" fontId="1" fillId="0" borderId="0" pivotButton="0" quotePrefix="0" xfId="9"/>
    <xf numFmtId="14" fontId="62" fillId="0" borderId="0" applyAlignment="1" pivotButton="0" quotePrefix="0" xfId="8">
      <alignment horizontal="left"/>
    </xf>
    <xf numFmtId="0" fontId="64" fillId="0" borderId="10" applyAlignment="1" pivotButton="0" quotePrefix="0" xfId="8">
      <alignment horizontal="center" vertical="center"/>
    </xf>
    <xf numFmtId="0" fontId="64" fillId="0" borderId="10" applyAlignment="1" pivotButton="0" quotePrefix="0" xfId="8">
      <alignment vertical="center"/>
    </xf>
    <xf numFmtId="164" fontId="64" fillId="0" borderId="10" applyAlignment="1" pivotButton="0" quotePrefix="0" xfId="8">
      <alignment horizontal="center" vertical="center" wrapText="1"/>
    </xf>
    <xf numFmtId="0" fontId="65" fillId="0" borderId="0" applyAlignment="1" pivotButton="0" quotePrefix="0" xfId="9">
      <alignment vertical="center"/>
    </xf>
    <xf numFmtId="0" fontId="62" fillId="0" borderId="9" applyAlignment="1" pivotButton="0" quotePrefix="0" xfId="8">
      <alignment horizontal="center"/>
    </xf>
    <xf numFmtId="0" fontId="66" fillId="0" borderId="9" pivotButton="0" quotePrefix="0" xfId="8"/>
    <xf numFmtId="164" fontId="62" fillId="0" borderId="9" pivotButton="0" quotePrefix="0" xfId="8"/>
    <xf numFmtId="0" fontId="62" fillId="0" borderId="9" pivotButton="0" quotePrefix="0" xfId="8"/>
    <xf numFmtId="168" fontId="62" fillId="0" borderId="9" applyAlignment="1" pivotButton="0" quotePrefix="0" xfId="8">
      <alignment horizontal="center"/>
    </xf>
    <xf numFmtId="168" fontId="63" fillId="0" borderId="0" pivotButton="0" quotePrefix="0" xfId="9"/>
    <xf numFmtId="166" fontId="63" fillId="0" borderId="0" pivotButton="0" quotePrefix="0" xfId="10"/>
    <xf numFmtId="9" fontId="63" fillId="0" borderId="0" pivotButton="0" quotePrefix="0" xfId="11"/>
    <xf numFmtId="164" fontId="62" fillId="0" borderId="9" applyAlignment="1" pivotButton="0" quotePrefix="0" xfId="8">
      <alignment horizontal="center"/>
    </xf>
    <xf numFmtId="0" fontId="63" fillId="0" borderId="0" pivotButton="0" quotePrefix="0" xfId="8"/>
    <xf numFmtId="0" fontId="1" fillId="0" borderId="43" pivotButton="0" quotePrefix="0" xfId="8"/>
    <xf numFmtId="0" fontId="62" fillId="0" borderId="44" pivotButton="0" quotePrefix="0" xfId="8"/>
    <xf numFmtId="0" fontId="62" fillId="0" borderId="44" applyAlignment="1" pivotButton="0" quotePrefix="0" xfId="8">
      <alignment horizontal="center"/>
    </xf>
    <xf numFmtId="164" fontId="62" fillId="0" borderId="44" pivotButton="0" quotePrefix="0" xfId="8"/>
    <xf numFmtId="0" fontId="63" fillId="0" borderId="7" pivotButton="0" quotePrefix="0" xfId="8"/>
    <xf numFmtId="0" fontId="64" fillId="0" borderId="9" applyAlignment="1" pivotButton="0" quotePrefix="0" xfId="8">
      <alignment horizontal="center" vertical="center" wrapText="1"/>
    </xf>
    <xf numFmtId="0" fontId="64" fillId="0" borderId="0" applyAlignment="1" pivotButton="0" quotePrefix="0" xfId="8">
      <alignment horizontal="center" vertical="center"/>
    </xf>
    <xf numFmtId="164" fontId="64" fillId="0" borderId="9" applyAlignment="1" pivotButton="0" quotePrefix="0" xfId="8">
      <alignment vertical="center"/>
    </xf>
    <xf numFmtId="0" fontId="63" fillId="0" borderId="0" applyAlignment="1" pivotButton="0" quotePrefix="0" xfId="9">
      <alignment vertical="center"/>
    </xf>
    <xf numFmtId="10" fontId="63" fillId="0" borderId="0" pivotButton="0" quotePrefix="0" xfId="2"/>
    <xf numFmtId="0" fontId="62" fillId="0" borderId="9" applyAlignment="1" pivotButton="0" quotePrefix="0" xfId="8">
      <alignment horizontal="left"/>
    </xf>
    <xf numFmtId="0" fontId="1" fillId="0" borderId="9" pivotButton="0" quotePrefix="0" xfId="8"/>
    <xf numFmtId="0" fontId="62" fillId="0" borderId="43" applyAlignment="1" pivotButton="0" quotePrefix="0" xfId="8">
      <alignment horizontal="center"/>
    </xf>
    <xf numFmtId="0" fontId="62" fillId="0" borderId="43" pivotButton="0" quotePrefix="0" xfId="8"/>
    <xf numFmtId="164" fontId="62" fillId="0" borderId="43" pivotButton="0" quotePrefix="0" xfId="8"/>
    <xf numFmtId="164" fontId="68" fillId="0" borderId="43" applyAlignment="1" pivotButton="0" quotePrefix="0" xfId="8">
      <alignment vertical="center"/>
    </xf>
    <xf numFmtId="0" fontId="64" fillId="0" borderId="9" applyAlignment="1" pivotButton="0" quotePrefix="0" xfId="8">
      <alignment horizontal="center"/>
    </xf>
    <xf numFmtId="164" fontId="64" fillId="0" borderId="9" pivotButton="0" quotePrefix="0" xfId="8"/>
    <xf numFmtId="0" fontId="69" fillId="0" borderId="0" pivotButton="0" quotePrefix="0" xfId="9"/>
    <xf numFmtId="10" fontId="62" fillId="0" borderId="9" applyAlignment="1" pivotButton="0" quotePrefix="0" xfId="8">
      <alignment horizontal="center"/>
    </xf>
    <xf numFmtId="164" fontId="68" fillId="0" borderId="9" pivotButton="0" quotePrefix="0" xfId="8"/>
    <xf numFmtId="168" fontId="70" fillId="0" borderId="0" pivotButton="0" quotePrefix="0" xfId="9"/>
    <xf numFmtId="0" fontId="71" fillId="0" borderId="0" pivotButton="0" quotePrefix="0" xfId="9"/>
    <xf numFmtId="0" fontId="64" fillId="0" borderId="44" applyAlignment="1" pivotButton="0" quotePrefix="0" xfId="8">
      <alignment horizontal="center"/>
    </xf>
    <xf numFmtId="0" fontId="72" fillId="0" borderId="44" applyAlignment="1" pivotButton="0" quotePrefix="0" xfId="8">
      <alignment horizontal="center"/>
    </xf>
    <xf numFmtId="0" fontId="72" fillId="0" borderId="34" applyAlignment="1" pivotButton="0" quotePrefix="0" xfId="8">
      <alignment horizontal="center" vertical="center"/>
    </xf>
    <xf numFmtId="164" fontId="72" fillId="0" borderId="44" pivotButton="0" quotePrefix="0" xfId="8"/>
    <xf numFmtId="0" fontId="62" fillId="0" borderId="45" applyAlignment="1" pivotButton="0" quotePrefix="0" xfId="8">
      <alignment horizontal="center"/>
    </xf>
    <xf numFmtId="0" fontId="62" fillId="0" borderId="45" pivotButton="0" quotePrefix="0" xfId="8"/>
    <xf numFmtId="164" fontId="62" fillId="0" borderId="45" pivotButton="0" quotePrefix="0" xfId="8"/>
    <xf numFmtId="0" fontId="62" fillId="0" borderId="46" applyAlignment="1" pivotButton="0" quotePrefix="0" xfId="8">
      <alignment horizontal="center"/>
    </xf>
    <xf numFmtId="0" fontId="62" fillId="0" borderId="47" pivotButton="0" quotePrefix="0" xfId="8"/>
    <xf numFmtId="0" fontId="62" fillId="0" borderId="48" applyAlignment="1" pivotButton="0" quotePrefix="0" xfId="8">
      <alignment horizontal="center"/>
    </xf>
    <xf numFmtId="164" fontId="62" fillId="0" borderId="49" pivotButton="0" quotePrefix="0" xfId="8"/>
    <xf numFmtId="164" fontId="62" fillId="0" borderId="49" applyAlignment="1" pivotButton="0" quotePrefix="0" xfId="8">
      <alignment horizontal="center"/>
    </xf>
    <xf numFmtId="168" fontId="69" fillId="0" borderId="0" pivotButton="0" quotePrefix="0" xfId="9"/>
    <xf numFmtId="164" fontId="62" fillId="0" borderId="48" applyAlignment="1" pivotButton="0" quotePrefix="0" xfId="8">
      <alignment horizontal="center"/>
    </xf>
    <xf numFmtId="0" fontId="62" fillId="0" borderId="50" applyAlignment="1" pivotButton="0" quotePrefix="0" xfId="8">
      <alignment horizontal="center"/>
    </xf>
    <xf numFmtId="0" fontId="62" fillId="0" borderId="51" pivotButton="0" quotePrefix="0" xfId="8"/>
    <xf numFmtId="0" fontId="62" fillId="0" borderId="52" applyAlignment="1" pivotButton="0" quotePrefix="0" xfId="8">
      <alignment horizontal="center"/>
    </xf>
    <xf numFmtId="164" fontId="62" fillId="0" borderId="41" pivotButton="0" quotePrefix="0" xfId="8"/>
    <xf numFmtId="164" fontId="63" fillId="0" borderId="0" pivotButton="0" quotePrefix="0" xfId="9"/>
    <xf numFmtId="166" fontId="56" fillId="2" borderId="0" applyAlignment="1" pivotButton="0" quotePrefix="0" xfId="6">
      <alignment horizontal="center" vertical="center"/>
    </xf>
    <xf numFmtId="166" fontId="56" fillId="2" borderId="0" applyAlignment="1" pivotButton="0" quotePrefix="0" xfId="6">
      <alignment horizontal="left" vertical="center"/>
    </xf>
    <xf numFmtId="164" fontId="36" fillId="2" borderId="0" applyAlignment="1" pivotButton="0" quotePrefix="0" xfId="6">
      <alignment vertical="center"/>
    </xf>
    <xf numFmtId="0" fontId="15" fillId="3" borderId="10" applyAlignment="1" pivotButton="0" quotePrefix="0" xfId="5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18" fillId="2" borderId="6" applyAlignment="1" pivotButton="0" quotePrefix="0" xfId="6">
      <alignment horizontal="center" vertical="center"/>
    </xf>
    <xf numFmtId="171" fontId="19" fillId="0" borderId="8" applyAlignment="1" pivotButton="0" quotePrefix="0" xfId="5">
      <alignment horizontal="center" vertical="center"/>
    </xf>
    <xf numFmtId="164" fontId="18" fillId="2" borderId="9" applyAlignment="1" pivotButton="0" quotePrefix="0" xfId="7">
      <alignment horizontal="right" vertical="center"/>
    </xf>
    <xf numFmtId="0" fontId="20" fillId="0" borderId="10" applyAlignment="1" pivotButton="0" quotePrefix="0" xfId="5">
      <alignment horizontal="center"/>
    </xf>
    <xf numFmtId="164" fontId="20" fillId="3" borderId="10" applyAlignment="1" pivotButton="0" quotePrefix="0" xfId="7">
      <alignment horizontal="right" vertical="center"/>
    </xf>
    <xf numFmtId="171" fontId="19" fillId="0" borderId="8" applyAlignment="1" pivotButton="0" quotePrefix="0" xfId="5">
      <alignment horizontal="left" vertical="center"/>
    </xf>
    <xf numFmtId="164" fontId="22" fillId="2" borderId="9" applyAlignment="1" pivotButton="0" quotePrefix="0" xfId="7">
      <alignment horizontal="right" vertical="center"/>
    </xf>
    <xf numFmtId="164" fontId="17" fillId="0" borderId="0" pivotButton="0" quotePrefix="0" xfId="0"/>
    <xf numFmtId="0" fontId="20" fillId="0" borderId="10" applyAlignment="1" pivotButton="0" quotePrefix="0" xfId="5">
      <alignment horizontal="left" vertical="center"/>
    </xf>
    <xf numFmtId="164" fontId="29" fillId="0" borderId="0" pivotButton="0" quotePrefix="0" xfId="5"/>
    <xf numFmtId="164" fontId="29" fillId="0" borderId="0" applyAlignment="1" pivotButton="0" quotePrefix="0" xfId="5">
      <alignment horizontal="center"/>
    </xf>
    <xf numFmtId="164" fontId="34" fillId="0" borderId="0" pivotButton="0" quotePrefix="0" xfId="5"/>
    <xf numFmtId="164" fontId="26" fillId="2" borderId="14" applyAlignment="1" pivotButton="0" quotePrefix="0" xfId="5">
      <alignment horizontal="center" vertical="center"/>
    </xf>
    <xf numFmtId="164" fontId="27" fillId="8" borderId="15" applyAlignment="1" pivotButton="0" quotePrefix="0" xfId="5">
      <alignment horizontal="center" vertical="center"/>
    </xf>
    <xf numFmtId="164" fontId="30" fillId="0" borderId="19" applyAlignment="1" pivotButton="0" quotePrefix="0" xfId="6">
      <alignment vertical="center"/>
    </xf>
    <xf numFmtId="164" fontId="33" fillId="8" borderId="21" applyAlignment="1" pivotButton="0" quotePrefix="0" xfId="6">
      <alignment vertical="center"/>
    </xf>
    <xf numFmtId="164" fontId="35" fillId="0" borderId="19" applyAlignment="1" pivotButton="0" quotePrefix="0" xfId="6">
      <alignment vertical="center"/>
    </xf>
    <xf numFmtId="166" fontId="33" fillId="2" borderId="24" applyAlignment="1" pivotButton="0" quotePrefix="0" xfId="6">
      <alignment vertical="center"/>
    </xf>
    <xf numFmtId="166" fontId="33" fillId="6" borderId="24" applyAlignment="1" pivotButton="0" quotePrefix="0" xfId="6">
      <alignment vertical="center"/>
    </xf>
    <xf numFmtId="166" fontId="33" fillId="3" borderId="24" applyAlignment="1" pivotButton="0" quotePrefix="0" xfId="6">
      <alignment vertical="center"/>
    </xf>
    <xf numFmtId="166" fontId="33" fillId="5" borderId="24" applyAlignment="1" pivotButton="0" quotePrefix="0" xfId="6">
      <alignment vertical="center"/>
    </xf>
    <xf numFmtId="166" fontId="33" fillId="7" borderId="24" applyAlignment="1" pivotButton="0" quotePrefix="0" xfId="6">
      <alignment vertical="center"/>
    </xf>
    <xf numFmtId="164" fontId="36" fillId="8" borderId="21" applyAlignment="1" pivotButton="0" quotePrefix="0" xfId="6">
      <alignment vertical="center"/>
    </xf>
    <xf numFmtId="166" fontId="37" fillId="2" borderId="24" applyAlignment="1" pivotButton="0" quotePrefix="0" xfId="6">
      <alignment vertical="center" wrapText="1"/>
    </xf>
    <xf numFmtId="1" fontId="41" fillId="8" borderId="21" applyAlignment="1" pivotButton="0" quotePrefix="0" xfId="6">
      <alignment vertical="center"/>
    </xf>
    <xf numFmtId="164" fontId="38" fillId="0" borderId="19" applyAlignment="1" pivotButton="0" quotePrefix="0" xfId="6">
      <alignment vertical="center"/>
    </xf>
    <xf numFmtId="166" fontId="37" fillId="2" borderId="19" applyAlignment="1" pivotButton="0" quotePrefix="0" xfId="6">
      <alignment vertical="center" wrapText="1"/>
    </xf>
    <xf numFmtId="164" fontId="40" fillId="0" borderId="19" applyAlignment="1" pivotButton="0" quotePrefix="0" xfId="6">
      <alignment vertical="center"/>
    </xf>
    <xf numFmtId="166" fontId="37" fillId="6" borderId="24" applyAlignment="1" pivotButton="0" quotePrefix="0" xfId="6">
      <alignment vertical="center" wrapText="1"/>
    </xf>
    <xf numFmtId="166" fontId="37" fillId="3" borderId="24" applyAlignment="1" pivotButton="0" quotePrefix="0" xfId="6">
      <alignment vertical="center" wrapText="1"/>
    </xf>
    <xf numFmtId="166" fontId="37" fillId="5" borderId="24" applyAlignment="1" pivotButton="0" quotePrefix="0" xfId="6">
      <alignment vertical="center" wrapText="1"/>
    </xf>
    <xf numFmtId="166" fontId="37" fillId="7" borderId="24" applyAlignment="1" pivotButton="0" quotePrefix="0" xfId="6">
      <alignment vertical="center" wrapText="1"/>
    </xf>
    <xf numFmtId="164" fontId="41" fillId="8" borderId="21" applyAlignment="1" pivotButton="0" quotePrefix="0" xfId="6">
      <alignment vertical="center"/>
    </xf>
    <xf numFmtId="164" fontId="44" fillId="0" borderId="19" applyAlignment="1" pivotButton="0" quotePrefix="0" xfId="6">
      <alignment vertical="center"/>
    </xf>
    <xf numFmtId="166" fontId="25" fillId="0" borderId="26" applyAlignment="1" pivotButton="0" quotePrefix="0" xfId="6">
      <alignment horizontal="left" vertical="center" wrapText="1"/>
    </xf>
    <xf numFmtId="166" fontId="25" fillId="0" borderId="27" applyAlignment="1" pivotButton="0" quotePrefix="0" xfId="6">
      <alignment horizontal="center" vertical="center" wrapText="1"/>
    </xf>
    <xf numFmtId="164" fontId="45" fillId="0" borderId="28" applyAlignment="1" pivotButton="0" quotePrefix="0" xfId="6">
      <alignment vertical="center"/>
    </xf>
    <xf numFmtId="166" fontId="27" fillId="2" borderId="16" applyAlignment="1" pivotButton="0" quotePrefix="0" xfId="6">
      <alignment vertical="center"/>
    </xf>
    <xf numFmtId="166" fontId="27" fillId="2" borderId="29" applyAlignment="1" pivotButton="0" quotePrefix="0" xfId="6">
      <alignment vertical="center"/>
    </xf>
    <xf numFmtId="166" fontId="27" fillId="6" borderId="29" applyAlignment="1" pivotButton="0" quotePrefix="0" xfId="6">
      <alignment vertical="center"/>
    </xf>
    <xf numFmtId="166" fontId="27" fillId="3" borderId="29" applyAlignment="1" pivotButton="0" quotePrefix="0" xfId="6">
      <alignment vertical="center"/>
    </xf>
    <xf numFmtId="166" fontId="27" fillId="5" borderId="29" applyAlignment="1" pivotButton="0" quotePrefix="0" xfId="6">
      <alignment vertical="center"/>
    </xf>
    <xf numFmtId="166" fontId="27" fillId="7" borderId="29" applyAlignment="1" pivotButton="0" quotePrefix="0" xfId="6">
      <alignment vertical="center"/>
    </xf>
    <xf numFmtId="164" fontId="46" fillId="8" borderId="15" applyAlignment="1" pivotButton="0" quotePrefix="0" xfId="6">
      <alignment vertical="center"/>
    </xf>
    <xf numFmtId="166" fontId="47" fillId="0" borderId="30" applyAlignment="1" pivotButton="0" quotePrefix="0" xfId="6">
      <alignment horizontal="left" vertical="center" wrapText="1"/>
    </xf>
    <xf numFmtId="166" fontId="47" fillId="0" borderId="0" applyAlignment="1" pivotButton="0" quotePrefix="0" xfId="6">
      <alignment horizontal="center" vertical="center" wrapText="1"/>
    </xf>
    <xf numFmtId="164" fontId="45" fillId="0" borderId="13" applyAlignment="1" pivotButton="0" quotePrefix="0" xfId="6">
      <alignment vertical="center"/>
    </xf>
    <xf numFmtId="166" fontId="48" fillId="2" borderId="22" applyAlignment="1" pivotButton="0" quotePrefix="0" xfId="6">
      <alignment vertical="center" wrapText="1"/>
    </xf>
    <xf numFmtId="166" fontId="48" fillId="2" borderId="24" applyAlignment="1" pivotButton="0" quotePrefix="0" xfId="6">
      <alignment vertical="center" wrapText="1"/>
    </xf>
    <xf numFmtId="166" fontId="48" fillId="6" borderId="24" applyAlignment="1" pivotButton="0" quotePrefix="0" xfId="6">
      <alignment vertical="center" wrapText="1"/>
    </xf>
    <xf numFmtId="166" fontId="48" fillId="3" borderId="24" applyAlignment="1" pivotButton="0" quotePrefix="0" xfId="6">
      <alignment vertical="center" wrapText="1"/>
    </xf>
    <xf numFmtId="166" fontId="27" fillId="5" borderId="20" applyAlignment="1" pivotButton="0" quotePrefix="0" xfId="6">
      <alignment vertical="center"/>
    </xf>
    <xf numFmtId="166" fontId="27" fillId="7" borderId="20" applyAlignment="1" pivotButton="0" quotePrefix="0" xfId="6">
      <alignment vertical="center"/>
    </xf>
    <xf numFmtId="166" fontId="25" fillId="0" borderId="30" applyAlignment="1" pivotButton="0" quotePrefix="0" xfId="6">
      <alignment horizontal="left" vertical="center" wrapText="1"/>
    </xf>
    <xf numFmtId="166" fontId="25" fillId="0" borderId="0" applyAlignment="1" pivotButton="0" quotePrefix="0" xfId="6">
      <alignment horizontal="center" vertical="center" wrapText="1"/>
    </xf>
    <xf numFmtId="166" fontId="49" fillId="2" borderId="24" applyAlignment="1" pivotButton="0" quotePrefix="0" xfId="6">
      <alignment vertical="center" wrapText="1"/>
    </xf>
    <xf numFmtId="166" fontId="49" fillId="6" borderId="24" applyAlignment="1" pivotButton="0" quotePrefix="0" xfId="6">
      <alignment vertical="center" wrapText="1"/>
    </xf>
    <xf numFmtId="166" fontId="49" fillId="3" borderId="24" applyAlignment="1" pivotButton="0" quotePrefix="0" xfId="6">
      <alignment vertical="center" wrapText="1"/>
    </xf>
    <xf numFmtId="166" fontId="50" fillId="5" borderId="31" applyAlignment="1" pivotButton="0" quotePrefix="0" xfId="6">
      <alignment vertical="center"/>
    </xf>
    <xf numFmtId="166" fontId="50" fillId="7" borderId="31" applyAlignment="1" pivotButton="0" quotePrefix="0" xfId="6">
      <alignment vertical="center"/>
    </xf>
    <xf numFmtId="164" fontId="50" fillId="8" borderId="15" applyAlignment="1" pivotButton="0" quotePrefix="0" xfId="6">
      <alignment vertical="center"/>
    </xf>
    <xf numFmtId="166" fontId="27" fillId="5" borderId="31" applyAlignment="1" pivotButton="0" quotePrefix="0" xfId="6">
      <alignment vertical="center"/>
    </xf>
    <xf numFmtId="166" fontId="27" fillId="7" borderId="31" applyAlignment="1" pivotButton="0" quotePrefix="0" xfId="6">
      <alignment vertical="center"/>
    </xf>
    <xf numFmtId="166" fontId="48" fillId="5" borderId="24" applyAlignment="1" pivotButton="0" quotePrefix="0" xfId="6">
      <alignment vertical="center" wrapText="1"/>
    </xf>
    <xf numFmtId="164" fontId="46" fillId="8" borderId="32" applyAlignment="1" pivotButton="0" quotePrefix="0" xfId="6">
      <alignment vertical="center"/>
    </xf>
    <xf numFmtId="166" fontId="51" fillId="0" borderId="33" applyAlignment="1" pivotButton="0" quotePrefix="0" xfId="6">
      <alignment horizontal="left" vertical="center"/>
    </xf>
    <xf numFmtId="166" fontId="51" fillId="0" borderId="34" applyAlignment="1" pivotButton="0" quotePrefix="0" xfId="6">
      <alignment horizontal="center" vertical="center"/>
    </xf>
    <xf numFmtId="164" fontId="45" fillId="0" borderId="14" applyAlignment="1" pivotButton="0" quotePrefix="0" xfId="6">
      <alignment vertical="center"/>
    </xf>
    <xf numFmtId="166" fontId="49" fillId="2" borderId="22" applyAlignment="1" pivotButton="0" quotePrefix="0" xfId="6">
      <alignment vertical="center" wrapText="1"/>
    </xf>
    <xf numFmtId="166" fontId="49" fillId="5" borderId="24" applyAlignment="1" pivotButton="0" quotePrefix="0" xfId="6">
      <alignment vertical="center" wrapText="1"/>
    </xf>
    <xf numFmtId="166" fontId="49" fillId="7" borderId="24" applyAlignment="1" pivotButton="0" quotePrefix="0" xfId="6">
      <alignment vertical="center" wrapText="1"/>
    </xf>
    <xf numFmtId="164" fontId="50" fillId="8" borderId="32" applyAlignment="1" pivotButton="0" quotePrefix="0" xfId="6">
      <alignment vertical="center"/>
    </xf>
    <xf numFmtId="166" fontId="53" fillId="2" borderId="26" applyAlignment="1" pivotButton="0" quotePrefix="0" xfId="6">
      <alignment horizontal="left" vertical="center" wrapText="1"/>
    </xf>
    <xf numFmtId="166" fontId="53" fillId="2" borderId="18" applyAlignment="1" pivotButton="0" quotePrefix="0" xfId="6">
      <alignment horizontal="center" vertical="center" wrapText="1"/>
    </xf>
    <xf numFmtId="164" fontId="54" fillId="2" borderId="35" applyAlignment="1" pivotButton="0" quotePrefix="0" xfId="6">
      <alignment vertical="center"/>
    </xf>
    <xf numFmtId="166" fontId="46" fillId="6" borderId="29" applyAlignment="1" pivotButton="0" quotePrefix="0" xfId="6">
      <alignment vertical="center" wrapText="1"/>
    </xf>
    <xf numFmtId="166" fontId="53" fillId="2" borderId="37" applyAlignment="1" pivotButton="0" quotePrefix="0" xfId="6">
      <alignment horizontal="left" vertical="center" wrapText="1"/>
    </xf>
    <xf numFmtId="166" fontId="53" fillId="2" borderId="0" applyAlignment="1" pivotButton="0" quotePrefix="0" xfId="6">
      <alignment horizontal="center" vertical="center" wrapText="1"/>
    </xf>
    <xf numFmtId="166" fontId="46" fillId="2" borderId="38" applyAlignment="1" pivotButton="0" quotePrefix="0" xfId="6">
      <alignment vertical="center" wrapText="1"/>
    </xf>
    <xf numFmtId="166" fontId="46" fillId="2" borderId="39" applyAlignment="1" pivotButton="0" quotePrefix="0" xfId="6">
      <alignment vertical="center" wrapText="1"/>
    </xf>
    <xf numFmtId="166" fontId="46" fillId="2" borderId="40" applyAlignment="1" pivotButton="0" quotePrefix="0" xfId="6">
      <alignment vertical="center" wrapText="1"/>
    </xf>
    <xf numFmtId="166" fontId="37" fillId="0" borderId="41" applyAlignment="1" pivotButton="0" quotePrefix="0" xfId="6">
      <alignment vertical="center"/>
    </xf>
    <xf numFmtId="166" fontId="56" fillId="4" borderId="16" applyAlignment="1" pivotButton="0" quotePrefix="0" xfId="6">
      <alignment horizontal="center" vertical="center"/>
    </xf>
    <xf numFmtId="166" fontId="56" fillId="4" borderId="29" applyAlignment="1" pivotButton="0" quotePrefix="0" xfId="6">
      <alignment horizontal="left" vertical="center"/>
    </xf>
    <xf numFmtId="166" fontId="36" fillId="4" borderId="17" applyAlignment="1" pivotButton="0" quotePrefix="0" xfId="6">
      <alignment horizontal="center" vertical="center"/>
    </xf>
    <xf numFmtId="166" fontId="37" fillId="0" borderId="0" applyAlignment="1" pivotButton="0" quotePrefix="0" xfId="6">
      <alignment wrapText="1"/>
    </xf>
    <xf numFmtId="166" fontId="56" fillId="2" borderId="22" applyAlignment="1" pivotButton="0" quotePrefix="0" xfId="6">
      <alignment horizontal="center" vertical="center"/>
    </xf>
    <xf numFmtId="166" fontId="56" fillId="2" borderId="24" applyAlignment="1" pivotButton="0" quotePrefix="0" xfId="6">
      <alignment horizontal="left" vertical="center"/>
    </xf>
    <xf numFmtId="164" fontId="36" fillId="2" borderId="21" applyAlignment="1" pivotButton="0" quotePrefix="0" xfId="6">
      <alignment vertical="center"/>
    </xf>
    <xf numFmtId="166" fontId="37" fillId="0" borderId="0" applyAlignment="1" pivotButton="0" quotePrefix="0" xfId="6">
      <alignment vertical="center"/>
    </xf>
    <xf numFmtId="9" fontId="36" fillId="2" borderId="21" applyAlignment="1" pivotButton="0" quotePrefix="0" xfId="6">
      <alignment vertical="center"/>
    </xf>
    <xf numFmtId="170" fontId="36" fillId="2" borderId="21" applyAlignment="1" pivotButton="0" quotePrefix="0" xfId="6">
      <alignment vertical="center"/>
    </xf>
    <xf numFmtId="1" fontId="36" fillId="2" borderId="21" applyAlignment="1" pivotButton="0" quotePrefix="0" xfId="6">
      <alignment vertical="center"/>
    </xf>
    <xf numFmtId="166" fontId="56" fillId="2" borderId="36" applyAlignment="1" pivotButton="0" quotePrefix="0" xfId="6">
      <alignment horizontal="center" vertical="center"/>
    </xf>
    <xf numFmtId="166" fontId="56" fillId="2" borderId="42" applyAlignment="1" pivotButton="0" quotePrefix="0" xfId="6">
      <alignment horizontal="left" vertical="center"/>
    </xf>
    <xf numFmtId="164" fontId="36" fillId="2" borderId="32" applyAlignment="1" pivotButton="0" quotePrefix="0" xfId="6">
      <alignment vertical="center"/>
    </xf>
    <xf numFmtId="166" fontId="57" fillId="0" borderId="0" applyAlignment="1" pivotButton="0" quotePrefix="0" xfId="6">
      <alignment vertical="center"/>
    </xf>
    <xf numFmtId="166" fontId="57" fillId="0" borderId="0" applyAlignment="1" pivotButton="0" quotePrefix="0" xfId="6">
      <alignment horizontal="center" vertical="center"/>
    </xf>
    <xf numFmtId="164" fontId="29" fillId="0" borderId="0" applyAlignment="1" pivotButton="0" quotePrefix="0" xfId="6">
      <alignment vertical="center"/>
    </xf>
    <xf numFmtId="166" fontId="57" fillId="0" borderId="0" pivotButton="0" quotePrefix="0" xfId="6"/>
    <xf numFmtId="164" fontId="64" fillId="0" borderId="10" applyAlignment="1" pivotButton="0" quotePrefix="0" xfId="8">
      <alignment horizontal="center" vertical="center" wrapText="1"/>
    </xf>
    <xf numFmtId="164" fontId="62" fillId="0" borderId="9" pivotButton="0" quotePrefix="0" xfId="8"/>
    <xf numFmtId="164" fontId="64" fillId="0" borderId="9" applyAlignment="1" pivotButton="0" quotePrefix="0" xfId="8">
      <alignment vertical="center"/>
    </xf>
    <xf numFmtId="164" fontId="72" fillId="0" borderId="44" pivotButton="0" quotePrefix="0" xfId="8"/>
    <xf numFmtId="164" fontId="62" fillId="0" borderId="49" applyAlignment="1" pivotButton="0" quotePrefix="0" xfId="8">
      <alignment horizontal="center"/>
    </xf>
    <xf numFmtId="164" fontId="62" fillId="0" borderId="48" applyAlignment="1" pivotButton="0" quotePrefix="0" xfId="8">
      <alignment horizontal="center"/>
    </xf>
  </cellXfs>
  <cellStyles count="12">
    <cellStyle name="Normal" xfId="0" builtinId="0"/>
    <cellStyle name="Currency" xfId="1" builtinId="4"/>
    <cellStyle name="Percent" xfId="2" builtinId="5"/>
    <cellStyle name="Normal 2 2 2" xfId="3"/>
    <cellStyle name="Normal 3 2 2 2" xfId="4"/>
    <cellStyle name="Normal 11" xfId="5"/>
    <cellStyle name="Comma 12" xfId="6"/>
    <cellStyle name="Currency 5" xfId="7"/>
    <cellStyle name="Normal 13" xfId="8"/>
    <cellStyle name="Normal 12" xfId="9"/>
    <cellStyle name="Comma 13" xfId="10"/>
    <cellStyle name="Percent 5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PROPOSED MONTHLY CASHFLOW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'CASHFLOW SUMMARY'!$B$17:$B$43</f>
            </numRef>
          </cat>
          <val>
            <numRef>
              <f>'CASHFLOW SUMMARY'!$C$17:$C$43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mm 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hdr_logo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hdr_logo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hdr_logo.jpeg"/></Relationships>
</file>

<file path=xl/drawings/drawing1.xml><?xml version="1.0" encoding="utf-8"?>
<wsDr xmlns="http://schemas.openxmlformats.org/drawingml/2006/spreadsheetDrawing">
  <oneCellAnchor>
    <from>
      <col>0</col>
      <colOff>27214</colOff>
      <row>0</row>
      <rowOff>2</rowOff>
    </from>
    <ext cx="328386" cy="10026733"/>
    <pic>
      <nvPicPr>
        <cNvPr id="2" name="Pictur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214" y="2"/>
          <a:ext cx="328386" cy="100267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18473</colOff>
      <row>16</row>
      <rowOff>26815</rowOff>
    </from>
    <ext cx="2967182" cy="2745728"/>
    <pic>
      <nvPicPr>
        <cNvPr id="3" name="Pictur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b="1475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3" y="8149735"/>
          <a:ext cx="2967182" cy="2745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>
    <from>
      <col>1</col>
      <colOff>15875</colOff>
      <row>5</row>
      <rowOff>152399</rowOff>
    </from>
    <to>
      <col>23</col>
      <colOff>158750</colOff>
      <row>46</row>
      <rowOff>66673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3</col>
      <colOff>88900</colOff>
      <row>0</row>
      <rowOff>63501</rowOff>
    </from>
    <ext cx="1428750" cy="933450"/>
    <pic>
      <nvPicPr>
        <cNvPr id="2" name="image2.jpg" title="Image"/>
        <cNvPicPr/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82380" y="63501"/>
          <a:ext cx="1428750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88900</colOff>
      <row>0</row>
      <rowOff>63501</rowOff>
    </from>
    <ext cx="1428750" cy="933450"/>
    <pic>
      <nvPicPr>
        <cNvPr id="3" name="image2.jpg" title="Image"/>
        <cNvPicPr/>
      </nvPicPr>
      <blipFill rotWithShape="1"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82380" y="63501"/>
          <a:ext cx="1428750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?xml version="1.0" encoding="UTF-8" standalone="yes"?>
<Relationships xmlns="http://schemas.openxmlformats.org/package/2006/relationships"><Relationship Id="rIdHF1" Type="http://schemas.openxmlformats.org/officeDocument/2006/relationships/vmlDrawing" Target="../drawings/vmlDrawing1.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Id="rIdHF1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HF1" Type="http://schemas.openxmlformats.org/officeDocument/2006/relationships/vmlDrawing" Target="../drawings/vmlDrawing3.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K182"/>
  <sheetViews>
    <sheetView tabSelected="1" view="pageBreakPreview" topLeftCell="A9" zoomScale="25" workbookViewId="0">
      <selection activeCell="J27" sqref="J27"/>
    </sheetView>
  </sheetViews>
  <sheetFormatPr baseColWidth="8" defaultColWidth="9.109375" defaultRowHeight="31.5" customHeight="1"/>
  <cols>
    <col width="4.88671875" customWidth="1" style="1" min="1" max="1"/>
    <col width="19.33203125" customWidth="1" style="6" min="2" max="2"/>
    <col width="156.5546875" customWidth="1" style="11" min="3" max="3"/>
    <col width="5.88671875" customWidth="1" style="1" min="4" max="4"/>
    <col width="4.44140625" customWidth="1" style="15" min="5" max="5"/>
    <col width="40.5546875" customWidth="1" style="15" min="6" max="6"/>
    <col width="7.33203125" customWidth="1" style="6" min="7" max="7"/>
    <col width="10" customWidth="1" style="6" min="8" max="8"/>
    <col width="11" customWidth="1" style="6" min="9" max="9"/>
    <col width="7.88671875" customWidth="1" style="6" min="10" max="10"/>
    <col width="13.6640625" customWidth="1" style="6" min="11" max="11"/>
    <col width="9.109375" customWidth="1" style="6" min="12" max="16384"/>
  </cols>
  <sheetData>
    <row r="1" ht="31.5" customHeight="1">
      <c r="B1" s="2" t="n"/>
      <c r="C1" s="3" t="n"/>
      <c r="D1" s="4" t="n"/>
      <c r="E1" s="5" t="n"/>
      <c r="F1" s="5" t="n"/>
    </row>
    <row r="2" ht="31.5" customHeight="1">
      <c r="B2" s="2" t="n"/>
      <c r="C2" s="3" t="n"/>
      <c r="D2" s="4" t="n"/>
      <c r="E2" s="5" t="n"/>
      <c r="F2" s="5" t="n"/>
    </row>
    <row r="3" ht="31.5" customHeight="1">
      <c r="B3" s="2" t="n"/>
      <c r="C3" s="3" t="n"/>
      <c r="D3" s="4" t="n"/>
      <c r="E3" s="5" t="n"/>
      <c r="F3" s="5" t="n"/>
    </row>
    <row r="4" ht="31.5" customHeight="1">
      <c r="B4" s="2" t="n"/>
      <c r="C4" s="3" t="n"/>
      <c r="D4" s="4" t="n"/>
      <c r="E4" s="5" t="n"/>
      <c r="F4" s="5" t="n"/>
    </row>
    <row r="5" ht="31.5" customHeight="1">
      <c r="B5" s="2" t="n"/>
      <c r="C5" s="2" t="n"/>
      <c r="D5" s="2" t="n"/>
      <c r="E5" s="2" t="n"/>
      <c r="F5" s="2" t="n"/>
    </row>
    <row r="6" ht="31.5" customHeight="1">
      <c r="B6" s="2" t="n"/>
      <c r="C6" s="2" t="n"/>
      <c r="D6" s="2" t="n"/>
      <c r="E6" s="2" t="n"/>
      <c r="F6" s="2" t="n"/>
    </row>
    <row r="7" ht="31.5" customHeight="1">
      <c r="B7" s="2" t="n"/>
      <c r="C7" s="2" t="n"/>
      <c r="D7" s="2" t="n"/>
      <c r="E7" s="2" t="n"/>
      <c r="F7" s="2" t="n"/>
    </row>
    <row r="8" ht="21.75" customHeight="1">
      <c r="B8" s="7" t="n"/>
      <c r="C8" s="7" t="n"/>
      <c r="D8" s="7" t="n"/>
      <c r="E8" s="7" t="n"/>
      <c r="F8" s="7" t="n"/>
    </row>
    <row r="9" ht="177" customHeight="1">
      <c r="A9" s="1" t="inlineStr">
        <is>
          <t>S</t>
        </is>
      </c>
      <c r="B9" s="8" t="inlineStr">
        <is>
          <t>CASHFLOW FORECAST FOR PROPOSED HEAD OFFICE FOR PRIORITY INSURANCE</t>
        </is>
      </c>
    </row>
    <row r="10" ht="31.5" customHeight="1"/>
    <row r="11" ht="31.5" customHeight="1">
      <c r="A11" s="1" t="inlineStr">
        <is>
          <t xml:space="preserve">   </t>
        </is>
      </c>
    </row>
    <row r="12" ht="31.5" customHeight="1"/>
    <row r="13" ht="31.5" customHeight="1">
      <c r="B13" s="10" t="n"/>
      <c r="C13" s="10" t="n"/>
      <c r="D13" s="10" t="n"/>
      <c r="E13" s="10" t="n"/>
      <c r="F13" s="10" t="n"/>
    </row>
    <row r="14" ht="31.5" customHeight="1">
      <c r="B14" s="10" t="n"/>
      <c r="C14" s="10" t="n"/>
      <c r="D14" s="10" t="n"/>
      <c r="E14" s="10" t="n"/>
      <c r="F14" s="10" t="n"/>
    </row>
    <row r="15" ht="35.4" customHeight="1">
      <c r="B15" s="10" t="n"/>
    </row>
    <row r="16" ht="31.5" customHeight="1">
      <c r="B16" s="2" t="n"/>
      <c r="C16" s="2" t="n"/>
      <c r="D16" s="2" t="n"/>
      <c r="E16" s="2" t="n"/>
      <c r="F16" s="2" t="n"/>
    </row>
    <row r="18" ht="31.5" customHeight="1">
      <c r="E18" s="12" t="n"/>
      <c r="F18" s="13" t="n"/>
    </row>
    <row r="19" ht="31.5" customHeight="1">
      <c r="E19" s="12" t="n"/>
      <c r="F19" s="13" t="n"/>
    </row>
    <row r="20" ht="31.5" customHeight="1">
      <c r="E20" s="14" t="n"/>
      <c r="F20" s="14" t="n"/>
    </row>
    <row r="21" ht="31.5" customHeight="1">
      <c r="F21" s="16" t="inlineStr">
        <is>
          <t>OCTOBER, 2026</t>
        </is>
      </c>
    </row>
    <row r="23" ht="31.5" customFormat="1" customHeight="1" s="18">
      <c r="A23" s="17" t="n"/>
      <c r="C23" s="12" t="inlineStr">
        <is>
          <t>www.spektra.global // +233 30 321 7241 //</t>
        </is>
      </c>
      <c r="D23" s="17" t="n"/>
      <c r="E23" s="19" t="n"/>
      <c r="F23" s="20" t="inlineStr">
        <is>
          <t>SPEKTRA GLOBAL LTD</t>
        </is>
      </c>
    </row>
    <row r="182" ht="31.5" customFormat="1" customHeight="1" s="11">
      <c r="A182" s="1" t="n"/>
      <c r="B182" s="6" t="inlineStr">
        <is>
          <t>GROUND TOTAL TO SUMMARY</t>
        </is>
      </c>
      <c r="D182" s="1" t="n"/>
      <c r="E182" s="15" t="n"/>
      <c r="F182" s="15" t="n"/>
      <c r="G182" s="6" t="n"/>
      <c r="H182" s="6" t="n"/>
      <c r="I182" s="6" t="n"/>
      <c r="J182" s="6" t="n"/>
      <c r="K182" s="6" t="n"/>
    </row>
  </sheetData>
  <mergeCells count="2">
    <mergeCell ref="B15:F15"/>
    <mergeCell ref="B9:F12"/>
  </mergeCells>
  <pageMargins left="0.7086614173228347" right="0.7086614173228347" top="0.7480314960629921" bottom="0.7480314960629921" header="0.3149606299212598" footer="0.3149606299212598"/>
  <pageSetup orientation="landscape" paperSize="9" scale="57"/>
  <headerFooter differentFirst="1">
    <oddHeader>&amp;L&amp;"Arial Narrow,Bold"&amp;16 &amp;G&amp;C&amp;"Times New Roman,Bold"&amp;14 CASHFLOW FORECAST FOR PROPOSED HEAD OFFICE FOR PRIORITY INSURANCE&amp;R&amp;"Times New Roman,Bold"&amp;14 OCTOBER, 2026</oddHeader>
    <oddFooter>&amp;R&amp;P/&amp;N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D44"/>
  <sheetViews>
    <sheetView view="pageBreakPreview" topLeftCell="A43" zoomScale="60" workbookViewId="0">
      <selection activeCell="C58" sqref="C58"/>
    </sheetView>
  </sheetViews>
  <sheetFormatPr baseColWidth="8" defaultRowHeight="34.8"/>
  <cols>
    <col width="30.33203125" customWidth="1" min="1" max="1"/>
    <col width="63.109375" customWidth="1" min="2" max="2"/>
    <col width="58.6640625" customWidth="1" min="3" max="3"/>
    <col width="35.44140625" customWidth="1" style="24" min="4" max="4"/>
    <col width="18.33203125" bestFit="1" customWidth="1" min="6" max="6"/>
  </cols>
  <sheetData>
    <row r="1" ht="35.4" customHeight="1">
      <c r="A1" s="281" t="inlineStr">
        <is>
          <t>PROPOSED  CASH FLOW AGGREGATED</t>
        </is>
      </c>
      <c r="B1" s="282" t="n"/>
      <c r="C1" s="283" t="n"/>
    </row>
    <row r="2" ht="35.4" customHeight="1">
      <c r="A2" s="25" t="inlineStr">
        <is>
          <t xml:space="preserve">PAYMENT NO. </t>
        </is>
      </c>
      <c r="B2" s="26" t="inlineStr">
        <is>
          <t>MONTH, YEAR</t>
        </is>
      </c>
      <c r="C2" s="284" t="inlineStr">
        <is>
          <t>AMOUNT (US$)</t>
        </is>
      </c>
    </row>
    <row r="3" ht="35.4" customHeight="1">
      <c r="A3" s="28" t="inlineStr">
        <is>
          <t>PMT 1 (ADV.)</t>
        </is>
      </c>
      <c r="B3" s="285">
        <f>' CASHFLOW'!E1</f>
        <v/>
      </c>
      <c r="C3" s="286">
        <f>SUM(' CASHFLOW'!E97:E97)</f>
        <v/>
      </c>
    </row>
    <row r="4" ht="35.4" customHeight="1">
      <c r="A4" s="31" t="inlineStr">
        <is>
          <t>PMT 2</t>
        </is>
      </c>
      <c r="B4" s="285">
        <f>' CASHFLOW'!I1</f>
        <v/>
      </c>
      <c r="C4" s="286">
        <f>SUM(' CASHFLOW'!F97:I97)</f>
        <v/>
      </c>
    </row>
    <row r="5" ht="35.4" customHeight="1">
      <c r="A5" s="31" t="inlineStr">
        <is>
          <t>PMT 3</t>
        </is>
      </c>
      <c r="B5" s="285">
        <f>' CASHFLOW'!M1</f>
        <v/>
      </c>
      <c r="C5" s="286">
        <f>SUM(' CASHFLOW'!J97:M97)</f>
        <v/>
      </c>
    </row>
    <row r="6" ht="35.4" customHeight="1">
      <c r="A6" s="31" t="inlineStr">
        <is>
          <t>PMT 4</t>
        </is>
      </c>
      <c r="B6" s="285">
        <f>' CASHFLOW'!Q1</f>
        <v/>
      </c>
      <c r="C6" s="286">
        <f>SUM(' CASHFLOW'!N97:Q97)</f>
        <v/>
      </c>
    </row>
    <row r="7" ht="35.4" customHeight="1">
      <c r="A7" s="31" t="inlineStr">
        <is>
          <t>PMT 5</t>
        </is>
      </c>
      <c r="B7" s="285">
        <f>' CASHFLOW'!U1</f>
        <v/>
      </c>
      <c r="C7" s="286">
        <f>SUM(' CASHFLOW'!R97:U97)</f>
        <v/>
      </c>
    </row>
    <row r="8" ht="35.4" customHeight="1">
      <c r="A8" s="31" t="inlineStr">
        <is>
          <t>PMT 6</t>
        </is>
      </c>
      <c r="B8" s="285">
        <f>' CASHFLOW'!Y1</f>
        <v/>
      </c>
      <c r="C8" s="286">
        <f>SUM(' CASHFLOW'!V97:Y97)</f>
        <v/>
      </c>
    </row>
    <row r="9" ht="35.4" customHeight="1">
      <c r="A9" s="31" t="inlineStr">
        <is>
          <t>PMT 7</t>
        </is>
      </c>
      <c r="B9" s="285">
        <f>' CASHFLOW'!AC1</f>
        <v/>
      </c>
      <c r="C9" s="286">
        <f>SUM(' CASHFLOW'!Z97:AC97)</f>
        <v/>
      </c>
    </row>
    <row r="10" ht="35.4" customHeight="1">
      <c r="A10" s="31" t="inlineStr">
        <is>
          <t>PMT 8</t>
        </is>
      </c>
      <c r="B10" s="285">
        <f>' CASHFLOW'!AD1</f>
        <v/>
      </c>
      <c r="C10" s="286">
        <f>SUM(' CASHFLOW'!AD97:AD97)</f>
        <v/>
      </c>
    </row>
    <row r="11" ht="35.4" customHeight="1">
      <c r="A11" s="31" t="inlineStr">
        <is>
          <t>PMT 9</t>
        </is>
      </c>
      <c r="B11" s="285">
        <f>' CASHFLOW'!AE1</f>
        <v/>
      </c>
      <c r="C11" s="286">
        <f>SUM(' CASHFLOW'!AE97:AE97)</f>
        <v/>
      </c>
    </row>
    <row r="12" ht="35.4" customHeight="1">
      <c r="A12" s="287" t="inlineStr">
        <is>
          <t>TOTAL PAYMENT</t>
        </is>
      </c>
      <c r="B12" s="283" t="n"/>
      <c r="C12" s="288">
        <f>SUM(C3:C11)</f>
        <v/>
      </c>
    </row>
    <row r="15" ht="35.4" customHeight="1">
      <c r="A15" s="281" t="inlineStr">
        <is>
          <t>PROPOSED CASH FLOW MONTHLY</t>
        </is>
      </c>
      <c r="B15" s="282" t="n"/>
      <c r="C15" s="283" t="n"/>
    </row>
    <row r="16">
      <c r="A16" s="25" t="inlineStr">
        <is>
          <t xml:space="preserve">PAYMENT NO. </t>
        </is>
      </c>
      <c r="B16" s="26" t="inlineStr">
        <is>
          <t>MONTH, YEAR</t>
        </is>
      </c>
      <c r="C16" s="284" t="inlineStr">
        <is>
          <t xml:space="preserve"> AMOUNT (US$) </t>
        </is>
      </c>
    </row>
    <row r="17">
      <c r="A17" s="31" t="inlineStr">
        <is>
          <t>PMT 1 (ADV)</t>
        </is>
      </c>
      <c r="B17" s="289">
        <f>' CASHFLOW'!E1</f>
        <v/>
      </c>
      <c r="C17" s="290">
        <f>' CASHFLOW'!E97</f>
        <v/>
      </c>
      <c r="D17" s="291">
        <f>' CASHFLOW'!E98</f>
        <v/>
      </c>
    </row>
    <row r="18">
      <c r="A18" s="31" t="inlineStr">
        <is>
          <t>PMT 2</t>
        </is>
      </c>
      <c r="B18" s="289">
        <f>' CASHFLOW'!F1</f>
        <v/>
      </c>
      <c r="C18" s="290">
        <f>' CASHFLOW'!F97</f>
        <v/>
      </c>
      <c r="D18" s="291">
        <f>' CASHFLOW'!F98</f>
        <v/>
      </c>
    </row>
    <row r="19">
      <c r="A19" s="31" t="inlineStr">
        <is>
          <t>PMT 3</t>
        </is>
      </c>
      <c r="B19" s="289">
        <f>' CASHFLOW'!G1</f>
        <v/>
      </c>
      <c r="C19" s="290">
        <f>' CASHFLOW'!G97</f>
        <v/>
      </c>
      <c r="D19" s="291">
        <f>' CASHFLOW'!G98</f>
        <v/>
      </c>
    </row>
    <row r="20">
      <c r="A20" s="31" t="inlineStr">
        <is>
          <t>PMT 4</t>
        </is>
      </c>
      <c r="B20" s="289">
        <f>' CASHFLOW'!H1</f>
        <v/>
      </c>
      <c r="C20" s="290">
        <f>' CASHFLOW'!H97</f>
        <v/>
      </c>
      <c r="D20" s="291">
        <f>' CASHFLOW'!H98</f>
        <v/>
      </c>
    </row>
    <row r="21">
      <c r="A21" s="31" t="inlineStr">
        <is>
          <t>PMT 5</t>
        </is>
      </c>
      <c r="B21" s="289">
        <f>' CASHFLOW'!I1</f>
        <v/>
      </c>
      <c r="C21" s="290">
        <f>' CASHFLOW'!I97</f>
        <v/>
      </c>
      <c r="D21" s="291">
        <f>' CASHFLOW'!I98</f>
        <v/>
      </c>
    </row>
    <row r="22">
      <c r="A22" s="31" t="inlineStr">
        <is>
          <t>PMT 6</t>
        </is>
      </c>
      <c r="B22" s="289">
        <f>' CASHFLOW'!J1</f>
        <v/>
      </c>
      <c r="C22" s="290">
        <f>' CASHFLOW'!J97</f>
        <v/>
      </c>
      <c r="D22" s="291">
        <f>' CASHFLOW'!J98</f>
        <v/>
      </c>
    </row>
    <row r="23">
      <c r="A23" s="31" t="inlineStr">
        <is>
          <t>PMT 7</t>
        </is>
      </c>
      <c r="B23" s="289">
        <f>' CASHFLOW'!K1</f>
        <v/>
      </c>
      <c r="C23" s="290">
        <f>' CASHFLOW'!K97</f>
        <v/>
      </c>
      <c r="D23" s="291">
        <f>' CASHFLOW'!K98</f>
        <v/>
      </c>
    </row>
    <row r="24">
      <c r="A24" s="31" t="inlineStr">
        <is>
          <t>PMT 8</t>
        </is>
      </c>
      <c r="B24" s="289">
        <f>' CASHFLOW'!L1</f>
        <v/>
      </c>
      <c r="C24" s="290">
        <f>' CASHFLOW'!L97</f>
        <v/>
      </c>
      <c r="D24" s="291">
        <f>' CASHFLOW'!L98</f>
        <v/>
      </c>
    </row>
    <row r="25">
      <c r="A25" s="31" t="inlineStr">
        <is>
          <t>PMT 9</t>
        </is>
      </c>
      <c r="B25" s="289">
        <f>' CASHFLOW'!M1</f>
        <v/>
      </c>
      <c r="C25" s="290">
        <f>' CASHFLOW'!M97</f>
        <v/>
      </c>
      <c r="D25" s="291">
        <f>' CASHFLOW'!M98</f>
        <v/>
      </c>
    </row>
    <row r="26">
      <c r="A26" s="31" t="inlineStr">
        <is>
          <t>PMT 10</t>
        </is>
      </c>
      <c r="B26" s="289">
        <f>' CASHFLOW'!N1</f>
        <v/>
      </c>
      <c r="C26" s="290">
        <f>' CASHFLOW'!N97</f>
        <v/>
      </c>
      <c r="D26" s="291">
        <f>' CASHFLOW'!N98</f>
        <v/>
      </c>
    </row>
    <row r="27">
      <c r="A27" s="31" t="inlineStr">
        <is>
          <t>PMT 11</t>
        </is>
      </c>
      <c r="B27" s="289">
        <f>' CASHFLOW'!O1</f>
        <v/>
      </c>
      <c r="C27" s="290">
        <f>' CASHFLOW'!O97</f>
        <v/>
      </c>
      <c r="D27" s="291">
        <f>' CASHFLOW'!O98</f>
        <v/>
      </c>
    </row>
    <row r="28">
      <c r="A28" s="31" t="inlineStr">
        <is>
          <t>PMT 12</t>
        </is>
      </c>
      <c r="B28" s="289">
        <f>' CASHFLOW'!P1</f>
        <v/>
      </c>
      <c r="C28" s="290">
        <f>' CASHFLOW'!P97</f>
        <v/>
      </c>
      <c r="D28" s="291">
        <f>' CASHFLOW'!P98</f>
        <v/>
      </c>
    </row>
    <row r="29">
      <c r="A29" s="31" t="inlineStr">
        <is>
          <t>PMT 13</t>
        </is>
      </c>
      <c r="B29" s="289">
        <f>' CASHFLOW'!Q1</f>
        <v/>
      </c>
      <c r="C29" s="290">
        <f>' CASHFLOW'!Q97</f>
        <v/>
      </c>
      <c r="D29" s="291">
        <f>' CASHFLOW'!Q98</f>
        <v/>
      </c>
    </row>
    <row r="30">
      <c r="A30" s="31" t="inlineStr">
        <is>
          <t>PMT 14</t>
        </is>
      </c>
      <c r="B30" s="289">
        <f>' CASHFLOW'!R1</f>
        <v/>
      </c>
      <c r="C30" s="290">
        <f>' CASHFLOW'!R97</f>
        <v/>
      </c>
      <c r="D30" s="291">
        <f>' CASHFLOW'!R98</f>
        <v/>
      </c>
    </row>
    <row r="31">
      <c r="A31" s="31" t="inlineStr">
        <is>
          <t>PMT 15</t>
        </is>
      </c>
      <c r="B31" s="289">
        <f>' CASHFLOW'!S1</f>
        <v/>
      </c>
      <c r="C31" s="290">
        <f>' CASHFLOW'!S97</f>
        <v/>
      </c>
      <c r="D31" s="291">
        <f>' CASHFLOW'!S98</f>
        <v/>
      </c>
    </row>
    <row r="32">
      <c r="A32" s="31" t="inlineStr">
        <is>
          <t>PMT 16</t>
        </is>
      </c>
      <c r="B32" s="289">
        <f>' CASHFLOW'!T1</f>
        <v/>
      </c>
      <c r="C32" s="290">
        <f>' CASHFLOW'!T97</f>
        <v/>
      </c>
      <c r="D32" s="291">
        <f>' CASHFLOW'!T98</f>
        <v/>
      </c>
    </row>
    <row r="33">
      <c r="A33" s="31" t="inlineStr">
        <is>
          <t>PMT 17</t>
        </is>
      </c>
      <c r="B33" s="289">
        <f>' CASHFLOW'!U1</f>
        <v/>
      </c>
      <c r="C33" s="290">
        <f>' CASHFLOW'!U97</f>
        <v/>
      </c>
      <c r="D33" s="291">
        <f>' CASHFLOW'!U98</f>
        <v/>
      </c>
    </row>
    <row r="34">
      <c r="A34" s="31" t="inlineStr">
        <is>
          <t>PMT 18</t>
        </is>
      </c>
      <c r="B34" s="289">
        <f>' CASHFLOW'!V1</f>
        <v/>
      </c>
      <c r="C34" s="290">
        <f>' CASHFLOW'!V97</f>
        <v/>
      </c>
      <c r="D34" s="291">
        <f>' CASHFLOW'!V98</f>
        <v/>
      </c>
    </row>
    <row r="35">
      <c r="A35" s="31" t="inlineStr">
        <is>
          <t>PMT 19</t>
        </is>
      </c>
      <c r="B35" s="289">
        <f>' CASHFLOW'!W1</f>
        <v/>
      </c>
      <c r="C35" s="290">
        <f>' CASHFLOW'!W97</f>
        <v/>
      </c>
      <c r="D35" s="291">
        <f>' CASHFLOW'!W98</f>
        <v/>
      </c>
    </row>
    <row r="36">
      <c r="A36" s="31" t="inlineStr">
        <is>
          <t>PMT 20</t>
        </is>
      </c>
      <c r="B36" s="289">
        <f>' CASHFLOW'!X1</f>
        <v/>
      </c>
      <c r="C36" s="290">
        <f>' CASHFLOW'!X97</f>
        <v/>
      </c>
      <c r="D36" s="291">
        <f>' CASHFLOW'!X98</f>
        <v/>
      </c>
    </row>
    <row r="37">
      <c r="A37" s="31" t="inlineStr">
        <is>
          <t>PMT 21</t>
        </is>
      </c>
      <c r="B37" s="289">
        <f>' CASHFLOW'!Y1</f>
        <v/>
      </c>
      <c r="C37" s="290">
        <f>' CASHFLOW'!Y97</f>
        <v/>
      </c>
      <c r="D37" s="291">
        <f>' CASHFLOW'!Y98</f>
        <v/>
      </c>
    </row>
    <row r="38">
      <c r="A38" s="31" t="inlineStr">
        <is>
          <t>PMT 22</t>
        </is>
      </c>
      <c r="B38" s="289">
        <f>' CASHFLOW'!Z1</f>
        <v/>
      </c>
      <c r="C38" s="290">
        <f>' CASHFLOW'!Z97</f>
        <v/>
      </c>
      <c r="D38" s="291">
        <f>' CASHFLOW'!Z98</f>
        <v/>
      </c>
    </row>
    <row r="39">
      <c r="A39" s="31" t="inlineStr">
        <is>
          <t>PMT 23</t>
        </is>
      </c>
      <c r="B39" s="289">
        <f>' CASHFLOW'!AA1</f>
        <v/>
      </c>
      <c r="C39" s="290">
        <f>' CASHFLOW'!AA97</f>
        <v/>
      </c>
      <c r="D39" s="291">
        <f>' CASHFLOW'!AA98</f>
        <v/>
      </c>
    </row>
    <row r="40">
      <c r="A40" s="31" t="inlineStr">
        <is>
          <t>PMT 24</t>
        </is>
      </c>
      <c r="B40" s="289">
        <f>' CASHFLOW'!AB1</f>
        <v/>
      </c>
      <c r="C40" s="290">
        <f>' CASHFLOW'!AB97</f>
        <v/>
      </c>
      <c r="D40" s="291">
        <f>' CASHFLOW'!AB98</f>
        <v/>
      </c>
    </row>
    <row r="41">
      <c r="A41" s="31" t="inlineStr">
        <is>
          <t>PMT 25</t>
        </is>
      </c>
      <c r="B41" s="289">
        <f>' CASHFLOW'!AC1</f>
        <v/>
      </c>
      <c r="C41" s="290">
        <f>' CASHFLOW'!AC97</f>
        <v/>
      </c>
      <c r="D41" s="291">
        <f>' CASHFLOW'!AC98</f>
        <v/>
      </c>
    </row>
    <row r="42">
      <c r="A42" s="31" t="inlineStr">
        <is>
          <t>PMT 26</t>
        </is>
      </c>
      <c r="B42" s="289">
        <f>' CASHFLOW'!AD1</f>
        <v/>
      </c>
      <c r="C42" s="290">
        <f>' CASHFLOW'!AD97</f>
        <v/>
      </c>
      <c r="D42" s="291">
        <f>' CASHFLOW'!AD98</f>
        <v/>
      </c>
    </row>
    <row r="43">
      <c r="A43" s="31" t="inlineStr">
        <is>
          <t>PMT 27</t>
        </is>
      </c>
      <c r="B43" s="289">
        <f>' CASHFLOW'!AE1</f>
        <v/>
      </c>
      <c r="C43" s="290">
        <f>' CASHFLOW'!AE97</f>
        <v/>
      </c>
      <c r="D43" s="291">
        <f>' CASHFLOW'!AE98</f>
        <v/>
      </c>
    </row>
    <row r="44" ht="35.4" customHeight="1">
      <c r="A44" s="292" t="inlineStr">
        <is>
          <t>TOTAL PAYMENT</t>
        </is>
      </c>
      <c r="B44" s="283" t="n"/>
      <c r="C44" s="288">
        <f>SUM(C17:C43)</f>
        <v/>
      </c>
      <c r="D44" s="291" t="n"/>
    </row>
  </sheetData>
  <mergeCells count="4">
    <mergeCell ref="A44:B44"/>
    <mergeCell ref="A15:C15"/>
    <mergeCell ref="A1:C1"/>
    <mergeCell ref="A12:B12"/>
  </mergeCells>
  <pageMargins left="0.7086614173228347" right="1.61" top="0.7480314960629921" bottom="0.7480314960629921" header="0.3149606299212598" footer="0.3149606299212598"/>
  <pageSetup orientation="portrait" paperSize="9" scale="41"/>
  <headerFooter differentFirst="1">
    <oddHeader>&amp;L&amp;"Arial Narrow,Bold"&amp;16 &amp;G&amp;C&amp;"Times New Roman,Bold"&amp;14 CASHFLOW FORECAST FOR PROPOSED HEAD OFFICE FOR PRIORITY INSURANCE&amp;R&amp;"Times New Roman,Bold"&amp;14 OCTOBER, 2026</oddHeader>
    <oddFooter>&amp;R&amp;P/&amp;N</oddFooter>
    <evenHeader/>
    <evenFooter/>
    <firstHeader/>
    <firstFooter/>
  </headerFooter>
  <legacyDrawingHF r:id="rIdHF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1"/>
  <sheetViews>
    <sheetView view="pageBreakPreview" topLeftCell="A26" zoomScale="85" workbookViewId="0">
      <selection activeCell="J27" sqref="J27"/>
    </sheetView>
  </sheetViews>
  <sheetFormatPr baseColWidth="8" defaultRowHeight="15.6"/>
  <sheetData/>
  <pageMargins left="0.7086614173228346" right="0.7086614173228346" top="0.7480314960629921" bottom="0.7480314960629921" header="0.3149606299212598" footer="0.3149606299212598"/>
  <pageSetup orientation="landscape" paperSize="9" scale="62" fitToHeight="0"/>
  <headerFooter>
    <oddHeader>&amp;L&amp;"Times New Roman,Bold"&amp;16 &amp;G&amp;C&amp;"Times New Roman,Bold"&amp;16 CASHFLOW FORECAST FOR PROPOSED HEAD OFFICE FOR PRIORITY INSURANCE&amp;R&amp;"Times New Roman,Bold"&amp;16 OCTOBER, 2026</oddHeader>
    <oddFooter/>
    <evenHeader/>
    <evenFooter/>
    <firstHeader/>
    <firstFooter/>
  </headerFooter>
  <drawing xmlns:r="http://schemas.openxmlformats.org/officeDocument/2006/relationships" r:id="rId1"/>
  <legacyDrawingHF r:id="rIdHF1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7030A0"/>
    <outlinePr summaryBelow="1" summaryRight="1"/>
    <pageSetUpPr/>
  </sheetPr>
  <dimension ref="A1:AI122"/>
  <sheetViews>
    <sheetView view="pageBreakPreview" topLeftCell="B92" zoomScale="55" workbookViewId="0">
      <pane xSplit="4" ySplit="2" topLeftCell="E3" activePane="bottomRight" state="frozen"/>
      <selection pane="topRight"/>
      <selection pane="bottomLeft"/>
      <selection pane="bottomRight" activeCell="F107" sqref="F107"/>
    </sheetView>
  </sheetViews>
  <sheetFormatPr baseColWidth="8" defaultColWidth="8.88671875" defaultRowHeight="22.8"/>
  <cols>
    <col width="12.5546875" bestFit="1" customWidth="1" style="293" min="1" max="1"/>
    <col width="93.5546875" customWidth="1" style="293" min="2" max="2"/>
    <col width="27.44140625" customWidth="1" style="294" min="3" max="3"/>
    <col width="35.6640625" bestFit="1" customWidth="1" style="295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4" customWidth="1" min="33" max="33"/>
    <col width="22" customWidth="1" min="34" max="34"/>
    <col width="22" customWidth="1" min="35" max="35"/>
  </cols>
  <sheetData>
    <row r="1" ht="33" customHeight="1">
      <c r="A1" s="47" t="inlineStr">
        <is>
          <t xml:space="preserve">ITEM </t>
        </is>
      </c>
      <c r="B1" s="48" t="inlineStr">
        <is>
          <t>DESCRIPTION</t>
        </is>
      </c>
      <c r="C1" s="49" t="n"/>
      <c r="D1" s="296" t="inlineStr">
        <is>
          <t>TOTAL</t>
        </is>
      </c>
      <c r="E1" s="51">
        <f>EOMONTH($C$107,E2)</f>
        <v/>
      </c>
      <c r="F1" s="51">
        <f>EOMONTH($C$107,F2)</f>
        <v/>
      </c>
      <c r="G1" s="51">
        <f>EOMONTH($C$107,G2)</f>
        <v/>
      </c>
      <c r="H1" s="51">
        <f>EOMONTH($C$107,H2)</f>
        <v/>
      </c>
      <c r="I1" s="51">
        <f>EOMONTH($C$107,I2)</f>
        <v/>
      </c>
      <c r="J1" s="51">
        <f>EOMONTH($C$107,J2)</f>
        <v/>
      </c>
      <c r="K1" s="51">
        <f>EOMONTH($C$107,K2)</f>
        <v/>
      </c>
      <c r="L1" s="51">
        <f>EOMONTH($C$107,L2)</f>
        <v/>
      </c>
      <c r="M1" s="51">
        <f>EOMONTH($C$107,M2)</f>
        <v/>
      </c>
      <c r="N1" s="51">
        <f>EOMONTH($C$107,N2)</f>
        <v/>
      </c>
      <c r="O1" s="51">
        <f>EOMONTH($C$107,O2)</f>
        <v/>
      </c>
      <c r="P1" s="51">
        <f>EOMONTH($C$107,P2)</f>
        <v/>
      </c>
      <c r="Q1" s="52">
        <f>EOMONTH($C$107,Q2)</f>
        <v/>
      </c>
      <c r="R1" s="52">
        <f>EOMONTH($C$107,R2)</f>
        <v/>
      </c>
      <c r="S1" s="52">
        <f>EOMONTH($C$107,S2)</f>
        <v/>
      </c>
      <c r="T1" s="52">
        <f>EOMONTH($C$107,T2)</f>
        <v/>
      </c>
      <c r="U1" s="52">
        <f>EOMONTH($C$107,U2)</f>
        <v/>
      </c>
      <c r="V1" s="52">
        <f>EOMONTH($C$107,V2)</f>
        <v/>
      </c>
      <c r="W1" s="52">
        <f>EOMONTH($C$107,W2)</f>
        <v/>
      </c>
      <c r="X1" s="52">
        <f>EOMONTH($C$107,X2)</f>
        <v/>
      </c>
      <c r="Y1" s="52">
        <f>EOMONTH($C$107,Y2)</f>
        <v/>
      </c>
      <c r="Z1" s="52">
        <f>EOMONTH($C$107,Z2)</f>
        <v/>
      </c>
      <c r="AA1" s="52">
        <f>EOMONTH($C$107,AA2)</f>
        <v/>
      </c>
      <c r="AB1" s="52">
        <f>EOMONTH($C$107,AB2)</f>
        <v/>
      </c>
      <c r="AC1" s="53">
        <f>EOMONTH($C$107,AC2)</f>
        <v/>
      </c>
      <c r="AD1" s="54">
        <f>EOMONTH($C$107,AD2)</f>
        <v/>
      </c>
      <c r="AE1" s="55">
        <f>EOMONTH($C$107,AE2)</f>
        <v/>
      </c>
      <c r="AF1" s="297" t="inlineStr">
        <is>
          <t>TOTAL</t>
        </is>
      </c>
      <c r="AH1" s="297" t="inlineStr">
        <is>
          <t>START MONTH</t>
        </is>
      </c>
      <c r="AI1" s="297" t="inlineStr">
        <is>
          <t>DURATION (MONTHS)</t>
        </is>
      </c>
    </row>
    <row r="2" ht="27.6" customHeight="1">
      <c r="A2" s="58" t="n"/>
      <c r="B2" s="59" t="n"/>
      <c r="C2" s="60" t="n"/>
      <c r="D2" s="298" t="n"/>
      <c r="E2" s="62" t="n">
        <v>0</v>
      </c>
      <c r="F2" s="63">
        <f>E2+1</f>
        <v/>
      </c>
      <c r="G2" s="62">
        <f>F2+1</f>
        <v/>
      </c>
      <c r="H2" s="63">
        <f>G2+1</f>
        <v/>
      </c>
      <c r="I2" s="62">
        <f>H2+1</f>
        <v/>
      </c>
      <c r="J2" s="63">
        <f>I2+1</f>
        <v/>
      </c>
      <c r="K2" s="62">
        <f>J2+1</f>
        <v/>
      </c>
      <c r="L2" s="63">
        <f>K2+1</f>
        <v/>
      </c>
      <c r="M2" s="62">
        <f>L2+1</f>
        <v/>
      </c>
      <c r="N2" s="63">
        <f>M2+1</f>
        <v/>
      </c>
      <c r="O2" s="63">
        <f>N2+1</f>
        <v/>
      </c>
      <c r="P2" s="62">
        <f>O2+1</f>
        <v/>
      </c>
      <c r="Q2" s="64">
        <f>P2+1</f>
        <v/>
      </c>
      <c r="R2" s="64">
        <f>Q2+1</f>
        <v/>
      </c>
      <c r="S2" s="65">
        <f>R2+1</f>
        <v/>
      </c>
      <c r="T2" s="64">
        <f>S2+1</f>
        <v/>
      </c>
      <c r="U2" s="64">
        <f>T2+1</f>
        <v/>
      </c>
      <c r="V2" s="65">
        <f>U2+1</f>
        <v/>
      </c>
      <c r="W2" s="64">
        <f>V2+1</f>
        <v/>
      </c>
      <c r="X2" s="64">
        <f>W2+1</f>
        <v/>
      </c>
      <c r="Y2" s="65">
        <f>X2+1</f>
        <v/>
      </c>
      <c r="Z2" s="64">
        <f>Y2+1</f>
        <v/>
      </c>
      <c r="AA2" s="64">
        <f>Z2+1</f>
        <v/>
      </c>
      <c r="AB2" s="65">
        <f>AA2+1</f>
        <v/>
      </c>
      <c r="AC2" s="66">
        <f>AB2+1</f>
        <v/>
      </c>
      <c r="AD2" s="68">
        <f>$C$108+1</f>
        <v/>
      </c>
      <c r="AE2" s="69">
        <f>$C$108+$C$110</f>
        <v/>
      </c>
      <c r="AF2" s="299" t="n"/>
      <c r="AH2" s="299" t="n"/>
      <c r="AI2" s="299" t="n"/>
    </row>
    <row r="3" ht="28.2" customHeight="1">
      <c r="A3" s="72" t="inlineStr">
        <is>
          <t>A</t>
        </is>
      </c>
      <c r="B3" s="73" t="inlineStr">
        <is>
          <t>ADVANCE MOBILIZATION</t>
        </is>
      </c>
      <c r="C3" s="74" t="n"/>
      <c r="D3" s="300">
        <f>$C$103*$C$101</f>
        <v/>
      </c>
      <c r="E3">
        <f>IF(AND(E$2&gt;=$AH4,E$2&lt;$AH4+$AI4),$D4/$AI4,0)</f>
        <v/>
      </c>
      <c r="F3" s="301">
        <f>IF(AND(F$2&gt;=$AH4,F$2&lt;$AH4+$AI4),$D4/$AI4,0)</f>
        <v/>
      </c>
      <c r="G3" s="301">
        <f>IF(AND(G$2&gt;=$AH4,G$2&lt;$AH4+$AI4),$D4/$AI4,0)</f>
        <v/>
      </c>
      <c r="H3" s="301">
        <f>IF(AND(H$2&gt;=$AH4,H$2&lt;$AH4+$AI4),$D4/$AI4,0)</f>
        <v/>
      </c>
      <c r="I3" s="301">
        <f>IF(AND(I$2&gt;=$AH4,I$2&lt;$AH4+$AI4),$D4/$AI4,0)</f>
        <v/>
      </c>
      <c r="J3" s="301">
        <f>IF(AND(J$2&gt;=$AH4,J$2&lt;$AH4+$AI4),$D4/$AI4,0)</f>
        <v/>
      </c>
      <c r="K3" s="301">
        <f>IF(AND(K$2&gt;=$AH4,K$2&lt;$AH4+$AI4),$D4/$AI4,0)</f>
        <v/>
      </c>
      <c r="L3" s="301">
        <f>IF(AND(L$2&gt;=$AH4,L$2&lt;$AH4+$AI4),$D4/$AI4,0)</f>
        <v/>
      </c>
      <c r="M3" s="301">
        <f>IF(AND(M$2&gt;=$AH4,M$2&lt;$AH4+$AI4),$D4/$AI4,0)</f>
        <v/>
      </c>
      <c r="N3" s="301">
        <f>IF(AND(N$2&gt;=$AH4,N$2&lt;$AH4+$AI4),$D4/$AI4,0)</f>
        <v/>
      </c>
      <c r="O3" s="301">
        <f>IF(AND(O$2&gt;=$AH4,O$2&lt;$AH4+$AI4),$D4/$AI4,0)</f>
        <v/>
      </c>
      <c r="P3" s="301">
        <f>IF(AND(P$2&gt;=$AH4,P$2&lt;$AH4+$AI4),$D4/$AI4,0)</f>
        <v/>
      </c>
      <c r="Q3" s="302">
        <f>IF(AND(Q$2&gt;=$AH4,Q$2&lt;$AH4+$AI4),$D4/$AI4,0)</f>
        <v/>
      </c>
      <c r="R3" s="302">
        <f>IF(AND(R$2&gt;=$AH4,R$2&lt;$AH4+$AI4),$D4/$AI4,0)</f>
        <v/>
      </c>
      <c r="S3" s="302">
        <f>IF(AND(S$2&gt;=$AH4,S$2&lt;$AH4+$AI4),$D4/$AI4,0)</f>
        <v/>
      </c>
      <c r="T3" s="302">
        <f>IF(AND(T$2&gt;=$AH4,T$2&lt;$AH4+$AI4),$D4/$AI4,0)</f>
        <v/>
      </c>
      <c r="U3" s="302">
        <f>IF(AND(U$2&gt;=$AH4,U$2&lt;$AH4+$AI4),$D4/$AI4,0)</f>
        <v/>
      </c>
      <c r="V3" s="302">
        <f>IF(AND(V$2&gt;=$AH4,V$2&lt;$AH4+$AI4),$D4/$AI4,0)</f>
        <v/>
      </c>
      <c r="W3" s="302">
        <f>IF(AND(W$2&gt;=$AH4,W$2&lt;$AH4+$AI4),$D4/$AI4,0)</f>
        <v/>
      </c>
      <c r="X3" s="302">
        <f>IF(AND(X$2&gt;=$AH4,X$2&lt;$AH4+$AI4),$D4/$AI4,0)</f>
        <v/>
      </c>
      <c r="Y3" s="302">
        <f>IF(AND(Y$2&gt;=$AH4,Y$2&lt;$AH4+$AI4),$D4/$AI4,0)</f>
        <v/>
      </c>
      <c r="Z3" s="302">
        <f>IF(AND(Z$2&gt;=$AH4,Z$2&lt;$AH4+$AI4),$D4/$AI4,0)</f>
        <v/>
      </c>
      <c r="AA3" s="302">
        <f>IF(AND(AA$2&gt;=$AH4,AA$2&lt;$AH4+$AI4),$D4/$AI4,0)</f>
        <v/>
      </c>
      <c r="AB3" s="302">
        <f>IF(AND(AB$2&gt;=$AH4,AB$2&lt;$AH4+$AI4),$D4/$AI4,0)</f>
        <v/>
      </c>
      <c r="AC3" s="303">
        <f>IF(AND(AC$2&gt;=$AH4,AC$2&lt;$AH4+$AI4),$D4/$AI4,0)</f>
        <v/>
      </c>
      <c r="AD3" s="304">
        <f>IF(AND(AD$2&gt;=$AH4,AD$2&lt;$AH4+$AI4),$D4/$AI4,0)</f>
        <v/>
      </c>
      <c r="AE3" s="305">
        <f>IF(AND(AE$2&gt;=$AH4,AE$2&lt;$AH4+$AI4),$D4/$AI4,0)</f>
        <v/>
      </c>
      <c r="AF3" s="306">
        <f>SUM(E3:AE3)</f>
        <v/>
      </c>
    </row>
    <row r="4" ht="28.2" customHeight="1">
      <c r="A4" s="72" t="n"/>
      <c r="B4" s="73" t="inlineStr">
        <is>
          <t xml:space="preserve">Contract Signing </t>
        </is>
      </c>
      <c r="C4" s="83" t="n">
        <v>1</v>
      </c>
      <c r="D4" s="300">
        <f>C4*$D$3</f>
        <v/>
      </c>
      <c r="E4" s="307" t="n"/>
      <c r="F4" s="301" t="n"/>
      <c r="G4" s="301" t="n"/>
      <c r="H4" s="301" t="n"/>
      <c r="I4" s="301" t="n"/>
      <c r="J4" s="301" t="n"/>
      <c r="K4" s="301" t="n"/>
      <c r="L4" s="301" t="n"/>
      <c r="M4" s="301" t="n"/>
      <c r="N4" s="301" t="n"/>
      <c r="O4" s="301" t="n"/>
      <c r="P4" s="301" t="n"/>
      <c r="Q4" s="302" t="n"/>
      <c r="R4" s="302" t="n"/>
      <c r="S4" s="302" t="n"/>
      <c r="T4" s="302" t="n"/>
      <c r="U4" s="302" t="n"/>
      <c r="V4" s="302" t="n"/>
      <c r="W4" s="302" t="n"/>
      <c r="X4" s="302" t="n"/>
      <c r="Y4" s="302" t="n"/>
      <c r="Z4" s="302" t="n"/>
      <c r="AA4" s="302" t="n"/>
      <c r="AB4" s="302" t="n"/>
      <c r="AC4" s="303" t="n"/>
      <c r="AD4" s="304" t="n"/>
      <c r="AE4" s="305" t="n"/>
      <c r="AF4" s="306" t="n"/>
      <c r="AH4" s="308" t="n">
        <v>0</v>
      </c>
      <c r="AI4" s="308" t="n">
        <v>1</v>
      </c>
    </row>
    <row r="5" ht="27.6" customHeight="1">
      <c r="A5" s="72" t="n"/>
      <c r="B5" s="85" t="n"/>
      <c r="C5" s="74" t="n"/>
      <c r="D5" s="309" t="n"/>
      <c r="E5" s="310" t="n"/>
      <c r="F5" s="301" t="n"/>
      <c r="G5" s="301" t="n"/>
      <c r="H5" s="301" t="n"/>
      <c r="I5" s="301" t="n"/>
      <c r="J5" s="301" t="n"/>
      <c r="K5" s="301" t="n"/>
      <c r="L5" s="301" t="n"/>
      <c r="M5" s="301" t="n"/>
      <c r="N5" s="301" t="n"/>
      <c r="O5" s="301" t="n"/>
      <c r="P5" s="301" t="n"/>
      <c r="Q5" s="302" t="n"/>
      <c r="R5" s="302" t="n"/>
      <c r="S5" s="302" t="n"/>
      <c r="T5" s="302" t="n"/>
      <c r="U5" s="302" t="n"/>
      <c r="V5" s="302" t="n"/>
      <c r="W5" s="302" t="n"/>
      <c r="X5" s="302" t="n"/>
      <c r="Y5" s="302" t="n"/>
      <c r="Z5" s="302" t="n"/>
      <c r="AA5" s="302" t="n"/>
      <c r="AB5" s="302" t="n"/>
      <c r="AC5" s="303" t="n"/>
      <c r="AD5" s="304" t="n"/>
      <c r="AE5" s="305" t="n"/>
      <c r="AF5" s="306" t="n"/>
    </row>
    <row r="6" ht="27.6" customHeight="1">
      <c r="A6" s="88" t="inlineStr">
        <is>
          <t>B</t>
        </is>
      </c>
      <c r="B6" s="89">
        <f>'GEN SUMMARY.'!B7</f>
        <v/>
      </c>
      <c r="C6" s="90" t="n"/>
      <c r="D6" s="311">
        <f>'GEN SUMMARY.'!E7</f>
        <v/>
      </c>
      <c r="E6" s="310">
        <f>IF(AND(E$2&gt;=$AH7,E$2&lt;$AH7+$AI7),$D7/$AI7,0)+IF(AND(E$2&gt;=$AH8,E$2&lt;$AH8+$AI8),$D8/$AI8,0)+IF(AND(E$2&gt;=$AH9,E$2&lt;$AH9+$AI9),$D9/$AI9,0)</f>
        <v/>
      </c>
      <c r="F6" s="307">
        <f>IF(AND(F$2&gt;=$AH7,F$2&lt;$AH7+$AI7),$D7/$AI7,0)+IF(AND(F$2&gt;=$AH8,F$2&lt;$AH8+$AI8),$D8/$AI8,0)+IF(AND(F$2&gt;=$AH9,F$2&lt;$AH9+$AI9),$D9/$AI9,0)</f>
        <v/>
      </c>
      <c r="G6" s="307">
        <f>IF(AND(G$2&gt;=$AH7,G$2&lt;$AH7+$AI7),$D7/$AI7,0)+IF(AND(G$2&gt;=$AH8,G$2&lt;$AH8+$AI8),$D8/$AI8,0)+IF(AND(G$2&gt;=$AH9,G$2&lt;$AH9+$AI9),$D9/$AI9,0)</f>
        <v/>
      </c>
      <c r="H6" s="307">
        <f>IF(AND(H$2&gt;=$AH7,H$2&lt;$AH7+$AI7),$D7/$AI7,0)+IF(AND(H$2&gt;=$AH8,H$2&lt;$AH8+$AI8),$D8/$AI8,0)+IF(AND(H$2&gt;=$AH9,H$2&lt;$AH9+$AI9),$D9/$AI9,0)</f>
        <v/>
      </c>
      <c r="I6" s="307">
        <f>IF(AND(I$2&gt;=$AH7,I$2&lt;$AH7+$AI7),$D7/$AI7,0)+IF(AND(I$2&gt;=$AH8,I$2&lt;$AH8+$AI8),$D8/$AI8,0)+IF(AND(I$2&gt;=$AH9,I$2&lt;$AH9+$AI9),$D9/$AI9,0)</f>
        <v/>
      </c>
      <c r="J6" s="307">
        <f>IF(AND(J$2&gt;=$AH7,J$2&lt;$AH7+$AI7),$D7/$AI7,0)+IF(AND(J$2&gt;=$AH8,J$2&lt;$AH8+$AI8),$D8/$AI8,0)+IF(AND(J$2&gt;=$AH9,J$2&lt;$AH9+$AI9),$D9/$AI9,0)</f>
        <v/>
      </c>
      <c r="K6" s="307">
        <f>IF(AND(K$2&gt;=$AH7,K$2&lt;$AH7+$AI7),$D7/$AI7,0)+IF(AND(K$2&gt;=$AH8,K$2&lt;$AH8+$AI8),$D8/$AI8,0)+IF(AND(K$2&gt;=$AH9,K$2&lt;$AH9+$AI9),$D9/$AI9,0)</f>
        <v/>
      </c>
      <c r="L6" s="307">
        <f>IF(AND(L$2&gt;=$AH7,L$2&lt;$AH7+$AI7),$D7/$AI7,0)+IF(AND(L$2&gt;=$AH8,L$2&lt;$AH8+$AI8),$D8/$AI8,0)+IF(AND(L$2&gt;=$AH9,L$2&lt;$AH9+$AI9),$D9/$AI9,0)</f>
        <v/>
      </c>
      <c r="M6" s="307">
        <f>IF(AND(M$2&gt;=$AH7,M$2&lt;$AH7+$AI7),$D7/$AI7,0)+IF(AND(M$2&gt;=$AH8,M$2&lt;$AH8+$AI8),$D8/$AI8,0)+IF(AND(M$2&gt;=$AH9,M$2&lt;$AH9+$AI9),$D9/$AI9,0)</f>
        <v/>
      </c>
      <c r="N6" s="307">
        <f>IF(AND(N$2&gt;=$AH7,N$2&lt;$AH7+$AI7),$D7/$AI7,0)+IF(AND(N$2&gt;=$AH8,N$2&lt;$AH8+$AI8),$D8/$AI8,0)+IF(AND(N$2&gt;=$AH9,N$2&lt;$AH9+$AI9),$D9/$AI9,0)</f>
        <v/>
      </c>
      <c r="O6" s="307">
        <f>IF(AND(O$2&gt;=$AH7,O$2&lt;$AH7+$AI7),$D7/$AI7,0)+IF(AND(O$2&gt;=$AH8,O$2&lt;$AH8+$AI8),$D8/$AI8,0)+IF(AND(O$2&gt;=$AH9,O$2&lt;$AH9+$AI9),$D9/$AI9,0)</f>
        <v/>
      </c>
      <c r="P6" s="307">
        <f>IF(AND(P$2&gt;=$AH7,P$2&lt;$AH7+$AI7),$D7/$AI7,0)+IF(AND(P$2&gt;=$AH8,P$2&lt;$AH8+$AI8),$D8/$AI8,0)+IF(AND(P$2&gt;=$AH9,P$2&lt;$AH9+$AI9),$D9/$AI9,0)</f>
        <v/>
      </c>
      <c r="Q6" s="312">
        <f>IF(AND(Q$2&gt;=$AH7,Q$2&lt;$AH7+$AI7),$D7/$AI7,0)+IF(AND(Q$2&gt;=$AH8,Q$2&lt;$AH8+$AI8),$D8/$AI8,0)+IF(AND(Q$2&gt;=$AH9,Q$2&lt;$AH9+$AI9),$D9/$AI9,0)</f>
        <v/>
      </c>
      <c r="R6" s="312">
        <f>IF(AND(R$2&gt;=$AH7,R$2&lt;$AH7+$AI7),$D7/$AI7,0)+IF(AND(R$2&gt;=$AH8,R$2&lt;$AH8+$AI8),$D8/$AI8,0)+IF(AND(R$2&gt;=$AH9,R$2&lt;$AH9+$AI9),$D9/$AI9,0)</f>
        <v/>
      </c>
      <c r="S6" s="312">
        <f>IF(AND(S$2&gt;=$AH7,S$2&lt;$AH7+$AI7),$D7/$AI7,0)+IF(AND(S$2&gt;=$AH8,S$2&lt;$AH8+$AI8),$D8/$AI8,0)+IF(AND(S$2&gt;=$AH9,S$2&lt;$AH9+$AI9),$D9/$AI9,0)</f>
        <v/>
      </c>
      <c r="T6" s="312">
        <f>IF(AND(T$2&gt;=$AH7,T$2&lt;$AH7+$AI7),$D7/$AI7,0)+IF(AND(T$2&gt;=$AH8,T$2&lt;$AH8+$AI8),$D8/$AI8,0)+IF(AND(T$2&gt;=$AH9,T$2&lt;$AH9+$AI9),$D9/$AI9,0)</f>
        <v/>
      </c>
      <c r="U6" s="312">
        <f>IF(AND(U$2&gt;=$AH7,U$2&lt;$AH7+$AI7),$D7/$AI7,0)+IF(AND(U$2&gt;=$AH8,U$2&lt;$AH8+$AI8),$D8/$AI8,0)+IF(AND(U$2&gt;=$AH9,U$2&lt;$AH9+$AI9),$D9/$AI9,0)</f>
        <v/>
      </c>
      <c r="V6" s="312">
        <f>IF(AND(V$2&gt;=$AH7,V$2&lt;$AH7+$AI7),$D7/$AI7,0)+IF(AND(V$2&gt;=$AH8,V$2&lt;$AH8+$AI8),$D8/$AI8,0)+IF(AND(V$2&gt;=$AH9,V$2&lt;$AH9+$AI9),$D9/$AI9,0)</f>
        <v/>
      </c>
      <c r="W6" s="312">
        <f>IF(AND(W$2&gt;=$AH7,W$2&lt;$AH7+$AI7),$D7/$AI7,0)+IF(AND(W$2&gt;=$AH8,W$2&lt;$AH8+$AI8),$D8/$AI8,0)+IF(AND(W$2&gt;=$AH9,W$2&lt;$AH9+$AI9),$D9/$AI9,0)</f>
        <v/>
      </c>
      <c r="X6" s="312">
        <f>IF(AND(X$2&gt;=$AH7,X$2&lt;$AH7+$AI7),$D7/$AI7,0)+IF(AND(X$2&gt;=$AH8,X$2&lt;$AH8+$AI8),$D8/$AI8,0)+IF(AND(X$2&gt;=$AH9,X$2&lt;$AH9+$AI9),$D9/$AI9,0)</f>
        <v/>
      </c>
      <c r="Y6" s="312">
        <f>IF(AND(Y$2&gt;=$AH7,Y$2&lt;$AH7+$AI7),$D7/$AI7,0)+IF(AND(Y$2&gt;=$AH8,Y$2&lt;$AH8+$AI8),$D8/$AI8,0)+IF(AND(Y$2&gt;=$AH9,Y$2&lt;$AH9+$AI9),$D9/$AI9,0)</f>
        <v/>
      </c>
      <c r="Z6" s="312">
        <f>IF(AND(Z$2&gt;=$AH7,Z$2&lt;$AH7+$AI7),$D7/$AI7,0)+IF(AND(Z$2&gt;=$AH8,Z$2&lt;$AH8+$AI8),$D8/$AI8,0)+IF(AND(Z$2&gt;=$AH9,Z$2&lt;$AH9+$AI9),$D9/$AI9,0)</f>
        <v/>
      </c>
      <c r="AA6" s="312">
        <f>IF(AND(AA$2&gt;=$AH7,AA$2&lt;$AH7+$AI7),$D7/$AI7,0)+IF(AND(AA$2&gt;=$AH8,AA$2&lt;$AH8+$AI8),$D8/$AI8,0)+IF(AND(AA$2&gt;=$AH9,AA$2&lt;$AH9+$AI9),$D9/$AI9,0)</f>
        <v/>
      </c>
      <c r="AB6" s="312">
        <f>IF(AND(AB$2&gt;=$AH7,AB$2&lt;$AH7+$AI7),$D7/$AI7,0)+IF(AND(AB$2&gt;=$AH8,AB$2&lt;$AH8+$AI8),$D8/$AI8,0)+IF(AND(AB$2&gt;=$AH9,AB$2&lt;$AH9+$AI9),$D9/$AI9,0)</f>
        <v/>
      </c>
      <c r="AC6" s="313">
        <f>IF(AND(AC$2&gt;=$AH7,AC$2&lt;$AH7+$AI7),$D7/$AI7,0)+IF(AND(AC$2&gt;=$AH8,AC$2&lt;$AH8+$AI8),$D8/$AI8,0)+IF(AND(AC$2&gt;=$AH9,AC$2&lt;$AH9+$AI9),$D9/$AI9,0)</f>
        <v/>
      </c>
      <c r="AD6" s="314">
        <f>IF(AND(AD$2&gt;=$AH7,AD$2&lt;$AH7+$AI7),$D7/$AI7,0)+IF(AND(AD$2&gt;=$AH8,AD$2&lt;$AH8+$AI8),$D8/$AI8,0)+IF(AND(AD$2&gt;=$AH9,AD$2&lt;$AH9+$AI9),$D9/$AI9,0)</f>
        <v/>
      </c>
      <c r="AE6" s="315">
        <f>IF(AND(AE$2&gt;=$AH7,AE$2&lt;$AH7+$AI7),$D7/$AI7,0)+IF(AND(AE$2&gt;=$AH8,AE$2&lt;$AH8+$AI8),$D8/$AI8,0)+IF(AND(AE$2&gt;=$AH9,AE$2&lt;$AH9+$AI9),$D9/$AI9,0)</f>
        <v/>
      </c>
      <c r="AF6" s="316">
        <f>SUM(E6:AE6)</f>
        <v/>
      </c>
    </row>
    <row r="7" ht="28.2" customHeight="1">
      <c r="A7" s="88" t="n"/>
      <c r="B7" s="100" t="inlineStr">
        <is>
          <t>(100%) Site Possession and Hoarding</t>
        </is>
      </c>
      <c r="C7" s="101" t="n">
        <v>0.3</v>
      </c>
      <c r="D7" s="317">
        <f>C7*$D$6</f>
        <v/>
      </c>
      <c r="E7" s="310" t="n"/>
      <c r="F7" s="307" t="n"/>
      <c r="G7" s="307" t="n"/>
      <c r="H7" s="307" t="n"/>
      <c r="I7" s="307" t="n"/>
      <c r="J7" s="307" t="n"/>
      <c r="K7" s="307" t="n"/>
      <c r="L7" s="307" t="n"/>
      <c r="M7" s="307" t="n"/>
      <c r="N7" s="307" t="n"/>
      <c r="O7" s="307" t="n"/>
      <c r="P7" s="307" t="n"/>
      <c r="Q7" s="312" t="n"/>
      <c r="R7" s="312" t="n"/>
      <c r="S7" s="312" t="n"/>
      <c r="T7" s="312" t="n"/>
      <c r="U7" s="312" t="n"/>
      <c r="V7" s="312" t="n"/>
      <c r="W7" s="312" t="n"/>
      <c r="X7" s="312" t="n"/>
      <c r="Y7" s="312" t="n"/>
      <c r="Z7" s="312" t="n"/>
      <c r="AA7" s="312" t="n"/>
      <c r="AB7" s="312" t="n"/>
      <c r="AC7" s="313" t="n"/>
      <c r="AD7" s="314" t="n"/>
      <c r="AE7" s="315" t="n"/>
      <c r="AF7" s="316" t="n"/>
      <c r="AH7" s="308" t="n">
        <v>1</v>
      </c>
      <c r="AI7" s="308" t="n">
        <v>1</v>
      </c>
    </row>
    <row r="8" ht="28.2" customHeight="1">
      <c r="A8" s="88" t="n"/>
      <c r="B8" s="100" t="inlineStr">
        <is>
          <t>(100%) Site Setup and Mobilization</t>
        </is>
      </c>
      <c r="C8" s="101" t="n">
        <v>0.2</v>
      </c>
      <c r="D8" s="317">
        <f>C8*$D$6</f>
        <v/>
      </c>
      <c r="E8" s="310" t="n"/>
      <c r="F8" s="307" t="n"/>
      <c r="G8" s="307" t="n"/>
      <c r="H8" s="307" t="n"/>
      <c r="I8" s="307" t="n"/>
      <c r="J8" s="307" t="n"/>
      <c r="K8" s="307" t="n"/>
      <c r="L8" s="307" t="n"/>
      <c r="M8" s="307" t="n"/>
      <c r="N8" s="307" t="n"/>
      <c r="O8" s="307" t="n"/>
      <c r="P8" s="307" t="n"/>
      <c r="Q8" s="312" t="n"/>
      <c r="R8" s="312" t="n"/>
      <c r="S8" s="312" t="n"/>
      <c r="T8" s="312" t="n"/>
      <c r="U8" s="312" t="n"/>
      <c r="V8" s="312" t="n"/>
      <c r="W8" s="312" t="n"/>
      <c r="X8" s="312" t="n"/>
      <c r="Y8" s="312" t="n"/>
      <c r="Z8" s="312" t="n"/>
      <c r="AA8" s="312" t="n"/>
      <c r="AB8" s="312" t="n"/>
      <c r="AC8" s="313" t="n"/>
      <c r="AD8" s="314" t="n"/>
      <c r="AE8" s="315" t="n"/>
      <c r="AF8" s="316" t="n"/>
      <c r="AH8" s="308" t="n">
        <v>2</v>
      </c>
      <c r="AI8" s="308" t="n">
        <v>1</v>
      </c>
    </row>
    <row r="9" ht="28.2" customHeight="1">
      <c r="A9" s="88" t="n"/>
      <c r="B9" s="100" t="inlineStr">
        <is>
          <t>(100%) Site Maintenance</t>
        </is>
      </c>
      <c r="C9" s="101" t="n">
        <v>0.5</v>
      </c>
      <c r="D9" s="317">
        <f>C9*$D$6</f>
        <v/>
      </c>
      <c r="E9" s="310" t="n"/>
      <c r="F9" s="307" t="n"/>
      <c r="G9" s="307" t="n"/>
      <c r="H9" s="307" t="n"/>
      <c r="I9" s="307" t="n"/>
      <c r="J9" s="307" t="n"/>
      <c r="K9" s="307" t="n"/>
      <c r="L9" s="307" t="n"/>
      <c r="M9" s="307" t="n"/>
      <c r="N9" s="307" t="n"/>
      <c r="O9" s="307" t="n"/>
      <c r="P9" s="307" t="n"/>
      <c r="Q9" s="312" t="n"/>
      <c r="R9" s="312" t="n"/>
      <c r="S9" s="312" t="n"/>
      <c r="T9" s="312" t="n"/>
      <c r="U9" s="312" t="n"/>
      <c r="V9" s="312" t="n"/>
      <c r="W9" s="312" t="n"/>
      <c r="X9" s="312" t="n"/>
      <c r="Y9" s="312" t="n"/>
      <c r="Z9" s="312" t="n"/>
      <c r="AA9" s="312" t="n"/>
      <c r="AB9" s="312" t="n"/>
      <c r="AC9" s="313" t="n"/>
      <c r="AD9" s="314" t="n"/>
      <c r="AE9" s="315" t="n"/>
      <c r="AF9" s="316" t="n"/>
      <c r="AH9" s="308" t="n">
        <v>3</v>
      </c>
      <c r="AI9" s="308" t="n">
        <v>22</v>
      </c>
    </row>
    <row r="10" ht="28.2" customHeight="1">
      <c r="A10" s="88" t="n"/>
      <c r="B10" s="85" t="n"/>
      <c r="C10" s="74" t="n"/>
      <c r="D10" s="300" t="n"/>
      <c r="E10" s="310" t="n"/>
      <c r="F10" s="307" t="n"/>
      <c r="G10" s="307" t="n"/>
      <c r="H10" s="307" t="n"/>
      <c r="I10" s="307" t="n"/>
      <c r="J10" s="307" t="n"/>
      <c r="K10" s="307" t="n"/>
      <c r="L10" s="307" t="n"/>
      <c r="M10" s="307" t="n"/>
      <c r="N10" s="307" t="n"/>
      <c r="O10" s="307" t="n"/>
      <c r="P10" s="307" t="n"/>
      <c r="Q10" s="312" t="n"/>
      <c r="R10" s="312" t="n"/>
      <c r="S10" s="312" t="n"/>
      <c r="T10" s="312" t="n"/>
      <c r="U10" s="312" t="n"/>
      <c r="V10" s="312" t="n"/>
      <c r="W10" s="312" t="n"/>
      <c r="X10" s="312" t="n"/>
      <c r="Y10" s="312" t="n"/>
      <c r="Z10" s="312" t="n"/>
      <c r="AA10" s="312" t="n"/>
      <c r="AB10" s="312" t="n"/>
      <c r="AC10" s="313" t="n"/>
      <c r="AD10" s="314" t="n"/>
      <c r="AE10" s="315" t="n"/>
      <c r="AF10" s="316" t="n"/>
    </row>
    <row r="11" ht="27.6" customHeight="1">
      <c r="A11" s="88" t="inlineStr">
        <is>
          <t>C</t>
        </is>
      </c>
      <c r="B11" s="89">
        <f>'GEN SUMMARY.'!B9</f>
        <v/>
      </c>
      <c r="C11" s="90" t="n"/>
      <c r="D11" s="311">
        <f>'GEN SUMMARY.'!E9</f>
        <v/>
      </c>
      <c r="E11" s="310">
        <f>IF(AND(E$2&gt;=$AH12,E$2&lt;$AH12+$AI12),$D12/$AI12,0)+IF(AND(E$2&gt;=$AH13,E$2&lt;$AH13+$AI13),$D13/$AI13,0)</f>
        <v/>
      </c>
      <c r="F11" s="307">
        <f>IF(AND(F$2&gt;=$AH12,F$2&lt;$AH12+$AI12),$D12/$AI12,0)+IF(AND(F$2&gt;=$AH13,F$2&lt;$AH13+$AI13),$D13/$AI13,0)</f>
        <v/>
      </c>
      <c r="G11" s="307">
        <f>IF(AND(G$2&gt;=$AH12,G$2&lt;$AH12+$AI12),$D12/$AI12,0)+IF(AND(G$2&gt;=$AH13,G$2&lt;$AH13+$AI13),$D13/$AI13,0)</f>
        <v/>
      </c>
      <c r="H11" s="307">
        <f>IF(AND(H$2&gt;=$AH12,H$2&lt;$AH12+$AI12),$D12/$AI12,0)+IF(AND(H$2&gt;=$AH13,H$2&lt;$AH13+$AI13),$D13/$AI13,0)</f>
        <v/>
      </c>
      <c r="I11" s="307">
        <f>IF(AND(I$2&gt;=$AH12,I$2&lt;$AH12+$AI12),$D12/$AI12,0)+IF(AND(I$2&gt;=$AH13,I$2&lt;$AH13+$AI13),$D13/$AI13,0)</f>
        <v/>
      </c>
      <c r="J11" s="307">
        <f>IF(AND(J$2&gt;=$AH12,J$2&lt;$AH12+$AI12),$D12/$AI12,0)+IF(AND(J$2&gt;=$AH13,J$2&lt;$AH13+$AI13),$D13/$AI13,0)</f>
        <v/>
      </c>
      <c r="K11" s="307">
        <f>IF(AND(K$2&gt;=$AH12,K$2&lt;$AH12+$AI12),$D12/$AI12,0)+IF(AND(K$2&gt;=$AH13,K$2&lt;$AH13+$AI13),$D13/$AI13,0)</f>
        <v/>
      </c>
      <c r="L11" s="307">
        <f>IF(AND(L$2&gt;=$AH12,L$2&lt;$AH12+$AI12),$D12/$AI12,0)+IF(AND(L$2&gt;=$AH13,L$2&lt;$AH13+$AI13),$D13/$AI13,0)</f>
        <v/>
      </c>
      <c r="M11" s="307">
        <f>IF(AND(M$2&gt;=$AH12,M$2&lt;$AH12+$AI12),$D12/$AI12,0)+IF(AND(M$2&gt;=$AH13,M$2&lt;$AH13+$AI13),$D13/$AI13,0)</f>
        <v/>
      </c>
      <c r="N11" s="307">
        <f>IF(AND(N$2&gt;=$AH12,N$2&lt;$AH12+$AI12),$D12/$AI12,0)+IF(AND(N$2&gt;=$AH13,N$2&lt;$AH13+$AI13),$D13/$AI13,0)</f>
        <v/>
      </c>
      <c r="O11" s="307">
        <f>IF(AND(O$2&gt;=$AH12,O$2&lt;$AH12+$AI12),$D12/$AI12,0)+IF(AND(O$2&gt;=$AH13,O$2&lt;$AH13+$AI13),$D13/$AI13,0)</f>
        <v/>
      </c>
      <c r="P11" s="307">
        <f>IF(AND(P$2&gt;=$AH12,P$2&lt;$AH12+$AI12),$D12/$AI12,0)+IF(AND(P$2&gt;=$AH13,P$2&lt;$AH13+$AI13),$D13/$AI13,0)</f>
        <v/>
      </c>
      <c r="Q11" s="312">
        <f>IF(AND(Q$2&gt;=$AH12,Q$2&lt;$AH12+$AI12),$D12/$AI12,0)+IF(AND(Q$2&gt;=$AH13,Q$2&lt;$AH13+$AI13),$D13/$AI13,0)</f>
        <v/>
      </c>
      <c r="R11" s="312">
        <f>IF(AND(R$2&gt;=$AH12,R$2&lt;$AH12+$AI12),$D12/$AI12,0)+IF(AND(R$2&gt;=$AH13,R$2&lt;$AH13+$AI13),$D13/$AI13,0)</f>
        <v/>
      </c>
      <c r="S11" s="312">
        <f>IF(AND(S$2&gt;=$AH12,S$2&lt;$AH12+$AI12),$D12/$AI12,0)+IF(AND(S$2&gt;=$AH13,S$2&lt;$AH13+$AI13),$D13/$AI13,0)</f>
        <v/>
      </c>
      <c r="T11" s="312">
        <f>IF(AND(T$2&gt;=$AH12,T$2&lt;$AH12+$AI12),$D12/$AI12,0)+IF(AND(T$2&gt;=$AH13,T$2&lt;$AH13+$AI13),$D13/$AI13,0)</f>
        <v/>
      </c>
      <c r="U11" s="312">
        <f>IF(AND(U$2&gt;=$AH12,U$2&lt;$AH12+$AI12),$D12/$AI12,0)+IF(AND(U$2&gt;=$AH13,U$2&lt;$AH13+$AI13),$D13/$AI13,0)</f>
        <v/>
      </c>
      <c r="V11" s="312">
        <f>IF(AND(V$2&gt;=$AH12,V$2&lt;$AH12+$AI12),$D12/$AI12,0)+IF(AND(V$2&gt;=$AH13,V$2&lt;$AH13+$AI13),$D13/$AI13,0)</f>
        <v/>
      </c>
      <c r="W11" s="312">
        <f>IF(AND(W$2&gt;=$AH12,W$2&lt;$AH12+$AI12),$D12/$AI12,0)+IF(AND(W$2&gt;=$AH13,W$2&lt;$AH13+$AI13),$D13/$AI13,0)</f>
        <v/>
      </c>
      <c r="X11" s="312">
        <f>IF(AND(X$2&gt;=$AH12,X$2&lt;$AH12+$AI12),$D12/$AI12,0)+IF(AND(X$2&gt;=$AH13,X$2&lt;$AH13+$AI13),$D13/$AI13,0)</f>
        <v/>
      </c>
      <c r="Y11" s="312">
        <f>IF(AND(Y$2&gt;=$AH12,Y$2&lt;$AH12+$AI12),$D12/$AI12,0)+IF(AND(Y$2&gt;=$AH13,Y$2&lt;$AH13+$AI13),$D13/$AI13,0)</f>
        <v/>
      </c>
      <c r="Z11" s="312">
        <f>IF(AND(Z$2&gt;=$AH12,Z$2&lt;$AH12+$AI12),$D12/$AI12,0)+IF(AND(Z$2&gt;=$AH13,Z$2&lt;$AH13+$AI13),$D13/$AI13,0)</f>
        <v/>
      </c>
      <c r="AA11" s="312">
        <f>IF(AND(AA$2&gt;=$AH12,AA$2&lt;$AH12+$AI12),$D12/$AI12,0)+IF(AND(AA$2&gt;=$AH13,AA$2&lt;$AH13+$AI13),$D13/$AI13,0)</f>
        <v/>
      </c>
      <c r="AB11" s="312">
        <f>IF(AND(AB$2&gt;=$AH12,AB$2&lt;$AH12+$AI12),$D12/$AI12,0)+IF(AND(AB$2&gt;=$AH13,AB$2&lt;$AH13+$AI13),$D13/$AI13,0)</f>
        <v/>
      </c>
      <c r="AC11" s="313">
        <f>IF(AND(AC$2&gt;=$AH12,AC$2&lt;$AH12+$AI12),$D12/$AI12,0)+IF(AND(AC$2&gt;=$AH13,AC$2&lt;$AH13+$AI13),$D13/$AI13,0)</f>
        <v/>
      </c>
      <c r="AD11" s="314">
        <f>IF(AND(AD$2&gt;=$AH12,AD$2&lt;$AH12+$AI12),$D12/$AI12,0)+IF(AND(AD$2&gt;=$AH13,AD$2&lt;$AH13+$AI13),$D13/$AI13,0)</f>
        <v/>
      </c>
      <c r="AE11" s="315">
        <f>IF(AND(AE$2&gt;=$AH12,AE$2&lt;$AH12+$AI12),$D12/$AI12,0)+IF(AND(AE$2&gt;=$AH13,AE$2&lt;$AH13+$AI13),$D13/$AI13,0)</f>
        <v/>
      </c>
      <c r="AF11" s="316">
        <f>SUM(E11:AE11)</f>
        <v/>
      </c>
    </row>
    <row r="12" ht="28.2" customHeight="1">
      <c r="A12" s="88" t="n"/>
      <c r="B12" s="100" t="inlineStr">
        <is>
          <t>(0%) Start of Demolition Works</t>
        </is>
      </c>
      <c r="C12" s="101" t="n">
        <v>0.8</v>
      </c>
      <c r="D12" s="317">
        <f>C12*$D$11</f>
        <v/>
      </c>
      <c r="E12" s="310" t="n"/>
      <c r="F12" s="307" t="n"/>
      <c r="G12" s="307" t="n"/>
      <c r="H12" s="307" t="n"/>
      <c r="I12" s="307" t="n"/>
      <c r="J12" s="307" t="n"/>
      <c r="K12" s="307" t="n"/>
      <c r="L12" s="307" t="n"/>
      <c r="M12" s="307" t="n"/>
      <c r="N12" s="307" t="n"/>
      <c r="O12" s="307" t="n"/>
      <c r="P12" s="307" t="n"/>
      <c r="Q12" s="312" t="n"/>
      <c r="R12" s="312" t="n"/>
      <c r="S12" s="312" t="n"/>
      <c r="T12" s="312" t="n"/>
      <c r="U12" s="312" t="n"/>
      <c r="V12" s="312" t="n"/>
      <c r="W12" s="312" t="n"/>
      <c r="X12" s="312" t="n"/>
      <c r="Y12" s="312" t="n"/>
      <c r="Z12" s="312" t="n"/>
      <c r="AA12" s="312" t="n"/>
      <c r="AB12" s="312" t="n"/>
      <c r="AC12" s="313" t="n"/>
      <c r="AD12" s="314" t="n"/>
      <c r="AE12" s="315" t="n"/>
      <c r="AF12" s="316" t="n"/>
      <c r="AH12" s="308" t="n">
        <v>1</v>
      </c>
      <c r="AI12" s="308" t="n">
        <v>1</v>
      </c>
    </row>
    <row r="13" ht="28.2" customHeight="1">
      <c r="A13" s="88" t="n"/>
      <c r="B13" s="100" t="inlineStr">
        <is>
          <t>(100%) End of Demolition Works</t>
        </is>
      </c>
      <c r="C13" s="101" t="n">
        <v>0.2</v>
      </c>
      <c r="D13" s="317">
        <f>C13*$D$11</f>
        <v/>
      </c>
      <c r="E13" s="310" t="n"/>
      <c r="F13" s="307" t="n"/>
      <c r="G13" s="307" t="n"/>
      <c r="H13" s="307" t="n"/>
      <c r="I13" s="307" t="n"/>
      <c r="J13" s="307" t="n"/>
      <c r="K13" s="307" t="n"/>
      <c r="L13" s="307" t="n"/>
      <c r="M13" s="307" t="n"/>
      <c r="N13" s="307" t="n"/>
      <c r="O13" s="307" t="n"/>
      <c r="P13" s="307" t="n"/>
      <c r="Q13" s="312" t="n"/>
      <c r="R13" s="312" t="n"/>
      <c r="S13" s="312" t="n"/>
      <c r="T13" s="312" t="n"/>
      <c r="U13" s="312" t="n"/>
      <c r="V13" s="312" t="n"/>
      <c r="W13" s="312" t="n"/>
      <c r="X13" s="312" t="n"/>
      <c r="Y13" s="312" t="n"/>
      <c r="Z13" s="312" t="n"/>
      <c r="AA13" s="312" t="n"/>
      <c r="AB13" s="312" t="n"/>
      <c r="AC13" s="313" t="n"/>
      <c r="AD13" s="314" t="n"/>
      <c r="AE13" s="315" t="n"/>
      <c r="AF13" s="316" t="n"/>
      <c r="AH13" s="308" t="n">
        <v>2</v>
      </c>
      <c r="AI13" s="308" t="n">
        <v>1</v>
      </c>
    </row>
    <row r="14" ht="28.2" customHeight="1">
      <c r="A14" s="88" t="n"/>
      <c r="B14" s="85" t="n"/>
      <c r="C14" s="74" t="n"/>
      <c r="D14" s="300" t="n"/>
      <c r="E14" s="310" t="n"/>
      <c r="F14" s="307" t="n"/>
      <c r="G14" s="307" t="n"/>
      <c r="H14" s="307" t="n"/>
      <c r="I14" s="307" t="n"/>
      <c r="J14" s="307" t="n"/>
      <c r="K14" s="307" t="n"/>
      <c r="L14" s="307" t="n"/>
      <c r="M14" s="307" t="n"/>
      <c r="N14" s="307" t="n"/>
      <c r="O14" s="307" t="n"/>
      <c r="P14" s="307" t="n"/>
      <c r="Q14" s="312" t="n"/>
      <c r="R14" s="312" t="n"/>
      <c r="S14" s="312" t="n"/>
      <c r="T14" s="312" t="n"/>
      <c r="U14" s="312" t="n"/>
      <c r="V14" s="312" t="n"/>
      <c r="W14" s="312" t="n"/>
      <c r="X14" s="312" t="n"/>
      <c r="Y14" s="312" t="n"/>
      <c r="Z14" s="312" t="n"/>
      <c r="AA14" s="312" t="n"/>
      <c r="AB14" s="312" t="n"/>
      <c r="AC14" s="313" t="n"/>
      <c r="AD14" s="314" t="n"/>
      <c r="AE14" s="315" t="n"/>
      <c r="AF14" s="316" t="n"/>
    </row>
    <row r="15" ht="27.6" customHeight="1">
      <c r="A15" s="88" t="inlineStr">
        <is>
          <t>D</t>
        </is>
      </c>
      <c r="B15" s="89">
        <f>'GEN SUMMARY.'!B11</f>
        <v/>
      </c>
      <c r="C15" s="90" t="n"/>
      <c r="D15" s="311">
        <f>'GEN SUMMARY.'!E11</f>
        <v/>
      </c>
      <c r="E15" s="310">
        <f>IF(AND(E$2&gt;=$AH16,E$2&lt;$AH16+$AI16),$D16/$AI16,0)+IF(AND(E$2&gt;=$AH17,E$2&lt;$AH17+$AI17),$D17/$AI17,0)+IF(AND(E$2&gt;=$AH18,E$2&lt;$AH18+$AI18),$D18/$AI18,0)</f>
        <v/>
      </c>
      <c r="F15" s="307">
        <f>IF(AND(F$2&gt;=$AH16,F$2&lt;$AH16+$AI16),$D16/$AI16,0)+IF(AND(F$2&gt;=$AH17,F$2&lt;$AH17+$AI17),$D17/$AI17,0)+IF(AND(F$2&gt;=$AH18,F$2&lt;$AH18+$AI18),$D18/$AI18,0)</f>
        <v/>
      </c>
      <c r="G15" s="307">
        <f>IF(AND(G$2&gt;=$AH16,G$2&lt;$AH16+$AI16),$D16/$AI16,0)+IF(AND(G$2&gt;=$AH17,G$2&lt;$AH17+$AI17),$D17/$AI17,0)+IF(AND(G$2&gt;=$AH18,G$2&lt;$AH18+$AI18),$D18/$AI18,0)</f>
        <v/>
      </c>
      <c r="H15" s="307">
        <f>IF(AND(H$2&gt;=$AH16,H$2&lt;$AH16+$AI16),$D16/$AI16,0)+IF(AND(H$2&gt;=$AH17,H$2&lt;$AH17+$AI17),$D17/$AI17,0)+IF(AND(H$2&gt;=$AH18,H$2&lt;$AH18+$AI18),$D18/$AI18,0)</f>
        <v/>
      </c>
      <c r="I15" s="307">
        <f>IF(AND(I$2&gt;=$AH16,I$2&lt;$AH16+$AI16),$D16/$AI16,0)+IF(AND(I$2&gt;=$AH17,I$2&lt;$AH17+$AI17),$D17/$AI17,0)+IF(AND(I$2&gt;=$AH18,I$2&lt;$AH18+$AI18),$D18/$AI18,0)</f>
        <v/>
      </c>
      <c r="J15" s="307">
        <f>IF(AND(J$2&gt;=$AH16,J$2&lt;$AH16+$AI16),$D16/$AI16,0)+IF(AND(J$2&gt;=$AH17,J$2&lt;$AH17+$AI17),$D17/$AI17,0)+IF(AND(J$2&gt;=$AH18,J$2&lt;$AH18+$AI18),$D18/$AI18,0)</f>
        <v/>
      </c>
      <c r="K15" s="307">
        <f>IF(AND(K$2&gt;=$AH16,K$2&lt;$AH16+$AI16),$D16/$AI16,0)+IF(AND(K$2&gt;=$AH17,K$2&lt;$AH17+$AI17),$D17/$AI17,0)+IF(AND(K$2&gt;=$AH18,K$2&lt;$AH18+$AI18),$D18/$AI18,0)</f>
        <v/>
      </c>
      <c r="L15" s="307">
        <f>IF(AND(L$2&gt;=$AH16,L$2&lt;$AH16+$AI16),$D16/$AI16,0)+IF(AND(L$2&gt;=$AH17,L$2&lt;$AH17+$AI17),$D17/$AI17,0)+IF(AND(L$2&gt;=$AH18,L$2&lt;$AH18+$AI18),$D18/$AI18,0)</f>
        <v/>
      </c>
      <c r="M15" s="307">
        <f>IF(AND(M$2&gt;=$AH16,M$2&lt;$AH16+$AI16),$D16/$AI16,0)+IF(AND(M$2&gt;=$AH17,M$2&lt;$AH17+$AI17),$D17/$AI17,0)+IF(AND(M$2&gt;=$AH18,M$2&lt;$AH18+$AI18),$D18/$AI18,0)</f>
        <v/>
      </c>
      <c r="N15" s="307">
        <f>IF(AND(N$2&gt;=$AH16,N$2&lt;$AH16+$AI16),$D16/$AI16,0)+IF(AND(N$2&gt;=$AH17,N$2&lt;$AH17+$AI17),$D17/$AI17,0)+IF(AND(N$2&gt;=$AH18,N$2&lt;$AH18+$AI18),$D18/$AI18,0)</f>
        <v/>
      </c>
      <c r="O15" s="307">
        <f>IF(AND(O$2&gt;=$AH16,O$2&lt;$AH16+$AI16),$D16/$AI16,0)+IF(AND(O$2&gt;=$AH17,O$2&lt;$AH17+$AI17),$D17/$AI17,0)+IF(AND(O$2&gt;=$AH18,O$2&lt;$AH18+$AI18),$D18/$AI18,0)</f>
        <v/>
      </c>
      <c r="P15" s="307">
        <f>IF(AND(P$2&gt;=$AH16,P$2&lt;$AH16+$AI16),$D16/$AI16,0)+IF(AND(P$2&gt;=$AH17,P$2&lt;$AH17+$AI17),$D17/$AI17,0)+IF(AND(P$2&gt;=$AH18,P$2&lt;$AH18+$AI18),$D18/$AI18,0)</f>
        <v/>
      </c>
      <c r="Q15" s="312">
        <f>IF(AND(Q$2&gt;=$AH16,Q$2&lt;$AH16+$AI16),$D16/$AI16,0)+IF(AND(Q$2&gt;=$AH17,Q$2&lt;$AH17+$AI17),$D17/$AI17,0)+IF(AND(Q$2&gt;=$AH18,Q$2&lt;$AH18+$AI18),$D18/$AI18,0)</f>
        <v/>
      </c>
      <c r="R15" s="312">
        <f>IF(AND(R$2&gt;=$AH16,R$2&lt;$AH16+$AI16),$D16/$AI16,0)+IF(AND(R$2&gt;=$AH17,R$2&lt;$AH17+$AI17),$D17/$AI17,0)+IF(AND(R$2&gt;=$AH18,R$2&lt;$AH18+$AI18),$D18/$AI18,0)</f>
        <v/>
      </c>
      <c r="S15" s="312">
        <f>IF(AND(S$2&gt;=$AH16,S$2&lt;$AH16+$AI16),$D16/$AI16,0)+IF(AND(S$2&gt;=$AH17,S$2&lt;$AH17+$AI17),$D17/$AI17,0)+IF(AND(S$2&gt;=$AH18,S$2&lt;$AH18+$AI18),$D18/$AI18,0)</f>
        <v/>
      </c>
      <c r="T15" s="312">
        <f>IF(AND(T$2&gt;=$AH16,T$2&lt;$AH16+$AI16),$D16/$AI16,0)+IF(AND(T$2&gt;=$AH17,T$2&lt;$AH17+$AI17),$D17/$AI17,0)+IF(AND(T$2&gt;=$AH18,T$2&lt;$AH18+$AI18),$D18/$AI18,0)</f>
        <v/>
      </c>
      <c r="U15" s="312">
        <f>IF(AND(U$2&gt;=$AH16,U$2&lt;$AH16+$AI16),$D16/$AI16,0)+IF(AND(U$2&gt;=$AH17,U$2&lt;$AH17+$AI17),$D17/$AI17,0)+IF(AND(U$2&gt;=$AH18,U$2&lt;$AH18+$AI18),$D18/$AI18,0)</f>
        <v/>
      </c>
      <c r="V15" s="312">
        <f>IF(AND(V$2&gt;=$AH16,V$2&lt;$AH16+$AI16),$D16/$AI16,0)+IF(AND(V$2&gt;=$AH17,V$2&lt;$AH17+$AI17),$D17/$AI17,0)+IF(AND(V$2&gt;=$AH18,V$2&lt;$AH18+$AI18),$D18/$AI18,0)</f>
        <v/>
      </c>
      <c r="W15" s="312">
        <f>IF(AND(W$2&gt;=$AH16,W$2&lt;$AH16+$AI16),$D16/$AI16,0)+IF(AND(W$2&gt;=$AH17,W$2&lt;$AH17+$AI17),$D17/$AI17,0)+IF(AND(W$2&gt;=$AH18,W$2&lt;$AH18+$AI18),$D18/$AI18,0)</f>
        <v/>
      </c>
      <c r="X15" s="312">
        <f>IF(AND(X$2&gt;=$AH16,X$2&lt;$AH16+$AI16),$D16/$AI16,0)+IF(AND(X$2&gt;=$AH17,X$2&lt;$AH17+$AI17),$D17/$AI17,0)+IF(AND(X$2&gt;=$AH18,X$2&lt;$AH18+$AI18),$D18/$AI18,0)</f>
        <v/>
      </c>
      <c r="Y15" s="312">
        <f>IF(AND(Y$2&gt;=$AH16,Y$2&lt;$AH16+$AI16),$D16/$AI16,0)+IF(AND(Y$2&gt;=$AH17,Y$2&lt;$AH17+$AI17),$D17/$AI17,0)+IF(AND(Y$2&gt;=$AH18,Y$2&lt;$AH18+$AI18),$D18/$AI18,0)</f>
        <v/>
      </c>
      <c r="Z15" s="312">
        <f>IF(AND(Z$2&gt;=$AH16,Z$2&lt;$AH16+$AI16),$D16/$AI16,0)+IF(AND(Z$2&gt;=$AH17,Z$2&lt;$AH17+$AI17),$D17/$AI17,0)+IF(AND(Z$2&gt;=$AH18,Z$2&lt;$AH18+$AI18),$D18/$AI18,0)</f>
        <v/>
      </c>
      <c r="AA15" s="312">
        <f>IF(AND(AA$2&gt;=$AH16,AA$2&lt;$AH16+$AI16),$D16/$AI16,0)+IF(AND(AA$2&gt;=$AH17,AA$2&lt;$AH17+$AI17),$D17/$AI17,0)+IF(AND(AA$2&gt;=$AH18,AA$2&lt;$AH18+$AI18),$D18/$AI18,0)</f>
        <v/>
      </c>
      <c r="AB15" s="312">
        <f>IF(AND(AB$2&gt;=$AH16,AB$2&lt;$AH16+$AI16),$D16/$AI16,0)+IF(AND(AB$2&gt;=$AH17,AB$2&lt;$AH17+$AI17),$D17/$AI17,0)+IF(AND(AB$2&gt;=$AH18,AB$2&lt;$AH18+$AI18),$D18/$AI18,0)</f>
        <v/>
      </c>
      <c r="AC15" s="313">
        <f>IF(AND(AC$2&gt;=$AH16,AC$2&lt;$AH16+$AI16),$D16/$AI16,0)+IF(AND(AC$2&gt;=$AH17,AC$2&lt;$AH17+$AI17),$D17/$AI17,0)+IF(AND(AC$2&gt;=$AH18,AC$2&lt;$AH18+$AI18),$D18/$AI18,0)</f>
        <v/>
      </c>
      <c r="AD15" s="314">
        <f>IF(AND(AD$2&gt;=$AH16,AD$2&lt;$AH16+$AI16),$D16/$AI16,0)+IF(AND(AD$2&gt;=$AH17,AD$2&lt;$AH17+$AI17),$D17/$AI17,0)+IF(AND(AD$2&gt;=$AH18,AD$2&lt;$AH18+$AI18),$D18/$AI18,0)</f>
        <v/>
      </c>
      <c r="AE15" s="315">
        <f>IF(AND(AE$2&gt;=$AH16,AE$2&lt;$AH16+$AI16),$D16/$AI16,0)+IF(AND(AE$2&gt;=$AH17,AE$2&lt;$AH17+$AI17),$D17/$AI17,0)+IF(AND(AE$2&gt;=$AH18,AE$2&lt;$AH18+$AI18),$D18/$AI18,0)</f>
        <v/>
      </c>
      <c r="AF15" s="316">
        <f>SUM(E15:AE15)</f>
        <v/>
      </c>
    </row>
    <row r="16" ht="28.2" customHeight="1">
      <c r="A16" s="88" t="n"/>
      <c r="B16" s="100" t="inlineStr">
        <is>
          <t>Procurement Phase I (Substructure materials on site and in transit) (0%)</t>
        </is>
      </c>
      <c r="C16" s="101" t="n">
        <v>0.5</v>
      </c>
      <c r="D16" s="317">
        <f>C16*$D$15</f>
        <v/>
      </c>
      <c r="E16" s="310" t="n"/>
      <c r="F16" s="307" t="n"/>
      <c r="G16" s="307" t="n"/>
      <c r="H16" s="307" t="n"/>
      <c r="I16" s="307" t="n"/>
      <c r="J16" s="307" t="n"/>
      <c r="K16" s="307" t="n"/>
      <c r="L16" s="307" t="n"/>
      <c r="M16" s="307" t="n"/>
      <c r="N16" s="307" t="n"/>
      <c r="O16" s="307" t="n"/>
      <c r="P16" s="307" t="n"/>
      <c r="Q16" s="312" t="n"/>
      <c r="R16" s="312" t="n"/>
      <c r="S16" s="312" t="n"/>
      <c r="T16" s="312" t="n"/>
      <c r="U16" s="312" t="n"/>
      <c r="V16" s="312" t="n"/>
      <c r="W16" s="312" t="n"/>
      <c r="X16" s="312" t="n"/>
      <c r="Y16" s="312" t="n"/>
      <c r="Z16" s="312" t="n"/>
      <c r="AA16" s="312" t="n"/>
      <c r="AB16" s="312" t="n"/>
      <c r="AC16" s="313" t="n"/>
      <c r="AD16" s="314" t="n"/>
      <c r="AE16" s="315" t="n"/>
      <c r="AF16" s="316" t="n"/>
      <c r="AH16" s="308" t="n">
        <v>1</v>
      </c>
      <c r="AI16" s="308" t="n">
        <v>2</v>
      </c>
    </row>
    <row r="17" ht="28.2" customHeight="1">
      <c r="A17" s="88" t="n"/>
      <c r="B17" s="100" t="inlineStr">
        <is>
          <t>(50%) Completion of Ground Works</t>
        </is>
      </c>
      <c r="C17" s="101" t="n">
        <v>0.25</v>
      </c>
      <c r="D17" s="317">
        <f>C17*$D$15</f>
        <v/>
      </c>
      <c r="E17" s="310" t="n"/>
      <c r="F17" s="307" t="n"/>
      <c r="G17" s="307" t="n"/>
      <c r="H17" s="307" t="n"/>
      <c r="I17" s="307" t="n"/>
      <c r="J17" s="307" t="n"/>
      <c r="K17" s="307" t="n"/>
      <c r="L17" s="307" t="n"/>
      <c r="M17" s="307" t="n"/>
      <c r="N17" s="307" t="n"/>
      <c r="O17" s="307" t="n"/>
      <c r="P17" s="307" t="n"/>
      <c r="Q17" s="312" t="n"/>
      <c r="R17" s="312" t="n"/>
      <c r="S17" s="312" t="n"/>
      <c r="T17" s="312" t="n"/>
      <c r="U17" s="312" t="n"/>
      <c r="V17" s="312" t="n"/>
      <c r="W17" s="312" t="n"/>
      <c r="X17" s="312" t="n"/>
      <c r="Y17" s="312" t="n"/>
      <c r="Z17" s="312" t="n"/>
      <c r="AA17" s="312" t="n"/>
      <c r="AB17" s="312" t="n"/>
      <c r="AC17" s="313" t="n"/>
      <c r="AD17" s="314" t="n"/>
      <c r="AE17" s="315" t="n"/>
      <c r="AF17" s="316" t="n"/>
      <c r="AH17" s="308" t="n">
        <v>3</v>
      </c>
      <c r="AI17" s="308" t="n">
        <v>1</v>
      </c>
    </row>
    <row r="18" ht="28.2" customHeight="1">
      <c r="A18" s="88" t="n"/>
      <c r="B18" s="100" t="inlineStr">
        <is>
          <t>(100%) Completion of Substructure Concrete Works</t>
        </is>
      </c>
      <c r="C18" s="101" t="n">
        <v>0.25</v>
      </c>
      <c r="D18" s="317">
        <f>C18*$D$15</f>
        <v/>
      </c>
      <c r="E18" s="310" t="n"/>
      <c r="F18" s="307" t="n"/>
      <c r="G18" s="307" t="n"/>
      <c r="H18" s="307" t="n"/>
      <c r="I18" s="307" t="n"/>
      <c r="J18" s="307" t="n"/>
      <c r="K18" s="307" t="n"/>
      <c r="L18" s="307" t="n"/>
      <c r="M18" s="307" t="n"/>
      <c r="N18" s="307" t="n"/>
      <c r="O18" s="307" t="n"/>
      <c r="P18" s="307" t="n"/>
      <c r="Q18" s="312" t="n"/>
      <c r="R18" s="312" t="n"/>
      <c r="S18" s="312" t="n"/>
      <c r="T18" s="312" t="n"/>
      <c r="U18" s="312" t="n"/>
      <c r="V18" s="312" t="n"/>
      <c r="W18" s="312" t="n"/>
      <c r="X18" s="312" t="n"/>
      <c r="Y18" s="312" t="n"/>
      <c r="Z18" s="312" t="n"/>
      <c r="AA18" s="312" t="n"/>
      <c r="AB18" s="312" t="n"/>
      <c r="AC18" s="313" t="n"/>
      <c r="AD18" s="314" t="n"/>
      <c r="AE18" s="315" t="n"/>
      <c r="AF18" s="316" t="n"/>
      <c r="AH18" s="308" t="n">
        <v>4</v>
      </c>
      <c r="AI18" s="308" t="n">
        <v>1</v>
      </c>
    </row>
    <row r="19" ht="28.2" customHeight="1">
      <c r="A19" s="88" t="n"/>
      <c r="B19" s="85" t="n"/>
      <c r="C19" s="74" t="n"/>
      <c r="D19" s="300" t="n"/>
      <c r="E19" s="310" t="n"/>
      <c r="F19" s="307" t="n"/>
      <c r="G19" s="307" t="n"/>
      <c r="H19" s="307" t="n"/>
      <c r="I19" s="307" t="n"/>
      <c r="J19" s="307" t="n"/>
      <c r="K19" s="307" t="n"/>
      <c r="L19" s="307" t="n"/>
      <c r="M19" s="307" t="n"/>
      <c r="N19" s="307" t="n"/>
      <c r="O19" s="307" t="n"/>
      <c r="P19" s="307" t="n"/>
      <c r="Q19" s="312" t="n"/>
      <c r="R19" s="312" t="n"/>
      <c r="S19" s="312" t="n"/>
      <c r="T19" s="312" t="n"/>
      <c r="U19" s="312" t="n"/>
      <c r="V19" s="312" t="n"/>
      <c r="W19" s="312" t="n"/>
      <c r="X19" s="312" t="n"/>
      <c r="Y19" s="312" t="n"/>
      <c r="Z19" s="312" t="n"/>
      <c r="AA19" s="312" t="n"/>
      <c r="AB19" s="312" t="n"/>
      <c r="AC19" s="313" t="n"/>
      <c r="AD19" s="314" t="n"/>
      <c r="AE19" s="315" t="n"/>
      <c r="AF19" s="316" t="n"/>
    </row>
    <row r="20" ht="27.6" customHeight="1">
      <c r="A20" s="88" t="inlineStr">
        <is>
          <t>E</t>
        </is>
      </c>
      <c r="B20" s="89">
        <f>'GEN SUMMARY.'!B13</f>
        <v/>
      </c>
      <c r="C20" s="90" t="n"/>
      <c r="D20" s="311">
        <f>'GEN SUMMARY.'!E13</f>
        <v/>
      </c>
      <c r="E20" s="310">
        <f>IF(AND(E$2&gt;=$AH21,E$2&lt;$AH21+$AI21),$D21/$AI21,0)+IF(AND(E$2&gt;=$AH22,E$2&lt;$AH22+$AI22),$D22/$AI22,0)+IF(AND(E$2&gt;=$AH23,E$2&lt;$AH23+$AI23),$D23/$AI23,0)+IF(AND(E$2&gt;=$AH24,E$2&lt;$AH24+$AI24),$D24/$AI24,0)</f>
        <v/>
      </c>
      <c r="F20" s="307">
        <f>IF(AND(F$2&gt;=$AH21,F$2&lt;$AH21+$AI21),$D21/$AI21,0)+IF(AND(F$2&gt;=$AH22,F$2&lt;$AH22+$AI22),$D22/$AI22,0)+IF(AND(F$2&gt;=$AH23,F$2&lt;$AH23+$AI23),$D23/$AI23,0)+IF(AND(F$2&gt;=$AH24,F$2&lt;$AH24+$AI24),$D24/$AI24,0)</f>
        <v/>
      </c>
      <c r="G20" s="307">
        <f>IF(AND(G$2&gt;=$AH21,G$2&lt;$AH21+$AI21),$D21/$AI21,0)+IF(AND(G$2&gt;=$AH22,G$2&lt;$AH22+$AI22),$D22/$AI22,0)+IF(AND(G$2&gt;=$AH23,G$2&lt;$AH23+$AI23),$D23/$AI23,0)+IF(AND(G$2&gt;=$AH24,G$2&lt;$AH24+$AI24),$D24/$AI24,0)</f>
        <v/>
      </c>
      <c r="H20" s="307">
        <f>IF(AND(H$2&gt;=$AH21,H$2&lt;$AH21+$AI21),$D21/$AI21,0)+IF(AND(H$2&gt;=$AH22,H$2&lt;$AH22+$AI22),$D22/$AI22,0)+IF(AND(H$2&gt;=$AH23,H$2&lt;$AH23+$AI23),$D23/$AI23,0)+IF(AND(H$2&gt;=$AH24,H$2&lt;$AH24+$AI24),$D24/$AI24,0)</f>
        <v/>
      </c>
      <c r="I20" s="307">
        <f>IF(AND(I$2&gt;=$AH21,I$2&lt;$AH21+$AI21),$D21/$AI21,0)+IF(AND(I$2&gt;=$AH22,I$2&lt;$AH22+$AI22),$D22/$AI22,0)+IF(AND(I$2&gt;=$AH23,I$2&lt;$AH23+$AI23),$D23/$AI23,0)+IF(AND(I$2&gt;=$AH24,I$2&lt;$AH24+$AI24),$D24/$AI24,0)</f>
        <v/>
      </c>
      <c r="J20" s="307">
        <f>IF(AND(J$2&gt;=$AH21,J$2&lt;$AH21+$AI21),$D21/$AI21,0)+IF(AND(J$2&gt;=$AH22,J$2&lt;$AH22+$AI22),$D22/$AI22,0)+IF(AND(J$2&gt;=$AH23,J$2&lt;$AH23+$AI23),$D23/$AI23,0)+IF(AND(J$2&gt;=$AH24,J$2&lt;$AH24+$AI24),$D24/$AI24,0)</f>
        <v/>
      </c>
      <c r="K20" s="307">
        <f>IF(AND(K$2&gt;=$AH21,K$2&lt;$AH21+$AI21),$D21/$AI21,0)+IF(AND(K$2&gt;=$AH22,K$2&lt;$AH22+$AI22),$D22/$AI22,0)+IF(AND(K$2&gt;=$AH23,K$2&lt;$AH23+$AI23),$D23/$AI23,0)+IF(AND(K$2&gt;=$AH24,K$2&lt;$AH24+$AI24),$D24/$AI24,0)</f>
        <v/>
      </c>
      <c r="L20" s="307">
        <f>IF(AND(L$2&gt;=$AH21,L$2&lt;$AH21+$AI21),$D21/$AI21,0)+IF(AND(L$2&gt;=$AH22,L$2&lt;$AH22+$AI22),$D22/$AI22,0)+IF(AND(L$2&gt;=$AH23,L$2&lt;$AH23+$AI23),$D23/$AI23,0)+IF(AND(L$2&gt;=$AH24,L$2&lt;$AH24+$AI24),$D24/$AI24,0)</f>
        <v/>
      </c>
      <c r="M20" s="307">
        <f>IF(AND(M$2&gt;=$AH21,M$2&lt;$AH21+$AI21),$D21/$AI21,0)+IF(AND(M$2&gt;=$AH22,M$2&lt;$AH22+$AI22),$D22/$AI22,0)+IF(AND(M$2&gt;=$AH23,M$2&lt;$AH23+$AI23),$D23/$AI23,0)+IF(AND(M$2&gt;=$AH24,M$2&lt;$AH24+$AI24),$D24/$AI24,0)</f>
        <v/>
      </c>
      <c r="N20" s="307">
        <f>IF(AND(N$2&gt;=$AH21,N$2&lt;$AH21+$AI21),$D21/$AI21,0)+IF(AND(N$2&gt;=$AH22,N$2&lt;$AH22+$AI22),$D22/$AI22,0)+IF(AND(N$2&gt;=$AH23,N$2&lt;$AH23+$AI23),$D23/$AI23,0)+IF(AND(N$2&gt;=$AH24,N$2&lt;$AH24+$AI24),$D24/$AI24,0)</f>
        <v/>
      </c>
      <c r="O20" s="307">
        <f>IF(AND(O$2&gt;=$AH21,O$2&lt;$AH21+$AI21),$D21/$AI21,0)+IF(AND(O$2&gt;=$AH22,O$2&lt;$AH22+$AI22),$D22/$AI22,0)+IF(AND(O$2&gt;=$AH23,O$2&lt;$AH23+$AI23),$D23/$AI23,0)+IF(AND(O$2&gt;=$AH24,O$2&lt;$AH24+$AI24),$D24/$AI24,0)</f>
        <v/>
      </c>
      <c r="P20" s="307">
        <f>IF(AND(P$2&gt;=$AH21,P$2&lt;$AH21+$AI21),$D21/$AI21,0)+IF(AND(P$2&gt;=$AH22,P$2&lt;$AH22+$AI22),$D22/$AI22,0)+IF(AND(P$2&gt;=$AH23,P$2&lt;$AH23+$AI23),$D23/$AI23,0)+IF(AND(P$2&gt;=$AH24,P$2&lt;$AH24+$AI24),$D24/$AI24,0)</f>
        <v/>
      </c>
      <c r="Q20" s="312">
        <f>IF(AND(Q$2&gt;=$AH21,Q$2&lt;$AH21+$AI21),$D21/$AI21,0)+IF(AND(Q$2&gt;=$AH22,Q$2&lt;$AH22+$AI22),$D22/$AI22,0)+IF(AND(Q$2&gt;=$AH23,Q$2&lt;$AH23+$AI23),$D23/$AI23,0)+IF(AND(Q$2&gt;=$AH24,Q$2&lt;$AH24+$AI24),$D24/$AI24,0)</f>
        <v/>
      </c>
      <c r="R20" s="312">
        <f>IF(AND(R$2&gt;=$AH21,R$2&lt;$AH21+$AI21),$D21/$AI21,0)+IF(AND(R$2&gt;=$AH22,R$2&lt;$AH22+$AI22),$D22/$AI22,0)+IF(AND(R$2&gt;=$AH23,R$2&lt;$AH23+$AI23),$D23/$AI23,0)+IF(AND(R$2&gt;=$AH24,R$2&lt;$AH24+$AI24),$D24/$AI24,0)</f>
        <v/>
      </c>
      <c r="S20" s="312">
        <f>IF(AND(S$2&gt;=$AH21,S$2&lt;$AH21+$AI21),$D21/$AI21,0)+IF(AND(S$2&gt;=$AH22,S$2&lt;$AH22+$AI22),$D22/$AI22,0)+IF(AND(S$2&gt;=$AH23,S$2&lt;$AH23+$AI23),$D23/$AI23,0)+IF(AND(S$2&gt;=$AH24,S$2&lt;$AH24+$AI24),$D24/$AI24,0)</f>
        <v/>
      </c>
      <c r="T20" s="312">
        <f>IF(AND(T$2&gt;=$AH21,T$2&lt;$AH21+$AI21),$D21/$AI21,0)+IF(AND(T$2&gt;=$AH22,T$2&lt;$AH22+$AI22),$D22/$AI22,0)+IF(AND(T$2&gt;=$AH23,T$2&lt;$AH23+$AI23),$D23/$AI23,0)+IF(AND(T$2&gt;=$AH24,T$2&lt;$AH24+$AI24),$D24/$AI24,0)</f>
        <v/>
      </c>
      <c r="U20" s="312">
        <f>IF(AND(U$2&gt;=$AH21,U$2&lt;$AH21+$AI21),$D21/$AI21,0)+IF(AND(U$2&gt;=$AH22,U$2&lt;$AH22+$AI22),$D22/$AI22,0)+IF(AND(U$2&gt;=$AH23,U$2&lt;$AH23+$AI23),$D23/$AI23,0)+IF(AND(U$2&gt;=$AH24,U$2&lt;$AH24+$AI24),$D24/$AI24,0)</f>
        <v/>
      </c>
      <c r="V20" s="312">
        <f>IF(AND(V$2&gt;=$AH21,V$2&lt;$AH21+$AI21),$D21/$AI21,0)+IF(AND(V$2&gt;=$AH22,V$2&lt;$AH22+$AI22),$D22/$AI22,0)+IF(AND(V$2&gt;=$AH23,V$2&lt;$AH23+$AI23),$D23/$AI23,0)+IF(AND(V$2&gt;=$AH24,V$2&lt;$AH24+$AI24),$D24/$AI24,0)</f>
        <v/>
      </c>
      <c r="W20" s="312">
        <f>IF(AND(W$2&gt;=$AH21,W$2&lt;$AH21+$AI21),$D21/$AI21,0)+IF(AND(W$2&gt;=$AH22,W$2&lt;$AH22+$AI22),$D22/$AI22,0)+IF(AND(W$2&gt;=$AH23,W$2&lt;$AH23+$AI23),$D23/$AI23,0)+IF(AND(W$2&gt;=$AH24,W$2&lt;$AH24+$AI24),$D24/$AI24,0)</f>
        <v/>
      </c>
      <c r="X20" s="312">
        <f>IF(AND(X$2&gt;=$AH21,X$2&lt;$AH21+$AI21),$D21/$AI21,0)+IF(AND(X$2&gt;=$AH22,X$2&lt;$AH22+$AI22),$D22/$AI22,0)+IF(AND(X$2&gt;=$AH23,X$2&lt;$AH23+$AI23),$D23/$AI23,0)+IF(AND(X$2&gt;=$AH24,X$2&lt;$AH24+$AI24),$D24/$AI24,0)</f>
        <v/>
      </c>
      <c r="Y20" s="312">
        <f>IF(AND(Y$2&gt;=$AH21,Y$2&lt;$AH21+$AI21),$D21/$AI21,0)+IF(AND(Y$2&gt;=$AH22,Y$2&lt;$AH22+$AI22),$D22/$AI22,0)+IF(AND(Y$2&gt;=$AH23,Y$2&lt;$AH23+$AI23),$D23/$AI23,0)+IF(AND(Y$2&gt;=$AH24,Y$2&lt;$AH24+$AI24),$D24/$AI24,0)</f>
        <v/>
      </c>
      <c r="Z20" s="312">
        <f>IF(AND(Z$2&gt;=$AH21,Z$2&lt;$AH21+$AI21),$D21/$AI21,0)+IF(AND(Z$2&gt;=$AH22,Z$2&lt;$AH22+$AI22),$D22/$AI22,0)+IF(AND(Z$2&gt;=$AH23,Z$2&lt;$AH23+$AI23),$D23/$AI23,0)+IF(AND(Z$2&gt;=$AH24,Z$2&lt;$AH24+$AI24),$D24/$AI24,0)</f>
        <v/>
      </c>
      <c r="AA20" s="312">
        <f>IF(AND(AA$2&gt;=$AH21,AA$2&lt;$AH21+$AI21),$D21/$AI21,0)+IF(AND(AA$2&gt;=$AH22,AA$2&lt;$AH22+$AI22),$D22/$AI22,0)+IF(AND(AA$2&gt;=$AH23,AA$2&lt;$AH23+$AI23),$D23/$AI23,0)+IF(AND(AA$2&gt;=$AH24,AA$2&lt;$AH24+$AI24),$D24/$AI24,0)</f>
        <v/>
      </c>
      <c r="AB20" s="312">
        <f>IF(AND(AB$2&gt;=$AH21,AB$2&lt;$AH21+$AI21),$D21/$AI21,0)+IF(AND(AB$2&gt;=$AH22,AB$2&lt;$AH22+$AI22),$D22/$AI22,0)+IF(AND(AB$2&gt;=$AH23,AB$2&lt;$AH23+$AI23),$D23/$AI23,0)+IF(AND(AB$2&gt;=$AH24,AB$2&lt;$AH24+$AI24),$D24/$AI24,0)</f>
        <v/>
      </c>
      <c r="AC20" s="313">
        <f>IF(AND(AC$2&gt;=$AH21,AC$2&lt;$AH21+$AI21),$D21/$AI21,0)+IF(AND(AC$2&gt;=$AH22,AC$2&lt;$AH22+$AI22),$D22/$AI22,0)+IF(AND(AC$2&gt;=$AH23,AC$2&lt;$AH23+$AI23),$D23/$AI23,0)+IF(AND(AC$2&gt;=$AH24,AC$2&lt;$AH24+$AI24),$D24/$AI24,0)</f>
        <v/>
      </c>
      <c r="AD20" s="314">
        <f>IF(AND(AD$2&gt;=$AH21,AD$2&lt;$AH21+$AI21),$D21/$AI21,0)+IF(AND(AD$2&gt;=$AH22,AD$2&lt;$AH22+$AI22),$D22/$AI22,0)+IF(AND(AD$2&gt;=$AH23,AD$2&lt;$AH23+$AI23),$D23/$AI23,0)+IF(AND(AD$2&gt;=$AH24,AD$2&lt;$AH24+$AI24),$D24/$AI24,0)</f>
        <v/>
      </c>
      <c r="AE20" s="315">
        <f>IF(AND(AE$2&gt;=$AH21,AE$2&lt;$AH21+$AI21),$D21/$AI21,0)+IF(AND(AE$2&gt;=$AH22,AE$2&lt;$AH22+$AI22),$D22/$AI22,0)+IF(AND(AE$2&gt;=$AH23,AE$2&lt;$AH23+$AI23),$D23/$AI23,0)+IF(AND(AE$2&gt;=$AH24,AE$2&lt;$AH24+$AI24),$D24/$AI24,0)</f>
        <v/>
      </c>
      <c r="AF20" s="316">
        <f>SUM(E20:AE20)</f>
        <v/>
      </c>
    </row>
    <row r="21" ht="28.2" customHeight="1">
      <c r="A21" s="88" t="n"/>
      <c r="B21" s="100" t="inlineStr">
        <is>
          <t>(0%) Start of Sub-Basement Floor Structure</t>
        </is>
      </c>
      <c r="C21" s="101" t="n">
        <v>0.3</v>
      </c>
      <c r="D21" s="317">
        <f>C21*$D$20</f>
        <v/>
      </c>
      <c r="E21" s="310" t="n"/>
      <c r="F21" s="307" t="n"/>
      <c r="G21" s="307" t="n"/>
      <c r="H21" s="307" t="n"/>
      <c r="I21" s="307" t="n"/>
      <c r="J21" s="307" t="n"/>
      <c r="K21" s="307" t="n"/>
      <c r="L21" s="307" t="n"/>
      <c r="M21" s="307" t="n"/>
      <c r="N21" s="307" t="n"/>
      <c r="O21" s="307" t="n"/>
      <c r="P21" s="307" t="n"/>
      <c r="Q21" s="312" t="n"/>
      <c r="R21" s="312" t="n"/>
      <c r="S21" s="312" t="n"/>
      <c r="T21" s="312" t="n"/>
      <c r="U21" s="312" t="n"/>
      <c r="V21" s="312" t="n"/>
      <c r="W21" s="312" t="n"/>
      <c r="X21" s="312" t="n"/>
      <c r="Y21" s="312" t="n"/>
      <c r="Z21" s="312" t="n"/>
      <c r="AA21" s="312" t="n"/>
      <c r="AB21" s="312" t="n"/>
      <c r="AC21" s="313" t="n"/>
      <c r="AD21" s="314" t="n"/>
      <c r="AE21" s="315" t="n"/>
      <c r="AF21" s="316" t="n"/>
      <c r="AH21" s="308" t="n">
        <v>3</v>
      </c>
      <c r="AI21" s="308" t="n">
        <v>3</v>
      </c>
    </row>
    <row r="22" ht="28.2" customHeight="1">
      <c r="A22" s="88" t="n"/>
      <c r="B22" s="100" t="inlineStr">
        <is>
          <t>(100%) Completion of Structure</t>
        </is>
      </c>
      <c r="C22" s="101" t="n">
        <v>0.2</v>
      </c>
      <c r="D22" s="317">
        <f>C22*$D$20</f>
        <v/>
      </c>
      <c r="E22" s="310" t="n"/>
      <c r="F22" s="307" t="n"/>
      <c r="G22" s="307" t="n"/>
      <c r="H22" s="307" t="n"/>
      <c r="I22" s="307" t="n"/>
      <c r="J22" s="307" t="n"/>
      <c r="K22" s="307" t="n"/>
      <c r="L22" s="307" t="n"/>
      <c r="M22" s="307" t="n"/>
      <c r="N22" s="307" t="n"/>
      <c r="O22" s="307" t="n"/>
      <c r="P22" s="307" t="n"/>
      <c r="Q22" s="312" t="n"/>
      <c r="R22" s="312" t="n"/>
      <c r="S22" s="312" t="n"/>
      <c r="T22" s="312" t="n"/>
      <c r="U22" s="312" t="n"/>
      <c r="V22" s="312" t="n"/>
      <c r="W22" s="312" t="n"/>
      <c r="X22" s="312" t="n"/>
      <c r="Y22" s="312" t="n"/>
      <c r="Z22" s="312" t="n"/>
      <c r="AA22" s="312" t="n"/>
      <c r="AB22" s="312" t="n"/>
      <c r="AC22" s="313" t="n"/>
      <c r="AD22" s="314" t="n"/>
      <c r="AE22" s="315" t="n"/>
      <c r="AF22" s="316" t="n"/>
      <c r="AH22" s="308" t="n">
        <v>6</v>
      </c>
      <c r="AI22" s="308" t="n">
        <v>1</v>
      </c>
    </row>
    <row r="23" ht="28.2" customHeight="1">
      <c r="A23" s="88" t="n"/>
      <c r="B23" s="100" t="inlineStr">
        <is>
          <t>(0%) Start of Finishings and MEP</t>
        </is>
      </c>
      <c r="C23" s="101" t="n">
        <v>0.3</v>
      </c>
      <c r="D23" s="317">
        <f>C23*$D$20</f>
        <v/>
      </c>
      <c r="E23" s="310" t="n"/>
      <c r="F23" s="307" t="n"/>
      <c r="G23" s="307" t="n"/>
      <c r="H23" s="307" t="n"/>
      <c r="I23" s="307" t="n"/>
      <c r="J23" s="307" t="n"/>
      <c r="K23" s="307" t="n"/>
      <c r="L23" s="307" t="n"/>
      <c r="M23" s="307" t="n"/>
      <c r="N23" s="307" t="n"/>
      <c r="O23" s="307" t="n"/>
      <c r="P23" s="307" t="n"/>
      <c r="Q23" s="312" t="n"/>
      <c r="R23" s="312" t="n"/>
      <c r="S23" s="312" t="n"/>
      <c r="T23" s="312" t="n"/>
      <c r="U23" s="312" t="n"/>
      <c r="V23" s="312" t="n"/>
      <c r="W23" s="312" t="n"/>
      <c r="X23" s="312" t="n"/>
      <c r="Y23" s="312" t="n"/>
      <c r="Z23" s="312" t="n"/>
      <c r="AA23" s="312" t="n"/>
      <c r="AB23" s="312" t="n"/>
      <c r="AC23" s="313" t="n"/>
      <c r="AD23" s="314" t="n"/>
      <c r="AE23" s="315" t="n"/>
      <c r="AF23" s="316" t="n"/>
      <c r="AH23" s="308" t="n">
        <v>7</v>
      </c>
      <c r="AI23" s="308" t="n">
        <v>10</v>
      </c>
    </row>
    <row r="24" ht="28.2" customHeight="1">
      <c r="A24" s="88" t="n"/>
      <c r="B24" s="100" t="inlineStr">
        <is>
          <t>(100%) Completion of Finishings and MEP</t>
        </is>
      </c>
      <c r="C24" s="101" t="n">
        <v>0.2</v>
      </c>
      <c r="D24" s="317">
        <f>C24*$D$20</f>
        <v/>
      </c>
      <c r="E24" s="310" t="n"/>
      <c r="F24" s="307" t="n"/>
      <c r="G24" s="307" t="n"/>
      <c r="H24" s="307" t="n"/>
      <c r="I24" s="307" t="n"/>
      <c r="J24" s="307" t="n"/>
      <c r="K24" s="307" t="n"/>
      <c r="L24" s="307" t="n"/>
      <c r="M24" s="307" t="n"/>
      <c r="N24" s="307" t="n"/>
      <c r="O24" s="307" t="n"/>
      <c r="P24" s="307" t="n"/>
      <c r="Q24" s="312" t="n"/>
      <c r="R24" s="312" t="n"/>
      <c r="S24" s="312" t="n"/>
      <c r="T24" s="312" t="n"/>
      <c r="U24" s="312" t="n"/>
      <c r="V24" s="312" t="n"/>
      <c r="W24" s="312" t="n"/>
      <c r="X24" s="312" t="n"/>
      <c r="Y24" s="312" t="n"/>
      <c r="Z24" s="312" t="n"/>
      <c r="AA24" s="312" t="n"/>
      <c r="AB24" s="312" t="n"/>
      <c r="AC24" s="313" t="n"/>
      <c r="AD24" s="314" t="n"/>
      <c r="AE24" s="315" t="n"/>
      <c r="AF24" s="316" t="n"/>
      <c r="AH24" s="308" t="n">
        <v>17</v>
      </c>
      <c r="AI24" s="308" t="n">
        <v>2</v>
      </c>
    </row>
    <row r="25" ht="28.2" customHeight="1">
      <c r="A25" s="88" t="n"/>
      <c r="B25" s="85" t="n"/>
      <c r="C25" s="74" t="n"/>
      <c r="D25" s="300" t="n"/>
      <c r="E25" s="310" t="n"/>
      <c r="F25" s="307" t="n"/>
      <c r="G25" s="307" t="n"/>
      <c r="H25" s="307" t="n"/>
      <c r="I25" s="307" t="n"/>
      <c r="J25" s="307" t="n"/>
      <c r="K25" s="307" t="n"/>
      <c r="L25" s="307" t="n"/>
      <c r="M25" s="307" t="n"/>
      <c r="N25" s="307" t="n"/>
      <c r="O25" s="307" t="n"/>
      <c r="P25" s="307" t="n"/>
      <c r="Q25" s="312" t="n"/>
      <c r="R25" s="312" t="n"/>
      <c r="S25" s="312" t="n"/>
      <c r="T25" s="312" t="n"/>
      <c r="U25" s="312" t="n"/>
      <c r="V25" s="312" t="n"/>
      <c r="W25" s="312" t="n"/>
      <c r="X25" s="312" t="n"/>
      <c r="Y25" s="312" t="n"/>
      <c r="Z25" s="312" t="n"/>
      <c r="AA25" s="312" t="n"/>
      <c r="AB25" s="312" t="n"/>
      <c r="AC25" s="313" t="n"/>
      <c r="AD25" s="314" t="n"/>
      <c r="AE25" s="315" t="n"/>
      <c r="AF25" s="316" t="n"/>
    </row>
    <row r="26" ht="27.6" customHeight="1">
      <c r="A26" s="88" t="inlineStr">
        <is>
          <t>F</t>
        </is>
      </c>
      <c r="B26" s="89">
        <f>'GEN SUMMARY.'!B15</f>
        <v/>
      </c>
      <c r="C26" s="90" t="n"/>
      <c r="D26" s="311">
        <f>'GEN SUMMARY.'!E15</f>
        <v/>
      </c>
      <c r="E26" s="310">
        <f>IF(AND(E$2&gt;=$AH27,E$2&lt;$AH27+$AI27),$D27/$AI27,0)+IF(AND(E$2&gt;=$AH28,E$2&lt;$AH28+$AI28),$D28/$AI28,0)+IF(AND(E$2&gt;=$AH29,E$2&lt;$AH29+$AI29),$D29/$AI29,0)+IF(AND(E$2&gt;=$AH30,E$2&lt;$AH30+$AI30),$D30/$AI30,0)</f>
        <v/>
      </c>
      <c r="F26" s="307">
        <f>IF(AND(F$2&gt;=$AH27,F$2&lt;$AH27+$AI27),$D27/$AI27,0)+IF(AND(F$2&gt;=$AH28,F$2&lt;$AH28+$AI28),$D28/$AI28,0)+IF(AND(F$2&gt;=$AH29,F$2&lt;$AH29+$AI29),$D29/$AI29,0)+IF(AND(F$2&gt;=$AH30,F$2&lt;$AH30+$AI30),$D30/$AI30,0)</f>
        <v/>
      </c>
      <c r="G26" s="307">
        <f>IF(AND(G$2&gt;=$AH27,G$2&lt;$AH27+$AI27),$D27/$AI27,0)+IF(AND(G$2&gt;=$AH28,G$2&lt;$AH28+$AI28),$D28/$AI28,0)+IF(AND(G$2&gt;=$AH29,G$2&lt;$AH29+$AI29),$D29/$AI29,0)+IF(AND(G$2&gt;=$AH30,G$2&lt;$AH30+$AI30),$D30/$AI30,0)</f>
        <v/>
      </c>
      <c r="H26" s="307">
        <f>IF(AND(H$2&gt;=$AH27,H$2&lt;$AH27+$AI27),$D27/$AI27,0)+IF(AND(H$2&gt;=$AH28,H$2&lt;$AH28+$AI28),$D28/$AI28,0)+IF(AND(H$2&gt;=$AH29,H$2&lt;$AH29+$AI29),$D29/$AI29,0)+IF(AND(H$2&gt;=$AH30,H$2&lt;$AH30+$AI30),$D30/$AI30,0)</f>
        <v/>
      </c>
      <c r="I26" s="307">
        <f>IF(AND(I$2&gt;=$AH27,I$2&lt;$AH27+$AI27),$D27/$AI27,0)+IF(AND(I$2&gt;=$AH28,I$2&lt;$AH28+$AI28),$D28/$AI28,0)+IF(AND(I$2&gt;=$AH29,I$2&lt;$AH29+$AI29),$D29/$AI29,0)+IF(AND(I$2&gt;=$AH30,I$2&lt;$AH30+$AI30),$D30/$AI30,0)</f>
        <v/>
      </c>
      <c r="J26" s="307">
        <f>IF(AND(J$2&gt;=$AH27,J$2&lt;$AH27+$AI27),$D27/$AI27,0)+IF(AND(J$2&gt;=$AH28,J$2&lt;$AH28+$AI28),$D28/$AI28,0)+IF(AND(J$2&gt;=$AH29,J$2&lt;$AH29+$AI29),$D29/$AI29,0)+IF(AND(J$2&gt;=$AH30,J$2&lt;$AH30+$AI30),$D30/$AI30,0)</f>
        <v/>
      </c>
      <c r="K26" s="307">
        <f>IF(AND(K$2&gt;=$AH27,K$2&lt;$AH27+$AI27),$D27/$AI27,0)+IF(AND(K$2&gt;=$AH28,K$2&lt;$AH28+$AI28),$D28/$AI28,0)+IF(AND(K$2&gt;=$AH29,K$2&lt;$AH29+$AI29),$D29/$AI29,0)+IF(AND(K$2&gt;=$AH30,K$2&lt;$AH30+$AI30),$D30/$AI30,0)</f>
        <v/>
      </c>
      <c r="L26" s="307">
        <f>IF(AND(L$2&gt;=$AH27,L$2&lt;$AH27+$AI27),$D27/$AI27,0)+IF(AND(L$2&gt;=$AH28,L$2&lt;$AH28+$AI28),$D28/$AI28,0)+IF(AND(L$2&gt;=$AH29,L$2&lt;$AH29+$AI29),$D29/$AI29,0)+IF(AND(L$2&gt;=$AH30,L$2&lt;$AH30+$AI30),$D30/$AI30,0)</f>
        <v/>
      </c>
      <c r="M26" s="307">
        <f>IF(AND(M$2&gt;=$AH27,M$2&lt;$AH27+$AI27),$D27/$AI27,0)+IF(AND(M$2&gt;=$AH28,M$2&lt;$AH28+$AI28),$D28/$AI28,0)+IF(AND(M$2&gt;=$AH29,M$2&lt;$AH29+$AI29),$D29/$AI29,0)+IF(AND(M$2&gt;=$AH30,M$2&lt;$AH30+$AI30),$D30/$AI30,0)</f>
        <v/>
      </c>
      <c r="N26" s="307">
        <f>IF(AND(N$2&gt;=$AH27,N$2&lt;$AH27+$AI27),$D27/$AI27,0)+IF(AND(N$2&gt;=$AH28,N$2&lt;$AH28+$AI28),$D28/$AI28,0)+IF(AND(N$2&gt;=$AH29,N$2&lt;$AH29+$AI29),$D29/$AI29,0)+IF(AND(N$2&gt;=$AH30,N$2&lt;$AH30+$AI30),$D30/$AI30,0)</f>
        <v/>
      </c>
      <c r="O26" s="307">
        <f>IF(AND(O$2&gt;=$AH27,O$2&lt;$AH27+$AI27),$D27/$AI27,0)+IF(AND(O$2&gt;=$AH28,O$2&lt;$AH28+$AI28),$D28/$AI28,0)+IF(AND(O$2&gt;=$AH29,O$2&lt;$AH29+$AI29),$D29/$AI29,0)+IF(AND(O$2&gt;=$AH30,O$2&lt;$AH30+$AI30),$D30/$AI30,0)</f>
        <v/>
      </c>
      <c r="P26" s="307">
        <f>IF(AND(P$2&gt;=$AH27,P$2&lt;$AH27+$AI27),$D27/$AI27,0)+IF(AND(P$2&gt;=$AH28,P$2&lt;$AH28+$AI28),$D28/$AI28,0)+IF(AND(P$2&gt;=$AH29,P$2&lt;$AH29+$AI29),$D29/$AI29,0)+IF(AND(P$2&gt;=$AH30,P$2&lt;$AH30+$AI30),$D30/$AI30,0)</f>
        <v/>
      </c>
      <c r="Q26" s="312">
        <f>IF(AND(Q$2&gt;=$AH27,Q$2&lt;$AH27+$AI27),$D27/$AI27,0)+IF(AND(Q$2&gt;=$AH28,Q$2&lt;$AH28+$AI28),$D28/$AI28,0)+IF(AND(Q$2&gt;=$AH29,Q$2&lt;$AH29+$AI29),$D29/$AI29,0)+IF(AND(Q$2&gt;=$AH30,Q$2&lt;$AH30+$AI30),$D30/$AI30,0)</f>
        <v/>
      </c>
      <c r="R26" s="312">
        <f>IF(AND(R$2&gt;=$AH27,R$2&lt;$AH27+$AI27),$D27/$AI27,0)+IF(AND(R$2&gt;=$AH28,R$2&lt;$AH28+$AI28),$D28/$AI28,0)+IF(AND(R$2&gt;=$AH29,R$2&lt;$AH29+$AI29),$D29/$AI29,0)+IF(AND(R$2&gt;=$AH30,R$2&lt;$AH30+$AI30),$D30/$AI30,0)</f>
        <v/>
      </c>
      <c r="S26" s="312">
        <f>IF(AND(S$2&gt;=$AH27,S$2&lt;$AH27+$AI27),$D27/$AI27,0)+IF(AND(S$2&gt;=$AH28,S$2&lt;$AH28+$AI28),$D28/$AI28,0)+IF(AND(S$2&gt;=$AH29,S$2&lt;$AH29+$AI29),$D29/$AI29,0)+IF(AND(S$2&gt;=$AH30,S$2&lt;$AH30+$AI30),$D30/$AI30,0)</f>
        <v/>
      </c>
      <c r="T26" s="312">
        <f>IF(AND(T$2&gt;=$AH27,T$2&lt;$AH27+$AI27),$D27/$AI27,0)+IF(AND(T$2&gt;=$AH28,T$2&lt;$AH28+$AI28),$D28/$AI28,0)+IF(AND(T$2&gt;=$AH29,T$2&lt;$AH29+$AI29),$D29/$AI29,0)+IF(AND(T$2&gt;=$AH30,T$2&lt;$AH30+$AI30),$D30/$AI30,0)</f>
        <v/>
      </c>
      <c r="U26" s="312">
        <f>IF(AND(U$2&gt;=$AH27,U$2&lt;$AH27+$AI27),$D27/$AI27,0)+IF(AND(U$2&gt;=$AH28,U$2&lt;$AH28+$AI28),$D28/$AI28,0)+IF(AND(U$2&gt;=$AH29,U$2&lt;$AH29+$AI29),$D29/$AI29,0)+IF(AND(U$2&gt;=$AH30,U$2&lt;$AH30+$AI30),$D30/$AI30,0)</f>
        <v/>
      </c>
      <c r="V26" s="312">
        <f>IF(AND(V$2&gt;=$AH27,V$2&lt;$AH27+$AI27),$D27/$AI27,0)+IF(AND(V$2&gt;=$AH28,V$2&lt;$AH28+$AI28),$D28/$AI28,0)+IF(AND(V$2&gt;=$AH29,V$2&lt;$AH29+$AI29),$D29/$AI29,0)+IF(AND(V$2&gt;=$AH30,V$2&lt;$AH30+$AI30),$D30/$AI30,0)</f>
        <v/>
      </c>
      <c r="W26" s="312">
        <f>IF(AND(W$2&gt;=$AH27,W$2&lt;$AH27+$AI27),$D27/$AI27,0)+IF(AND(W$2&gt;=$AH28,W$2&lt;$AH28+$AI28),$D28/$AI28,0)+IF(AND(W$2&gt;=$AH29,W$2&lt;$AH29+$AI29),$D29/$AI29,0)+IF(AND(W$2&gt;=$AH30,W$2&lt;$AH30+$AI30),$D30/$AI30,0)</f>
        <v/>
      </c>
      <c r="X26" s="312">
        <f>IF(AND(X$2&gt;=$AH27,X$2&lt;$AH27+$AI27),$D27/$AI27,0)+IF(AND(X$2&gt;=$AH28,X$2&lt;$AH28+$AI28),$D28/$AI28,0)+IF(AND(X$2&gt;=$AH29,X$2&lt;$AH29+$AI29),$D29/$AI29,0)+IF(AND(X$2&gt;=$AH30,X$2&lt;$AH30+$AI30),$D30/$AI30,0)</f>
        <v/>
      </c>
      <c r="Y26" s="312">
        <f>IF(AND(Y$2&gt;=$AH27,Y$2&lt;$AH27+$AI27),$D27/$AI27,0)+IF(AND(Y$2&gt;=$AH28,Y$2&lt;$AH28+$AI28),$D28/$AI28,0)+IF(AND(Y$2&gt;=$AH29,Y$2&lt;$AH29+$AI29),$D29/$AI29,0)+IF(AND(Y$2&gt;=$AH30,Y$2&lt;$AH30+$AI30),$D30/$AI30,0)</f>
        <v/>
      </c>
      <c r="Z26" s="312">
        <f>IF(AND(Z$2&gt;=$AH27,Z$2&lt;$AH27+$AI27),$D27/$AI27,0)+IF(AND(Z$2&gt;=$AH28,Z$2&lt;$AH28+$AI28),$D28/$AI28,0)+IF(AND(Z$2&gt;=$AH29,Z$2&lt;$AH29+$AI29),$D29/$AI29,0)+IF(AND(Z$2&gt;=$AH30,Z$2&lt;$AH30+$AI30),$D30/$AI30,0)</f>
        <v/>
      </c>
      <c r="AA26" s="312">
        <f>IF(AND(AA$2&gt;=$AH27,AA$2&lt;$AH27+$AI27),$D27/$AI27,0)+IF(AND(AA$2&gt;=$AH28,AA$2&lt;$AH28+$AI28),$D28/$AI28,0)+IF(AND(AA$2&gt;=$AH29,AA$2&lt;$AH29+$AI29),$D29/$AI29,0)+IF(AND(AA$2&gt;=$AH30,AA$2&lt;$AH30+$AI30),$D30/$AI30,0)</f>
        <v/>
      </c>
      <c r="AB26" s="312">
        <f>IF(AND(AB$2&gt;=$AH27,AB$2&lt;$AH27+$AI27),$D27/$AI27,0)+IF(AND(AB$2&gt;=$AH28,AB$2&lt;$AH28+$AI28),$D28/$AI28,0)+IF(AND(AB$2&gt;=$AH29,AB$2&lt;$AH29+$AI29),$D29/$AI29,0)+IF(AND(AB$2&gt;=$AH30,AB$2&lt;$AH30+$AI30),$D30/$AI30,0)</f>
        <v/>
      </c>
      <c r="AC26" s="313">
        <f>IF(AND(AC$2&gt;=$AH27,AC$2&lt;$AH27+$AI27),$D27/$AI27,0)+IF(AND(AC$2&gt;=$AH28,AC$2&lt;$AH28+$AI28),$D28/$AI28,0)+IF(AND(AC$2&gt;=$AH29,AC$2&lt;$AH29+$AI29),$D29/$AI29,0)+IF(AND(AC$2&gt;=$AH30,AC$2&lt;$AH30+$AI30),$D30/$AI30,0)</f>
        <v/>
      </c>
      <c r="AD26" s="314">
        <f>IF(AND(AD$2&gt;=$AH27,AD$2&lt;$AH27+$AI27),$D27/$AI27,0)+IF(AND(AD$2&gt;=$AH28,AD$2&lt;$AH28+$AI28),$D28/$AI28,0)+IF(AND(AD$2&gt;=$AH29,AD$2&lt;$AH29+$AI29),$D29/$AI29,0)+IF(AND(AD$2&gt;=$AH30,AD$2&lt;$AH30+$AI30),$D30/$AI30,0)</f>
        <v/>
      </c>
      <c r="AE26" s="315">
        <f>IF(AND(AE$2&gt;=$AH27,AE$2&lt;$AH27+$AI27),$D27/$AI27,0)+IF(AND(AE$2&gt;=$AH28,AE$2&lt;$AH28+$AI28),$D28/$AI28,0)+IF(AND(AE$2&gt;=$AH29,AE$2&lt;$AH29+$AI29),$D29/$AI29,0)+IF(AND(AE$2&gt;=$AH30,AE$2&lt;$AH30+$AI30),$D30/$AI30,0)</f>
        <v/>
      </c>
      <c r="AF26" s="316">
        <f>SUM(E26:AE26)</f>
        <v/>
      </c>
    </row>
    <row r="27" ht="28.2" customHeight="1">
      <c r="A27" s="88" t="n"/>
      <c r="B27" s="100" t="inlineStr">
        <is>
          <t>(0%) Start of Ground Floor Structure</t>
        </is>
      </c>
      <c r="C27" s="101" t="n">
        <v>0.3</v>
      </c>
      <c r="D27" s="317">
        <f>C27*$D$26</f>
        <v/>
      </c>
      <c r="E27" s="310" t="n"/>
      <c r="F27" s="307" t="n"/>
      <c r="G27" s="307" t="n"/>
      <c r="H27" s="307" t="n"/>
      <c r="I27" s="307" t="n"/>
      <c r="J27" s="307" t="n"/>
      <c r="K27" s="307" t="n"/>
      <c r="L27" s="307" t="n"/>
      <c r="M27" s="307" t="n"/>
      <c r="N27" s="307" t="n"/>
      <c r="O27" s="307" t="n"/>
      <c r="P27" s="307" t="n"/>
      <c r="Q27" s="312" t="n"/>
      <c r="R27" s="312" t="n"/>
      <c r="S27" s="312" t="n"/>
      <c r="T27" s="312" t="n"/>
      <c r="U27" s="312" t="n"/>
      <c r="V27" s="312" t="n"/>
      <c r="W27" s="312" t="n"/>
      <c r="X27" s="312" t="n"/>
      <c r="Y27" s="312" t="n"/>
      <c r="Z27" s="312" t="n"/>
      <c r="AA27" s="312" t="n"/>
      <c r="AB27" s="312" t="n"/>
      <c r="AC27" s="313" t="n"/>
      <c r="AD27" s="314" t="n"/>
      <c r="AE27" s="315" t="n"/>
      <c r="AF27" s="316" t="n"/>
      <c r="AH27" s="308" t="n">
        <v>5</v>
      </c>
      <c r="AI27" s="308" t="n">
        <v>2</v>
      </c>
    </row>
    <row r="28" ht="28.2" customHeight="1">
      <c r="A28" s="88" t="n"/>
      <c r="B28" s="100" t="inlineStr">
        <is>
          <t>(100%) Completion of Structure</t>
        </is>
      </c>
      <c r="C28" s="101" t="n">
        <v>0.2</v>
      </c>
      <c r="D28" s="317">
        <f>C28*$D$26</f>
        <v/>
      </c>
      <c r="E28" s="310" t="n"/>
      <c r="F28" s="307" t="n"/>
      <c r="G28" s="307" t="n"/>
      <c r="H28" s="307" t="n"/>
      <c r="I28" s="307" t="n"/>
      <c r="J28" s="307" t="n"/>
      <c r="K28" s="307" t="n"/>
      <c r="L28" s="307" t="n"/>
      <c r="M28" s="307" t="n"/>
      <c r="N28" s="307" t="n"/>
      <c r="O28" s="307" t="n"/>
      <c r="P28" s="307" t="n"/>
      <c r="Q28" s="312" t="n"/>
      <c r="R28" s="312" t="n"/>
      <c r="S28" s="312" t="n"/>
      <c r="T28" s="312" t="n"/>
      <c r="U28" s="312" t="n"/>
      <c r="V28" s="312" t="n"/>
      <c r="W28" s="312" t="n"/>
      <c r="X28" s="312" t="n"/>
      <c r="Y28" s="312" t="n"/>
      <c r="Z28" s="312" t="n"/>
      <c r="AA28" s="312" t="n"/>
      <c r="AB28" s="312" t="n"/>
      <c r="AC28" s="313" t="n"/>
      <c r="AD28" s="314" t="n"/>
      <c r="AE28" s="315" t="n"/>
      <c r="AF28" s="316" t="n"/>
      <c r="AH28" s="308" t="n">
        <v>7</v>
      </c>
      <c r="AI28" s="308" t="n">
        <v>1</v>
      </c>
    </row>
    <row r="29" ht="28.2" customHeight="1">
      <c r="A29" s="88" t="n"/>
      <c r="B29" s="100" t="inlineStr">
        <is>
          <t>(0%) Start of Finishings and MEP</t>
        </is>
      </c>
      <c r="C29" s="101" t="n">
        <v>0.3</v>
      </c>
      <c r="D29" s="317">
        <f>C29*$D$26</f>
        <v/>
      </c>
      <c r="E29" s="310" t="n"/>
      <c r="F29" s="307" t="n"/>
      <c r="G29" s="307" t="n"/>
      <c r="H29" s="307" t="n"/>
      <c r="I29" s="307" t="n"/>
      <c r="J29" s="307" t="n"/>
      <c r="K29" s="307" t="n"/>
      <c r="L29" s="307" t="n"/>
      <c r="M29" s="307" t="n"/>
      <c r="N29" s="307" t="n"/>
      <c r="O29" s="307" t="n"/>
      <c r="P29" s="307" t="n"/>
      <c r="Q29" s="312" t="n"/>
      <c r="R29" s="312" t="n"/>
      <c r="S29" s="312" t="n"/>
      <c r="T29" s="312" t="n"/>
      <c r="U29" s="312" t="n"/>
      <c r="V29" s="312" t="n"/>
      <c r="W29" s="312" t="n"/>
      <c r="X29" s="312" t="n"/>
      <c r="Y29" s="312" t="n"/>
      <c r="Z29" s="312" t="n"/>
      <c r="AA29" s="312" t="n"/>
      <c r="AB29" s="312" t="n"/>
      <c r="AC29" s="313" t="n"/>
      <c r="AD29" s="314" t="n"/>
      <c r="AE29" s="315" t="n"/>
      <c r="AF29" s="316" t="n"/>
      <c r="AH29" s="308" t="n">
        <v>8</v>
      </c>
      <c r="AI29" s="308" t="n">
        <v>11</v>
      </c>
    </row>
    <row r="30" ht="28.2" customHeight="1">
      <c r="A30" s="88" t="n"/>
      <c r="B30" s="100" t="inlineStr">
        <is>
          <t>(100%) Completion of Finishings and MEP</t>
        </is>
      </c>
      <c r="C30" s="101" t="n">
        <v>0.2</v>
      </c>
      <c r="D30" s="317">
        <f>C30*$D$26</f>
        <v/>
      </c>
      <c r="E30" s="310" t="n"/>
      <c r="F30" s="307" t="n"/>
      <c r="G30" s="307" t="n"/>
      <c r="H30" s="307" t="n"/>
      <c r="I30" s="307" t="n"/>
      <c r="J30" s="307" t="n"/>
      <c r="K30" s="307" t="n"/>
      <c r="L30" s="307" t="n"/>
      <c r="M30" s="307" t="n"/>
      <c r="N30" s="307" t="n"/>
      <c r="O30" s="307" t="n"/>
      <c r="P30" s="307" t="n"/>
      <c r="Q30" s="312" t="n"/>
      <c r="R30" s="312" t="n"/>
      <c r="S30" s="312" t="n"/>
      <c r="T30" s="312" t="n"/>
      <c r="U30" s="312" t="n"/>
      <c r="V30" s="312" t="n"/>
      <c r="W30" s="312" t="n"/>
      <c r="X30" s="312" t="n"/>
      <c r="Y30" s="312" t="n"/>
      <c r="Z30" s="312" t="n"/>
      <c r="AA30" s="312" t="n"/>
      <c r="AB30" s="312" t="n"/>
      <c r="AC30" s="313" t="n"/>
      <c r="AD30" s="314" t="n"/>
      <c r="AE30" s="315" t="n"/>
      <c r="AF30" s="316" t="n"/>
      <c r="AH30" s="308" t="n">
        <v>19</v>
      </c>
      <c r="AI30" s="308" t="n">
        <v>2</v>
      </c>
    </row>
    <row r="31" ht="28.2" customHeight="1">
      <c r="A31" s="88" t="n"/>
      <c r="B31" s="85" t="n"/>
      <c r="C31" s="74" t="n"/>
      <c r="D31" s="300" t="n"/>
      <c r="E31" s="310" t="n"/>
      <c r="F31" s="307" t="n"/>
      <c r="G31" s="307" t="n"/>
      <c r="H31" s="307" t="n"/>
      <c r="I31" s="307" t="n"/>
      <c r="J31" s="307" t="n"/>
      <c r="K31" s="307" t="n"/>
      <c r="L31" s="307" t="n"/>
      <c r="M31" s="307" t="n"/>
      <c r="N31" s="307" t="n"/>
      <c r="O31" s="307" t="n"/>
      <c r="P31" s="307" t="n"/>
      <c r="Q31" s="312" t="n"/>
      <c r="R31" s="312" t="n"/>
      <c r="S31" s="312" t="n"/>
      <c r="T31" s="312" t="n"/>
      <c r="U31" s="312" t="n"/>
      <c r="V31" s="312" t="n"/>
      <c r="W31" s="312" t="n"/>
      <c r="X31" s="312" t="n"/>
      <c r="Y31" s="312" t="n"/>
      <c r="Z31" s="312" t="n"/>
      <c r="AA31" s="312" t="n"/>
      <c r="AB31" s="312" t="n"/>
      <c r="AC31" s="313" t="n"/>
      <c r="AD31" s="314" t="n"/>
      <c r="AE31" s="315" t="n"/>
      <c r="AF31" s="316" t="n"/>
    </row>
    <row r="32" ht="27.6" customHeight="1">
      <c r="A32" s="88" t="inlineStr">
        <is>
          <t>G</t>
        </is>
      </c>
      <c r="B32" s="89">
        <f>'GEN SUMMARY.'!B17</f>
        <v/>
      </c>
      <c r="C32" s="90" t="n"/>
      <c r="D32" s="311">
        <f>'GEN SUMMARY.'!E17</f>
        <v/>
      </c>
      <c r="E32" s="310">
        <f>IF(AND(E$2&gt;=$AH33,E$2&lt;$AH33+$AI33),$D33/$AI33,0)+IF(AND(E$2&gt;=$AH34,E$2&lt;$AH34+$AI34),$D34/$AI34,0)+IF(AND(E$2&gt;=$AH35,E$2&lt;$AH35+$AI35),$D35/$AI35,0)+IF(AND(E$2&gt;=$AH36,E$2&lt;$AH36+$AI36),$D36/$AI36,0)</f>
        <v/>
      </c>
      <c r="F32" s="307">
        <f>IF(AND(F$2&gt;=$AH33,F$2&lt;$AH33+$AI33),$D33/$AI33,0)+IF(AND(F$2&gt;=$AH34,F$2&lt;$AH34+$AI34),$D34/$AI34,0)+IF(AND(F$2&gt;=$AH35,F$2&lt;$AH35+$AI35),$D35/$AI35,0)+IF(AND(F$2&gt;=$AH36,F$2&lt;$AH36+$AI36),$D36/$AI36,0)</f>
        <v/>
      </c>
      <c r="G32" s="307">
        <f>IF(AND(G$2&gt;=$AH33,G$2&lt;$AH33+$AI33),$D33/$AI33,0)+IF(AND(G$2&gt;=$AH34,G$2&lt;$AH34+$AI34),$D34/$AI34,0)+IF(AND(G$2&gt;=$AH35,G$2&lt;$AH35+$AI35),$D35/$AI35,0)+IF(AND(G$2&gt;=$AH36,G$2&lt;$AH36+$AI36),$D36/$AI36,0)</f>
        <v/>
      </c>
      <c r="H32" s="307">
        <f>IF(AND(H$2&gt;=$AH33,H$2&lt;$AH33+$AI33),$D33/$AI33,0)+IF(AND(H$2&gt;=$AH34,H$2&lt;$AH34+$AI34),$D34/$AI34,0)+IF(AND(H$2&gt;=$AH35,H$2&lt;$AH35+$AI35),$D35/$AI35,0)+IF(AND(H$2&gt;=$AH36,H$2&lt;$AH36+$AI36),$D36/$AI36,0)</f>
        <v/>
      </c>
      <c r="I32" s="307">
        <f>IF(AND(I$2&gt;=$AH33,I$2&lt;$AH33+$AI33),$D33/$AI33,0)+IF(AND(I$2&gt;=$AH34,I$2&lt;$AH34+$AI34),$D34/$AI34,0)+IF(AND(I$2&gt;=$AH35,I$2&lt;$AH35+$AI35),$D35/$AI35,0)+IF(AND(I$2&gt;=$AH36,I$2&lt;$AH36+$AI36),$D36/$AI36,0)</f>
        <v/>
      </c>
      <c r="J32" s="307">
        <f>IF(AND(J$2&gt;=$AH33,J$2&lt;$AH33+$AI33),$D33/$AI33,0)+IF(AND(J$2&gt;=$AH34,J$2&lt;$AH34+$AI34),$D34/$AI34,0)+IF(AND(J$2&gt;=$AH35,J$2&lt;$AH35+$AI35),$D35/$AI35,0)+IF(AND(J$2&gt;=$AH36,J$2&lt;$AH36+$AI36),$D36/$AI36,0)</f>
        <v/>
      </c>
      <c r="K32" s="307">
        <f>IF(AND(K$2&gt;=$AH33,K$2&lt;$AH33+$AI33),$D33/$AI33,0)+IF(AND(K$2&gt;=$AH34,K$2&lt;$AH34+$AI34),$D34/$AI34,0)+IF(AND(K$2&gt;=$AH35,K$2&lt;$AH35+$AI35),$D35/$AI35,0)+IF(AND(K$2&gt;=$AH36,K$2&lt;$AH36+$AI36),$D36/$AI36,0)</f>
        <v/>
      </c>
      <c r="L32" s="307">
        <f>IF(AND(L$2&gt;=$AH33,L$2&lt;$AH33+$AI33),$D33/$AI33,0)+IF(AND(L$2&gt;=$AH34,L$2&lt;$AH34+$AI34),$D34/$AI34,0)+IF(AND(L$2&gt;=$AH35,L$2&lt;$AH35+$AI35),$D35/$AI35,0)+IF(AND(L$2&gt;=$AH36,L$2&lt;$AH36+$AI36),$D36/$AI36,0)</f>
        <v/>
      </c>
      <c r="M32" s="307">
        <f>IF(AND(M$2&gt;=$AH33,M$2&lt;$AH33+$AI33),$D33/$AI33,0)+IF(AND(M$2&gt;=$AH34,M$2&lt;$AH34+$AI34),$D34/$AI34,0)+IF(AND(M$2&gt;=$AH35,M$2&lt;$AH35+$AI35),$D35/$AI35,0)+IF(AND(M$2&gt;=$AH36,M$2&lt;$AH36+$AI36),$D36/$AI36,0)</f>
        <v/>
      </c>
      <c r="N32" s="307">
        <f>IF(AND(N$2&gt;=$AH33,N$2&lt;$AH33+$AI33),$D33/$AI33,0)+IF(AND(N$2&gt;=$AH34,N$2&lt;$AH34+$AI34),$D34/$AI34,0)+IF(AND(N$2&gt;=$AH35,N$2&lt;$AH35+$AI35),$D35/$AI35,0)+IF(AND(N$2&gt;=$AH36,N$2&lt;$AH36+$AI36),$D36/$AI36,0)</f>
        <v/>
      </c>
      <c r="O32" s="307">
        <f>IF(AND(O$2&gt;=$AH33,O$2&lt;$AH33+$AI33),$D33/$AI33,0)+IF(AND(O$2&gt;=$AH34,O$2&lt;$AH34+$AI34),$D34/$AI34,0)+IF(AND(O$2&gt;=$AH35,O$2&lt;$AH35+$AI35),$D35/$AI35,0)+IF(AND(O$2&gt;=$AH36,O$2&lt;$AH36+$AI36),$D36/$AI36,0)</f>
        <v/>
      </c>
      <c r="P32" s="307">
        <f>IF(AND(P$2&gt;=$AH33,P$2&lt;$AH33+$AI33),$D33/$AI33,0)+IF(AND(P$2&gt;=$AH34,P$2&lt;$AH34+$AI34),$D34/$AI34,0)+IF(AND(P$2&gt;=$AH35,P$2&lt;$AH35+$AI35),$D35/$AI35,0)+IF(AND(P$2&gt;=$AH36,P$2&lt;$AH36+$AI36),$D36/$AI36,0)</f>
        <v/>
      </c>
      <c r="Q32" s="312">
        <f>IF(AND(Q$2&gt;=$AH33,Q$2&lt;$AH33+$AI33),$D33/$AI33,0)+IF(AND(Q$2&gt;=$AH34,Q$2&lt;$AH34+$AI34),$D34/$AI34,0)+IF(AND(Q$2&gt;=$AH35,Q$2&lt;$AH35+$AI35),$D35/$AI35,0)+IF(AND(Q$2&gt;=$AH36,Q$2&lt;$AH36+$AI36),$D36/$AI36,0)</f>
        <v/>
      </c>
      <c r="R32" s="312">
        <f>IF(AND(R$2&gt;=$AH33,R$2&lt;$AH33+$AI33),$D33/$AI33,0)+IF(AND(R$2&gt;=$AH34,R$2&lt;$AH34+$AI34),$D34/$AI34,0)+IF(AND(R$2&gt;=$AH35,R$2&lt;$AH35+$AI35),$D35/$AI35,0)+IF(AND(R$2&gt;=$AH36,R$2&lt;$AH36+$AI36),$D36/$AI36,0)</f>
        <v/>
      </c>
      <c r="S32" s="312">
        <f>IF(AND(S$2&gt;=$AH33,S$2&lt;$AH33+$AI33),$D33/$AI33,0)+IF(AND(S$2&gt;=$AH34,S$2&lt;$AH34+$AI34),$D34/$AI34,0)+IF(AND(S$2&gt;=$AH35,S$2&lt;$AH35+$AI35),$D35/$AI35,0)+IF(AND(S$2&gt;=$AH36,S$2&lt;$AH36+$AI36),$D36/$AI36,0)</f>
        <v/>
      </c>
      <c r="T32" s="312">
        <f>IF(AND(T$2&gt;=$AH33,T$2&lt;$AH33+$AI33),$D33/$AI33,0)+IF(AND(T$2&gt;=$AH34,T$2&lt;$AH34+$AI34),$D34/$AI34,0)+IF(AND(T$2&gt;=$AH35,T$2&lt;$AH35+$AI35),$D35/$AI35,0)+IF(AND(T$2&gt;=$AH36,T$2&lt;$AH36+$AI36),$D36/$AI36,0)</f>
        <v/>
      </c>
      <c r="U32" s="312">
        <f>IF(AND(U$2&gt;=$AH33,U$2&lt;$AH33+$AI33),$D33/$AI33,0)+IF(AND(U$2&gt;=$AH34,U$2&lt;$AH34+$AI34),$D34/$AI34,0)+IF(AND(U$2&gt;=$AH35,U$2&lt;$AH35+$AI35),$D35/$AI35,0)+IF(AND(U$2&gt;=$AH36,U$2&lt;$AH36+$AI36),$D36/$AI36,0)</f>
        <v/>
      </c>
      <c r="V32" s="312">
        <f>IF(AND(V$2&gt;=$AH33,V$2&lt;$AH33+$AI33),$D33/$AI33,0)+IF(AND(V$2&gt;=$AH34,V$2&lt;$AH34+$AI34),$D34/$AI34,0)+IF(AND(V$2&gt;=$AH35,V$2&lt;$AH35+$AI35),$D35/$AI35,0)+IF(AND(V$2&gt;=$AH36,V$2&lt;$AH36+$AI36),$D36/$AI36,0)</f>
        <v/>
      </c>
      <c r="W32" s="312">
        <f>IF(AND(W$2&gt;=$AH33,W$2&lt;$AH33+$AI33),$D33/$AI33,0)+IF(AND(W$2&gt;=$AH34,W$2&lt;$AH34+$AI34),$D34/$AI34,0)+IF(AND(W$2&gt;=$AH35,W$2&lt;$AH35+$AI35),$D35/$AI35,0)+IF(AND(W$2&gt;=$AH36,W$2&lt;$AH36+$AI36),$D36/$AI36,0)</f>
        <v/>
      </c>
      <c r="X32" s="312">
        <f>IF(AND(X$2&gt;=$AH33,X$2&lt;$AH33+$AI33),$D33/$AI33,0)+IF(AND(X$2&gt;=$AH34,X$2&lt;$AH34+$AI34),$D34/$AI34,0)+IF(AND(X$2&gt;=$AH35,X$2&lt;$AH35+$AI35),$D35/$AI35,0)+IF(AND(X$2&gt;=$AH36,X$2&lt;$AH36+$AI36),$D36/$AI36,0)</f>
        <v/>
      </c>
      <c r="Y32" s="312">
        <f>IF(AND(Y$2&gt;=$AH33,Y$2&lt;$AH33+$AI33),$D33/$AI33,0)+IF(AND(Y$2&gt;=$AH34,Y$2&lt;$AH34+$AI34),$D34/$AI34,0)+IF(AND(Y$2&gt;=$AH35,Y$2&lt;$AH35+$AI35),$D35/$AI35,0)+IF(AND(Y$2&gt;=$AH36,Y$2&lt;$AH36+$AI36),$D36/$AI36,0)</f>
        <v/>
      </c>
      <c r="Z32" s="312">
        <f>IF(AND(Z$2&gt;=$AH33,Z$2&lt;$AH33+$AI33),$D33/$AI33,0)+IF(AND(Z$2&gt;=$AH34,Z$2&lt;$AH34+$AI34),$D34/$AI34,0)+IF(AND(Z$2&gt;=$AH35,Z$2&lt;$AH35+$AI35),$D35/$AI35,0)+IF(AND(Z$2&gt;=$AH36,Z$2&lt;$AH36+$AI36),$D36/$AI36,0)</f>
        <v/>
      </c>
      <c r="AA32" s="312">
        <f>IF(AND(AA$2&gt;=$AH33,AA$2&lt;$AH33+$AI33),$D33/$AI33,0)+IF(AND(AA$2&gt;=$AH34,AA$2&lt;$AH34+$AI34),$D34/$AI34,0)+IF(AND(AA$2&gt;=$AH35,AA$2&lt;$AH35+$AI35),$D35/$AI35,0)+IF(AND(AA$2&gt;=$AH36,AA$2&lt;$AH36+$AI36),$D36/$AI36,0)</f>
        <v/>
      </c>
      <c r="AB32" s="312">
        <f>IF(AND(AB$2&gt;=$AH33,AB$2&lt;$AH33+$AI33),$D33/$AI33,0)+IF(AND(AB$2&gt;=$AH34,AB$2&lt;$AH34+$AI34),$D34/$AI34,0)+IF(AND(AB$2&gt;=$AH35,AB$2&lt;$AH35+$AI35),$D35/$AI35,0)+IF(AND(AB$2&gt;=$AH36,AB$2&lt;$AH36+$AI36),$D36/$AI36,0)</f>
        <v/>
      </c>
      <c r="AC32" s="313">
        <f>IF(AND(AC$2&gt;=$AH33,AC$2&lt;$AH33+$AI33),$D33/$AI33,0)+IF(AND(AC$2&gt;=$AH34,AC$2&lt;$AH34+$AI34),$D34/$AI34,0)+IF(AND(AC$2&gt;=$AH35,AC$2&lt;$AH35+$AI35),$D35/$AI35,0)+IF(AND(AC$2&gt;=$AH36,AC$2&lt;$AH36+$AI36),$D36/$AI36,0)</f>
        <v/>
      </c>
      <c r="AD32" s="314">
        <f>IF(AND(AD$2&gt;=$AH33,AD$2&lt;$AH33+$AI33),$D33/$AI33,0)+IF(AND(AD$2&gt;=$AH34,AD$2&lt;$AH34+$AI34),$D34/$AI34,0)+IF(AND(AD$2&gt;=$AH35,AD$2&lt;$AH35+$AI35),$D35/$AI35,0)+IF(AND(AD$2&gt;=$AH36,AD$2&lt;$AH36+$AI36),$D36/$AI36,0)</f>
        <v/>
      </c>
      <c r="AE32" s="315">
        <f>IF(AND(AE$2&gt;=$AH33,AE$2&lt;$AH33+$AI33),$D33/$AI33,0)+IF(AND(AE$2&gt;=$AH34,AE$2&lt;$AH34+$AI34),$D34/$AI34,0)+IF(AND(AE$2&gt;=$AH35,AE$2&lt;$AH35+$AI35),$D35/$AI35,0)+IF(AND(AE$2&gt;=$AH36,AE$2&lt;$AH36+$AI36),$D36/$AI36,0)</f>
        <v/>
      </c>
      <c r="AF32" s="316">
        <f>SUM(E32:AE32)</f>
        <v/>
      </c>
    </row>
    <row r="33" ht="28.2" customHeight="1">
      <c r="A33" s="88" t="n"/>
      <c r="B33" s="100" t="inlineStr">
        <is>
          <t>(0%) Start of First Floor Structure</t>
        </is>
      </c>
      <c r="C33" s="101" t="n">
        <v>0.3</v>
      </c>
      <c r="D33" s="317">
        <f>C33*$D$32</f>
        <v/>
      </c>
      <c r="E33" s="310" t="n"/>
      <c r="F33" s="307" t="n"/>
      <c r="G33" s="307" t="n"/>
      <c r="H33" s="307" t="n"/>
      <c r="I33" s="307" t="n"/>
      <c r="J33" s="307" t="n"/>
      <c r="K33" s="307" t="n"/>
      <c r="L33" s="307" t="n"/>
      <c r="M33" s="307" t="n"/>
      <c r="N33" s="307" t="n"/>
      <c r="O33" s="307" t="n"/>
      <c r="P33" s="307" t="n"/>
      <c r="Q33" s="312" t="n"/>
      <c r="R33" s="312" t="n"/>
      <c r="S33" s="312" t="n"/>
      <c r="T33" s="312" t="n"/>
      <c r="U33" s="312" t="n"/>
      <c r="V33" s="312" t="n"/>
      <c r="W33" s="312" t="n"/>
      <c r="X33" s="312" t="n"/>
      <c r="Y33" s="312" t="n"/>
      <c r="Z33" s="312" t="n"/>
      <c r="AA33" s="312" t="n"/>
      <c r="AB33" s="312" t="n"/>
      <c r="AC33" s="313" t="n"/>
      <c r="AD33" s="314" t="n"/>
      <c r="AE33" s="315" t="n"/>
      <c r="AF33" s="316" t="n"/>
      <c r="AH33" s="308" t="n">
        <v>7</v>
      </c>
      <c r="AI33" s="308" t="n">
        <v>2</v>
      </c>
    </row>
    <row r="34" ht="28.2" customHeight="1">
      <c r="A34" s="88" t="n"/>
      <c r="B34" s="100" t="inlineStr">
        <is>
          <t>(100%) Completion of Structure</t>
        </is>
      </c>
      <c r="C34" s="101" t="n">
        <v>0.2</v>
      </c>
      <c r="D34" s="317">
        <f>C34*$D$32</f>
        <v/>
      </c>
      <c r="E34" s="310" t="n"/>
      <c r="F34" s="307" t="n"/>
      <c r="G34" s="307" t="n"/>
      <c r="H34" s="307" t="n"/>
      <c r="I34" s="307" t="n"/>
      <c r="J34" s="307" t="n"/>
      <c r="K34" s="307" t="n"/>
      <c r="L34" s="307" t="n"/>
      <c r="M34" s="307" t="n"/>
      <c r="N34" s="307" t="n"/>
      <c r="O34" s="307" t="n"/>
      <c r="P34" s="307" t="n"/>
      <c r="Q34" s="312" t="n"/>
      <c r="R34" s="312" t="n"/>
      <c r="S34" s="312" t="n"/>
      <c r="T34" s="312" t="n"/>
      <c r="U34" s="312" t="n"/>
      <c r="V34" s="312" t="n"/>
      <c r="W34" s="312" t="n"/>
      <c r="X34" s="312" t="n"/>
      <c r="Y34" s="312" t="n"/>
      <c r="Z34" s="312" t="n"/>
      <c r="AA34" s="312" t="n"/>
      <c r="AB34" s="312" t="n"/>
      <c r="AC34" s="313" t="n"/>
      <c r="AD34" s="314" t="n"/>
      <c r="AE34" s="315" t="n"/>
      <c r="AF34" s="316" t="n"/>
      <c r="AH34" s="308" t="n">
        <v>9</v>
      </c>
      <c r="AI34" s="308" t="n">
        <v>1</v>
      </c>
    </row>
    <row r="35" ht="28.2" customHeight="1">
      <c r="A35" s="88" t="n"/>
      <c r="B35" s="100" t="inlineStr">
        <is>
          <t>(0%) Start of Finishings and MEP</t>
        </is>
      </c>
      <c r="C35" s="101" t="n">
        <v>0.3</v>
      </c>
      <c r="D35" s="317">
        <f>C35*$D$32</f>
        <v/>
      </c>
      <c r="E35" s="310" t="n"/>
      <c r="F35" s="307" t="n"/>
      <c r="G35" s="307" t="n"/>
      <c r="H35" s="307" t="n"/>
      <c r="I35" s="307" t="n"/>
      <c r="J35" s="307" t="n"/>
      <c r="K35" s="307" t="n"/>
      <c r="L35" s="307" t="n"/>
      <c r="M35" s="307" t="n"/>
      <c r="N35" s="307" t="n"/>
      <c r="O35" s="307" t="n"/>
      <c r="P35" s="307" t="n"/>
      <c r="Q35" s="312" t="n"/>
      <c r="R35" s="312" t="n"/>
      <c r="S35" s="312" t="n"/>
      <c r="T35" s="312" t="n"/>
      <c r="U35" s="312" t="n"/>
      <c r="V35" s="312" t="n"/>
      <c r="W35" s="312" t="n"/>
      <c r="X35" s="312" t="n"/>
      <c r="Y35" s="312" t="n"/>
      <c r="Z35" s="312" t="n"/>
      <c r="AA35" s="312" t="n"/>
      <c r="AB35" s="312" t="n"/>
      <c r="AC35" s="313" t="n"/>
      <c r="AD35" s="314" t="n"/>
      <c r="AE35" s="315" t="n"/>
      <c r="AF35" s="316" t="n"/>
      <c r="AH35" s="308" t="n">
        <v>10</v>
      </c>
      <c r="AI35" s="308" t="n">
        <v>10</v>
      </c>
    </row>
    <row r="36" ht="28.2" customHeight="1">
      <c r="A36" s="88" t="n"/>
      <c r="B36" s="100" t="inlineStr">
        <is>
          <t>(100%) Completion of Finishings and MEP</t>
        </is>
      </c>
      <c r="C36" s="101" t="n">
        <v>0.2</v>
      </c>
      <c r="D36" s="317">
        <f>C36*$D$32</f>
        <v/>
      </c>
      <c r="E36" s="310" t="n"/>
      <c r="F36" s="307" t="n"/>
      <c r="G36" s="307" t="n"/>
      <c r="H36" s="307" t="n"/>
      <c r="I36" s="307" t="n"/>
      <c r="J36" s="307" t="n"/>
      <c r="K36" s="307" t="n"/>
      <c r="L36" s="307" t="n"/>
      <c r="M36" s="307" t="n"/>
      <c r="N36" s="307" t="n"/>
      <c r="O36" s="307" t="n"/>
      <c r="P36" s="307" t="n"/>
      <c r="Q36" s="312" t="n"/>
      <c r="R36" s="312" t="n"/>
      <c r="S36" s="312" t="n"/>
      <c r="T36" s="312" t="n"/>
      <c r="U36" s="312" t="n"/>
      <c r="V36" s="312" t="n"/>
      <c r="W36" s="312" t="n"/>
      <c r="X36" s="312" t="n"/>
      <c r="Y36" s="312" t="n"/>
      <c r="Z36" s="312" t="n"/>
      <c r="AA36" s="312" t="n"/>
      <c r="AB36" s="312" t="n"/>
      <c r="AC36" s="313" t="n"/>
      <c r="AD36" s="314" t="n"/>
      <c r="AE36" s="315" t="n"/>
      <c r="AF36" s="316" t="n"/>
      <c r="AH36" s="308" t="n">
        <v>20</v>
      </c>
      <c r="AI36" s="308" t="n">
        <v>2</v>
      </c>
    </row>
    <row r="37" ht="28.2" customHeight="1">
      <c r="A37" s="88" t="n"/>
      <c r="B37" s="85" t="n"/>
      <c r="C37" s="74" t="n"/>
      <c r="D37" s="300" t="n"/>
      <c r="E37" s="310" t="n"/>
      <c r="F37" s="307" t="n"/>
      <c r="G37" s="307" t="n"/>
      <c r="H37" s="307" t="n"/>
      <c r="I37" s="307" t="n"/>
      <c r="J37" s="307" t="n"/>
      <c r="K37" s="307" t="n"/>
      <c r="L37" s="307" t="n"/>
      <c r="M37" s="307" t="n"/>
      <c r="N37" s="307" t="n"/>
      <c r="O37" s="307" t="n"/>
      <c r="P37" s="307" t="n"/>
      <c r="Q37" s="312" t="n"/>
      <c r="R37" s="312" t="n"/>
      <c r="S37" s="312" t="n"/>
      <c r="T37" s="312" t="n"/>
      <c r="U37" s="312" t="n"/>
      <c r="V37" s="312" t="n"/>
      <c r="W37" s="312" t="n"/>
      <c r="X37" s="312" t="n"/>
      <c r="Y37" s="312" t="n"/>
      <c r="Z37" s="312" t="n"/>
      <c r="AA37" s="312" t="n"/>
      <c r="AB37" s="312" t="n"/>
      <c r="AC37" s="313" t="n"/>
      <c r="AD37" s="314" t="n"/>
      <c r="AE37" s="315" t="n"/>
      <c r="AF37" s="316" t="n"/>
    </row>
    <row r="38" ht="27.6" customHeight="1">
      <c r="A38" s="88" t="inlineStr">
        <is>
          <t>H</t>
        </is>
      </c>
      <c r="B38" s="89">
        <f>'GEN SUMMARY.'!B19</f>
        <v/>
      </c>
      <c r="C38" s="90" t="n"/>
      <c r="D38" s="311">
        <f>'GEN SUMMARY.'!E19</f>
        <v/>
      </c>
      <c r="E38" s="310">
        <f>IF(AND(E$2&gt;=$AH39,E$2&lt;$AH39+$AI39),$D39/$AI39,0)+IF(AND(E$2&gt;=$AH40,E$2&lt;$AH40+$AI40),$D40/$AI40,0)+IF(AND(E$2&gt;=$AH41,E$2&lt;$AH41+$AI41),$D41/$AI41,0)+IF(AND(E$2&gt;=$AH42,E$2&lt;$AH42+$AI42),$D42/$AI42,0)</f>
        <v/>
      </c>
      <c r="F38" s="307">
        <f>IF(AND(F$2&gt;=$AH39,F$2&lt;$AH39+$AI39),$D39/$AI39,0)+IF(AND(F$2&gt;=$AH40,F$2&lt;$AH40+$AI40),$D40/$AI40,0)+IF(AND(F$2&gt;=$AH41,F$2&lt;$AH41+$AI41),$D41/$AI41,0)+IF(AND(F$2&gt;=$AH42,F$2&lt;$AH42+$AI42),$D42/$AI42,0)</f>
        <v/>
      </c>
      <c r="G38" s="307">
        <f>IF(AND(G$2&gt;=$AH39,G$2&lt;$AH39+$AI39),$D39/$AI39,0)+IF(AND(G$2&gt;=$AH40,G$2&lt;$AH40+$AI40),$D40/$AI40,0)+IF(AND(G$2&gt;=$AH41,G$2&lt;$AH41+$AI41),$D41/$AI41,0)+IF(AND(G$2&gt;=$AH42,G$2&lt;$AH42+$AI42),$D42/$AI42,0)</f>
        <v/>
      </c>
      <c r="H38" s="307">
        <f>IF(AND(H$2&gt;=$AH39,H$2&lt;$AH39+$AI39),$D39/$AI39,0)+IF(AND(H$2&gt;=$AH40,H$2&lt;$AH40+$AI40),$D40/$AI40,0)+IF(AND(H$2&gt;=$AH41,H$2&lt;$AH41+$AI41),$D41/$AI41,0)+IF(AND(H$2&gt;=$AH42,H$2&lt;$AH42+$AI42),$D42/$AI42,0)</f>
        <v/>
      </c>
      <c r="I38" s="307">
        <f>IF(AND(I$2&gt;=$AH39,I$2&lt;$AH39+$AI39),$D39/$AI39,0)+IF(AND(I$2&gt;=$AH40,I$2&lt;$AH40+$AI40),$D40/$AI40,0)+IF(AND(I$2&gt;=$AH41,I$2&lt;$AH41+$AI41),$D41/$AI41,0)+IF(AND(I$2&gt;=$AH42,I$2&lt;$AH42+$AI42),$D42/$AI42,0)</f>
        <v/>
      </c>
      <c r="J38" s="307">
        <f>IF(AND(J$2&gt;=$AH39,J$2&lt;$AH39+$AI39),$D39/$AI39,0)+IF(AND(J$2&gt;=$AH40,J$2&lt;$AH40+$AI40),$D40/$AI40,0)+IF(AND(J$2&gt;=$AH41,J$2&lt;$AH41+$AI41),$D41/$AI41,0)+IF(AND(J$2&gt;=$AH42,J$2&lt;$AH42+$AI42),$D42/$AI42,0)</f>
        <v/>
      </c>
      <c r="K38" s="307">
        <f>IF(AND(K$2&gt;=$AH39,K$2&lt;$AH39+$AI39),$D39/$AI39,0)+IF(AND(K$2&gt;=$AH40,K$2&lt;$AH40+$AI40),$D40/$AI40,0)+IF(AND(K$2&gt;=$AH41,K$2&lt;$AH41+$AI41),$D41/$AI41,0)+IF(AND(K$2&gt;=$AH42,K$2&lt;$AH42+$AI42),$D42/$AI42,0)</f>
        <v/>
      </c>
      <c r="L38" s="307">
        <f>IF(AND(L$2&gt;=$AH39,L$2&lt;$AH39+$AI39),$D39/$AI39,0)+IF(AND(L$2&gt;=$AH40,L$2&lt;$AH40+$AI40),$D40/$AI40,0)+IF(AND(L$2&gt;=$AH41,L$2&lt;$AH41+$AI41),$D41/$AI41,0)+IF(AND(L$2&gt;=$AH42,L$2&lt;$AH42+$AI42),$D42/$AI42,0)</f>
        <v/>
      </c>
      <c r="M38" s="307">
        <f>IF(AND(M$2&gt;=$AH39,M$2&lt;$AH39+$AI39),$D39/$AI39,0)+IF(AND(M$2&gt;=$AH40,M$2&lt;$AH40+$AI40),$D40/$AI40,0)+IF(AND(M$2&gt;=$AH41,M$2&lt;$AH41+$AI41),$D41/$AI41,0)+IF(AND(M$2&gt;=$AH42,M$2&lt;$AH42+$AI42),$D42/$AI42,0)</f>
        <v/>
      </c>
      <c r="N38" s="307">
        <f>IF(AND(N$2&gt;=$AH39,N$2&lt;$AH39+$AI39),$D39/$AI39,0)+IF(AND(N$2&gt;=$AH40,N$2&lt;$AH40+$AI40),$D40/$AI40,0)+IF(AND(N$2&gt;=$AH41,N$2&lt;$AH41+$AI41),$D41/$AI41,0)+IF(AND(N$2&gt;=$AH42,N$2&lt;$AH42+$AI42),$D42/$AI42,0)</f>
        <v/>
      </c>
      <c r="O38" s="307">
        <f>IF(AND(O$2&gt;=$AH39,O$2&lt;$AH39+$AI39),$D39/$AI39,0)+IF(AND(O$2&gt;=$AH40,O$2&lt;$AH40+$AI40),$D40/$AI40,0)+IF(AND(O$2&gt;=$AH41,O$2&lt;$AH41+$AI41),$D41/$AI41,0)+IF(AND(O$2&gt;=$AH42,O$2&lt;$AH42+$AI42),$D42/$AI42,0)</f>
        <v/>
      </c>
      <c r="P38" s="307">
        <f>IF(AND(P$2&gt;=$AH39,P$2&lt;$AH39+$AI39),$D39/$AI39,0)+IF(AND(P$2&gt;=$AH40,P$2&lt;$AH40+$AI40),$D40/$AI40,0)+IF(AND(P$2&gt;=$AH41,P$2&lt;$AH41+$AI41),$D41/$AI41,0)+IF(AND(P$2&gt;=$AH42,P$2&lt;$AH42+$AI42),$D42/$AI42,0)</f>
        <v/>
      </c>
      <c r="Q38" s="312">
        <f>IF(AND(Q$2&gt;=$AH39,Q$2&lt;$AH39+$AI39),$D39/$AI39,0)+IF(AND(Q$2&gt;=$AH40,Q$2&lt;$AH40+$AI40),$D40/$AI40,0)+IF(AND(Q$2&gt;=$AH41,Q$2&lt;$AH41+$AI41),$D41/$AI41,0)+IF(AND(Q$2&gt;=$AH42,Q$2&lt;$AH42+$AI42),$D42/$AI42,0)</f>
        <v/>
      </c>
      <c r="R38" s="312">
        <f>IF(AND(R$2&gt;=$AH39,R$2&lt;$AH39+$AI39),$D39/$AI39,0)+IF(AND(R$2&gt;=$AH40,R$2&lt;$AH40+$AI40),$D40/$AI40,0)+IF(AND(R$2&gt;=$AH41,R$2&lt;$AH41+$AI41),$D41/$AI41,0)+IF(AND(R$2&gt;=$AH42,R$2&lt;$AH42+$AI42),$D42/$AI42,0)</f>
        <v/>
      </c>
      <c r="S38" s="312">
        <f>IF(AND(S$2&gt;=$AH39,S$2&lt;$AH39+$AI39),$D39/$AI39,0)+IF(AND(S$2&gt;=$AH40,S$2&lt;$AH40+$AI40),$D40/$AI40,0)+IF(AND(S$2&gt;=$AH41,S$2&lt;$AH41+$AI41),$D41/$AI41,0)+IF(AND(S$2&gt;=$AH42,S$2&lt;$AH42+$AI42),$D42/$AI42,0)</f>
        <v/>
      </c>
      <c r="T38" s="312">
        <f>IF(AND(T$2&gt;=$AH39,T$2&lt;$AH39+$AI39),$D39/$AI39,0)+IF(AND(T$2&gt;=$AH40,T$2&lt;$AH40+$AI40),$D40/$AI40,0)+IF(AND(T$2&gt;=$AH41,T$2&lt;$AH41+$AI41),$D41/$AI41,0)+IF(AND(T$2&gt;=$AH42,T$2&lt;$AH42+$AI42),$D42/$AI42,0)</f>
        <v/>
      </c>
      <c r="U38" s="312">
        <f>IF(AND(U$2&gt;=$AH39,U$2&lt;$AH39+$AI39),$D39/$AI39,0)+IF(AND(U$2&gt;=$AH40,U$2&lt;$AH40+$AI40),$D40/$AI40,0)+IF(AND(U$2&gt;=$AH41,U$2&lt;$AH41+$AI41),$D41/$AI41,0)+IF(AND(U$2&gt;=$AH42,U$2&lt;$AH42+$AI42),$D42/$AI42,0)</f>
        <v/>
      </c>
      <c r="V38" s="312">
        <f>IF(AND(V$2&gt;=$AH39,V$2&lt;$AH39+$AI39),$D39/$AI39,0)+IF(AND(V$2&gt;=$AH40,V$2&lt;$AH40+$AI40),$D40/$AI40,0)+IF(AND(V$2&gt;=$AH41,V$2&lt;$AH41+$AI41),$D41/$AI41,0)+IF(AND(V$2&gt;=$AH42,V$2&lt;$AH42+$AI42),$D42/$AI42,0)</f>
        <v/>
      </c>
      <c r="W38" s="312">
        <f>IF(AND(W$2&gt;=$AH39,W$2&lt;$AH39+$AI39),$D39/$AI39,0)+IF(AND(W$2&gt;=$AH40,W$2&lt;$AH40+$AI40),$D40/$AI40,0)+IF(AND(W$2&gt;=$AH41,W$2&lt;$AH41+$AI41),$D41/$AI41,0)+IF(AND(W$2&gt;=$AH42,W$2&lt;$AH42+$AI42),$D42/$AI42,0)</f>
        <v/>
      </c>
      <c r="X38" s="312">
        <f>IF(AND(X$2&gt;=$AH39,X$2&lt;$AH39+$AI39),$D39/$AI39,0)+IF(AND(X$2&gt;=$AH40,X$2&lt;$AH40+$AI40),$D40/$AI40,0)+IF(AND(X$2&gt;=$AH41,X$2&lt;$AH41+$AI41),$D41/$AI41,0)+IF(AND(X$2&gt;=$AH42,X$2&lt;$AH42+$AI42),$D42/$AI42,0)</f>
        <v/>
      </c>
      <c r="Y38" s="312">
        <f>IF(AND(Y$2&gt;=$AH39,Y$2&lt;$AH39+$AI39),$D39/$AI39,0)+IF(AND(Y$2&gt;=$AH40,Y$2&lt;$AH40+$AI40),$D40/$AI40,0)+IF(AND(Y$2&gt;=$AH41,Y$2&lt;$AH41+$AI41),$D41/$AI41,0)+IF(AND(Y$2&gt;=$AH42,Y$2&lt;$AH42+$AI42),$D42/$AI42,0)</f>
        <v/>
      </c>
      <c r="Z38" s="312">
        <f>IF(AND(Z$2&gt;=$AH39,Z$2&lt;$AH39+$AI39),$D39/$AI39,0)+IF(AND(Z$2&gt;=$AH40,Z$2&lt;$AH40+$AI40),$D40/$AI40,0)+IF(AND(Z$2&gt;=$AH41,Z$2&lt;$AH41+$AI41),$D41/$AI41,0)+IF(AND(Z$2&gt;=$AH42,Z$2&lt;$AH42+$AI42),$D42/$AI42,0)</f>
        <v/>
      </c>
      <c r="AA38" s="312">
        <f>IF(AND(AA$2&gt;=$AH39,AA$2&lt;$AH39+$AI39),$D39/$AI39,0)+IF(AND(AA$2&gt;=$AH40,AA$2&lt;$AH40+$AI40),$D40/$AI40,0)+IF(AND(AA$2&gt;=$AH41,AA$2&lt;$AH41+$AI41),$D41/$AI41,0)+IF(AND(AA$2&gt;=$AH42,AA$2&lt;$AH42+$AI42),$D42/$AI42,0)</f>
        <v/>
      </c>
      <c r="AB38" s="312">
        <f>IF(AND(AB$2&gt;=$AH39,AB$2&lt;$AH39+$AI39),$D39/$AI39,0)+IF(AND(AB$2&gt;=$AH40,AB$2&lt;$AH40+$AI40),$D40/$AI40,0)+IF(AND(AB$2&gt;=$AH41,AB$2&lt;$AH41+$AI41),$D41/$AI41,0)+IF(AND(AB$2&gt;=$AH42,AB$2&lt;$AH42+$AI42),$D42/$AI42,0)</f>
        <v/>
      </c>
      <c r="AC38" s="313">
        <f>IF(AND(AC$2&gt;=$AH39,AC$2&lt;$AH39+$AI39),$D39/$AI39,0)+IF(AND(AC$2&gt;=$AH40,AC$2&lt;$AH40+$AI40),$D40/$AI40,0)+IF(AND(AC$2&gt;=$AH41,AC$2&lt;$AH41+$AI41),$D41/$AI41,0)+IF(AND(AC$2&gt;=$AH42,AC$2&lt;$AH42+$AI42),$D42/$AI42,0)</f>
        <v/>
      </c>
      <c r="AD38" s="314">
        <f>IF(AND(AD$2&gt;=$AH39,AD$2&lt;$AH39+$AI39),$D39/$AI39,0)+IF(AND(AD$2&gt;=$AH40,AD$2&lt;$AH40+$AI40),$D40/$AI40,0)+IF(AND(AD$2&gt;=$AH41,AD$2&lt;$AH41+$AI41),$D41/$AI41,0)+IF(AND(AD$2&gt;=$AH42,AD$2&lt;$AH42+$AI42),$D42/$AI42,0)</f>
        <v/>
      </c>
      <c r="AE38" s="315">
        <f>IF(AND(AE$2&gt;=$AH39,AE$2&lt;$AH39+$AI39),$D39/$AI39,0)+IF(AND(AE$2&gt;=$AH40,AE$2&lt;$AH40+$AI40),$D40/$AI40,0)+IF(AND(AE$2&gt;=$AH41,AE$2&lt;$AH41+$AI41),$D41/$AI41,0)+IF(AND(AE$2&gt;=$AH42,AE$2&lt;$AH42+$AI42),$D42/$AI42,0)</f>
        <v/>
      </c>
      <c r="AF38" s="316">
        <f>SUM(E38:AE38)</f>
        <v/>
      </c>
    </row>
    <row r="39" ht="28.2" customHeight="1">
      <c r="A39" s="88" t="n"/>
      <c r="B39" s="100" t="inlineStr">
        <is>
          <t>(0%) Start of Second Floor Structure</t>
        </is>
      </c>
      <c r="C39" s="101" t="n">
        <v>0.3</v>
      </c>
      <c r="D39" s="317">
        <f>C39*$D$38</f>
        <v/>
      </c>
      <c r="E39" s="310" t="n"/>
      <c r="F39" s="307" t="n"/>
      <c r="G39" s="307" t="n"/>
      <c r="H39" s="307" t="n"/>
      <c r="I39" s="307" t="n"/>
      <c r="J39" s="307" t="n"/>
      <c r="K39" s="307" t="n"/>
      <c r="L39" s="307" t="n"/>
      <c r="M39" s="307" t="n"/>
      <c r="N39" s="307" t="n"/>
      <c r="O39" s="307" t="n"/>
      <c r="P39" s="307" t="n"/>
      <c r="Q39" s="312" t="n"/>
      <c r="R39" s="312" t="n"/>
      <c r="S39" s="312" t="n"/>
      <c r="T39" s="312" t="n"/>
      <c r="U39" s="312" t="n"/>
      <c r="V39" s="312" t="n"/>
      <c r="W39" s="312" t="n"/>
      <c r="X39" s="312" t="n"/>
      <c r="Y39" s="312" t="n"/>
      <c r="Z39" s="312" t="n"/>
      <c r="AA39" s="312" t="n"/>
      <c r="AB39" s="312" t="n"/>
      <c r="AC39" s="313" t="n"/>
      <c r="AD39" s="314" t="n"/>
      <c r="AE39" s="315" t="n"/>
      <c r="AF39" s="316" t="n"/>
      <c r="AH39" s="308" t="n">
        <v>9</v>
      </c>
      <c r="AI39" s="308" t="n">
        <v>2</v>
      </c>
    </row>
    <row r="40" ht="28.2" customHeight="1">
      <c r="A40" s="88" t="n"/>
      <c r="B40" s="100" t="inlineStr">
        <is>
          <t>(100%) Completion of Structure</t>
        </is>
      </c>
      <c r="C40" s="101" t="n">
        <v>0.2</v>
      </c>
      <c r="D40" s="317">
        <f>C40*$D$38</f>
        <v/>
      </c>
      <c r="E40" s="310" t="n"/>
      <c r="F40" s="307" t="n"/>
      <c r="G40" s="307" t="n"/>
      <c r="H40" s="307" t="n"/>
      <c r="I40" s="307" t="n"/>
      <c r="J40" s="307" t="n"/>
      <c r="K40" s="307" t="n"/>
      <c r="L40" s="307" t="n"/>
      <c r="M40" s="307" t="n"/>
      <c r="N40" s="307" t="n"/>
      <c r="O40" s="307" t="n"/>
      <c r="P40" s="307" t="n"/>
      <c r="Q40" s="312" t="n"/>
      <c r="R40" s="312" t="n"/>
      <c r="S40" s="312" t="n"/>
      <c r="T40" s="312" t="n"/>
      <c r="U40" s="312" t="n"/>
      <c r="V40" s="312" t="n"/>
      <c r="W40" s="312" t="n"/>
      <c r="X40" s="312" t="n"/>
      <c r="Y40" s="312" t="n"/>
      <c r="Z40" s="312" t="n"/>
      <c r="AA40" s="312" t="n"/>
      <c r="AB40" s="312" t="n"/>
      <c r="AC40" s="313" t="n"/>
      <c r="AD40" s="314" t="n"/>
      <c r="AE40" s="315" t="n"/>
      <c r="AF40" s="316" t="n"/>
      <c r="AH40" s="308" t="n">
        <v>11</v>
      </c>
      <c r="AI40" s="308" t="n">
        <v>1</v>
      </c>
    </row>
    <row r="41" ht="28.2" customHeight="1">
      <c r="A41" s="88" t="n"/>
      <c r="B41" s="100" t="inlineStr">
        <is>
          <t>(0%) Start of Finishings and MEP</t>
        </is>
      </c>
      <c r="C41" s="101" t="n">
        <v>0.3</v>
      </c>
      <c r="D41" s="317">
        <f>C41*$D$38</f>
        <v/>
      </c>
      <c r="E41" s="310" t="n"/>
      <c r="F41" s="307" t="n"/>
      <c r="G41" s="307" t="n"/>
      <c r="H41" s="307" t="n"/>
      <c r="I41" s="307" t="n"/>
      <c r="J41" s="307" t="n"/>
      <c r="K41" s="307" t="n"/>
      <c r="L41" s="307" t="n"/>
      <c r="M41" s="307" t="n"/>
      <c r="N41" s="307" t="n"/>
      <c r="O41" s="307" t="n"/>
      <c r="P41" s="307" t="n"/>
      <c r="Q41" s="312" t="n"/>
      <c r="R41" s="312" t="n"/>
      <c r="S41" s="312" t="n"/>
      <c r="T41" s="312" t="n"/>
      <c r="U41" s="312" t="n"/>
      <c r="V41" s="312" t="n"/>
      <c r="W41" s="312" t="n"/>
      <c r="X41" s="312" t="n"/>
      <c r="Y41" s="312" t="n"/>
      <c r="Z41" s="312" t="n"/>
      <c r="AA41" s="312" t="n"/>
      <c r="AB41" s="312" t="n"/>
      <c r="AC41" s="313" t="n"/>
      <c r="AD41" s="314" t="n"/>
      <c r="AE41" s="315" t="n"/>
      <c r="AF41" s="316" t="n"/>
      <c r="AH41" s="308" t="n">
        <v>12</v>
      </c>
      <c r="AI41" s="308" t="n">
        <v>8</v>
      </c>
    </row>
    <row r="42" ht="28.2" customHeight="1">
      <c r="A42" s="88" t="n"/>
      <c r="B42" s="100" t="inlineStr">
        <is>
          <t>(100%) Completion of Finishings and MEP</t>
        </is>
      </c>
      <c r="C42" s="101" t="n">
        <v>0.2</v>
      </c>
      <c r="D42" s="317">
        <f>C42*$D$38</f>
        <v/>
      </c>
      <c r="E42" s="310" t="n"/>
      <c r="F42" s="307" t="n"/>
      <c r="G42" s="307" t="n"/>
      <c r="H42" s="307" t="n"/>
      <c r="I42" s="307" t="n"/>
      <c r="J42" s="307" t="n"/>
      <c r="K42" s="307" t="n"/>
      <c r="L42" s="307" t="n"/>
      <c r="M42" s="307" t="n"/>
      <c r="N42" s="307" t="n"/>
      <c r="O42" s="307" t="n"/>
      <c r="P42" s="307" t="n"/>
      <c r="Q42" s="312" t="n"/>
      <c r="R42" s="312" t="n"/>
      <c r="S42" s="312" t="n"/>
      <c r="T42" s="312" t="n"/>
      <c r="U42" s="312" t="n"/>
      <c r="V42" s="312" t="n"/>
      <c r="W42" s="312" t="n"/>
      <c r="X42" s="312" t="n"/>
      <c r="Y42" s="312" t="n"/>
      <c r="Z42" s="312" t="n"/>
      <c r="AA42" s="312" t="n"/>
      <c r="AB42" s="312" t="n"/>
      <c r="AC42" s="313" t="n"/>
      <c r="AD42" s="314" t="n"/>
      <c r="AE42" s="315" t="n"/>
      <c r="AF42" s="316" t="n"/>
      <c r="AH42" s="308" t="n">
        <v>20</v>
      </c>
      <c r="AI42" s="308" t="n">
        <v>2</v>
      </c>
    </row>
    <row r="43" ht="28.2" customHeight="1">
      <c r="A43" s="88" t="n"/>
      <c r="B43" s="85" t="n"/>
      <c r="C43" s="74" t="n"/>
      <c r="D43" s="300" t="n"/>
      <c r="E43" s="310" t="n"/>
      <c r="F43" s="307" t="n"/>
      <c r="G43" s="307" t="n"/>
      <c r="H43" s="307" t="n"/>
      <c r="I43" s="307" t="n"/>
      <c r="J43" s="307" t="n"/>
      <c r="K43" s="307" t="n"/>
      <c r="L43" s="307" t="n"/>
      <c r="M43" s="307" t="n"/>
      <c r="N43" s="307" t="n"/>
      <c r="O43" s="307" t="n"/>
      <c r="P43" s="307" t="n"/>
      <c r="Q43" s="312" t="n"/>
      <c r="R43" s="312" t="n"/>
      <c r="S43" s="312" t="n"/>
      <c r="T43" s="312" t="n"/>
      <c r="U43" s="312" t="n"/>
      <c r="V43" s="312" t="n"/>
      <c r="W43" s="312" t="n"/>
      <c r="X43" s="312" t="n"/>
      <c r="Y43" s="312" t="n"/>
      <c r="Z43" s="312" t="n"/>
      <c r="AA43" s="312" t="n"/>
      <c r="AB43" s="312" t="n"/>
      <c r="AC43" s="313" t="n"/>
      <c r="AD43" s="314" t="n"/>
      <c r="AE43" s="315" t="n"/>
      <c r="AF43" s="316" t="n"/>
    </row>
    <row r="44" ht="27.6" customHeight="1">
      <c r="A44" s="88" t="inlineStr">
        <is>
          <t>J</t>
        </is>
      </c>
      <c r="B44" s="89">
        <f>'GEN SUMMARY.'!B21</f>
        <v/>
      </c>
      <c r="C44" s="90" t="n"/>
      <c r="D44" s="311">
        <f>'GEN SUMMARY.'!E21</f>
        <v/>
      </c>
      <c r="E44" s="310">
        <f>IF(AND(E$2&gt;=$AH45,E$2&lt;$AH45+$AI45),$D45/$AI45,0)+IF(AND(E$2&gt;=$AH46,E$2&lt;$AH46+$AI46),$D46/$AI46,0)+IF(AND(E$2&gt;=$AH47,E$2&lt;$AH47+$AI47),$D47/$AI47,0)+IF(AND(E$2&gt;=$AH48,E$2&lt;$AH48+$AI48),$D48/$AI48,0)</f>
        <v/>
      </c>
      <c r="F44" s="307">
        <f>IF(AND(F$2&gt;=$AH45,F$2&lt;$AH45+$AI45),$D45/$AI45,0)+IF(AND(F$2&gt;=$AH46,F$2&lt;$AH46+$AI46),$D46/$AI46,0)+IF(AND(F$2&gt;=$AH47,F$2&lt;$AH47+$AI47),$D47/$AI47,0)+IF(AND(F$2&gt;=$AH48,F$2&lt;$AH48+$AI48),$D48/$AI48,0)</f>
        <v/>
      </c>
      <c r="G44" s="307">
        <f>IF(AND(G$2&gt;=$AH45,G$2&lt;$AH45+$AI45),$D45/$AI45,0)+IF(AND(G$2&gt;=$AH46,G$2&lt;$AH46+$AI46),$D46/$AI46,0)+IF(AND(G$2&gt;=$AH47,G$2&lt;$AH47+$AI47),$D47/$AI47,0)+IF(AND(G$2&gt;=$AH48,G$2&lt;$AH48+$AI48),$D48/$AI48,0)</f>
        <v/>
      </c>
      <c r="H44" s="307">
        <f>IF(AND(H$2&gt;=$AH45,H$2&lt;$AH45+$AI45),$D45/$AI45,0)+IF(AND(H$2&gt;=$AH46,H$2&lt;$AH46+$AI46),$D46/$AI46,0)+IF(AND(H$2&gt;=$AH47,H$2&lt;$AH47+$AI47),$D47/$AI47,0)+IF(AND(H$2&gt;=$AH48,H$2&lt;$AH48+$AI48),$D48/$AI48,0)</f>
        <v/>
      </c>
      <c r="I44" s="307">
        <f>IF(AND(I$2&gt;=$AH45,I$2&lt;$AH45+$AI45),$D45/$AI45,0)+IF(AND(I$2&gt;=$AH46,I$2&lt;$AH46+$AI46),$D46/$AI46,0)+IF(AND(I$2&gt;=$AH47,I$2&lt;$AH47+$AI47),$D47/$AI47,0)+IF(AND(I$2&gt;=$AH48,I$2&lt;$AH48+$AI48),$D48/$AI48,0)</f>
        <v/>
      </c>
      <c r="J44" s="307">
        <f>IF(AND(J$2&gt;=$AH45,J$2&lt;$AH45+$AI45),$D45/$AI45,0)+IF(AND(J$2&gt;=$AH46,J$2&lt;$AH46+$AI46),$D46/$AI46,0)+IF(AND(J$2&gt;=$AH47,J$2&lt;$AH47+$AI47),$D47/$AI47,0)+IF(AND(J$2&gt;=$AH48,J$2&lt;$AH48+$AI48),$D48/$AI48,0)</f>
        <v/>
      </c>
      <c r="K44" s="307">
        <f>IF(AND(K$2&gt;=$AH45,K$2&lt;$AH45+$AI45),$D45/$AI45,0)+IF(AND(K$2&gt;=$AH46,K$2&lt;$AH46+$AI46),$D46/$AI46,0)+IF(AND(K$2&gt;=$AH47,K$2&lt;$AH47+$AI47),$D47/$AI47,0)+IF(AND(K$2&gt;=$AH48,K$2&lt;$AH48+$AI48),$D48/$AI48,0)</f>
        <v/>
      </c>
      <c r="L44" s="307">
        <f>IF(AND(L$2&gt;=$AH45,L$2&lt;$AH45+$AI45),$D45/$AI45,0)+IF(AND(L$2&gt;=$AH46,L$2&lt;$AH46+$AI46),$D46/$AI46,0)+IF(AND(L$2&gt;=$AH47,L$2&lt;$AH47+$AI47),$D47/$AI47,0)+IF(AND(L$2&gt;=$AH48,L$2&lt;$AH48+$AI48),$D48/$AI48,0)</f>
        <v/>
      </c>
      <c r="M44" s="307">
        <f>IF(AND(M$2&gt;=$AH45,M$2&lt;$AH45+$AI45),$D45/$AI45,0)+IF(AND(M$2&gt;=$AH46,M$2&lt;$AH46+$AI46),$D46/$AI46,0)+IF(AND(M$2&gt;=$AH47,M$2&lt;$AH47+$AI47),$D47/$AI47,0)+IF(AND(M$2&gt;=$AH48,M$2&lt;$AH48+$AI48),$D48/$AI48,0)</f>
        <v/>
      </c>
      <c r="N44" s="307">
        <f>IF(AND(N$2&gt;=$AH45,N$2&lt;$AH45+$AI45),$D45/$AI45,0)+IF(AND(N$2&gt;=$AH46,N$2&lt;$AH46+$AI46),$D46/$AI46,0)+IF(AND(N$2&gt;=$AH47,N$2&lt;$AH47+$AI47),$D47/$AI47,0)+IF(AND(N$2&gt;=$AH48,N$2&lt;$AH48+$AI48),$D48/$AI48,0)</f>
        <v/>
      </c>
      <c r="O44" s="307">
        <f>IF(AND(O$2&gt;=$AH45,O$2&lt;$AH45+$AI45),$D45/$AI45,0)+IF(AND(O$2&gt;=$AH46,O$2&lt;$AH46+$AI46),$D46/$AI46,0)+IF(AND(O$2&gt;=$AH47,O$2&lt;$AH47+$AI47),$D47/$AI47,0)+IF(AND(O$2&gt;=$AH48,O$2&lt;$AH48+$AI48),$D48/$AI48,0)</f>
        <v/>
      </c>
      <c r="P44" s="307">
        <f>IF(AND(P$2&gt;=$AH45,P$2&lt;$AH45+$AI45),$D45/$AI45,0)+IF(AND(P$2&gt;=$AH46,P$2&lt;$AH46+$AI46),$D46/$AI46,0)+IF(AND(P$2&gt;=$AH47,P$2&lt;$AH47+$AI47),$D47/$AI47,0)+IF(AND(P$2&gt;=$AH48,P$2&lt;$AH48+$AI48),$D48/$AI48,0)</f>
        <v/>
      </c>
      <c r="Q44" s="312">
        <f>IF(AND(Q$2&gt;=$AH45,Q$2&lt;$AH45+$AI45),$D45/$AI45,0)+IF(AND(Q$2&gt;=$AH46,Q$2&lt;$AH46+$AI46),$D46/$AI46,0)+IF(AND(Q$2&gt;=$AH47,Q$2&lt;$AH47+$AI47),$D47/$AI47,0)+IF(AND(Q$2&gt;=$AH48,Q$2&lt;$AH48+$AI48),$D48/$AI48,0)</f>
        <v/>
      </c>
      <c r="R44" s="312">
        <f>IF(AND(R$2&gt;=$AH45,R$2&lt;$AH45+$AI45),$D45/$AI45,0)+IF(AND(R$2&gt;=$AH46,R$2&lt;$AH46+$AI46),$D46/$AI46,0)+IF(AND(R$2&gt;=$AH47,R$2&lt;$AH47+$AI47),$D47/$AI47,0)+IF(AND(R$2&gt;=$AH48,R$2&lt;$AH48+$AI48),$D48/$AI48,0)</f>
        <v/>
      </c>
      <c r="S44" s="312">
        <f>IF(AND(S$2&gt;=$AH45,S$2&lt;$AH45+$AI45),$D45/$AI45,0)+IF(AND(S$2&gt;=$AH46,S$2&lt;$AH46+$AI46),$D46/$AI46,0)+IF(AND(S$2&gt;=$AH47,S$2&lt;$AH47+$AI47),$D47/$AI47,0)+IF(AND(S$2&gt;=$AH48,S$2&lt;$AH48+$AI48),$D48/$AI48,0)</f>
        <v/>
      </c>
      <c r="T44" s="312">
        <f>IF(AND(T$2&gt;=$AH45,T$2&lt;$AH45+$AI45),$D45/$AI45,0)+IF(AND(T$2&gt;=$AH46,T$2&lt;$AH46+$AI46),$D46/$AI46,0)+IF(AND(T$2&gt;=$AH47,T$2&lt;$AH47+$AI47),$D47/$AI47,0)+IF(AND(T$2&gt;=$AH48,T$2&lt;$AH48+$AI48),$D48/$AI48,0)</f>
        <v/>
      </c>
      <c r="U44" s="312">
        <f>IF(AND(U$2&gt;=$AH45,U$2&lt;$AH45+$AI45),$D45/$AI45,0)+IF(AND(U$2&gt;=$AH46,U$2&lt;$AH46+$AI46),$D46/$AI46,0)+IF(AND(U$2&gt;=$AH47,U$2&lt;$AH47+$AI47),$D47/$AI47,0)+IF(AND(U$2&gt;=$AH48,U$2&lt;$AH48+$AI48),$D48/$AI48,0)</f>
        <v/>
      </c>
      <c r="V44" s="312">
        <f>IF(AND(V$2&gt;=$AH45,V$2&lt;$AH45+$AI45),$D45/$AI45,0)+IF(AND(V$2&gt;=$AH46,V$2&lt;$AH46+$AI46),$D46/$AI46,0)+IF(AND(V$2&gt;=$AH47,V$2&lt;$AH47+$AI47),$D47/$AI47,0)+IF(AND(V$2&gt;=$AH48,V$2&lt;$AH48+$AI48),$D48/$AI48,0)</f>
        <v/>
      </c>
      <c r="W44" s="312">
        <f>IF(AND(W$2&gt;=$AH45,W$2&lt;$AH45+$AI45),$D45/$AI45,0)+IF(AND(W$2&gt;=$AH46,W$2&lt;$AH46+$AI46),$D46/$AI46,0)+IF(AND(W$2&gt;=$AH47,W$2&lt;$AH47+$AI47),$D47/$AI47,0)+IF(AND(W$2&gt;=$AH48,W$2&lt;$AH48+$AI48),$D48/$AI48,0)</f>
        <v/>
      </c>
      <c r="X44" s="312">
        <f>IF(AND(X$2&gt;=$AH45,X$2&lt;$AH45+$AI45),$D45/$AI45,0)+IF(AND(X$2&gt;=$AH46,X$2&lt;$AH46+$AI46),$D46/$AI46,0)+IF(AND(X$2&gt;=$AH47,X$2&lt;$AH47+$AI47),$D47/$AI47,0)+IF(AND(X$2&gt;=$AH48,X$2&lt;$AH48+$AI48),$D48/$AI48,0)</f>
        <v/>
      </c>
      <c r="Y44" s="312">
        <f>IF(AND(Y$2&gt;=$AH45,Y$2&lt;$AH45+$AI45),$D45/$AI45,0)+IF(AND(Y$2&gt;=$AH46,Y$2&lt;$AH46+$AI46),$D46/$AI46,0)+IF(AND(Y$2&gt;=$AH47,Y$2&lt;$AH47+$AI47),$D47/$AI47,0)+IF(AND(Y$2&gt;=$AH48,Y$2&lt;$AH48+$AI48),$D48/$AI48,0)</f>
        <v/>
      </c>
      <c r="Z44" s="312">
        <f>IF(AND(Z$2&gt;=$AH45,Z$2&lt;$AH45+$AI45),$D45/$AI45,0)+IF(AND(Z$2&gt;=$AH46,Z$2&lt;$AH46+$AI46),$D46/$AI46,0)+IF(AND(Z$2&gt;=$AH47,Z$2&lt;$AH47+$AI47),$D47/$AI47,0)+IF(AND(Z$2&gt;=$AH48,Z$2&lt;$AH48+$AI48),$D48/$AI48,0)</f>
        <v/>
      </c>
      <c r="AA44" s="312">
        <f>IF(AND(AA$2&gt;=$AH45,AA$2&lt;$AH45+$AI45),$D45/$AI45,0)+IF(AND(AA$2&gt;=$AH46,AA$2&lt;$AH46+$AI46),$D46/$AI46,0)+IF(AND(AA$2&gt;=$AH47,AA$2&lt;$AH47+$AI47),$D47/$AI47,0)+IF(AND(AA$2&gt;=$AH48,AA$2&lt;$AH48+$AI48),$D48/$AI48,0)</f>
        <v/>
      </c>
      <c r="AB44" s="312">
        <f>IF(AND(AB$2&gt;=$AH45,AB$2&lt;$AH45+$AI45),$D45/$AI45,0)+IF(AND(AB$2&gt;=$AH46,AB$2&lt;$AH46+$AI46),$D46/$AI46,0)+IF(AND(AB$2&gt;=$AH47,AB$2&lt;$AH47+$AI47),$D47/$AI47,0)+IF(AND(AB$2&gt;=$AH48,AB$2&lt;$AH48+$AI48),$D48/$AI48,0)</f>
        <v/>
      </c>
      <c r="AC44" s="313">
        <f>IF(AND(AC$2&gt;=$AH45,AC$2&lt;$AH45+$AI45),$D45/$AI45,0)+IF(AND(AC$2&gt;=$AH46,AC$2&lt;$AH46+$AI46),$D46/$AI46,0)+IF(AND(AC$2&gt;=$AH47,AC$2&lt;$AH47+$AI47),$D47/$AI47,0)+IF(AND(AC$2&gt;=$AH48,AC$2&lt;$AH48+$AI48),$D48/$AI48,0)</f>
        <v/>
      </c>
      <c r="AD44" s="314">
        <f>IF(AND(AD$2&gt;=$AH45,AD$2&lt;$AH45+$AI45),$D45/$AI45,0)+IF(AND(AD$2&gt;=$AH46,AD$2&lt;$AH46+$AI46),$D46/$AI46,0)+IF(AND(AD$2&gt;=$AH47,AD$2&lt;$AH47+$AI47),$D47/$AI47,0)+IF(AND(AD$2&gt;=$AH48,AD$2&lt;$AH48+$AI48),$D48/$AI48,0)</f>
        <v/>
      </c>
      <c r="AE44" s="315">
        <f>IF(AND(AE$2&gt;=$AH45,AE$2&lt;$AH45+$AI45),$D45/$AI45,0)+IF(AND(AE$2&gt;=$AH46,AE$2&lt;$AH46+$AI46),$D46/$AI46,0)+IF(AND(AE$2&gt;=$AH47,AE$2&lt;$AH47+$AI47),$D47/$AI47,0)+IF(AND(AE$2&gt;=$AH48,AE$2&lt;$AH48+$AI48),$D48/$AI48,0)</f>
        <v/>
      </c>
      <c r="AF44" s="316">
        <f>SUM(E44:AE44)</f>
        <v/>
      </c>
    </row>
    <row r="45" ht="28.2" customHeight="1">
      <c r="A45" s="88" t="n"/>
      <c r="B45" s="100" t="inlineStr">
        <is>
          <t>(0%) Start of Third Floor Structure</t>
        </is>
      </c>
      <c r="C45" s="101" t="n">
        <v>0.3</v>
      </c>
      <c r="D45" s="317">
        <f>C45*$D$44</f>
        <v/>
      </c>
      <c r="E45" s="310" t="n"/>
      <c r="F45" s="307" t="n"/>
      <c r="G45" s="307" t="n"/>
      <c r="H45" s="307" t="n"/>
      <c r="I45" s="307" t="n"/>
      <c r="J45" s="307" t="n"/>
      <c r="K45" s="307" t="n"/>
      <c r="L45" s="307" t="n"/>
      <c r="M45" s="307" t="n"/>
      <c r="N45" s="307" t="n"/>
      <c r="O45" s="307" t="n"/>
      <c r="P45" s="307" t="n"/>
      <c r="Q45" s="312" t="n"/>
      <c r="R45" s="312" t="n"/>
      <c r="S45" s="312" t="n"/>
      <c r="T45" s="312" t="n"/>
      <c r="U45" s="312" t="n"/>
      <c r="V45" s="312" t="n"/>
      <c r="W45" s="312" t="n"/>
      <c r="X45" s="312" t="n"/>
      <c r="Y45" s="312" t="n"/>
      <c r="Z45" s="312" t="n"/>
      <c r="AA45" s="312" t="n"/>
      <c r="AB45" s="312" t="n"/>
      <c r="AC45" s="313" t="n"/>
      <c r="AD45" s="314" t="n"/>
      <c r="AE45" s="315" t="n"/>
      <c r="AF45" s="316" t="n"/>
      <c r="AH45" s="308" t="n">
        <v>11</v>
      </c>
      <c r="AI45" s="308" t="n">
        <v>2</v>
      </c>
    </row>
    <row r="46" ht="28.2" customHeight="1">
      <c r="A46" s="88" t="n"/>
      <c r="B46" s="100" t="inlineStr">
        <is>
          <t>(100%) Completion of Structure</t>
        </is>
      </c>
      <c r="C46" s="101" t="n">
        <v>0.2</v>
      </c>
      <c r="D46" s="317">
        <f>C46*$D$44</f>
        <v/>
      </c>
      <c r="E46" s="310" t="n"/>
      <c r="F46" s="307" t="n"/>
      <c r="G46" s="307" t="n"/>
      <c r="H46" s="307" t="n"/>
      <c r="I46" s="307" t="n"/>
      <c r="J46" s="307" t="n"/>
      <c r="K46" s="307" t="n"/>
      <c r="L46" s="307" t="n"/>
      <c r="M46" s="307" t="n"/>
      <c r="N46" s="307" t="n"/>
      <c r="O46" s="307" t="n"/>
      <c r="P46" s="307" t="n"/>
      <c r="Q46" s="312" t="n"/>
      <c r="R46" s="312" t="n"/>
      <c r="S46" s="312" t="n"/>
      <c r="T46" s="312" t="n"/>
      <c r="U46" s="312" t="n"/>
      <c r="V46" s="312" t="n"/>
      <c r="W46" s="312" t="n"/>
      <c r="X46" s="312" t="n"/>
      <c r="Y46" s="312" t="n"/>
      <c r="Z46" s="312" t="n"/>
      <c r="AA46" s="312" t="n"/>
      <c r="AB46" s="312" t="n"/>
      <c r="AC46" s="313" t="n"/>
      <c r="AD46" s="314" t="n"/>
      <c r="AE46" s="315" t="n"/>
      <c r="AF46" s="316" t="n"/>
      <c r="AH46" s="308" t="n">
        <v>13</v>
      </c>
      <c r="AI46" s="308" t="n">
        <v>1</v>
      </c>
    </row>
    <row r="47" ht="28.2" customHeight="1">
      <c r="A47" s="88" t="n"/>
      <c r="B47" s="100" t="inlineStr">
        <is>
          <t>(0%) Start of Finishings and MEP</t>
        </is>
      </c>
      <c r="C47" s="101" t="n">
        <v>0.3</v>
      </c>
      <c r="D47" s="317">
        <f>C47*$D$44</f>
        <v/>
      </c>
      <c r="E47" s="310" t="n"/>
      <c r="F47" s="307" t="n"/>
      <c r="G47" s="307" t="n"/>
      <c r="H47" s="307" t="n"/>
      <c r="I47" s="307" t="n"/>
      <c r="J47" s="307" t="n"/>
      <c r="K47" s="307" t="n"/>
      <c r="L47" s="307" t="n"/>
      <c r="M47" s="307" t="n"/>
      <c r="N47" s="307" t="n"/>
      <c r="O47" s="307" t="n"/>
      <c r="P47" s="307" t="n"/>
      <c r="Q47" s="312" t="n"/>
      <c r="R47" s="312" t="n"/>
      <c r="S47" s="312" t="n"/>
      <c r="T47" s="312" t="n"/>
      <c r="U47" s="312" t="n"/>
      <c r="V47" s="312" t="n"/>
      <c r="W47" s="312" t="n"/>
      <c r="X47" s="312" t="n"/>
      <c r="Y47" s="312" t="n"/>
      <c r="Z47" s="312" t="n"/>
      <c r="AA47" s="312" t="n"/>
      <c r="AB47" s="312" t="n"/>
      <c r="AC47" s="313" t="n"/>
      <c r="AD47" s="314" t="n"/>
      <c r="AE47" s="315" t="n"/>
      <c r="AF47" s="316" t="n"/>
      <c r="AH47" s="308" t="n">
        <v>14</v>
      </c>
      <c r="AI47" s="308" t="n">
        <v>7</v>
      </c>
    </row>
    <row r="48" ht="28.2" customHeight="1">
      <c r="A48" s="88" t="n"/>
      <c r="B48" s="100" t="inlineStr">
        <is>
          <t>(100%) Completion of Finishings and MEP</t>
        </is>
      </c>
      <c r="C48" s="101" t="n">
        <v>0.2</v>
      </c>
      <c r="D48" s="317">
        <f>C48*$D$44</f>
        <v/>
      </c>
      <c r="E48" s="310" t="n"/>
      <c r="F48" s="307" t="n"/>
      <c r="G48" s="307" t="n"/>
      <c r="H48" s="307" t="n"/>
      <c r="I48" s="307" t="n"/>
      <c r="J48" s="307" t="n"/>
      <c r="K48" s="307" t="n"/>
      <c r="L48" s="307" t="n"/>
      <c r="M48" s="307" t="n"/>
      <c r="N48" s="307" t="n"/>
      <c r="O48" s="307" t="n"/>
      <c r="P48" s="307" t="n"/>
      <c r="Q48" s="312" t="n"/>
      <c r="R48" s="312" t="n"/>
      <c r="S48" s="312" t="n"/>
      <c r="T48" s="312" t="n"/>
      <c r="U48" s="312" t="n"/>
      <c r="V48" s="312" t="n"/>
      <c r="W48" s="312" t="n"/>
      <c r="X48" s="312" t="n"/>
      <c r="Y48" s="312" t="n"/>
      <c r="Z48" s="312" t="n"/>
      <c r="AA48" s="312" t="n"/>
      <c r="AB48" s="312" t="n"/>
      <c r="AC48" s="313" t="n"/>
      <c r="AD48" s="314" t="n"/>
      <c r="AE48" s="315" t="n"/>
      <c r="AF48" s="316" t="n"/>
      <c r="AH48" s="308" t="n">
        <v>21</v>
      </c>
      <c r="AI48" s="308" t="n">
        <v>2</v>
      </c>
    </row>
    <row r="49" ht="28.2" customHeight="1">
      <c r="A49" s="88" t="n"/>
      <c r="B49" s="85" t="n"/>
      <c r="C49" s="74" t="n"/>
      <c r="D49" s="300" t="n"/>
      <c r="E49" s="310" t="n"/>
      <c r="F49" s="307" t="n"/>
      <c r="G49" s="307" t="n"/>
      <c r="H49" s="307" t="n"/>
      <c r="I49" s="307" t="n"/>
      <c r="J49" s="307" t="n"/>
      <c r="K49" s="307" t="n"/>
      <c r="L49" s="307" t="n"/>
      <c r="M49" s="307" t="n"/>
      <c r="N49" s="307" t="n"/>
      <c r="O49" s="307" t="n"/>
      <c r="P49" s="307" t="n"/>
      <c r="Q49" s="312" t="n"/>
      <c r="R49" s="312" t="n"/>
      <c r="S49" s="312" t="n"/>
      <c r="T49" s="312" t="n"/>
      <c r="U49" s="312" t="n"/>
      <c r="V49" s="312" t="n"/>
      <c r="W49" s="312" t="n"/>
      <c r="X49" s="312" t="n"/>
      <c r="Y49" s="312" t="n"/>
      <c r="Z49" s="312" t="n"/>
      <c r="AA49" s="312" t="n"/>
      <c r="AB49" s="312" t="n"/>
      <c r="AC49" s="313" t="n"/>
      <c r="AD49" s="314" t="n"/>
      <c r="AE49" s="315" t="n"/>
      <c r="AF49" s="316" t="n"/>
    </row>
    <row r="50" ht="27.6" customHeight="1">
      <c r="A50" s="88" t="inlineStr">
        <is>
          <t>K</t>
        </is>
      </c>
      <c r="B50" s="89">
        <f>'GEN SUMMARY.'!B23</f>
        <v/>
      </c>
      <c r="C50" s="90" t="n"/>
      <c r="D50" s="311">
        <f>'GEN SUMMARY.'!E23</f>
        <v/>
      </c>
      <c r="E50" s="310">
        <f>IF(AND(E$2&gt;=$AH51,E$2&lt;$AH51+$AI51),$D51/$AI51,0)+IF(AND(E$2&gt;=$AH52,E$2&lt;$AH52+$AI52),$D52/$AI52,0)+IF(AND(E$2&gt;=$AH53,E$2&lt;$AH53+$AI53),$D53/$AI53,0)+IF(AND(E$2&gt;=$AH54,E$2&lt;$AH54+$AI54),$D54/$AI54,0)</f>
        <v/>
      </c>
      <c r="F50" s="307">
        <f>IF(AND(F$2&gt;=$AH51,F$2&lt;$AH51+$AI51),$D51/$AI51,0)+IF(AND(F$2&gt;=$AH52,F$2&lt;$AH52+$AI52),$D52/$AI52,0)+IF(AND(F$2&gt;=$AH53,F$2&lt;$AH53+$AI53),$D53/$AI53,0)+IF(AND(F$2&gt;=$AH54,F$2&lt;$AH54+$AI54),$D54/$AI54,0)</f>
        <v/>
      </c>
      <c r="G50" s="307">
        <f>IF(AND(G$2&gt;=$AH51,G$2&lt;$AH51+$AI51),$D51/$AI51,0)+IF(AND(G$2&gt;=$AH52,G$2&lt;$AH52+$AI52),$D52/$AI52,0)+IF(AND(G$2&gt;=$AH53,G$2&lt;$AH53+$AI53),$D53/$AI53,0)+IF(AND(G$2&gt;=$AH54,G$2&lt;$AH54+$AI54),$D54/$AI54,0)</f>
        <v/>
      </c>
      <c r="H50" s="307">
        <f>IF(AND(H$2&gt;=$AH51,H$2&lt;$AH51+$AI51),$D51/$AI51,0)+IF(AND(H$2&gt;=$AH52,H$2&lt;$AH52+$AI52),$D52/$AI52,0)+IF(AND(H$2&gt;=$AH53,H$2&lt;$AH53+$AI53),$D53/$AI53,0)+IF(AND(H$2&gt;=$AH54,H$2&lt;$AH54+$AI54),$D54/$AI54,0)</f>
        <v/>
      </c>
      <c r="I50" s="307">
        <f>IF(AND(I$2&gt;=$AH51,I$2&lt;$AH51+$AI51),$D51/$AI51,0)+IF(AND(I$2&gt;=$AH52,I$2&lt;$AH52+$AI52),$D52/$AI52,0)+IF(AND(I$2&gt;=$AH53,I$2&lt;$AH53+$AI53),$D53/$AI53,0)+IF(AND(I$2&gt;=$AH54,I$2&lt;$AH54+$AI54),$D54/$AI54,0)</f>
        <v/>
      </c>
      <c r="J50" s="307">
        <f>IF(AND(J$2&gt;=$AH51,J$2&lt;$AH51+$AI51),$D51/$AI51,0)+IF(AND(J$2&gt;=$AH52,J$2&lt;$AH52+$AI52),$D52/$AI52,0)+IF(AND(J$2&gt;=$AH53,J$2&lt;$AH53+$AI53),$D53/$AI53,0)+IF(AND(J$2&gt;=$AH54,J$2&lt;$AH54+$AI54),$D54/$AI54,0)</f>
        <v/>
      </c>
      <c r="K50" s="307">
        <f>IF(AND(K$2&gt;=$AH51,K$2&lt;$AH51+$AI51),$D51/$AI51,0)+IF(AND(K$2&gt;=$AH52,K$2&lt;$AH52+$AI52),$D52/$AI52,0)+IF(AND(K$2&gt;=$AH53,K$2&lt;$AH53+$AI53),$D53/$AI53,0)+IF(AND(K$2&gt;=$AH54,K$2&lt;$AH54+$AI54),$D54/$AI54,0)</f>
        <v/>
      </c>
      <c r="L50" s="307">
        <f>IF(AND(L$2&gt;=$AH51,L$2&lt;$AH51+$AI51),$D51/$AI51,0)+IF(AND(L$2&gt;=$AH52,L$2&lt;$AH52+$AI52),$D52/$AI52,0)+IF(AND(L$2&gt;=$AH53,L$2&lt;$AH53+$AI53),$D53/$AI53,0)+IF(AND(L$2&gt;=$AH54,L$2&lt;$AH54+$AI54),$D54/$AI54,0)</f>
        <v/>
      </c>
      <c r="M50" s="307">
        <f>IF(AND(M$2&gt;=$AH51,M$2&lt;$AH51+$AI51),$D51/$AI51,0)+IF(AND(M$2&gt;=$AH52,M$2&lt;$AH52+$AI52),$D52/$AI52,0)+IF(AND(M$2&gt;=$AH53,M$2&lt;$AH53+$AI53),$D53/$AI53,0)+IF(AND(M$2&gt;=$AH54,M$2&lt;$AH54+$AI54),$D54/$AI54,0)</f>
        <v/>
      </c>
      <c r="N50" s="307">
        <f>IF(AND(N$2&gt;=$AH51,N$2&lt;$AH51+$AI51),$D51/$AI51,0)+IF(AND(N$2&gt;=$AH52,N$2&lt;$AH52+$AI52),$D52/$AI52,0)+IF(AND(N$2&gt;=$AH53,N$2&lt;$AH53+$AI53),$D53/$AI53,0)+IF(AND(N$2&gt;=$AH54,N$2&lt;$AH54+$AI54),$D54/$AI54,0)</f>
        <v/>
      </c>
      <c r="O50" s="307">
        <f>IF(AND(O$2&gt;=$AH51,O$2&lt;$AH51+$AI51),$D51/$AI51,0)+IF(AND(O$2&gt;=$AH52,O$2&lt;$AH52+$AI52),$D52/$AI52,0)+IF(AND(O$2&gt;=$AH53,O$2&lt;$AH53+$AI53),$D53/$AI53,0)+IF(AND(O$2&gt;=$AH54,O$2&lt;$AH54+$AI54),$D54/$AI54,0)</f>
        <v/>
      </c>
      <c r="P50" s="307">
        <f>IF(AND(P$2&gt;=$AH51,P$2&lt;$AH51+$AI51),$D51/$AI51,0)+IF(AND(P$2&gt;=$AH52,P$2&lt;$AH52+$AI52),$D52/$AI52,0)+IF(AND(P$2&gt;=$AH53,P$2&lt;$AH53+$AI53),$D53/$AI53,0)+IF(AND(P$2&gt;=$AH54,P$2&lt;$AH54+$AI54),$D54/$AI54,0)</f>
        <v/>
      </c>
      <c r="Q50" s="312">
        <f>IF(AND(Q$2&gt;=$AH51,Q$2&lt;$AH51+$AI51),$D51/$AI51,0)+IF(AND(Q$2&gt;=$AH52,Q$2&lt;$AH52+$AI52),$D52/$AI52,0)+IF(AND(Q$2&gt;=$AH53,Q$2&lt;$AH53+$AI53),$D53/$AI53,0)+IF(AND(Q$2&gt;=$AH54,Q$2&lt;$AH54+$AI54),$D54/$AI54,0)</f>
        <v/>
      </c>
      <c r="R50" s="312">
        <f>IF(AND(R$2&gt;=$AH51,R$2&lt;$AH51+$AI51),$D51/$AI51,0)+IF(AND(R$2&gt;=$AH52,R$2&lt;$AH52+$AI52),$D52/$AI52,0)+IF(AND(R$2&gt;=$AH53,R$2&lt;$AH53+$AI53),$D53/$AI53,0)+IF(AND(R$2&gt;=$AH54,R$2&lt;$AH54+$AI54),$D54/$AI54,0)</f>
        <v/>
      </c>
      <c r="S50" s="312">
        <f>IF(AND(S$2&gt;=$AH51,S$2&lt;$AH51+$AI51),$D51/$AI51,0)+IF(AND(S$2&gt;=$AH52,S$2&lt;$AH52+$AI52),$D52/$AI52,0)+IF(AND(S$2&gt;=$AH53,S$2&lt;$AH53+$AI53),$D53/$AI53,0)+IF(AND(S$2&gt;=$AH54,S$2&lt;$AH54+$AI54),$D54/$AI54,0)</f>
        <v/>
      </c>
      <c r="T50" s="312">
        <f>IF(AND(T$2&gt;=$AH51,T$2&lt;$AH51+$AI51),$D51/$AI51,0)+IF(AND(T$2&gt;=$AH52,T$2&lt;$AH52+$AI52),$D52/$AI52,0)+IF(AND(T$2&gt;=$AH53,T$2&lt;$AH53+$AI53),$D53/$AI53,0)+IF(AND(T$2&gt;=$AH54,T$2&lt;$AH54+$AI54),$D54/$AI54,0)</f>
        <v/>
      </c>
      <c r="U50" s="312">
        <f>IF(AND(U$2&gt;=$AH51,U$2&lt;$AH51+$AI51),$D51/$AI51,0)+IF(AND(U$2&gt;=$AH52,U$2&lt;$AH52+$AI52),$D52/$AI52,0)+IF(AND(U$2&gt;=$AH53,U$2&lt;$AH53+$AI53),$D53/$AI53,0)+IF(AND(U$2&gt;=$AH54,U$2&lt;$AH54+$AI54),$D54/$AI54,0)</f>
        <v/>
      </c>
      <c r="V50" s="312">
        <f>IF(AND(V$2&gt;=$AH51,V$2&lt;$AH51+$AI51),$D51/$AI51,0)+IF(AND(V$2&gt;=$AH52,V$2&lt;$AH52+$AI52),$D52/$AI52,0)+IF(AND(V$2&gt;=$AH53,V$2&lt;$AH53+$AI53),$D53/$AI53,0)+IF(AND(V$2&gt;=$AH54,V$2&lt;$AH54+$AI54),$D54/$AI54,0)</f>
        <v/>
      </c>
      <c r="W50" s="312">
        <f>IF(AND(W$2&gt;=$AH51,W$2&lt;$AH51+$AI51),$D51/$AI51,0)+IF(AND(W$2&gt;=$AH52,W$2&lt;$AH52+$AI52),$D52/$AI52,0)+IF(AND(W$2&gt;=$AH53,W$2&lt;$AH53+$AI53),$D53/$AI53,0)+IF(AND(W$2&gt;=$AH54,W$2&lt;$AH54+$AI54),$D54/$AI54,0)</f>
        <v/>
      </c>
      <c r="X50" s="312">
        <f>IF(AND(X$2&gt;=$AH51,X$2&lt;$AH51+$AI51),$D51/$AI51,0)+IF(AND(X$2&gt;=$AH52,X$2&lt;$AH52+$AI52),$D52/$AI52,0)+IF(AND(X$2&gt;=$AH53,X$2&lt;$AH53+$AI53),$D53/$AI53,0)+IF(AND(X$2&gt;=$AH54,X$2&lt;$AH54+$AI54),$D54/$AI54,0)</f>
        <v/>
      </c>
      <c r="Y50" s="312">
        <f>IF(AND(Y$2&gt;=$AH51,Y$2&lt;$AH51+$AI51),$D51/$AI51,0)+IF(AND(Y$2&gt;=$AH52,Y$2&lt;$AH52+$AI52),$D52/$AI52,0)+IF(AND(Y$2&gt;=$AH53,Y$2&lt;$AH53+$AI53),$D53/$AI53,0)+IF(AND(Y$2&gt;=$AH54,Y$2&lt;$AH54+$AI54),$D54/$AI54,0)</f>
        <v/>
      </c>
      <c r="Z50" s="312">
        <f>IF(AND(Z$2&gt;=$AH51,Z$2&lt;$AH51+$AI51),$D51/$AI51,0)+IF(AND(Z$2&gt;=$AH52,Z$2&lt;$AH52+$AI52),$D52/$AI52,0)+IF(AND(Z$2&gt;=$AH53,Z$2&lt;$AH53+$AI53),$D53/$AI53,0)+IF(AND(Z$2&gt;=$AH54,Z$2&lt;$AH54+$AI54),$D54/$AI54,0)</f>
        <v/>
      </c>
      <c r="AA50" s="312">
        <f>IF(AND(AA$2&gt;=$AH51,AA$2&lt;$AH51+$AI51),$D51/$AI51,0)+IF(AND(AA$2&gt;=$AH52,AA$2&lt;$AH52+$AI52),$D52/$AI52,0)+IF(AND(AA$2&gt;=$AH53,AA$2&lt;$AH53+$AI53),$D53/$AI53,0)+IF(AND(AA$2&gt;=$AH54,AA$2&lt;$AH54+$AI54),$D54/$AI54,0)</f>
        <v/>
      </c>
      <c r="AB50" s="312">
        <f>IF(AND(AB$2&gt;=$AH51,AB$2&lt;$AH51+$AI51),$D51/$AI51,0)+IF(AND(AB$2&gt;=$AH52,AB$2&lt;$AH52+$AI52),$D52/$AI52,0)+IF(AND(AB$2&gt;=$AH53,AB$2&lt;$AH53+$AI53),$D53/$AI53,0)+IF(AND(AB$2&gt;=$AH54,AB$2&lt;$AH54+$AI54),$D54/$AI54,0)</f>
        <v/>
      </c>
      <c r="AC50" s="313">
        <f>IF(AND(AC$2&gt;=$AH51,AC$2&lt;$AH51+$AI51),$D51/$AI51,0)+IF(AND(AC$2&gt;=$AH52,AC$2&lt;$AH52+$AI52),$D52/$AI52,0)+IF(AND(AC$2&gt;=$AH53,AC$2&lt;$AH53+$AI53),$D53/$AI53,0)+IF(AND(AC$2&gt;=$AH54,AC$2&lt;$AH54+$AI54),$D54/$AI54,0)</f>
        <v/>
      </c>
      <c r="AD50" s="314">
        <f>IF(AND(AD$2&gt;=$AH51,AD$2&lt;$AH51+$AI51),$D51/$AI51,0)+IF(AND(AD$2&gt;=$AH52,AD$2&lt;$AH52+$AI52),$D52/$AI52,0)+IF(AND(AD$2&gt;=$AH53,AD$2&lt;$AH53+$AI53),$D53/$AI53,0)+IF(AND(AD$2&gt;=$AH54,AD$2&lt;$AH54+$AI54),$D54/$AI54,0)</f>
        <v/>
      </c>
      <c r="AE50" s="315">
        <f>IF(AND(AE$2&gt;=$AH51,AE$2&lt;$AH51+$AI51),$D51/$AI51,0)+IF(AND(AE$2&gt;=$AH52,AE$2&lt;$AH52+$AI52),$D52/$AI52,0)+IF(AND(AE$2&gt;=$AH53,AE$2&lt;$AH53+$AI53),$D53/$AI53,0)+IF(AND(AE$2&gt;=$AH54,AE$2&lt;$AH54+$AI54),$D54/$AI54,0)</f>
        <v/>
      </c>
      <c r="AF50" s="316">
        <f>SUM(E50:AE50)</f>
        <v/>
      </c>
    </row>
    <row r="51" ht="28.2" customHeight="1">
      <c r="A51" s="88" t="n"/>
      <c r="B51" s="100" t="inlineStr">
        <is>
          <t>(0%) Start of Fourth Floor Structure</t>
        </is>
      </c>
      <c r="C51" s="101" t="n">
        <v>0.3</v>
      </c>
      <c r="D51" s="317">
        <f>C51*$D$50</f>
        <v/>
      </c>
      <c r="E51" s="310" t="n"/>
      <c r="F51" s="307" t="n"/>
      <c r="G51" s="307" t="n"/>
      <c r="H51" s="307" t="n"/>
      <c r="I51" s="307" t="n"/>
      <c r="J51" s="307" t="n"/>
      <c r="K51" s="307" t="n"/>
      <c r="L51" s="307" t="n"/>
      <c r="M51" s="307" t="n"/>
      <c r="N51" s="307" t="n"/>
      <c r="O51" s="307" t="n"/>
      <c r="P51" s="307" t="n"/>
      <c r="Q51" s="312" t="n"/>
      <c r="R51" s="312" t="n"/>
      <c r="S51" s="312" t="n"/>
      <c r="T51" s="312" t="n"/>
      <c r="U51" s="312" t="n"/>
      <c r="V51" s="312" t="n"/>
      <c r="W51" s="312" t="n"/>
      <c r="X51" s="312" t="n"/>
      <c r="Y51" s="312" t="n"/>
      <c r="Z51" s="312" t="n"/>
      <c r="AA51" s="312" t="n"/>
      <c r="AB51" s="312" t="n"/>
      <c r="AC51" s="313" t="n"/>
      <c r="AD51" s="314" t="n"/>
      <c r="AE51" s="315" t="n"/>
      <c r="AF51" s="316" t="n"/>
      <c r="AH51" s="308" t="n">
        <v>13</v>
      </c>
      <c r="AI51" s="308" t="n">
        <v>2</v>
      </c>
    </row>
    <row r="52" ht="28.2" customHeight="1">
      <c r="A52" s="88" t="n"/>
      <c r="B52" s="100" t="inlineStr">
        <is>
          <t>(100%) Completion of Structure</t>
        </is>
      </c>
      <c r="C52" s="101" t="n">
        <v>0.2</v>
      </c>
      <c r="D52" s="317">
        <f>C52*$D$50</f>
        <v/>
      </c>
      <c r="E52" s="310" t="n"/>
      <c r="F52" s="307" t="n"/>
      <c r="G52" s="307" t="n"/>
      <c r="H52" s="307" t="n"/>
      <c r="I52" s="307" t="n"/>
      <c r="J52" s="307" t="n"/>
      <c r="K52" s="307" t="n"/>
      <c r="L52" s="307" t="n"/>
      <c r="M52" s="307" t="n"/>
      <c r="N52" s="307" t="n"/>
      <c r="O52" s="307" t="n"/>
      <c r="P52" s="307" t="n"/>
      <c r="Q52" s="312" t="n"/>
      <c r="R52" s="312" t="n"/>
      <c r="S52" s="312" t="n"/>
      <c r="T52" s="312" t="n"/>
      <c r="U52" s="312" t="n"/>
      <c r="V52" s="312" t="n"/>
      <c r="W52" s="312" t="n"/>
      <c r="X52" s="312" t="n"/>
      <c r="Y52" s="312" t="n"/>
      <c r="Z52" s="312" t="n"/>
      <c r="AA52" s="312" t="n"/>
      <c r="AB52" s="312" t="n"/>
      <c r="AC52" s="313" t="n"/>
      <c r="AD52" s="314" t="n"/>
      <c r="AE52" s="315" t="n"/>
      <c r="AF52" s="316" t="n"/>
      <c r="AH52" s="308" t="n">
        <v>15</v>
      </c>
      <c r="AI52" s="308" t="n">
        <v>1</v>
      </c>
    </row>
    <row r="53" ht="28.2" customHeight="1">
      <c r="A53" s="88" t="n"/>
      <c r="B53" s="100" t="inlineStr">
        <is>
          <t>(0%) Start of Finishings and MEP</t>
        </is>
      </c>
      <c r="C53" s="101" t="n">
        <v>0.3</v>
      </c>
      <c r="D53" s="317">
        <f>C53*$D$50</f>
        <v/>
      </c>
      <c r="E53" s="310" t="n"/>
      <c r="F53" s="307" t="n"/>
      <c r="G53" s="307" t="n"/>
      <c r="H53" s="307" t="n"/>
      <c r="I53" s="307" t="n"/>
      <c r="J53" s="307" t="n"/>
      <c r="K53" s="307" t="n"/>
      <c r="L53" s="307" t="n"/>
      <c r="M53" s="307" t="n"/>
      <c r="N53" s="307" t="n"/>
      <c r="O53" s="307" t="n"/>
      <c r="P53" s="307" t="n"/>
      <c r="Q53" s="312" t="n"/>
      <c r="R53" s="312" t="n"/>
      <c r="S53" s="312" t="n"/>
      <c r="T53" s="312" t="n"/>
      <c r="U53" s="312" t="n"/>
      <c r="V53" s="312" t="n"/>
      <c r="W53" s="312" t="n"/>
      <c r="X53" s="312" t="n"/>
      <c r="Y53" s="312" t="n"/>
      <c r="Z53" s="312" t="n"/>
      <c r="AA53" s="312" t="n"/>
      <c r="AB53" s="312" t="n"/>
      <c r="AC53" s="313" t="n"/>
      <c r="AD53" s="314" t="n"/>
      <c r="AE53" s="315" t="n"/>
      <c r="AF53" s="316" t="n"/>
      <c r="AH53" s="308" t="n">
        <v>16</v>
      </c>
      <c r="AI53" s="308" t="n">
        <v>5</v>
      </c>
    </row>
    <row r="54" ht="28.2" customHeight="1">
      <c r="A54" s="88" t="n"/>
      <c r="B54" s="100" t="inlineStr">
        <is>
          <t>(100%) Completion of Finishings and MEP</t>
        </is>
      </c>
      <c r="C54" s="101" t="n">
        <v>0.2</v>
      </c>
      <c r="D54" s="317">
        <f>C54*$D$50</f>
        <v/>
      </c>
      <c r="E54" s="310" t="n"/>
      <c r="F54" s="307" t="n"/>
      <c r="G54" s="307" t="n"/>
      <c r="H54" s="307" t="n"/>
      <c r="I54" s="307" t="n"/>
      <c r="J54" s="307" t="n"/>
      <c r="K54" s="307" t="n"/>
      <c r="L54" s="307" t="n"/>
      <c r="M54" s="307" t="n"/>
      <c r="N54" s="307" t="n"/>
      <c r="O54" s="307" t="n"/>
      <c r="P54" s="307" t="n"/>
      <c r="Q54" s="312" t="n"/>
      <c r="R54" s="312" t="n"/>
      <c r="S54" s="312" t="n"/>
      <c r="T54" s="312" t="n"/>
      <c r="U54" s="312" t="n"/>
      <c r="V54" s="312" t="n"/>
      <c r="W54" s="312" t="n"/>
      <c r="X54" s="312" t="n"/>
      <c r="Y54" s="312" t="n"/>
      <c r="Z54" s="312" t="n"/>
      <c r="AA54" s="312" t="n"/>
      <c r="AB54" s="312" t="n"/>
      <c r="AC54" s="313" t="n"/>
      <c r="AD54" s="314" t="n"/>
      <c r="AE54" s="315" t="n"/>
      <c r="AF54" s="316" t="n"/>
      <c r="AH54" s="308" t="n">
        <v>21</v>
      </c>
      <c r="AI54" s="308" t="n">
        <v>2</v>
      </c>
    </row>
    <row r="55" ht="28.2" customHeight="1">
      <c r="A55" s="88" t="n"/>
      <c r="B55" s="85" t="n"/>
      <c r="C55" s="74" t="n"/>
      <c r="D55" s="300" t="n"/>
      <c r="E55" s="310" t="n"/>
      <c r="F55" s="307" t="n"/>
      <c r="G55" s="307" t="n"/>
      <c r="H55" s="307" t="n"/>
      <c r="I55" s="307" t="n"/>
      <c r="J55" s="307" t="n"/>
      <c r="K55" s="307" t="n"/>
      <c r="L55" s="307" t="n"/>
      <c r="M55" s="307" t="n"/>
      <c r="N55" s="307" t="n"/>
      <c r="O55" s="307" t="n"/>
      <c r="P55" s="307" t="n"/>
      <c r="Q55" s="312" t="n"/>
      <c r="R55" s="312" t="n"/>
      <c r="S55" s="312" t="n"/>
      <c r="T55" s="312" t="n"/>
      <c r="U55" s="312" t="n"/>
      <c r="V55" s="312" t="n"/>
      <c r="W55" s="312" t="n"/>
      <c r="X55" s="312" t="n"/>
      <c r="Y55" s="312" t="n"/>
      <c r="Z55" s="312" t="n"/>
      <c r="AA55" s="312" t="n"/>
      <c r="AB55" s="312" t="n"/>
      <c r="AC55" s="313" t="n"/>
      <c r="AD55" s="314" t="n"/>
      <c r="AE55" s="315" t="n"/>
      <c r="AF55" s="316" t="n"/>
    </row>
    <row r="56" ht="27.6" customHeight="1">
      <c r="A56" s="88" t="inlineStr">
        <is>
          <t>L</t>
        </is>
      </c>
      <c r="B56" s="89">
        <f>'GEN SUMMARY.'!B25</f>
        <v/>
      </c>
      <c r="C56" s="90" t="n"/>
      <c r="D56" s="311">
        <f>'GEN SUMMARY.'!E25</f>
        <v/>
      </c>
      <c r="E56" s="310">
        <f>IF(AND(E$2&gt;=$AH57,E$2&lt;$AH57+$AI57),$D57/$AI57,0)+IF(AND(E$2&gt;=$AH58,E$2&lt;$AH58+$AI58),$D58/$AI58,0)+IF(AND(E$2&gt;=$AH59,E$2&lt;$AH59+$AI59),$D59/$AI59,0)+IF(AND(E$2&gt;=$AH60,E$2&lt;$AH60+$AI60),$D60/$AI60,0)</f>
        <v/>
      </c>
      <c r="F56" s="307">
        <f>IF(AND(F$2&gt;=$AH57,F$2&lt;$AH57+$AI57),$D57/$AI57,0)+IF(AND(F$2&gt;=$AH58,F$2&lt;$AH58+$AI58),$D58/$AI58,0)+IF(AND(F$2&gt;=$AH59,F$2&lt;$AH59+$AI59),$D59/$AI59,0)+IF(AND(F$2&gt;=$AH60,F$2&lt;$AH60+$AI60),$D60/$AI60,0)</f>
        <v/>
      </c>
      <c r="G56" s="307">
        <f>IF(AND(G$2&gt;=$AH57,G$2&lt;$AH57+$AI57),$D57/$AI57,0)+IF(AND(G$2&gt;=$AH58,G$2&lt;$AH58+$AI58),$D58/$AI58,0)+IF(AND(G$2&gt;=$AH59,G$2&lt;$AH59+$AI59),$D59/$AI59,0)+IF(AND(G$2&gt;=$AH60,G$2&lt;$AH60+$AI60),$D60/$AI60,0)</f>
        <v/>
      </c>
      <c r="H56" s="307">
        <f>IF(AND(H$2&gt;=$AH57,H$2&lt;$AH57+$AI57),$D57/$AI57,0)+IF(AND(H$2&gt;=$AH58,H$2&lt;$AH58+$AI58),$D58/$AI58,0)+IF(AND(H$2&gt;=$AH59,H$2&lt;$AH59+$AI59),$D59/$AI59,0)+IF(AND(H$2&gt;=$AH60,H$2&lt;$AH60+$AI60),$D60/$AI60,0)</f>
        <v/>
      </c>
      <c r="I56" s="307">
        <f>IF(AND(I$2&gt;=$AH57,I$2&lt;$AH57+$AI57),$D57/$AI57,0)+IF(AND(I$2&gt;=$AH58,I$2&lt;$AH58+$AI58),$D58/$AI58,0)+IF(AND(I$2&gt;=$AH59,I$2&lt;$AH59+$AI59),$D59/$AI59,0)+IF(AND(I$2&gt;=$AH60,I$2&lt;$AH60+$AI60),$D60/$AI60,0)</f>
        <v/>
      </c>
      <c r="J56" s="307">
        <f>IF(AND(J$2&gt;=$AH57,J$2&lt;$AH57+$AI57),$D57/$AI57,0)+IF(AND(J$2&gt;=$AH58,J$2&lt;$AH58+$AI58),$D58/$AI58,0)+IF(AND(J$2&gt;=$AH59,J$2&lt;$AH59+$AI59),$D59/$AI59,0)+IF(AND(J$2&gt;=$AH60,J$2&lt;$AH60+$AI60),$D60/$AI60,0)</f>
        <v/>
      </c>
      <c r="K56" s="307">
        <f>IF(AND(K$2&gt;=$AH57,K$2&lt;$AH57+$AI57),$D57/$AI57,0)+IF(AND(K$2&gt;=$AH58,K$2&lt;$AH58+$AI58),$D58/$AI58,0)+IF(AND(K$2&gt;=$AH59,K$2&lt;$AH59+$AI59),$D59/$AI59,0)+IF(AND(K$2&gt;=$AH60,K$2&lt;$AH60+$AI60),$D60/$AI60,0)</f>
        <v/>
      </c>
      <c r="L56" s="307">
        <f>IF(AND(L$2&gt;=$AH57,L$2&lt;$AH57+$AI57),$D57/$AI57,0)+IF(AND(L$2&gt;=$AH58,L$2&lt;$AH58+$AI58),$D58/$AI58,0)+IF(AND(L$2&gt;=$AH59,L$2&lt;$AH59+$AI59),$D59/$AI59,0)+IF(AND(L$2&gt;=$AH60,L$2&lt;$AH60+$AI60),$D60/$AI60,0)</f>
        <v/>
      </c>
      <c r="M56" s="307">
        <f>IF(AND(M$2&gt;=$AH57,M$2&lt;$AH57+$AI57),$D57/$AI57,0)+IF(AND(M$2&gt;=$AH58,M$2&lt;$AH58+$AI58),$D58/$AI58,0)+IF(AND(M$2&gt;=$AH59,M$2&lt;$AH59+$AI59),$D59/$AI59,0)+IF(AND(M$2&gt;=$AH60,M$2&lt;$AH60+$AI60),$D60/$AI60,0)</f>
        <v/>
      </c>
      <c r="N56" s="307">
        <f>IF(AND(N$2&gt;=$AH57,N$2&lt;$AH57+$AI57),$D57/$AI57,0)+IF(AND(N$2&gt;=$AH58,N$2&lt;$AH58+$AI58),$D58/$AI58,0)+IF(AND(N$2&gt;=$AH59,N$2&lt;$AH59+$AI59),$D59/$AI59,0)+IF(AND(N$2&gt;=$AH60,N$2&lt;$AH60+$AI60),$D60/$AI60,0)</f>
        <v/>
      </c>
      <c r="O56" s="307">
        <f>IF(AND(O$2&gt;=$AH57,O$2&lt;$AH57+$AI57),$D57/$AI57,0)+IF(AND(O$2&gt;=$AH58,O$2&lt;$AH58+$AI58),$D58/$AI58,0)+IF(AND(O$2&gt;=$AH59,O$2&lt;$AH59+$AI59),$D59/$AI59,0)+IF(AND(O$2&gt;=$AH60,O$2&lt;$AH60+$AI60),$D60/$AI60,0)</f>
        <v/>
      </c>
      <c r="P56" s="307">
        <f>IF(AND(P$2&gt;=$AH57,P$2&lt;$AH57+$AI57),$D57/$AI57,0)+IF(AND(P$2&gt;=$AH58,P$2&lt;$AH58+$AI58),$D58/$AI58,0)+IF(AND(P$2&gt;=$AH59,P$2&lt;$AH59+$AI59),$D59/$AI59,0)+IF(AND(P$2&gt;=$AH60,P$2&lt;$AH60+$AI60),$D60/$AI60,0)</f>
        <v/>
      </c>
      <c r="Q56" s="312">
        <f>IF(AND(Q$2&gt;=$AH57,Q$2&lt;$AH57+$AI57),$D57/$AI57,0)+IF(AND(Q$2&gt;=$AH58,Q$2&lt;$AH58+$AI58),$D58/$AI58,0)+IF(AND(Q$2&gt;=$AH59,Q$2&lt;$AH59+$AI59),$D59/$AI59,0)+IF(AND(Q$2&gt;=$AH60,Q$2&lt;$AH60+$AI60),$D60/$AI60,0)</f>
        <v/>
      </c>
      <c r="R56" s="312">
        <f>IF(AND(R$2&gt;=$AH57,R$2&lt;$AH57+$AI57),$D57/$AI57,0)+IF(AND(R$2&gt;=$AH58,R$2&lt;$AH58+$AI58),$D58/$AI58,0)+IF(AND(R$2&gt;=$AH59,R$2&lt;$AH59+$AI59),$D59/$AI59,0)+IF(AND(R$2&gt;=$AH60,R$2&lt;$AH60+$AI60),$D60/$AI60,0)</f>
        <v/>
      </c>
      <c r="S56" s="312">
        <f>IF(AND(S$2&gt;=$AH57,S$2&lt;$AH57+$AI57),$D57/$AI57,0)+IF(AND(S$2&gt;=$AH58,S$2&lt;$AH58+$AI58),$D58/$AI58,0)+IF(AND(S$2&gt;=$AH59,S$2&lt;$AH59+$AI59),$D59/$AI59,0)+IF(AND(S$2&gt;=$AH60,S$2&lt;$AH60+$AI60),$D60/$AI60,0)</f>
        <v/>
      </c>
      <c r="T56" s="312">
        <f>IF(AND(T$2&gt;=$AH57,T$2&lt;$AH57+$AI57),$D57/$AI57,0)+IF(AND(T$2&gt;=$AH58,T$2&lt;$AH58+$AI58),$D58/$AI58,0)+IF(AND(T$2&gt;=$AH59,T$2&lt;$AH59+$AI59),$D59/$AI59,0)+IF(AND(T$2&gt;=$AH60,T$2&lt;$AH60+$AI60),$D60/$AI60,0)</f>
        <v/>
      </c>
      <c r="U56" s="312">
        <f>IF(AND(U$2&gt;=$AH57,U$2&lt;$AH57+$AI57),$D57/$AI57,0)+IF(AND(U$2&gt;=$AH58,U$2&lt;$AH58+$AI58),$D58/$AI58,0)+IF(AND(U$2&gt;=$AH59,U$2&lt;$AH59+$AI59),$D59/$AI59,0)+IF(AND(U$2&gt;=$AH60,U$2&lt;$AH60+$AI60),$D60/$AI60,0)</f>
        <v/>
      </c>
      <c r="V56" s="312">
        <f>IF(AND(V$2&gt;=$AH57,V$2&lt;$AH57+$AI57),$D57/$AI57,0)+IF(AND(V$2&gt;=$AH58,V$2&lt;$AH58+$AI58),$D58/$AI58,0)+IF(AND(V$2&gt;=$AH59,V$2&lt;$AH59+$AI59),$D59/$AI59,0)+IF(AND(V$2&gt;=$AH60,V$2&lt;$AH60+$AI60),$D60/$AI60,0)</f>
        <v/>
      </c>
      <c r="W56" s="312">
        <f>IF(AND(W$2&gt;=$AH57,W$2&lt;$AH57+$AI57),$D57/$AI57,0)+IF(AND(W$2&gt;=$AH58,W$2&lt;$AH58+$AI58),$D58/$AI58,0)+IF(AND(W$2&gt;=$AH59,W$2&lt;$AH59+$AI59),$D59/$AI59,0)+IF(AND(W$2&gt;=$AH60,W$2&lt;$AH60+$AI60),$D60/$AI60,0)</f>
        <v/>
      </c>
      <c r="X56" s="312">
        <f>IF(AND(X$2&gt;=$AH57,X$2&lt;$AH57+$AI57),$D57/$AI57,0)+IF(AND(X$2&gt;=$AH58,X$2&lt;$AH58+$AI58),$D58/$AI58,0)+IF(AND(X$2&gt;=$AH59,X$2&lt;$AH59+$AI59),$D59/$AI59,0)+IF(AND(X$2&gt;=$AH60,X$2&lt;$AH60+$AI60),$D60/$AI60,0)</f>
        <v/>
      </c>
      <c r="Y56" s="312">
        <f>IF(AND(Y$2&gt;=$AH57,Y$2&lt;$AH57+$AI57),$D57/$AI57,0)+IF(AND(Y$2&gt;=$AH58,Y$2&lt;$AH58+$AI58),$D58/$AI58,0)+IF(AND(Y$2&gt;=$AH59,Y$2&lt;$AH59+$AI59),$D59/$AI59,0)+IF(AND(Y$2&gt;=$AH60,Y$2&lt;$AH60+$AI60),$D60/$AI60,0)</f>
        <v/>
      </c>
      <c r="Z56" s="312">
        <f>IF(AND(Z$2&gt;=$AH57,Z$2&lt;$AH57+$AI57),$D57/$AI57,0)+IF(AND(Z$2&gt;=$AH58,Z$2&lt;$AH58+$AI58),$D58/$AI58,0)+IF(AND(Z$2&gt;=$AH59,Z$2&lt;$AH59+$AI59),$D59/$AI59,0)+IF(AND(Z$2&gt;=$AH60,Z$2&lt;$AH60+$AI60),$D60/$AI60,0)</f>
        <v/>
      </c>
      <c r="AA56" s="312">
        <f>IF(AND(AA$2&gt;=$AH57,AA$2&lt;$AH57+$AI57),$D57/$AI57,0)+IF(AND(AA$2&gt;=$AH58,AA$2&lt;$AH58+$AI58),$D58/$AI58,0)+IF(AND(AA$2&gt;=$AH59,AA$2&lt;$AH59+$AI59),$D59/$AI59,0)+IF(AND(AA$2&gt;=$AH60,AA$2&lt;$AH60+$AI60),$D60/$AI60,0)</f>
        <v/>
      </c>
      <c r="AB56" s="312">
        <f>IF(AND(AB$2&gt;=$AH57,AB$2&lt;$AH57+$AI57),$D57/$AI57,0)+IF(AND(AB$2&gt;=$AH58,AB$2&lt;$AH58+$AI58),$D58/$AI58,0)+IF(AND(AB$2&gt;=$AH59,AB$2&lt;$AH59+$AI59),$D59/$AI59,0)+IF(AND(AB$2&gt;=$AH60,AB$2&lt;$AH60+$AI60),$D60/$AI60,0)</f>
        <v/>
      </c>
      <c r="AC56" s="313">
        <f>IF(AND(AC$2&gt;=$AH57,AC$2&lt;$AH57+$AI57),$D57/$AI57,0)+IF(AND(AC$2&gt;=$AH58,AC$2&lt;$AH58+$AI58),$D58/$AI58,0)+IF(AND(AC$2&gt;=$AH59,AC$2&lt;$AH59+$AI59),$D59/$AI59,0)+IF(AND(AC$2&gt;=$AH60,AC$2&lt;$AH60+$AI60),$D60/$AI60,0)</f>
        <v/>
      </c>
      <c r="AD56" s="314">
        <f>IF(AND(AD$2&gt;=$AH57,AD$2&lt;$AH57+$AI57),$D57/$AI57,0)+IF(AND(AD$2&gt;=$AH58,AD$2&lt;$AH58+$AI58),$D58/$AI58,0)+IF(AND(AD$2&gt;=$AH59,AD$2&lt;$AH59+$AI59),$D59/$AI59,0)+IF(AND(AD$2&gt;=$AH60,AD$2&lt;$AH60+$AI60),$D60/$AI60,0)</f>
        <v/>
      </c>
      <c r="AE56" s="315">
        <f>IF(AND(AE$2&gt;=$AH57,AE$2&lt;$AH57+$AI57),$D57/$AI57,0)+IF(AND(AE$2&gt;=$AH58,AE$2&lt;$AH58+$AI58),$D58/$AI58,0)+IF(AND(AE$2&gt;=$AH59,AE$2&lt;$AH59+$AI59),$D59/$AI59,0)+IF(AND(AE$2&gt;=$AH60,AE$2&lt;$AH60+$AI60),$D60/$AI60,0)</f>
        <v/>
      </c>
      <c r="AF56" s="316">
        <f>SUM(E56:AE56)</f>
        <v/>
      </c>
    </row>
    <row r="57" ht="28.2" customHeight="1">
      <c r="A57" s="88" t="n"/>
      <c r="B57" s="100" t="inlineStr">
        <is>
          <t>(0%) Start of Fifth Floor Structure</t>
        </is>
      </c>
      <c r="C57" s="101" t="n">
        <v>0.3</v>
      </c>
      <c r="D57" s="317">
        <f>C57*$D$56</f>
        <v/>
      </c>
      <c r="E57" s="310" t="n"/>
      <c r="F57" s="307" t="n"/>
      <c r="G57" s="307" t="n"/>
      <c r="H57" s="307" t="n"/>
      <c r="I57" s="307" t="n"/>
      <c r="J57" s="307" t="n"/>
      <c r="K57" s="307" t="n"/>
      <c r="L57" s="307" t="n"/>
      <c r="M57" s="307" t="n"/>
      <c r="N57" s="307" t="n"/>
      <c r="O57" s="307" t="n"/>
      <c r="P57" s="307" t="n"/>
      <c r="Q57" s="312" t="n"/>
      <c r="R57" s="312" t="n"/>
      <c r="S57" s="312" t="n"/>
      <c r="T57" s="312" t="n"/>
      <c r="U57" s="312" t="n"/>
      <c r="V57" s="312" t="n"/>
      <c r="W57" s="312" t="n"/>
      <c r="X57" s="312" t="n"/>
      <c r="Y57" s="312" t="n"/>
      <c r="Z57" s="312" t="n"/>
      <c r="AA57" s="312" t="n"/>
      <c r="AB57" s="312" t="n"/>
      <c r="AC57" s="313" t="n"/>
      <c r="AD57" s="314" t="n"/>
      <c r="AE57" s="315" t="n"/>
      <c r="AF57" s="316" t="n"/>
      <c r="AH57" s="308" t="n">
        <v>15</v>
      </c>
      <c r="AI57" s="308" t="n">
        <v>2</v>
      </c>
    </row>
    <row r="58" ht="28.2" customHeight="1">
      <c r="A58" s="88" t="n"/>
      <c r="B58" s="100" t="inlineStr">
        <is>
          <t>(100%) Completion of Structure</t>
        </is>
      </c>
      <c r="C58" s="101" t="n">
        <v>0.2</v>
      </c>
      <c r="D58" s="317">
        <f>C58*$D$56</f>
        <v/>
      </c>
      <c r="E58" s="310" t="n"/>
      <c r="F58" s="307" t="n"/>
      <c r="G58" s="307" t="n"/>
      <c r="H58" s="307" t="n"/>
      <c r="I58" s="307" t="n"/>
      <c r="J58" s="307" t="n"/>
      <c r="K58" s="307" t="n"/>
      <c r="L58" s="307" t="n"/>
      <c r="M58" s="307" t="n"/>
      <c r="N58" s="307" t="n"/>
      <c r="O58" s="307" t="n"/>
      <c r="P58" s="307" t="n"/>
      <c r="Q58" s="312" t="n"/>
      <c r="R58" s="312" t="n"/>
      <c r="S58" s="312" t="n"/>
      <c r="T58" s="312" t="n"/>
      <c r="U58" s="312" t="n"/>
      <c r="V58" s="312" t="n"/>
      <c r="W58" s="312" t="n"/>
      <c r="X58" s="312" t="n"/>
      <c r="Y58" s="312" t="n"/>
      <c r="Z58" s="312" t="n"/>
      <c r="AA58" s="312" t="n"/>
      <c r="AB58" s="312" t="n"/>
      <c r="AC58" s="313" t="n"/>
      <c r="AD58" s="314" t="n"/>
      <c r="AE58" s="315" t="n"/>
      <c r="AF58" s="316" t="n"/>
      <c r="AH58" s="308" t="n">
        <v>17</v>
      </c>
      <c r="AI58" s="308" t="n">
        <v>1</v>
      </c>
    </row>
    <row r="59" ht="28.2" customHeight="1">
      <c r="A59" s="88" t="n"/>
      <c r="B59" s="100" t="inlineStr">
        <is>
          <t>(0%) Start of Finishings and MEP</t>
        </is>
      </c>
      <c r="C59" s="101" t="n">
        <v>0.3</v>
      </c>
      <c r="D59" s="317">
        <f>C59*$D$56</f>
        <v/>
      </c>
      <c r="E59" s="310" t="n"/>
      <c r="F59" s="307" t="n"/>
      <c r="G59" s="307" t="n"/>
      <c r="H59" s="307" t="n"/>
      <c r="I59" s="307" t="n"/>
      <c r="J59" s="307" t="n"/>
      <c r="K59" s="307" t="n"/>
      <c r="L59" s="307" t="n"/>
      <c r="M59" s="307" t="n"/>
      <c r="N59" s="307" t="n"/>
      <c r="O59" s="307" t="n"/>
      <c r="P59" s="307" t="n"/>
      <c r="Q59" s="312" t="n"/>
      <c r="R59" s="312" t="n"/>
      <c r="S59" s="312" t="n"/>
      <c r="T59" s="312" t="n"/>
      <c r="U59" s="312" t="n"/>
      <c r="V59" s="312" t="n"/>
      <c r="W59" s="312" t="n"/>
      <c r="X59" s="312" t="n"/>
      <c r="Y59" s="312" t="n"/>
      <c r="Z59" s="312" t="n"/>
      <c r="AA59" s="312" t="n"/>
      <c r="AB59" s="312" t="n"/>
      <c r="AC59" s="313" t="n"/>
      <c r="AD59" s="314" t="n"/>
      <c r="AE59" s="315" t="n"/>
      <c r="AF59" s="316" t="n"/>
      <c r="AH59" s="308" t="n">
        <v>18</v>
      </c>
      <c r="AI59" s="308" t="n">
        <v>3</v>
      </c>
    </row>
    <row r="60" ht="28.2" customHeight="1">
      <c r="A60" s="88" t="n"/>
      <c r="B60" s="100" t="inlineStr">
        <is>
          <t>(100%) Completion of Finishings and MEP</t>
        </is>
      </c>
      <c r="C60" s="101" t="n">
        <v>0.2</v>
      </c>
      <c r="D60" s="317">
        <f>C60*$D$56</f>
        <v/>
      </c>
      <c r="E60" s="310" t="n"/>
      <c r="F60" s="307" t="n"/>
      <c r="G60" s="307" t="n"/>
      <c r="H60" s="307" t="n"/>
      <c r="I60" s="307" t="n"/>
      <c r="J60" s="307" t="n"/>
      <c r="K60" s="307" t="n"/>
      <c r="L60" s="307" t="n"/>
      <c r="M60" s="307" t="n"/>
      <c r="N60" s="307" t="n"/>
      <c r="O60" s="307" t="n"/>
      <c r="P60" s="307" t="n"/>
      <c r="Q60" s="312" t="n"/>
      <c r="R60" s="312" t="n"/>
      <c r="S60" s="312" t="n"/>
      <c r="T60" s="312" t="n"/>
      <c r="U60" s="312" t="n"/>
      <c r="V60" s="312" t="n"/>
      <c r="W60" s="312" t="n"/>
      <c r="X60" s="312" t="n"/>
      <c r="Y60" s="312" t="n"/>
      <c r="Z60" s="312" t="n"/>
      <c r="AA60" s="312" t="n"/>
      <c r="AB60" s="312" t="n"/>
      <c r="AC60" s="313" t="n"/>
      <c r="AD60" s="314" t="n"/>
      <c r="AE60" s="315" t="n"/>
      <c r="AF60" s="316" t="n"/>
      <c r="AH60" s="308" t="n">
        <v>21</v>
      </c>
      <c r="AI60" s="308" t="n">
        <v>2</v>
      </c>
    </row>
    <row r="61" ht="28.2" customHeight="1">
      <c r="A61" s="88" t="n"/>
      <c r="B61" s="85" t="n"/>
      <c r="C61" s="74" t="n"/>
      <c r="D61" s="300" t="n"/>
      <c r="E61" s="310" t="n"/>
      <c r="F61" s="307" t="n"/>
      <c r="G61" s="307" t="n"/>
      <c r="H61" s="307" t="n"/>
      <c r="I61" s="307" t="n"/>
      <c r="J61" s="307" t="n"/>
      <c r="K61" s="307" t="n"/>
      <c r="L61" s="307" t="n"/>
      <c r="M61" s="307" t="n"/>
      <c r="N61" s="307" t="n"/>
      <c r="O61" s="307" t="n"/>
      <c r="P61" s="307" t="n"/>
      <c r="Q61" s="312" t="n"/>
      <c r="R61" s="312" t="n"/>
      <c r="S61" s="312" t="n"/>
      <c r="T61" s="312" t="n"/>
      <c r="U61" s="312" t="n"/>
      <c r="V61" s="312" t="n"/>
      <c r="W61" s="312" t="n"/>
      <c r="X61" s="312" t="n"/>
      <c r="Y61" s="312" t="n"/>
      <c r="Z61" s="312" t="n"/>
      <c r="AA61" s="312" t="n"/>
      <c r="AB61" s="312" t="n"/>
      <c r="AC61" s="313" t="n"/>
      <c r="AD61" s="314" t="n"/>
      <c r="AE61" s="315" t="n"/>
      <c r="AF61" s="316" t="n"/>
    </row>
    <row r="62" ht="27.6" customHeight="1">
      <c r="A62" s="88" t="inlineStr">
        <is>
          <t>M</t>
        </is>
      </c>
      <c r="B62" s="89">
        <f>'GEN SUMMARY.'!B27</f>
        <v/>
      </c>
      <c r="C62" s="90" t="n"/>
      <c r="D62" s="311">
        <f>'GEN SUMMARY.'!E27</f>
        <v/>
      </c>
      <c r="E62" s="310">
        <f>IF(AND(E$2&gt;=$AH63,E$2&lt;$AH63+$AI63),$D63/$AI63,0)+IF(AND(E$2&gt;=$AH64,E$2&lt;$AH64+$AI64),$D64/$AI64,0)+IF(AND(E$2&gt;=$AH65,E$2&lt;$AH65+$AI65),$D65/$AI65,0)</f>
        <v/>
      </c>
      <c r="F62" s="307">
        <f>IF(AND(F$2&gt;=$AH63,F$2&lt;$AH63+$AI63),$D63/$AI63,0)+IF(AND(F$2&gt;=$AH64,F$2&lt;$AH64+$AI64),$D64/$AI64,0)+IF(AND(F$2&gt;=$AH65,F$2&lt;$AH65+$AI65),$D65/$AI65,0)</f>
        <v/>
      </c>
      <c r="G62" s="307">
        <f>IF(AND(G$2&gt;=$AH63,G$2&lt;$AH63+$AI63),$D63/$AI63,0)+IF(AND(G$2&gt;=$AH64,G$2&lt;$AH64+$AI64),$D64/$AI64,0)+IF(AND(G$2&gt;=$AH65,G$2&lt;$AH65+$AI65),$D65/$AI65,0)</f>
        <v/>
      </c>
      <c r="H62" s="307">
        <f>IF(AND(H$2&gt;=$AH63,H$2&lt;$AH63+$AI63),$D63/$AI63,0)+IF(AND(H$2&gt;=$AH64,H$2&lt;$AH64+$AI64),$D64/$AI64,0)+IF(AND(H$2&gt;=$AH65,H$2&lt;$AH65+$AI65),$D65/$AI65,0)</f>
        <v/>
      </c>
      <c r="I62" s="307">
        <f>IF(AND(I$2&gt;=$AH63,I$2&lt;$AH63+$AI63),$D63/$AI63,0)+IF(AND(I$2&gt;=$AH64,I$2&lt;$AH64+$AI64),$D64/$AI64,0)+IF(AND(I$2&gt;=$AH65,I$2&lt;$AH65+$AI65),$D65/$AI65,0)</f>
        <v/>
      </c>
      <c r="J62" s="307">
        <f>IF(AND(J$2&gt;=$AH63,J$2&lt;$AH63+$AI63),$D63/$AI63,0)+IF(AND(J$2&gt;=$AH64,J$2&lt;$AH64+$AI64),$D64/$AI64,0)+IF(AND(J$2&gt;=$AH65,J$2&lt;$AH65+$AI65),$D65/$AI65,0)</f>
        <v/>
      </c>
      <c r="K62" s="307">
        <f>IF(AND(K$2&gt;=$AH63,K$2&lt;$AH63+$AI63),$D63/$AI63,0)+IF(AND(K$2&gt;=$AH64,K$2&lt;$AH64+$AI64),$D64/$AI64,0)+IF(AND(K$2&gt;=$AH65,K$2&lt;$AH65+$AI65),$D65/$AI65,0)</f>
        <v/>
      </c>
      <c r="L62" s="307">
        <f>IF(AND(L$2&gt;=$AH63,L$2&lt;$AH63+$AI63),$D63/$AI63,0)+IF(AND(L$2&gt;=$AH64,L$2&lt;$AH64+$AI64),$D64/$AI64,0)+IF(AND(L$2&gt;=$AH65,L$2&lt;$AH65+$AI65),$D65/$AI65,0)</f>
        <v/>
      </c>
      <c r="M62" s="307">
        <f>IF(AND(M$2&gt;=$AH63,M$2&lt;$AH63+$AI63),$D63/$AI63,0)+IF(AND(M$2&gt;=$AH64,M$2&lt;$AH64+$AI64),$D64/$AI64,0)+IF(AND(M$2&gt;=$AH65,M$2&lt;$AH65+$AI65),$D65/$AI65,0)</f>
        <v/>
      </c>
      <c r="N62" s="307">
        <f>IF(AND(N$2&gt;=$AH63,N$2&lt;$AH63+$AI63),$D63/$AI63,0)+IF(AND(N$2&gt;=$AH64,N$2&lt;$AH64+$AI64),$D64/$AI64,0)+IF(AND(N$2&gt;=$AH65,N$2&lt;$AH65+$AI65),$D65/$AI65,0)</f>
        <v/>
      </c>
      <c r="O62" s="307">
        <f>IF(AND(O$2&gt;=$AH63,O$2&lt;$AH63+$AI63),$D63/$AI63,0)+IF(AND(O$2&gt;=$AH64,O$2&lt;$AH64+$AI64),$D64/$AI64,0)+IF(AND(O$2&gt;=$AH65,O$2&lt;$AH65+$AI65),$D65/$AI65,0)</f>
        <v/>
      </c>
      <c r="P62" s="307">
        <f>IF(AND(P$2&gt;=$AH63,P$2&lt;$AH63+$AI63),$D63/$AI63,0)+IF(AND(P$2&gt;=$AH64,P$2&lt;$AH64+$AI64),$D64/$AI64,0)+IF(AND(P$2&gt;=$AH65,P$2&lt;$AH65+$AI65),$D65/$AI65,0)</f>
        <v/>
      </c>
      <c r="Q62" s="312">
        <f>IF(AND(Q$2&gt;=$AH63,Q$2&lt;$AH63+$AI63),$D63/$AI63,0)+IF(AND(Q$2&gt;=$AH64,Q$2&lt;$AH64+$AI64),$D64/$AI64,0)+IF(AND(Q$2&gt;=$AH65,Q$2&lt;$AH65+$AI65),$D65/$AI65,0)</f>
        <v/>
      </c>
      <c r="R62" s="312">
        <f>IF(AND(R$2&gt;=$AH63,R$2&lt;$AH63+$AI63),$D63/$AI63,0)+IF(AND(R$2&gt;=$AH64,R$2&lt;$AH64+$AI64),$D64/$AI64,0)+IF(AND(R$2&gt;=$AH65,R$2&lt;$AH65+$AI65),$D65/$AI65,0)</f>
        <v/>
      </c>
      <c r="S62" s="312">
        <f>IF(AND(S$2&gt;=$AH63,S$2&lt;$AH63+$AI63),$D63/$AI63,0)+IF(AND(S$2&gt;=$AH64,S$2&lt;$AH64+$AI64),$D64/$AI64,0)+IF(AND(S$2&gt;=$AH65,S$2&lt;$AH65+$AI65),$D65/$AI65,0)</f>
        <v/>
      </c>
      <c r="T62" s="312">
        <f>IF(AND(T$2&gt;=$AH63,T$2&lt;$AH63+$AI63),$D63/$AI63,0)+IF(AND(T$2&gt;=$AH64,T$2&lt;$AH64+$AI64),$D64/$AI64,0)+IF(AND(T$2&gt;=$AH65,T$2&lt;$AH65+$AI65),$D65/$AI65,0)</f>
        <v/>
      </c>
      <c r="U62" s="312">
        <f>IF(AND(U$2&gt;=$AH63,U$2&lt;$AH63+$AI63),$D63/$AI63,0)+IF(AND(U$2&gt;=$AH64,U$2&lt;$AH64+$AI64),$D64/$AI64,0)+IF(AND(U$2&gt;=$AH65,U$2&lt;$AH65+$AI65),$D65/$AI65,0)</f>
        <v/>
      </c>
      <c r="V62" s="312">
        <f>IF(AND(V$2&gt;=$AH63,V$2&lt;$AH63+$AI63),$D63/$AI63,0)+IF(AND(V$2&gt;=$AH64,V$2&lt;$AH64+$AI64),$D64/$AI64,0)+IF(AND(V$2&gt;=$AH65,V$2&lt;$AH65+$AI65),$D65/$AI65,0)</f>
        <v/>
      </c>
      <c r="W62" s="312">
        <f>IF(AND(W$2&gt;=$AH63,W$2&lt;$AH63+$AI63),$D63/$AI63,0)+IF(AND(W$2&gt;=$AH64,W$2&lt;$AH64+$AI64),$D64/$AI64,0)+IF(AND(W$2&gt;=$AH65,W$2&lt;$AH65+$AI65),$D65/$AI65,0)</f>
        <v/>
      </c>
      <c r="X62" s="312">
        <f>IF(AND(X$2&gt;=$AH63,X$2&lt;$AH63+$AI63),$D63/$AI63,0)+IF(AND(X$2&gt;=$AH64,X$2&lt;$AH64+$AI64),$D64/$AI64,0)+IF(AND(X$2&gt;=$AH65,X$2&lt;$AH65+$AI65),$D65/$AI65,0)</f>
        <v/>
      </c>
      <c r="Y62" s="312">
        <f>IF(AND(Y$2&gt;=$AH63,Y$2&lt;$AH63+$AI63),$D63/$AI63,0)+IF(AND(Y$2&gt;=$AH64,Y$2&lt;$AH64+$AI64),$D64/$AI64,0)+IF(AND(Y$2&gt;=$AH65,Y$2&lt;$AH65+$AI65),$D65/$AI65,0)</f>
        <v/>
      </c>
      <c r="Z62" s="312">
        <f>IF(AND(Z$2&gt;=$AH63,Z$2&lt;$AH63+$AI63),$D63/$AI63,0)+IF(AND(Z$2&gt;=$AH64,Z$2&lt;$AH64+$AI64),$D64/$AI64,0)+IF(AND(Z$2&gt;=$AH65,Z$2&lt;$AH65+$AI65),$D65/$AI65,0)</f>
        <v/>
      </c>
      <c r="AA62" s="312">
        <f>IF(AND(AA$2&gt;=$AH63,AA$2&lt;$AH63+$AI63),$D63/$AI63,0)+IF(AND(AA$2&gt;=$AH64,AA$2&lt;$AH64+$AI64),$D64/$AI64,0)+IF(AND(AA$2&gt;=$AH65,AA$2&lt;$AH65+$AI65),$D65/$AI65,0)</f>
        <v/>
      </c>
      <c r="AB62" s="312">
        <f>IF(AND(AB$2&gt;=$AH63,AB$2&lt;$AH63+$AI63),$D63/$AI63,0)+IF(AND(AB$2&gt;=$AH64,AB$2&lt;$AH64+$AI64),$D64/$AI64,0)+IF(AND(AB$2&gt;=$AH65,AB$2&lt;$AH65+$AI65),$D65/$AI65,0)</f>
        <v/>
      </c>
      <c r="AC62" s="313">
        <f>IF(AND(AC$2&gt;=$AH63,AC$2&lt;$AH63+$AI63),$D63/$AI63,0)+IF(AND(AC$2&gt;=$AH64,AC$2&lt;$AH64+$AI64),$D64/$AI64,0)+IF(AND(AC$2&gt;=$AH65,AC$2&lt;$AH65+$AI65),$D65/$AI65,0)</f>
        <v/>
      </c>
      <c r="AD62" s="314">
        <f>IF(AND(AD$2&gt;=$AH63,AD$2&lt;$AH63+$AI63),$D63/$AI63,0)+IF(AND(AD$2&gt;=$AH64,AD$2&lt;$AH64+$AI64),$D64/$AI64,0)+IF(AND(AD$2&gt;=$AH65,AD$2&lt;$AH65+$AI65),$D65/$AI65,0)</f>
        <v/>
      </c>
      <c r="AE62" s="315">
        <f>IF(AND(AE$2&gt;=$AH63,AE$2&lt;$AH63+$AI63),$D63/$AI63,0)+IF(AND(AE$2&gt;=$AH64,AE$2&lt;$AH64+$AI64),$D64/$AI64,0)+IF(AND(AE$2&gt;=$AH65,AE$2&lt;$AH65+$AI65),$D65/$AI65,0)</f>
        <v/>
      </c>
      <c r="AF62" s="316">
        <f>SUM(E62:AE62)</f>
        <v/>
      </c>
    </row>
    <row r="63" ht="28.2" customHeight="1">
      <c r="A63" s="88" t="n"/>
      <c r="B63" s="100" t="inlineStr">
        <is>
          <t>(0%) Start of Kitchen Cabinetry/Wall Cladding works</t>
        </is>
      </c>
      <c r="C63" s="101" t="n">
        <v>0.7</v>
      </c>
      <c r="D63" s="317">
        <f>C63*$D$62</f>
        <v/>
      </c>
      <c r="E63" s="310" t="n"/>
      <c r="F63" s="307" t="n"/>
      <c r="G63" s="307" t="n"/>
      <c r="H63" s="307" t="n"/>
      <c r="I63" s="307" t="n"/>
      <c r="J63" s="307" t="n"/>
      <c r="K63" s="307" t="n"/>
      <c r="L63" s="307" t="n"/>
      <c r="M63" s="307" t="n"/>
      <c r="N63" s="307" t="n"/>
      <c r="O63" s="307" t="n"/>
      <c r="P63" s="307" t="n"/>
      <c r="Q63" s="312" t="n"/>
      <c r="R63" s="312" t="n"/>
      <c r="S63" s="312" t="n"/>
      <c r="T63" s="312" t="n"/>
      <c r="U63" s="312" t="n"/>
      <c r="V63" s="312" t="n"/>
      <c r="W63" s="312" t="n"/>
      <c r="X63" s="312" t="n"/>
      <c r="Y63" s="312" t="n"/>
      <c r="Z63" s="312" t="n"/>
      <c r="AA63" s="312" t="n"/>
      <c r="AB63" s="312" t="n"/>
      <c r="AC63" s="313" t="n"/>
      <c r="AD63" s="314" t="n"/>
      <c r="AE63" s="315" t="n"/>
      <c r="AF63" s="316" t="n"/>
      <c r="AH63" s="308" t="n">
        <v>16</v>
      </c>
      <c r="AI63" s="308" t="n">
        <v>1</v>
      </c>
    </row>
    <row r="64" ht="28.2" customHeight="1">
      <c r="A64" s="88" t="n"/>
      <c r="B64" s="100" t="inlineStr">
        <is>
          <t>100% of works fabricated</t>
        </is>
      </c>
      <c r="C64" s="101" t="n">
        <v>0.2</v>
      </c>
      <c r="D64" s="317">
        <f>C64*$D$62</f>
        <v/>
      </c>
      <c r="E64" s="310" t="n"/>
      <c r="F64" s="307" t="n"/>
      <c r="G64" s="307" t="n"/>
      <c r="H64" s="307" t="n"/>
      <c r="I64" s="307" t="n"/>
      <c r="J64" s="307" t="n"/>
      <c r="K64" s="307" t="n"/>
      <c r="L64" s="307" t="n"/>
      <c r="M64" s="307" t="n"/>
      <c r="N64" s="307" t="n"/>
      <c r="O64" s="307" t="n"/>
      <c r="P64" s="307" t="n"/>
      <c r="Q64" s="312" t="n"/>
      <c r="R64" s="312" t="n"/>
      <c r="S64" s="312" t="n"/>
      <c r="T64" s="312" t="n"/>
      <c r="U64" s="312" t="n"/>
      <c r="V64" s="312" t="n"/>
      <c r="W64" s="312" t="n"/>
      <c r="X64" s="312" t="n"/>
      <c r="Y64" s="312" t="n"/>
      <c r="Z64" s="312" t="n"/>
      <c r="AA64" s="312" t="n"/>
      <c r="AB64" s="312" t="n"/>
      <c r="AC64" s="313" t="n"/>
      <c r="AD64" s="314" t="n"/>
      <c r="AE64" s="315" t="n"/>
      <c r="AF64" s="316" t="n"/>
      <c r="AH64" s="308" t="n">
        <v>19</v>
      </c>
      <c r="AI64" s="308" t="n">
        <v>2</v>
      </c>
    </row>
    <row r="65" ht="28.2" customHeight="1">
      <c r="A65" s="88" t="n"/>
      <c r="B65" s="100" t="inlineStr">
        <is>
          <t>100% of works installed on site</t>
        </is>
      </c>
      <c r="C65" s="101" t="n">
        <v>0.1</v>
      </c>
      <c r="D65" s="317">
        <f>C65*$D$62</f>
        <v/>
      </c>
      <c r="E65" s="310" t="n"/>
      <c r="F65" s="307" t="n"/>
      <c r="G65" s="307" t="n"/>
      <c r="H65" s="307" t="n"/>
      <c r="I65" s="307" t="n"/>
      <c r="J65" s="307" t="n"/>
      <c r="K65" s="307" t="n"/>
      <c r="L65" s="307" t="n"/>
      <c r="M65" s="307" t="n"/>
      <c r="N65" s="307" t="n"/>
      <c r="O65" s="307" t="n"/>
      <c r="P65" s="307" t="n"/>
      <c r="Q65" s="312" t="n"/>
      <c r="R65" s="312" t="n"/>
      <c r="S65" s="312" t="n"/>
      <c r="T65" s="312" t="n"/>
      <c r="U65" s="312" t="n"/>
      <c r="V65" s="312" t="n"/>
      <c r="W65" s="312" t="n"/>
      <c r="X65" s="312" t="n"/>
      <c r="Y65" s="312" t="n"/>
      <c r="Z65" s="312" t="n"/>
      <c r="AA65" s="312" t="n"/>
      <c r="AB65" s="312" t="n"/>
      <c r="AC65" s="313" t="n"/>
      <c r="AD65" s="314" t="n"/>
      <c r="AE65" s="315" t="n"/>
      <c r="AF65" s="316" t="n"/>
      <c r="AH65" s="308" t="n">
        <v>22</v>
      </c>
      <c r="AI65" s="308" t="n">
        <v>1</v>
      </c>
    </row>
    <row r="66" ht="28.2" customHeight="1">
      <c r="A66" s="88" t="n"/>
      <c r="B66" s="85" t="n"/>
      <c r="C66" s="74" t="n"/>
      <c r="D66" s="300" t="n"/>
      <c r="E66" s="310" t="n"/>
      <c r="F66" s="307" t="n"/>
      <c r="G66" s="307" t="n"/>
      <c r="H66" s="307" t="n"/>
      <c r="I66" s="307" t="n"/>
      <c r="J66" s="307" t="n"/>
      <c r="K66" s="307" t="n"/>
      <c r="L66" s="307" t="n"/>
      <c r="M66" s="307" t="n"/>
      <c r="N66" s="307" t="n"/>
      <c r="O66" s="307" t="n"/>
      <c r="P66" s="307" t="n"/>
      <c r="Q66" s="312" t="n"/>
      <c r="R66" s="312" t="n"/>
      <c r="S66" s="312" t="n"/>
      <c r="T66" s="312" t="n"/>
      <c r="U66" s="312" t="n"/>
      <c r="V66" s="312" t="n"/>
      <c r="W66" s="312" t="n"/>
      <c r="X66" s="312" t="n"/>
      <c r="Y66" s="312" t="n"/>
      <c r="Z66" s="312" t="n"/>
      <c r="AA66" s="312" t="n"/>
      <c r="AB66" s="312" t="n"/>
      <c r="AC66" s="313" t="n"/>
      <c r="AD66" s="314" t="n"/>
      <c r="AE66" s="315" t="n"/>
      <c r="AF66" s="316" t="n"/>
    </row>
    <row r="67" ht="27.6" customHeight="1">
      <c r="A67" s="88" t="inlineStr">
        <is>
          <t>N</t>
        </is>
      </c>
      <c r="B67" s="89">
        <f>'GEN SUMMARY.'!B29</f>
        <v/>
      </c>
      <c r="C67" s="90" t="n"/>
      <c r="D67" s="311">
        <f>'GEN SUMMARY.'!E29</f>
        <v/>
      </c>
      <c r="E67" s="310">
        <f>IF(AND(E$2&gt;=$AH68,E$2&lt;$AH68+$AI68),$D68/$AI68,0)+IF(AND(E$2&gt;=$AH69,E$2&lt;$AH69+$AI69),$D69/$AI69,0)</f>
        <v/>
      </c>
      <c r="F67" s="307">
        <f>IF(AND(F$2&gt;=$AH68,F$2&lt;$AH68+$AI68),$D68/$AI68,0)+IF(AND(F$2&gt;=$AH69,F$2&lt;$AH69+$AI69),$D69/$AI69,0)</f>
        <v/>
      </c>
      <c r="G67" s="307">
        <f>IF(AND(G$2&gt;=$AH68,G$2&lt;$AH68+$AI68),$D68/$AI68,0)+IF(AND(G$2&gt;=$AH69,G$2&lt;$AH69+$AI69),$D69/$AI69,0)</f>
        <v/>
      </c>
      <c r="H67" s="307">
        <f>IF(AND(H$2&gt;=$AH68,H$2&lt;$AH68+$AI68),$D68/$AI68,0)+IF(AND(H$2&gt;=$AH69,H$2&lt;$AH69+$AI69),$D69/$AI69,0)</f>
        <v/>
      </c>
      <c r="I67" s="307">
        <f>IF(AND(I$2&gt;=$AH68,I$2&lt;$AH68+$AI68),$D68/$AI68,0)+IF(AND(I$2&gt;=$AH69,I$2&lt;$AH69+$AI69),$D69/$AI69,0)</f>
        <v/>
      </c>
      <c r="J67" s="307">
        <f>IF(AND(J$2&gt;=$AH68,J$2&lt;$AH68+$AI68),$D68/$AI68,0)+IF(AND(J$2&gt;=$AH69,J$2&lt;$AH69+$AI69),$D69/$AI69,0)</f>
        <v/>
      </c>
      <c r="K67" s="307">
        <f>IF(AND(K$2&gt;=$AH68,K$2&lt;$AH68+$AI68),$D68/$AI68,0)+IF(AND(K$2&gt;=$AH69,K$2&lt;$AH69+$AI69),$D69/$AI69,0)</f>
        <v/>
      </c>
      <c r="L67" s="307">
        <f>IF(AND(L$2&gt;=$AH68,L$2&lt;$AH68+$AI68),$D68/$AI68,0)+IF(AND(L$2&gt;=$AH69,L$2&lt;$AH69+$AI69),$D69/$AI69,0)</f>
        <v/>
      </c>
      <c r="M67" s="307">
        <f>IF(AND(M$2&gt;=$AH68,M$2&lt;$AH68+$AI68),$D68/$AI68,0)+IF(AND(M$2&gt;=$AH69,M$2&lt;$AH69+$AI69),$D69/$AI69,0)</f>
        <v/>
      </c>
      <c r="N67" s="307">
        <f>IF(AND(N$2&gt;=$AH68,N$2&lt;$AH68+$AI68),$D68/$AI68,0)+IF(AND(N$2&gt;=$AH69,N$2&lt;$AH69+$AI69),$D69/$AI69,0)</f>
        <v/>
      </c>
      <c r="O67" s="307">
        <f>IF(AND(O$2&gt;=$AH68,O$2&lt;$AH68+$AI68),$D68/$AI68,0)+IF(AND(O$2&gt;=$AH69,O$2&lt;$AH69+$AI69),$D69/$AI69,0)</f>
        <v/>
      </c>
      <c r="P67" s="307">
        <f>IF(AND(P$2&gt;=$AH68,P$2&lt;$AH68+$AI68),$D68/$AI68,0)+IF(AND(P$2&gt;=$AH69,P$2&lt;$AH69+$AI69),$D69/$AI69,0)</f>
        <v/>
      </c>
      <c r="Q67" s="312">
        <f>IF(AND(Q$2&gt;=$AH68,Q$2&lt;$AH68+$AI68),$D68/$AI68,0)+IF(AND(Q$2&gt;=$AH69,Q$2&lt;$AH69+$AI69),$D69/$AI69,0)</f>
        <v/>
      </c>
      <c r="R67" s="312">
        <f>IF(AND(R$2&gt;=$AH68,R$2&lt;$AH68+$AI68),$D68/$AI68,0)+IF(AND(R$2&gt;=$AH69,R$2&lt;$AH69+$AI69),$D69/$AI69,0)</f>
        <v/>
      </c>
      <c r="S67" s="312">
        <f>IF(AND(S$2&gt;=$AH68,S$2&lt;$AH68+$AI68),$D68/$AI68,0)+IF(AND(S$2&gt;=$AH69,S$2&lt;$AH69+$AI69),$D69/$AI69,0)</f>
        <v/>
      </c>
      <c r="T67" s="312">
        <f>IF(AND(T$2&gt;=$AH68,T$2&lt;$AH68+$AI68),$D68/$AI68,0)+IF(AND(T$2&gt;=$AH69,T$2&lt;$AH69+$AI69),$D69/$AI69,0)</f>
        <v/>
      </c>
      <c r="U67" s="312">
        <f>IF(AND(U$2&gt;=$AH68,U$2&lt;$AH68+$AI68),$D68/$AI68,0)+IF(AND(U$2&gt;=$AH69,U$2&lt;$AH69+$AI69),$D69/$AI69,0)</f>
        <v/>
      </c>
      <c r="V67" s="312">
        <f>IF(AND(V$2&gt;=$AH68,V$2&lt;$AH68+$AI68),$D68/$AI68,0)+IF(AND(V$2&gt;=$AH69,V$2&lt;$AH69+$AI69),$D69/$AI69,0)</f>
        <v/>
      </c>
      <c r="W67" s="312">
        <f>IF(AND(W$2&gt;=$AH68,W$2&lt;$AH68+$AI68),$D68/$AI68,0)+IF(AND(W$2&gt;=$AH69,W$2&lt;$AH69+$AI69),$D69/$AI69,0)</f>
        <v/>
      </c>
      <c r="X67" s="312">
        <f>IF(AND(X$2&gt;=$AH68,X$2&lt;$AH68+$AI68),$D68/$AI68,0)+IF(AND(X$2&gt;=$AH69,X$2&lt;$AH69+$AI69),$D69/$AI69,0)</f>
        <v/>
      </c>
      <c r="Y67" s="312">
        <f>IF(AND(Y$2&gt;=$AH68,Y$2&lt;$AH68+$AI68),$D68/$AI68,0)+IF(AND(Y$2&gt;=$AH69,Y$2&lt;$AH69+$AI69),$D69/$AI69,0)</f>
        <v/>
      </c>
      <c r="Z67" s="312">
        <f>IF(AND(Z$2&gt;=$AH68,Z$2&lt;$AH68+$AI68),$D68/$AI68,0)+IF(AND(Z$2&gt;=$AH69,Z$2&lt;$AH69+$AI69),$D69/$AI69,0)</f>
        <v/>
      </c>
      <c r="AA67" s="312">
        <f>IF(AND(AA$2&gt;=$AH68,AA$2&lt;$AH68+$AI68),$D68/$AI68,0)+IF(AND(AA$2&gt;=$AH69,AA$2&lt;$AH69+$AI69),$D69/$AI69,0)</f>
        <v/>
      </c>
      <c r="AB67" s="312">
        <f>IF(AND(AB$2&gt;=$AH68,AB$2&lt;$AH68+$AI68),$D68/$AI68,0)+IF(AND(AB$2&gt;=$AH69,AB$2&lt;$AH69+$AI69),$D69/$AI69,0)</f>
        <v/>
      </c>
      <c r="AC67" s="313">
        <f>IF(AND(AC$2&gt;=$AH68,AC$2&lt;$AH68+$AI68),$D68/$AI68,0)+IF(AND(AC$2&gt;=$AH69,AC$2&lt;$AH69+$AI69),$D69/$AI69,0)</f>
        <v/>
      </c>
      <c r="AD67" s="314">
        <f>IF(AND(AD$2&gt;=$AH68,AD$2&lt;$AH68+$AI68),$D68/$AI68,0)+IF(AND(AD$2&gt;=$AH69,AD$2&lt;$AH69+$AI69),$D69/$AI69,0)</f>
        <v/>
      </c>
      <c r="AE67" s="315">
        <f>IF(AND(AE$2&gt;=$AH68,AE$2&lt;$AH68+$AI68),$D68/$AI68,0)+IF(AND(AE$2&gt;=$AH69,AE$2&lt;$AH69+$AI69),$D69/$AI69,0)</f>
        <v/>
      </c>
      <c r="AF67" s="316">
        <f>SUM(E67:AE67)</f>
        <v/>
      </c>
    </row>
    <row r="68" ht="28.2" customHeight="1">
      <c r="A68" s="88" t="n"/>
      <c r="B68" s="100" t="inlineStr">
        <is>
          <t>First fix, sleeves and pipework</t>
        </is>
      </c>
      <c r="C68" s="101" t="n">
        <v>0.6</v>
      </c>
      <c r="D68" s="317">
        <f>C68*$D$67</f>
        <v/>
      </c>
      <c r="E68" s="310" t="n"/>
      <c r="F68" s="307" t="n"/>
      <c r="G68" s="307" t="n"/>
      <c r="H68" s="307" t="n"/>
      <c r="I68" s="307" t="n"/>
      <c r="J68" s="307" t="n"/>
      <c r="K68" s="307" t="n"/>
      <c r="L68" s="307" t="n"/>
      <c r="M68" s="307" t="n"/>
      <c r="N68" s="307" t="n"/>
      <c r="O68" s="307" t="n"/>
      <c r="P68" s="307" t="n"/>
      <c r="Q68" s="312" t="n"/>
      <c r="R68" s="312" t="n"/>
      <c r="S68" s="312" t="n"/>
      <c r="T68" s="312" t="n"/>
      <c r="U68" s="312" t="n"/>
      <c r="V68" s="312" t="n"/>
      <c r="W68" s="312" t="n"/>
      <c r="X68" s="312" t="n"/>
      <c r="Y68" s="312" t="n"/>
      <c r="Z68" s="312" t="n"/>
      <c r="AA68" s="312" t="n"/>
      <c r="AB68" s="312" t="n"/>
      <c r="AC68" s="313" t="n"/>
      <c r="AD68" s="314" t="n"/>
      <c r="AE68" s="315" t="n"/>
      <c r="AF68" s="316" t="n"/>
      <c r="AH68" s="308" t="n">
        <v>4</v>
      </c>
      <c r="AI68" s="308" t="n">
        <v>15</v>
      </c>
    </row>
    <row r="69" ht="28.2" customHeight="1">
      <c r="A69" s="88" t="n"/>
      <c r="B69" s="100" t="inlineStr">
        <is>
          <t>Second fix, testing and commissioning</t>
        </is>
      </c>
      <c r="C69" s="101" t="n">
        <v>0.4</v>
      </c>
      <c r="D69" s="317">
        <f>C69*$D$67</f>
        <v/>
      </c>
      <c r="E69" s="310" t="n"/>
      <c r="F69" s="307" t="n"/>
      <c r="G69" s="307" t="n"/>
      <c r="H69" s="307" t="n"/>
      <c r="I69" s="307" t="n"/>
      <c r="J69" s="307" t="n"/>
      <c r="K69" s="307" t="n"/>
      <c r="L69" s="307" t="n"/>
      <c r="M69" s="307" t="n"/>
      <c r="N69" s="307" t="n"/>
      <c r="O69" s="307" t="n"/>
      <c r="P69" s="307" t="n"/>
      <c r="Q69" s="312" t="n"/>
      <c r="R69" s="312" t="n"/>
      <c r="S69" s="312" t="n"/>
      <c r="T69" s="312" t="n"/>
      <c r="U69" s="312" t="n"/>
      <c r="V69" s="312" t="n"/>
      <c r="W69" s="312" t="n"/>
      <c r="X69" s="312" t="n"/>
      <c r="Y69" s="312" t="n"/>
      <c r="Z69" s="312" t="n"/>
      <c r="AA69" s="312" t="n"/>
      <c r="AB69" s="312" t="n"/>
      <c r="AC69" s="313" t="n"/>
      <c r="AD69" s="314" t="n"/>
      <c r="AE69" s="315" t="n"/>
      <c r="AF69" s="316" t="n"/>
      <c r="AH69" s="308" t="n">
        <v>19</v>
      </c>
      <c r="AI69" s="308" t="n">
        <v>5</v>
      </c>
    </row>
    <row r="70" ht="28.2" customHeight="1">
      <c r="A70" s="88" t="n"/>
      <c r="B70" s="85" t="n"/>
      <c r="C70" s="74" t="n"/>
      <c r="D70" s="300" t="n"/>
      <c r="E70" s="310" t="n"/>
      <c r="F70" s="307" t="n"/>
      <c r="G70" s="307" t="n"/>
      <c r="H70" s="307" t="n"/>
      <c r="I70" s="307" t="n"/>
      <c r="J70" s="307" t="n"/>
      <c r="K70" s="307" t="n"/>
      <c r="L70" s="307" t="n"/>
      <c r="M70" s="307" t="n"/>
      <c r="N70" s="307" t="n"/>
      <c r="O70" s="307" t="n"/>
      <c r="P70" s="307" t="n"/>
      <c r="Q70" s="312" t="n"/>
      <c r="R70" s="312" t="n"/>
      <c r="S70" s="312" t="n"/>
      <c r="T70" s="312" t="n"/>
      <c r="U70" s="312" t="n"/>
      <c r="V70" s="312" t="n"/>
      <c r="W70" s="312" t="n"/>
      <c r="X70" s="312" t="n"/>
      <c r="Y70" s="312" t="n"/>
      <c r="Z70" s="312" t="n"/>
      <c r="AA70" s="312" t="n"/>
      <c r="AB70" s="312" t="n"/>
      <c r="AC70" s="313" t="n"/>
      <c r="AD70" s="314" t="n"/>
      <c r="AE70" s="315" t="n"/>
      <c r="AF70" s="316" t="n"/>
    </row>
    <row r="71" ht="27.6" customHeight="1">
      <c r="A71" s="88" t="inlineStr">
        <is>
          <t>P</t>
        </is>
      </c>
      <c r="B71" s="89">
        <f>'GEN SUMMARY.'!B31</f>
        <v/>
      </c>
      <c r="C71" s="90" t="n"/>
      <c r="D71" s="311">
        <f>'GEN SUMMARY.'!E31</f>
        <v/>
      </c>
      <c r="E71" s="310">
        <f>IF(AND(E$2&gt;=$AH72,E$2&lt;$AH72+$AI72),$D72/$AI72,0)+IF(AND(E$2&gt;=$AH73,E$2&lt;$AH73+$AI73),$D73/$AI73,0)</f>
        <v/>
      </c>
      <c r="F71" s="307">
        <f>IF(AND(F$2&gt;=$AH72,F$2&lt;$AH72+$AI72),$D72/$AI72,0)+IF(AND(F$2&gt;=$AH73,F$2&lt;$AH73+$AI73),$D73/$AI73,0)</f>
        <v/>
      </c>
      <c r="G71" s="307">
        <f>IF(AND(G$2&gt;=$AH72,G$2&lt;$AH72+$AI72),$D72/$AI72,0)+IF(AND(G$2&gt;=$AH73,G$2&lt;$AH73+$AI73),$D73/$AI73,0)</f>
        <v/>
      </c>
      <c r="H71" s="307">
        <f>IF(AND(H$2&gt;=$AH72,H$2&lt;$AH72+$AI72),$D72/$AI72,0)+IF(AND(H$2&gt;=$AH73,H$2&lt;$AH73+$AI73),$D73/$AI73,0)</f>
        <v/>
      </c>
      <c r="I71" s="307">
        <f>IF(AND(I$2&gt;=$AH72,I$2&lt;$AH72+$AI72),$D72/$AI72,0)+IF(AND(I$2&gt;=$AH73,I$2&lt;$AH73+$AI73),$D73/$AI73,0)</f>
        <v/>
      </c>
      <c r="J71" s="307">
        <f>IF(AND(J$2&gt;=$AH72,J$2&lt;$AH72+$AI72),$D72/$AI72,0)+IF(AND(J$2&gt;=$AH73,J$2&lt;$AH73+$AI73),$D73/$AI73,0)</f>
        <v/>
      </c>
      <c r="K71" s="307">
        <f>IF(AND(K$2&gt;=$AH72,K$2&lt;$AH72+$AI72),$D72/$AI72,0)+IF(AND(K$2&gt;=$AH73,K$2&lt;$AH73+$AI73),$D73/$AI73,0)</f>
        <v/>
      </c>
      <c r="L71" s="307">
        <f>IF(AND(L$2&gt;=$AH72,L$2&lt;$AH72+$AI72),$D72/$AI72,0)+IF(AND(L$2&gt;=$AH73,L$2&lt;$AH73+$AI73),$D73/$AI73,0)</f>
        <v/>
      </c>
      <c r="M71" s="307">
        <f>IF(AND(M$2&gt;=$AH72,M$2&lt;$AH72+$AI72),$D72/$AI72,0)+IF(AND(M$2&gt;=$AH73,M$2&lt;$AH73+$AI73),$D73/$AI73,0)</f>
        <v/>
      </c>
      <c r="N71" s="307">
        <f>IF(AND(N$2&gt;=$AH72,N$2&lt;$AH72+$AI72),$D72/$AI72,0)+IF(AND(N$2&gt;=$AH73,N$2&lt;$AH73+$AI73),$D73/$AI73,0)</f>
        <v/>
      </c>
      <c r="O71" s="307">
        <f>IF(AND(O$2&gt;=$AH72,O$2&lt;$AH72+$AI72),$D72/$AI72,0)+IF(AND(O$2&gt;=$AH73,O$2&lt;$AH73+$AI73),$D73/$AI73,0)</f>
        <v/>
      </c>
      <c r="P71" s="307">
        <f>IF(AND(P$2&gt;=$AH72,P$2&lt;$AH72+$AI72),$D72/$AI72,0)+IF(AND(P$2&gt;=$AH73,P$2&lt;$AH73+$AI73),$D73/$AI73,0)</f>
        <v/>
      </c>
      <c r="Q71" s="312">
        <f>IF(AND(Q$2&gt;=$AH72,Q$2&lt;$AH72+$AI72),$D72/$AI72,0)+IF(AND(Q$2&gt;=$AH73,Q$2&lt;$AH73+$AI73),$D73/$AI73,0)</f>
        <v/>
      </c>
      <c r="R71" s="312">
        <f>IF(AND(R$2&gt;=$AH72,R$2&lt;$AH72+$AI72),$D72/$AI72,0)+IF(AND(R$2&gt;=$AH73,R$2&lt;$AH73+$AI73),$D73/$AI73,0)</f>
        <v/>
      </c>
      <c r="S71" s="312">
        <f>IF(AND(S$2&gt;=$AH72,S$2&lt;$AH72+$AI72),$D72/$AI72,0)+IF(AND(S$2&gt;=$AH73,S$2&lt;$AH73+$AI73),$D73/$AI73,0)</f>
        <v/>
      </c>
      <c r="T71" s="312">
        <f>IF(AND(T$2&gt;=$AH72,T$2&lt;$AH72+$AI72),$D72/$AI72,0)+IF(AND(T$2&gt;=$AH73,T$2&lt;$AH73+$AI73),$D73/$AI73,0)</f>
        <v/>
      </c>
      <c r="U71" s="312">
        <f>IF(AND(U$2&gt;=$AH72,U$2&lt;$AH72+$AI72),$D72/$AI72,0)+IF(AND(U$2&gt;=$AH73,U$2&lt;$AH73+$AI73),$D73/$AI73,0)</f>
        <v/>
      </c>
      <c r="V71" s="312">
        <f>IF(AND(V$2&gt;=$AH72,V$2&lt;$AH72+$AI72),$D72/$AI72,0)+IF(AND(V$2&gt;=$AH73,V$2&lt;$AH73+$AI73),$D73/$AI73,0)</f>
        <v/>
      </c>
      <c r="W71" s="312">
        <f>IF(AND(W$2&gt;=$AH72,W$2&lt;$AH72+$AI72),$D72/$AI72,0)+IF(AND(W$2&gt;=$AH73,W$2&lt;$AH73+$AI73),$D73/$AI73,0)</f>
        <v/>
      </c>
      <c r="X71" s="312">
        <f>IF(AND(X$2&gt;=$AH72,X$2&lt;$AH72+$AI72),$D72/$AI72,0)+IF(AND(X$2&gt;=$AH73,X$2&lt;$AH73+$AI73),$D73/$AI73,0)</f>
        <v/>
      </c>
      <c r="Y71" s="312">
        <f>IF(AND(Y$2&gt;=$AH72,Y$2&lt;$AH72+$AI72),$D72/$AI72,0)+IF(AND(Y$2&gt;=$AH73,Y$2&lt;$AH73+$AI73),$D73/$AI73,0)</f>
        <v/>
      </c>
      <c r="Z71" s="312">
        <f>IF(AND(Z$2&gt;=$AH72,Z$2&lt;$AH72+$AI72),$D72/$AI72,0)+IF(AND(Z$2&gt;=$AH73,Z$2&lt;$AH73+$AI73),$D73/$AI73,0)</f>
        <v/>
      </c>
      <c r="AA71" s="312">
        <f>IF(AND(AA$2&gt;=$AH72,AA$2&lt;$AH72+$AI72),$D72/$AI72,0)+IF(AND(AA$2&gt;=$AH73,AA$2&lt;$AH73+$AI73),$D73/$AI73,0)</f>
        <v/>
      </c>
      <c r="AB71" s="312">
        <f>IF(AND(AB$2&gt;=$AH72,AB$2&lt;$AH72+$AI72),$D72/$AI72,0)+IF(AND(AB$2&gt;=$AH73,AB$2&lt;$AH73+$AI73),$D73/$AI73,0)</f>
        <v/>
      </c>
      <c r="AC71" s="313">
        <f>IF(AND(AC$2&gt;=$AH72,AC$2&lt;$AH72+$AI72),$D72/$AI72,0)+IF(AND(AC$2&gt;=$AH73,AC$2&lt;$AH73+$AI73),$D73/$AI73,0)</f>
        <v/>
      </c>
      <c r="AD71" s="314">
        <f>IF(AND(AD$2&gt;=$AH72,AD$2&lt;$AH72+$AI72),$D72/$AI72,0)+IF(AND(AD$2&gt;=$AH73,AD$2&lt;$AH73+$AI73),$D73/$AI73,0)</f>
        <v/>
      </c>
      <c r="AE71" s="315">
        <f>IF(AND(AE$2&gt;=$AH72,AE$2&lt;$AH72+$AI72),$D72/$AI72,0)+IF(AND(AE$2&gt;=$AH73,AE$2&lt;$AH73+$AI73),$D73/$AI73,0)</f>
        <v/>
      </c>
      <c r="AF71" s="316">
        <f>SUM(E71:AE71)</f>
        <v/>
      </c>
    </row>
    <row r="72" ht="28.2" customHeight="1">
      <c r="A72" s="88" t="n"/>
      <c r="B72" s="100" t="inlineStr">
        <is>
          <t>First fix, conduits and containment</t>
        </is>
      </c>
      <c r="C72" s="101" t="n">
        <v>0.6</v>
      </c>
      <c r="D72" s="317">
        <f>C72*$D$71</f>
        <v/>
      </c>
      <c r="E72" s="310" t="n"/>
      <c r="F72" s="307" t="n"/>
      <c r="G72" s="307" t="n"/>
      <c r="H72" s="307" t="n"/>
      <c r="I72" s="307" t="n"/>
      <c r="J72" s="307" t="n"/>
      <c r="K72" s="307" t="n"/>
      <c r="L72" s="307" t="n"/>
      <c r="M72" s="307" t="n"/>
      <c r="N72" s="307" t="n"/>
      <c r="O72" s="307" t="n"/>
      <c r="P72" s="307" t="n"/>
      <c r="Q72" s="312" t="n"/>
      <c r="R72" s="312" t="n"/>
      <c r="S72" s="312" t="n"/>
      <c r="T72" s="312" t="n"/>
      <c r="U72" s="312" t="n"/>
      <c r="V72" s="312" t="n"/>
      <c r="W72" s="312" t="n"/>
      <c r="X72" s="312" t="n"/>
      <c r="Y72" s="312" t="n"/>
      <c r="Z72" s="312" t="n"/>
      <c r="AA72" s="312" t="n"/>
      <c r="AB72" s="312" t="n"/>
      <c r="AC72" s="313" t="n"/>
      <c r="AD72" s="314" t="n"/>
      <c r="AE72" s="315" t="n"/>
      <c r="AF72" s="316" t="n"/>
      <c r="AH72" s="308" t="n">
        <v>4</v>
      </c>
      <c r="AI72" s="308" t="n">
        <v>15</v>
      </c>
    </row>
    <row r="73" ht="28.2" customHeight="1">
      <c r="A73" s="88" t="n"/>
      <c r="B73" s="100" t="inlineStr">
        <is>
          <t>Second fix, testing and commissioning</t>
        </is>
      </c>
      <c r="C73" s="101" t="n">
        <v>0.4</v>
      </c>
      <c r="D73" s="317">
        <f>C73*$D$71</f>
        <v/>
      </c>
      <c r="E73" s="310" t="n"/>
      <c r="F73" s="307" t="n"/>
      <c r="G73" s="307" t="n"/>
      <c r="H73" s="307" t="n"/>
      <c r="I73" s="307" t="n"/>
      <c r="J73" s="307" t="n"/>
      <c r="K73" s="307" t="n"/>
      <c r="L73" s="307" t="n"/>
      <c r="M73" s="307" t="n"/>
      <c r="N73" s="307" t="n"/>
      <c r="O73" s="307" t="n"/>
      <c r="P73" s="307" t="n"/>
      <c r="Q73" s="312" t="n"/>
      <c r="R73" s="312" t="n"/>
      <c r="S73" s="312" t="n"/>
      <c r="T73" s="312" t="n"/>
      <c r="U73" s="312" t="n"/>
      <c r="V73" s="312" t="n"/>
      <c r="W73" s="312" t="n"/>
      <c r="X73" s="312" t="n"/>
      <c r="Y73" s="312" t="n"/>
      <c r="Z73" s="312" t="n"/>
      <c r="AA73" s="312" t="n"/>
      <c r="AB73" s="312" t="n"/>
      <c r="AC73" s="313" t="n"/>
      <c r="AD73" s="314" t="n"/>
      <c r="AE73" s="315" t="n"/>
      <c r="AF73" s="316" t="n"/>
      <c r="AH73" s="308" t="n">
        <v>19</v>
      </c>
      <c r="AI73" s="308" t="n">
        <v>5</v>
      </c>
    </row>
    <row r="74" ht="28.2" customHeight="1">
      <c r="A74" s="88" t="n"/>
      <c r="B74" s="85" t="n"/>
      <c r="C74" s="74" t="n"/>
      <c r="D74" s="300" t="n"/>
      <c r="E74" s="310" t="n"/>
      <c r="F74" s="307" t="n"/>
      <c r="G74" s="307" t="n"/>
      <c r="H74" s="307" t="n"/>
      <c r="I74" s="307" t="n"/>
      <c r="J74" s="307" t="n"/>
      <c r="K74" s="307" t="n"/>
      <c r="L74" s="307" t="n"/>
      <c r="M74" s="307" t="n"/>
      <c r="N74" s="307" t="n"/>
      <c r="O74" s="307" t="n"/>
      <c r="P74" s="307" t="n"/>
      <c r="Q74" s="312" t="n"/>
      <c r="R74" s="312" t="n"/>
      <c r="S74" s="312" t="n"/>
      <c r="T74" s="312" t="n"/>
      <c r="U74" s="312" t="n"/>
      <c r="V74" s="312" t="n"/>
      <c r="W74" s="312" t="n"/>
      <c r="X74" s="312" t="n"/>
      <c r="Y74" s="312" t="n"/>
      <c r="Z74" s="312" t="n"/>
      <c r="AA74" s="312" t="n"/>
      <c r="AB74" s="312" t="n"/>
      <c r="AC74" s="313" t="n"/>
      <c r="AD74" s="314" t="n"/>
      <c r="AE74" s="315" t="n"/>
      <c r="AF74" s="316" t="n"/>
    </row>
    <row r="75" ht="27.6" customHeight="1">
      <c r="A75" s="88" t="inlineStr">
        <is>
          <t>Q</t>
        </is>
      </c>
      <c r="B75" s="89">
        <f>'GEN SUMMARY.'!B33</f>
        <v/>
      </c>
      <c r="C75" s="90" t="n"/>
      <c r="D75" s="311">
        <f>'GEN SUMMARY.'!E33</f>
        <v/>
      </c>
      <c r="E75" s="310">
        <f>IF(AND(E$2&gt;=$AH76,E$2&lt;$AH76+$AI76),$D76/$AI76,0)+IF(AND(E$2&gt;=$AH77,E$2&lt;$AH77+$AI77),$D77/$AI77,0)</f>
        <v/>
      </c>
      <c r="F75" s="307">
        <f>IF(AND(F$2&gt;=$AH76,F$2&lt;$AH76+$AI76),$D76/$AI76,0)+IF(AND(F$2&gt;=$AH77,F$2&lt;$AH77+$AI77),$D77/$AI77,0)</f>
        <v/>
      </c>
      <c r="G75" s="307">
        <f>IF(AND(G$2&gt;=$AH76,G$2&lt;$AH76+$AI76),$D76/$AI76,0)+IF(AND(G$2&gt;=$AH77,G$2&lt;$AH77+$AI77),$D77/$AI77,0)</f>
        <v/>
      </c>
      <c r="H75" s="307">
        <f>IF(AND(H$2&gt;=$AH76,H$2&lt;$AH76+$AI76),$D76/$AI76,0)+IF(AND(H$2&gt;=$AH77,H$2&lt;$AH77+$AI77),$D77/$AI77,0)</f>
        <v/>
      </c>
      <c r="I75" s="307">
        <f>IF(AND(I$2&gt;=$AH76,I$2&lt;$AH76+$AI76),$D76/$AI76,0)+IF(AND(I$2&gt;=$AH77,I$2&lt;$AH77+$AI77),$D77/$AI77,0)</f>
        <v/>
      </c>
      <c r="J75" s="307">
        <f>IF(AND(J$2&gt;=$AH76,J$2&lt;$AH76+$AI76),$D76/$AI76,0)+IF(AND(J$2&gt;=$AH77,J$2&lt;$AH77+$AI77),$D77/$AI77,0)</f>
        <v/>
      </c>
      <c r="K75" s="307">
        <f>IF(AND(K$2&gt;=$AH76,K$2&lt;$AH76+$AI76),$D76/$AI76,0)+IF(AND(K$2&gt;=$AH77,K$2&lt;$AH77+$AI77),$D77/$AI77,0)</f>
        <v/>
      </c>
      <c r="L75" s="307">
        <f>IF(AND(L$2&gt;=$AH76,L$2&lt;$AH76+$AI76),$D76/$AI76,0)+IF(AND(L$2&gt;=$AH77,L$2&lt;$AH77+$AI77),$D77/$AI77,0)</f>
        <v/>
      </c>
      <c r="M75" s="307">
        <f>IF(AND(M$2&gt;=$AH76,M$2&lt;$AH76+$AI76),$D76/$AI76,0)+IF(AND(M$2&gt;=$AH77,M$2&lt;$AH77+$AI77),$D77/$AI77,0)</f>
        <v/>
      </c>
      <c r="N75" s="307">
        <f>IF(AND(N$2&gt;=$AH76,N$2&lt;$AH76+$AI76),$D76/$AI76,0)+IF(AND(N$2&gt;=$AH77,N$2&lt;$AH77+$AI77),$D77/$AI77,0)</f>
        <v/>
      </c>
      <c r="O75" s="307">
        <f>IF(AND(O$2&gt;=$AH76,O$2&lt;$AH76+$AI76),$D76/$AI76,0)+IF(AND(O$2&gt;=$AH77,O$2&lt;$AH77+$AI77),$D77/$AI77,0)</f>
        <v/>
      </c>
      <c r="P75" s="307">
        <f>IF(AND(P$2&gt;=$AH76,P$2&lt;$AH76+$AI76),$D76/$AI76,0)+IF(AND(P$2&gt;=$AH77,P$2&lt;$AH77+$AI77),$D77/$AI77,0)</f>
        <v/>
      </c>
      <c r="Q75" s="312">
        <f>IF(AND(Q$2&gt;=$AH76,Q$2&lt;$AH76+$AI76),$D76/$AI76,0)+IF(AND(Q$2&gt;=$AH77,Q$2&lt;$AH77+$AI77),$D77/$AI77,0)</f>
        <v/>
      </c>
      <c r="R75" s="312">
        <f>IF(AND(R$2&gt;=$AH76,R$2&lt;$AH76+$AI76),$D76/$AI76,0)+IF(AND(R$2&gt;=$AH77,R$2&lt;$AH77+$AI77),$D77/$AI77,0)</f>
        <v/>
      </c>
      <c r="S75" s="312">
        <f>IF(AND(S$2&gt;=$AH76,S$2&lt;$AH76+$AI76),$D76/$AI76,0)+IF(AND(S$2&gt;=$AH77,S$2&lt;$AH77+$AI77),$D77/$AI77,0)</f>
        <v/>
      </c>
      <c r="T75" s="312">
        <f>IF(AND(T$2&gt;=$AH76,T$2&lt;$AH76+$AI76),$D76/$AI76,0)+IF(AND(T$2&gt;=$AH77,T$2&lt;$AH77+$AI77),$D77/$AI77,0)</f>
        <v/>
      </c>
      <c r="U75" s="312">
        <f>IF(AND(U$2&gt;=$AH76,U$2&lt;$AH76+$AI76),$D76/$AI76,0)+IF(AND(U$2&gt;=$AH77,U$2&lt;$AH77+$AI77),$D77/$AI77,0)</f>
        <v/>
      </c>
      <c r="V75" s="312">
        <f>IF(AND(V$2&gt;=$AH76,V$2&lt;$AH76+$AI76),$D76/$AI76,0)+IF(AND(V$2&gt;=$AH77,V$2&lt;$AH77+$AI77),$D77/$AI77,0)</f>
        <v/>
      </c>
      <c r="W75" s="312">
        <f>IF(AND(W$2&gt;=$AH76,W$2&lt;$AH76+$AI76),$D76/$AI76,0)+IF(AND(W$2&gt;=$AH77,W$2&lt;$AH77+$AI77),$D77/$AI77,0)</f>
        <v/>
      </c>
      <c r="X75" s="312">
        <f>IF(AND(X$2&gt;=$AH76,X$2&lt;$AH76+$AI76),$D76/$AI76,0)+IF(AND(X$2&gt;=$AH77,X$2&lt;$AH77+$AI77),$D77/$AI77,0)</f>
        <v/>
      </c>
      <c r="Y75" s="312">
        <f>IF(AND(Y$2&gt;=$AH76,Y$2&lt;$AH76+$AI76),$D76/$AI76,0)+IF(AND(Y$2&gt;=$AH77,Y$2&lt;$AH77+$AI77),$D77/$AI77,0)</f>
        <v/>
      </c>
      <c r="Z75" s="312">
        <f>IF(AND(Z$2&gt;=$AH76,Z$2&lt;$AH76+$AI76),$D76/$AI76,0)+IF(AND(Z$2&gt;=$AH77,Z$2&lt;$AH77+$AI77),$D77/$AI77,0)</f>
        <v/>
      </c>
      <c r="AA75" s="312">
        <f>IF(AND(AA$2&gt;=$AH76,AA$2&lt;$AH76+$AI76),$D76/$AI76,0)+IF(AND(AA$2&gt;=$AH77,AA$2&lt;$AH77+$AI77),$D77/$AI77,0)</f>
        <v/>
      </c>
      <c r="AB75" s="312">
        <f>IF(AND(AB$2&gt;=$AH76,AB$2&lt;$AH76+$AI76),$D76/$AI76,0)+IF(AND(AB$2&gt;=$AH77,AB$2&lt;$AH77+$AI77),$D77/$AI77,0)</f>
        <v/>
      </c>
      <c r="AC75" s="313">
        <f>IF(AND(AC$2&gt;=$AH76,AC$2&lt;$AH76+$AI76),$D76/$AI76,0)+IF(AND(AC$2&gt;=$AH77,AC$2&lt;$AH77+$AI77),$D77/$AI77,0)</f>
        <v/>
      </c>
      <c r="AD75" s="314">
        <f>IF(AND(AD$2&gt;=$AH76,AD$2&lt;$AH76+$AI76),$D76/$AI76,0)+IF(AND(AD$2&gt;=$AH77,AD$2&lt;$AH77+$AI77),$D77/$AI77,0)</f>
        <v/>
      </c>
      <c r="AE75" s="315">
        <f>IF(AND(AE$2&gt;=$AH76,AE$2&lt;$AH76+$AI76),$D76/$AI76,0)+IF(AND(AE$2&gt;=$AH77,AE$2&lt;$AH77+$AI77),$D77/$AI77,0)</f>
        <v/>
      </c>
      <c r="AF75" s="316">
        <f>SUM(E75:AE75)</f>
        <v/>
      </c>
    </row>
    <row r="76" ht="28.2" customHeight="1">
      <c r="A76" s="88" t="n"/>
      <c r="B76" s="100" t="inlineStr">
        <is>
          <t>Procurement and fabrication of facade materials</t>
        </is>
      </c>
      <c r="C76" s="101" t="n">
        <v>0.7</v>
      </c>
      <c r="D76" s="317">
        <f>C76*$D$75</f>
        <v/>
      </c>
      <c r="E76" s="310" t="n"/>
      <c r="F76" s="307" t="n"/>
      <c r="G76" s="307" t="n"/>
      <c r="H76" s="307" t="n"/>
      <c r="I76" s="307" t="n"/>
      <c r="J76" s="307" t="n"/>
      <c r="K76" s="307" t="n"/>
      <c r="L76" s="307" t="n"/>
      <c r="M76" s="307" t="n"/>
      <c r="N76" s="307" t="n"/>
      <c r="O76" s="307" t="n"/>
      <c r="P76" s="307" t="n"/>
      <c r="Q76" s="312" t="n"/>
      <c r="R76" s="312" t="n"/>
      <c r="S76" s="312" t="n"/>
      <c r="T76" s="312" t="n"/>
      <c r="U76" s="312" t="n"/>
      <c r="V76" s="312" t="n"/>
      <c r="W76" s="312" t="n"/>
      <c r="X76" s="312" t="n"/>
      <c r="Y76" s="312" t="n"/>
      <c r="Z76" s="312" t="n"/>
      <c r="AA76" s="312" t="n"/>
      <c r="AB76" s="312" t="n"/>
      <c r="AC76" s="313" t="n"/>
      <c r="AD76" s="314" t="n"/>
      <c r="AE76" s="315" t="n"/>
      <c r="AF76" s="316" t="n"/>
      <c r="AH76" s="308" t="n">
        <v>12</v>
      </c>
      <c r="AI76" s="308" t="n">
        <v>3</v>
      </c>
    </row>
    <row r="77" ht="28.2" customHeight="1">
      <c r="A77" s="88" t="n"/>
      <c r="B77" s="100" t="inlineStr">
        <is>
          <t>Installation of facade</t>
        </is>
      </c>
      <c r="C77" s="101" t="n">
        <v>0.3</v>
      </c>
      <c r="D77" s="317">
        <f>C77*$D$75</f>
        <v/>
      </c>
      <c r="E77" s="310" t="n"/>
      <c r="F77" s="307" t="n"/>
      <c r="G77" s="307" t="n"/>
      <c r="H77" s="307" t="n"/>
      <c r="I77" s="307" t="n"/>
      <c r="J77" s="307" t="n"/>
      <c r="K77" s="307" t="n"/>
      <c r="L77" s="307" t="n"/>
      <c r="M77" s="307" t="n"/>
      <c r="N77" s="307" t="n"/>
      <c r="O77" s="307" t="n"/>
      <c r="P77" s="307" t="n"/>
      <c r="Q77" s="312" t="n"/>
      <c r="R77" s="312" t="n"/>
      <c r="S77" s="312" t="n"/>
      <c r="T77" s="312" t="n"/>
      <c r="U77" s="312" t="n"/>
      <c r="V77" s="312" t="n"/>
      <c r="W77" s="312" t="n"/>
      <c r="X77" s="312" t="n"/>
      <c r="Y77" s="312" t="n"/>
      <c r="Z77" s="312" t="n"/>
      <c r="AA77" s="312" t="n"/>
      <c r="AB77" s="312" t="n"/>
      <c r="AC77" s="313" t="n"/>
      <c r="AD77" s="314" t="n"/>
      <c r="AE77" s="315" t="n"/>
      <c r="AF77" s="316" t="n"/>
      <c r="AH77" s="308" t="n">
        <v>15</v>
      </c>
      <c r="AI77" s="308" t="n">
        <v>8</v>
      </c>
    </row>
    <row r="78" ht="28.2" customHeight="1">
      <c r="A78" s="88" t="n"/>
      <c r="B78" s="85" t="n"/>
      <c r="C78" s="74" t="n"/>
      <c r="D78" s="300" t="n"/>
      <c r="E78" s="310" t="n"/>
      <c r="F78" s="307" t="n"/>
      <c r="G78" s="307" t="n"/>
      <c r="H78" s="307" t="n"/>
      <c r="I78" s="307" t="n"/>
      <c r="J78" s="307" t="n"/>
      <c r="K78" s="307" t="n"/>
      <c r="L78" s="307" t="n"/>
      <c r="M78" s="307" t="n"/>
      <c r="N78" s="307" t="n"/>
      <c r="O78" s="307" t="n"/>
      <c r="P78" s="307" t="n"/>
      <c r="Q78" s="312" t="n"/>
      <c r="R78" s="312" t="n"/>
      <c r="S78" s="312" t="n"/>
      <c r="T78" s="312" t="n"/>
      <c r="U78" s="312" t="n"/>
      <c r="V78" s="312" t="n"/>
      <c r="W78" s="312" t="n"/>
      <c r="X78" s="312" t="n"/>
      <c r="Y78" s="312" t="n"/>
      <c r="Z78" s="312" t="n"/>
      <c r="AA78" s="312" t="n"/>
      <c r="AB78" s="312" t="n"/>
      <c r="AC78" s="313" t="n"/>
      <c r="AD78" s="314" t="n"/>
      <c r="AE78" s="315" t="n"/>
      <c r="AF78" s="316" t="n"/>
    </row>
    <row r="79" ht="27.6" customHeight="1">
      <c r="A79" s="88" t="inlineStr">
        <is>
          <t>R</t>
        </is>
      </c>
      <c r="B79" s="89">
        <f>'GEN SUMMARY.'!B35</f>
        <v/>
      </c>
      <c r="C79" s="90" t="n"/>
      <c r="D79" s="311">
        <f>'GEN SUMMARY.'!E35</f>
        <v/>
      </c>
      <c r="E79" s="310">
        <f>IF(AND(E$2&gt;=$AH80,E$2&lt;$AH80+$AI80),$D80/$AI80,0)+IF(AND(E$2&gt;=$AH81,E$2&lt;$AH81+$AI81),$D81/$AI81,0)</f>
        <v/>
      </c>
      <c r="F79" s="307">
        <f>IF(AND(F$2&gt;=$AH80,F$2&lt;$AH80+$AI80),$D80/$AI80,0)+IF(AND(F$2&gt;=$AH81,F$2&lt;$AH81+$AI81),$D81/$AI81,0)</f>
        <v/>
      </c>
      <c r="G79" s="307">
        <f>IF(AND(G$2&gt;=$AH80,G$2&lt;$AH80+$AI80),$D80/$AI80,0)+IF(AND(G$2&gt;=$AH81,G$2&lt;$AH81+$AI81),$D81/$AI81,0)</f>
        <v/>
      </c>
      <c r="H79" s="307">
        <f>IF(AND(H$2&gt;=$AH80,H$2&lt;$AH80+$AI80),$D80/$AI80,0)+IF(AND(H$2&gt;=$AH81,H$2&lt;$AH81+$AI81),$D81/$AI81,0)</f>
        <v/>
      </c>
      <c r="I79" s="307">
        <f>IF(AND(I$2&gt;=$AH80,I$2&lt;$AH80+$AI80),$D80/$AI80,0)+IF(AND(I$2&gt;=$AH81,I$2&lt;$AH81+$AI81),$D81/$AI81,0)</f>
        <v/>
      </c>
      <c r="J79" s="307">
        <f>IF(AND(J$2&gt;=$AH80,J$2&lt;$AH80+$AI80),$D80/$AI80,0)+IF(AND(J$2&gt;=$AH81,J$2&lt;$AH81+$AI81),$D81/$AI81,0)</f>
        <v/>
      </c>
      <c r="K79" s="307">
        <f>IF(AND(K$2&gt;=$AH80,K$2&lt;$AH80+$AI80),$D80/$AI80,0)+IF(AND(K$2&gt;=$AH81,K$2&lt;$AH81+$AI81),$D81/$AI81,0)</f>
        <v/>
      </c>
      <c r="L79" s="307">
        <f>IF(AND(L$2&gt;=$AH80,L$2&lt;$AH80+$AI80),$D80/$AI80,0)+IF(AND(L$2&gt;=$AH81,L$2&lt;$AH81+$AI81),$D81/$AI81,0)</f>
        <v/>
      </c>
      <c r="M79" s="307">
        <f>IF(AND(M$2&gt;=$AH80,M$2&lt;$AH80+$AI80),$D80/$AI80,0)+IF(AND(M$2&gt;=$AH81,M$2&lt;$AH81+$AI81),$D81/$AI81,0)</f>
        <v/>
      </c>
      <c r="N79" s="307">
        <f>IF(AND(N$2&gt;=$AH80,N$2&lt;$AH80+$AI80),$D80/$AI80,0)+IF(AND(N$2&gt;=$AH81,N$2&lt;$AH81+$AI81),$D81/$AI81,0)</f>
        <v/>
      </c>
      <c r="O79" s="307">
        <f>IF(AND(O$2&gt;=$AH80,O$2&lt;$AH80+$AI80),$D80/$AI80,0)+IF(AND(O$2&gt;=$AH81,O$2&lt;$AH81+$AI81),$D81/$AI81,0)</f>
        <v/>
      </c>
      <c r="P79" s="307">
        <f>IF(AND(P$2&gt;=$AH80,P$2&lt;$AH80+$AI80),$D80/$AI80,0)+IF(AND(P$2&gt;=$AH81,P$2&lt;$AH81+$AI81),$D81/$AI81,0)</f>
        <v/>
      </c>
      <c r="Q79" s="312">
        <f>IF(AND(Q$2&gt;=$AH80,Q$2&lt;$AH80+$AI80),$D80/$AI80,0)+IF(AND(Q$2&gt;=$AH81,Q$2&lt;$AH81+$AI81),$D81/$AI81,0)</f>
        <v/>
      </c>
      <c r="R79" s="312">
        <f>IF(AND(R$2&gt;=$AH80,R$2&lt;$AH80+$AI80),$D80/$AI80,0)+IF(AND(R$2&gt;=$AH81,R$2&lt;$AH81+$AI81),$D81/$AI81,0)</f>
        <v/>
      </c>
      <c r="S79" s="312">
        <f>IF(AND(S$2&gt;=$AH80,S$2&lt;$AH80+$AI80),$D80/$AI80,0)+IF(AND(S$2&gt;=$AH81,S$2&lt;$AH81+$AI81),$D81/$AI81,0)</f>
        <v/>
      </c>
      <c r="T79" s="312">
        <f>IF(AND(T$2&gt;=$AH80,T$2&lt;$AH80+$AI80),$D80/$AI80,0)+IF(AND(T$2&gt;=$AH81,T$2&lt;$AH81+$AI81),$D81/$AI81,0)</f>
        <v/>
      </c>
      <c r="U79" s="312">
        <f>IF(AND(U$2&gt;=$AH80,U$2&lt;$AH80+$AI80),$D80/$AI80,0)+IF(AND(U$2&gt;=$AH81,U$2&lt;$AH81+$AI81),$D81/$AI81,0)</f>
        <v/>
      </c>
      <c r="V79" s="312">
        <f>IF(AND(V$2&gt;=$AH80,V$2&lt;$AH80+$AI80),$D80/$AI80,0)+IF(AND(V$2&gt;=$AH81,V$2&lt;$AH81+$AI81),$D81/$AI81,0)</f>
        <v/>
      </c>
      <c r="W79" s="312">
        <f>IF(AND(W$2&gt;=$AH80,W$2&lt;$AH80+$AI80),$D80/$AI80,0)+IF(AND(W$2&gt;=$AH81,W$2&lt;$AH81+$AI81),$D81/$AI81,0)</f>
        <v/>
      </c>
      <c r="X79" s="312">
        <f>IF(AND(X$2&gt;=$AH80,X$2&lt;$AH80+$AI80),$D80/$AI80,0)+IF(AND(X$2&gt;=$AH81,X$2&lt;$AH81+$AI81),$D81/$AI81,0)</f>
        <v/>
      </c>
      <c r="Y79" s="312">
        <f>IF(AND(Y$2&gt;=$AH80,Y$2&lt;$AH80+$AI80),$D80/$AI80,0)+IF(AND(Y$2&gt;=$AH81,Y$2&lt;$AH81+$AI81),$D81/$AI81,0)</f>
        <v/>
      </c>
      <c r="Z79" s="312">
        <f>IF(AND(Z$2&gt;=$AH80,Z$2&lt;$AH80+$AI80),$D80/$AI80,0)+IF(AND(Z$2&gt;=$AH81,Z$2&lt;$AH81+$AI81),$D81/$AI81,0)</f>
        <v/>
      </c>
      <c r="AA79" s="312">
        <f>IF(AND(AA$2&gt;=$AH80,AA$2&lt;$AH80+$AI80),$D80/$AI80,0)+IF(AND(AA$2&gt;=$AH81,AA$2&lt;$AH81+$AI81),$D81/$AI81,0)</f>
        <v/>
      </c>
      <c r="AB79" s="312">
        <f>IF(AND(AB$2&gt;=$AH80,AB$2&lt;$AH80+$AI80),$D80/$AI80,0)+IF(AND(AB$2&gt;=$AH81,AB$2&lt;$AH81+$AI81),$D81/$AI81,0)</f>
        <v/>
      </c>
      <c r="AC79" s="313">
        <f>IF(AND(AC$2&gt;=$AH80,AC$2&lt;$AH80+$AI80),$D80/$AI80,0)+IF(AND(AC$2&gt;=$AH81,AC$2&lt;$AH81+$AI81),$D81/$AI81,0)</f>
        <v/>
      </c>
      <c r="AD79" s="314">
        <f>IF(AND(AD$2&gt;=$AH80,AD$2&lt;$AH80+$AI80),$D80/$AI80,0)+IF(AND(AD$2&gt;=$AH81,AD$2&lt;$AH81+$AI81),$D81/$AI81,0)</f>
        <v/>
      </c>
      <c r="AE79" s="315">
        <f>IF(AND(AE$2&gt;=$AH80,AE$2&lt;$AH80+$AI80),$D80/$AI80,0)+IF(AND(AE$2&gt;=$AH81,AE$2&lt;$AH81+$AI81),$D81/$AI81,0)</f>
        <v/>
      </c>
      <c r="AF79" s="316">
        <f>SUM(E79:AE79)</f>
        <v/>
      </c>
    </row>
    <row r="80" ht="28.2" customHeight="1">
      <c r="A80" s="88" t="n"/>
      <c r="B80" s="100" t="inlineStr">
        <is>
          <t>(50%) External works</t>
        </is>
      </c>
      <c r="C80" s="101" t="n">
        <v>0.5</v>
      </c>
      <c r="D80" s="317">
        <f>C80*$D$79</f>
        <v/>
      </c>
      <c r="E80" s="310" t="n"/>
      <c r="F80" s="307" t="n"/>
      <c r="G80" s="307" t="n"/>
      <c r="H80" s="307" t="n"/>
      <c r="I80" s="307" t="n"/>
      <c r="J80" s="307" t="n"/>
      <c r="K80" s="307" t="n"/>
      <c r="L80" s="307" t="n"/>
      <c r="M80" s="307" t="n"/>
      <c r="N80" s="307" t="n"/>
      <c r="O80" s="307" t="n"/>
      <c r="P80" s="307" t="n"/>
      <c r="Q80" s="312" t="n"/>
      <c r="R80" s="312" t="n"/>
      <c r="S80" s="312" t="n"/>
      <c r="T80" s="312" t="n"/>
      <c r="U80" s="312" t="n"/>
      <c r="V80" s="312" t="n"/>
      <c r="W80" s="312" t="n"/>
      <c r="X80" s="312" t="n"/>
      <c r="Y80" s="312" t="n"/>
      <c r="Z80" s="312" t="n"/>
      <c r="AA80" s="312" t="n"/>
      <c r="AB80" s="312" t="n"/>
      <c r="AC80" s="313" t="n"/>
      <c r="AD80" s="314" t="n"/>
      <c r="AE80" s="315" t="n"/>
      <c r="AF80" s="316" t="n"/>
      <c r="AH80" s="308" t="n">
        <v>20</v>
      </c>
      <c r="AI80" s="308" t="n">
        <v>3</v>
      </c>
    </row>
    <row r="81" ht="28.2" customHeight="1">
      <c r="A81" s="88" t="n"/>
      <c r="B81" s="100" t="inlineStr">
        <is>
          <t>(100%) Completion of External works</t>
        </is>
      </c>
      <c r="C81" s="101" t="n">
        <v>0.5</v>
      </c>
      <c r="D81" s="317">
        <f>C81*$D$79</f>
        <v/>
      </c>
      <c r="E81" s="310" t="n"/>
      <c r="F81" s="307" t="n"/>
      <c r="G81" s="307" t="n"/>
      <c r="H81" s="307" t="n"/>
      <c r="I81" s="307" t="n"/>
      <c r="J81" s="307" t="n"/>
      <c r="K81" s="307" t="n"/>
      <c r="L81" s="307" t="n"/>
      <c r="M81" s="307" t="n"/>
      <c r="N81" s="307" t="n"/>
      <c r="O81" s="307" t="n"/>
      <c r="P81" s="307" t="n"/>
      <c r="Q81" s="312" t="n"/>
      <c r="R81" s="312" t="n"/>
      <c r="S81" s="312" t="n"/>
      <c r="T81" s="312" t="n"/>
      <c r="U81" s="312" t="n"/>
      <c r="V81" s="312" t="n"/>
      <c r="W81" s="312" t="n"/>
      <c r="X81" s="312" t="n"/>
      <c r="Y81" s="312" t="n"/>
      <c r="Z81" s="312" t="n"/>
      <c r="AA81" s="312" t="n"/>
      <c r="AB81" s="312" t="n"/>
      <c r="AC81" s="313" t="n"/>
      <c r="AD81" s="314" t="n"/>
      <c r="AE81" s="315" t="n"/>
      <c r="AF81" s="316" t="n"/>
      <c r="AH81" s="308" t="n">
        <v>23</v>
      </c>
      <c r="AI81" s="308" t="n">
        <v>2</v>
      </c>
    </row>
    <row r="82" ht="28.2" customHeight="1">
      <c r="A82" s="88" t="n"/>
      <c r="B82" s="85" t="n"/>
      <c r="C82" s="74" t="n"/>
      <c r="D82" s="300" t="n"/>
      <c r="E82" s="310" t="n"/>
      <c r="F82" s="307" t="n"/>
      <c r="G82" s="307" t="n"/>
      <c r="H82" s="307" t="n"/>
      <c r="I82" s="307" t="n"/>
      <c r="J82" s="307" t="n"/>
      <c r="K82" s="307" t="n"/>
      <c r="L82" s="307" t="n"/>
      <c r="M82" s="307" t="n"/>
      <c r="N82" s="307" t="n"/>
      <c r="O82" s="307" t="n"/>
      <c r="P82" s="307" t="n"/>
      <c r="Q82" s="312" t="n"/>
      <c r="R82" s="312" t="n"/>
      <c r="S82" s="312" t="n"/>
      <c r="T82" s="312" t="n"/>
      <c r="U82" s="312" t="n"/>
      <c r="V82" s="312" t="n"/>
      <c r="W82" s="312" t="n"/>
      <c r="X82" s="312" t="n"/>
      <c r="Y82" s="312" t="n"/>
      <c r="Z82" s="312" t="n"/>
      <c r="AA82" s="312" t="n"/>
      <c r="AB82" s="312" t="n"/>
      <c r="AC82" s="313" t="n"/>
      <c r="AD82" s="314" t="n"/>
      <c r="AE82" s="315" t="n"/>
      <c r="AF82" s="316" t="n"/>
    </row>
    <row r="83" ht="27.6" customHeight="1">
      <c r="A83" s="88" t="inlineStr">
        <is>
          <t>S</t>
        </is>
      </c>
      <c r="B83" s="89">
        <f>'GEN SUMMARY.'!B37</f>
        <v/>
      </c>
      <c r="C83" s="90" t="n"/>
      <c r="D83" s="311">
        <f>'GEN SUMMARY.'!E37</f>
        <v/>
      </c>
      <c r="E83" s="310">
        <f>IF(AND(E$2&gt;=$AH84,E$2&lt;$AH84+$AI84),$D84/$AI84,0)+IF(AND(E$2&gt;=$AH85,E$2&lt;$AH85+$AI85),$D85/$AI85,0)</f>
        <v/>
      </c>
      <c r="F83" s="307">
        <f>IF(AND(F$2&gt;=$AH84,F$2&lt;$AH84+$AI84),$D84/$AI84,0)+IF(AND(F$2&gt;=$AH85,F$2&lt;$AH85+$AI85),$D85/$AI85,0)</f>
        <v/>
      </c>
      <c r="G83" s="307">
        <f>IF(AND(G$2&gt;=$AH84,G$2&lt;$AH84+$AI84),$D84/$AI84,0)+IF(AND(G$2&gt;=$AH85,G$2&lt;$AH85+$AI85),$D85/$AI85,0)</f>
        <v/>
      </c>
      <c r="H83" s="307">
        <f>IF(AND(H$2&gt;=$AH84,H$2&lt;$AH84+$AI84),$D84/$AI84,0)+IF(AND(H$2&gt;=$AH85,H$2&lt;$AH85+$AI85),$D85/$AI85,0)</f>
        <v/>
      </c>
      <c r="I83" s="307">
        <f>IF(AND(I$2&gt;=$AH84,I$2&lt;$AH84+$AI84),$D84/$AI84,0)+IF(AND(I$2&gt;=$AH85,I$2&lt;$AH85+$AI85),$D85/$AI85,0)</f>
        <v/>
      </c>
      <c r="J83" s="307">
        <f>IF(AND(J$2&gt;=$AH84,J$2&lt;$AH84+$AI84),$D84/$AI84,0)+IF(AND(J$2&gt;=$AH85,J$2&lt;$AH85+$AI85),$D85/$AI85,0)</f>
        <v/>
      </c>
      <c r="K83" s="307">
        <f>IF(AND(K$2&gt;=$AH84,K$2&lt;$AH84+$AI84),$D84/$AI84,0)+IF(AND(K$2&gt;=$AH85,K$2&lt;$AH85+$AI85),$D85/$AI85,0)</f>
        <v/>
      </c>
      <c r="L83" s="307">
        <f>IF(AND(L$2&gt;=$AH84,L$2&lt;$AH84+$AI84),$D84/$AI84,0)+IF(AND(L$2&gt;=$AH85,L$2&lt;$AH85+$AI85),$D85/$AI85,0)</f>
        <v/>
      </c>
      <c r="M83" s="307">
        <f>IF(AND(M$2&gt;=$AH84,M$2&lt;$AH84+$AI84),$D84/$AI84,0)+IF(AND(M$2&gt;=$AH85,M$2&lt;$AH85+$AI85),$D85/$AI85,0)</f>
        <v/>
      </c>
      <c r="N83" s="307">
        <f>IF(AND(N$2&gt;=$AH84,N$2&lt;$AH84+$AI84),$D84/$AI84,0)+IF(AND(N$2&gt;=$AH85,N$2&lt;$AH85+$AI85),$D85/$AI85,0)</f>
        <v/>
      </c>
      <c r="O83" s="307">
        <f>IF(AND(O$2&gt;=$AH84,O$2&lt;$AH84+$AI84),$D84/$AI84,0)+IF(AND(O$2&gt;=$AH85,O$2&lt;$AH85+$AI85),$D85/$AI85,0)</f>
        <v/>
      </c>
      <c r="P83" s="307">
        <f>IF(AND(P$2&gt;=$AH84,P$2&lt;$AH84+$AI84),$D84/$AI84,0)+IF(AND(P$2&gt;=$AH85,P$2&lt;$AH85+$AI85),$D85/$AI85,0)</f>
        <v/>
      </c>
      <c r="Q83" s="312">
        <f>IF(AND(Q$2&gt;=$AH84,Q$2&lt;$AH84+$AI84),$D84/$AI84,0)+IF(AND(Q$2&gt;=$AH85,Q$2&lt;$AH85+$AI85),$D85/$AI85,0)</f>
        <v/>
      </c>
      <c r="R83" s="312">
        <f>IF(AND(R$2&gt;=$AH84,R$2&lt;$AH84+$AI84),$D84/$AI84,0)+IF(AND(R$2&gt;=$AH85,R$2&lt;$AH85+$AI85),$D85/$AI85,0)</f>
        <v/>
      </c>
      <c r="S83" s="312">
        <f>IF(AND(S$2&gt;=$AH84,S$2&lt;$AH84+$AI84),$D84/$AI84,0)+IF(AND(S$2&gt;=$AH85,S$2&lt;$AH85+$AI85),$D85/$AI85,0)</f>
        <v/>
      </c>
      <c r="T83" s="312">
        <f>IF(AND(T$2&gt;=$AH84,T$2&lt;$AH84+$AI84),$D84/$AI84,0)+IF(AND(T$2&gt;=$AH85,T$2&lt;$AH85+$AI85),$D85/$AI85,0)</f>
        <v/>
      </c>
      <c r="U83" s="312">
        <f>IF(AND(U$2&gt;=$AH84,U$2&lt;$AH84+$AI84),$D84/$AI84,0)+IF(AND(U$2&gt;=$AH85,U$2&lt;$AH85+$AI85),$D85/$AI85,0)</f>
        <v/>
      </c>
      <c r="V83" s="312">
        <f>IF(AND(V$2&gt;=$AH84,V$2&lt;$AH84+$AI84),$D84/$AI84,0)+IF(AND(V$2&gt;=$AH85,V$2&lt;$AH85+$AI85),$D85/$AI85,0)</f>
        <v/>
      </c>
      <c r="W83" s="312">
        <f>IF(AND(W$2&gt;=$AH84,W$2&lt;$AH84+$AI84),$D84/$AI84,0)+IF(AND(W$2&gt;=$AH85,W$2&lt;$AH85+$AI85),$D85/$AI85,0)</f>
        <v/>
      </c>
      <c r="X83" s="312">
        <f>IF(AND(X$2&gt;=$AH84,X$2&lt;$AH84+$AI84),$D84/$AI84,0)+IF(AND(X$2&gt;=$AH85,X$2&lt;$AH85+$AI85),$D85/$AI85,0)</f>
        <v/>
      </c>
      <c r="Y83" s="312">
        <f>IF(AND(Y$2&gt;=$AH84,Y$2&lt;$AH84+$AI84),$D84/$AI84,0)+IF(AND(Y$2&gt;=$AH85,Y$2&lt;$AH85+$AI85),$D85/$AI85,0)</f>
        <v/>
      </c>
      <c r="Z83" s="312">
        <f>IF(AND(Z$2&gt;=$AH84,Z$2&lt;$AH84+$AI84),$D84/$AI84,0)+IF(AND(Z$2&gt;=$AH85,Z$2&lt;$AH85+$AI85),$D85/$AI85,0)</f>
        <v/>
      </c>
      <c r="AA83" s="312">
        <f>IF(AND(AA$2&gt;=$AH84,AA$2&lt;$AH84+$AI84),$D84/$AI84,0)+IF(AND(AA$2&gt;=$AH85,AA$2&lt;$AH85+$AI85),$D85/$AI85,0)</f>
        <v/>
      </c>
      <c r="AB83" s="312">
        <f>IF(AND(AB$2&gt;=$AH84,AB$2&lt;$AH84+$AI84),$D84/$AI84,0)+IF(AND(AB$2&gt;=$AH85,AB$2&lt;$AH85+$AI85),$D85/$AI85,0)</f>
        <v/>
      </c>
      <c r="AC83" s="313">
        <f>IF(AND(AC$2&gt;=$AH84,AC$2&lt;$AH84+$AI84),$D84/$AI84,0)+IF(AND(AC$2&gt;=$AH85,AC$2&lt;$AH85+$AI85),$D85/$AI85,0)</f>
        <v/>
      </c>
      <c r="AD83" s="314">
        <f>IF(AND(AD$2&gt;=$AH84,AD$2&lt;$AH84+$AI84),$D84/$AI84,0)+IF(AND(AD$2&gt;=$AH85,AD$2&lt;$AH85+$AI85),$D85/$AI85,0)</f>
        <v/>
      </c>
      <c r="AE83" s="315">
        <f>IF(AND(AE$2&gt;=$AH84,AE$2&lt;$AH84+$AI84),$D84/$AI84,0)+IF(AND(AE$2&gt;=$AH85,AE$2&lt;$AH85+$AI85),$D85/$AI85,0)</f>
        <v/>
      </c>
      <c r="AF83" s="316">
        <f>SUM(E83:AE83)</f>
        <v/>
      </c>
    </row>
    <row r="84" ht="28.2" customHeight="1">
      <c r="A84" s="88" t="n"/>
      <c r="B84" s="100" t="inlineStr">
        <is>
          <t>Design fees - 1st instalment</t>
        </is>
      </c>
      <c r="C84" s="101" t="n">
        <v>0.5</v>
      </c>
      <c r="D84" s="317">
        <f>C84*$D$83</f>
        <v/>
      </c>
      <c r="E84" s="310" t="n"/>
      <c r="F84" s="307" t="n"/>
      <c r="G84" s="307" t="n"/>
      <c r="H84" s="307" t="n"/>
      <c r="I84" s="307" t="n"/>
      <c r="J84" s="307" t="n"/>
      <c r="K84" s="307" t="n"/>
      <c r="L84" s="307" t="n"/>
      <c r="M84" s="307" t="n"/>
      <c r="N84" s="307" t="n"/>
      <c r="O84" s="307" t="n"/>
      <c r="P84" s="307" t="n"/>
      <c r="Q84" s="312" t="n"/>
      <c r="R84" s="312" t="n"/>
      <c r="S84" s="312" t="n"/>
      <c r="T84" s="312" t="n"/>
      <c r="U84" s="312" t="n"/>
      <c r="V84" s="312" t="n"/>
      <c r="W84" s="312" t="n"/>
      <c r="X84" s="312" t="n"/>
      <c r="Y84" s="312" t="n"/>
      <c r="Z84" s="312" t="n"/>
      <c r="AA84" s="312" t="n"/>
      <c r="AB84" s="312" t="n"/>
      <c r="AC84" s="313" t="n"/>
      <c r="AD84" s="314" t="n"/>
      <c r="AE84" s="315" t="n"/>
      <c r="AF84" s="316" t="n"/>
      <c r="AH84" s="308" t="n">
        <v>1</v>
      </c>
      <c r="AI84" s="308" t="n">
        <v>1</v>
      </c>
    </row>
    <row r="85" ht="28.2" customHeight="1">
      <c r="A85" s="88" t="n"/>
      <c r="B85" s="100" t="inlineStr">
        <is>
          <t>Design fees - balance</t>
        </is>
      </c>
      <c r="C85" s="101" t="n">
        <v>0.5</v>
      </c>
      <c r="D85" s="317">
        <f>C85*$D$83</f>
        <v/>
      </c>
      <c r="E85" s="310" t="n"/>
      <c r="F85" s="307" t="n"/>
      <c r="G85" s="307" t="n"/>
      <c r="H85" s="307" t="n"/>
      <c r="I85" s="307" t="n"/>
      <c r="J85" s="307" t="n"/>
      <c r="K85" s="307" t="n"/>
      <c r="L85" s="307" t="n"/>
      <c r="M85" s="307" t="n"/>
      <c r="N85" s="307" t="n"/>
      <c r="O85" s="307" t="n"/>
      <c r="P85" s="307" t="n"/>
      <c r="Q85" s="312" t="n"/>
      <c r="R85" s="312" t="n"/>
      <c r="S85" s="312" t="n"/>
      <c r="T85" s="312" t="n"/>
      <c r="U85" s="312" t="n"/>
      <c r="V85" s="312" t="n"/>
      <c r="W85" s="312" t="n"/>
      <c r="X85" s="312" t="n"/>
      <c r="Y85" s="312" t="n"/>
      <c r="Z85" s="312" t="n"/>
      <c r="AA85" s="312" t="n"/>
      <c r="AB85" s="312" t="n"/>
      <c r="AC85" s="313" t="n"/>
      <c r="AD85" s="314" t="n"/>
      <c r="AE85" s="315" t="n"/>
      <c r="AF85" s="316" t="n"/>
      <c r="AH85" s="308" t="n">
        <v>2</v>
      </c>
      <c r="AI85" s="308" t="n">
        <v>11</v>
      </c>
    </row>
    <row r="86" ht="28.2" customHeight="1">
      <c r="A86" s="88" t="n"/>
      <c r="B86" s="85" t="n"/>
      <c r="C86" s="74" t="n"/>
      <c r="D86" s="300" t="n"/>
      <c r="E86" s="310" t="n"/>
      <c r="F86" s="307" t="n"/>
      <c r="G86" s="307" t="n"/>
      <c r="H86" s="307" t="n"/>
      <c r="I86" s="307" t="n"/>
      <c r="J86" s="307" t="n"/>
      <c r="K86" s="307" t="n"/>
      <c r="L86" s="307" t="n"/>
      <c r="M86" s="307" t="n"/>
      <c r="N86" s="307" t="n"/>
      <c r="O86" s="307" t="n"/>
      <c r="P86" s="307" t="n"/>
      <c r="Q86" s="312" t="n"/>
      <c r="R86" s="312" t="n"/>
      <c r="S86" s="312" t="n"/>
      <c r="T86" s="312" t="n"/>
      <c r="U86" s="312" t="n"/>
      <c r="V86" s="312" t="n"/>
      <c r="W86" s="312" t="n"/>
      <c r="X86" s="312" t="n"/>
      <c r="Y86" s="312" t="n"/>
      <c r="Z86" s="312" t="n"/>
      <c r="AA86" s="312" t="n"/>
      <c r="AB86" s="312" t="n"/>
      <c r="AC86" s="313" t="n"/>
      <c r="AD86" s="314" t="n"/>
      <c r="AE86" s="315" t="n"/>
      <c r="AF86" s="316" t="n"/>
    </row>
    <row r="87" ht="27.6" customHeight="1">
      <c r="A87" s="88" t="inlineStr">
        <is>
          <t>T</t>
        </is>
      </c>
      <c r="B87" s="89">
        <f>'GEN SUMMARY.'!B39</f>
        <v/>
      </c>
      <c r="C87" s="90" t="n"/>
      <c r="D87" s="311">
        <f>'GEN SUMMARY.'!E39</f>
        <v/>
      </c>
      <c r="E87" s="310">
        <f>IF(AND(E$2&gt;=$AH88,E$2&lt;$AH88+$AI88),$D88/$AI88,0)</f>
        <v/>
      </c>
      <c r="F87" s="307">
        <f>IF(AND(F$2&gt;=$AH88,F$2&lt;$AH88+$AI88),$D88/$AI88,0)</f>
        <v/>
      </c>
      <c r="G87" s="307">
        <f>IF(AND(G$2&gt;=$AH88,G$2&lt;$AH88+$AI88),$D88/$AI88,0)</f>
        <v/>
      </c>
      <c r="H87" s="307">
        <f>IF(AND(H$2&gt;=$AH88,H$2&lt;$AH88+$AI88),$D88/$AI88,0)</f>
        <v/>
      </c>
      <c r="I87" s="307">
        <f>IF(AND(I$2&gt;=$AH88,I$2&lt;$AH88+$AI88),$D88/$AI88,0)</f>
        <v/>
      </c>
      <c r="J87" s="307">
        <f>IF(AND(J$2&gt;=$AH88,J$2&lt;$AH88+$AI88),$D88/$AI88,0)</f>
        <v/>
      </c>
      <c r="K87" s="307">
        <f>IF(AND(K$2&gt;=$AH88,K$2&lt;$AH88+$AI88),$D88/$AI88,0)</f>
        <v/>
      </c>
      <c r="L87" s="307">
        <f>IF(AND(L$2&gt;=$AH88,L$2&lt;$AH88+$AI88),$D88/$AI88,0)</f>
        <v/>
      </c>
      <c r="M87" s="307">
        <f>IF(AND(M$2&gt;=$AH88,M$2&lt;$AH88+$AI88),$D88/$AI88,0)</f>
        <v/>
      </c>
      <c r="N87" s="307">
        <f>IF(AND(N$2&gt;=$AH88,N$2&lt;$AH88+$AI88),$D88/$AI88,0)</f>
        <v/>
      </c>
      <c r="O87" s="307">
        <f>IF(AND(O$2&gt;=$AH88,O$2&lt;$AH88+$AI88),$D88/$AI88,0)</f>
        <v/>
      </c>
      <c r="P87" s="307">
        <f>IF(AND(P$2&gt;=$AH88,P$2&lt;$AH88+$AI88),$D88/$AI88,0)</f>
        <v/>
      </c>
      <c r="Q87" s="312">
        <f>IF(AND(Q$2&gt;=$AH88,Q$2&lt;$AH88+$AI88),$D88/$AI88,0)</f>
        <v/>
      </c>
      <c r="R87" s="312">
        <f>IF(AND(R$2&gt;=$AH88,R$2&lt;$AH88+$AI88),$D88/$AI88,0)</f>
        <v/>
      </c>
      <c r="S87" s="312">
        <f>IF(AND(S$2&gt;=$AH88,S$2&lt;$AH88+$AI88),$D88/$AI88,0)</f>
        <v/>
      </c>
      <c r="T87" s="312">
        <f>IF(AND(T$2&gt;=$AH88,T$2&lt;$AH88+$AI88),$D88/$AI88,0)</f>
        <v/>
      </c>
      <c r="U87" s="312">
        <f>IF(AND(U$2&gt;=$AH88,U$2&lt;$AH88+$AI88),$D88/$AI88,0)</f>
        <v/>
      </c>
      <c r="V87" s="312">
        <f>IF(AND(V$2&gt;=$AH88,V$2&lt;$AH88+$AI88),$D88/$AI88,0)</f>
        <v/>
      </c>
      <c r="W87" s="312">
        <f>IF(AND(W$2&gt;=$AH88,W$2&lt;$AH88+$AI88),$D88/$AI88,0)</f>
        <v/>
      </c>
      <c r="X87" s="312">
        <f>IF(AND(X$2&gt;=$AH88,X$2&lt;$AH88+$AI88),$D88/$AI88,0)</f>
        <v/>
      </c>
      <c r="Y87" s="312">
        <f>IF(AND(Y$2&gt;=$AH88,Y$2&lt;$AH88+$AI88),$D88/$AI88,0)</f>
        <v/>
      </c>
      <c r="Z87" s="312">
        <f>IF(AND(Z$2&gt;=$AH88,Z$2&lt;$AH88+$AI88),$D88/$AI88,0)</f>
        <v/>
      </c>
      <c r="AA87" s="312">
        <f>IF(AND(AA$2&gt;=$AH88,AA$2&lt;$AH88+$AI88),$D88/$AI88,0)</f>
        <v/>
      </c>
      <c r="AB87" s="312">
        <f>IF(AND(AB$2&gt;=$AH88,AB$2&lt;$AH88+$AI88),$D88/$AI88,0)</f>
        <v/>
      </c>
      <c r="AC87" s="313">
        <f>IF(AND(AC$2&gt;=$AH88,AC$2&lt;$AH88+$AI88),$D88/$AI88,0)</f>
        <v/>
      </c>
      <c r="AD87" s="314">
        <f>IF(AND(AD$2&gt;=$AH88,AD$2&lt;$AH88+$AI88),$D88/$AI88,0)</f>
        <v/>
      </c>
      <c r="AE87" s="315">
        <f>IF(AND(AE$2&gt;=$AH88,AE$2&lt;$AH88+$AI88),$D88/$AI88,0)</f>
        <v/>
      </c>
      <c r="AF87" s="316">
        <f>SUM(E87:AE87)</f>
        <v/>
      </c>
    </row>
    <row r="88" ht="28.2" customHeight="1">
      <c r="A88" s="88" t="n"/>
      <c r="B88" s="100" t="inlineStr">
        <is>
          <t>Monthly project management</t>
        </is>
      </c>
      <c r="C88" s="101" t="n">
        <v>1</v>
      </c>
      <c r="D88" s="317">
        <f>C88*$D$87</f>
        <v/>
      </c>
      <c r="E88" s="310" t="n"/>
      <c r="F88" s="307" t="n"/>
      <c r="G88" s="307" t="n"/>
      <c r="H88" s="307" t="n"/>
      <c r="I88" s="307" t="n"/>
      <c r="J88" s="307" t="n"/>
      <c r="K88" s="307" t="n"/>
      <c r="L88" s="307" t="n"/>
      <c r="M88" s="307" t="n"/>
      <c r="N88" s="307" t="n"/>
      <c r="O88" s="307" t="n"/>
      <c r="P88" s="307" t="n"/>
      <c r="Q88" s="312" t="n"/>
      <c r="R88" s="312" t="n"/>
      <c r="S88" s="312" t="n"/>
      <c r="T88" s="312" t="n"/>
      <c r="U88" s="312" t="n"/>
      <c r="V88" s="312" t="n"/>
      <c r="W88" s="312" t="n"/>
      <c r="X88" s="312" t="n"/>
      <c r="Y88" s="312" t="n"/>
      <c r="Z88" s="312" t="n"/>
      <c r="AA88" s="312" t="n"/>
      <c r="AB88" s="312" t="n"/>
      <c r="AC88" s="313" t="n"/>
      <c r="AD88" s="314" t="n"/>
      <c r="AE88" s="315" t="n"/>
      <c r="AF88" s="316" t="n"/>
      <c r="AH88" s="308" t="n">
        <v>1</v>
      </c>
      <c r="AI88" s="308" t="n">
        <v>24</v>
      </c>
    </row>
    <row r="89" ht="28.2" customHeight="1">
      <c r="A89" s="88" t="n"/>
      <c r="B89" s="85" t="n"/>
      <c r="C89" s="74" t="n"/>
      <c r="D89" s="300" t="n"/>
      <c r="E89" s="310" t="n"/>
      <c r="F89" s="307" t="n"/>
      <c r="G89" s="307" t="n"/>
      <c r="H89" s="307" t="n"/>
      <c r="I89" s="307" t="n"/>
      <c r="J89" s="307" t="n"/>
      <c r="K89" s="307" t="n"/>
      <c r="L89" s="307" t="n"/>
      <c r="M89" s="307" t="n"/>
      <c r="N89" s="307" t="n"/>
      <c r="O89" s="307" t="n"/>
      <c r="P89" s="307" t="n"/>
      <c r="Q89" s="312" t="n"/>
      <c r="R89" s="312" t="n"/>
      <c r="S89" s="312" t="n"/>
      <c r="T89" s="312" t="n"/>
      <c r="U89" s="312" t="n"/>
      <c r="V89" s="312" t="n"/>
      <c r="W89" s="312" t="n"/>
      <c r="X89" s="312" t="n"/>
      <c r="Y89" s="312" t="n"/>
      <c r="Z89" s="312" t="n"/>
      <c r="AA89" s="312" t="n"/>
      <c r="AB89" s="312" t="n"/>
      <c r="AC89" s="313" t="n"/>
      <c r="AD89" s="314" t="n"/>
      <c r="AE89" s="315" t="n"/>
      <c r="AF89" s="316" t="n"/>
    </row>
    <row r="90" ht="32.4" customHeight="1">
      <c r="A90" s="58" t="n"/>
      <c r="B90" s="318" t="inlineStr">
        <is>
          <t>ESTIMATED MONTHLY VALUATION (EXCL. ADVANCE)</t>
        </is>
      </c>
      <c r="C90" s="319" t="n"/>
      <c r="D90" s="320" t="n"/>
      <c r="E90" s="321">
        <f>E6+E11+E15+E20+E26+E32+E38+E44+E50+E56+E62+E67+E71+E75+E79+E83+E87</f>
        <v/>
      </c>
      <c r="F90" s="322">
        <f>F6+F11+F15+F20+F26+F32+F38+F44+F50+F56+F62+F67+F71+F75+F79+F83+F87</f>
        <v/>
      </c>
      <c r="G90" s="322">
        <f>G6+G11+G15+G20+G26+G32+G38+G44+G50+G56+G62+G67+G71+G75+G79+G83+G87</f>
        <v/>
      </c>
      <c r="H90" s="322">
        <f>H6+H11+H15+H20+H26+H32+H38+H44+H50+H56+H62+H67+H71+H75+H79+H83+H87</f>
        <v/>
      </c>
      <c r="I90" s="322">
        <f>I6+I11+I15+I20+I26+I32+I38+I44+I50+I56+I62+I67+I71+I75+I79+I83+I87</f>
        <v/>
      </c>
      <c r="J90" s="322">
        <f>J6+J11+J15+J20+J26+J32+J38+J44+J50+J56+J62+J67+J71+J75+J79+J83+J87</f>
        <v/>
      </c>
      <c r="K90" s="322">
        <f>K6+K11+K15+K20+K26+K32+K38+K44+K50+K56+K62+K67+K71+K75+K79+K83+K87</f>
        <v/>
      </c>
      <c r="L90" s="322">
        <f>L6+L11+L15+L20+L26+L32+L38+L44+L50+L56+L62+L67+L71+L75+L79+L83+L87</f>
        <v/>
      </c>
      <c r="M90" s="322">
        <f>M6+M11+M15+M20+M26+M32+M38+M44+M50+M56+M62+M67+M71+M75+M79+M83+M87</f>
        <v/>
      </c>
      <c r="N90" s="322">
        <f>N6+N11+N15+N20+N26+N32+N38+N44+N50+N56+N62+N67+N71+N75+N79+N83+N87</f>
        <v/>
      </c>
      <c r="O90" s="322">
        <f>O6+O11+O15+O20+O26+O32+O38+O44+O50+O56+O62+O67+O71+O75+O79+O83+O87</f>
        <v/>
      </c>
      <c r="P90" s="322">
        <f>P6+P11+P15+P20+P26+P32+P38+P44+P50+P56+P62+P67+P71+P75+P79+P83+P87</f>
        <v/>
      </c>
      <c r="Q90" s="323">
        <f>Q6+Q11+Q15+Q20+Q26+Q32+Q38+Q44+Q50+Q56+Q62+Q67+Q71+Q75+Q79+Q83+Q87</f>
        <v/>
      </c>
      <c r="R90" s="323">
        <f>R6+R11+R15+R20+R26+R32+R38+R44+R50+R56+R62+R67+R71+R75+R79+R83+R87</f>
        <v/>
      </c>
      <c r="S90" s="323">
        <f>S6+S11+S15+S20+S26+S32+S38+S44+S50+S56+S62+S67+S71+S75+S79+S83+S87</f>
        <v/>
      </c>
      <c r="T90" s="323">
        <f>T6+T11+T15+T20+T26+T32+T38+T44+T50+T56+T62+T67+T71+T75+T79+T83+T87</f>
        <v/>
      </c>
      <c r="U90" s="323">
        <f>U6+U11+U15+U20+U26+U32+U38+U44+U50+U56+U62+U67+U71+U75+U79+U83+U87</f>
        <v/>
      </c>
      <c r="V90" s="323">
        <f>V6+V11+V15+V20+V26+V32+V38+V44+V50+V56+V62+V67+V71+V75+V79+V83+V87</f>
        <v/>
      </c>
      <c r="W90" s="323">
        <f>W6+W11+W15+W20+W26+W32+W38+W44+W50+W56+W62+W67+W71+W75+W79+W83+W87</f>
        <v/>
      </c>
      <c r="X90" s="323">
        <f>X6+X11+X15+X20+X26+X32+X38+X44+X50+X56+X62+X67+X71+X75+X79+X83+X87</f>
        <v/>
      </c>
      <c r="Y90" s="323">
        <f>Y6+Y11+Y15+Y20+Y26+Y32+Y38+Y44+Y50+Y56+Y62+Y67+Y71+Y75+Y79+Y83+Y87</f>
        <v/>
      </c>
      <c r="Z90" s="323">
        <f>Z6+Z11+Z15+Z20+Z26+Z32+Z38+Z44+Z50+Z56+Z62+Z67+Z71+Z75+Z79+Z83+Z87</f>
        <v/>
      </c>
      <c r="AA90" s="323">
        <f>AA6+AA11+AA15+AA20+AA26+AA32+AA38+AA44+AA50+AA56+AA62+AA67+AA71+AA75+AA79+AA83+AA87</f>
        <v/>
      </c>
      <c r="AB90" s="323">
        <f>AB6+AB11+AB15+AB20+AB26+AB32+AB38+AB44+AB50+AB56+AB62+AB67+AB71+AB75+AB79+AB83+AB87</f>
        <v/>
      </c>
      <c r="AC90" s="324">
        <f>AC6+AC11+AC15+AC20+AC26+AC32+AC38+AC44+AC50+AC56+AC62+AC67+AC71+AC75+AC79+AC83+AC87</f>
        <v/>
      </c>
      <c r="AD90" s="325">
        <f>AD6+AD11+AD15+AD20+AD26+AD32+AD38+AD44+AD50+AD56+AD62+AD67+AD71+AD75+AD79+AD83+AD87</f>
        <v/>
      </c>
      <c r="AE90" s="326">
        <f>AE6+AE11+AE15+AE20+AE26+AE32+AE38+AE44+AE50+AE56+AE62+AE67+AE71+AE75+AE79+AE83+AE87</f>
        <v/>
      </c>
      <c r="AF90" s="327">
        <f>SUM(E90:AE90)</f>
        <v/>
      </c>
    </row>
    <row r="91" ht="32.4" customHeight="1">
      <c r="A91" s="88" t="n"/>
      <c r="B91" s="328" t="inlineStr">
        <is>
          <t>CUMULATIVE VALUATION</t>
        </is>
      </c>
      <c r="C91" s="329" t="n"/>
      <c r="D91" s="330" t="n"/>
      <c r="E91" s="331">
        <f>E90</f>
        <v/>
      </c>
      <c r="F91" s="332">
        <f>E91+F90</f>
        <v/>
      </c>
      <c r="G91" s="332">
        <f>F91+G90</f>
        <v/>
      </c>
      <c r="H91" s="332">
        <f>G91+H90</f>
        <v/>
      </c>
      <c r="I91" s="332">
        <f>H91+I90</f>
        <v/>
      </c>
      <c r="J91" s="332">
        <f>I91+J90</f>
        <v/>
      </c>
      <c r="K91" s="332">
        <f>J91+K90</f>
        <v/>
      </c>
      <c r="L91" s="332">
        <f>K91+L90</f>
        <v/>
      </c>
      <c r="M91" s="332">
        <f>L91+M90</f>
        <v/>
      </c>
      <c r="N91" s="332">
        <f>M91+N90</f>
        <v/>
      </c>
      <c r="O91" s="332">
        <f>N91+O90</f>
        <v/>
      </c>
      <c r="P91" s="332">
        <f>O91+P90</f>
        <v/>
      </c>
      <c r="Q91" s="333">
        <f>P91+Q90</f>
        <v/>
      </c>
      <c r="R91" s="333">
        <f>Q91+R90</f>
        <v/>
      </c>
      <c r="S91" s="333">
        <f>R91+S90</f>
        <v/>
      </c>
      <c r="T91" s="333">
        <f>S91+T90</f>
        <v/>
      </c>
      <c r="U91" s="333">
        <f>T91+U90</f>
        <v/>
      </c>
      <c r="V91" s="333">
        <f>U91+V90</f>
        <v/>
      </c>
      <c r="W91" s="333">
        <f>V91+W90</f>
        <v/>
      </c>
      <c r="X91" s="333">
        <f>W91+X90</f>
        <v/>
      </c>
      <c r="Y91" s="333">
        <f>X91+Y90</f>
        <v/>
      </c>
      <c r="Z91" s="333">
        <f>Y91+Z90</f>
        <v/>
      </c>
      <c r="AA91" s="333">
        <f>Z91+AA90</f>
        <v/>
      </c>
      <c r="AB91" s="333">
        <f>AA91+AB90</f>
        <v/>
      </c>
      <c r="AC91" s="334">
        <f>AB91+AC90</f>
        <v/>
      </c>
      <c r="AD91" s="335">
        <f>AC91+AD90</f>
        <v/>
      </c>
      <c r="AE91" s="336">
        <f>AD91+AE90</f>
        <v/>
      </c>
      <c r="AF91" s="327" t="n"/>
    </row>
    <row r="92" ht="33" customHeight="1">
      <c r="A92" s="88" t="n"/>
      <c r="B92" s="337" t="inlineStr">
        <is>
          <t>DEDUCT RETENTION</t>
        </is>
      </c>
      <c r="C92" s="338" t="n"/>
      <c r="D92" s="330" t="n"/>
      <c r="E92" s="331">
        <f>MIN($C$104*E90,MAX(0,$C$102-0))</f>
        <v/>
      </c>
      <c r="F92" s="339">
        <f>MIN($C$104*F90,MAX(0,$C$102-E93))</f>
        <v/>
      </c>
      <c r="G92" s="339">
        <f>MIN($C$104*G90,MAX(0,$C$102-F93))</f>
        <v/>
      </c>
      <c r="H92" s="339">
        <f>MIN($C$104*H90,MAX(0,$C$102-G93))</f>
        <v/>
      </c>
      <c r="I92" s="339">
        <f>MIN($C$104*I90,MAX(0,$C$102-H93))</f>
        <v/>
      </c>
      <c r="J92" s="339">
        <f>MIN($C$104*J90,MAX(0,$C$102-I93))</f>
        <v/>
      </c>
      <c r="K92" s="339">
        <f>MIN($C$104*K90,MAX(0,$C$102-J93))</f>
        <v/>
      </c>
      <c r="L92" s="339">
        <f>MIN($C$104*L90,MAX(0,$C$102-K93))</f>
        <v/>
      </c>
      <c r="M92" s="339">
        <f>MIN($C$104*M90,MAX(0,$C$102-L93))</f>
        <v/>
      </c>
      <c r="N92" s="339">
        <f>MIN($C$104*N90,MAX(0,$C$102-M93))</f>
        <v/>
      </c>
      <c r="O92" s="339">
        <f>MIN($C$104*O90,MAX(0,$C$102-N93))</f>
        <v/>
      </c>
      <c r="P92" s="339">
        <f>MIN($C$104*P90,MAX(0,$C$102-O93))</f>
        <v/>
      </c>
      <c r="Q92" s="340">
        <f>MIN($C$104*Q90,MAX(0,$C$102-P93))</f>
        <v/>
      </c>
      <c r="R92" s="340">
        <f>MIN($C$104*R90,MAX(0,$C$102-Q93))</f>
        <v/>
      </c>
      <c r="S92" s="340">
        <f>MIN($C$104*S90,MAX(0,$C$102-R93))</f>
        <v/>
      </c>
      <c r="T92" s="340">
        <f>MIN($C$104*T90,MAX(0,$C$102-S93))</f>
        <v/>
      </c>
      <c r="U92" s="340">
        <f>MIN($C$104*U90,MAX(0,$C$102-T93))</f>
        <v/>
      </c>
      <c r="V92" s="340">
        <f>MIN($C$104*V90,MAX(0,$C$102-U93))</f>
        <v/>
      </c>
      <c r="W92" s="340">
        <f>MIN($C$104*W90,MAX(0,$C$102-V93))</f>
        <v/>
      </c>
      <c r="X92" s="340">
        <f>MIN($C$104*X90,MAX(0,$C$102-W93))</f>
        <v/>
      </c>
      <c r="Y92" s="340">
        <f>MIN($C$104*Y90,MAX(0,$C$102-X93))</f>
        <v/>
      </c>
      <c r="Z92" s="340">
        <f>MIN($C$104*Z90,MAX(0,$C$102-Y93))</f>
        <v/>
      </c>
      <c r="AA92" s="340">
        <f>MIN($C$104*AA90,MAX(0,$C$102-Z93))</f>
        <v/>
      </c>
      <c r="AB92" s="340">
        <f>MIN($C$104*AB90,MAX(0,$C$102-AA93))</f>
        <v/>
      </c>
      <c r="AC92" s="341">
        <f>MIN($C$104*AC90,MAX(0,$C$102-AB93))</f>
        <v/>
      </c>
      <c r="AD92" s="342">
        <f>-ROUND(AC93*$C$106,2)</f>
        <v/>
      </c>
      <c r="AE92" s="343">
        <f>-AD93</f>
        <v/>
      </c>
      <c r="AF92" s="344">
        <f>SUM(E92:AE92)</f>
        <v/>
      </c>
    </row>
    <row r="93" ht="33" customHeight="1">
      <c r="A93" s="88" t="n"/>
      <c r="B93" s="328" t="inlineStr">
        <is>
          <t>CUMULATIVE RETENTION</t>
        </is>
      </c>
      <c r="C93" s="329" t="n"/>
      <c r="D93" s="330" t="n"/>
      <c r="E93" s="331">
        <f>0+E92</f>
        <v/>
      </c>
      <c r="F93" s="332">
        <f>E93+F92</f>
        <v/>
      </c>
      <c r="G93" s="332">
        <f>F93+G92</f>
        <v/>
      </c>
      <c r="H93" s="332">
        <f>G93+H92</f>
        <v/>
      </c>
      <c r="I93" s="332">
        <f>H93+I92</f>
        <v/>
      </c>
      <c r="J93" s="332">
        <f>I93+J92</f>
        <v/>
      </c>
      <c r="K93" s="332">
        <f>J93+K92</f>
        <v/>
      </c>
      <c r="L93" s="332">
        <f>K93+L92</f>
        <v/>
      </c>
      <c r="M93" s="332">
        <f>L93+M92</f>
        <v/>
      </c>
      <c r="N93" s="332">
        <f>M93+N92</f>
        <v/>
      </c>
      <c r="O93" s="332">
        <f>N93+O92</f>
        <v/>
      </c>
      <c r="P93" s="332">
        <f>O93+P92</f>
        <v/>
      </c>
      <c r="Q93" s="333">
        <f>P93+Q92</f>
        <v/>
      </c>
      <c r="R93" s="333">
        <f>Q93+R92</f>
        <v/>
      </c>
      <c r="S93" s="333">
        <f>R93+S92</f>
        <v/>
      </c>
      <c r="T93" s="333">
        <f>S93+T92</f>
        <v/>
      </c>
      <c r="U93" s="333">
        <f>T93+U92</f>
        <v/>
      </c>
      <c r="V93" s="333">
        <f>U93+V92</f>
        <v/>
      </c>
      <c r="W93" s="333">
        <f>V93+W92</f>
        <v/>
      </c>
      <c r="X93" s="333">
        <f>W93+X92</f>
        <v/>
      </c>
      <c r="Y93" s="333">
        <f>X93+Y92</f>
        <v/>
      </c>
      <c r="Z93" s="333">
        <f>Y93+Z92</f>
        <v/>
      </c>
      <c r="AA93" s="333">
        <f>Z93+AA92</f>
        <v/>
      </c>
      <c r="AB93" s="333">
        <f>AA93+AB92</f>
        <v/>
      </c>
      <c r="AC93" s="334">
        <f>AB93+AC92</f>
        <v/>
      </c>
      <c r="AD93" s="345">
        <f>AC93+AD92</f>
        <v/>
      </c>
      <c r="AE93" s="346">
        <f>AD93+AE92</f>
        <v/>
      </c>
      <c r="AF93" s="327" t="n"/>
    </row>
    <row r="94" ht="33" customHeight="1">
      <c r="A94" s="144" t="n"/>
      <c r="B94" s="337" t="inlineStr">
        <is>
          <t xml:space="preserve">SUB TOTAL </t>
        </is>
      </c>
      <c r="C94" s="338" t="n"/>
      <c r="D94" s="330" t="n"/>
      <c r="E94" s="332">
        <f>E3+E90-E92</f>
        <v/>
      </c>
      <c r="F94" s="332">
        <f>F3+F90-F92</f>
        <v/>
      </c>
      <c r="G94" s="332">
        <f>G3+G90-G92</f>
        <v/>
      </c>
      <c r="H94" s="332">
        <f>H3+H90-H92</f>
        <v/>
      </c>
      <c r="I94" s="332">
        <f>I3+I90-I92</f>
        <v/>
      </c>
      <c r="J94" s="332">
        <f>J3+J90-J92</f>
        <v/>
      </c>
      <c r="K94" s="332">
        <f>K3+K90-K92</f>
        <v/>
      </c>
      <c r="L94" s="332">
        <f>L3+L90-L92</f>
        <v/>
      </c>
      <c r="M94" s="332">
        <f>M3+M90-M92</f>
        <v/>
      </c>
      <c r="N94" s="332">
        <f>N3+N90-N92</f>
        <v/>
      </c>
      <c r="O94" s="332">
        <f>O3+O90-O92</f>
        <v/>
      </c>
      <c r="P94" s="332">
        <f>P3+P90-P92</f>
        <v/>
      </c>
      <c r="Q94" s="333">
        <f>Q3+Q90-Q92</f>
        <v/>
      </c>
      <c r="R94" s="333">
        <f>R3+R90-R92</f>
        <v/>
      </c>
      <c r="S94" s="333">
        <f>S3+S90-S92</f>
        <v/>
      </c>
      <c r="T94" s="333">
        <f>T3+T90-T92</f>
        <v/>
      </c>
      <c r="U94" s="333">
        <f>U3+U90-U92</f>
        <v/>
      </c>
      <c r="V94" s="333">
        <f>V3+V90-V92</f>
        <v/>
      </c>
      <c r="W94" s="333">
        <f>W3+W90-W92</f>
        <v/>
      </c>
      <c r="X94" s="333">
        <f>X3+X90-X92</f>
        <v/>
      </c>
      <c r="Y94" s="333">
        <f>Y3+Y90-Y92</f>
        <v/>
      </c>
      <c r="Z94" s="333">
        <f>Z3+Z90-Z92</f>
        <v/>
      </c>
      <c r="AA94" s="333">
        <f>AA3+AA90-AA92</f>
        <v/>
      </c>
      <c r="AB94" s="333">
        <f>AB3+AB90-AB92</f>
        <v/>
      </c>
      <c r="AC94" s="334">
        <f>AC3+AC90-AC92</f>
        <v/>
      </c>
      <c r="AD94" s="347">
        <f>AD3+AD90-AD92</f>
        <v/>
      </c>
      <c r="AE94" s="347">
        <f>AE3+AE90-AE92</f>
        <v/>
      </c>
      <c r="AF94" s="348">
        <f>SUM(E94:AE94)</f>
        <v/>
      </c>
    </row>
    <row r="95" ht="33" customHeight="1">
      <c r="A95" s="144" t="n"/>
      <c r="B95" s="349" t="inlineStr">
        <is>
          <t>ADVANCE REPAYMENT</t>
        </is>
      </c>
      <c r="C95" s="350" t="n"/>
      <c r="D95" s="351" t="n"/>
      <c r="E95" s="352">
        <f>IF(AND(E$2&gt;=$C$112,E$2&lt;$C$112+$C$113),$D$3/$C$113,0)</f>
        <v/>
      </c>
      <c r="F95" s="339">
        <f>IF(AND(F$2&gt;=$C$112,F$2&lt;$C$112+$C$113),$D$3/$C$113,0)</f>
        <v/>
      </c>
      <c r="G95" s="339">
        <f>IF(AND(G$2&gt;=$C$112,G$2&lt;$C$112+$C$113),$D$3/$C$113,0)</f>
        <v/>
      </c>
      <c r="H95" s="339">
        <f>IF(AND(H$2&gt;=$C$112,H$2&lt;$C$112+$C$113),$D$3/$C$113,0)</f>
        <v/>
      </c>
      <c r="I95" s="339">
        <f>IF(AND(I$2&gt;=$C$112,I$2&lt;$C$112+$C$113),$D$3/$C$113,0)</f>
        <v/>
      </c>
      <c r="J95" s="339">
        <f>IF(AND(J$2&gt;=$C$112,J$2&lt;$C$112+$C$113),$D$3/$C$113,0)</f>
        <v/>
      </c>
      <c r="K95" s="339">
        <f>IF(AND(K$2&gt;=$C$112,K$2&lt;$C$112+$C$113),$D$3/$C$113,0)</f>
        <v/>
      </c>
      <c r="L95" s="339">
        <f>IF(AND(L$2&gt;=$C$112,L$2&lt;$C$112+$C$113),$D$3/$C$113,0)</f>
        <v/>
      </c>
      <c r="M95" s="339">
        <f>IF(AND(M$2&gt;=$C$112,M$2&lt;$C$112+$C$113),$D$3/$C$113,0)</f>
        <v/>
      </c>
      <c r="N95" s="339">
        <f>IF(AND(N$2&gt;=$C$112,N$2&lt;$C$112+$C$113),$D$3/$C$113,0)</f>
        <v/>
      </c>
      <c r="O95" s="339">
        <f>IF(AND(O$2&gt;=$C$112,O$2&lt;$C$112+$C$113),$D$3/$C$113,0)</f>
        <v/>
      </c>
      <c r="P95" s="339">
        <f>IF(AND(P$2&gt;=$C$112,P$2&lt;$C$112+$C$113),$D$3/$C$113,0)</f>
        <v/>
      </c>
      <c r="Q95" s="339">
        <f>IF(AND(Q$2&gt;=$C$112,Q$2&lt;$C$112+$C$113),$D$3/$C$113,0)</f>
        <v/>
      </c>
      <c r="R95" s="339">
        <f>IF(AND(R$2&gt;=$C$112,R$2&lt;$C$112+$C$113),$D$3/$C$113,0)</f>
        <v/>
      </c>
      <c r="S95" s="339">
        <f>IF(AND(S$2&gt;=$C$112,S$2&lt;$C$112+$C$113),$D$3/$C$113,0)</f>
        <v/>
      </c>
      <c r="T95" s="339">
        <f>IF(AND(T$2&gt;=$C$112,T$2&lt;$C$112+$C$113),$D$3/$C$113,0)</f>
        <v/>
      </c>
      <c r="U95" s="339">
        <f>IF(AND(U$2&gt;=$C$112,U$2&lt;$C$112+$C$113),$D$3/$C$113,0)</f>
        <v/>
      </c>
      <c r="V95" s="339">
        <f>IF(AND(V$2&gt;=$C$112,V$2&lt;$C$112+$C$113),$D$3/$C$113,0)</f>
        <v/>
      </c>
      <c r="W95" s="339">
        <f>IF(AND(W$2&gt;=$C$112,W$2&lt;$C$112+$C$113),$D$3/$C$113,0)</f>
        <v/>
      </c>
      <c r="X95" s="339">
        <f>IF(AND(X$2&gt;=$C$112,X$2&lt;$C$112+$C$113),$D$3/$C$113,0)</f>
        <v/>
      </c>
      <c r="Y95" s="339">
        <f>IF(AND(Y$2&gt;=$C$112,Y$2&lt;$C$112+$C$113),$D$3/$C$113,0)</f>
        <v/>
      </c>
      <c r="Z95" s="339">
        <f>IF(AND(Z$2&gt;=$C$112,Z$2&lt;$C$112+$C$113),$D$3/$C$113,0)</f>
        <v/>
      </c>
      <c r="AA95" s="339">
        <f>IF(AND(AA$2&gt;=$C$112,AA$2&lt;$C$112+$C$113),$D$3/$C$113,0)</f>
        <v/>
      </c>
      <c r="AB95" s="339">
        <f>IF(AND(AB$2&gt;=$C$112,AB$2&lt;$C$112+$C$113),$D$3/$C$113,0)</f>
        <v/>
      </c>
      <c r="AC95" s="339">
        <f>IF(AND(AC$2&gt;=$C$112,AC$2&lt;$C$112+$C$113),$D$3/$C$113,0)</f>
        <v/>
      </c>
      <c r="AD95" s="353">
        <f>IF(AND(AD$2&gt;=$C$112,AD$2&lt;$C$112+$C$113),$D$3/$C$113,0)</f>
        <v/>
      </c>
      <c r="AE95" s="354">
        <f>IF(AND(AE$2&gt;=$C$112,AE$2&lt;$C$112+$C$113),$D$3/$C$113,0)</f>
        <v/>
      </c>
      <c r="AF95" s="355">
        <f>SUM(E95:AE95)</f>
        <v/>
      </c>
    </row>
    <row r="96" ht="33" customHeight="1">
      <c r="A96" s="88" t="n"/>
      <c r="B96" s="328" t="inlineStr">
        <is>
          <t>CUMULATIVE ADVANCE REPAYMENT</t>
        </is>
      </c>
      <c r="C96" s="329" t="n"/>
      <c r="D96" s="330" t="n"/>
      <c r="E96" s="331">
        <f>E95</f>
        <v/>
      </c>
      <c r="F96" s="332">
        <f>E96+F95</f>
        <v/>
      </c>
      <c r="G96" s="332">
        <f>F96+G95</f>
        <v/>
      </c>
      <c r="H96" s="332">
        <f>G96+H95</f>
        <v/>
      </c>
      <c r="I96" s="332">
        <f>H96+I95</f>
        <v/>
      </c>
      <c r="J96" s="332">
        <f>I96+J95</f>
        <v/>
      </c>
      <c r="K96" s="332">
        <f>J96+K95</f>
        <v/>
      </c>
      <c r="L96" s="332">
        <f>K96+L95</f>
        <v/>
      </c>
      <c r="M96" s="332">
        <f>L96+M95</f>
        <v/>
      </c>
      <c r="N96" s="332">
        <f>M96+N95</f>
        <v/>
      </c>
      <c r="O96" s="332">
        <f>N96+O95</f>
        <v/>
      </c>
      <c r="P96" s="332">
        <f>O96+P95</f>
        <v/>
      </c>
      <c r="Q96" s="333">
        <f>P96+Q95</f>
        <v/>
      </c>
      <c r="R96" s="333">
        <f>Q96+R95</f>
        <v/>
      </c>
      <c r="S96" s="333">
        <f>R96+S95</f>
        <v/>
      </c>
      <c r="T96" s="333">
        <f>S96+T95</f>
        <v/>
      </c>
      <c r="U96" s="333">
        <f>T96+U95</f>
        <v/>
      </c>
      <c r="V96" s="333">
        <f>U96+V95</f>
        <v/>
      </c>
      <c r="W96" s="333">
        <f>V96+W95</f>
        <v/>
      </c>
      <c r="X96" s="333">
        <f>W96+X95</f>
        <v/>
      </c>
      <c r="Y96" s="333">
        <f>X96+Y95</f>
        <v/>
      </c>
      <c r="Z96" s="333">
        <f>Y96+Z95</f>
        <v/>
      </c>
      <c r="AA96" s="333">
        <f>Z96+AA95</f>
        <v/>
      </c>
      <c r="AB96" s="333">
        <f>AA96+AB95</f>
        <v/>
      </c>
      <c r="AC96" s="334">
        <f>AB96+AC95</f>
        <v/>
      </c>
      <c r="AD96" s="335">
        <f>AC96+AD95</f>
        <v/>
      </c>
      <c r="AE96" s="336">
        <f>AD96+AE95</f>
        <v/>
      </c>
      <c r="AF96" s="348" t="n"/>
    </row>
    <row r="97" ht="28.2" customHeight="1">
      <c r="A97" s="144" t="n"/>
      <c r="B97" s="356" t="inlineStr">
        <is>
          <t>ESTIMATED MONTHLY PAYMENT</t>
        </is>
      </c>
      <c r="C97" s="357" t="n"/>
      <c r="D97" s="358" t="n"/>
      <c r="E97" s="359">
        <f>E94-E95</f>
        <v/>
      </c>
      <c r="F97" s="359">
        <f>F94-F95</f>
        <v/>
      </c>
      <c r="G97" s="359">
        <f>G94-G95</f>
        <v/>
      </c>
      <c r="H97" s="359">
        <f>H94-H95</f>
        <v/>
      </c>
      <c r="I97" s="359">
        <f>I94-I95</f>
        <v/>
      </c>
      <c r="J97" s="359">
        <f>J94-J95</f>
        <v/>
      </c>
      <c r="K97" s="359">
        <f>K94-K95</f>
        <v/>
      </c>
      <c r="L97" s="359">
        <f>L94-L95</f>
        <v/>
      </c>
      <c r="M97" s="359">
        <f>M94-M95</f>
        <v/>
      </c>
      <c r="N97" s="359">
        <f>N94-N95</f>
        <v/>
      </c>
      <c r="O97" s="359">
        <f>O94-O95</f>
        <v/>
      </c>
      <c r="P97" s="359">
        <f>P94-P95</f>
        <v/>
      </c>
      <c r="Q97" s="359">
        <f>Q94-Q95</f>
        <v/>
      </c>
      <c r="R97" s="359">
        <f>R94-R95</f>
        <v/>
      </c>
      <c r="S97" s="359">
        <f>S94-S95</f>
        <v/>
      </c>
      <c r="T97" s="359">
        <f>T94-T95</f>
        <v/>
      </c>
      <c r="U97" s="359">
        <f>U94-U95</f>
        <v/>
      </c>
      <c r="V97" s="359">
        <f>V94-V95</f>
        <v/>
      </c>
      <c r="W97" s="359">
        <f>W94-W95</f>
        <v/>
      </c>
      <c r="X97" s="359">
        <f>X94-X95</f>
        <v/>
      </c>
      <c r="Y97" s="359">
        <f>Y94-Y95</f>
        <v/>
      </c>
      <c r="Z97" s="359">
        <f>Z94-Z95</f>
        <v/>
      </c>
      <c r="AA97" s="359">
        <f>AA94-AA95</f>
        <v/>
      </c>
      <c r="AB97" s="359">
        <f>AB94-AB95</f>
        <v/>
      </c>
      <c r="AC97" s="359">
        <f>AC94-AC95</f>
        <v/>
      </c>
      <c r="AD97" s="359">
        <f>AD94-AD95</f>
        <v/>
      </c>
      <c r="AE97" s="359">
        <f>AE94-AE95</f>
        <v/>
      </c>
      <c r="AF97" s="359">
        <f>SUM(E97:AE97)</f>
        <v/>
      </c>
    </row>
    <row r="98" ht="28.8" customHeight="1">
      <c r="A98" s="162" t="n"/>
      <c r="B98" s="360" t="inlineStr">
        <is>
          <t>CUMULATIVE MONTHLY PAYMENT</t>
        </is>
      </c>
      <c r="C98" s="361" t="n"/>
      <c r="E98" s="362">
        <f>E97</f>
        <v/>
      </c>
      <c r="F98" s="363">
        <f>E98+F97</f>
        <v/>
      </c>
      <c r="G98" s="363">
        <f>F98+G97</f>
        <v/>
      </c>
      <c r="H98" s="363">
        <f>G98+H97</f>
        <v/>
      </c>
      <c r="I98" s="363">
        <f>H98+I97</f>
        <v/>
      </c>
      <c r="J98" s="363">
        <f>I98+J97</f>
        <v/>
      </c>
      <c r="K98" s="363">
        <f>J98+K97</f>
        <v/>
      </c>
      <c r="L98" s="363">
        <f>K98+L97</f>
        <v/>
      </c>
      <c r="M98" s="363">
        <f>L98+M97</f>
        <v/>
      </c>
      <c r="N98" s="363">
        <f>M98+N97</f>
        <v/>
      </c>
      <c r="O98" s="363">
        <f>N98+O97</f>
        <v/>
      </c>
      <c r="P98" s="363">
        <f>O98+P97</f>
        <v/>
      </c>
      <c r="Q98" s="363">
        <f>P98+Q97</f>
        <v/>
      </c>
      <c r="R98" s="363">
        <f>Q98+R97</f>
        <v/>
      </c>
      <c r="S98" s="363">
        <f>R98+S97</f>
        <v/>
      </c>
      <c r="T98" s="363">
        <f>S98+T97</f>
        <v/>
      </c>
      <c r="U98" s="363">
        <f>T98+U97</f>
        <v/>
      </c>
      <c r="V98" s="363">
        <f>U98+V97</f>
        <v/>
      </c>
      <c r="W98" s="363">
        <f>V98+W97</f>
        <v/>
      </c>
      <c r="X98" s="363">
        <f>W98+X97</f>
        <v/>
      </c>
      <c r="Y98" s="363">
        <f>X98+Y97</f>
        <v/>
      </c>
      <c r="Z98" s="363">
        <f>Y98+Z97</f>
        <v/>
      </c>
      <c r="AA98" s="363">
        <f>Z98+AA97</f>
        <v/>
      </c>
      <c r="AB98" s="363">
        <f>AA98+AB97</f>
        <v/>
      </c>
      <c r="AC98" s="363">
        <f>AB98+AC97</f>
        <v/>
      </c>
      <c r="AD98" s="363">
        <f>AC98+AD97</f>
        <v/>
      </c>
      <c r="AE98" s="364">
        <f>AD98+AE97</f>
        <v/>
      </c>
      <c r="AF98" s="365" t="n"/>
    </row>
    <row r="100" ht="28.2" customHeight="1">
      <c r="A100" s="366" t="inlineStr">
        <is>
          <t>ITEM</t>
        </is>
      </c>
      <c r="B100" s="367" t="inlineStr">
        <is>
          <t>DESCRIPTION</t>
        </is>
      </c>
      <c r="C100" s="368" t="inlineStr">
        <is>
          <t>AMOUNT</t>
        </is>
      </c>
      <c r="D100" s="369" t="n"/>
    </row>
    <row r="101" ht="28.2" customHeight="1">
      <c r="A101" s="370" t="inlineStr">
        <is>
          <t>A</t>
        </is>
      </c>
      <c r="B101" s="371" t="inlineStr">
        <is>
          <t>AGREED CONTRACT SUM (DISCOUNTED, LESS TAXES)</t>
        </is>
      </c>
      <c r="C101" s="372">
        <f>'GEN SUMMARY.'!D51</f>
        <v/>
      </c>
      <c r="D101" s="373" t="n"/>
    </row>
    <row r="102" ht="28.2" customHeight="1">
      <c r="A102" s="370" t="inlineStr">
        <is>
          <t>B</t>
        </is>
      </c>
      <c r="B102" s="371" t="inlineStr">
        <is>
          <t>LIMIT OF RETENTION</t>
        </is>
      </c>
      <c r="C102" s="372">
        <f>$C$105*$C$101</f>
        <v/>
      </c>
      <c r="D102" s="373" t="n"/>
    </row>
    <row r="103" ht="28.2" customHeight="1">
      <c r="A103" s="370" t="inlineStr">
        <is>
          <t>C</t>
        </is>
      </c>
      <c r="B103" s="371" t="inlineStr">
        <is>
          <t>ADVANCE MOBILIZATION (% OF CONTRACT SUM)</t>
        </is>
      </c>
      <c r="C103" s="374" t="n">
        <v>0.25</v>
      </c>
      <c r="D103" s="373" t="n"/>
    </row>
    <row r="104" ht="28.2" customHeight="1">
      <c r="A104" s="370" t="inlineStr">
        <is>
          <t>D</t>
        </is>
      </c>
      <c r="B104" s="371" t="inlineStr">
        <is>
          <t>RETENTION DEDUCTED PER VALUATION</t>
        </is>
      </c>
      <c r="C104" s="374" t="n">
        <v>0.1</v>
      </c>
      <c r="D104" s="373" t="n"/>
    </row>
    <row r="105" ht="28.2" customHeight="1">
      <c r="A105" s="370" t="inlineStr">
        <is>
          <t>E</t>
        </is>
      </c>
      <c r="B105" s="371" t="inlineStr">
        <is>
          <t>LIMIT OF RETENTION (% OF CONTRACT SUM)</t>
        </is>
      </c>
      <c r="C105" s="374" t="n">
        <v>0.05</v>
      </c>
      <c r="D105" s="373" t="n"/>
    </row>
    <row r="106" ht="28.2" customHeight="1">
      <c r="A106" s="370" t="inlineStr">
        <is>
          <t>F</t>
        </is>
      </c>
      <c r="B106" s="371" t="inlineStr">
        <is>
          <t>RETENTION RELEASED AT PRACTICAL COMPLETION</t>
        </is>
      </c>
      <c r="C106" s="374" t="n">
        <v>0.5</v>
      </c>
      <c r="D106" s="373" t="n"/>
    </row>
    <row r="107" ht="28.2" customHeight="1">
      <c r="A107" s="370" t="inlineStr">
        <is>
          <t>G</t>
        </is>
      </c>
      <c r="B107" s="371" t="inlineStr">
        <is>
          <t>COMMENCEMENT DATE (MONTH 0)</t>
        </is>
      </c>
      <c r="C107" s="375" t="n">
        <v>46295</v>
      </c>
      <c r="D107" s="373" t="n"/>
    </row>
    <row r="108" ht="28.2" customHeight="1">
      <c r="A108" s="370" t="inlineStr">
        <is>
          <t>H</t>
        </is>
      </c>
      <c r="B108" s="371" t="inlineStr">
        <is>
          <t>CONTRACT PERIOD (MONTHS)</t>
        </is>
      </c>
      <c r="C108" s="376" t="n">
        <v>24</v>
      </c>
      <c r="D108" s="373" t="n"/>
    </row>
    <row r="109" ht="28.2" customHeight="1">
      <c r="A109" s="370" t="inlineStr">
        <is>
          <t>J</t>
        </is>
      </c>
      <c r="B109" s="371" t="inlineStr">
        <is>
          <t>PRACTICAL COMPLETION DATE</t>
        </is>
      </c>
      <c r="C109" s="375">
        <f>EOMONTH($C$107,$C$108)</f>
        <v/>
      </c>
      <c r="D109" s="373" t="n"/>
    </row>
    <row r="110" ht="28.2" customHeight="1">
      <c r="A110" s="370" t="inlineStr">
        <is>
          <t>K</t>
        </is>
      </c>
      <c r="B110" s="371" t="inlineStr">
        <is>
          <t>DEFECTS LIABILITY PERIOD (MONTHS)</t>
        </is>
      </c>
      <c r="C110" s="376" t="n">
        <v>6</v>
      </c>
      <c r="D110" s="373" t="n"/>
    </row>
    <row r="111" ht="28.2" customHeight="1">
      <c r="A111" s="370" t="inlineStr">
        <is>
          <t>L</t>
        </is>
      </c>
      <c r="B111" s="371" t="inlineStr">
        <is>
          <t>END OF DEFECTS LIABILITY PERIOD</t>
        </is>
      </c>
      <c r="C111" s="375">
        <f>EOMONTH(C109,$C$110)</f>
        <v/>
      </c>
      <c r="D111" s="373" t="n"/>
    </row>
    <row r="112" ht="28.2" customHeight="1">
      <c r="A112" s="370" t="inlineStr">
        <is>
          <t>M</t>
        </is>
      </c>
      <c r="B112" s="371" t="inlineStr">
        <is>
          <t>ADVANCE REPAYMENT STARTS (MONTH NO.)</t>
        </is>
      </c>
      <c r="C112" s="376" t="n">
        <v>3</v>
      </c>
      <c r="D112" s="373" t="n"/>
    </row>
    <row r="113" ht="28.2" customHeight="1">
      <c r="A113" s="370" t="inlineStr">
        <is>
          <t>N</t>
        </is>
      </c>
      <c r="B113" s="371" t="inlineStr">
        <is>
          <t>ADVANCE REPAYMENT PERIOD (MONTHS)</t>
        </is>
      </c>
      <c r="C113" s="376" t="n">
        <v>18</v>
      </c>
      <c r="D113" s="373" t="n"/>
    </row>
    <row r="115" ht="28.8" customHeight="1">
      <c r="A115" s="377" t="inlineStr"/>
      <c r="B115" s="378" t="inlineStr">
        <is>
          <t>CHECK: TOTAL PAYMENT LESS CONTRACT SUM (MUST BE NIL)</t>
        </is>
      </c>
      <c r="C115" s="379">
        <f>ROUND(AF97-$C$101,2)</f>
        <v/>
      </c>
      <c r="D115" s="369" t="n"/>
    </row>
    <row r="118">
      <c r="B118" s="380" t="inlineStr">
        <is>
          <t>NOTES:</t>
        </is>
      </c>
      <c r="C118" s="381" t="n"/>
      <c r="D118" s="382" t="n"/>
    </row>
    <row r="119" ht="30.6" customHeight="1">
      <c r="B119" s="380" t="inlineStr">
        <is>
          <t xml:space="preserve">1. TAXES NOT INCLUDED </t>
        </is>
      </c>
      <c r="C119" s="381" t="n"/>
      <c r="D119" s="382" t="n"/>
    </row>
    <row r="120" ht="30.6" customHeight="1">
      <c r="A120" s="383" t="n"/>
      <c r="B120" s="380" t="inlineStr">
        <is>
          <t>2. PAYMENTS PROJECTED TO BE AT THE END OF THE RESPECTIVE MONTHS.</t>
        </is>
      </c>
      <c r="C120" s="381" t="n"/>
      <c r="D120" s="382" t="n"/>
    </row>
    <row r="121" ht="30.6" customHeight="1">
      <c r="A121" s="383" t="n"/>
      <c r="B121" s="380" t="inlineStr">
        <is>
          <t>3. EACH BILL IS SPREAD OVER ITS SUB-ITEMS USING THE START MONTH AND DURATION IN COLUMNS AH AND AI; AMOUNTS LINK TO GEN SUMMARY.</t>
        </is>
      </c>
      <c r="C121" s="381" t="n"/>
      <c r="D121" s="382" t="n"/>
    </row>
    <row r="122" ht="30.6" customHeight="1">
      <c r="A122" s="383" t="n"/>
      <c r="B122" s="380" t="inlineStr">
        <is>
          <t>4. RETENTION IS DEDUCTED UNTIL THE LIMIT OF RETENTION IS REACHED; HALF IS RELEASED THE MONTH AFTER PRACTICAL COMPLETION AND THE BALANCE AT THE END OF THE DEFECTS LIABILITY PERIOD.</t>
        </is>
      </c>
      <c r="C122" s="381" t="n"/>
      <c r="D122" s="382" t="n"/>
    </row>
  </sheetData>
  <conditionalFormatting sqref="E97:AF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97:AF9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12" fitToWidth="2"/>
  <headerFooter>
    <oddHeader>&amp;L&amp;"Arial Narrow,Bold"&amp;16 &amp;G&amp;C&amp;"Times New Roman,Bold"&amp;14 CASHFLOW FORECAST FOR PROPOSED HEAD OFFICE FOR PRIORITY INSURANCE&amp;R&amp;"Times New Roman,Bold"&amp;14 OCTOBER, 2026</oddHeader>
    <oddFooter>&amp;R&amp;P/&amp;N</oddFooter>
    <evenHeader/>
    <evenFooter/>
    <firstHeader/>
    <firstFooter/>
  </headerFooter>
  <legacyDrawingHF r:id="rIdHF1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57"/>
  <sheetViews>
    <sheetView view="pageBreakPreview" topLeftCell="A40" zoomScale="70" workbookViewId="0">
      <selection activeCell="D58" sqref="D53:D58"/>
    </sheetView>
  </sheetViews>
  <sheetFormatPr baseColWidth="8" defaultColWidth="14.44140625" defaultRowHeight="15" customHeight="1"/>
  <cols>
    <col width="14.33203125" customWidth="1" style="220" min="1" max="1"/>
    <col width="80.5546875" customWidth="1" style="220" min="2" max="2"/>
    <col width="33.33203125" customWidth="1" style="220" min="3" max="3"/>
    <col width="27.33203125" bestFit="1" customWidth="1" style="220" min="4" max="4"/>
    <col width="27.33203125" customWidth="1" style="220" min="5" max="5"/>
    <col width="21.33203125" customWidth="1" style="220" min="6" max="6"/>
    <col width="12.33203125" bestFit="1" customWidth="1" style="220" min="7" max="7"/>
    <col width="8.6640625" customWidth="1" style="220" min="8" max="24"/>
    <col width="14.44140625" customWidth="1" style="220" min="25" max="16384"/>
  </cols>
  <sheetData>
    <row r="1" ht="21" customHeight="1">
      <c r="A1" s="216" t="inlineStr">
        <is>
          <t>PROJECT: PROPOSED HEAD OFFICE FOR PRIORITY INSURANCE</t>
        </is>
      </c>
    </row>
    <row r="2" ht="21" customHeight="1">
      <c r="A2" s="216" t="inlineStr">
        <is>
          <t>LOCATION: RIDGE, ACCRA</t>
        </is>
      </c>
    </row>
    <row r="3" ht="21" customHeight="1">
      <c r="A3" s="216" t="inlineStr">
        <is>
          <t>CLIENT: PRIORITY INSURANCE</t>
        </is>
      </c>
    </row>
    <row r="4" ht="21" customHeight="1">
      <c r="A4" s="221" t="inlineStr">
        <is>
          <t>DATE: 07/10/2026 (PRELIMINARY ESTIMATE REV. 6)</t>
        </is>
      </c>
    </row>
    <row r="5" ht="23.25" customHeight="1">
      <c r="A5" s="222" t="inlineStr">
        <is>
          <t>ITEM</t>
        </is>
      </c>
      <c r="B5" s="223" t="inlineStr">
        <is>
          <t>GENERAL SUMMARY</t>
        </is>
      </c>
      <c r="C5" s="222" t="n"/>
      <c r="D5" s="384" t="inlineStr">
        <is>
          <t>AMOUNT USD</t>
        </is>
      </c>
      <c r="E5" s="384" t="inlineStr">
        <is>
          <t>DISCOUNTED AMOUNT USD</t>
        </is>
      </c>
      <c r="F5" s="225" t="n"/>
    </row>
    <row r="6" ht="14.25" customHeight="1">
      <c r="A6" s="226" t="n"/>
      <c r="B6" s="227" t="n"/>
      <c r="C6" s="226" t="n"/>
      <c r="D6" s="385" t="n"/>
      <c r="E6" s="219" t="n"/>
      <c r="F6" s="219" t="n"/>
    </row>
    <row r="7" ht="18" customHeight="1">
      <c r="A7" s="226" t="inlineStr">
        <is>
          <t>A</t>
        </is>
      </c>
      <c r="B7" s="229" t="inlineStr">
        <is>
          <t>BILL NO. 1- PRELIMINARIES AND GENERAL ITEMS</t>
        </is>
      </c>
      <c r="C7" s="230" t="n"/>
      <c r="D7" s="385">
        <f>366625+50000</f>
        <v/>
      </c>
      <c r="E7" s="385">
        <f>D7*$D$48/$D$44</f>
        <v/>
      </c>
      <c r="F7" s="231" t="n"/>
    </row>
    <row r="8" ht="14.25" customHeight="1">
      <c r="A8" s="226" t="n"/>
      <c r="B8" s="229" t="n"/>
      <c r="C8" s="226" t="n"/>
      <c r="D8" s="385" t="n"/>
      <c r="E8" s="219" t="n"/>
      <c r="F8" s="219" t="n"/>
    </row>
    <row r="9" ht="18" customHeight="1">
      <c r="A9" s="226" t="inlineStr">
        <is>
          <t>B</t>
        </is>
      </c>
      <c r="B9" s="229" t="inlineStr">
        <is>
          <t>BILL NO. 2- DEMOLITIONS AND ALTERATIONS</t>
        </is>
      </c>
      <c r="C9" s="230" t="n"/>
      <c r="D9" s="385" t="n">
        <v>50000</v>
      </c>
      <c r="E9" s="385">
        <f>D9*$D$48/$D$44</f>
        <v/>
      </c>
      <c r="F9" s="231" t="n"/>
    </row>
    <row r="10" ht="14.25" customHeight="1">
      <c r="A10" s="226" t="n"/>
      <c r="B10" s="229" t="n"/>
      <c r="C10" s="226" t="n"/>
      <c r="D10" s="385" t="n"/>
      <c r="E10" s="219" t="n"/>
      <c r="F10" s="219" t="n"/>
    </row>
    <row r="11" ht="18" customHeight="1">
      <c r="A11" s="226" t="inlineStr">
        <is>
          <t>C</t>
        </is>
      </c>
      <c r="B11" s="229" t="inlineStr">
        <is>
          <t>BILL NO. 3 -SUBSTRUCTURE (ALL PROVISIONAL)</t>
        </is>
      </c>
      <c r="C11" s="230" t="n"/>
      <c r="D11" s="385">
        <f>1585*350</f>
        <v/>
      </c>
      <c r="E11" s="385">
        <f>D11*$D$48/$D$44</f>
        <v/>
      </c>
      <c r="F11" s="231" t="n"/>
    </row>
    <row r="12" ht="12.6" customHeight="1">
      <c r="A12" s="226" t="n"/>
      <c r="B12" s="229" t="n"/>
      <c r="C12" s="226" t="n"/>
      <c r="D12" s="385" t="n"/>
      <c r="E12" s="219" t="n"/>
      <c r="F12" s="219" t="n"/>
    </row>
    <row r="13" ht="18" customHeight="1">
      <c r="A13" s="226" t="inlineStr">
        <is>
          <t>D</t>
        </is>
      </c>
      <c r="B13" s="229" t="inlineStr">
        <is>
          <t>BILL NO. 4 -SUB-BASEMENT FLOOR</t>
        </is>
      </c>
      <c r="C13" s="230" t="n"/>
      <c r="D13" s="385">
        <f>1585*400</f>
        <v/>
      </c>
      <c r="E13" s="385">
        <f>D13*$D$48/$D$44</f>
        <v/>
      </c>
      <c r="F13" s="231" t="n"/>
    </row>
    <row r="14" ht="14.25" customHeight="1">
      <c r="A14" s="226" t="n"/>
      <c r="B14" s="229" t="n"/>
      <c r="C14" s="226" t="n"/>
      <c r="D14" s="385" t="n"/>
      <c r="E14" s="219" t="n"/>
      <c r="F14" s="219" t="n"/>
    </row>
    <row r="15" ht="14.25" customHeight="1">
      <c r="A15" s="226" t="inlineStr">
        <is>
          <t>E</t>
        </is>
      </c>
      <c r="B15" s="229" t="inlineStr">
        <is>
          <t>BILL NO. 5 - GROUND FLOOR</t>
        </is>
      </c>
      <c r="C15" s="230" t="n"/>
      <c r="D15" s="385">
        <f>450*500</f>
        <v/>
      </c>
      <c r="E15" s="385">
        <f>D15*$D$48/$D$44</f>
        <v/>
      </c>
      <c r="F15" s="231" t="n"/>
    </row>
    <row r="16" ht="14.25" customHeight="1">
      <c r="A16" s="226" t="n"/>
      <c r="B16" s="229" t="n"/>
      <c r="C16" s="226" t="n"/>
      <c r="D16" s="385" t="n"/>
      <c r="E16" s="219" t="n"/>
      <c r="F16" s="219" t="n"/>
    </row>
    <row r="17" ht="14.25" customHeight="1">
      <c r="A17" s="226" t="inlineStr">
        <is>
          <t>F</t>
        </is>
      </c>
      <c r="B17" s="229" t="inlineStr">
        <is>
          <t>BILL NO. 6 - FIRST FLOOR</t>
        </is>
      </c>
      <c r="C17" s="230" t="n"/>
      <c r="D17" s="385">
        <f>600*500</f>
        <v/>
      </c>
      <c r="E17" s="385">
        <f>D17*$D$48/$D$44</f>
        <v/>
      </c>
      <c r="F17" s="231" t="n"/>
    </row>
    <row r="18" ht="14.25" customHeight="1">
      <c r="A18" s="226" t="n"/>
      <c r="B18" s="229" t="n"/>
      <c r="C18" s="226" t="n"/>
      <c r="D18" s="385" t="n"/>
      <c r="E18" s="219" t="n"/>
      <c r="F18" s="219" t="n"/>
    </row>
    <row r="19" ht="14.25" customHeight="1">
      <c r="A19" s="226" t="inlineStr">
        <is>
          <t>G</t>
        </is>
      </c>
      <c r="B19" s="229" t="inlineStr">
        <is>
          <t>BILL NO. 7- SECOND FLOOR</t>
        </is>
      </c>
      <c r="C19" s="230" t="n"/>
      <c r="D19" s="385">
        <f>600*500</f>
        <v/>
      </c>
      <c r="E19" s="385">
        <f>D19*$D$48/$D$44</f>
        <v/>
      </c>
      <c r="F19" s="231" t="n"/>
    </row>
    <row r="20" ht="14.25" customHeight="1">
      <c r="A20" s="226" t="n"/>
      <c r="B20" s="229" t="n"/>
      <c r="C20" s="226" t="n"/>
      <c r="D20" s="385" t="n"/>
      <c r="E20" s="219" t="n"/>
      <c r="F20" s="219" t="n"/>
    </row>
    <row r="21" ht="14.25" customHeight="1">
      <c r="A21" s="226" t="inlineStr">
        <is>
          <t>H</t>
        </is>
      </c>
      <c r="B21" s="229" t="inlineStr">
        <is>
          <t>BILL NO. 8 -THIRD FLOOR</t>
        </is>
      </c>
      <c r="C21" s="230" t="n"/>
      <c r="D21" s="385">
        <f>600*500</f>
        <v/>
      </c>
      <c r="E21" s="385">
        <f>D21*$D$48/$D$44</f>
        <v/>
      </c>
      <c r="F21" s="231" t="n"/>
    </row>
    <row r="22" ht="14.25" customHeight="1">
      <c r="A22" s="226" t="n"/>
      <c r="B22" s="229" t="n"/>
      <c r="C22" s="226" t="n"/>
      <c r="D22" s="385" t="n"/>
      <c r="E22" s="219" t="n"/>
      <c r="F22" s="219" t="n"/>
    </row>
    <row r="23" ht="18" customHeight="1">
      <c r="A23" s="226" t="inlineStr">
        <is>
          <t>J</t>
        </is>
      </c>
      <c r="B23" s="229" t="inlineStr">
        <is>
          <t>BILL NO. 9 -FOURTH FLOOR</t>
        </is>
      </c>
      <c r="C23" s="230" t="n"/>
      <c r="D23" s="385">
        <f>600*500</f>
        <v/>
      </c>
      <c r="E23" s="385">
        <f>D23*$D$48/$D$44</f>
        <v/>
      </c>
      <c r="F23" s="231" t="n"/>
    </row>
    <row r="24" ht="14.25" customHeight="1">
      <c r="A24" s="226" t="n"/>
      <c r="B24" s="229" t="n"/>
      <c r="C24" s="226" t="n"/>
      <c r="D24" s="385" t="n"/>
      <c r="E24" s="219" t="n"/>
      <c r="F24" s="219" t="n"/>
    </row>
    <row r="25" ht="18" customHeight="1">
      <c r="A25" s="226" t="inlineStr">
        <is>
          <t>K</t>
        </is>
      </c>
      <c r="B25" s="229" t="inlineStr">
        <is>
          <t>BILL NO. 10 - FIFTH FLOOR</t>
        </is>
      </c>
      <c r="C25" s="230" t="n"/>
      <c r="D25" s="385">
        <f>600*500</f>
        <v/>
      </c>
      <c r="E25" s="385">
        <f>D25*$D$48/$D$44</f>
        <v/>
      </c>
      <c r="F25" s="231" t="n"/>
    </row>
    <row r="26" ht="14.25" customHeight="1">
      <c r="A26" s="226" t="n"/>
      <c r="B26" s="229" t="n"/>
      <c r="C26" s="226" t="n"/>
      <c r="D26" s="385" t="n"/>
      <c r="E26" s="219" t="n"/>
      <c r="F26" s="219" t="n"/>
    </row>
    <row r="27" ht="18" customHeight="1">
      <c r="A27" s="226" t="inlineStr">
        <is>
          <t>L</t>
        </is>
      </c>
      <c r="B27" s="229" t="inlineStr">
        <is>
          <t>BILL NO. 11 - KITCHEN CABINETRY/WALL CLADDING</t>
        </is>
      </c>
      <c r="C27" s="230" t="n"/>
      <c r="D27" s="385" t="n">
        <v>134515.2200486776</v>
      </c>
      <c r="E27" s="385">
        <f>D27*$D$48/$D$44</f>
        <v/>
      </c>
      <c r="F27" s="231" t="n"/>
    </row>
    <row r="28" ht="14.25" customHeight="1">
      <c r="A28" s="226" t="n"/>
      <c r="B28" s="229" t="n"/>
      <c r="C28" s="226" t="n"/>
      <c r="D28" s="385" t="n"/>
      <c r="E28" s="219" t="n"/>
      <c r="F28" s="219" t="n"/>
    </row>
    <row r="29" ht="18" customHeight="1">
      <c r="A29" s="226" t="inlineStr">
        <is>
          <t>M</t>
        </is>
      </c>
      <c r="B29" s="229" t="inlineStr">
        <is>
          <t>BILL NO. 12. PLUMBING, FIRE-FIGHTING AND MECHANICAL</t>
        </is>
      </c>
      <c r="C29" s="230" t="n"/>
      <c r="D29" s="385">
        <f>659925+125000</f>
        <v/>
      </c>
      <c r="E29" s="385">
        <f>D29*$D$48/$D$44</f>
        <v/>
      </c>
      <c r="F29" s="231" t="n"/>
    </row>
    <row r="30" ht="14.25" customHeight="1">
      <c r="A30" s="226" t="n"/>
      <c r="B30" s="229" t="n"/>
      <c r="C30" s="226" t="n"/>
      <c r="D30" s="385" t="n"/>
      <c r="E30" s="219" t="n"/>
      <c r="F30" s="219" t="n"/>
    </row>
    <row r="31" ht="18" customHeight="1">
      <c r="A31" s="226" t="inlineStr">
        <is>
          <t>N</t>
        </is>
      </c>
      <c r="B31" s="229" t="inlineStr">
        <is>
          <t>BILL NO. 13: ELECTRICAL WORKS</t>
        </is>
      </c>
      <c r="C31" s="230" t="n"/>
      <c r="D31" s="385">
        <f>1026550+50000</f>
        <v/>
      </c>
      <c r="E31" s="385">
        <f>D31*$D$48/$D$44</f>
        <v/>
      </c>
      <c r="F31" s="231" t="n"/>
    </row>
    <row r="32" ht="14.25" customHeight="1">
      <c r="A32" s="226" t="n"/>
      <c r="B32" s="229" t="n"/>
      <c r="C32" s="226" t="n"/>
      <c r="D32" s="385" t="n"/>
      <c r="E32" s="219" t="n"/>
      <c r="F32" s="219" t="n"/>
    </row>
    <row r="33" ht="18" customHeight="1">
      <c r="A33" s="226" t="inlineStr">
        <is>
          <t>P</t>
        </is>
      </c>
      <c r="B33" s="229" t="inlineStr">
        <is>
          <t>BILL NO. 14. EXTERNAL FAÇADE WORKS</t>
        </is>
      </c>
      <c r="C33" s="230" t="n"/>
      <c r="D33" s="385">
        <f>606968.250712613+50000</f>
        <v/>
      </c>
      <c r="E33" s="385">
        <f>D33*$D$48/$D$44</f>
        <v/>
      </c>
      <c r="F33" s="231" t="n"/>
    </row>
    <row r="34" ht="18" customHeight="1">
      <c r="A34" s="226" t="n"/>
      <c r="B34" s="229" t="n"/>
      <c r="C34" s="226" t="n"/>
      <c r="D34" s="385" t="n"/>
      <c r="E34" s="219" t="n"/>
      <c r="F34" s="219" t="n"/>
    </row>
    <row r="35" ht="18" customHeight="1">
      <c r="A35" s="226" t="inlineStr">
        <is>
          <t>Q</t>
        </is>
      </c>
      <c r="B35" s="229" t="inlineStr">
        <is>
          <t>BILL NO. 15.- EXTERNAL WORKS (ALL PROVISIONAL)</t>
        </is>
      </c>
      <c r="C35" s="230" t="n"/>
      <c r="D35" s="385" t="n">
        <v>47193.43552502702</v>
      </c>
      <c r="E35" s="385">
        <f>D35*$D$48/$D$44</f>
        <v/>
      </c>
      <c r="F35" s="231" t="n"/>
    </row>
    <row r="36" ht="14.25" customHeight="1">
      <c r="A36" s="226" t="n"/>
      <c r="B36" s="229" t="n"/>
      <c r="C36" s="226" t="n"/>
      <c r="D36" s="385" t="n"/>
      <c r="E36" s="219" t="n"/>
      <c r="F36" s="219" t="n"/>
    </row>
    <row r="37" ht="18" customHeight="1">
      <c r="A37" s="226" t="inlineStr">
        <is>
          <t>R</t>
        </is>
      </c>
      <c r="B37" s="229" t="inlineStr">
        <is>
          <t>DESIGN FEES</t>
        </is>
      </c>
      <c r="C37" s="230" t="n"/>
      <c r="D37" s="385" t="n">
        <v>194211.3600072326</v>
      </c>
      <c r="E37" s="385">
        <f>D37*$D$48/$D$44</f>
        <v/>
      </c>
      <c r="F37" s="231" t="n"/>
    </row>
    <row r="38" ht="18" customHeight="1">
      <c r="A38" s="226" t="n"/>
      <c r="B38" s="229" t="n"/>
      <c r="C38" s="226" t="n"/>
      <c r="D38" s="385" t="n"/>
      <c r="E38" s="219" t="n"/>
      <c r="F38" s="219" t="n"/>
    </row>
    <row r="39" ht="18" customHeight="1">
      <c r="A39" s="226" t="inlineStr">
        <is>
          <t>S</t>
        </is>
      </c>
      <c r="B39" s="229" t="inlineStr">
        <is>
          <t>PROJECT MANAGEMENT FEES</t>
        </is>
      </c>
      <c r="C39" s="230" t="n"/>
      <c r="D39" s="385">
        <f>623262.5-175000</f>
        <v/>
      </c>
      <c r="E39" s="385">
        <f>D39*$D$48/$D$44</f>
        <v/>
      </c>
      <c r="F39" s="231" t="n"/>
    </row>
    <row r="40" ht="14.25" customHeight="1">
      <c r="A40" s="226" t="n"/>
      <c r="B40" s="229" t="n"/>
      <c r="C40" s="226" t="n"/>
      <c r="D40" s="385" t="n"/>
      <c r="E40" s="219" t="n"/>
      <c r="F40" s="219" t="n"/>
    </row>
    <row r="41" ht="18" customHeight="1"/>
    <row r="42" ht="14.25" customHeight="1"/>
    <row r="43" ht="18" customHeight="1"/>
    <row r="44" ht="18" customHeight="1">
      <c r="A44" s="240" t="n"/>
      <c r="B44" s="241" t="inlineStr">
        <is>
          <t>SUB - TOTAL (1)</t>
        </is>
      </c>
      <c r="C44" s="242" t="inlineStr">
        <is>
          <t>US $</t>
        </is>
      </c>
      <c r="D44" s="386">
        <f>SUM(D7:D40)</f>
        <v/>
      </c>
      <c r="E44" s="386">
        <f>SUM(E7:E40)</f>
        <v/>
      </c>
      <c r="F44" s="219" t="n"/>
    </row>
    <row r="45" ht="14.25" customHeight="1"/>
    <row r="46" ht="14.4" customHeight="1">
      <c r="A46" s="226" t="n"/>
      <c r="B46" s="229" t="inlineStr">
        <is>
          <t>LESS: DISCOUNT</t>
        </is>
      </c>
      <c r="C46" s="226" t="n"/>
      <c r="D46" s="385">
        <f>D44-D48</f>
        <v/>
      </c>
      <c r="E46" s="385" t="n"/>
      <c r="F46" s="245" t="n"/>
    </row>
    <row r="47" ht="14.25" customHeight="1"/>
    <row r="48" ht="14.25" customHeight="1">
      <c r="A48" s="226" t="n"/>
      <c r="B48" s="229" t="inlineStr">
        <is>
          <t>AGREED DISCOUNTED CONTRACT SUM</t>
        </is>
      </c>
      <c r="C48" s="226" t="n"/>
      <c r="D48" s="385" t="n">
        <v>6250000</v>
      </c>
      <c r="E48" s="385" t="n"/>
      <c r="F48" s="245" t="n"/>
    </row>
    <row r="49" ht="14.25" customHeight="1"/>
    <row r="50" ht="19.95" customHeight="1"/>
    <row r="51" ht="14.25" customHeight="1">
      <c r="A51" s="259" t="n"/>
      <c r="B51" s="260" t="inlineStr">
        <is>
          <t>TOTAL COST OF THE WORKS (EXCLUDING TAXES)</t>
        </is>
      </c>
      <c r="C51" s="261" t="inlineStr">
        <is>
          <t>US $</t>
        </is>
      </c>
      <c r="D51" s="387">
        <f>D44-D46</f>
        <v/>
      </c>
      <c r="E51" s="387">
        <f>E44</f>
        <v/>
      </c>
      <c r="F51" s="257" t="n"/>
    </row>
    <row r="52" ht="14.25" customHeight="1"/>
    <row r="53" ht="14.25" customHeight="1"/>
    <row r="54" ht="14.25" customHeight="1">
      <c r="A54" s="266" t="n"/>
      <c r="B54" s="267" t="inlineStr">
        <is>
          <t>SIGNED: ……………………………………………………………</t>
        </is>
      </c>
      <c r="C54" s="268" t="n"/>
      <c r="D54" s="388" t="n"/>
      <c r="E54" s="388" t="n"/>
      <c r="F54" s="271" t="n"/>
    </row>
    <row r="55" ht="14.25" customHeight="1"/>
    <row r="56" ht="14.25" customHeight="1"/>
    <row r="57" ht="18" customHeight="1">
      <c r="A57" s="266" t="n"/>
      <c r="B57" s="267" t="inlineStr">
        <is>
          <t>DATE: ………………………………………...........………….</t>
        </is>
      </c>
      <c r="C57" s="389" t="n"/>
      <c r="D57" s="388" t="n"/>
      <c r="E57" s="388" t="n"/>
      <c r="F57" s="254" t="n"/>
    </row>
    <row r="58" ht="18" customHeight="1"/>
    <row r="59" ht="14.25" customHeight="1"/>
    <row r="60" ht="18" customHeight="1"/>
    <row r="61" ht="14.25" customHeight="1"/>
    <row r="62" ht="18" customHeight="1"/>
    <row r="63" ht="14.25" customHeight="1"/>
    <row r="64" ht="23.4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</sheetData>
  <pageMargins left="0.7" right="0.7" top="0.75" bottom="0.75" header="0" footer="0"/>
  <pageSetup orientation="portrait" paperSize="9" scale="4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</dc:creator>
  <dcterms:created xmlns:dcterms="http://purl.org/dc/terms/" xmlns:xsi="http://www.w3.org/2001/XMLSchema-instance" xsi:type="dcterms:W3CDTF">2026-10-07T10:01:21Z</dcterms:created>
  <dcterms:modified xmlns:dcterms="http://purl.org/dc/terms/" xmlns:xsi="http://www.w3.org/2001/XMLSchema-instance" xsi:type="dcterms:W3CDTF">2026-10-07T10:42:49Z</dcterms:modified>
  <cp:lastModifiedBy>Build</cp:lastModifiedBy>
</cp:coreProperties>
</file>