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 &amp; Assumptions" sheetId="1" state="visible" r:id="rId1"/>
    <sheet name="Summary" sheetId="2" state="visible" r:id="rId2"/>
    <sheet name="Element x Size by Floor" sheetId="3" state="visible" r:id="rId3"/>
    <sheet name="F00 Substructure" sheetId="4" state="visible" r:id="rId4"/>
    <sheet name="F01 Ground Floor" sheetId="5" state="visible" r:id="rId5"/>
    <sheet name="F02 M1 Level" sheetId="6" state="visible" r:id="rId6"/>
    <sheet name="F03 First Floor" sheetId="7" state="visible" r:id="rId7"/>
    <sheet name="F04 M2 Level" sheetId="8" state="visible" r:id="rId8"/>
    <sheet name="F05 Second Floor" sheetId="9" state="visible" r:id="rId9"/>
    <sheet name="F06 Mezzanine Floor" sheetId="10" state="visible" r:id="rId10"/>
    <sheet name="F07 Third Floor" sheetId="11" state="visible" r:id="rId11"/>
    <sheet name="F08 Fourth Floor" sheetId="12" state="visible" r:id="rId12"/>
    <sheet name="F09 Fifth Floor" sheetId="13" state="visible" r:id="rId13"/>
    <sheet name="F10 Sixth Floor" sheetId="14" state="visible" r:id="rId14"/>
    <sheet name="F11 Seventh Floor" sheetId="15" state="visible" r:id="rId15"/>
    <sheet name="F12 Eighth Floor" sheetId="16" state="visible" r:id="rId16"/>
    <sheet name="F13 Ninth Floor" sheetId="17" state="visible" r:id="rId17"/>
    <sheet name="F14 Tenth Floor" sheetId="18" state="visible" r:id="rId18"/>
    <sheet name="F15 Roof Top Terrace" sheetId="19" state="visible" r:id="rId19"/>
    <sheet name="F16 Roof Level" sheetId="20" state="visible" r:id="rId20"/>
    <sheet name="F17 Top of Lift Core" sheetId="21" state="visible" r:id="rId21"/>
    <sheet name="Column Check" sheetId="22" state="visible" r:id="rId22"/>
    <sheet name="BBS Register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&quot;Y&quot;0"/>
    <numFmt numFmtId="166" formatCode="0.000;-0.000;&quot;-&quot;"/>
    <numFmt numFmtId="167" formatCode="#,##0.000"/>
    <numFmt numFmtId="168" formatCode="#,##0.000;-#,##0.000;&quot;-&quot;"/>
  </numFmts>
  <fonts count="11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0000FF"/>
      <sz val="9"/>
    </font>
    <font>
      <name val="Arial"/>
      <b val="1"/>
      <sz val="9"/>
    </font>
    <font>
      <name val="Arial"/>
      <color rgb="00008000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166" fontId="9" fillId="0" borderId="1" pivotButton="0" quotePrefix="0" xfId="0"/>
    <xf numFmtId="164" fontId="8" fillId="0" borderId="1" pivotButton="0" quotePrefix="0" xfId="0"/>
    <xf numFmtId="0" fontId="3" fillId="0" borderId="0" pivotButton="0" quotePrefix="0" xfId="0"/>
    <xf numFmtId="167" fontId="3" fillId="3" borderId="1" pivotButton="0" quotePrefix="0" xfId="0"/>
    <xf numFmtId="0" fontId="10" fillId="0" borderId="0" pivotButton="0" quotePrefix="0" xfId="0"/>
    <xf numFmtId="0" fontId="6" fillId="0" borderId="1" pivotButton="0" quotePrefix="0" xfId="0"/>
    <xf numFmtId="168" fontId="9" fillId="0" borderId="1" pivotButton="0" quotePrefix="0" xfId="0"/>
    <xf numFmtId="167" fontId="8" fillId="0" borderId="1" pivotButton="0" quotePrefix="0" xfId="0"/>
    <xf numFmtId="0" fontId="3" fillId="3" borderId="1" pivotButton="0" quotePrefix="0" xfId="0"/>
    <xf numFmtId="166" fontId="8" fillId="0" borderId="1" pivotButton="0" quotePrefix="0" xfId="0"/>
    <xf numFmtId="0" fontId="2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0" fontId="5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6" fontId="6" fillId="0" borderId="1" pivotButton="0" quotePrefix="0" xfId="0"/>
    <xf numFmtId="164" fontId="3" fillId="3" borderId="1" pivotButton="0" quotePrefix="0" xfId="0"/>
    <xf numFmtId="0" fontId="7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PROPOSED KANESHIE BLOCK N REDEVELOPMENT - REINFORCEMENT TAKE-OFF</t>
        </is>
      </c>
    </row>
    <row r="2">
      <c r="A2" s="2" t="inlineStr">
        <is>
          <t>Source: Structural drawings SHC-KANESHIE-STR-000 to STR-107 (108 sheets, Documents.pdf). Take-off prepared floor by floor; all quantities in tonnes.</t>
        </is>
      </c>
    </row>
    <row r="3">
      <c r="A3" s="2" t="inlineStr"/>
    </row>
    <row r="4">
      <c r="A4" s="3" t="inlineStr">
        <is>
          <t>METHOD OF MEASUREMENT</t>
        </is>
      </c>
    </row>
    <row r="5">
      <c r="A5" s="2" t="inlineStr">
        <is>
          <t>1. Every take-off line shows: No. of members x No. of bars per member = Total bars; Total bars x Cut length = Total length; Total length x Unit mass = kg; kg / 1000 = tonnes.</t>
        </is>
      </c>
    </row>
    <row r="6">
      <c r="A6" s="2" t="inlineStr">
        <is>
          <t>2. Unit mass of bar (kg/m) = d^2 / 162 (d in mm), calculated by formula in column L of every floor sheet (0.617 kg/m Y10, 0.888 Y12, 1.580 Y16, 2.469 Y20, 3.858 Y25).</t>
        </is>
      </c>
    </row>
    <row r="7">
      <c r="A7" s="2" t="inlineStr">
        <is>
          <t>3. Raft, floor slabs, beams, staircases and lift-core slab are taken from the Bar Bending Schedules (BBS) on the drawings (bar mark, diameter, quantity, cut length). Cut lengths already include laps/bends as scheduled.</t>
        </is>
      </c>
    </row>
    <row r="8">
      <c r="A8" s="2" t="inlineStr">
        <is>
          <t>4. Floors 4th to 8th are typical (STR-076 to STR-082): the typical schedules are measured once on each of the five floor sheets.</t>
        </is>
      </c>
    </row>
    <row r="9">
      <c r="A9" s="2" t="inlineStr">
        <is>
          <t>5. Main staircase typical flight (STR-027, 4th-10th) measured on 4th, 5th, 6th, 7th, 8th and 9th floors (6 storeys). Emergency stair typical flight M1-3rd (STR-033) measured at M1, M2 and Mezzanine; typical 4th-10th (STR-037) on 6 storeys. Staircase BBS quantities are per storey (e.g. 1201: 30 no = 2x15 in plan).</t>
        </is>
      </c>
    </row>
    <row r="10">
      <c r="A10" s="2" t="inlineStr">
        <is>
          <t>6. Elements are allocated to the floor they rise FROM: columns, walls and stair flights between level X and the level above are measured under level X. Column/wall starters from the raft to Ground level are measured under Substructure.</t>
        </is>
      </c>
    </row>
    <row r="11">
      <c r="A11" s="2" t="inlineStr">
        <is>
          <t>7. Structural levels used (SSL): Raft top -1000, NGL 0, GF +300, M1 +2500, 1st +4150, M2 +5200, 2nd +6850, Mezz +7900, 3rd +10900, 4th +14200 then +3300 per floor to 10th +34000, Roof top terrace +37300, Roof +40450, Top of lift core +44650.</t>
        </is>
      </c>
    </row>
    <row r="12">
      <c r="A12" s="2" t="inlineStr"/>
    </row>
    <row r="13">
      <c r="A13" s="3" t="inlineStr">
        <is>
          <t>COLUMNS (STR-007 to STR-012)</t>
        </is>
      </c>
    </row>
    <row r="14">
      <c r="A14" s="2" t="inlineStr">
        <is>
          <t>8. Number of links and main bars per storey taken from the column elevations (text callouts) x number of columns of each type; cut lengths from the column BBS. Column count confirmed on raft GA STR-002: 01A x5, 01B x1, 01C x2, 01D x1, 02A x3, 02B x6, 02C x1, 02D x15, SWC-01A x1 (35 no.).</t>
        </is>
      </c>
    </row>
    <row r="15">
      <c r="A15" s="2" t="inlineStr">
        <is>
          <t>9. Sheet STR-009 is a duplicate of STR-008 (identical column types 01C/01D, same schedule, only section numbers differ) - measured once only.</t>
        </is>
      </c>
    </row>
    <row r="16">
      <c r="A16" s="2" t="inlineStr">
        <is>
          <t>10. Cross-ties Y1005 per link set: BBS ratio used (02A/02B = 5 per set per STR-010 BBS; 02C/02D = 3 per set per STR-011 BBS). SWC-01A: 7 no. Y1003 + 4 no. Y1004 per set per STR-012 BBS. See Column Check sheet for reconciliation against BBS totals.</t>
        </is>
      </c>
    </row>
    <row r="17">
      <c r="A17" s="2" t="inlineStr">
        <is>
          <t>11. SWC-01A top lift labelled "48-Y2004" on elevation is taken as bar mark 2011 (Y25, 3370) per BBS.</t>
        </is>
      </c>
    </row>
    <row r="18">
      <c r="A18" s="2" t="inlineStr"/>
    </row>
    <row r="19">
      <c r="A19" s="3" t="inlineStr">
        <is>
          <t>SHEAR WALLS / LIFT WALLS (STR-013 to STR-017) - NO BBS ISSUED; MEASURED FROM DETAILS</t>
        </is>
      </c>
    </row>
    <row r="20">
      <c r="A20" s="2" t="inlineStr">
        <is>
          <t>12. Wall lengths from raft GA STR-002 figured dimensions; heights from wall elevations. Horizontal bars per face per storey = count shown on elevations CW-01/CW-03 (main core) and CW-13 (emergency core); vertical bars per face = 29 no. (3600 walls, per elevations), 52 no. (CW-13) or ROUNDUP(L/150)+1 elsewhere, both faces (NF/FF).</t>
        </is>
      </c>
    </row>
    <row r="21">
      <c r="A21" s="2" t="inlineStr">
        <is>
          <t>13. Horizontal bar cut length = wall length - 2 x 30 cover + 40d (one lap/corner anchorage). Vertical bar cut length = storey height + 40d lap (note 3.0: min lap 40d). Starters from raft = 1250 embedment + 350 bend + storey height + 40d.</t>
        </is>
      </c>
    </row>
    <row r="22">
      <c r="A22" s="2" t="inlineStr">
        <is>
          <t>14. Vertical bar size per elevations: Y25 up to 4th floor (lift walls to 5th), Y20 above.</t>
        </is>
      </c>
    </row>
    <row r="23">
      <c r="A23" s="2" t="inlineStr">
        <is>
          <t>15. Confinement links "Y10xx@150 stirrups": 52 positions in main core plan (STR-015; split 26 stair/26 lift by wall length) and 33 positions in emergency core plan (STR-013); vertical spacing 150; assumed cut length 1.80 m each (link around 2 bars within 250 wall, incl. hooks) - no BBS issued.</t>
        </is>
      </c>
    </row>
    <row r="24">
      <c r="A24" s="2" t="inlineStr">
        <is>
          <t>16. Lift walls (CW-02, 03, 04, 06, 08 and lift section of CW-07) continue to Top of Lift Core +44650; stair-core walls stop at Roof +40450.</t>
        </is>
      </c>
    </row>
    <row r="25">
      <c r="A25" s="2" t="inlineStr">
        <is>
          <t>17. Retaining walls: none shown on the drawings. RAMP-01 wall (250 x 7400, raft GA) has no reinforcement detail - measured PROVISIONALLY as Y12@150 NF/FF both ways.</t>
        </is>
      </c>
    </row>
    <row r="26">
      <c r="A26" s="2" t="inlineStr"/>
    </row>
    <row r="27">
      <c r="A27" s="3" t="inlineStr">
        <is>
          <t>EXCLUSIONS / QUERIES (RFI)</t>
        </is>
      </c>
    </row>
    <row r="28">
      <c r="A28" s="2" t="inlineStr">
        <is>
          <t>18. Ground floor slab-on-grade: no reinforcement drawing issued - not measured.</t>
        </is>
      </c>
    </row>
    <row r="29">
      <c r="A29" s="2" t="inlineStr">
        <is>
          <t>19. STR-010 (02A/B) BBS shows 5 cross-ties per set while STR-011 (02C/D) BBS shows 3 for the same section detail - confirm. If 5 apply to 02C/02D, add approx. 5,800 x 2 x 1.008 m Y10 = 7.2 t.</t>
        </is>
      </c>
    </row>
    <row r="30">
      <c r="A30" s="2" t="inlineStr">
        <is>
          <t>20. STR-008 (01C/01D) BBS lists 512 no. Y2001 while elevations show 368 no. (appears copied from 01A/01B). Elevations used.</t>
        </is>
      </c>
    </row>
    <row r="31">
      <c r="A31" s="2" t="inlineStr">
        <is>
          <t>21. Wall links, wall laps and ramp wall are the only items measured without a BBS; tie wire, chairs/spacers and wastage are NOT included (add allowance as required, typically 2.5-5%).</t>
        </is>
      </c>
    </row>
    <row r="32">
      <c r="A32" s="2" t="inlineStr"/>
    </row>
    <row r="33">
      <c r="A33" s="2" t="inlineStr">
        <is>
          <t>Colour code: blue text = figures transcribed from drawings (inputs); black =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4" t="inlineStr">
        <is>
          <t>REINFORCEMENT SUMMARY - FLOOR BY FLOOR (TONNES)</t>
        </is>
      </c>
    </row>
    <row r="2">
      <c r="A2" s="5" t="inlineStr">
        <is>
          <t>Proposed Kaneshie Block N Redevelopment - High yield steel BS4449 grade 500. Values link to the floor sheets (green).</t>
        </is>
      </c>
    </row>
    <row r="4">
      <c r="A4" s="6" t="inlineStr">
        <is>
          <t>Ref</t>
        </is>
      </c>
      <c r="B4" s="6" t="inlineStr">
        <is>
          <t>Floor / level</t>
        </is>
      </c>
      <c r="C4" s="6" t="inlineStr">
        <is>
          <t>Raft Foundation</t>
        </is>
      </c>
      <c r="D4" s="6" t="inlineStr">
        <is>
          <t>Columns</t>
        </is>
      </c>
      <c r="E4" s="6" t="inlineStr">
        <is>
          <t>Shear Walls</t>
        </is>
      </c>
      <c r="F4" s="6" t="inlineStr">
        <is>
          <t>Lift Walls</t>
        </is>
      </c>
      <c r="G4" s="6" t="inlineStr">
        <is>
          <t>Retaining / Ramp Walls</t>
        </is>
      </c>
      <c r="H4" s="6" t="inlineStr">
        <is>
          <t>Beams</t>
        </is>
      </c>
      <c r="I4" s="6" t="inlineStr">
        <is>
          <t>Floor Slabs</t>
        </is>
      </c>
      <c r="J4" s="6" t="inlineStr">
        <is>
          <t>Staircases</t>
        </is>
      </c>
      <c r="K4" s="6" t="inlineStr">
        <is>
          <t>Lift Core Roof Slab</t>
        </is>
      </c>
      <c r="L4" s="6" t="inlineStr">
        <is>
          <t>TOTAL (t)</t>
        </is>
      </c>
    </row>
    <row r="5">
      <c r="A5" s="7" t="inlineStr">
        <is>
          <t>F00</t>
        </is>
      </c>
      <c r="B5" s="7" t="inlineStr">
        <is>
          <t>Raft foundation &amp; starters (Foundation to Ground)</t>
        </is>
      </c>
      <c r="C5" s="8">
        <f>SUMIF('F00 Substructure'!$B$6:$B$154,"Raft Foundation",'F00 Substructure'!$N$6:$N$154)</f>
        <v>187.13847608024693</v>
      </c>
      <c r="D5" s="8">
        <f>SUMIF('F00 Substructure'!$B$6:$B$154,"Columns",'F00 Substructure'!$N$6:$N$154)</f>
        <v>10.121226543209875</v>
      </c>
      <c r="E5" s="8">
        <f>SUMIF('F00 Substructure'!$B$6:$B$154,"Shear Walls",'F00 Substructure'!$N$6:$N$154)</f>
        <v>11.219664444444444</v>
      </c>
      <c r="F5" s="8">
        <f>SUMIF('F00 Substructure'!$B$6:$B$154,"Lift Walls",'F00 Substructure'!$N$6:$N$154)</f>
        <v>5.584705185185184</v>
      </c>
      <c r="G5" s="8">
        <f>SUMIF('F00 Substructure'!$B$6:$B$154,"Retaining / Ramp Walls",'F00 Substructure'!$N$6:$N$154)</f>
        <v>0.0</v>
      </c>
      <c r="H5" s="8">
        <f>SUMIF('F00 Substructure'!$B$6:$B$154,"Beams",'F00 Substructure'!$N$6:$N$154)</f>
        <v>0.0</v>
      </c>
      <c r="I5" s="8">
        <f>SUMIF('F00 Substructure'!$B$6:$B$154,"Floor Slabs",'F00 Substructure'!$N$6:$N$154)</f>
        <v>0.0</v>
      </c>
      <c r="J5" s="8">
        <f>SUMIF('F00 Substructure'!$B$6:$B$154,"Staircases",'F00 Substructure'!$N$6:$N$154)</f>
        <v>0.0</v>
      </c>
      <c r="K5" s="8">
        <f>SUMIF('F00 Substructure'!$B$6:$B$154,"Lift Core Roof Slab",'F00 Substructure'!$N$6:$N$154)</f>
        <v>0.0</v>
      </c>
      <c r="L5" s="9">
        <f>SUM(C5:K5)</f>
        <v>214.06407225308644</v>
      </c>
    </row>
    <row r="6">
      <c r="A6" s="7" t="inlineStr">
        <is>
          <t>F01</t>
        </is>
      </c>
      <c r="B6" s="7" t="inlineStr">
        <is>
          <t>Ground floor (+300) - elements rising to next level</t>
        </is>
      </c>
      <c r="C6" s="8">
        <f>SUMIF('F01 Ground Floor'!$B$6:$B$107,"Raft Foundation",'F01 Ground Floor'!$N$6:$N$107)</f>
        <v>0.0</v>
      </c>
      <c r="D6" s="8">
        <f>SUMIF('F01 Ground Floor'!$B$6:$B$107,"Columns",'F01 Ground Floor'!$N$6:$N$107)</f>
        <v>15.0542024691358</v>
      </c>
      <c r="E6" s="8">
        <f>SUMIF('F01 Ground Floor'!$B$6:$B$107,"Shear Walls",'F01 Ground Floor'!$N$6:$N$107)</f>
        <v>14.507586049382715</v>
      </c>
      <c r="F6" s="8">
        <f>SUMIF('F01 Ground Floor'!$B$6:$B$107,"Lift Walls",'F01 Ground Floor'!$N$6:$N$107)</f>
        <v>8.359976790123454</v>
      </c>
      <c r="G6" s="8">
        <f>SUMIF('F01 Ground Floor'!$B$6:$B$107,"Retaining / Ramp Walls",'F01 Ground Floor'!$N$6:$N$107)</f>
        <v>0.8395733333333333</v>
      </c>
      <c r="H6" s="8">
        <f>SUMIF('F01 Ground Floor'!$B$6:$B$107,"Beams",'F01 Ground Floor'!$N$6:$N$107)</f>
        <v>0.0</v>
      </c>
      <c r="I6" s="8">
        <f>SUMIF('F01 Ground Floor'!$B$6:$B$107,"Floor Slabs",'F01 Ground Floor'!$N$6:$N$107)</f>
        <v>0.0</v>
      </c>
      <c r="J6" s="8">
        <f>SUMIF('F01 Ground Floor'!$B$6:$B$107,"Staircases",'F01 Ground Floor'!$N$6:$N$107)</f>
        <v>2.0712691358024693</v>
      </c>
      <c r="K6" s="8">
        <f>SUMIF('F01 Ground Floor'!$B$6:$B$107,"Lift Core Roof Slab",'F01 Ground Floor'!$N$6:$N$107)</f>
        <v>0.0</v>
      </c>
      <c r="L6" s="9">
        <f>SUM(C6:K6)</f>
        <v>40.832607777777774</v>
      </c>
    </row>
    <row r="7">
      <c r="A7" s="7" t="inlineStr">
        <is>
          <t>F02</t>
        </is>
      </c>
      <c r="B7" s="7" t="inlineStr">
        <is>
          <t>M1 Level 1B Parking (+2500)</t>
        </is>
      </c>
      <c r="C7" s="8">
        <f>SUMIF('F02 M1 Level'!$B$6:$B$141,"Raft Foundation",'F02 M1 Level'!$N$6:$N$141)</f>
        <v>0.0</v>
      </c>
      <c r="D7" s="8">
        <f>SUMIF('F02 M1 Level'!$B$6:$B$141,"Columns",'F02 M1 Level'!$N$6:$N$141)</f>
        <v>5.9595617283950615</v>
      </c>
      <c r="E7" s="8">
        <f>SUMIF('F02 M1 Level'!$B$6:$B$141,"Shear Walls",'F02 M1 Level'!$N$6:$N$141)</f>
        <v>6.690832098765432</v>
      </c>
      <c r="F7" s="8">
        <f>SUMIF('F02 M1 Level'!$B$6:$B$141,"Lift Walls",'F02 M1 Level'!$N$6:$N$141)</f>
        <v>0.0</v>
      </c>
      <c r="G7" s="8">
        <f>SUMIF('F02 M1 Level'!$B$6:$B$141,"Retaining / Ramp Walls",'F02 M1 Level'!$N$6:$N$141)</f>
        <v>0.0</v>
      </c>
      <c r="H7" s="8">
        <f>SUMIF('F02 M1 Level'!$B$6:$B$141,"Beams",'F02 M1 Level'!$N$6:$N$141)</f>
        <v>4.95300663580247</v>
      </c>
      <c r="I7" s="8">
        <f>SUMIF('F02 M1 Level'!$B$6:$B$141,"Floor Slabs",'F02 M1 Level'!$N$6:$N$141)</f>
        <v>29.3158049382716</v>
      </c>
      <c r="J7" s="8">
        <f>SUMIF('F02 M1 Level'!$B$6:$B$141,"Staircases",'F02 M1 Level'!$N$6:$N$141)</f>
        <v>1.133827160493827</v>
      </c>
      <c r="K7" s="8">
        <f>SUMIF('F02 M1 Level'!$B$6:$B$141,"Lift Core Roof Slab",'F02 M1 Level'!$N$6:$N$141)</f>
        <v>0.0</v>
      </c>
      <c r="L7" s="9">
        <f>SUM(C7:K7)</f>
        <v>48.053032561728386</v>
      </c>
    </row>
    <row r="8">
      <c r="A8" s="7" t="inlineStr">
        <is>
          <t>F03</t>
        </is>
      </c>
      <c r="B8" s="7" t="inlineStr">
        <is>
          <t>First Floor Level 2A Parking (+4150)</t>
        </is>
      </c>
      <c r="C8" s="8">
        <f>SUMIF('F03 First Floor'!$B$6:$B$169,"Raft Foundation",'F03 First Floor'!$N$6:$N$169)</f>
        <v>0.0</v>
      </c>
      <c r="D8" s="8">
        <f>SUMIF('F03 First Floor'!$B$6:$B$169,"Columns",'F03 First Floor'!$N$6:$N$169)</f>
        <v>7.813022222222222</v>
      </c>
      <c r="E8" s="8">
        <f>SUMIF('F03 First Floor'!$B$6:$B$169,"Shear Walls",'F03 First Floor'!$N$6:$N$169)</f>
        <v>5.758231851851853</v>
      </c>
      <c r="F8" s="8">
        <f>SUMIF('F03 First Floor'!$B$6:$B$169,"Lift Walls",'F03 First Floor'!$N$6:$N$169)</f>
        <v>5.894578765432099</v>
      </c>
      <c r="G8" s="8">
        <f>SUMIF('F03 First Floor'!$B$6:$B$169,"Retaining / Ramp Walls",'F03 First Floor'!$N$6:$N$169)</f>
        <v>0.0</v>
      </c>
      <c r="H8" s="8">
        <f>SUMIF('F03 First Floor'!$B$6:$B$169,"Beams",'F03 First Floor'!$N$6:$N$169)</f>
        <v>5.510080709876543</v>
      </c>
      <c r="I8" s="8">
        <f>SUMIF('F03 First Floor'!$B$6:$B$169,"Floor Slabs",'F03 First Floor'!$N$6:$N$169)</f>
        <v>30.475444444444445</v>
      </c>
      <c r="J8" s="8">
        <f>SUMIF('F03 First Floor'!$B$6:$B$169,"Staircases",'F03 First Floor'!$N$6:$N$169)</f>
        <v>1.179891358024691</v>
      </c>
      <c r="K8" s="8">
        <f>SUMIF('F03 First Floor'!$B$6:$B$169,"Lift Core Roof Slab",'F03 First Floor'!$N$6:$N$169)</f>
        <v>0.0</v>
      </c>
      <c r="L8" s="9">
        <f>SUM(C8:K8)</f>
        <v>56.63124935185185</v>
      </c>
    </row>
    <row r="9">
      <c r="A9" s="7" t="inlineStr">
        <is>
          <t>F04</t>
        </is>
      </c>
      <c r="B9" s="7" t="inlineStr">
        <is>
          <t>M2 Level 2B Parking (+5200)</t>
        </is>
      </c>
      <c r="C9" s="8">
        <f>SUMIF('F04 M2 Level'!$B$6:$B$127,"Raft Foundation",'F04 M2 Level'!$N$6:$N$127)</f>
        <v>0.0</v>
      </c>
      <c r="D9" s="8">
        <f>SUMIF('F04 M2 Level'!$B$6:$B$127,"Columns",'F04 M2 Level'!$N$6:$N$127)</f>
        <v>5.872895061728395</v>
      </c>
      <c r="E9" s="8">
        <f>SUMIF('F04 M2 Level'!$B$6:$B$127,"Shear Walls",'F04 M2 Level'!$N$6:$N$127)</f>
        <v>6.690832098765432</v>
      </c>
      <c r="F9" s="8">
        <f>SUMIF('F04 M2 Level'!$B$6:$B$127,"Lift Walls",'F04 M2 Level'!$N$6:$N$127)</f>
        <v>0.0</v>
      </c>
      <c r="G9" s="8">
        <f>SUMIF('F04 M2 Level'!$B$6:$B$127,"Retaining / Ramp Walls",'F04 M2 Level'!$N$6:$N$127)</f>
        <v>0.0</v>
      </c>
      <c r="H9" s="8">
        <f>SUMIF('F04 M2 Level'!$B$6:$B$127,"Beams",'F04 M2 Level'!$N$6:$N$127)</f>
        <v>3.5302109567901234</v>
      </c>
      <c r="I9" s="8">
        <f>SUMIF('F04 M2 Level'!$B$6:$B$127,"Floor Slabs",'F04 M2 Level'!$N$6:$N$127)</f>
        <v>27.517938271604937</v>
      </c>
      <c r="J9" s="8">
        <f>SUMIF('F04 M2 Level'!$B$6:$B$127,"Staircases",'F04 M2 Level'!$N$6:$N$127)</f>
        <v>1.133827160493827</v>
      </c>
      <c r="K9" s="8">
        <f>SUMIF('F04 M2 Level'!$B$6:$B$127,"Lift Core Roof Slab",'F04 M2 Level'!$N$6:$N$127)</f>
        <v>0.0</v>
      </c>
      <c r="L9" s="9">
        <f>SUM(C9:K9)</f>
        <v>44.74570354938271</v>
      </c>
    </row>
    <row r="10">
      <c r="A10" s="7" t="inlineStr">
        <is>
          <t>F05</t>
        </is>
      </c>
      <c r="B10" s="7" t="inlineStr">
        <is>
          <t>Second Floor Level 3A Parking (+6850)</t>
        </is>
      </c>
      <c r="C10" s="8">
        <f>SUMIF('F05 Second Floor'!$B$6:$B$171,"Raft Foundation",'F05 Second Floor'!$N$6:$N$171)</f>
        <v>0.0</v>
      </c>
      <c r="D10" s="8">
        <f>SUMIF('F05 Second Floor'!$B$6:$B$171,"Columns",'F05 Second Floor'!$N$6:$N$171)</f>
        <v>10.099314814814814</v>
      </c>
      <c r="E10" s="8">
        <f>SUMIF('F05 Second Floor'!$B$6:$B$171,"Shear Walls",'F05 Second Floor'!$N$6:$N$171)</f>
        <v>8.067601851851851</v>
      </c>
      <c r="F10" s="8">
        <f>SUMIF('F05 Second Floor'!$B$6:$B$171,"Lift Walls",'F05 Second Floor'!$N$6:$N$171)</f>
        <v>8.25243209876543</v>
      </c>
      <c r="G10" s="8">
        <f>SUMIF('F05 Second Floor'!$B$6:$B$171,"Retaining / Ramp Walls",'F05 Second Floor'!$N$6:$N$171)</f>
        <v>0.0</v>
      </c>
      <c r="H10" s="8">
        <f>SUMIF('F05 Second Floor'!$B$6:$B$171,"Beams",'F05 Second Floor'!$N$6:$N$171)</f>
        <v>4.864806327160492</v>
      </c>
      <c r="I10" s="8">
        <f>SUMIF('F05 Second Floor'!$B$6:$B$171,"Floor Slabs",'F05 Second Floor'!$N$6:$N$171)</f>
        <v>35.155422222222214</v>
      </c>
      <c r="J10" s="8">
        <f>SUMIF('F05 Second Floor'!$B$6:$B$171,"Staircases",'F05 Second Floor'!$N$6:$N$171)</f>
        <v>1.179891358024691</v>
      </c>
      <c r="K10" s="8">
        <f>SUMIF('F05 Second Floor'!$B$6:$B$171,"Lift Core Roof Slab",'F05 Second Floor'!$N$6:$N$171)</f>
        <v>0.0</v>
      </c>
      <c r="L10" s="9">
        <f>SUM(C10:K10)</f>
        <v>67.61946867283949</v>
      </c>
    </row>
    <row r="11">
      <c r="A11" s="7" t="inlineStr">
        <is>
          <t>F06</t>
        </is>
      </c>
      <c r="B11" s="7" t="inlineStr">
        <is>
          <t>Mezzanine Floor 3B Parking (+7900)</t>
        </is>
      </c>
      <c r="C11" s="8">
        <f>SUMIF('F06 Mezzanine Floor'!$B$6:$B$118,"Raft Foundation",'F06 Mezzanine Floor'!$N$6:$N$118)</f>
        <v>0.0</v>
      </c>
      <c r="D11" s="8">
        <f>SUMIF('F06 Mezzanine Floor'!$B$6:$B$118,"Columns",'F06 Mezzanine Floor'!$N$6:$N$118)</f>
        <v>4.822246913580247</v>
      </c>
      <c r="E11" s="8">
        <f>SUMIF('F06 Mezzanine Floor'!$B$6:$B$118,"Shear Walls",'F06 Mezzanine Floor'!$N$6:$N$118)</f>
        <v>7.289817283950617</v>
      </c>
      <c r="F11" s="8">
        <f>SUMIF('F06 Mezzanine Floor'!$B$6:$B$118,"Lift Walls",'F06 Mezzanine Floor'!$N$6:$N$118)</f>
        <v>0.0</v>
      </c>
      <c r="G11" s="8">
        <f>SUMIF('F06 Mezzanine Floor'!$B$6:$B$118,"Retaining / Ramp Walls",'F06 Mezzanine Floor'!$N$6:$N$118)</f>
        <v>0.0</v>
      </c>
      <c r="H11" s="8">
        <f>SUMIF('F06 Mezzanine Floor'!$B$6:$B$118,"Beams",'F06 Mezzanine Floor'!$N$6:$N$118)</f>
        <v>3.0414878086419757</v>
      </c>
      <c r="I11" s="8">
        <f>SUMIF('F06 Mezzanine Floor'!$B$6:$B$118,"Floor Slabs",'F06 Mezzanine Floor'!$N$6:$N$118)</f>
        <v>33.92935555555555</v>
      </c>
      <c r="J11" s="8">
        <f>SUMIF('F06 Mezzanine Floor'!$B$6:$B$118,"Staircases",'F06 Mezzanine Floor'!$N$6:$N$118)</f>
        <v>1.133827160493827</v>
      </c>
      <c r="K11" s="8">
        <f>SUMIF('F06 Mezzanine Floor'!$B$6:$B$118,"Lift Core Roof Slab",'F06 Mezzanine Floor'!$N$6:$N$118)</f>
        <v>0.0</v>
      </c>
      <c r="L11" s="9">
        <f>SUM(C11:K11)</f>
        <v>50.21673472222222</v>
      </c>
    </row>
    <row r="12">
      <c r="A12" s="7" t="inlineStr">
        <is>
          <t>F07</t>
        </is>
      </c>
      <c r="B12" s="7" t="inlineStr">
        <is>
          <t>Third Floor (+10900)</t>
        </is>
      </c>
      <c r="C12" s="8">
        <f>SUMIF('F07 Third Floor'!$B$6:$B$230,"Raft Foundation",'F07 Third Floor'!$N$6:$N$230)</f>
        <v>0.0</v>
      </c>
      <c r="D12" s="8">
        <f>SUMIF('F07 Third Floor'!$B$6:$B$230,"Columns",'F07 Third Floor'!$N$6:$N$230)</f>
        <v>11.683962962962962</v>
      </c>
      <c r="E12" s="8">
        <f>SUMIF('F07 Third Floor'!$B$6:$B$230,"Shear Walls",'F07 Third Floor'!$N$6:$N$230)</f>
        <v>14.673420987654321</v>
      </c>
      <c r="F12" s="8">
        <f>SUMIF('F07 Third Floor'!$B$6:$B$230,"Lift Walls",'F07 Third Floor'!$N$6:$N$230)</f>
        <v>6.942513580246913</v>
      </c>
      <c r="G12" s="8">
        <f>SUMIF('F07 Third Floor'!$B$6:$B$230,"Retaining / Ramp Walls",'F07 Third Floor'!$N$6:$N$230)</f>
        <v>0.0</v>
      </c>
      <c r="H12" s="8">
        <f>SUMIF('F07 Third Floor'!$B$6:$B$230,"Beams",'F07 Third Floor'!$N$6:$N$230)</f>
        <v>6.344990432098765</v>
      </c>
      <c r="I12" s="8">
        <f>SUMIF('F07 Third Floor'!$B$6:$B$230,"Floor Slabs",'F07 Third Floor'!$N$6:$N$230)</f>
        <v>56.973370370370375</v>
      </c>
      <c r="J12" s="8">
        <f>SUMIF('F07 Third Floor'!$B$6:$B$230,"Staircases",'F07 Third Floor'!$N$6:$N$230)</f>
        <v>2.313718518518518</v>
      </c>
      <c r="K12" s="8">
        <f>SUMIF('F07 Third Floor'!$B$6:$B$230,"Lift Core Roof Slab",'F07 Third Floor'!$N$6:$N$230)</f>
        <v>0.0</v>
      </c>
      <c r="L12" s="9">
        <f>SUM(C12:K12)</f>
        <v>98.93197685185186</v>
      </c>
    </row>
    <row r="13">
      <c r="A13" s="7" t="inlineStr">
        <is>
          <t>F08</t>
        </is>
      </c>
      <c r="B13" s="7" t="inlineStr">
        <is>
          <t>Fourth Floor (+14200) - typical 4th-8th</t>
        </is>
      </c>
      <c r="C13" s="8">
        <f>SUMIF('F08 Fourth Floor'!$B$6:$B$281,"Raft Foundation",'F08 Fourth Floor'!$N$6:$N$281)</f>
        <v>0.0</v>
      </c>
      <c r="D13" s="8">
        <f>SUMIF('F08 Fourth Floor'!$B$6:$B$281,"Columns",'F08 Fourth Floor'!$N$6:$N$281)</f>
        <v>11.683962962962962</v>
      </c>
      <c r="E13" s="8">
        <f>SUMIF('F08 Fourth Floor'!$B$6:$B$281,"Shear Walls",'F08 Fourth Floor'!$N$6:$N$281)</f>
        <v>10.263575308641975</v>
      </c>
      <c r="F13" s="8">
        <f>SUMIF('F08 Fourth Floor'!$B$6:$B$281,"Lift Walls",'F08 Fourth Floor'!$N$6:$N$281)</f>
        <v>6.942513580246913</v>
      </c>
      <c r="G13" s="8">
        <f>SUMIF('F08 Fourth Floor'!$B$6:$B$281,"Retaining / Ramp Walls",'F08 Fourth Floor'!$N$6:$N$281)</f>
        <v>0.0</v>
      </c>
      <c r="H13" s="8">
        <f>SUMIF('F08 Fourth Floor'!$B$6:$B$281,"Beams",'F08 Fourth Floor'!$N$6:$N$281)</f>
        <v>10.695924691358027</v>
      </c>
      <c r="I13" s="8">
        <f>SUMIF('F08 Fourth Floor'!$B$6:$B$281,"Floor Slabs",'F08 Fourth Floor'!$N$6:$N$281)</f>
        <v>49.95495940740741</v>
      </c>
      <c r="J13" s="8">
        <f>SUMIF('F08 Fourth Floor'!$B$6:$B$281,"Staircases",'F08 Fourth Floor'!$N$6:$N$281)</f>
        <v>2.313718518518518</v>
      </c>
      <c r="K13" s="8">
        <f>SUMIF('F08 Fourth Floor'!$B$6:$B$281,"Lift Core Roof Slab",'F08 Fourth Floor'!$N$6:$N$281)</f>
        <v>0.0</v>
      </c>
      <c r="L13" s="9">
        <f>SUM(C13:K13)</f>
        <v>91.85465446913581</v>
      </c>
    </row>
    <row r="14">
      <c r="A14" s="7" t="inlineStr">
        <is>
          <t>F09</t>
        </is>
      </c>
      <c r="B14" s="7" t="inlineStr">
        <is>
          <t>Fifth Floor (+17500) - typical 4th-8th</t>
        </is>
      </c>
      <c r="C14" s="8">
        <f>SUMIF('F09 Fifth Floor'!$B$6:$B$281,"Raft Foundation",'F09 Fifth Floor'!$N$6:$N$281)</f>
        <v>0.0</v>
      </c>
      <c r="D14" s="8">
        <f>SUMIF('F09 Fifth Floor'!$B$6:$B$281,"Columns",'F09 Fifth Floor'!$N$6:$N$281)</f>
        <v>11.683962962962962</v>
      </c>
      <c r="E14" s="8">
        <f>SUMIF('F09 Fifth Floor'!$B$6:$B$281,"Shear Walls",'F09 Fifth Floor'!$N$6:$N$281)</f>
        <v>10.263575308641975</v>
      </c>
      <c r="F14" s="8">
        <f>SUMIF('F09 Fifth Floor'!$B$6:$B$281,"Lift Walls",'F09 Fifth Floor'!$N$6:$N$281)</f>
        <v>4.821649382716049</v>
      </c>
      <c r="G14" s="8">
        <f>SUMIF('F09 Fifth Floor'!$B$6:$B$281,"Retaining / Ramp Walls",'F09 Fifth Floor'!$N$6:$N$281)</f>
        <v>0.0</v>
      </c>
      <c r="H14" s="8">
        <f>SUMIF('F09 Fifth Floor'!$B$6:$B$281,"Beams",'F09 Fifth Floor'!$N$6:$N$281)</f>
        <v>10.695924691358027</v>
      </c>
      <c r="I14" s="8">
        <f>SUMIF('F09 Fifth Floor'!$B$6:$B$281,"Floor Slabs",'F09 Fifth Floor'!$N$6:$N$281)</f>
        <v>49.95495940740741</v>
      </c>
      <c r="J14" s="8">
        <f>SUMIF('F09 Fifth Floor'!$B$6:$B$281,"Staircases",'F09 Fifth Floor'!$N$6:$N$281)</f>
        <v>2.313718518518518</v>
      </c>
      <c r="K14" s="8">
        <f>SUMIF('F09 Fifth Floor'!$B$6:$B$281,"Lift Core Roof Slab",'F09 Fifth Floor'!$N$6:$N$281)</f>
        <v>0.0</v>
      </c>
      <c r="L14" s="9">
        <f>SUM(C14:K14)</f>
        <v>89.73379027160495</v>
      </c>
    </row>
    <row r="15">
      <c r="A15" s="7" t="inlineStr">
        <is>
          <t>F10</t>
        </is>
      </c>
      <c r="B15" s="7" t="inlineStr">
        <is>
          <t>Sixth Floor (+20800) - typical 4th-8th</t>
        </is>
      </c>
      <c r="C15" s="8">
        <f>SUMIF('F10 Sixth Floor'!$B$6:$B$281,"Raft Foundation",'F10 Sixth Floor'!$N$6:$N$281)</f>
        <v>0.0</v>
      </c>
      <c r="D15" s="8">
        <f>SUMIF('F10 Sixth Floor'!$B$6:$B$281,"Columns",'F10 Sixth Floor'!$N$6:$N$281)</f>
        <v>11.683962962962962</v>
      </c>
      <c r="E15" s="8">
        <f>SUMIF('F10 Sixth Floor'!$B$6:$B$281,"Shear Walls",'F10 Sixth Floor'!$N$6:$N$281)</f>
        <v>10.263575308641975</v>
      </c>
      <c r="F15" s="8">
        <f>SUMIF('F10 Sixth Floor'!$B$6:$B$281,"Lift Walls",'F10 Sixth Floor'!$N$6:$N$281)</f>
        <v>4.821649382716049</v>
      </c>
      <c r="G15" s="8">
        <f>SUMIF('F10 Sixth Floor'!$B$6:$B$281,"Retaining / Ramp Walls",'F10 Sixth Floor'!$N$6:$N$281)</f>
        <v>0.0</v>
      </c>
      <c r="H15" s="8">
        <f>SUMIF('F10 Sixth Floor'!$B$6:$B$281,"Beams",'F10 Sixth Floor'!$N$6:$N$281)</f>
        <v>10.695924691358027</v>
      </c>
      <c r="I15" s="8">
        <f>SUMIF('F10 Sixth Floor'!$B$6:$B$281,"Floor Slabs",'F10 Sixth Floor'!$N$6:$N$281)</f>
        <v>49.95495940740741</v>
      </c>
      <c r="J15" s="8">
        <f>SUMIF('F10 Sixth Floor'!$B$6:$B$281,"Staircases",'F10 Sixth Floor'!$N$6:$N$281)</f>
        <v>2.313718518518518</v>
      </c>
      <c r="K15" s="8">
        <f>SUMIF('F10 Sixth Floor'!$B$6:$B$281,"Lift Core Roof Slab",'F10 Sixth Floor'!$N$6:$N$281)</f>
        <v>0.0</v>
      </c>
      <c r="L15" s="9">
        <f>SUM(C15:K15)</f>
        <v>89.73379027160495</v>
      </c>
    </row>
    <row r="16">
      <c r="A16" s="7" t="inlineStr">
        <is>
          <t>F11</t>
        </is>
      </c>
      <c r="B16" s="7" t="inlineStr">
        <is>
          <t>Seventh Floor (+24100) - typical 4th-8th</t>
        </is>
      </c>
      <c r="C16" s="8">
        <f>SUMIF('F11 Seventh Floor'!$B$6:$B$281,"Raft Foundation",'F11 Seventh Floor'!$N$6:$N$281)</f>
        <v>0.0</v>
      </c>
      <c r="D16" s="8">
        <f>SUMIF('F11 Seventh Floor'!$B$6:$B$281,"Columns",'F11 Seventh Floor'!$N$6:$N$281)</f>
        <v>11.683962962962962</v>
      </c>
      <c r="E16" s="8">
        <f>SUMIF('F11 Seventh Floor'!$B$6:$B$281,"Shear Walls",'F11 Seventh Floor'!$N$6:$N$281)</f>
        <v>10.263575308641975</v>
      </c>
      <c r="F16" s="8">
        <f>SUMIF('F11 Seventh Floor'!$B$6:$B$281,"Lift Walls",'F11 Seventh Floor'!$N$6:$N$281)</f>
        <v>4.821649382716049</v>
      </c>
      <c r="G16" s="8">
        <f>SUMIF('F11 Seventh Floor'!$B$6:$B$281,"Retaining / Ramp Walls",'F11 Seventh Floor'!$N$6:$N$281)</f>
        <v>0.0</v>
      </c>
      <c r="H16" s="8">
        <f>SUMIF('F11 Seventh Floor'!$B$6:$B$281,"Beams",'F11 Seventh Floor'!$N$6:$N$281)</f>
        <v>10.695924691358027</v>
      </c>
      <c r="I16" s="8">
        <f>SUMIF('F11 Seventh Floor'!$B$6:$B$281,"Floor Slabs",'F11 Seventh Floor'!$N$6:$N$281)</f>
        <v>49.95495940740741</v>
      </c>
      <c r="J16" s="8">
        <f>SUMIF('F11 Seventh Floor'!$B$6:$B$281,"Staircases",'F11 Seventh Floor'!$N$6:$N$281)</f>
        <v>2.313718518518518</v>
      </c>
      <c r="K16" s="8">
        <f>SUMIF('F11 Seventh Floor'!$B$6:$B$281,"Lift Core Roof Slab",'F11 Seventh Floor'!$N$6:$N$281)</f>
        <v>0.0</v>
      </c>
      <c r="L16" s="9">
        <f>SUM(C16:K16)</f>
        <v>89.73379027160495</v>
      </c>
    </row>
    <row r="17">
      <c r="A17" s="7" t="inlineStr">
        <is>
          <t>F12</t>
        </is>
      </c>
      <c r="B17" s="7" t="inlineStr">
        <is>
          <t>Eighth Floor (+27400) - typical 4th-8th</t>
        </is>
      </c>
      <c r="C17" s="8">
        <f>SUMIF('F12 Eighth Floor'!$B$6:$B$281,"Raft Foundation",'F12 Eighth Floor'!$N$6:$N$281)</f>
        <v>0.0</v>
      </c>
      <c r="D17" s="8">
        <f>SUMIF('F12 Eighth Floor'!$B$6:$B$281,"Columns",'F12 Eighth Floor'!$N$6:$N$281)</f>
        <v>11.431928395061728</v>
      </c>
      <c r="E17" s="8">
        <f>SUMIF('F12 Eighth Floor'!$B$6:$B$281,"Shear Walls",'F12 Eighth Floor'!$N$6:$N$281)</f>
        <v>10.263575308641975</v>
      </c>
      <c r="F17" s="8">
        <f>SUMIF('F12 Eighth Floor'!$B$6:$B$281,"Lift Walls",'F12 Eighth Floor'!$N$6:$N$281)</f>
        <v>4.821649382716049</v>
      </c>
      <c r="G17" s="8">
        <f>SUMIF('F12 Eighth Floor'!$B$6:$B$281,"Retaining / Ramp Walls",'F12 Eighth Floor'!$N$6:$N$281)</f>
        <v>0.0</v>
      </c>
      <c r="H17" s="8">
        <f>SUMIF('F12 Eighth Floor'!$B$6:$B$281,"Beams",'F12 Eighth Floor'!$N$6:$N$281)</f>
        <v>10.695924691358027</v>
      </c>
      <c r="I17" s="8">
        <f>SUMIF('F12 Eighth Floor'!$B$6:$B$281,"Floor Slabs",'F12 Eighth Floor'!$N$6:$N$281)</f>
        <v>49.95495940740741</v>
      </c>
      <c r="J17" s="8">
        <f>SUMIF('F12 Eighth Floor'!$B$6:$B$281,"Staircases",'F12 Eighth Floor'!$N$6:$N$281)</f>
        <v>2.313718518518518</v>
      </c>
      <c r="K17" s="8">
        <f>SUMIF('F12 Eighth Floor'!$B$6:$B$281,"Lift Core Roof Slab",'F12 Eighth Floor'!$N$6:$N$281)</f>
        <v>0.0</v>
      </c>
      <c r="L17" s="9">
        <f>SUM(C17:K17)</f>
        <v>89.48175570370371</v>
      </c>
    </row>
    <row r="18">
      <c r="A18" s="7" t="inlineStr">
        <is>
          <t>F13</t>
        </is>
      </c>
      <c r="B18" s="7" t="inlineStr">
        <is>
          <t>Ninth Floor (+30700)</t>
        </is>
      </c>
      <c r="C18" s="8">
        <f>SUMIF('F13 Ninth Floor'!$B$6:$B$291,"Raft Foundation",'F13 Ninth Floor'!$N$6:$N$291)</f>
        <v>0.0</v>
      </c>
      <c r="D18" s="8">
        <f>SUMIF('F13 Ninth Floor'!$B$6:$B$291,"Columns",'F13 Ninth Floor'!$N$6:$N$291)</f>
        <v>8.345903703703705</v>
      </c>
      <c r="E18" s="8">
        <f>SUMIF('F13 Ninth Floor'!$B$6:$B$291,"Shear Walls",'F13 Ninth Floor'!$N$6:$N$291)</f>
        <v>10.45529086419753</v>
      </c>
      <c r="F18" s="8">
        <f>SUMIF('F13 Ninth Floor'!$B$6:$B$291,"Lift Walls",'F13 Ninth Floor'!$N$6:$N$291)</f>
        <v>4.9082093827160485</v>
      </c>
      <c r="G18" s="8">
        <f>SUMIF('F13 Ninth Floor'!$B$6:$B$291,"Retaining / Ramp Walls",'F13 Ninth Floor'!$N$6:$N$291)</f>
        <v>0.0</v>
      </c>
      <c r="H18" s="8">
        <f>SUMIF('F13 Ninth Floor'!$B$6:$B$291,"Beams",'F13 Ninth Floor'!$N$6:$N$291)</f>
        <v>12.147079475308642</v>
      </c>
      <c r="I18" s="8">
        <f>SUMIF('F13 Ninth Floor'!$B$6:$B$291,"Floor Slabs",'F13 Ninth Floor'!$N$6:$N$291)</f>
        <v>50.15735940740741</v>
      </c>
      <c r="J18" s="8">
        <f>SUMIF('F13 Ninth Floor'!$B$6:$B$291,"Staircases",'F13 Ninth Floor'!$N$6:$N$291)</f>
        <v>2.313718518518518</v>
      </c>
      <c r="K18" s="8">
        <f>SUMIF('F13 Ninth Floor'!$B$6:$B$291,"Lift Core Roof Slab",'F13 Ninth Floor'!$N$6:$N$291)</f>
        <v>0.0</v>
      </c>
      <c r="L18" s="9">
        <f>SUM(C18:K18)</f>
        <v>88.32756135185186</v>
      </c>
    </row>
    <row r="19">
      <c r="A19" s="7" t="inlineStr">
        <is>
          <t>F14</t>
        </is>
      </c>
      <c r="B19" s="7" t="inlineStr">
        <is>
          <t>Tenth Floor (+34000)</t>
        </is>
      </c>
      <c r="C19" s="8">
        <f>SUMIF('F14 Tenth Floor'!$B$6:$B$253,"Raft Foundation",'F14 Tenth Floor'!$N$6:$N$253)</f>
        <v>0.0</v>
      </c>
      <c r="D19" s="8">
        <f>SUMIF('F14 Tenth Floor'!$B$6:$B$253,"Columns",'F14 Tenth Floor'!$N$6:$N$253)</f>
        <v>6.552645679012345</v>
      </c>
      <c r="E19" s="8">
        <f>SUMIF('F14 Tenth Floor'!$B$6:$B$253,"Shear Walls",'F14 Tenth Floor'!$N$6:$N$253)</f>
        <v>10.263575308641975</v>
      </c>
      <c r="F19" s="8">
        <f>SUMIF('F14 Tenth Floor'!$B$6:$B$253,"Lift Walls",'F14 Tenth Floor'!$N$6:$N$253)</f>
        <v>4.821649382716049</v>
      </c>
      <c r="G19" s="8">
        <f>SUMIF('F14 Tenth Floor'!$B$6:$B$253,"Retaining / Ramp Walls",'F14 Tenth Floor'!$N$6:$N$253)</f>
        <v>0.0</v>
      </c>
      <c r="H19" s="8">
        <f>SUMIF('F14 Tenth Floor'!$B$6:$B$253,"Beams",'F14 Tenth Floor'!$N$6:$N$253)</f>
        <v>7.312360956790123</v>
      </c>
      <c r="I19" s="8">
        <f>SUMIF('F14 Tenth Floor'!$B$6:$B$253,"Floor Slabs",'F14 Tenth Floor'!$N$6:$N$253)</f>
        <v>36.42391851851852</v>
      </c>
      <c r="J19" s="8">
        <f>SUMIF('F14 Tenth Floor'!$B$6:$B$253,"Staircases",'F14 Tenth Floor'!$N$6:$N$253)</f>
        <v>2.313718518518518</v>
      </c>
      <c r="K19" s="8">
        <f>SUMIF('F14 Tenth Floor'!$B$6:$B$253,"Lift Core Roof Slab",'F14 Tenth Floor'!$N$6:$N$253)</f>
        <v>0.0</v>
      </c>
      <c r="L19" s="9">
        <f>SUM(C19:K19)</f>
        <v>67.68786836419753</v>
      </c>
    </row>
    <row r="20">
      <c r="A20" s="7" t="inlineStr">
        <is>
          <t>F15</t>
        </is>
      </c>
      <c r="B20" s="7" t="inlineStr">
        <is>
          <t>Roof Top Terrace (+37300)</t>
        </is>
      </c>
      <c r="C20" s="8">
        <f>SUMIF('F15 Roof Top Terrace'!$B$6:$B$216,"Raft Foundation",'F15 Roof Top Terrace'!$N$6:$N$216)</f>
        <v>0.0</v>
      </c>
      <c r="D20" s="8">
        <f>SUMIF('F15 Roof Top Terrace'!$B$6:$B$216,"Columns",'F15 Roof Top Terrace'!$N$6:$N$216)</f>
        <v>0.635841975308642</v>
      </c>
      <c r="E20" s="8">
        <f>SUMIF('F15 Roof Top Terrace'!$B$6:$B$216,"Shear Walls",'F15 Roof Top Terrace'!$N$6:$N$216)</f>
        <v>9.84956938271605</v>
      </c>
      <c r="F20" s="8">
        <f>SUMIF('F15 Roof Top Terrace'!$B$6:$B$216,"Lift Walls",'F15 Roof Top Terrace'!$N$6:$N$216)</f>
        <v>4.627999012345678</v>
      </c>
      <c r="G20" s="8">
        <f>SUMIF('F15 Roof Top Terrace'!$B$6:$B$216,"Retaining / Ramp Walls",'F15 Roof Top Terrace'!$N$6:$N$216)</f>
        <v>0.0</v>
      </c>
      <c r="H20" s="8">
        <f>SUMIF('F15 Roof Top Terrace'!$B$6:$B$216,"Beams",'F15 Roof Top Terrace'!$N$6:$N$216)</f>
        <v>7.254318981481483</v>
      </c>
      <c r="I20" s="8">
        <f>SUMIF('F15 Roof Top Terrace'!$B$6:$B$216,"Floor Slabs",'F15 Roof Top Terrace'!$N$6:$N$216)</f>
        <v>43.02460740740741</v>
      </c>
      <c r="J20" s="8">
        <f>SUMIF('F15 Roof Top Terrace'!$B$6:$B$216,"Staircases",'F15 Roof Top Terrace'!$N$6:$N$216)</f>
        <v>0.0</v>
      </c>
      <c r="K20" s="8">
        <f>SUMIF('F15 Roof Top Terrace'!$B$6:$B$216,"Lift Core Roof Slab",'F15 Roof Top Terrace'!$N$6:$N$216)</f>
        <v>0.0</v>
      </c>
      <c r="L20" s="9">
        <f>SUM(C20:K20)</f>
        <v>65.39233675925927</v>
      </c>
    </row>
    <row r="21">
      <c r="A21" s="7" t="inlineStr">
        <is>
          <t>F16</t>
        </is>
      </c>
      <c r="B21" s="7" t="inlineStr">
        <is>
          <t>Roof Level (+40450)</t>
        </is>
      </c>
      <c r="C21" s="8">
        <f>SUMIF('F16 Roof Level'!$B$6:$B$84,"Raft Foundation",'F16 Roof Level'!$N$6:$N$84)</f>
        <v>0.0</v>
      </c>
      <c r="D21" s="8">
        <f>SUMIF('F16 Roof Level'!$B$6:$B$84,"Columns",'F16 Roof Level'!$N$6:$N$84)</f>
        <v>0.0</v>
      </c>
      <c r="E21" s="8">
        <f>SUMIF('F16 Roof Level'!$B$6:$B$84,"Shear Walls",'F16 Roof Level'!$N$6:$N$84)</f>
        <v>0.0</v>
      </c>
      <c r="F21" s="8">
        <f>SUMIF('F16 Roof Level'!$B$6:$B$84,"Lift Walls",'F16 Roof Level'!$N$6:$N$84)</f>
        <v>5.247791604938271</v>
      </c>
      <c r="G21" s="8">
        <f>SUMIF('F16 Roof Level'!$B$6:$B$84,"Retaining / Ramp Walls",'F16 Roof Level'!$N$6:$N$84)</f>
        <v>0.0</v>
      </c>
      <c r="H21" s="8">
        <f>SUMIF('F16 Roof Level'!$B$6:$B$84,"Beams",'F16 Roof Level'!$N$6:$N$84)</f>
        <v>2.987394135802469</v>
      </c>
      <c r="I21" s="8">
        <f>SUMIF('F16 Roof Level'!$B$6:$B$84,"Floor Slabs",'F16 Roof Level'!$N$6:$N$84)</f>
        <v>4.5732</v>
      </c>
      <c r="J21" s="8">
        <f>SUMIF('F16 Roof Level'!$B$6:$B$84,"Staircases",'F16 Roof Level'!$N$6:$N$84)</f>
        <v>0.0</v>
      </c>
      <c r="K21" s="8">
        <f>SUMIF('F16 Roof Level'!$B$6:$B$84,"Lift Core Roof Slab",'F16 Roof Level'!$N$6:$N$84)</f>
        <v>0.0</v>
      </c>
      <c r="L21" s="9">
        <f>SUM(C21:K21)</f>
        <v>12.80838574074074</v>
      </c>
    </row>
    <row r="22">
      <c r="A22" s="7" t="inlineStr">
        <is>
          <t>F17</t>
        </is>
      </c>
      <c r="B22" s="7" t="inlineStr">
        <is>
          <t>Top of Lift Core (+44650)</t>
        </is>
      </c>
      <c r="C22" s="8">
        <f>SUMIF('F17 Top of Lift Core'!$B$6:$B$9,"Raft Foundation",'F17 Top of Lift Core'!$N$6:$N$9)</f>
        <v>0.0</v>
      </c>
      <c r="D22" s="8">
        <f>SUMIF('F17 Top of Lift Core'!$B$6:$B$9,"Columns",'F17 Top of Lift Core'!$N$6:$N$9)</f>
        <v>0.0</v>
      </c>
      <c r="E22" s="8">
        <f>SUMIF('F17 Top of Lift Core'!$B$6:$B$9,"Shear Walls",'F17 Top of Lift Core'!$N$6:$N$9)</f>
        <v>0.0</v>
      </c>
      <c r="F22" s="8">
        <f>SUMIF('F17 Top of Lift Core'!$B$6:$B$9,"Lift Walls",'F17 Top of Lift Core'!$N$6:$N$9)</f>
        <v>0.0</v>
      </c>
      <c r="G22" s="8">
        <f>SUMIF('F17 Top of Lift Core'!$B$6:$B$9,"Retaining / Ramp Walls",'F17 Top of Lift Core'!$N$6:$N$9)</f>
        <v>0.0</v>
      </c>
      <c r="H22" s="8">
        <f>SUMIF('F17 Top of Lift Core'!$B$6:$B$9,"Beams",'F17 Top of Lift Core'!$N$6:$N$9)</f>
        <v>0.0</v>
      </c>
      <c r="I22" s="8">
        <f>SUMIF('F17 Top of Lift Core'!$B$6:$B$9,"Floor Slabs",'F17 Top of Lift Core'!$N$6:$N$9)</f>
        <v>0.0</v>
      </c>
      <c r="J22" s="8">
        <f>SUMIF('F17 Top of Lift Core'!$B$6:$B$9,"Staircases",'F17 Top of Lift Core'!$N$6:$N$9)</f>
        <v>0.0</v>
      </c>
      <c r="K22" s="8">
        <f>SUMIF('F17 Top of Lift Core'!$B$6:$B$9,"Lift Core Roof Slab",'F17 Top of Lift Core'!$N$6:$N$9)</f>
        <v>0.3659111111111111</v>
      </c>
      <c r="L22" s="9">
        <f>SUM(C22:K22)</f>
        <v>0.3659111111111111</v>
      </c>
    </row>
    <row r="23">
      <c r="B23" s="10" t="inlineStr">
        <is>
          <t>GRAND TOTAL</t>
        </is>
      </c>
      <c r="C23" s="11">
        <f>SUM(C5:C22)</f>
        <v>187.13847608024693</v>
      </c>
      <c r="D23" s="11">
        <f>SUM(D5:D22)</f>
        <v>145.12860432098765</v>
      </c>
      <c r="E23" s="11">
        <f>SUM(E5:E22)</f>
        <v>156.78429876543208</v>
      </c>
      <c r="F23" s="11">
        <f>SUM(F5:F22)</f>
        <v>80.86896691358024</v>
      </c>
      <c r="G23" s="11">
        <f>SUM(G5:G22)</f>
        <v>0.8395733333333333</v>
      </c>
      <c r="H23" s="11">
        <f>SUM(H5:H22)</f>
        <v>111.42535987654323</v>
      </c>
      <c r="I23" s="11">
        <f>SUM(I5:I22)</f>
        <v>597.3212181728396</v>
      </c>
      <c r="J23" s="11">
        <f>SUM(J5:J22)</f>
        <v>26.34228148148148</v>
      </c>
      <c r="K23" s="11">
        <f>SUM(K5:K22)</f>
        <v>0.3659111111111111</v>
      </c>
      <c r="L23" s="11">
        <f>SUM(L5:L22)</f>
        <v>1306.2146900555556</v>
      </c>
    </row>
    <row r="26">
      <c r="A26" s="12" t="inlineStr">
        <is>
          <t>SUMMARY BY BAR DIAMETER (TONNES)</t>
        </is>
      </c>
    </row>
    <row r="27">
      <c r="A27" s="6" t="inlineStr">
        <is>
          <t>Ref</t>
        </is>
      </c>
      <c r="B27" s="6" t="inlineStr">
        <is>
          <t>Floor / level</t>
        </is>
      </c>
      <c r="C27" s="6" t="inlineStr">
        <is>
          <t>Y10</t>
        </is>
      </c>
      <c r="D27" s="6" t="inlineStr">
        <is>
          <t>Y12</t>
        </is>
      </c>
      <c r="E27" s="6" t="inlineStr">
        <is>
          <t>Y16</t>
        </is>
      </c>
      <c r="F27" s="6" t="inlineStr">
        <is>
          <t>Y20</t>
        </is>
      </c>
      <c r="G27" s="6" t="inlineStr">
        <is>
          <t>Y25</t>
        </is>
      </c>
      <c r="H27" s="6" t="inlineStr">
        <is>
          <t>TOTAL (t)</t>
        </is>
      </c>
    </row>
    <row r="28">
      <c r="A28" s="7" t="inlineStr">
        <is>
          <t>F00</t>
        </is>
      </c>
      <c r="B28" s="7" t="inlineStr">
        <is>
          <t>Raft foundation &amp; starters (Foundation to Ground)</t>
        </is>
      </c>
      <c r="C28" s="8">
        <f>SUMIF('F00 Substructure'!$F$6:$F$154,10,'F00 Substructure'!$N$6:$N$154)</f>
        <v>4.028865432098765</v>
      </c>
      <c r="D28" s="8">
        <f>SUMIF('F00 Substructure'!$F$6:$F$154,12,'F00 Substructure'!$N$6:$N$154)</f>
        <v>1.2522399999999996</v>
      </c>
      <c r="E28" s="8">
        <f>SUMIF('F00 Substructure'!$F$6:$F$154,16,'F00 Substructure'!$N$6:$N$154)</f>
        <v>0.0</v>
      </c>
      <c r="F28" s="8">
        <f>SUMIF('F00 Substructure'!$F$6:$F$154,20,'F00 Substructure'!$N$6:$N$154)</f>
        <v>2.804074074074074</v>
      </c>
      <c r="G28" s="8">
        <f>SUMIF('F00 Substructure'!$F$6:$F$154,25,'F00 Substructure'!$N$6:$N$154)</f>
        <v>205.9788927469136</v>
      </c>
      <c r="H28" s="9">
        <f>SUM(C28:G28)</f>
        <v>214.06407225308644</v>
      </c>
    </row>
    <row r="29">
      <c r="A29" s="7" t="inlineStr">
        <is>
          <t>F01</t>
        </is>
      </c>
      <c r="B29" s="7" t="inlineStr">
        <is>
          <t>Ground floor (+300) - elements rising to next level</t>
        </is>
      </c>
      <c r="C29" s="8">
        <f>SUMIF('F01 Ground Floor'!$F$6:$F$107,10,'F01 Ground Floor'!$N$6:$N$107)</f>
        <v>6.497906172839507</v>
      </c>
      <c r="D29" s="8">
        <f>SUMIF('F01 Ground Floor'!$F$6:$F$107,12,'F01 Ground Floor'!$N$6:$N$107)</f>
        <v>5.4585244444444445</v>
      </c>
      <c r="E29" s="8">
        <f>SUMIF('F01 Ground Floor'!$F$6:$F$107,16,'F01 Ground Floor'!$N$6:$N$107)</f>
        <v>1.1916246913580246</v>
      </c>
      <c r="F29" s="8">
        <f>SUMIF('F01 Ground Floor'!$F$6:$F$107,20,'F01 Ground Floor'!$N$6:$N$107)</f>
        <v>0.5985185185185184</v>
      </c>
      <c r="G29" s="8">
        <f>SUMIF('F01 Ground Floor'!$F$6:$F$107,25,'F01 Ground Floor'!$N$6:$N$107)</f>
        <v>27.08603395061728</v>
      </c>
      <c r="H29" s="9">
        <f>SUM(C29:G29)</f>
        <v>40.832607777777774</v>
      </c>
    </row>
    <row r="30">
      <c r="A30" s="7" t="inlineStr">
        <is>
          <t>F02</t>
        </is>
      </c>
      <c r="B30" s="7" t="inlineStr">
        <is>
          <t>M1 Level 1B Parking (+2500)</t>
        </is>
      </c>
      <c r="C30" s="8">
        <f>SUMIF('F02 M1 Level'!$F$6:$F$141,10,'F02 M1 Level'!$N$6:$N$141)</f>
        <v>3.4423086419753086</v>
      </c>
      <c r="D30" s="8">
        <f>SUMIF('F02 M1 Level'!$F$6:$F$141,12,'F02 M1 Level'!$N$6:$N$141)</f>
        <v>26.848644444444442</v>
      </c>
      <c r="E30" s="8">
        <f>SUMIF('F02 M1 Level'!$F$6:$F$141,16,'F02 M1 Level'!$N$6:$N$141)</f>
        <v>5.011358024691359</v>
      </c>
      <c r="F30" s="8">
        <f>SUMIF('F02 M1 Level'!$F$6:$F$141,20,'F02 M1 Level'!$N$6:$N$141)</f>
        <v>0.8137037037037036</v>
      </c>
      <c r="G30" s="8">
        <f>SUMIF('F02 M1 Level'!$F$6:$F$141,25,'F02 M1 Level'!$N$6:$N$141)</f>
        <v>11.937017746913579</v>
      </c>
      <c r="H30" s="9">
        <f>SUM(C30:G30)</f>
        <v>48.053032561728386</v>
      </c>
    </row>
    <row r="31">
      <c r="A31" s="7" t="inlineStr">
        <is>
          <t>F03</t>
        </is>
      </c>
      <c r="B31" s="7" t="inlineStr">
        <is>
          <t>First Floor Level 2A Parking (+4150)</t>
        </is>
      </c>
      <c r="C31" s="8">
        <f>SUMIF('F03 First Floor'!$F$6:$F$169,10,'F03 First Floor'!$N$6:$N$169)</f>
        <v>4.733762962962963</v>
      </c>
      <c r="D31" s="8">
        <f>SUMIF('F03 First Floor'!$F$6:$F$169,12,'F03 First Floor'!$N$6:$N$169)</f>
        <v>29.778626666666664</v>
      </c>
      <c r="E31" s="8">
        <f>SUMIF('F03 First Floor'!$F$6:$F$169,16,'F03 First Floor'!$N$6:$N$169)</f>
        <v>4.030854320987655</v>
      </c>
      <c r="F31" s="8">
        <f>SUMIF('F03 First Floor'!$F$6:$F$169,20,'F03 First Floor'!$N$6:$N$169)</f>
        <v>1.2590123456790123</v>
      </c>
      <c r="G31" s="8">
        <f>SUMIF('F03 First Floor'!$F$6:$F$169,25,'F03 First Floor'!$N$6:$N$169)</f>
        <v>16.82899305555556</v>
      </c>
      <c r="H31" s="9">
        <f>SUM(C31:G31)</f>
        <v>56.63124935185185</v>
      </c>
    </row>
    <row r="32">
      <c r="A32" s="7" t="inlineStr">
        <is>
          <t>F04</t>
        </is>
      </c>
      <c r="B32" s="7" t="inlineStr">
        <is>
          <t>M2 Level 2B Parking (+5200)</t>
        </is>
      </c>
      <c r="C32" s="8">
        <f>SUMIF('F04 M2 Level'!$F$6:$F$127,10,'F04 M2 Level'!$N$6:$N$127)</f>
        <v>2.960641975308642</v>
      </c>
      <c r="D32" s="8">
        <f>SUMIF('F04 M2 Level'!$F$6:$F$127,12,'F04 M2 Level'!$N$6:$N$127)</f>
        <v>25.05077777777777</v>
      </c>
      <c r="E32" s="8">
        <f>SUMIF('F04 M2 Level'!$F$6:$F$127,16,'F04 M2 Level'!$N$6:$N$127)</f>
        <v>4.895367901234568</v>
      </c>
      <c r="F32" s="8">
        <f>SUMIF('F04 M2 Level'!$F$6:$F$127,20,'F04 M2 Level'!$N$6:$N$127)</f>
        <v>0.9562962962962963</v>
      </c>
      <c r="G32" s="8">
        <f>SUMIF('F04 M2 Level'!$F$6:$F$127,25,'F04 M2 Level'!$N$6:$N$127)</f>
        <v>10.882619598765432</v>
      </c>
      <c r="H32" s="9">
        <f>SUM(C32:G32)</f>
        <v>44.745703549382704</v>
      </c>
    </row>
    <row r="33">
      <c r="A33" s="7" t="inlineStr">
        <is>
          <t>F05</t>
        </is>
      </c>
      <c r="B33" s="7" t="inlineStr">
        <is>
          <t>Second Floor Level 3A Parking (+6850)</t>
        </is>
      </c>
      <c r="C33" s="8">
        <f>SUMIF('F05 Second Floor'!$F$6:$F$171,10,'F05 Second Floor'!$N$6:$N$171)</f>
        <v>5.700333333333334</v>
      </c>
      <c r="D33" s="8">
        <f>SUMIF('F05 Second Floor'!$F$6:$F$171,12,'F05 Second Floor'!$N$6:$N$171)</f>
        <v>37.7408</v>
      </c>
      <c r="E33" s="8">
        <f>SUMIF('F05 Second Floor'!$F$6:$F$171,16,'F05 Second Floor'!$N$6:$N$171)</f>
        <v>1.5080691358024692</v>
      </c>
      <c r="F33" s="8">
        <f>SUMIF('F05 Second Floor'!$F$6:$F$171,20,'F05 Second Floor'!$N$6:$N$171)</f>
        <v>1.4190123456790122</v>
      </c>
      <c r="G33" s="8">
        <f>SUMIF('F05 Second Floor'!$F$6:$F$171,25,'F05 Second Floor'!$N$6:$N$171)</f>
        <v>21.251253858024683</v>
      </c>
      <c r="H33" s="9">
        <f>SUM(C33:G33)</f>
        <v>67.6194686728395</v>
      </c>
    </row>
    <row r="34">
      <c r="A34" s="7" t="inlineStr">
        <is>
          <t>F06</t>
        </is>
      </c>
      <c r="B34" s="7" t="inlineStr">
        <is>
          <t>Mezzanine Floor 3B Parking (+7900)</t>
        </is>
      </c>
      <c r="C34" s="8">
        <f>SUMIF('F06 Mezzanine Floor'!$F$6:$F$118,10,'F06 Mezzanine Floor'!$N$6:$N$118)</f>
        <v>2.9689135802469138</v>
      </c>
      <c r="D34" s="8">
        <f>SUMIF('F06 Mezzanine Floor'!$F$6:$F$118,12,'F06 Mezzanine Floor'!$N$6:$N$118)</f>
        <v>35.308377777777785</v>
      </c>
      <c r="E34" s="8">
        <f>SUMIF('F06 Mezzanine Floor'!$F$6:$F$118,16,'F06 Mezzanine Floor'!$N$6:$N$118)</f>
        <v>1.1003654320987653</v>
      </c>
      <c r="F34" s="8">
        <f>SUMIF('F06 Mezzanine Floor'!$F$6:$F$118,20,'F06 Mezzanine Floor'!$N$6:$N$118)</f>
        <v>4.336666666666667</v>
      </c>
      <c r="G34" s="8">
        <f>SUMIF('F06 Mezzanine Floor'!$F$6:$F$118,25,'F06 Mezzanine Floor'!$N$6:$N$118)</f>
        <v>6.502411265432098</v>
      </c>
      <c r="H34" s="9">
        <f>SUM(C34:G34)</f>
        <v>50.21673472222223</v>
      </c>
    </row>
    <row r="35">
      <c r="A35" s="7" t="inlineStr">
        <is>
          <t>F07</t>
        </is>
      </c>
      <c r="B35" s="7" t="inlineStr">
        <is>
          <t>Third Floor (+10900)</t>
        </is>
      </c>
      <c r="C35" s="8">
        <f>SUMIF('F07 Third Floor'!$F$6:$F$230,10,'F07 Third Floor'!$N$6:$N$230)</f>
        <v>7.7926666666666655</v>
      </c>
      <c r="D35" s="8">
        <f>SUMIF('F07 Third Floor'!$F$6:$F$230,12,'F07 Third Floor'!$N$6:$N$230)</f>
        <v>60.49011111111111</v>
      </c>
      <c r="E35" s="8">
        <f>SUMIF('F07 Third Floor'!$F$6:$F$230,16,'F07 Third Floor'!$N$6:$N$230)</f>
        <v>2.5831111111111107</v>
      </c>
      <c r="F35" s="8">
        <f>SUMIF('F07 Third Floor'!$F$6:$F$230,20,'F07 Third Floor'!$N$6:$N$230)</f>
        <v>9.295061728395062</v>
      </c>
      <c r="G35" s="8">
        <f>SUMIF('F07 Third Floor'!$F$6:$F$230,25,'F07 Third Floor'!$N$6:$N$230)</f>
        <v>18.7710262345679</v>
      </c>
      <c r="H35" s="9">
        <f>SUM(C35:G35)</f>
        <v>98.93197685185186</v>
      </c>
    </row>
    <row r="36">
      <c r="A36" s="7" t="inlineStr">
        <is>
          <t>F08</t>
        </is>
      </c>
      <c r="B36" s="7" t="inlineStr">
        <is>
          <t>Fourth Floor (+14200) - typical 4th-8th</t>
        </is>
      </c>
      <c r="C36" s="8">
        <f>SUMIF('F08 Fourth Floor'!$F$6:$F$281,10,'F08 Fourth Floor'!$N$6:$N$281)</f>
        <v>8.434641975308642</v>
      </c>
      <c r="D36" s="8">
        <f>SUMIF('F08 Fourth Floor'!$F$6:$F$281,12,'F08 Fourth Floor'!$N$6:$N$281)</f>
        <v>53.466840888888896</v>
      </c>
      <c r="E36" s="8">
        <f>SUMIF('F08 Fourth Floor'!$F$6:$F$281,16,'F08 Fourth Floor'!$N$6:$N$281)</f>
        <v>2.8322765432098764</v>
      </c>
      <c r="F36" s="8">
        <f>SUMIF('F08 Fourth Floor'!$F$6:$F$281,20,'F08 Fourth Floor'!$N$6:$N$281)</f>
        <v>16.172592592592594</v>
      </c>
      <c r="G36" s="8">
        <f>SUMIF('F08 Fourth Floor'!$F$6:$F$281,25,'F08 Fourth Floor'!$N$6:$N$281)</f>
        <v>10.948302469135802</v>
      </c>
      <c r="H36" s="9">
        <f>SUM(C36:G36)</f>
        <v>91.85465446913581</v>
      </c>
    </row>
    <row r="37">
      <c r="A37" s="7" t="inlineStr">
        <is>
          <t>F09</t>
        </is>
      </c>
      <c r="B37" s="7" t="inlineStr">
        <is>
          <t>Fifth Floor (+17500) - typical 4th-8th</t>
        </is>
      </c>
      <c r="C37" s="8">
        <f>SUMIF('F09 Fifth Floor'!$F$6:$F$281,10,'F09 Fifth Floor'!$N$6:$N$281)</f>
        <v>8.434641975308642</v>
      </c>
      <c r="D37" s="8">
        <f>SUMIF('F09 Fifth Floor'!$F$6:$F$281,12,'F09 Fifth Floor'!$N$6:$N$281)</f>
        <v>53.466840888888896</v>
      </c>
      <c r="E37" s="8">
        <f>SUMIF('F09 Fifth Floor'!$F$6:$F$281,16,'F09 Fifth Floor'!$N$6:$N$281)</f>
        <v>2.8322765432098764</v>
      </c>
      <c r="F37" s="8">
        <f>SUMIF('F09 Fifth Floor'!$F$6:$F$281,20,'F09 Fifth Floor'!$N$6:$N$281)</f>
        <v>19.493086419753087</v>
      </c>
      <c r="G37" s="8">
        <f>SUMIF('F09 Fifth Floor'!$F$6:$F$281,25,'F09 Fifth Floor'!$N$6:$N$281)</f>
        <v>5.506944444444445</v>
      </c>
      <c r="H37" s="9">
        <f>SUM(C37:G37)</f>
        <v>89.73379027160495</v>
      </c>
    </row>
    <row r="38">
      <c r="A38" s="7" t="inlineStr">
        <is>
          <t>F10</t>
        </is>
      </c>
      <c r="B38" s="7" t="inlineStr">
        <is>
          <t>Sixth Floor (+20800) - typical 4th-8th</t>
        </is>
      </c>
      <c r="C38" s="8">
        <f>SUMIF('F10 Sixth Floor'!$F$6:$F$281,10,'F10 Sixth Floor'!$N$6:$N$281)</f>
        <v>8.434641975308642</v>
      </c>
      <c r="D38" s="8">
        <f>SUMIF('F10 Sixth Floor'!$F$6:$F$281,12,'F10 Sixth Floor'!$N$6:$N$281)</f>
        <v>53.466840888888896</v>
      </c>
      <c r="E38" s="8">
        <f>SUMIF('F10 Sixth Floor'!$F$6:$F$281,16,'F10 Sixth Floor'!$N$6:$N$281)</f>
        <v>2.8322765432098764</v>
      </c>
      <c r="F38" s="8">
        <f>SUMIF('F10 Sixth Floor'!$F$6:$F$281,20,'F10 Sixth Floor'!$N$6:$N$281)</f>
        <v>19.493086419753087</v>
      </c>
      <c r="G38" s="8">
        <f>SUMIF('F10 Sixth Floor'!$F$6:$F$281,25,'F10 Sixth Floor'!$N$6:$N$281)</f>
        <v>5.506944444444445</v>
      </c>
      <c r="H38" s="9">
        <f>SUM(C38:G38)</f>
        <v>89.73379027160495</v>
      </c>
    </row>
    <row r="39">
      <c r="A39" s="7" t="inlineStr">
        <is>
          <t>F11</t>
        </is>
      </c>
      <c r="B39" s="7" t="inlineStr">
        <is>
          <t>Seventh Floor (+24100) - typical 4th-8th</t>
        </is>
      </c>
      <c r="C39" s="8">
        <f>SUMIF('F11 Seventh Floor'!$F$6:$F$281,10,'F11 Seventh Floor'!$N$6:$N$281)</f>
        <v>8.434641975308642</v>
      </c>
      <c r="D39" s="8">
        <f>SUMIF('F11 Seventh Floor'!$F$6:$F$281,12,'F11 Seventh Floor'!$N$6:$N$281)</f>
        <v>53.466840888888896</v>
      </c>
      <c r="E39" s="8">
        <f>SUMIF('F11 Seventh Floor'!$F$6:$F$281,16,'F11 Seventh Floor'!$N$6:$N$281)</f>
        <v>2.8322765432098764</v>
      </c>
      <c r="F39" s="8">
        <f>SUMIF('F11 Seventh Floor'!$F$6:$F$281,20,'F11 Seventh Floor'!$N$6:$N$281)</f>
        <v>19.493086419753087</v>
      </c>
      <c r="G39" s="8">
        <f>SUMIF('F11 Seventh Floor'!$F$6:$F$281,25,'F11 Seventh Floor'!$N$6:$N$281)</f>
        <v>5.506944444444445</v>
      </c>
      <c r="H39" s="9">
        <f>SUM(C39:G39)</f>
        <v>89.73379027160495</v>
      </c>
    </row>
    <row r="40">
      <c r="A40" s="7" t="inlineStr">
        <is>
          <t>F12</t>
        </is>
      </c>
      <c r="B40" s="7" t="inlineStr">
        <is>
          <t>Eighth Floor (+27400) - typical 4th-8th</t>
        </is>
      </c>
      <c r="C40" s="8">
        <f>SUMIF('F12 Eighth Floor'!$F$6:$F$281,10,'F12 Eighth Floor'!$N$6:$N$281)</f>
        <v>8.39315061728395</v>
      </c>
      <c r="D40" s="8">
        <f>SUMIF('F12 Eighth Floor'!$F$6:$F$281,12,'F12 Eighth Floor'!$N$6:$N$281)</f>
        <v>53.466840888888896</v>
      </c>
      <c r="E40" s="8">
        <f>SUMIF('F12 Eighth Floor'!$F$6:$F$281,16,'F12 Eighth Floor'!$N$6:$N$281)</f>
        <v>2.8322765432098764</v>
      </c>
      <c r="F40" s="8">
        <f>SUMIF('F12 Eighth Floor'!$F$6:$F$281,20,'F12 Eighth Floor'!$N$6:$N$281)</f>
        <v>18.658469135802466</v>
      </c>
      <c r="G40" s="8">
        <f>SUMIF('F12 Eighth Floor'!$F$6:$F$281,25,'F12 Eighth Floor'!$N$6:$N$281)</f>
        <v>6.131018518518518</v>
      </c>
      <c r="H40" s="9">
        <f>SUM(C40:G40)</f>
        <v>89.4817557037037</v>
      </c>
    </row>
    <row r="41">
      <c r="A41" s="7" t="inlineStr">
        <is>
          <t>F13</t>
        </is>
      </c>
      <c r="B41" s="7" t="inlineStr">
        <is>
          <t>Ninth Floor (+30700)</t>
        </is>
      </c>
      <c r="C41" s="8">
        <f>SUMIF('F13 Ninth Floor'!$F$6:$F$291,10,'F13 Ninth Floor'!$N$6:$N$291)</f>
        <v>7.344298765432098</v>
      </c>
      <c r="D41" s="8">
        <f>SUMIF('F13 Ninth Floor'!$F$6:$F$291,12,'F13 Ninth Floor'!$N$6:$N$291)</f>
        <v>53.94751644444445</v>
      </c>
      <c r="E41" s="8">
        <f>SUMIF('F13 Ninth Floor'!$F$6:$F$291,16,'F13 Ninth Floor'!$N$6:$N$291)</f>
        <v>2.7480493827160495</v>
      </c>
      <c r="F41" s="8">
        <f>SUMIF('F13 Ninth Floor'!$F$6:$F$291,20,'F13 Ninth Floor'!$N$6:$N$291)</f>
        <v>17.796666666666663</v>
      </c>
      <c r="G41" s="8">
        <f>SUMIF('F13 Ninth Floor'!$F$6:$F$291,25,'F13 Ninth Floor'!$N$6:$N$291)</f>
        <v>6.491030092592593</v>
      </c>
      <c r="H41" s="9">
        <f>SUM(C41:G41)</f>
        <v>88.32756135185187</v>
      </c>
    </row>
    <row r="42">
      <c r="A42" s="7" t="inlineStr">
        <is>
          <t>F14</t>
        </is>
      </c>
      <c r="B42" s="7" t="inlineStr">
        <is>
          <t>Tenth Floor (+34000)</t>
        </is>
      </c>
      <c r="C42" s="8">
        <f>SUMIF('F14 Tenth Floor'!$F$6:$F$253,10,'F14 Tenth Floor'!$N$6:$N$253)</f>
        <v>5.7719049382716054</v>
      </c>
      <c r="D42" s="8">
        <f>SUMIF('F14 Tenth Floor'!$F$6:$F$253,12,'F14 Tenth Floor'!$N$6:$N$253)</f>
        <v>39.93864444444445</v>
      </c>
      <c r="E42" s="8">
        <f>SUMIF('F14 Tenth Floor'!$F$6:$F$253,16,'F14 Tenth Floor'!$N$6:$N$253)</f>
        <v>2.800671604938271</v>
      </c>
      <c r="F42" s="8">
        <f>SUMIF('F14 Tenth Floor'!$F$6:$F$253,20,'F14 Tenth Floor'!$N$6:$N$253)</f>
        <v>15.119259259259255</v>
      </c>
      <c r="G42" s="8">
        <f>SUMIF('F14 Tenth Floor'!$F$6:$F$253,25,'F14 Tenth Floor'!$N$6:$N$253)</f>
        <v>4.057388117283951</v>
      </c>
      <c r="H42" s="9">
        <f>SUM(C42:G42)</f>
        <v>67.68786836419753</v>
      </c>
    </row>
    <row r="43">
      <c r="A43" s="7" t="inlineStr">
        <is>
          <t>F15</t>
        </is>
      </c>
      <c r="B43" s="7" t="inlineStr">
        <is>
          <t>Roof Top Terrace (+37300)</t>
        </is>
      </c>
      <c r="C43" s="8">
        <f>SUMIF('F15 Roof Top Terrace'!$F$6:$F$216,10,'F15 Roof Top Terrace'!$N$6:$N$216)</f>
        <v>3.5047925925925925</v>
      </c>
      <c r="D43" s="8">
        <f>SUMIF('F15 Roof Top Terrace'!$F$6:$F$216,12,'F15 Roof Top Terrace'!$N$6:$N$216)</f>
        <v>45.48428444444444</v>
      </c>
      <c r="E43" s="8">
        <f>SUMIF('F15 Roof Top Terrace'!$F$6:$F$216,16,'F15 Roof Top Terrace'!$N$6:$N$216)</f>
        <v>1.4403160493827158</v>
      </c>
      <c r="F43" s="8">
        <f>SUMIF('F15 Roof Top Terrace'!$F$6:$F$216,20,'F15 Roof Top Terrace'!$N$6:$N$216)</f>
        <v>11.340740740740742</v>
      </c>
      <c r="G43" s="8">
        <f>SUMIF('F15 Roof Top Terrace'!$F$6:$F$216,25,'F15 Roof Top Terrace'!$N$6:$N$216)</f>
        <v>3.6222029320987654</v>
      </c>
      <c r="H43" s="9">
        <f>SUM(C43:G43)</f>
        <v>65.39233675925925</v>
      </c>
    </row>
    <row r="44">
      <c r="A44" s="7" t="inlineStr">
        <is>
          <t>F16</t>
        </is>
      </c>
      <c r="B44" s="7" t="inlineStr">
        <is>
          <t>Roof Level (+40450)</t>
        </is>
      </c>
      <c r="C44" s="8">
        <f>SUMIF('F16 Roof Level'!$F$6:$F$84,10,'F16 Roof Level'!$N$6:$N$84)</f>
        <v>1.502469135802469</v>
      </c>
      <c r="D44" s="8">
        <f>SUMIF('F16 Roof Level'!$F$6:$F$84,12,'F16 Roof Level'!$N$6:$N$84)</f>
        <v>4.96272</v>
      </c>
      <c r="E44" s="8">
        <f>SUMIF('F16 Roof Level'!$F$6:$F$84,16,'F16 Roof Level'!$N$6:$N$84)</f>
        <v>0.9603555555555554</v>
      </c>
      <c r="F44" s="8">
        <f>SUMIF('F16 Roof Level'!$F$6:$F$84,20,'F16 Roof Level'!$N$6:$N$84)</f>
        <v>5.0593456790123446</v>
      </c>
      <c r="G44" s="8">
        <f>SUMIF('F16 Roof Level'!$F$6:$F$84,25,'F16 Roof Level'!$N$6:$N$84)</f>
        <v>0.32349537037037035</v>
      </c>
      <c r="H44" s="9">
        <f>SUM(C44:G44)</f>
        <v>12.80838574074074</v>
      </c>
    </row>
    <row r="45">
      <c r="A45" s="7" t="inlineStr">
        <is>
          <t>F17</t>
        </is>
      </c>
      <c r="B45" s="7" t="inlineStr">
        <is>
          <t>Top of Lift Core (+44650)</t>
        </is>
      </c>
      <c r="C45" s="8">
        <f>SUMIF('F17 Top of Lift Core'!$F$6:$F$9,10,'F17 Top of Lift Core'!$N$6:$N$9)</f>
        <v>0.0</v>
      </c>
      <c r="D45" s="8">
        <f>SUMIF('F17 Top of Lift Core'!$F$6:$F$9,12,'F17 Top of Lift Core'!$N$6:$N$9)</f>
        <v>0.3659111111111111</v>
      </c>
      <c r="E45" s="8">
        <f>SUMIF('F17 Top of Lift Core'!$F$6:$F$9,16,'F17 Top of Lift Core'!$N$6:$N$9)</f>
        <v>0.0</v>
      </c>
      <c r="F45" s="8">
        <f>SUMIF('F17 Top of Lift Core'!$F$6:$F$9,20,'F17 Top of Lift Core'!$N$6:$N$9)</f>
        <v>0.0</v>
      </c>
      <c r="G45" s="8">
        <f>SUMIF('F17 Top of Lift Core'!$F$6:$F$9,25,'F17 Top of Lift Core'!$N$6:$N$9)</f>
        <v>0.0</v>
      </c>
      <c r="H45" s="9">
        <f>SUM(C45:G45)</f>
        <v>0.3659111111111111</v>
      </c>
    </row>
    <row r="46">
      <c r="B46" s="10" t="inlineStr">
        <is>
          <t>GRAND TOTAL</t>
        </is>
      </c>
      <c r="C46" s="11">
        <f>SUM(C28:C45)</f>
        <v>98.38058271604939</v>
      </c>
      <c r="D46" s="11">
        <f>SUM(D28:D45)</f>
        <v>633.9613831111111</v>
      </c>
      <c r="E46" s="11">
        <f>SUM(E28:E45)</f>
        <v>42.43152592592593</v>
      </c>
      <c r="F46" s="11">
        <f>SUM(F28:F45)</f>
        <v>164.10867901234568</v>
      </c>
      <c r="G46" s="11">
        <f>SUM(G28:G45)</f>
        <v>367.33251929012346</v>
      </c>
      <c r="H46" s="11">
        <f>SUM(H28:H45)</f>
        <v>1306.2146900555556</v>
      </c>
    </row>
    <row r="48">
      <c r="B48" s="7" t="inlineStr">
        <is>
          <t>Cross-check: element total minus diameter total (should be 0)</t>
        </is>
      </c>
      <c r="C48" s="7">
        <f>ROUND(L23-H46,6)</f>
        <v>0.0</v>
      </c>
    </row>
    <row r="51">
      <c r="A51" s="12" t="inlineStr">
        <is>
          <t>ALL FLOORS - TOTAL BY ELEMENT AND BAR SIZE (TONNES)</t>
        </is>
      </c>
    </row>
    <row r="52">
      <c r="A52" s="6" t="inlineStr"/>
      <c r="B52" s="6" t="inlineStr">
        <is>
          <t>Element</t>
        </is>
      </c>
      <c r="C52" s="6" t="inlineStr">
        <is>
          <t>Y10</t>
        </is>
      </c>
      <c r="D52" s="6" t="inlineStr">
        <is>
          <t>Y12</t>
        </is>
      </c>
      <c r="E52" s="6" t="inlineStr">
        <is>
          <t>Y16</t>
        </is>
      </c>
      <c r="F52" s="6" t="inlineStr">
        <is>
          <t>Y20</t>
        </is>
      </c>
      <c r="G52" s="6" t="inlineStr">
        <is>
          <t>Y25</t>
        </is>
      </c>
      <c r="H52" s="6" t="inlineStr">
        <is>
          <t>TOTAL (t)</t>
        </is>
      </c>
    </row>
    <row r="53">
      <c r="B53" s="13" t="inlineStr">
        <is>
          <t>Raft Foundation</t>
        </is>
      </c>
      <c r="C53" s="14">
        <f>'F00 Substructure'!E158+'F01 Ground Floor'!E111+'F02 M1 Level'!E145+'F03 First Floor'!E173+'F04 M2 Level'!E131+'F05 Second Floor'!E175+'F06 Mezzanine Floor'!E122+'F07 Third Floor'!E234+'F08 Fourth Floor'!E285+'F09 Fifth Floor'!E285+'F10 Sixth Floor'!E285+'F11 Seventh Floor'!E285+'F12 Eighth Floor'!E285+'F13 Ninth Floor'!E295+'F14 Tenth Floor'!E257+'F15 Roof Top Terrace'!E220+'F16 Roof Level'!E88+'F17 Top of Lift Core'!E13</f>
        <v>0.0</v>
      </c>
      <c r="D53" s="14">
        <f>'F00 Substructure'!F158+'F01 Ground Floor'!F111+'F02 M1 Level'!F145+'F03 First Floor'!F173+'F04 M2 Level'!F131+'F05 Second Floor'!F175+'F06 Mezzanine Floor'!F122+'F07 Third Floor'!F234+'F08 Fourth Floor'!F285+'F09 Fifth Floor'!F285+'F10 Sixth Floor'!F285+'F11 Seventh Floor'!F285+'F12 Eighth Floor'!F285+'F13 Ninth Floor'!F295+'F14 Tenth Floor'!F257+'F15 Roof Top Terrace'!F220+'F16 Roof Level'!F88+'F17 Top of Lift Core'!F13</f>
        <v>0.0</v>
      </c>
      <c r="E53" s="14">
        <f>'F00 Substructure'!G158+'F01 Ground Floor'!G111+'F02 M1 Level'!G145+'F03 First Floor'!G173+'F04 M2 Level'!G131+'F05 Second Floor'!G175+'F06 Mezzanine Floor'!G122+'F07 Third Floor'!G234+'F08 Fourth Floor'!G285+'F09 Fifth Floor'!G285+'F10 Sixth Floor'!G285+'F11 Seventh Floor'!G285+'F12 Eighth Floor'!G285+'F13 Ninth Floor'!G295+'F14 Tenth Floor'!G257+'F15 Roof Top Terrace'!G220+'F16 Roof Level'!G88+'F17 Top of Lift Core'!G13</f>
        <v>0.0</v>
      </c>
      <c r="F53" s="14">
        <f>'F00 Substructure'!H158+'F01 Ground Floor'!H111+'F02 M1 Level'!H145+'F03 First Floor'!H173+'F04 M2 Level'!H131+'F05 Second Floor'!H175+'F06 Mezzanine Floor'!H122+'F07 Third Floor'!H234+'F08 Fourth Floor'!H285+'F09 Fifth Floor'!H285+'F10 Sixth Floor'!H285+'F11 Seventh Floor'!H285+'F12 Eighth Floor'!H285+'F13 Ninth Floor'!H295+'F14 Tenth Floor'!H257+'F15 Roof Top Terrace'!H220+'F16 Roof Level'!H88+'F17 Top of Lift Core'!H13</f>
        <v>2.466296296296296</v>
      </c>
      <c r="G53" s="14">
        <f>'F00 Substructure'!I158+'F01 Ground Floor'!I111+'F02 M1 Level'!I145+'F03 First Floor'!I173+'F04 M2 Level'!I131+'F05 Second Floor'!I175+'F06 Mezzanine Floor'!I122+'F07 Third Floor'!I234+'F08 Fourth Floor'!I285+'F09 Fifth Floor'!I285+'F10 Sixth Floor'!I285+'F11 Seventh Floor'!I285+'F12 Eighth Floor'!I285+'F13 Ninth Floor'!I295+'F14 Tenth Floor'!I257+'F15 Roof Top Terrace'!I220+'F16 Roof Level'!I88+'F17 Top of Lift Core'!I13</f>
        <v>184.67217978395064</v>
      </c>
      <c r="H53" s="15">
        <f>SUM(C53:G53)</f>
        <v>187.13847608024693</v>
      </c>
    </row>
    <row r="54">
      <c r="B54" s="13" t="inlineStr">
        <is>
          <t>Columns</t>
        </is>
      </c>
      <c r="C54" s="14">
        <f>'F00 Substructure'!E159+'F01 Ground Floor'!E112+'F02 M1 Level'!E146+'F03 First Floor'!E174+'F04 M2 Level'!E132+'F05 Second Floor'!E176+'F06 Mezzanine Floor'!E123+'F07 Third Floor'!E235+'F08 Fourth Floor'!E286+'F09 Fifth Floor'!E286+'F10 Sixth Floor'!E286+'F11 Seventh Floor'!E286+'F12 Eighth Floor'!E286+'F13 Ninth Floor'!E296+'F14 Tenth Floor'!E258+'F15 Roof Top Terrace'!E221+'F16 Roof Level'!E89+'F17 Top of Lift Core'!E14</f>
        <v>51.7244098765432</v>
      </c>
      <c r="D54" s="14">
        <f>'F00 Substructure'!F159+'F01 Ground Floor'!F112+'F02 M1 Level'!F146+'F03 First Floor'!F174+'F04 M2 Level'!F132+'F05 Second Floor'!F176+'F06 Mezzanine Floor'!F123+'F07 Third Floor'!F235+'F08 Fourth Floor'!F286+'F09 Fifth Floor'!F286+'F10 Sixth Floor'!F286+'F11 Seventh Floor'!F286+'F12 Eighth Floor'!F286+'F13 Ninth Floor'!F296+'F14 Tenth Floor'!F258+'F15 Roof Top Terrace'!F221+'F16 Roof Level'!F89+'F17 Top of Lift Core'!F14</f>
        <v>0.0</v>
      </c>
      <c r="E54" s="14">
        <f>'F00 Substructure'!G159+'F01 Ground Floor'!G112+'F02 M1 Level'!G146+'F03 First Floor'!G174+'F04 M2 Level'!G132+'F05 Second Floor'!G176+'F06 Mezzanine Floor'!G123+'F07 Third Floor'!G235+'F08 Fourth Floor'!G286+'F09 Fifth Floor'!G286+'F10 Sixth Floor'!G286+'F11 Seventh Floor'!G286+'F12 Eighth Floor'!G286+'F13 Ninth Floor'!G296+'F14 Tenth Floor'!G258+'F15 Roof Top Terrace'!G221+'F16 Roof Level'!G89+'F17 Top of Lift Core'!G14</f>
        <v>0.0</v>
      </c>
      <c r="F54" s="14">
        <f>'F00 Substructure'!H159+'F01 Ground Floor'!H112+'F02 M1 Level'!H146+'F03 First Floor'!H174+'F04 M2 Level'!H132+'F05 Second Floor'!H176+'F06 Mezzanine Floor'!H123+'F07 Third Floor'!H235+'F08 Fourth Floor'!H286+'F09 Fifth Floor'!H286+'F10 Sixth Floor'!H286+'F11 Seventh Floor'!H286+'F12 Eighth Floor'!H286+'F13 Ninth Floor'!H296+'F14 Tenth Floor'!H258+'F15 Roof Top Terrace'!H221+'F16 Roof Level'!H89+'F17 Top of Lift Core'!H14</f>
        <v>56.92711111111111</v>
      </c>
      <c r="G54" s="14">
        <f>'F00 Substructure'!I159+'F01 Ground Floor'!I112+'F02 M1 Level'!I146+'F03 First Floor'!I174+'F04 M2 Level'!I132+'F05 Second Floor'!I176+'F06 Mezzanine Floor'!I123+'F07 Third Floor'!I235+'F08 Fourth Floor'!I286+'F09 Fifth Floor'!I286+'F10 Sixth Floor'!I286+'F11 Seventh Floor'!I286+'F12 Eighth Floor'!I286+'F13 Ninth Floor'!I296+'F14 Tenth Floor'!I258+'F15 Roof Top Terrace'!I221+'F16 Roof Level'!I89+'F17 Top of Lift Core'!I14</f>
        <v>36.47708333333333</v>
      </c>
      <c r="H54" s="15">
        <f>SUM(C54:G54)</f>
        <v>145.12860432098765</v>
      </c>
    </row>
    <row r="55">
      <c r="B55" s="13" t="inlineStr">
        <is>
          <t>Shear Walls</t>
        </is>
      </c>
      <c r="C55" s="14">
        <f>'F00 Substructure'!E160+'F01 Ground Floor'!E113+'F02 M1 Level'!E147+'F03 First Floor'!E175+'F04 M2 Level'!E133+'F05 Second Floor'!E177+'F06 Mezzanine Floor'!E124+'F07 Third Floor'!E236+'F08 Fourth Floor'!E287+'F09 Fifth Floor'!E287+'F10 Sixth Floor'!E287+'F11 Seventh Floor'!E287+'F12 Eighth Floor'!E287+'F13 Ninth Floor'!E297+'F14 Tenth Floor'!E259+'F15 Roof Top Terrace'!E222+'F16 Roof Level'!E90+'F17 Top of Lift Core'!E15</f>
        <v>18.15888888888889</v>
      </c>
      <c r="D55" s="14">
        <f>'F00 Substructure'!F160+'F01 Ground Floor'!F113+'F02 M1 Level'!F147+'F03 First Floor'!F175+'F04 M2 Level'!F133+'F05 Second Floor'!F177+'F06 Mezzanine Floor'!F124+'F07 Third Floor'!F236+'F08 Fourth Floor'!F287+'F09 Fifth Floor'!F287+'F10 Sixth Floor'!F287+'F11 Seventh Floor'!F287+'F12 Eighth Floor'!F287+'F13 Ninth Floor'!F297+'F14 Tenth Floor'!F259+'F15 Roof Top Terrace'!F222+'F16 Roof Level'!F90+'F17 Top of Lift Core'!F15</f>
        <v>24.88053333333334</v>
      </c>
      <c r="E55" s="14">
        <f>'F00 Substructure'!G160+'F01 Ground Floor'!G113+'F02 M1 Level'!G147+'F03 First Floor'!G175+'F04 M2 Level'!G133+'F05 Second Floor'!G177+'F06 Mezzanine Floor'!G124+'F07 Third Floor'!G236+'F08 Fourth Floor'!G287+'F09 Fifth Floor'!G287+'F10 Sixth Floor'!G287+'F11 Seventh Floor'!G287+'F12 Eighth Floor'!G287+'F13 Ninth Floor'!G297+'F14 Tenth Floor'!G259+'F15 Roof Top Terrace'!G222+'F16 Roof Level'!G90+'F17 Top of Lift Core'!G15</f>
        <v>0.0</v>
      </c>
      <c r="F55" s="14">
        <f>'F00 Substructure'!H160+'F01 Ground Floor'!H113+'F02 M1 Level'!H147+'F03 First Floor'!H175+'F04 M2 Level'!H133+'F05 Second Floor'!H177+'F06 Mezzanine Floor'!H124+'F07 Third Floor'!H236+'F08 Fourth Floor'!H287+'F09 Fifth Floor'!H287+'F10 Sixth Floor'!H287+'F11 Seventh Floor'!H287+'F12 Eighth Floor'!H287+'F13 Ninth Floor'!H297+'F14 Tenth Floor'!H259+'F15 Roof Top Terrace'!H222+'F16 Roof Level'!H90+'F17 Top of Lift Core'!H15</f>
        <v>54.980987654320984</v>
      </c>
      <c r="G55" s="14">
        <f>'F00 Substructure'!I160+'F01 Ground Floor'!I113+'F02 M1 Level'!I147+'F03 First Floor'!I175+'F04 M2 Level'!I133+'F05 Second Floor'!I177+'F06 Mezzanine Floor'!I124+'F07 Third Floor'!I236+'F08 Fourth Floor'!I287+'F09 Fifth Floor'!I287+'F10 Sixth Floor'!I287+'F11 Seventh Floor'!I287+'F12 Eighth Floor'!I287+'F13 Ninth Floor'!I297+'F14 Tenth Floor'!I259+'F15 Roof Top Terrace'!I222+'F16 Roof Level'!I90+'F17 Top of Lift Core'!I15</f>
        <v>58.763888888888886</v>
      </c>
      <c r="H55" s="15">
        <f>SUM(C55:G55)</f>
        <v>156.78429876543208</v>
      </c>
    </row>
    <row r="56">
      <c r="B56" s="13" t="inlineStr">
        <is>
          <t>Lift Walls</t>
        </is>
      </c>
      <c r="C56" s="14">
        <f>'F00 Substructure'!E161+'F01 Ground Floor'!E114+'F02 M1 Level'!E148+'F03 First Floor'!E176+'F04 M2 Level'!E134+'F05 Second Floor'!E178+'F06 Mezzanine Floor'!E125+'F07 Third Floor'!E237+'F08 Fourth Floor'!E288+'F09 Fifth Floor'!E288+'F10 Sixth Floor'!E288+'F11 Seventh Floor'!E288+'F12 Eighth Floor'!E288+'F13 Ninth Floor'!E298+'F14 Tenth Floor'!E260+'F15 Roof Top Terrace'!E223+'F16 Roof Level'!E91+'F17 Top of Lift Core'!E16</f>
        <v>8.81111111111111</v>
      </c>
      <c r="D56" s="14">
        <f>'F00 Substructure'!F161+'F01 Ground Floor'!F114+'F02 M1 Level'!F148+'F03 First Floor'!F176+'F04 M2 Level'!F134+'F05 Second Floor'!F178+'F06 Mezzanine Floor'!F125+'F07 Third Floor'!F237+'F08 Fourth Floor'!F288+'F09 Fifth Floor'!F288+'F10 Sixth Floor'!F288+'F11 Seventh Floor'!F288+'F12 Eighth Floor'!F288+'F13 Ninth Floor'!F298+'F14 Tenth Floor'!F260+'F15 Roof Top Terrace'!F223+'F16 Roof Level'!F91+'F17 Top of Lift Core'!F16</f>
        <v>11.858719999999996</v>
      </c>
      <c r="E56" s="14">
        <f>'F00 Substructure'!G161+'F01 Ground Floor'!G114+'F02 M1 Level'!G148+'F03 First Floor'!G176+'F04 M2 Level'!G134+'F05 Second Floor'!G178+'F06 Mezzanine Floor'!G125+'F07 Third Floor'!G237+'F08 Fourth Floor'!G288+'F09 Fifth Floor'!G288+'F10 Sixth Floor'!G288+'F11 Seventh Floor'!G288+'F12 Eighth Floor'!G288+'F13 Ninth Floor'!G298+'F14 Tenth Floor'!G260+'F15 Roof Top Terrace'!G223+'F16 Roof Level'!G91+'F17 Top of Lift Core'!G16</f>
        <v>0.0</v>
      </c>
      <c r="F56" s="14">
        <f>'F00 Substructure'!H161+'F01 Ground Floor'!H114+'F02 M1 Level'!H148+'F03 First Floor'!H176+'F04 M2 Level'!H134+'F05 Second Floor'!H178+'F06 Mezzanine Floor'!H125+'F07 Third Floor'!H237+'F08 Fourth Floor'!H288+'F09 Fifth Floor'!H288+'F10 Sixth Floor'!H288+'F11 Seventh Floor'!H288+'F12 Eighth Floor'!H288+'F13 Ninth Floor'!H298+'F14 Tenth Floor'!H260+'F15 Roof Top Terrace'!H223+'F16 Roof Level'!H91+'F17 Top of Lift Core'!H16</f>
        <v>27.171358024691358</v>
      </c>
      <c r="G56" s="14">
        <f>'F00 Substructure'!I161+'F01 Ground Floor'!I114+'F02 M1 Level'!I148+'F03 First Floor'!I176+'F04 M2 Level'!I134+'F05 Second Floor'!I178+'F06 Mezzanine Floor'!I125+'F07 Third Floor'!I237+'F08 Fourth Floor'!I288+'F09 Fifth Floor'!I288+'F10 Sixth Floor'!I288+'F11 Seventh Floor'!I288+'F12 Eighth Floor'!I288+'F13 Ninth Floor'!I298+'F14 Tenth Floor'!I260+'F15 Roof Top Terrace'!I223+'F16 Roof Level'!I91+'F17 Top of Lift Core'!I16</f>
        <v>33.02777777777777</v>
      </c>
      <c r="H56" s="15">
        <f>SUM(C56:G56)</f>
        <v>80.86896691358024</v>
      </c>
    </row>
    <row r="57">
      <c r="B57" s="13" t="inlineStr">
        <is>
          <t>Retaining / Ramp Walls</t>
        </is>
      </c>
      <c r="C57" s="14">
        <f>'F00 Substructure'!E162+'F01 Ground Floor'!E115+'F02 M1 Level'!E149+'F03 First Floor'!E177+'F04 M2 Level'!E135+'F05 Second Floor'!E179+'F06 Mezzanine Floor'!E126+'F07 Third Floor'!E238+'F08 Fourth Floor'!E289+'F09 Fifth Floor'!E289+'F10 Sixth Floor'!E289+'F11 Seventh Floor'!E289+'F12 Eighth Floor'!E289+'F13 Ninth Floor'!E299+'F14 Tenth Floor'!E261+'F15 Roof Top Terrace'!E224+'F16 Roof Level'!E92+'F17 Top of Lift Core'!E17</f>
        <v>0.0</v>
      </c>
      <c r="D57" s="14">
        <f>'F00 Substructure'!F162+'F01 Ground Floor'!F115+'F02 M1 Level'!F149+'F03 First Floor'!F177+'F04 M2 Level'!F135+'F05 Second Floor'!F179+'F06 Mezzanine Floor'!F126+'F07 Third Floor'!F238+'F08 Fourth Floor'!F289+'F09 Fifth Floor'!F289+'F10 Sixth Floor'!F289+'F11 Seventh Floor'!F289+'F12 Eighth Floor'!F289+'F13 Ninth Floor'!F299+'F14 Tenth Floor'!F261+'F15 Roof Top Terrace'!F224+'F16 Roof Level'!F92+'F17 Top of Lift Core'!F17</f>
        <v>0.8395733333333333</v>
      </c>
      <c r="E57" s="14">
        <f>'F00 Substructure'!G162+'F01 Ground Floor'!G115+'F02 M1 Level'!G149+'F03 First Floor'!G177+'F04 M2 Level'!G135+'F05 Second Floor'!G179+'F06 Mezzanine Floor'!G126+'F07 Third Floor'!G238+'F08 Fourth Floor'!G289+'F09 Fifth Floor'!G289+'F10 Sixth Floor'!G289+'F11 Seventh Floor'!G289+'F12 Eighth Floor'!G289+'F13 Ninth Floor'!G299+'F14 Tenth Floor'!G261+'F15 Roof Top Terrace'!G224+'F16 Roof Level'!G92+'F17 Top of Lift Core'!G17</f>
        <v>0.0</v>
      </c>
      <c r="F57" s="14">
        <f>'F00 Substructure'!H162+'F01 Ground Floor'!H115+'F02 M1 Level'!H149+'F03 First Floor'!H177+'F04 M2 Level'!H135+'F05 Second Floor'!H179+'F06 Mezzanine Floor'!H126+'F07 Third Floor'!H238+'F08 Fourth Floor'!H289+'F09 Fifth Floor'!H289+'F10 Sixth Floor'!H289+'F11 Seventh Floor'!H289+'F12 Eighth Floor'!H289+'F13 Ninth Floor'!H299+'F14 Tenth Floor'!H261+'F15 Roof Top Terrace'!H224+'F16 Roof Level'!H92+'F17 Top of Lift Core'!H17</f>
        <v>0.0</v>
      </c>
      <c r="G57" s="14">
        <f>'F00 Substructure'!I162+'F01 Ground Floor'!I115+'F02 M1 Level'!I149+'F03 First Floor'!I177+'F04 M2 Level'!I135+'F05 Second Floor'!I179+'F06 Mezzanine Floor'!I126+'F07 Third Floor'!I238+'F08 Fourth Floor'!I289+'F09 Fifth Floor'!I289+'F10 Sixth Floor'!I289+'F11 Seventh Floor'!I289+'F12 Eighth Floor'!I289+'F13 Ninth Floor'!I299+'F14 Tenth Floor'!I261+'F15 Roof Top Terrace'!I224+'F16 Roof Level'!I92+'F17 Top of Lift Core'!I17</f>
        <v>0.0</v>
      </c>
      <c r="H57" s="15">
        <f>SUM(C57:G57)</f>
        <v>0.8395733333333333</v>
      </c>
    </row>
    <row r="58">
      <c r="B58" s="13" t="inlineStr">
        <is>
          <t>Beams</t>
        </is>
      </c>
      <c r="C58" s="14">
        <f>'F00 Substructure'!E163+'F01 Ground Floor'!E116+'F02 M1 Level'!E150+'F03 First Floor'!E178+'F04 M2 Level'!E136+'F05 Second Floor'!E180+'F06 Mezzanine Floor'!E127+'F07 Third Floor'!E239+'F08 Fourth Floor'!E290+'F09 Fifth Floor'!E290+'F10 Sixth Floor'!E290+'F11 Seventh Floor'!E290+'F12 Eighth Floor'!E290+'F13 Ninth Floor'!E300+'F14 Tenth Floor'!E262+'F15 Roof Top Terrace'!E225+'F16 Roof Level'!E93+'F17 Top of Lift Core'!E18</f>
        <v>19.68617283950617</v>
      </c>
      <c r="D58" s="14">
        <f>'F00 Substructure'!F163+'F01 Ground Floor'!F116+'F02 M1 Level'!F150+'F03 First Floor'!F178+'F04 M2 Level'!F136+'F05 Second Floor'!F180+'F06 Mezzanine Floor'!F127+'F07 Third Floor'!F239+'F08 Fourth Floor'!F290+'F09 Fifth Floor'!F290+'F10 Sixth Floor'!F290+'F11 Seventh Floor'!F290+'F12 Eighth Floor'!F290+'F13 Ninth Floor'!F300+'F14 Tenth Floor'!F262+'F15 Roof Top Terrace'!F225+'F16 Roof Level'!F93+'F17 Top of Lift Core'!F18</f>
        <v>0.0</v>
      </c>
      <c r="E58" s="14">
        <f>'F00 Substructure'!G163+'F01 Ground Floor'!G116+'F02 M1 Level'!G150+'F03 First Floor'!G178+'F04 M2 Level'!G136+'F05 Second Floor'!G180+'F06 Mezzanine Floor'!G127+'F07 Third Floor'!G239+'F08 Fourth Floor'!G290+'F09 Fifth Floor'!G290+'F10 Sixth Floor'!G290+'F11 Seventh Floor'!G290+'F12 Eighth Floor'!G290+'F13 Ninth Floor'!G300+'F14 Tenth Floor'!G262+'F15 Roof Top Terrace'!G225+'F16 Roof Level'!G93+'F17 Top of Lift Core'!G18</f>
        <v>14.784671604938268</v>
      </c>
      <c r="F58" s="14">
        <f>'F00 Substructure'!H163+'F01 Ground Floor'!H116+'F02 M1 Level'!H150+'F03 First Floor'!H178+'F04 M2 Level'!H136+'F05 Second Floor'!H180+'F06 Mezzanine Floor'!H127+'F07 Third Floor'!H239+'F08 Fourth Floor'!H290+'F09 Fifth Floor'!H290+'F10 Sixth Floor'!H290+'F11 Seventh Floor'!H290+'F12 Eighth Floor'!H290+'F13 Ninth Floor'!H300+'F14 Tenth Floor'!H262+'F15 Roof Top Terrace'!H225+'F16 Roof Level'!H93+'F17 Top of Lift Core'!H18</f>
        <v>22.562925925925924</v>
      </c>
      <c r="G58" s="14">
        <f>'F00 Substructure'!I163+'F01 Ground Floor'!I116+'F02 M1 Level'!I150+'F03 First Floor'!I178+'F04 M2 Level'!I136+'F05 Second Floor'!I180+'F06 Mezzanine Floor'!I127+'F07 Third Floor'!I239+'F08 Fourth Floor'!I290+'F09 Fifth Floor'!I290+'F10 Sixth Floor'!I290+'F11 Seventh Floor'!I290+'F12 Eighth Floor'!I290+'F13 Ninth Floor'!I300+'F14 Tenth Floor'!I262+'F15 Roof Top Terrace'!I225+'F16 Roof Level'!I93+'F17 Top of Lift Core'!I18</f>
        <v>54.39158950617284</v>
      </c>
      <c r="H58" s="15">
        <f>SUM(C58:G58)</f>
        <v>111.42535987654321</v>
      </c>
    </row>
    <row r="59">
      <c r="B59" s="13" t="inlineStr">
        <is>
          <t>Floor Slabs</t>
        </is>
      </c>
      <c r="C59" s="14">
        <f>'F00 Substructure'!E164+'F01 Ground Floor'!E117+'F02 M1 Level'!E151+'F03 First Floor'!E179+'F04 M2 Level'!E137+'F05 Second Floor'!E181+'F06 Mezzanine Floor'!E128+'F07 Third Floor'!E240+'F08 Fourth Floor'!E291+'F09 Fifth Floor'!E291+'F10 Sixth Floor'!E291+'F11 Seventh Floor'!E291+'F12 Eighth Floor'!E291+'F13 Ninth Floor'!E301+'F14 Tenth Floor'!E263+'F15 Roof Top Terrace'!E226+'F16 Roof Level'!E94+'F17 Top of Lift Core'!E19</f>
        <v>0.0</v>
      </c>
      <c r="D59" s="14">
        <f>'F00 Substructure'!F164+'F01 Ground Floor'!F117+'F02 M1 Level'!F151+'F03 First Floor'!F179+'F04 M2 Level'!F137+'F05 Second Floor'!F181+'F06 Mezzanine Floor'!F128+'F07 Third Floor'!F240+'F08 Fourth Floor'!F291+'F09 Fifth Floor'!F291+'F10 Sixth Floor'!F291+'F11 Seventh Floor'!F291+'F12 Eighth Floor'!F291+'F13 Ninth Floor'!F301+'F14 Tenth Floor'!F263+'F15 Roof Top Terrace'!F226+'F16 Roof Level'!F94+'F17 Top of Lift Core'!F19</f>
        <v>585.9007342222224</v>
      </c>
      <c r="E59" s="14">
        <f>'F00 Substructure'!G164+'F01 Ground Floor'!G117+'F02 M1 Level'!G151+'F03 First Floor'!G179+'F04 M2 Level'!G137+'F05 Second Floor'!G181+'F06 Mezzanine Floor'!G128+'F07 Third Floor'!G240+'F08 Fourth Floor'!G291+'F09 Fifth Floor'!G291+'F10 Sixth Floor'!G291+'F11 Seventh Floor'!G291+'F12 Eighth Floor'!G291+'F13 Ninth Floor'!G301+'F14 Tenth Floor'!G263+'F15 Roof Top Terrace'!G226+'F16 Roof Level'!G94+'F17 Top of Lift Core'!G19</f>
        <v>11.420483950617283</v>
      </c>
      <c r="F59" s="14">
        <f>'F00 Substructure'!H164+'F01 Ground Floor'!H117+'F02 M1 Level'!H151+'F03 First Floor'!H179+'F04 M2 Level'!H137+'F05 Second Floor'!H181+'F06 Mezzanine Floor'!H128+'F07 Third Floor'!H240+'F08 Fourth Floor'!H291+'F09 Fifth Floor'!H291+'F10 Sixth Floor'!H291+'F11 Seventh Floor'!H291+'F12 Eighth Floor'!H291+'F13 Ninth Floor'!H301+'F14 Tenth Floor'!H263+'F15 Roof Top Terrace'!H226+'F16 Roof Level'!H94+'F17 Top of Lift Core'!H19</f>
        <v>0.0</v>
      </c>
      <c r="G59" s="14">
        <f>'F00 Substructure'!I164+'F01 Ground Floor'!I117+'F02 M1 Level'!I151+'F03 First Floor'!I179+'F04 M2 Level'!I137+'F05 Second Floor'!I181+'F06 Mezzanine Floor'!I128+'F07 Third Floor'!I240+'F08 Fourth Floor'!I291+'F09 Fifth Floor'!I291+'F10 Sixth Floor'!I291+'F11 Seventh Floor'!I291+'F12 Eighth Floor'!I291+'F13 Ninth Floor'!I301+'F14 Tenth Floor'!I263+'F15 Roof Top Terrace'!I226+'F16 Roof Level'!I94+'F17 Top of Lift Core'!I19</f>
        <v>0.0</v>
      </c>
      <c r="H59" s="15">
        <f>SUM(C59:G59)</f>
        <v>597.3212181728396</v>
      </c>
    </row>
    <row r="60">
      <c r="B60" s="13" t="inlineStr">
        <is>
          <t>Staircases</t>
        </is>
      </c>
      <c r="C60" s="14">
        <f>'F00 Substructure'!E165+'F01 Ground Floor'!E118+'F02 M1 Level'!E152+'F03 First Floor'!E180+'F04 M2 Level'!E138+'F05 Second Floor'!E182+'F06 Mezzanine Floor'!E129+'F07 Third Floor'!E241+'F08 Fourth Floor'!E292+'F09 Fifth Floor'!E292+'F10 Sixth Floor'!E292+'F11 Seventh Floor'!E292+'F12 Eighth Floor'!E292+'F13 Ninth Floor'!E302+'F14 Tenth Floor'!E264+'F15 Roof Top Terrace'!E227+'F16 Roof Level'!E95+'F17 Top of Lift Core'!E20</f>
        <v>0.0</v>
      </c>
      <c r="D60" s="14">
        <f>'F00 Substructure'!F165+'F01 Ground Floor'!F118+'F02 M1 Level'!F152+'F03 First Floor'!F180+'F04 M2 Level'!F138+'F05 Second Floor'!F182+'F06 Mezzanine Floor'!F129+'F07 Third Floor'!F241+'F08 Fourth Floor'!F292+'F09 Fifth Floor'!F292+'F10 Sixth Floor'!F292+'F11 Seventh Floor'!F292+'F12 Eighth Floor'!F292+'F13 Ninth Floor'!F302+'F14 Tenth Floor'!F264+'F15 Roof Top Terrace'!F227+'F16 Roof Level'!F95+'F17 Top of Lift Core'!F20</f>
        <v>10.115911111111112</v>
      </c>
      <c r="E60" s="14">
        <f>'F00 Substructure'!G165+'F01 Ground Floor'!G118+'F02 M1 Level'!G152+'F03 First Floor'!G180+'F04 M2 Level'!G138+'F05 Second Floor'!G182+'F06 Mezzanine Floor'!G129+'F07 Third Floor'!G241+'F08 Fourth Floor'!G292+'F09 Fifth Floor'!G292+'F10 Sixth Floor'!G292+'F11 Seventh Floor'!G292+'F12 Eighth Floor'!G292+'F13 Ninth Floor'!G302+'F14 Tenth Floor'!G264+'F15 Roof Top Terrace'!G227+'F16 Roof Level'!G95+'F17 Top of Lift Core'!G20</f>
        <v>16.22637037037037</v>
      </c>
      <c r="F60" s="14">
        <f>'F00 Substructure'!H165+'F01 Ground Floor'!H118+'F02 M1 Level'!H152+'F03 First Floor'!H180+'F04 M2 Level'!H138+'F05 Second Floor'!H182+'F06 Mezzanine Floor'!H129+'F07 Third Floor'!H241+'F08 Fourth Floor'!H292+'F09 Fifth Floor'!H292+'F10 Sixth Floor'!H292+'F11 Seventh Floor'!H292+'F12 Eighth Floor'!H292+'F13 Ninth Floor'!H302+'F14 Tenth Floor'!H264+'F15 Roof Top Terrace'!H227+'F16 Roof Level'!H95+'F17 Top of Lift Core'!H20</f>
        <v>0.0</v>
      </c>
      <c r="G60" s="14">
        <f>'F00 Substructure'!I165+'F01 Ground Floor'!I118+'F02 M1 Level'!I152+'F03 First Floor'!I180+'F04 M2 Level'!I138+'F05 Second Floor'!I182+'F06 Mezzanine Floor'!I129+'F07 Third Floor'!I241+'F08 Fourth Floor'!I292+'F09 Fifth Floor'!I292+'F10 Sixth Floor'!I292+'F11 Seventh Floor'!I292+'F12 Eighth Floor'!I292+'F13 Ninth Floor'!I302+'F14 Tenth Floor'!I264+'F15 Roof Top Terrace'!I227+'F16 Roof Level'!I95+'F17 Top of Lift Core'!I20</f>
        <v>0.0</v>
      </c>
      <c r="H60" s="15">
        <f>SUM(C60:G60)</f>
        <v>26.34228148148148</v>
      </c>
    </row>
    <row r="61">
      <c r="B61" s="13" t="inlineStr">
        <is>
          <t>Lift Core Roof Slab</t>
        </is>
      </c>
      <c r="C61" s="14">
        <f>'F00 Substructure'!E166+'F01 Ground Floor'!E119+'F02 M1 Level'!E153+'F03 First Floor'!E181+'F04 M2 Level'!E139+'F05 Second Floor'!E183+'F06 Mezzanine Floor'!E130+'F07 Third Floor'!E242+'F08 Fourth Floor'!E293+'F09 Fifth Floor'!E293+'F10 Sixth Floor'!E293+'F11 Seventh Floor'!E293+'F12 Eighth Floor'!E293+'F13 Ninth Floor'!E303+'F14 Tenth Floor'!E265+'F15 Roof Top Terrace'!E228+'F16 Roof Level'!E96+'F17 Top of Lift Core'!E21</f>
        <v>0.0</v>
      </c>
      <c r="D61" s="14">
        <f>'F00 Substructure'!F166+'F01 Ground Floor'!F119+'F02 M1 Level'!F153+'F03 First Floor'!F181+'F04 M2 Level'!F139+'F05 Second Floor'!F183+'F06 Mezzanine Floor'!F130+'F07 Third Floor'!F242+'F08 Fourth Floor'!F293+'F09 Fifth Floor'!F293+'F10 Sixth Floor'!F293+'F11 Seventh Floor'!F293+'F12 Eighth Floor'!F293+'F13 Ninth Floor'!F303+'F14 Tenth Floor'!F265+'F15 Roof Top Terrace'!F228+'F16 Roof Level'!F96+'F17 Top of Lift Core'!F21</f>
        <v>0.3659111111111111</v>
      </c>
      <c r="E61" s="14">
        <f>'F00 Substructure'!G166+'F01 Ground Floor'!G119+'F02 M1 Level'!G153+'F03 First Floor'!G181+'F04 M2 Level'!G139+'F05 Second Floor'!G183+'F06 Mezzanine Floor'!G130+'F07 Third Floor'!G242+'F08 Fourth Floor'!G293+'F09 Fifth Floor'!G293+'F10 Sixth Floor'!G293+'F11 Seventh Floor'!G293+'F12 Eighth Floor'!G293+'F13 Ninth Floor'!G303+'F14 Tenth Floor'!G265+'F15 Roof Top Terrace'!G228+'F16 Roof Level'!G96+'F17 Top of Lift Core'!G21</f>
        <v>0.0</v>
      </c>
      <c r="F61" s="14">
        <f>'F00 Substructure'!H166+'F01 Ground Floor'!H119+'F02 M1 Level'!H153+'F03 First Floor'!H181+'F04 M2 Level'!H139+'F05 Second Floor'!H183+'F06 Mezzanine Floor'!H130+'F07 Third Floor'!H242+'F08 Fourth Floor'!H293+'F09 Fifth Floor'!H293+'F10 Sixth Floor'!H293+'F11 Seventh Floor'!H293+'F12 Eighth Floor'!H293+'F13 Ninth Floor'!H303+'F14 Tenth Floor'!H265+'F15 Roof Top Terrace'!H228+'F16 Roof Level'!H96+'F17 Top of Lift Core'!H21</f>
        <v>0.0</v>
      </c>
      <c r="G61" s="14">
        <f>'F00 Substructure'!I166+'F01 Ground Floor'!I119+'F02 M1 Level'!I153+'F03 First Floor'!I181+'F04 M2 Level'!I139+'F05 Second Floor'!I183+'F06 Mezzanine Floor'!I130+'F07 Third Floor'!I242+'F08 Fourth Floor'!I293+'F09 Fifth Floor'!I293+'F10 Sixth Floor'!I293+'F11 Seventh Floor'!I293+'F12 Eighth Floor'!I293+'F13 Ninth Floor'!I303+'F14 Tenth Floor'!I265+'F15 Roof Top Terrace'!I228+'F16 Roof Level'!I96+'F17 Top of Lift Core'!I21</f>
        <v>0.0</v>
      </c>
      <c r="H61" s="15">
        <f>SUM(C61:G61)</f>
        <v>0.3659111111111111</v>
      </c>
    </row>
    <row r="62">
      <c r="B62" s="16" t="inlineStr">
        <is>
          <t>GRAND TOTAL - ALL FLOORS</t>
        </is>
      </c>
      <c r="C62" s="11">
        <f>SUM(C53:C61)</f>
        <v>98.38058271604937</v>
      </c>
      <c r="D62" s="11">
        <f>SUM(D53:D61)</f>
        <v>633.9613831111112</v>
      </c>
      <c r="E62" s="11">
        <f>SUM(E53:E61)</f>
        <v>42.43152592592592</v>
      </c>
      <c r="F62" s="11">
        <f>SUM(F53:F61)</f>
        <v>164.10867901234568</v>
      </c>
      <c r="G62" s="11">
        <f>SUM(G53:G61)</f>
        <v>367.3325192901235</v>
      </c>
      <c r="H62" s="11">
        <f>SUM(H53:H61)</f>
        <v>1306.2146900555554</v>
      </c>
    </row>
    <row r="63">
      <c r="B63" s="7" t="inlineStr">
        <is>
          <t>Cross-check vs floor totals (should be 0)</t>
        </is>
      </c>
      <c r="C63" s="7">
        <f>ROUND(H62-L23,6)</f>
        <v>-0.0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4" t="inlineStr">
        <is>
          <t>EACH ELEMENT BY FLOOR AND BAR SIZE (TONNES) - with totals for all floors</t>
        </is>
      </c>
    </row>
    <row r="2">
      <c r="A2" s="5" t="inlineStr">
        <is>
          <t>Values link to the element/bar-size summary at the foot of each floor sheet (green).</t>
        </is>
      </c>
    </row>
    <row r="4">
      <c r="A4" s="12" t="inlineStr">
        <is>
          <t>RAFT FOUNDATION</t>
        </is>
      </c>
    </row>
    <row r="5">
      <c r="A5" s="6" t="inlineStr">
        <is>
          <t>Ref</t>
        </is>
      </c>
      <c r="B5" s="6" t="inlineStr">
        <is>
          <t>Floor / level</t>
        </is>
      </c>
      <c r="C5" s="6" t="inlineStr">
        <is>
          <t>Y10</t>
        </is>
      </c>
      <c r="D5" s="6" t="inlineStr">
        <is>
          <t>Y12</t>
        </is>
      </c>
      <c r="E5" s="6" t="inlineStr">
        <is>
          <t>Y16</t>
        </is>
      </c>
      <c r="F5" s="6" t="inlineStr">
        <is>
          <t>Y20</t>
        </is>
      </c>
      <c r="G5" s="6" t="inlineStr">
        <is>
          <t>Y25</t>
        </is>
      </c>
      <c r="H5" s="6" t="inlineStr">
        <is>
          <t>TOTAL (t)</t>
        </is>
      </c>
    </row>
    <row r="6">
      <c r="A6" s="7" t="inlineStr">
        <is>
          <t>F00</t>
        </is>
      </c>
      <c r="B6" s="7" t="inlineStr">
        <is>
          <t>Raft foundation &amp; starters (Foundation to Ground)</t>
        </is>
      </c>
      <c r="C6" s="8">
        <f>'F00 Substructure'!E158</f>
        <v>0.0</v>
      </c>
      <c r="D6" s="8">
        <f>'F00 Substructure'!F158</f>
        <v>0.0</v>
      </c>
      <c r="E6" s="8">
        <f>'F00 Substructure'!G158</f>
        <v>0.0</v>
      </c>
      <c r="F6" s="8">
        <f>'F00 Substructure'!H158</f>
        <v>2.466296296296296</v>
      </c>
      <c r="G6" s="8">
        <f>'F00 Substructure'!I158</f>
        <v>184.67217978395064</v>
      </c>
      <c r="H6" s="17">
        <f>SUM(C6:G6)</f>
        <v>187.13847608024693</v>
      </c>
    </row>
    <row r="7">
      <c r="A7" s="7" t="inlineStr">
        <is>
          <t>F01</t>
        </is>
      </c>
      <c r="B7" s="7" t="inlineStr">
        <is>
          <t>Ground floor (+300) - elements rising to next level</t>
        </is>
      </c>
      <c r="C7" s="8">
        <f>'F01 Ground Floor'!E111</f>
        <v>0.0</v>
      </c>
      <c r="D7" s="8">
        <f>'F01 Ground Floor'!F111</f>
        <v>0.0</v>
      </c>
      <c r="E7" s="8">
        <f>'F01 Ground Floor'!G111</f>
        <v>0.0</v>
      </c>
      <c r="F7" s="8">
        <f>'F01 Ground Floor'!H111</f>
        <v>0.0</v>
      </c>
      <c r="G7" s="8">
        <f>'F01 Ground Floor'!I111</f>
        <v>0.0</v>
      </c>
      <c r="H7" s="17">
        <f>SUM(C7:G7)</f>
        <v>0.0</v>
      </c>
    </row>
    <row r="8">
      <c r="A8" s="7" t="inlineStr">
        <is>
          <t>F02</t>
        </is>
      </c>
      <c r="B8" s="7" t="inlineStr">
        <is>
          <t>M1 Level 1B Parking (+2500)</t>
        </is>
      </c>
      <c r="C8" s="8">
        <f>'F02 M1 Level'!E145</f>
        <v>0.0</v>
      </c>
      <c r="D8" s="8">
        <f>'F02 M1 Level'!F145</f>
        <v>0.0</v>
      </c>
      <c r="E8" s="8">
        <f>'F02 M1 Level'!G145</f>
        <v>0.0</v>
      </c>
      <c r="F8" s="8">
        <f>'F02 M1 Level'!H145</f>
        <v>0.0</v>
      </c>
      <c r="G8" s="8">
        <f>'F02 M1 Level'!I145</f>
        <v>0.0</v>
      </c>
      <c r="H8" s="17">
        <f>SUM(C8:G8)</f>
        <v>0.0</v>
      </c>
    </row>
    <row r="9">
      <c r="A9" s="7" t="inlineStr">
        <is>
          <t>F03</t>
        </is>
      </c>
      <c r="B9" s="7" t="inlineStr">
        <is>
          <t>First Floor Level 2A Parking (+4150)</t>
        </is>
      </c>
      <c r="C9" s="8">
        <f>'F03 First Floor'!E173</f>
        <v>0.0</v>
      </c>
      <c r="D9" s="8">
        <f>'F03 First Floor'!F173</f>
        <v>0.0</v>
      </c>
      <c r="E9" s="8">
        <f>'F03 First Floor'!G173</f>
        <v>0.0</v>
      </c>
      <c r="F9" s="8">
        <f>'F03 First Floor'!H173</f>
        <v>0.0</v>
      </c>
      <c r="G9" s="8">
        <f>'F03 First Floor'!I173</f>
        <v>0.0</v>
      </c>
      <c r="H9" s="17">
        <f>SUM(C9:G9)</f>
        <v>0.0</v>
      </c>
    </row>
    <row r="10">
      <c r="A10" s="7" t="inlineStr">
        <is>
          <t>F04</t>
        </is>
      </c>
      <c r="B10" s="7" t="inlineStr">
        <is>
          <t>M2 Level 2B Parking (+5200)</t>
        </is>
      </c>
      <c r="C10" s="8">
        <f>'F04 M2 Level'!E131</f>
        <v>0.0</v>
      </c>
      <c r="D10" s="8">
        <f>'F04 M2 Level'!F131</f>
        <v>0.0</v>
      </c>
      <c r="E10" s="8">
        <f>'F04 M2 Level'!G131</f>
        <v>0.0</v>
      </c>
      <c r="F10" s="8">
        <f>'F04 M2 Level'!H131</f>
        <v>0.0</v>
      </c>
      <c r="G10" s="8">
        <f>'F04 M2 Level'!I131</f>
        <v>0.0</v>
      </c>
      <c r="H10" s="17">
        <f>SUM(C10:G10)</f>
        <v>0.0</v>
      </c>
    </row>
    <row r="11">
      <c r="A11" s="7" t="inlineStr">
        <is>
          <t>F05</t>
        </is>
      </c>
      <c r="B11" s="7" t="inlineStr">
        <is>
          <t>Second Floor Level 3A Parking (+6850)</t>
        </is>
      </c>
      <c r="C11" s="8">
        <f>'F05 Second Floor'!E175</f>
        <v>0.0</v>
      </c>
      <c r="D11" s="8">
        <f>'F05 Second Floor'!F175</f>
        <v>0.0</v>
      </c>
      <c r="E11" s="8">
        <f>'F05 Second Floor'!G175</f>
        <v>0.0</v>
      </c>
      <c r="F11" s="8">
        <f>'F05 Second Floor'!H175</f>
        <v>0.0</v>
      </c>
      <c r="G11" s="8">
        <f>'F05 Second Floor'!I175</f>
        <v>0.0</v>
      </c>
      <c r="H11" s="17">
        <f>SUM(C11:G11)</f>
        <v>0.0</v>
      </c>
    </row>
    <row r="12">
      <c r="A12" s="7" t="inlineStr">
        <is>
          <t>F06</t>
        </is>
      </c>
      <c r="B12" s="7" t="inlineStr">
        <is>
          <t>Mezzanine Floor 3B Parking (+7900)</t>
        </is>
      </c>
      <c r="C12" s="8">
        <f>'F06 Mezzanine Floor'!E122</f>
        <v>0.0</v>
      </c>
      <c r="D12" s="8">
        <f>'F06 Mezzanine Floor'!F122</f>
        <v>0.0</v>
      </c>
      <c r="E12" s="8">
        <f>'F06 Mezzanine Floor'!G122</f>
        <v>0.0</v>
      </c>
      <c r="F12" s="8">
        <f>'F06 Mezzanine Floor'!H122</f>
        <v>0.0</v>
      </c>
      <c r="G12" s="8">
        <f>'F06 Mezzanine Floor'!I122</f>
        <v>0.0</v>
      </c>
      <c r="H12" s="17">
        <f>SUM(C12:G12)</f>
        <v>0.0</v>
      </c>
    </row>
    <row r="13">
      <c r="A13" s="7" t="inlineStr">
        <is>
          <t>F07</t>
        </is>
      </c>
      <c r="B13" s="7" t="inlineStr">
        <is>
          <t>Third Floor (+10900)</t>
        </is>
      </c>
      <c r="C13" s="8">
        <f>'F07 Third Floor'!E234</f>
        <v>0.0</v>
      </c>
      <c r="D13" s="8">
        <f>'F07 Third Floor'!F234</f>
        <v>0.0</v>
      </c>
      <c r="E13" s="8">
        <f>'F07 Third Floor'!G234</f>
        <v>0.0</v>
      </c>
      <c r="F13" s="8">
        <f>'F07 Third Floor'!H234</f>
        <v>0.0</v>
      </c>
      <c r="G13" s="8">
        <f>'F07 Third Floor'!I234</f>
        <v>0.0</v>
      </c>
      <c r="H13" s="17">
        <f>SUM(C13:G13)</f>
        <v>0.0</v>
      </c>
    </row>
    <row r="14">
      <c r="A14" s="7" t="inlineStr">
        <is>
          <t>F08</t>
        </is>
      </c>
      <c r="B14" s="7" t="inlineStr">
        <is>
          <t>Fourth Floor (+14200) - typical 4th-8th</t>
        </is>
      </c>
      <c r="C14" s="8">
        <f>'F08 Fourth Floor'!E285</f>
        <v>0.0</v>
      </c>
      <c r="D14" s="8">
        <f>'F08 Fourth Floor'!F285</f>
        <v>0.0</v>
      </c>
      <c r="E14" s="8">
        <f>'F08 Fourth Floor'!G285</f>
        <v>0.0</v>
      </c>
      <c r="F14" s="8">
        <f>'F08 Fourth Floor'!H285</f>
        <v>0.0</v>
      </c>
      <c r="G14" s="8">
        <f>'F08 Fourth Floor'!I285</f>
        <v>0.0</v>
      </c>
      <c r="H14" s="17">
        <f>SUM(C14:G14)</f>
        <v>0.0</v>
      </c>
    </row>
    <row r="15">
      <c r="A15" s="7" t="inlineStr">
        <is>
          <t>F09</t>
        </is>
      </c>
      <c r="B15" s="7" t="inlineStr">
        <is>
          <t>Fifth Floor (+17500) - typical 4th-8th</t>
        </is>
      </c>
      <c r="C15" s="8">
        <f>'F09 Fifth Floor'!E285</f>
        <v>0.0</v>
      </c>
      <c r="D15" s="8">
        <f>'F09 Fifth Floor'!F285</f>
        <v>0.0</v>
      </c>
      <c r="E15" s="8">
        <f>'F09 Fifth Floor'!G285</f>
        <v>0.0</v>
      </c>
      <c r="F15" s="8">
        <f>'F09 Fifth Floor'!H285</f>
        <v>0.0</v>
      </c>
      <c r="G15" s="8">
        <f>'F09 Fifth Floor'!I285</f>
        <v>0.0</v>
      </c>
      <c r="H15" s="17">
        <f>SUM(C15:G15)</f>
        <v>0.0</v>
      </c>
    </row>
    <row r="16">
      <c r="A16" s="7" t="inlineStr">
        <is>
          <t>F10</t>
        </is>
      </c>
      <c r="B16" s="7" t="inlineStr">
        <is>
          <t>Sixth Floor (+20800) - typical 4th-8th</t>
        </is>
      </c>
      <c r="C16" s="8">
        <f>'F10 Sixth Floor'!E285</f>
        <v>0.0</v>
      </c>
      <c r="D16" s="8">
        <f>'F10 Sixth Floor'!F285</f>
        <v>0.0</v>
      </c>
      <c r="E16" s="8">
        <f>'F10 Sixth Floor'!G285</f>
        <v>0.0</v>
      </c>
      <c r="F16" s="8">
        <f>'F10 Sixth Floor'!H285</f>
        <v>0.0</v>
      </c>
      <c r="G16" s="8">
        <f>'F10 Sixth Floor'!I285</f>
        <v>0.0</v>
      </c>
      <c r="H16" s="17">
        <f>SUM(C16:G16)</f>
        <v>0.0</v>
      </c>
    </row>
    <row r="17">
      <c r="A17" s="7" t="inlineStr">
        <is>
          <t>F11</t>
        </is>
      </c>
      <c r="B17" s="7" t="inlineStr">
        <is>
          <t>Seventh Floor (+24100) - typical 4th-8th</t>
        </is>
      </c>
      <c r="C17" s="8">
        <f>'F11 Seventh Floor'!E285</f>
        <v>0.0</v>
      </c>
      <c r="D17" s="8">
        <f>'F11 Seventh Floor'!F285</f>
        <v>0.0</v>
      </c>
      <c r="E17" s="8">
        <f>'F11 Seventh Floor'!G285</f>
        <v>0.0</v>
      </c>
      <c r="F17" s="8">
        <f>'F11 Seventh Floor'!H285</f>
        <v>0.0</v>
      </c>
      <c r="G17" s="8">
        <f>'F11 Seventh Floor'!I285</f>
        <v>0.0</v>
      </c>
      <c r="H17" s="17">
        <f>SUM(C17:G17)</f>
        <v>0.0</v>
      </c>
    </row>
    <row r="18">
      <c r="A18" s="7" t="inlineStr">
        <is>
          <t>F12</t>
        </is>
      </c>
      <c r="B18" s="7" t="inlineStr">
        <is>
          <t>Eighth Floor (+27400) - typical 4th-8th</t>
        </is>
      </c>
      <c r="C18" s="8">
        <f>'F12 Eighth Floor'!E285</f>
        <v>0.0</v>
      </c>
      <c r="D18" s="8">
        <f>'F12 Eighth Floor'!F285</f>
        <v>0.0</v>
      </c>
      <c r="E18" s="8">
        <f>'F12 Eighth Floor'!G285</f>
        <v>0.0</v>
      </c>
      <c r="F18" s="8">
        <f>'F12 Eighth Floor'!H285</f>
        <v>0.0</v>
      </c>
      <c r="G18" s="8">
        <f>'F12 Eighth Floor'!I285</f>
        <v>0.0</v>
      </c>
      <c r="H18" s="17">
        <f>SUM(C18:G18)</f>
        <v>0.0</v>
      </c>
    </row>
    <row r="19">
      <c r="A19" s="7" t="inlineStr">
        <is>
          <t>F13</t>
        </is>
      </c>
      <c r="B19" s="7" t="inlineStr">
        <is>
          <t>Ninth Floor (+30700)</t>
        </is>
      </c>
      <c r="C19" s="8">
        <f>'F13 Ninth Floor'!E295</f>
        <v>0.0</v>
      </c>
      <c r="D19" s="8">
        <f>'F13 Ninth Floor'!F295</f>
        <v>0.0</v>
      </c>
      <c r="E19" s="8">
        <f>'F13 Ninth Floor'!G295</f>
        <v>0.0</v>
      </c>
      <c r="F19" s="8">
        <f>'F13 Ninth Floor'!H295</f>
        <v>0.0</v>
      </c>
      <c r="G19" s="8">
        <f>'F13 Ninth Floor'!I295</f>
        <v>0.0</v>
      </c>
      <c r="H19" s="17">
        <f>SUM(C19:G19)</f>
        <v>0.0</v>
      </c>
    </row>
    <row r="20">
      <c r="A20" s="7" t="inlineStr">
        <is>
          <t>F14</t>
        </is>
      </c>
      <c r="B20" s="7" t="inlineStr">
        <is>
          <t>Tenth Floor (+34000)</t>
        </is>
      </c>
      <c r="C20" s="8">
        <f>'F14 Tenth Floor'!E257</f>
        <v>0.0</v>
      </c>
      <c r="D20" s="8">
        <f>'F14 Tenth Floor'!F257</f>
        <v>0.0</v>
      </c>
      <c r="E20" s="8">
        <f>'F14 Tenth Floor'!G257</f>
        <v>0.0</v>
      </c>
      <c r="F20" s="8">
        <f>'F14 Tenth Floor'!H257</f>
        <v>0.0</v>
      </c>
      <c r="G20" s="8">
        <f>'F14 Tenth Floor'!I257</f>
        <v>0.0</v>
      </c>
      <c r="H20" s="17">
        <f>SUM(C20:G20)</f>
        <v>0.0</v>
      </c>
    </row>
    <row r="21">
      <c r="A21" s="7" t="inlineStr">
        <is>
          <t>F15</t>
        </is>
      </c>
      <c r="B21" s="7" t="inlineStr">
        <is>
          <t>Roof Top Terrace (+37300)</t>
        </is>
      </c>
      <c r="C21" s="8">
        <f>'F15 Roof Top Terrace'!E220</f>
        <v>0.0</v>
      </c>
      <c r="D21" s="8">
        <f>'F15 Roof Top Terrace'!F220</f>
        <v>0.0</v>
      </c>
      <c r="E21" s="8">
        <f>'F15 Roof Top Terrace'!G220</f>
        <v>0.0</v>
      </c>
      <c r="F21" s="8">
        <f>'F15 Roof Top Terrace'!H220</f>
        <v>0.0</v>
      </c>
      <c r="G21" s="8">
        <f>'F15 Roof Top Terrace'!I220</f>
        <v>0.0</v>
      </c>
      <c r="H21" s="17">
        <f>SUM(C21:G21)</f>
        <v>0.0</v>
      </c>
    </row>
    <row r="22">
      <c r="A22" s="7" t="inlineStr">
        <is>
          <t>F16</t>
        </is>
      </c>
      <c r="B22" s="7" t="inlineStr">
        <is>
          <t>Roof Level (+40450)</t>
        </is>
      </c>
      <c r="C22" s="8">
        <f>'F16 Roof Level'!E88</f>
        <v>0.0</v>
      </c>
      <c r="D22" s="8">
        <f>'F16 Roof Level'!F88</f>
        <v>0.0</v>
      </c>
      <c r="E22" s="8">
        <f>'F16 Roof Level'!G88</f>
        <v>0.0</v>
      </c>
      <c r="F22" s="8">
        <f>'F16 Roof Level'!H88</f>
        <v>0.0</v>
      </c>
      <c r="G22" s="8">
        <f>'F16 Roof Level'!I88</f>
        <v>0.0</v>
      </c>
      <c r="H22" s="17">
        <f>SUM(C22:G22)</f>
        <v>0.0</v>
      </c>
    </row>
    <row r="23">
      <c r="A23" s="7" t="inlineStr">
        <is>
          <t>F17</t>
        </is>
      </c>
      <c r="B23" s="7" t="inlineStr">
        <is>
          <t>Top of Lift Core (+44650)</t>
        </is>
      </c>
      <c r="C23" s="8">
        <f>'F17 Top of Lift Core'!E13</f>
        <v>0.0</v>
      </c>
      <c r="D23" s="8">
        <f>'F17 Top of Lift Core'!F13</f>
        <v>0.0</v>
      </c>
      <c r="E23" s="8">
        <f>'F17 Top of Lift Core'!G13</f>
        <v>0.0</v>
      </c>
      <c r="F23" s="8">
        <f>'F17 Top of Lift Core'!H13</f>
        <v>0.0</v>
      </c>
      <c r="G23" s="8">
        <f>'F17 Top of Lift Core'!I13</f>
        <v>0.0</v>
      </c>
      <c r="H23" s="17">
        <f>SUM(C23:G23)</f>
        <v>0.0</v>
      </c>
    </row>
    <row r="24">
      <c r="B24" s="16" t="inlineStr">
        <is>
          <t>TOTAL RAFT FOUNDATION - ALL FLOORS</t>
        </is>
      </c>
      <c r="C24" s="11">
        <f>SUM(C6:C23)</f>
        <v>0.0</v>
      </c>
      <c r="D24" s="11">
        <f>SUM(D6:D23)</f>
        <v>0.0</v>
      </c>
      <c r="E24" s="11">
        <f>SUM(E6:E23)</f>
        <v>0.0</v>
      </c>
      <c r="F24" s="11">
        <f>SUM(F6:F23)</f>
        <v>2.466296296296296</v>
      </c>
      <c r="G24" s="11">
        <f>SUM(G6:G23)</f>
        <v>184.67217978395064</v>
      </c>
      <c r="H24" s="11">
        <f>SUM(H6:H23)</f>
        <v>187.13847608024693</v>
      </c>
    </row>
    <row r="27">
      <c r="A27" s="12" t="inlineStr">
        <is>
          <t>COLUMNS</t>
        </is>
      </c>
    </row>
    <row r="28">
      <c r="A28" s="6" t="inlineStr">
        <is>
          <t>Ref</t>
        </is>
      </c>
      <c r="B28" s="6" t="inlineStr">
        <is>
          <t>Floor / level</t>
        </is>
      </c>
      <c r="C28" s="6" t="inlineStr">
        <is>
          <t>Y10</t>
        </is>
      </c>
      <c r="D28" s="6" t="inlineStr">
        <is>
          <t>Y12</t>
        </is>
      </c>
      <c r="E28" s="6" t="inlineStr">
        <is>
          <t>Y16</t>
        </is>
      </c>
      <c r="F28" s="6" t="inlineStr">
        <is>
          <t>Y20</t>
        </is>
      </c>
      <c r="G28" s="6" t="inlineStr">
        <is>
          <t>Y25</t>
        </is>
      </c>
      <c r="H28" s="6" t="inlineStr">
        <is>
          <t>TOTAL (t)</t>
        </is>
      </c>
    </row>
    <row r="29">
      <c r="A29" s="7" t="inlineStr">
        <is>
          <t>F00</t>
        </is>
      </c>
      <c r="B29" s="7" t="inlineStr">
        <is>
          <t>Raft foundation &amp; starters (Foundation to Ground)</t>
        </is>
      </c>
      <c r="C29" s="8">
        <f>'F00 Substructure'!E159</f>
        <v>3.252198765432099</v>
      </c>
      <c r="D29" s="8">
        <f>'F00 Substructure'!F159</f>
        <v>0.0</v>
      </c>
      <c r="E29" s="8">
        <f>'F00 Substructure'!G159</f>
        <v>0.0</v>
      </c>
      <c r="F29" s="8">
        <f>'F00 Substructure'!H159</f>
        <v>0.3377777777777778</v>
      </c>
      <c r="G29" s="8">
        <f>'F00 Substructure'!I159</f>
        <v>6.531249999999999</v>
      </c>
      <c r="H29" s="17">
        <f>SUM(C29:G29)</f>
        <v>10.121226543209875</v>
      </c>
    </row>
    <row r="30">
      <c r="A30" s="7" t="inlineStr">
        <is>
          <t>F01</t>
        </is>
      </c>
      <c r="B30" s="7" t="inlineStr">
        <is>
          <t>Ground floor (+300) - elements rising to next level</t>
        </is>
      </c>
      <c r="C30" s="8">
        <f>'F01 Ground Floor'!E112</f>
        <v>4.372350617283951</v>
      </c>
      <c r="D30" s="8">
        <f>'F01 Ground Floor'!F112</f>
        <v>0.0</v>
      </c>
      <c r="E30" s="8">
        <f>'F01 Ground Floor'!G112</f>
        <v>0.0</v>
      </c>
      <c r="F30" s="8">
        <f>'F01 Ground Floor'!H112</f>
        <v>0.5985185185185184</v>
      </c>
      <c r="G30" s="8">
        <f>'F01 Ground Floor'!I112</f>
        <v>10.083333333333332</v>
      </c>
      <c r="H30" s="17">
        <f>SUM(C30:G30)</f>
        <v>15.054202469135802</v>
      </c>
    </row>
    <row r="31">
      <c r="A31" s="7" t="inlineStr">
        <is>
          <t>F02</t>
        </is>
      </c>
      <c r="B31" s="7" t="inlineStr">
        <is>
          <t>M1 Level 1B Parking (+2500)</t>
        </is>
      </c>
      <c r="C31" s="8">
        <f>'F02 M1 Level'!E146</f>
        <v>1.656320987654321</v>
      </c>
      <c r="D31" s="8">
        <f>'F02 M1 Level'!F146</f>
        <v>0.0</v>
      </c>
      <c r="E31" s="8">
        <f>'F02 M1 Level'!G146</f>
        <v>0.0</v>
      </c>
      <c r="F31" s="8">
        <f>'F02 M1 Level'!H146</f>
        <v>0.0</v>
      </c>
      <c r="G31" s="8">
        <f>'F02 M1 Level'!I146</f>
        <v>4.3032407407407405</v>
      </c>
      <c r="H31" s="17">
        <f>SUM(C31:G31)</f>
        <v>5.9595617283950615</v>
      </c>
    </row>
    <row r="32">
      <c r="A32" s="7" t="inlineStr">
        <is>
          <t>F03</t>
        </is>
      </c>
      <c r="B32" s="7" t="inlineStr">
        <is>
          <t>First Floor Level 2A Parking (+4150)</t>
        </is>
      </c>
      <c r="C32" s="8">
        <f>'F03 First Floor'!E174</f>
        <v>2.716540740740741</v>
      </c>
      <c r="D32" s="8">
        <f>'F03 First Floor'!F174</f>
        <v>0.0</v>
      </c>
      <c r="E32" s="8">
        <f>'F03 First Floor'!G174</f>
        <v>0.0</v>
      </c>
      <c r="F32" s="8">
        <f>'F03 First Floor'!H174</f>
        <v>0.46222222222222215</v>
      </c>
      <c r="G32" s="8">
        <f>'F03 First Floor'!I174</f>
        <v>4.634259259259259</v>
      </c>
      <c r="H32" s="17">
        <f>SUM(C32:G32)</f>
        <v>7.813022222222221</v>
      </c>
    </row>
    <row r="33">
      <c r="A33" s="7" t="inlineStr">
        <is>
          <t>F04</t>
        </is>
      </c>
      <c r="B33" s="7" t="inlineStr">
        <is>
          <t>M2 Level 2B Parking (+5200)</t>
        </is>
      </c>
      <c r="C33" s="8">
        <f>'F04 M2 Level'!E132</f>
        <v>1.656320987654321</v>
      </c>
      <c r="D33" s="8">
        <f>'F04 M2 Level'!F132</f>
        <v>0.0</v>
      </c>
      <c r="E33" s="8">
        <f>'F04 M2 Level'!G132</f>
        <v>0.0</v>
      </c>
      <c r="F33" s="8">
        <f>'F04 M2 Level'!H132</f>
        <v>0.15407407407407409</v>
      </c>
      <c r="G33" s="8">
        <f>'F04 M2 Level'!I132</f>
        <v>4.0625</v>
      </c>
      <c r="H33" s="17">
        <f>SUM(C33:G33)</f>
        <v>5.872895061728395</v>
      </c>
    </row>
    <row r="34">
      <c r="A34" s="7" t="inlineStr">
        <is>
          <t>F05</t>
        </is>
      </c>
      <c r="B34" s="7" t="inlineStr">
        <is>
          <t>Second Floor Level 3A Parking (+6850)</t>
        </is>
      </c>
      <c r="C34" s="8">
        <f>'F05 Second Floor'!E176</f>
        <v>3.238666666666667</v>
      </c>
      <c r="D34" s="8">
        <f>'F05 Second Floor'!F176</f>
        <v>0.0</v>
      </c>
      <c r="E34" s="8">
        <f>'F05 Second Floor'!G176</f>
        <v>0.0</v>
      </c>
      <c r="F34" s="8">
        <f>'F05 Second Floor'!H176</f>
        <v>0.6222222222222221</v>
      </c>
      <c r="G34" s="8">
        <f>'F05 Second Floor'!I176</f>
        <v>6.238425925925926</v>
      </c>
      <c r="H34" s="17">
        <f>SUM(C34:G34)</f>
        <v>10.099314814814814</v>
      </c>
    </row>
    <row r="35">
      <c r="A35" s="7" t="inlineStr">
        <is>
          <t>F06</t>
        </is>
      </c>
      <c r="B35" s="7" t="inlineStr">
        <is>
          <t>Mezzanine Floor 3B Parking (+7900)</t>
        </is>
      </c>
      <c r="C35" s="8">
        <f>'F06 Mezzanine Floor'!E123</f>
        <v>1.656320987654321</v>
      </c>
      <c r="D35" s="8">
        <f>'F06 Mezzanine Floor'!F123</f>
        <v>0.0</v>
      </c>
      <c r="E35" s="8">
        <f>'F06 Mezzanine Floor'!G123</f>
        <v>0.0</v>
      </c>
      <c r="F35" s="8">
        <f>'F06 Mezzanine Floor'!H123</f>
        <v>3.165925925925926</v>
      </c>
      <c r="G35" s="8">
        <f>'F06 Mezzanine Floor'!I123</f>
        <v>0.0</v>
      </c>
      <c r="H35" s="17">
        <f>SUM(C35:G35)</f>
        <v>4.822246913580247</v>
      </c>
    </row>
    <row r="36">
      <c r="A36" s="7" t="inlineStr">
        <is>
          <t>F07</t>
        </is>
      </c>
      <c r="B36" s="7" t="inlineStr">
        <is>
          <t>Third Floor (+10900)</t>
        </is>
      </c>
      <c r="C36" s="8">
        <f>'F07 Third Floor'!E235</f>
        <v>4.550629629629629</v>
      </c>
      <c r="D36" s="8">
        <f>'F07 Third Floor'!F235</f>
        <v>0.0</v>
      </c>
      <c r="E36" s="8">
        <f>'F07 Third Floor'!G235</f>
        <v>0.0</v>
      </c>
      <c r="F36" s="8">
        <f>'F07 Third Floor'!H235</f>
        <v>7.133333333333333</v>
      </c>
      <c r="G36" s="8">
        <f>'F07 Third Floor'!I235</f>
        <v>0.0</v>
      </c>
      <c r="H36" s="17">
        <f>SUM(C36:G36)</f>
        <v>11.683962962962962</v>
      </c>
    </row>
    <row r="37">
      <c r="A37" s="7" t="inlineStr">
        <is>
          <t>F08</t>
        </is>
      </c>
      <c r="B37" s="7" t="inlineStr">
        <is>
          <t>Fourth Floor (+14200) - typical 4th-8th</t>
        </is>
      </c>
      <c r="C37" s="8">
        <f>'F08 Fourth Floor'!E286</f>
        <v>4.550629629629629</v>
      </c>
      <c r="D37" s="8">
        <f>'F08 Fourth Floor'!F286</f>
        <v>0.0</v>
      </c>
      <c r="E37" s="8">
        <f>'F08 Fourth Floor'!G286</f>
        <v>0.0</v>
      </c>
      <c r="F37" s="8">
        <f>'F08 Fourth Floor'!H286</f>
        <v>7.133333333333333</v>
      </c>
      <c r="G37" s="8">
        <f>'F08 Fourth Floor'!I286</f>
        <v>0.0</v>
      </c>
      <c r="H37" s="17">
        <f>SUM(C37:G37)</f>
        <v>11.683962962962962</v>
      </c>
    </row>
    <row r="38">
      <c r="A38" s="7" t="inlineStr">
        <is>
          <t>F09</t>
        </is>
      </c>
      <c r="B38" s="7" t="inlineStr">
        <is>
          <t>Fifth Floor (+17500) - typical 4th-8th</t>
        </is>
      </c>
      <c r="C38" s="8">
        <f>'F09 Fifth Floor'!E286</f>
        <v>4.550629629629629</v>
      </c>
      <c r="D38" s="8">
        <f>'F09 Fifth Floor'!F286</f>
        <v>0.0</v>
      </c>
      <c r="E38" s="8">
        <f>'F09 Fifth Floor'!G286</f>
        <v>0.0</v>
      </c>
      <c r="F38" s="8">
        <f>'F09 Fifth Floor'!H286</f>
        <v>7.133333333333333</v>
      </c>
      <c r="G38" s="8">
        <f>'F09 Fifth Floor'!I286</f>
        <v>0.0</v>
      </c>
      <c r="H38" s="17">
        <f>SUM(C38:G38)</f>
        <v>11.683962962962962</v>
      </c>
    </row>
    <row r="39">
      <c r="A39" s="7" t="inlineStr">
        <is>
          <t>F10</t>
        </is>
      </c>
      <c r="B39" s="7" t="inlineStr">
        <is>
          <t>Sixth Floor (+20800) - typical 4th-8th</t>
        </is>
      </c>
      <c r="C39" s="8">
        <f>'F10 Sixth Floor'!E286</f>
        <v>4.550629629629629</v>
      </c>
      <c r="D39" s="8">
        <f>'F10 Sixth Floor'!F286</f>
        <v>0.0</v>
      </c>
      <c r="E39" s="8">
        <f>'F10 Sixth Floor'!G286</f>
        <v>0.0</v>
      </c>
      <c r="F39" s="8">
        <f>'F10 Sixth Floor'!H286</f>
        <v>7.133333333333333</v>
      </c>
      <c r="G39" s="8">
        <f>'F10 Sixth Floor'!I286</f>
        <v>0.0</v>
      </c>
      <c r="H39" s="17">
        <f>SUM(C39:G39)</f>
        <v>11.683962962962962</v>
      </c>
    </row>
    <row r="40">
      <c r="A40" s="7" t="inlineStr">
        <is>
          <t>F11</t>
        </is>
      </c>
      <c r="B40" s="7" t="inlineStr">
        <is>
          <t>Seventh Floor (+24100) - typical 4th-8th</t>
        </is>
      </c>
      <c r="C40" s="8">
        <f>'F11 Seventh Floor'!E286</f>
        <v>4.550629629629629</v>
      </c>
      <c r="D40" s="8">
        <f>'F11 Seventh Floor'!F286</f>
        <v>0.0</v>
      </c>
      <c r="E40" s="8">
        <f>'F11 Seventh Floor'!G286</f>
        <v>0.0</v>
      </c>
      <c r="F40" s="8">
        <f>'F11 Seventh Floor'!H286</f>
        <v>7.133333333333333</v>
      </c>
      <c r="G40" s="8">
        <f>'F11 Seventh Floor'!I286</f>
        <v>0.0</v>
      </c>
      <c r="H40" s="17">
        <f>SUM(C40:G40)</f>
        <v>11.683962962962962</v>
      </c>
    </row>
    <row r="41">
      <c r="A41" s="7" t="inlineStr">
        <is>
          <t>F12</t>
        </is>
      </c>
      <c r="B41" s="7" t="inlineStr">
        <is>
          <t>Eighth Floor (+27400) - typical 4th-8th</t>
        </is>
      </c>
      <c r="C41" s="8">
        <f>'F12 Eighth Floor'!E286</f>
        <v>4.509138271604938</v>
      </c>
      <c r="D41" s="8">
        <f>'F12 Eighth Floor'!F286</f>
        <v>0.0</v>
      </c>
      <c r="E41" s="8">
        <f>'F12 Eighth Floor'!G286</f>
        <v>0.0</v>
      </c>
      <c r="F41" s="8">
        <f>'F12 Eighth Floor'!H286</f>
        <v>6.298716049382716</v>
      </c>
      <c r="G41" s="8">
        <f>'F12 Eighth Floor'!I286</f>
        <v>0.624074074074074</v>
      </c>
      <c r="H41" s="17">
        <f>SUM(C41:G41)</f>
        <v>11.431928395061728</v>
      </c>
    </row>
    <row r="42">
      <c r="A42" s="7" t="inlineStr">
        <is>
          <t>F13</t>
        </is>
      </c>
      <c r="B42" s="7" t="inlineStr">
        <is>
          <t>Ninth Floor (+30700)</t>
        </is>
      </c>
      <c r="C42" s="8">
        <f>'F13 Ninth Floor'!E296</f>
        <v>3.234792592592593</v>
      </c>
      <c r="D42" s="8">
        <f>'F13 Ninth Floor'!F296</f>
        <v>0.0</v>
      </c>
      <c r="E42" s="8">
        <f>'F13 Ninth Floor'!G296</f>
        <v>0.0</v>
      </c>
      <c r="F42" s="8">
        <f>'F13 Ninth Floor'!H296</f>
        <v>5.111111111111111</v>
      </c>
      <c r="G42" s="8">
        <f>'F13 Ninth Floor'!I296</f>
        <v>0.0</v>
      </c>
      <c r="H42" s="17">
        <f>SUM(C42:G42)</f>
        <v>8.345903703703703</v>
      </c>
    </row>
    <row r="43">
      <c r="A43" s="7" t="inlineStr">
        <is>
          <t>F14</t>
        </is>
      </c>
      <c r="B43" s="7" t="inlineStr">
        <is>
          <t>Tenth Floor (+34000)</t>
        </is>
      </c>
      <c r="C43" s="8">
        <f>'F14 Tenth Floor'!E258</f>
        <v>2.4684481481481484</v>
      </c>
      <c r="D43" s="8">
        <f>'F14 Tenth Floor'!F258</f>
        <v>0.0</v>
      </c>
      <c r="E43" s="8">
        <f>'F14 Tenth Floor'!G258</f>
        <v>0.0</v>
      </c>
      <c r="F43" s="8">
        <f>'F14 Tenth Floor'!H258</f>
        <v>4.084197530864198</v>
      </c>
      <c r="G43" s="8">
        <f>'F14 Tenth Floor'!I258</f>
        <v>0.0</v>
      </c>
      <c r="H43" s="17">
        <f>SUM(C43:G43)</f>
        <v>6.552645679012346</v>
      </c>
    </row>
    <row r="44">
      <c r="A44" s="7" t="inlineStr">
        <is>
          <t>F15</t>
        </is>
      </c>
      <c r="B44" s="7" t="inlineStr">
        <is>
          <t>Roof Top Terrace (+37300)</t>
        </is>
      </c>
      <c r="C44" s="8">
        <f>'F15 Roof Top Terrace'!E221</f>
        <v>0.21016296296296294</v>
      </c>
      <c r="D44" s="8">
        <f>'F15 Roof Top Terrace'!F221</f>
        <v>0.0</v>
      </c>
      <c r="E44" s="8">
        <f>'F15 Roof Top Terrace'!G221</f>
        <v>0.0</v>
      </c>
      <c r="F44" s="8">
        <f>'F15 Roof Top Terrace'!H221</f>
        <v>0.425679012345679</v>
      </c>
      <c r="G44" s="8">
        <f>'F15 Roof Top Terrace'!I221</f>
        <v>0.0</v>
      </c>
      <c r="H44" s="17">
        <f>SUM(C44:G44)</f>
        <v>0.635841975308642</v>
      </c>
    </row>
    <row r="45">
      <c r="A45" s="7" t="inlineStr">
        <is>
          <t>F16</t>
        </is>
      </c>
      <c r="B45" s="7" t="inlineStr">
        <is>
          <t>Roof Level (+40450)</t>
        </is>
      </c>
      <c r="C45" s="8">
        <f>'F16 Roof Level'!E89</f>
        <v>0.0</v>
      </c>
      <c r="D45" s="8">
        <f>'F16 Roof Level'!F89</f>
        <v>0.0</v>
      </c>
      <c r="E45" s="8">
        <f>'F16 Roof Level'!G89</f>
        <v>0.0</v>
      </c>
      <c r="F45" s="8">
        <f>'F16 Roof Level'!H89</f>
        <v>0.0</v>
      </c>
      <c r="G45" s="8">
        <f>'F16 Roof Level'!I89</f>
        <v>0.0</v>
      </c>
      <c r="H45" s="17">
        <f>SUM(C45:G45)</f>
        <v>0.0</v>
      </c>
    </row>
    <row r="46">
      <c r="A46" s="7" t="inlineStr">
        <is>
          <t>F17</t>
        </is>
      </c>
      <c r="B46" s="7" t="inlineStr">
        <is>
          <t>Top of Lift Core (+44650)</t>
        </is>
      </c>
      <c r="C46" s="8">
        <f>'F17 Top of Lift Core'!E14</f>
        <v>0.0</v>
      </c>
      <c r="D46" s="8">
        <f>'F17 Top of Lift Core'!F14</f>
        <v>0.0</v>
      </c>
      <c r="E46" s="8">
        <f>'F17 Top of Lift Core'!G14</f>
        <v>0.0</v>
      </c>
      <c r="F46" s="8">
        <f>'F17 Top of Lift Core'!H14</f>
        <v>0.0</v>
      </c>
      <c r="G46" s="8">
        <f>'F17 Top of Lift Core'!I14</f>
        <v>0.0</v>
      </c>
      <c r="H46" s="17">
        <f>SUM(C46:G46)</f>
        <v>0.0</v>
      </c>
    </row>
    <row r="47">
      <c r="B47" s="16" t="inlineStr">
        <is>
          <t>TOTAL COLUMNS - ALL FLOORS</t>
        </is>
      </c>
      <c r="C47" s="11">
        <f>SUM(C29:C46)</f>
        <v>51.724409876543206</v>
      </c>
      <c r="D47" s="11">
        <f>SUM(D29:D46)</f>
        <v>0.0</v>
      </c>
      <c r="E47" s="11">
        <f>SUM(E29:E46)</f>
        <v>0.0</v>
      </c>
      <c r="F47" s="11">
        <f>SUM(F29:F46)</f>
        <v>56.92711111111112</v>
      </c>
      <c r="G47" s="11">
        <f>SUM(G29:G46)</f>
        <v>36.47708333333333</v>
      </c>
      <c r="H47" s="11">
        <f>SUM(H29:H46)</f>
        <v>145.12860432098765</v>
      </c>
    </row>
    <row r="50">
      <c r="A50" s="12" t="inlineStr">
        <is>
          <t>SHEAR WALLS</t>
        </is>
      </c>
    </row>
    <row r="51">
      <c r="A51" s="6" t="inlineStr">
        <is>
          <t>Ref</t>
        </is>
      </c>
      <c r="B51" s="6" t="inlineStr">
        <is>
          <t>Floor / level</t>
        </is>
      </c>
      <c r="C51" s="6" t="inlineStr">
        <is>
          <t>Y10</t>
        </is>
      </c>
      <c r="D51" s="6" t="inlineStr">
        <is>
          <t>Y12</t>
        </is>
      </c>
      <c r="E51" s="6" t="inlineStr">
        <is>
          <t>Y16</t>
        </is>
      </c>
      <c r="F51" s="6" t="inlineStr">
        <is>
          <t>Y20</t>
        </is>
      </c>
      <c r="G51" s="6" t="inlineStr">
        <is>
          <t>Y25</t>
        </is>
      </c>
      <c r="H51" s="6" t="inlineStr">
        <is>
          <t>TOTAL (t)</t>
        </is>
      </c>
    </row>
    <row r="52">
      <c r="A52" s="7" t="inlineStr">
        <is>
          <t>F00</t>
        </is>
      </c>
      <c r="B52" s="7" t="inlineStr">
        <is>
          <t>Raft foundation &amp; starters (Foundation to Ground)</t>
        </is>
      </c>
      <c r="C52" s="8">
        <f>'F00 Substructure'!E160</f>
        <v>0.5166666666666667</v>
      </c>
      <c r="D52" s="8">
        <f>'F00 Substructure'!F160</f>
        <v>0.86272</v>
      </c>
      <c r="E52" s="8">
        <f>'F00 Substructure'!G160</f>
        <v>0.0</v>
      </c>
      <c r="F52" s="8">
        <f>'F00 Substructure'!H160</f>
        <v>0.0</v>
      </c>
      <c r="G52" s="8">
        <f>'F00 Substructure'!I160</f>
        <v>9.840277777777779</v>
      </c>
      <c r="H52" s="17">
        <f>SUM(C52:G52)</f>
        <v>11.219664444444446</v>
      </c>
    </row>
    <row r="53">
      <c r="A53" s="7" t="inlineStr">
        <is>
          <t>F01</t>
        </is>
      </c>
      <c r="B53" s="7" t="inlineStr">
        <is>
          <t>Ground floor (+300) - elements rising to next level</t>
        </is>
      </c>
      <c r="C53" s="8">
        <f>'F01 Ground Floor'!E113</f>
        <v>1.3744444444444444</v>
      </c>
      <c r="D53" s="8">
        <f>'F01 Ground Floor'!F113</f>
        <v>2.2677866666666664</v>
      </c>
      <c r="E53" s="8">
        <f>'F01 Ground Floor'!G113</f>
        <v>0.0</v>
      </c>
      <c r="F53" s="8">
        <f>'F01 Ground Floor'!H113</f>
        <v>0.0</v>
      </c>
      <c r="G53" s="8">
        <f>'F01 Ground Floor'!I113</f>
        <v>10.865354938271604</v>
      </c>
      <c r="H53" s="17">
        <f>SUM(C53:G53)</f>
        <v>14.507586049382715</v>
      </c>
    </row>
    <row r="54">
      <c r="A54" s="7" t="inlineStr">
        <is>
          <t>F02</t>
        </is>
      </c>
      <c r="B54" s="7" t="inlineStr">
        <is>
          <t>M1 Level 1B Parking (+2500)</t>
        </is>
      </c>
      <c r="C54" s="8">
        <f>'F02 M1 Level'!E147</f>
        <v>0.66</v>
      </c>
      <c r="D54" s="8">
        <f>'F02 M1 Level'!F147</f>
        <v>0.8348444444444444</v>
      </c>
      <c r="E54" s="8">
        <f>'F02 M1 Level'!G147</f>
        <v>0.0</v>
      </c>
      <c r="F54" s="8">
        <f>'F02 M1 Level'!H147</f>
        <v>0.0</v>
      </c>
      <c r="G54" s="8">
        <f>'F02 M1 Level'!I147</f>
        <v>5.195987654320988</v>
      </c>
      <c r="H54" s="17">
        <f>SUM(C54:G54)</f>
        <v>6.690832098765433</v>
      </c>
    </row>
    <row r="55">
      <c r="A55" s="7" t="inlineStr">
        <is>
          <t>F03</t>
        </is>
      </c>
      <c r="B55" s="7" t="inlineStr">
        <is>
          <t>First Floor Level 2A Parking (+4150)</t>
        </is>
      </c>
      <c r="C55" s="8">
        <f>'F03 First Floor'!E175</f>
        <v>0.52</v>
      </c>
      <c r="D55" s="8">
        <f>'F03 First Floor'!F175</f>
        <v>0.6988800000000001</v>
      </c>
      <c r="E55" s="8">
        <f>'F03 First Floor'!G175</f>
        <v>0.0</v>
      </c>
      <c r="F55" s="8">
        <f>'F03 First Floor'!H175</f>
        <v>0.0</v>
      </c>
      <c r="G55" s="8">
        <f>'F03 First Floor'!I175</f>
        <v>4.539351851851852</v>
      </c>
      <c r="H55" s="17">
        <f>SUM(C55:G55)</f>
        <v>5.758231851851852</v>
      </c>
    </row>
    <row r="56">
      <c r="A56" s="7" t="inlineStr">
        <is>
          <t>F04</t>
        </is>
      </c>
      <c r="B56" s="7" t="inlineStr">
        <is>
          <t>M2 Level 2B Parking (+5200)</t>
        </is>
      </c>
      <c r="C56" s="8">
        <f>'F04 M2 Level'!E133</f>
        <v>0.66</v>
      </c>
      <c r="D56" s="8">
        <f>'F04 M2 Level'!F133</f>
        <v>0.8348444444444444</v>
      </c>
      <c r="E56" s="8">
        <f>'F04 M2 Level'!G133</f>
        <v>0.0</v>
      </c>
      <c r="F56" s="8">
        <f>'F04 M2 Level'!H133</f>
        <v>0.0</v>
      </c>
      <c r="G56" s="8">
        <f>'F04 M2 Level'!I133</f>
        <v>5.195987654320988</v>
      </c>
      <c r="H56" s="17">
        <f>SUM(C56:G56)</f>
        <v>6.690832098765433</v>
      </c>
    </row>
    <row r="57">
      <c r="A57" s="7" t="inlineStr">
        <is>
          <t>F05</t>
        </is>
      </c>
      <c r="B57" s="7" t="inlineStr">
        <is>
          <t>Second Floor Level 3A Parking (+6850)</t>
        </is>
      </c>
      <c r="C57" s="8">
        <f>'F05 Second Floor'!E177</f>
        <v>0.78</v>
      </c>
      <c r="D57" s="8">
        <f>'F05 Second Floor'!F177</f>
        <v>1.0919999999999999</v>
      </c>
      <c r="E57" s="8">
        <f>'F05 Second Floor'!G177</f>
        <v>0.0</v>
      </c>
      <c r="F57" s="8">
        <f>'F05 Second Floor'!H177</f>
        <v>0.0</v>
      </c>
      <c r="G57" s="8">
        <f>'F05 Second Floor'!I177</f>
        <v>6.195601851851852</v>
      </c>
      <c r="H57" s="17">
        <f>SUM(C57:G57)</f>
        <v>8.067601851851851</v>
      </c>
    </row>
    <row r="58">
      <c r="A58" s="7" t="inlineStr">
        <is>
          <t>F06</t>
        </is>
      </c>
      <c r="B58" s="7" t="inlineStr">
        <is>
          <t>Mezzanine Floor 3B Parking (+7900)</t>
        </is>
      </c>
      <c r="C58" s="8">
        <f>'F06 Mezzanine Floor'!E124</f>
        <v>0.7333333333333333</v>
      </c>
      <c r="D58" s="8">
        <f>'F06 Mezzanine Floor'!F124</f>
        <v>0.9392</v>
      </c>
      <c r="E58" s="8">
        <f>'F06 Mezzanine Floor'!G124</f>
        <v>0.0</v>
      </c>
      <c r="F58" s="8">
        <f>'F06 Mezzanine Floor'!H124</f>
        <v>0.0</v>
      </c>
      <c r="G58" s="8">
        <f>'F06 Mezzanine Floor'!I124</f>
        <v>5.617283950617282</v>
      </c>
      <c r="H58" s="17">
        <f>SUM(C58:G58)</f>
        <v>7.289817283950615</v>
      </c>
    </row>
    <row r="59">
      <c r="A59" s="7" t="inlineStr">
        <is>
          <t>F07</t>
        </is>
      </c>
      <c r="B59" s="7" t="inlineStr">
        <is>
          <t>Third Floor (+10900)</t>
        </is>
      </c>
      <c r="C59" s="8">
        <f>'F07 Third Floor'!E236</f>
        <v>1.4422222222222223</v>
      </c>
      <c r="D59" s="8">
        <f>'F07 Third Floor'!F236</f>
        <v>1.9171555555555557</v>
      </c>
      <c r="E59" s="8">
        <f>'F07 Third Floor'!G236</f>
        <v>0.0</v>
      </c>
      <c r="F59" s="8">
        <f>'F07 Third Floor'!H236</f>
        <v>0.0</v>
      </c>
      <c r="G59" s="8">
        <f>'F07 Third Floor'!I236</f>
        <v>11.31404320987654</v>
      </c>
      <c r="H59" s="17">
        <f>SUM(C59:G59)</f>
        <v>14.67342098765432</v>
      </c>
    </row>
    <row r="60">
      <c r="A60" s="7" t="inlineStr">
        <is>
          <t>F08</t>
        </is>
      </c>
      <c r="B60" s="7" t="inlineStr">
        <is>
          <t>Fourth Floor (+14200) - typical 4th-8th</t>
        </is>
      </c>
      <c r="C60" s="8">
        <f>'F08 Fourth Floor'!E287</f>
        <v>1.4422222222222223</v>
      </c>
      <c r="D60" s="8">
        <f>'F08 Fourth Floor'!F287</f>
        <v>1.9171555555555557</v>
      </c>
      <c r="E60" s="8">
        <f>'F08 Fourth Floor'!G287</f>
        <v>0.0</v>
      </c>
      <c r="F60" s="8">
        <f>'F08 Fourth Floor'!H287</f>
        <v>6.904197530864199</v>
      </c>
      <c r="G60" s="8">
        <f>'F08 Fourth Floor'!I287</f>
        <v>0.0</v>
      </c>
      <c r="H60" s="17">
        <f>SUM(C60:G60)</f>
        <v>10.263575308641977</v>
      </c>
    </row>
    <row r="61">
      <c r="A61" s="7" t="inlineStr">
        <is>
          <t>F09</t>
        </is>
      </c>
      <c r="B61" s="7" t="inlineStr">
        <is>
          <t>Fifth Floor (+17500) - typical 4th-8th</t>
        </is>
      </c>
      <c r="C61" s="8">
        <f>'F09 Fifth Floor'!E287</f>
        <v>1.4422222222222223</v>
      </c>
      <c r="D61" s="8">
        <f>'F09 Fifth Floor'!F287</f>
        <v>1.9171555555555557</v>
      </c>
      <c r="E61" s="8">
        <f>'F09 Fifth Floor'!G287</f>
        <v>0.0</v>
      </c>
      <c r="F61" s="8">
        <f>'F09 Fifth Floor'!H287</f>
        <v>6.904197530864199</v>
      </c>
      <c r="G61" s="8">
        <f>'F09 Fifth Floor'!I287</f>
        <v>0.0</v>
      </c>
      <c r="H61" s="17">
        <f>SUM(C61:G61)</f>
        <v>10.263575308641977</v>
      </c>
    </row>
    <row r="62">
      <c r="A62" s="7" t="inlineStr">
        <is>
          <t>F10</t>
        </is>
      </c>
      <c r="B62" s="7" t="inlineStr">
        <is>
          <t>Sixth Floor (+20800) - typical 4th-8th</t>
        </is>
      </c>
      <c r="C62" s="8">
        <f>'F10 Sixth Floor'!E287</f>
        <v>1.4422222222222223</v>
      </c>
      <c r="D62" s="8">
        <f>'F10 Sixth Floor'!F287</f>
        <v>1.9171555555555557</v>
      </c>
      <c r="E62" s="8">
        <f>'F10 Sixth Floor'!G287</f>
        <v>0.0</v>
      </c>
      <c r="F62" s="8">
        <f>'F10 Sixth Floor'!H287</f>
        <v>6.904197530864199</v>
      </c>
      <c r="G62" s="8">
        <f>'F10 Sixth Floor'!I287</f>
        <v>0.0</v>
      </c>
      <c r="H62" s="17">
        <f>SUM(C62:G62)</f>
        <v>10.263575308641977</v>
      </c>
    </row>
    <row r="63">
      <c r="A63" s="7" t="inlineStr">
        <is>
          <t>F11</t>
        </is>
      </c>
      <c r="B63" s="7" t="inlineStr">
        <is>
          <t>Seventh Floor (+24100) - typical 4th-8th</t>
        </is>
      </c>
      <c r="C63" s="8">
        <f>'F11 Seventh Floor'!E287</f>
        <v>1.4422222222222223</v>
      </c>
      <c r="D63" s="8">
        <f>'F11 Seventh Floor'!F287</f>
        <v>1.9171555555555557</v>
      </c>
      <c r="E63" s="8">
        <f>'F11 Seventh Floor'!G287</f>
        <v>0.0</v>
      </c>
      <c r="F63" s="8">
        <f>'F11 Seventh Floor'!H287</f>
        <v>6.904197530864199</v>
      </c>
      <c r="G63" s="8">
        <f>'F11 Seventh Floor'!I287</f>
        <v>0.0</v>
      </c>
      <c r="H63" s="17">
        <f>SUM(C63:G63)</f>
        <v>10.263575308641977</v>
      </c>
    </row>
    <row r="64">
      <c r="A64" s="7" t="inlineStr">
        <is>
          <t>F12</t>
        </is>
      </c>
      <c r="B64" s="7" t="inlineStr">
        <is>
          <t>Eighth Floor (+27400) - typical 4th-8th</t>
        </is>
      </c>
      <c r="C64" s="8">
        <f>'F12 Eighth Floor'!E287</f>
        <v>1.4422222222222223</v>
      </c>
      <c r="D64" s="8">
        <f>'F12 Eighth Floor'!F287</f>
        <v>1.9171555555555557</v>
      </c>
      <c r="E64" s="8">
        <f>'F12 Eighth Floor'!G287</f>
        <v>0.0</v>
      </c>
      <c r="F64" s="8">
        <f>'F12 Eighth Floor'!H287</f>
        <v>6.904197530864199</v>
      </c>
      <c r="G64" s="8">
        <f>'F12 Eighth Floor'!I287</f>
        <v>0.0</v>
      </c>
      <c r="H64" s="17">
        <f>SUM(C64:G64)</f>
        <v>10.263575308641977</v>
      </c>
    </row>
    <row r="65">
      <c r="A65" s="7" t="inlineStr">
        <is>
          <t>F13</t>
        </is>
      </c>
      <c r="B65" s="7" t="inlineStr">
        <is>
          <t>Ninth Floor (+30700)</t>
        </is>
      </c>
      <c r="C65" s="8">
        <f>'F13 Ninth Floor'!E297</f>
        <v>1.4422222222222223</v>
      </c>
      <c r="D65" s="8">
        <f>'F13 Ninth Floor'!F297</f>
        <v>2.1088711111111107</v>
      </c>
      <c r="E65" s="8">
        <f>'F13 Ninth Floor'!G297</f>
        <v>0.0</v>
      </c>
      <c r="F65" s="8">
        <f>'F13 Ninth Floor'!H297</f>
        <v>6.904197530864199</v>
      </c>
      <c r="G65" s="8">
        <f>'F13 Ninth Floor'!I297</f>
        <v>0.0</v>
      </c>
      <c r="H65" s="17">
        <f>SUM(C65:G65)</f>
        <v>10.455290864197533</v>
      </c>
    </row>
    <row r="66">
      <c r="A66" s="7" t="inlineStr">
        <is>
          <t>F14</t>
        </is>
      </c>
      <c r="B66" s="7" t="inlineStr">
        <is>
          <t>Tenth Floor (+34000)</t>
        </is>
      </c>
      <c r="C66" s="8">
        <f>'F14 Tenth Floor'!E259</f>
        <v>1.4422222222222223</v>
      </c>
      <c r="D66" s="8">
        <f>'F14 Tenth Floor'!F259</f>
        <v>1.9171555555555557</v>
      </c>
      <c r="E66" s="8">
        <f>'F14 Tenth Floor'!G259</f>
        <v>0.0</v>
      </c>
      <c r="F66" s="8">
        <f>'F14 Tenth Floor'!H259</f>
        <v>6.904197530864199</v>
      </c>
      <c r="G66" s="8">
        <f>'F14 Tenth Floor'!I259</f>
        <v>0.0</v>
      </c>
      <c r="H66" s="17">
        <f>SUM(C66:G66)</f>
        <v>10.263575308641977</v>
      </c>
    </row>
    <row r="67">
      <c r="A67" s="7" t="inlineStr">
        <is>
          <t>F15</t>
        </is>
      </c>
      <c r="B67" s="7" t="inlineStr">
        <is>
          <t>Roof Top Terrace (+37300)</t>
        </is>
      </c>
      <c r="C67" s="8">
        <f>'F15 Roof Top Terrace'!E222</f>
        <v>1.3766666666666665</v>
      </c>
      <c r="D67" s="8">
        <f>'F15 Roof Top Terrace'!F222</f>
        <v>1.8212977777777777</v>
      </c>
      <c r="E67" s="8">
        <f>'F15 Roof Top Terrace'!G222</f>
        <v>0.0</v>
      </c>
      <c r="F67" s="8">
        <f>'F15 Roof Top Terrace'!H222</f>
        <v>6.651604938271604</v>
      </c>
      <c r="G67" s="8">
        <f>'F15 Roof Top Terrace'!I222</f>
        <v>0.0</v>
      </c>
      <c r="H67" s="17">
        <f>SUM(C67:G67)</f>
        <v>9.849569382716048</v>
      </c>
    </row>
    <row r="68">
      <c r="A68" s="7" t="inlineStr">
        <is>
          <t>F16</t>
        </is>
      </c>
      <c r="B68" s="7" t="inlineStr">
        <is>
          <t>Roof Level (+40450)</t>
        </is>
      </c>
      <c r="C68" s="8">
        <f>'F16 Roof Level'!E90</f>
        <v>0.0</v>
      </c>
      <c r="D68" s="8">
        <f>'F16 Roof Level'!F90</f>
        <v>0.0</v>
      </c>
      <c r="E68" s="8">
        <f>'F16 Roof Level'!G90</f>
        <v>0.0</v>
      </c>
      <c r="F68" s="8">
        <f>'F16 Roof Level'!H90</f>
        <v>0.0</v>
      </c>
      <c r="G68" s="8">
        <f>'F16 Roof Level'!I90</f>
        <v>0.0</v>
      </c>
      <c r="H68" s="17">
        <f>SUM(C68:G68)</f>
        <v>0.0</v>
      </c>
    </row>
    <row r="69">
      <c r="A69" s="7" t="inlineStr">
        <is>
          <t>F17</t>
        </is>
      </c>
      <c r="B69" s="7" t="inlineStr">
        <is>
          <t>Top of Lift Core (+44650)</t>
        </is>
      </c>
      <c r="C69" s="8">
        <f>'F17 Top of Lift Core'!E15</f>
        <v>0.0</v>
      </c>
      <c r="D69" s="8">
        <f>'F17 Top of Lift Core'!F15</f>
        <v>0.0</v>
      </c>
      <c r="E69" s="8">
        <f>'F17 Top of Lift Core'!G15</f>
        <v>0.0</v>
      </c>
      <c r="F69" s="8">
        <f>'F17 Top of Lift Core'!H15</f>
        <v>0.0</v>
      </c>
      <c r="G69" s="8">
        <f>'F17 Top of Lift Core'!I15</f>
        <v>0.0</v>
      </c>
      <c r="H69" s="17">
        <f>SUM(C69:G69)</f>
        <v>0.0</v>
      </c>
    </row>
    <row r="70">
      <c r="B70" s="16" t="inlineStr">
        <is>
          <t>TOTAL SHEAR WALLS - ALL FLOORS</t>
        </is>
      </c>
      <c r="C70" s="11">
        <f>SUM(C52:C69)</f>
        <v>18.15888888888889</v>
      </c>
      <c r="D70" s="11">
        <f>SUM(D52:D69)</f>
        <v>24.880533333333332</v>
      </c>
      <c r="E70" s="11">
        <f>SUM(E52:E69)</f>
        <v>0.0</v>
      </c>
      <c r="F70" s="11">
        <f>SUM(F52:F69)</f>
        <v>54.980987654321</v>
      </c>
      <c r="G70" s="11">
        <f>SUM(G52:G69)</f>
        <v>58.763888888888886</v>
      </c>
      <c r="H70" s="11">
        <f>SUM(H52:H69)</f>
        <v>156.78429876543208</v>
      </c>
    </row>
    <row r="73">
      <c r="A73" s="12" t="inlineStr">
        <is>
          <t>LIFT WALLS</t>
        </is>
      </c>
    </row>
    <row r="74">
      <c r="A74" s="6" t="inlineStr">
        <is>
          <t>Ref</t>
        </is>
      </c>
      <c r="B74" s="6" t="inlineStr">
        <is>
          <t>Floor / level</t>
        </is>
      </c>
      <c r="C74" s="6" t="inlineStr">
        <is>
          <t>Y10</t>
        </is>
      </c>
      <c r="D74" s="6" t="inlineStr">
        <is>
          <t>Y12</t>
        </is>
      </c>
      <c r="E74" s="6" t="inlineStr">
        <is>
          <t>Y16</t>
        </is>
      </c>
      <c r="F74" s="6" t="inlineStr">
        <is>
          <t>Y20</t>
        </is>
      </c>
      <c r="G74" s="6" t="inlineStr">
        <is>
          <t>Y25</t>
        </is>
      </c>
      <c r="H74" s="6" t="inlineStr">
        <is>
          <t>TOTAL (t)</t>
        </is>
      </c>
    </row>
    <row r="75">
      <c r="A75" s="7" t="inlineStr">
        <is>
          <t>F00</t>
        </is>
      </c>
      <c r="B75" s="7" t="inlineStr">
        <is>
          <t>Raft foundation &amp; starters (Foundation to Ground)</t>
        </is>
      </c>
      <c r="C75" s="8">
        <f>'F00 Substructure'!E161</f>
        <v>0.26</v>
      </c>
      <c r="D75" s="8">
        <f>'F00 Substructure'!F161</f>
        <v>0.3895199999999999</v>
      </c>
      <c r="E75" s="8">
        <f>'F00 Substructure'!G161</f>
        <v>0.0</v>
      </c>
      <c r="F75" s="8">
        <f>'F00 Substructure'!H161</f>
        <v>0.0</v>
      </c>
      <c r="G75" s="8">
        <f>'F00 Substructure'!I161</f>
        <v>4.935185185185185</v>
      </c>
      <c r="H75" s="17">
        <f>SUM(C75:G75)</f>
        <v>5.584705185185185</v>
      </c>
    </row>
    <row r="76">
      <c r="A76" s="7" t="inlineStr">
        <is>
          <t>F01</t>
        </is>
      </c>
      <c r="B76" s="7" t="inlineStr">
        <is>
          <t>Ground floor (+300) - elements rising to next level</t>
        </is>
      </c>
      <c r="C76" s="8">
        <f>'F01 Ground Floor'!E114</f>
        <v>0.7511111111111111</v>
      </c>
      <c r="D76" s="8">
        <f>'F01 Ground Floor'!F114</f>
        <v>1.4715199999999997</v>
      </c>
      <c r="E76" s="8">
        <f>'F01 Ground Floor'!G114</f>
        <v>0.0</v>
      </c>
      <c r="F76" s="8">
        <f>'F01 Ground Floor'!H114</f>
        <v>0.0</v>
      </c>
      <c r="G76" s="8">
        <f>'F01 Ground Floor'!I114</f>
        <v>6.137345679012345</v>
      </c>
      <c r="H76" s="17">
        <f>SUM(C76:G76)</f>
        <v>8.359976790123456</v>
      </c>
    </row>
    <row r="77">
      <c r="A77" s="7" t="inlineStr">
        <is>
          <t>F02</t>
        </is>
      </c>
      <c r="B77" s="7" t="inlineStr">
        <is>
          <t>M1 Level 1B Parking (+2500)</t>
        </is>
      </c>
      <c r="C77" s="8">
        <f>'F02 M1 Level'!E148</f>
        <v>0.0</v>
      </c>
      <c r="D77" s="8">
        <f>'F02 M1 Level'!F148</f>
        <v>0.0</v>
      </c>
      <c r="E77" s="8">
        <f>'F02 M1 Level'!G148</f>
        <v>0.0</v>
      </c>
      <c r="F77" s="8">
        <f>'F02 M1 Level'!H148</f>
        <v>0.0</v>
      </c>
      <c r="G77" s="8">
        <f>'F02 M1 Level'!I148</f>
        <v>0.0</v>
      </c>
      <c r="H77" s="17">
        <f>SUM(C77:G77)</f>
        <v>0.0</v>
      </c>
    </row>
    <row r="78">
      <c r="A78" s="7" t="inlineStr">
        <is>
          <t>F03</t>
        </is>
      </c>
      <c r="B78" s="7" t="inlineStr">
        <is>
          <t>First Floor Level 2A Parking (+4150)</t>
        </is>
      </c>
      <c r="C78" s="8">
        <f>'F03 First Floor'!E176</f>
        <v>0.52</v>
      </c>
      <c r="D78" s="8">
        <f>'F03 First Floor'!F176</f>
        <v>0.69248</v>
      </c>
      <c r="E78" s="8">
        <f>'F03 First Floor'!G176</f>
        <v>0.0</v>
      </c>
      <c r="F78" s="8">
        <f>'F03 First Floor'!H176</f>
        <v>0.0</v>
      </c>
      <c r="G78" s="8">
        <f>'F03 First Floor'!I176</f>
        <v>4.682098765432099</v>
      </c>
      <c r="H78" s="17">
        <f>SUM(C78:G78)</f>
        <v>5.894578765432099</v>
      </c>
    </row>
    <row r="79">
      <c r="A79" s="7" t="inlineStr">
        <is>
          <t>F04</t>
        </is>
      </c>
      <c r="B79" s="7" t="inlineStr">
        <is>
          <t>M2 Level 2B Parking (+5200)</t>
        </is>
      </c>
      <c r="C79" s="8">
        <f>'F04 M2 Level'!E134</f>
        <v>0.0</v>
      </c>
      <c r="D79" s="8">
        <f>'F04 M2 Level'!F134</f>
        <v>0.0</v>
      </c>
      <c r="E79" s="8">
        <f>'F04 M2 Level'!G134</f>
        <v>0.0</v>
      </c>
      <c r="F79" s="8">
        <f>'F04 M2 Level'!H134</f>
        <v>0.0</v>
      </c>
      <c r="G79" s="8">
        <f>'F04 M2 Level'!I134</f>
        <v>0.0</v>
      </c>
      <c r="H79" s="17">
        <f>SUM(C79:G79)</f>
        <v>0.0</v>
      </c>
    </row>
    <row r="80">
      <c r="A80" s="7" t="inlineStr">
        <is>
          <t>F05</t>
        </is>
      </c>
      <c r="B80" s="7" t="inlineStr">
        <is>
          <t>Second Floor Level 3A Parking (+6850)</t>
        </is>
      </c>
      <c r="C80" s="8">
        <f>'F05 Second Floor'!E178</f>
        <v>0.78</v>
      </c>
      <c r="D80" s="8">
        <f>'F05 Second Floor'!F178</f>
        <v>1.0819999999999999</v>
      </c>
      <c r="E80" s="8">
        <f>'F05 Second Floor'!G178</f>
        <v>0.0</v>
      </c>
      <c r="F80" s="8">
        <f>'F05 Second Floor'!H178</f>
        <v>0.0</v>
      </c>
      <c r="G80" s="8">
        <f>'F05 Second Floor'!I178</f>
        <v>6.390432098765431</v>
      </c>
      <c r="H80" s="17">
        <f>SUM(C80:G80)</f>
        <v>8.25243209876543</v>
      </c>
    </row>
    <row r="81">
      <c r="A81" s="7" t="inlineStr">
        <is>
          <t>F06</t>
        </is>
      </c>
      <c r="B81" s="7" t="inlineStr">
        <is>
          <t>Mezzanine Floor 3B Parking (+7900)</t>
        </is>
      </c>
      <c r="C81" s="8">
        <f>'F06 Mezzanine Floor'!E125</f>
        <v>0.0</v>
      </c>
      <c r="D81" s="8">
        <f>'F06 Mezzanine Floor'!F125</f>
        <v>0.0</v>
      </c>
      <c r="E81" s="8">
        <f>'F06 Mezzanine Floor'!G125</f>
        <v>0.0</v>
      </c>
      <c r="F81" s="8">
        <f>'F06 Mezzanine Floor'!H125</f>
        <v>0.0</v>
      </c>
      <c r="G81" s="8">
        <f>'F06 Mezzanine Floor'!I125</f>
        <v>0.0</v>
      </c>
      <c r="H81" s="17">
        <f>SUM(C81:G81)</f>
        <v>0.0</v>
      </c>
    </row>
    <row r="82">
      <c r="A82" s="7" t="inlineStr">
        <is>
          <t>F07</t>
        </is>
      </c>
      <c r="B82" s="7" t="inlineStr">
        <is>
          <t>Third Floor (+10900)</t>
        </is>
      </c>
      <c r="C82" s="8">
        <f>'F07 Third Floor'!E237</f>
        <v>0.6355555555555557</v>
      </c>
      <c r="D82" s="8">
        <f>'F07 Third Floor'!F237</f>
        <v>0.8655999999999999</v>
      </c>
      <c r="E82" s="8">
        <f>'F07 Third Floor'!G237</f>
        <v>0.0</v>
      </c>
      <c r="F82" s="8">
        <f>'F07 Third Floor'!H237</f>
        <v>0.0</v>
      </c>
      <c r="G82" s="8">
        <f>'F07 Third Floor'!I237</f>
        <v>5.441358024691357</v>
      </c>
      <c r="H82" s="17">
        <f>SUM(C82:G82)</f>
        <v>6.942513580246912</v>
      </c>
    </row>
    <row r="83">
      <c r="A83" s="7" t="inlineStr">
        <is>
          <t>F08</t>
        </is>
      </c>
      <c r="B83" s="7" t="inlineStr">
        <is>
          <t>Fourth Floor (+14200) - typical 4th-8th</t>
        </is>
      </c>
      <c r="C83" s="8">
        <f>'F08 Fourth Floor'!E288</f>
        <v>0.6355555555555557</v>
      </c>
      <c r="D83" s="8">
        <f>'F08 Fourth Floor'!F288</f>
        <v>0.8655999999999999</v>
      </c>
      <c r="E83" s="8">
        <f>'F08 Fourth Floor'!G288</f>
        <v>0.0</v>
      </c>
      <c r="F83" s="8">
        <f>'F08 Fourth Floor'!H288</f>
        <v>0.0</v>
      </c>
      <c r="G83" s="8">
        <f>'F08 Fourth Floor'!I288</f>
        <v>5.441358024691357</v>
      </c>
      <c r="H83" s="17">
        <f>SUM(C83:G83)</f>
        <v>6.942513580246912</v>
      </c>
    </row>
    <row r="84">
      <c r="A84" s="7" t="inlineStr">
        <is>
          <t>F09</t>
        </is>
      </c>
      <c r="B84" s="7" t="inlineStr">
        <is>
          <t>Fifth Floor (+17500) - typical 4th-8th</t>
        </is>
      </c>
      <c r="C84" s="8">
        <f>'F09 Fifth Floor'!E288</f>
        <v>0.6355555555555557</v>
      </c>
      <c r="D84" s="8">
        <f>'F09 Fifth Floor'!F288</f>
        <v>0.8655999999999999</v>
      </c>
      <c r="E84" s="8">
        <f>'F09 Fifth Floor'!G288</f>
        <v>0.0</v>
      </c>
      <c r="F84" s="8">
        <f>'F09 Fifth Floor'!H288</f>
        <v>3.320493827160494</v>
      </c>
      <c r="G84" s="8">
        <f>'F09 Fifth Floor'!I288</f>
        <v>0.0</v>
      </c>
      <c r="H84" s="17">
        <f>SUM(C84:G84)</f>
        <v>4.82164938271605</v>
      </c>
    </row>
    <row r="85">
      <c r="A85" s="7" t="inlineStr">
        <is>
          <t>F10</t>
        </is>
      </c>
      <c r="B85" s="7" t="inlineStr">
        <is>
          <t>Sixth Floor (+20800) - typical 4th-8th</t>
        </is>
      </c>
      <c r="C85" s="8">
        <f>'F10 Sixth Floor'!E288</f>
        <v>0.6355555555555557</v>
      </c>
      <c r="D85" s="8">
        <f>'F10 Sixth Floor'!F288</f>
        <v>0.8655999999999999</v>
      </c>
      <c r="E85" s="8">
        <f>'F10 Sixth Floor'!G288</f>
        <v>0.0</v>
      </c>
      <c r="F85" s="8">
        <f>'F10 Sixth Floor'!H288</f>
        <v>3.320493827160494</v>
      </c>
      <c r="G85" s="8">
        <f>'F10 Sixth Floor'!I288</f>
        <v>0.0</v>
      </c>
      <c r="H85" s="17">
        <f>SUM(C85:G85)</f>
        <v>4.82164938271605</v>
      </c>
    </row>
    <row r="86">
      <c r="A86" s="7" t="inlineStr">
        <is>
          <t>F11</t>
        </is>
      </c>
      <c r="B86" s="7" t="inlineStr">
        <is>
          <t>Seventh Floor (+24100) - typical 4th-8th</t>
        </is>
      </c>
      <c r="C86" s="8">
        <f>'F11 Seventh Floor'!E288</f>
        <v>0.6355555555555557</v>
      </c>
      <c r="D86" s="8">
        <f>'F11 Seventh Floor'!F288</f>
        <v>0.8655999999999999</v>
      </c>
      <c r="E86" s="8">
        <f>'F11 Seventh Floor'!G288</f>
        <v>0.0</v>
      </c>
      <c r="F86" s="8">
        <f>'F11 Seventh Floor'!H288</f>
        <v>3.320493827160494</v>
      </c>
      <c r="G86" s="8">
        <f>'F11 Seventh Floor'!I288</f>
        <v>0.0</v>
      </c>
      <c r="H86" s="17">
        <f>SUM(C86:G86)</f>
        <v>4.82164938271605</v>
      </c>
    </row>
    <row r="87">
      <c r="A87" s="7" t="inlineStr">
        <is>
          <t>F12</t>
        </is>
      </c>
      <c r="B87" s="7" t="inlineStr">
        <is>
          <t>Eighth Floor (+27400) - typical 4th-8th</t>
        </is>
      </c>
      <c r="C87" s="8">
        <f>'F12 Eighth Floor'!E288</f>
        <v>0.6355555555555557</v>
      </c>
      <c r="D87" s="8">
        <f>'F12 Eighth Floor'!F288</f>
        <v>0.8655999999999999</v>
      </c>
      <c r="E87" s="8">
        <f>'F12 Eighth Floor'!G288</f>
        <v>0.0</v>
      </c>
      <c r="F87" s="8">
        <f>'F12 Eighth Floor'!H288</f>
        <v>3.320493827160494</v>
      </c>
      <c r="G87" s="8">
        <f>'F12 Eighth Floor'!I288</f>
        <v>0.0</v>
      </c>
      <c r="H87" s="17">
        <f>SUM(C87:G87)</f>
        <v>4.82164938271605</v>
      </c>
    </row>
    <row r="88">
      <c r="A88" s="7" t="inlineStr">
        <is>
          <t>F13</t>
        </is>
      </c>
      <c r="B88" s="7" t="inlineStr">
        <is>
          <t>Ninth Floor (+30700)</t>
        </is>
      </c>
      <c r="C88" s="8">
        <f>'F13 Ninth Floor'!E298</f>
        <v>0.6355555555555557</v>
      </c>
      <c r="D88" s="8">
        <f>'F13 Ninth Floor'!F298</f>
        <v>0.9521599999999999</v>
      </c>
      <c r="E88" s="8">
        <f>'F13 Ninth Floor'!G298</f>
        <v>0.0</v>
      </c>
      <c r="F88" s="8">
        <f>'F13 Ninth Floor'!H298</f>
        <v>3.320493827160494</v>
      </c>
      <c r="G88" s="8">
        <f>'F13 Ninth Floor'!I298</f>
        <v>0.0</v>
      </c>
      <c r="H88" s="17">
        <f>SUM(C88:G88)</f>
        <v>4.908209382716049</v>
      </c>
    </row>
    <row r="89">
      <c r="A89" s="7" t="inlineStr">
        <is>
          <t>F14</t>
        </is>
      </c>
      <c r="B89" s="7" t="inlineStr">
        <is>
          <t>Tenth Floor (+34000)</t>
        </is>
      </c>
      <c r="C89" s="8">
        <f>'F14 Tenth Floor'!E260</f>
        <v>0.6355555555555557</v>
      </c>
      <c r="D89" s="8">
        <f>'F14 Tenth Floor'!F260</f>
        <v>0.8655999999999999</v>
      </c>
      <c r="E89" s="8">
        <f>'F14 Tenth Floor'!G260</f>
        <v>0.0</v>
      </c>
      <c r="F89" s="8">
        <f>'F14 Tenth Floor'!H260</f>
        <v>3.320493827160494</v>
      </c>
      <c r="G89" s="8">
        <f>'F14 Tenth Floor'!I260</f>
        <v>0.0</v>
      </c>
      <c r="H89" s="17">
        <f>SUM(C89:G89)</f>
        <v>4.82164938271605</v>
      </c>
    </row>
    <row r="90">
      <c r="A90" s="7" t="inlineStr">
        <is>
          <t>F15</t>
        </is>
      </c>
      <c r="B90" s="7" t="inlineStr">
        <is>
          <t>Roof Top Terrace (+37300)</t>
        </is>
      </c>
      <c r="C90" s="8">
        <f>'F15 Roof Top Terrace'!E223</f>
        <v>0.6066666666666666</v>
      </c>
      <c r="D90" s="8">
        <f>'F15 Roof Top Terrace'!F223</f>
        <v>0.82232</v>
      </c>
      <c r="E90" s="8">
        <f>'F15 Roof Top Terrace'!G223</f>
        <v>0.0</v>
      </c>
      <c r="F90" s="8">
        <f>'F15 Roof Top Terrace'!H223</f>
        <v>3.1990123456790123</v>
      </c>
      <c r="G90" s="8">
        <f>'F15 Roof Top Terrace'!I223</f>
        <v>0.0</v>
      </c>
      <c r="H90" s="17">
        <f>SUM(C90:G90)</f>
        <v>4.627999012345679</v>
      </c>
    </row>
    <row r="91">
      <c r="A91" s="7" t="inlineStr">
        <is>
          <t>F16</t>
        </is>
      </c>
      <c r="B91" s="7" t="inlineStr">
        <is>
          <t>Roof Level (+40450)</t>
        </is>
      </c>
      <c r="C91" s="8">
        <f>'F16 Roof Level'!E91</f>
        <v>0.8088888888888889</v>
      </c>
      <c r="D91" s="8">
        <f>'F16 Roof Level'!F91</f>
        <v>0.3895199999999999</v>
      </c>
      <c r="E91" s="8">
        <f>'F16 Roof Level'!G91</f>
        <v>0.0</v>
      </c>
      <c r="F91" s="8">
        <f>'F16 Roof Level'!H91</f>
        <v>4.049382716049382</v>
      </c>
      <c r="G91" s="8">
        <f>'F16 Roof Level'!I91</f>
        <v>0.0</v>
      </c>
      <c r="H91" s="17">
        <f>SUM(C91:G91)</f>
        <v>5.247791604938271</v>
      </c>
    </row>
    <row r="92">
      <c r="A92" s="7" t="inlineStr">
        <is>
          <t>F17</t>
        </is>
      </c>
      <c r="B92" s="7" t="inlineStr">
        <is>
          <t>Top of Lift Core (+44650)</t>
        </is>
      </c>
      <c r="C92" s="8">
        <f>'F17 Top of Lift Core'!E16</f>
        <v>0.0</v>
      </c>
      <c r="D92" s="8">
        <f>'F17 Top of Lift Core'!F16</f>
        <v>0.0</v>
      </c>
      <c r="E92" s="8">
        <f>'F17 Top of Lift Core'!G16</f>
        <v>0.0</v>
      </c>
      <c r="F92" s="8">
        <f>'F17 Top of Lift Core'!H16</f>
        <v>0.0</v>
      </c>
      <c r="G92" s="8">
        <f>'F17 Top of Lift Core'!I16</f>
        <v>0.0</v>
      </c>
      <c r="H92" s="17">
        <f>SUM(C92:G92)</f>
        <v>0.0</v>
      </c>
    </row>
    <row r="93">
      <c r="B93" s="16" t="inlineStr">
        <is>
          <t>TOTAL LIFT WALLS - ALL FLOORS</t>
        </is>
      </c>
      <c r="C93" s="11">
        <f>SUM(C75:C92)</f>
        <v>8.811111111111112</v>
      </c>
      <c r="D93" s="11">
        <f>SUM(D75:D92)</f>
        <v>11.858719999999998</v>
      </c>
      <c r="E93" s="11">
        <f>SUM(E75:E92)</f>
        <v>0.0</v>
      </c>
      <c r="F93" s="11">
        <f>SUM(F75:F92)</f>
        <v>27.171358024691358</v>
      </c>
      <c r="G93" s="11">
        <f>SUM(G75:G92)</f>
        <v>33.02777777777777</v>
      </c>
      <c r="H93" s="11">
        <f>SUM(H75:H92)</f>
        <v>80.86896691358024</v>
      </c>
    </row>
    <row r="96">
      <c r="A96" s="12" t="inlineStr">
        <is>
          <t>RETAINING / RAMP WALLS</t>
        </is>
      </c>
    </row>
    <row r="97">
      <c r="A97" s="6" t="inlineStr">
        <is>
          <t>Ref</t>
        </is>
      </c>
      <c r="B97" s="6" t="inlineStr">
        <is>
          <t>Floor / level</t>
        </is>
      </c>
      <c r="C97" s="6" t="inlineStr">
        <is>
          <t>Y10</t>
        </is>
      </c>
      <c r="D97" s="6" t="inlineStr">
        <is>
          <t>Y12</t>
        </is>
      </c>
      <c r="E97" s="6" t="inlineStr">
        <is>
          <t>Y16</t>
        </is>
      </c>
      <c r="F97" s="6" t="inlineStr">
        <is>
          <t>Y20</t>
        </is>
      </c>
      <c r="G97" s="6" t="inlineStr">
        <is>
          <t>Y25</t>
        </is>
      </c>
      <c r="H97" s="6" t="inlineStr">
        <is>
          <t>TOTAL (t)</t>
        </is>
      </c>
    </row>
    <row r="98">
      <c r="A98" s="7" t="inlineStr">
        <is>
          <t>F00</t>
        </is>
      </c>
      <c r="B98" s="7" t="inlineStr">
        <is>
          <t>Raft foundation &amp; starters (Foundation to Ground)</t>
        </is>
      </c>
      <c r="C98" s="8">
        <f>'F00 Substructure'!E162</f>
        <v>0.0</v>
      </c>
      <c r="D98" s="8">
        <f>'F00 Substructure'!F162</f>
        <v>0.0</v>
      </c>
      <c r="E98" s="8">
        <f>'F00 Substructure'!G162</f>
        <v>0.0</v>
      </c>
      <c r="F98" s="8">
        <f>'F00 Substructure'!H162</f>
        <v>0.0</v>
      </c>
      <c r="G98" s="8">
        <f>'F00 Substructure'!I162</f>
        <v>0.0</v>
      </c>
      <c r="H98" s="17">
        <f>SUM(C98:G98)</f>
        <v>0.0</v>
      </c>
    </row>
    <row r="99">
      <c r="A99" s="7" t="inlineStr">
        <is>
          <t>F01</t>
        </is>
      </c>
      <c r="B99" s="7" t="inlineStr">
        <is>
          <t>Ground floor (+300) - elements rising to next level</t>
        </is>
      </c>
      <c r="C99" s="8">
        <f>'F01 Ground Floor'!E115</f>
        <v>0.0</v>
      </c>
      <c r="D99" s="8">
        <f>'F01 Ground Floor'!F115</f>
        <v>0.8395733333333333</v>
      </c>
      <c r="E99" s="8">
        <f>'F01 Ground Floor'!G115</f>
        <v>0.0</v>
      </c>
      <c r="F99" s="8">
        <f>'F01 Ground Floor'!H115</f>
        <v>0.0</v>
      </c>
      <c r="G99" s="8">
        <f>'F01 Ground Floor'!I115</f>
        <v>0.0</v>
      </c>
      <c r="H99" s="17">
        <f>SUM(C99:G99)</f>
        <v>0.8395733333333333</v>
      </c>
    </row>
    <row r="100">
      <c r="A100" s="7" t="inlineStr">
        <is>
          <t>F02</t>
        </is>
      </c>
      <c r="B100" s="7" t="inlineStr">
        <is>
          <t>M1 Level 1B Parking (+2500)</t>
        </is>
      </c>
      <c r="C100" s="8">
        <f>'F02 M1 Level'!E149</f>
        <v>0.0</v>
      </c>
      <c r="D100" s="8">
        <f>'F02 M1 Level'!F149</f>
        <v>0.0</v>
      </c>
      <c r="E100" s="8">
        <f>'F02 M1 Level'!G149</f>
        <v>0.0</v>
      </c>
      <c r="F100" s="8">
        <f>'F02 M1 Level'!H149</f>
        <v>0.0</v>
      </c>
      <c r="G100" s="8">
        <f>'F02 M1 Level'!I149</f>
        <v>0.0</v>
      </c>
      <c r="H100" s="17">
        <f>SUM(C100:G100)</f>
        <v>0.0</v>
      </c>
    </row>
    <row r="101">
      <c r="A101" s="7" t="inlineStr">
        <is>
          <t>F03</t>
        </is>
      </c>
      <c r="B101" s="7" t="inlineStr">
        <is>
          <t>First Floor Level 2A Parking (+4150)</t>
        </is>
      </c>
      <c r="C101" s="8">
        <f>'F03 First Floor'!E177</f>
        <v>0.0</v>
      </c>
      <c r="D101" s="8">
        <f>'F03 First Floor'!F177</f>
        <v>0.0</v>
      </c>
      <c r="E101" s="8">
        <f>'F03 First Floor'!G177</f>
        <v>0.0</v>
      </c>
      <c r="F101" s="8">
        <f>'F03 First Floor'!H177</f>
        <v>0.0</v>
      </c>
      <c r="G101" s="8">
        <f>'F03 First Floor'!I177</f>
        <v>0.0</v>
      </c>
      <c r="H101" s="17">
        <f>SUM(C101:G101)</f>
        <v>0.0</v>
      </c>
    </row>
    <row r="102">
      <c r="A102" s="7" t="inlineStr">
        <is>
          <t>F04</t>
        </is>
      </c>
      <c r="B102" s="7" t="inlineStr">
        <is>
          <t>M2 Level 2B Parking (+5200)</t>
        </is>
      </c>
      <c r="C102" s="8">
        <f>'F04 M2 Level'!E135</f>
        <v>0.0</v>
      </c>
      <c r="D102" s="8">
        <f>'F04 M2 Level'!F135</f>
        <v>0.0</v>
      </c>
      <c r="E102" s="8">
        <f>'F04 M2 Level'!G135</f>
        <v>0.0</v>
      </c>
      <c r="F102" s="8">
        <f>'F04 M2 Level'!H135</f>
        <v>0.0</v>
      </c>
      <c r="G102" s="8">
        <f>'F04 M2 Level'!I135</f>
        <v>0.0</v>
      </c>
      <c r="H102" s="17">
        <f>SUM(C102:G102)</f>
        <v>0.0</v>
      </c>
    </row>
    <row r="103">
      <c r="A103" s="7" t="inlineStr">
        <is>
          <t>F05</t>
        </is>
      </c>
      <c r="B103" s="7" t="inlineStr">
        <is>
          <t>Second Floor Level 3A Parking (+6850)</t>
        </is>
      </c>
      <c r="C103" s="8">
        <f>'F05 Second Floor'!E179</f>
        <v>0.0</v>
      </c>
      <c r="D103" s="8">
        <f>'F05 Second Floor'!F179</f>
        <v>0.0</v>
      </c>
      <c r="E103" s="8">
        <f>'F05 Second Floor'!G179</f>
        <v>0.0</v>
      </c>
      <c r="F103" s="8">
        <f>'F05 Second Floor'!H179</f>
        <v>0.0</v>
      </c>
      <c r="G103" s="8">
        <f>'F05 Second Floor'!I179</f>
        <v>0.0</v>
      </c>
      <c r="H103" s="17">
        <f>SUM(C103:G103)</f>
        <v>0.0</v>
      </c>
    </row>
    <row r="104">
      <c r="A104" s="7" t="inlineStr">
        <is>
          <t>F06</t>
        </is>
      </c>
      <c r="B104" s="7" t="inlineStr">
        <is>
          <t>Mezzanine Floor 3B Parking (+7900)</t>
        </is>
      </c>
      <c r="C104" s="8">
        <f>'F06 Mezzanine Floor'!E126</f>
        <v>0.0</v>
      </c>
      <c r="D104" s="8">
        <f>'F06 Mezzanine Floor'!F126</f>
        <v>0.0</v>
      </c>
      <c r="E104" s="8">
        <f>'F06 Mezzanine Floor'!G126</f>
        <v>0.0</v>
      </c>
      <c r="F104" s="8">
        <f>'F06 Mezzanine Floor'!H126</f>
        <v>0.0</v>
      </c>
      <c r="G104" s="8">
        <f>'F06 Mezzanine Floor'!I126</f>
        <v>0.0</v>
      </c>
      <c r="H104" s="17">
        <f>SUM(C104:G104)</f>
        <v>0.0</v>
      </c>
    </row>
    <row r="105">
      <c r="A105" s="7" t="inlineStr">
        <is>
          <t>F07</t>
        </is>
      </c>
      <c r="B105" s="7" t="inlineStr">
        <is>
          <t>Third Floor (+10900)</t>
        </is>
      </c>
      <c r="C105" s="8">
        <f>'F07 Third Floor'!E238</f>
        <v>0.0</v>
      </c>
      <c r="D105" s="8">
        <f>'F07 Third Floor'!F238</f>
        <v>0.0</v>
      </c>
      <c r="E105" s="8">
        <f>'F07 Third Floor'!G238</f>
        <v>0.0</v>
      </c>
      <c r="F105" s="8">
        <f>'F07 Third Floor'!H238</f>
        <v>0.0</v>
      </c>
      <c r="G105" s="8">
        <f>'F07 Third Floor'!I238</f>
        <v>0.0</v>
      </c>
      <c r="H105" s="17">
        <f>SUM(C105:G105)</f>
        <v>0.0</v>
      </c>
    </row>
    <row r="106">
      <c r="A106" s="7" t="inlineStr">
        <is>
          <t>F08</t>
        </is>
      </c>
      <c r="B106" s="7" t="inlineStr">
        <is>
          <t>Fourth Floor (+14200) - typical 4th-8th</t>
        </is>
      </c>
      <c r="C106" s="8">
        <f>'F08 Fourth Floor'!E289</f>
        <v>0.0</v>
      </c>
      <c r="D106" s="8">
        <f>'F08 Fourth Floor'!F289</f>
        <v>0.0</v>
      </c>
      <c r="E106" s="8">
        <f>'F08 Fourth Floor'!G289</f>
        <v>0.0</v>
      </c>
      <c r="F106" s="8">
        <f>'F08 Fourth Floor'!H289</f>
        <v>0.0</v>
      </c>
      <c r="G106" s="8">
        <f>'F08 Fourth Floor'!I289</f>
        <v>0.0</v>
      </c>
      <c r="H106" s="17">
        <f>SUM(C106:G106)</f>
        <v>0.0</v>
      </c>
    </row>
    <row r="107">
      <c r="A107" s="7" t="inlineStr">
        <is>
          <t>F09</t>
        </is>
      </c>
      <c r="B107" s="7" t="inlineStr">
        <is>
          <t>Fifth Floor (+17500) - typical 4th-8th</t>
        </is>
      </c>
      <c r="C107" s="8">
        <f>'F09 Fifth Floor'!E289</f>
        <v>0.0</v>
      </c>
      <c r="D107" s="8">
        <f>'F09 Fifth Floor'!F289</f>
        <v>0.0</v>
      </c>
      <c r="E107" s="8">
        <f>'F09 Fifth Floor'!G289</f>
        <v>0.0</v>
      </c>
      <c r="F107" s="8">
        <f>'F09 Fifth Floor'!H289</f>
        <v>0.0</v>
      </c>
      <c r="G107" s="8">
        <f>'F09 Fifth Floor'!I289</f>
        <v>0.0</v>
      </c>
      <c r="H107" s="17">
        <f>SUM(C107:G107)</f>
        <v>0.0</v>
      </c>
    </row>
    <row r="108">
      <c r="A108" s="7" t="inlineStr">
        <is>
          <t>F10</t>
        </is>
      </c>
      <c r="B108" s="7" t="inlineStr">
        <is>
          <t>Sixth Floor (+20800) - typical 4th-8th</t>
        </is>
      </c>
      <c r="C108" s="8">
        <f>'F10 Sixth Floor'!E289</f>
        <v>0.0</v>
      </c>
      <c r="D108" s="8">
        <f>'F10 Sixth Floor'!F289</f>
        <v>0.0</v>
      </c>
      <c r="E108" s="8">
        <f>'F10 Sixth Floor'!G289</f>
        <v>0.0</v>
      </c>
      <c r="F108" s="8">
        <f>'F10 Sixth Floor'!H289</f>
        <v>0.0</v>
      </c>
      <c r="G108" s="8">
        <f>'F10 Sixth Floor'!I289</f>
        <v>0.0</v>
      </c>
      <c r="H108" s="17">
        <f>SUM(C108:G108)</f>
        <v>0.0</v>
      </c>
    </row>
    <row r="109">
      <c r="A109" s="7" t="inlineStr">
        <is>
          <t>F11</t>
        </is>
      </c>
      <c r="B109" s="7" t="inlineStr">
        <is>
          <t>Seventh Floor (+24100) - typical 4th-8th</t>
        </is>
      </c>
      <c r="C109" s="8">
        <f>'F11 Seventh Floor'!E289</f>
        <v>0.0</v>
      </c>
      <c r="D109" s="8">
        <f>'F11 Seventh Floor'!F289</f>
        <v>0.0</v>
      </c>
      <c r="E109" s="8">
        <f>'F11 Seventh Floor'!G289</f>
        <v>0.0</v>
      </c>
      <c r="F109" s="8">
        <f>'F11 Seventh Floor'!H289</f>
        <v>0.0</v>
      </c>
      <c r="G109" s="8">
        <f>'F11 Seventh Floor'!I289</f>
        <v>0.0</v>
      </c>
      <c r="H109" s="17">
        <f>SUM(C109:G109)</f>
        <v>0.0</v>
      </c>
    </row>
    <row r="110">
      <c r="A110" s="7" t="inlineStr">
        <is>
          <t>F12</t>
        </is>
      </c>
      <c r="B110" s="7" t="inlineStr">
        <is>
          <t>Eighth Floor (+27400) - typical 4th-8th</t>
        </is>
      </c>
      <c r="C110" s="8">
        <f>'F12 Eighth Floor'!E289</f>
        <v>0.0</v>
      </c>
      <c r="D110" s="8">
        <f>'F12 Eighth Floor'!F289</f>
        <v>0.0</v>
      </c>
      <c r="E110" s="8">
        <f>'F12 Eighth Floor'!G289</f>
        <v>0.0</v>
      </c>
      <c r="F110" s="8">
        <f>'F12 Eighth Floor'!H289</f>
        <v>0.0</v>
      </c>
      <c r="G110" s="8">
        <f>'F12 Eighth Floor'!I289</f>
        <v>0.0</v>
      </c>
      <c r="H110" s="17">
        <f>SUM(C110:G110)</f>
        <v>0.0</v>
      </c>
    </row>
    <row r="111">
      <c r="A111" s="7" t="inlineStr">
        <is>
          <t>F13</t>
        </is>
      </c>
      <c r="B111" s="7" t="inlineStr">
        <is>
          <t>Ninth Floor (+30700)</t>
        </is>
      </c>
      <c r="C111" s="8">
        <f>'F13 Ninth Floor'!E299</f>
        <v>0.0</v>
      </c>
      <c r="D111" s="8">
        <f>'F13 Ninth Floor'!F299</f>
        <v>0.0</v>
      </c>
      <c r="E111" s="8">
        <f>'F13 Ninth Floor'!G299</f>
        <v>0.0</v>
      </c>
      <c r="F111" s="8">
        <f>'F13 Ninth Floor'!H299</f>
        <v>0.0</v>
      </c>
      <c r="G111" s="8">
        <f>'F13 Ninth Floor'!I299</f>
        <v>0.0</v>
      </c>
      <c r="H111" s="17">
        <f>SUM(C111:G111)</f>
        <v>0.0</v>
      </c>
    </row>
    <row r="112">
      <c r="A112" s="7" t="inlineStr">
        <is>
          <t>F14</t>
        </is>
      </c>
      <c r="B112" s="7" t="inlineStr">
        <is>
          <t>Tenth Floor (+34000)</t>
        </is>
      </c>
      <c r="C112" s="8">
        <f>'F14 Tenth Floor'!E261</f>
        <v>0.0</v>
      </c>
      <c r="D112" s="8">
        <f>'F14 Tenth Floor'!F261</f>
        <v>0.0</v>
      </c>
      <c r="E112" s="8">
        <f>'F14 Tenth Floor'!G261</f>
        <v>0.0</v>
      </c>
      <c r="F112" s="8">
        <f>'F14 Tenth Floor'!H261</f>
        <v>0.0</v>
      </c>
      <c r="G112" s="8">
        <f>'F14 Tenth Floor'!I261</f>
        <v>0.0</v>
      </c>
      <c r="H112" s="17">
        <f>SUM(C112:G112)</f>
        <v>0.0</v>
      </c>
    </row>
    <row r="113">
      <c r="A113" s="7" t="inlineStr">
        <is>
          <t>F15</t>
        </is>
      </c>
      <c r="B113" s="7" t="inlineStr">
        <is>
          <t>Roof Top Terrace (+37300)</t>
        </is>
      </c>
      <c r="C113" s="8">
        <f>'F15 Roof Top Terrace'!E224</f>
        <v>0.0</v>
      </c>
      <c r="D113" s="8">
        <f>'F15 Roof Top Terrace'!F224</f>
        <v>0.0</v>
      </c>
      <c r="E113" s="8">
        <f>'F15 Roof Top Terrace'!G224</f>
        <v>0.0</v>
      </c>
      <c r="F113" s="8">
        <f>'F15 Roof Top Terrace'!H224</f>
        <v>0.0</v>
      </c>
      <c r="G113" s="8">
        <f>'F15 Roof Top Terrace'!I224</f>
        <v>0.0</v>
      </c>
      <c r="H113" s="17">
        <f>SUM(C113:G113)</f>
        <v>0.0</v>
      </c>
    </row>
    <row r="114">
      <c r="A114" s="7" t="inlineStr">
        <is>
          <t>F16</t>
        </is>
      </c>
      <c r="B114" s="7" t="inlineStr">
        <is>
          <t>Roof Level (+40450)</t>
        </is>
      </c>
      <c r="C114" s="8">
        <f>'F16 Roof Level'!E92</f>
        <v>0.0</v>
      </c>
      <c r="D114" s="8">
        <f>'F16 Roof Level'!F92</f>
        <v>0.0</v>
      </c>
      <c r="E114" s="8">
        <f>'F16 Roof Level'!G92</f>
        <v>0.0</v>
      </c>
      <c r="F114" s="8">
        <f>'F16 Roof Level'!H92</f>
        <v>0.0</v>
      </c>
      <c r="G114" s="8">
        <f>'F16 Roof Level'!I92</f>
        <v>0.0</v>
      </c>
      <c r="H114" s="17">
        <f>SUM(C114:G114)</f>
        <v>0.0</v>
      </c>
    </row>
    <row r="115">
      <c r="A115" s="7" t="inlineStr">
        <is>
          <t>F17</t>
        </is>
      </c>
      <c r="B115" s="7" t="inlineStr">
        <is>
          <t>Top of Lift Core (+44650)</t>
        </is>
      </c>
      <c r="C115" s="8">
        <f>'F17 Top of Lift Core'!E17</f>
        <v>0.0</v>
      </c>
      <c r="D115" s="8">
        <f>'F17 Top of Lift Core'!F17</f>
        <v>0.0</v>
      </c>
      <c r="E115" s="8">
        <f>'F17 Top of Lift Core'!G17</f>
        <v>0.0</v>
      </c>
      <c r="F115" s="8">
        <f>'F17 Top of Lift Core'!H17</f>
        <v>0.0</v>
      </c>
      <c r="G115" s="8">
        <f>'F17 Top of Lift Core'!I17</f>
        <v>0.0</v>
      </c>
      <c r="H115" s="17">
        <f>SUM(C115:G115)</f>
        <v>0.0</v>
      </c>
    </row>
    <row r="116">
      <c r="B116" s="16" t="inlineStr">
        <is>
          <t>TOTAL RETAINING / RAMP WALLS - ALL FLOORS</t>
        </is>
      </c>
      <c r="C116" s="11">
        <f>SUM(C98:C115)</f>
        <v>0.0</v>
      </c>
      <c r="D116" s="11">
        <f>SUM(D98:D115)</f>
        <v>0.8395733333333333</v>
      </c>
      <c r="E116" s="11">
        <f>SUM(E98:E115)</f>
        <v>0.0</v>
      </c>
      <c r="F116" s="11">
        <f>SUM(F98:F115)</f>
        <v>0.0</v>
      </c>
      <c r="G116" s="11">
        <f>SUM(G98:G115)</f>
        <v>0.0</v>
      </c>
      <c r="H116" s="11">
        <f>SUM(H98:H115)</f>
        <v>0.8395733333333333</v>
      </c>
    </row>
    <row r="119">
      <c r="A119" s="12" t="inlineStr">
        <is>
          <t>BEAMS</t>
        </is>
      </c>
    </row>
    <row r="120">
      <c r="A120" s="6" t="inlineStr">
        <is>
          <t>Ref</t>
        </is>
      </c>
      <c r="B120" s="6" t="inlineStr">
        <is>
          <t>Floor / level</t>
        </is>
      </c>
      <c r="C120" s="6" t="inlineStr">
        <is>
          <t>Y10</t>
        </is>
      </c>
      <c r="D120" s="6" t="inlineStr">
        <is>
          <t>Y12</t>
        </is>
      </c>
      <c r="E120" s="6" t="inlineStr">
        <is>
          <t>Y16</t>
        </is>
      </c>
      <c r="F120" s="6" t="inlineStr">
        <is>
          <t>Y20</t>
        </is>
      </c>
      <c r="G120" s="6" t="inlineStr">
        <is>
          <t>Y25</t>
        </is>
      </c>
      <c r="H120" s="6" t="inlineStr">
        <is>
          <t>TOTAL (t)</t>
        </is>
      </c>
    </row>
    <row r="121">
      <c r="A121" s="7" t="inlineStr">
        <is>
          <t>F00</t>
        </is>
      </c>
      <c r="B121" s="7" t="inlineStr">
        <is>
          <t>Raft foundation &amp; starters (Foundation to Ground)</t>
        </is>
      </c>
      <c r="C121" s="8">
        <f>'F00 Substructure'!E163</f>
        <v>0.0</v>
      </c>
      <c r="D121" s="8">
        <f>'F00 Substructure'!F163</f>
        <v>0.0</v>
      </c>
      <c r="E121" s="8">
        <f>'F00 Substructure'!G163</f>
        <v>0.0</v>
      </c>
      <c r="F121" s="8">
        <f>'F00 Substructure'!H163</f>
        <v>0.0</v>
      </c>
      <c r="G121" s="8">
        <f>'F00 Substructure'!I163</f>
        <v>0.0</v>
      </c>
      <c r="H121" s="17">
        <f>SUM(C121:G121)</f>
        <v>0.0</v>
      </c>
    </row>
    <row r="122">
      <c r="A122" s="7" t="inlineStr">
        <is>
          <t>F01</t>
        </is>
      </c>
      <c r="B122" s="7" t="inlineStr">
        <is>
          <t>Ground floor (+300) - elements rising to next level</t>
        </is>
      </c>
      <c r="C122" s="8">
        <f>'F01 Ground Floor'!E116</f>
        <v>0.0</v>
      </c>
      <c r="D122" s="8">
        <f>'F01 Ground Floor'!F116</f>
        <v>0.0</v>
      </c>
      <c r="E122" s="8">
        <f>'F01 Ground Floor'!G116</f>
        <v>0.0</v>
      </c>
      <c r="F122" s="8">
        <f>'F01 Ground Floor'!H116</f>
        <v>0.0</v>
      </c>
      <c r="G122" s="8">
        <f>'F01 Ground Floor'!I116</f>
        <v>0.0</v>
      </c>
      <c r="H122" s="17">
        <f>SUM(C122:G122)</f>
        <v>0.0</v>
      </c>
    </row>
    <row r="123">
      <c r="A123" s="7" t="inlineStr">
        <is>
          <t>F02</t>
        </is>
      </c>
      <c r="B123" s="7" t="inlineStr">
        <is>
          <t>M1 Level 1B Parking (+2500)</t>
        </is>
      </c>
      <c r="C123" s="8">
        <f>'F02 M1 Level'!E150</f>
        <v>1.1259876543209875</v>
      </c>
      <c r="D123" s="8">
        <f>'F02 M1 Level'!F150</f>
        <v>0.0</v>
      </c>
      <c r="E123" s="8">
        <f>'F02 M1 Level'!G150</f>
        <v>0.575525925925926</v>
      </c>
      <c r="F123" s="8">
        <f>'F02 M1 Level'!H150</f>
        <v>0.8137037037037036</v>
      </c>
      <c r="G123" s="8">
        <f>'F02 M1 Level'!I150</f>
        <v>2.437789351851852</v>
      </c>
      <c r="H123" s="17">
        <f>SUM(C123:G123)</f>
        <v>4.953006635802469</v>
      </c>
    </row>
    <row r="124">
      <c r="A124" s="7" t="inlineStr">
        <is>
          <t>F03</t>
        </is>
      </c>
      <c r="B124" s="7" t="inlineStr">
        <is>
          <t>First Floor Level 2A Parking (+4150)</t>
        </is>
      </c>
      <c r="C124" s="8">
        <f>'F03 First Floor'!E178</f>
        <v>0.9772222222222222</v>
      </c>
      <c r="D124" s="8">
        <f>'F03 First Floor'!F178</f>
        <v>0.0</v>
      </c>
      <c r="E124" s="8">
        <f>'F03 First Floor'!G178</f>
        <v>0.7627851851851852</v>
      </c>
      <c r="F124" s="8">
        <f>'F03 First Floor'!H178</f>
        <v>0.7967901234567901</v>
      </c>
      <c r="G124" s="8">
        <f>'F03 First Floor'!I178</f>
        <v>2.9732831790123457</v>
      </c>
      <c r="H124" s="17">
        <f>SUM(C124:G124)</f>
        <v>5.510080709876544</v>
      </c>
    </row>
    <row r="125">
      <c r="A125" s="7" t="inlineStr">
        <is>
          <t>F04</t>
        </is>
      </c>
      <c r="B125" s="7" t="inlineStr">
        <is>
          <t>M2 Level 2B Parking (+5200)</t>
        </is>
      </c>
      <c r="C125" s="8">
        <f>'F04 M2 Level'!E136</f>
        <v>0.6443209876543209</v>
      </c>
      <c r="D125" s="8">
        <f>'F04 M2 Level'!F136</f>
        <v>0.0</v>
      </c>
      <c r="E125" s="8">
        <f>'F04 M2 Level'!G136</f>
        <v>0.4595358024691357</v>
      </c>
      <c r="F125" s="8">
        <f>'F04 M2 Level'!H136</f>
        <v>0.8022222222222222</v>
      </c>
      <c r="G125" s="8">
        <f>'F04 M2 Level'!I136</f>
        <v>1.6241319444444442</v>
      </c>
      <c r="H125" s="17">
        <f>SUM(C125:G125)</f>
        <v>3.530210956790123</v>
      </c>
    </row>
    <row r="126">
      <c r="A126" s="7" t="inlineStr">
        <is>
          <t>F05</t>
        </is>
      </c>
      <c r="B126" s="7" t="inlineStr">
        <is>
          <t>Second Floor Level 3A Parking (+6850)</t>
        </is>
      </c>
      <c r="C126" s="8">
        <f>'F05 Second Floor'!E180</f>
        <v>0.9016666666666666</v>
      </c>
      <c r="D126" s="8">
        <f>'F05 Second Floor'!F180</f>
        <v>0.0</v>
      </c>
      <c r="E126" s="8">
        <f>'F05 Second Floor'!G180</f>
        <v>0.7395555555555555</v>
      </c>
      <c r="F126" s="8">
        <f>'F05 Second Floor'!H180</f>
        <v>0.7967901234567901</v>
      </c>
      <c r="G126" s="8">
        <f>'F05 Second Floor'!I180</f>
        <v>2.4267939814814814</v>
      </c>
      <c r="H126" s="17">
        <f>SUM(C126:G126)</f>
        <v>4.864806327160494</v>
      </c>
    </row>
    <row r="127">
      <c r="A127" s="7" t="inlineStr">
        <is>
          <t>F06</t>
        </is>
      </c>
      <c r="B127" s="7" t="inlineStr">
        <is>
          <t>Mezzanine Floor 3B Parking (+7900)</t>
        </is>
      </c>
      <c r="C127" s="8">
        <f>'F06 Mezzanine Floor'!E127</f>
        <v>0.5792592592592593</v>
      </c>
      <c r="D127" s="8">
        <f>'F06 Mezzanine Floor'!F127</f>
        <v>0.0</v>
      </c>
      <c r="E127" s="8">
        <f>'F06 Mezzanine Floor'!G127</f>
        <v>0.4063604938271605</v>
      </c>
      <c r="F127" s="8">
        <f>'F06 Mezzanine Floor'!H127</f>
        <v>1.1707407407407406</v>
      </c>
      <c r="G127" s="8">
        <f>'F06 Mezzanine Floor'!I127</f>
        <v>0.8851273148148148</v>
      </c>
      <c r="H127" s="17">
        <f>SUM(C127:G127)</f>
        <v>3.041487808641975</v>
      </c>
    </row>
    <row r="128">
      <c r="A128" s="7" t="inlineStr">
        <is>
          <t>F07</t>
        </is>
      </c>
      <c r="B128" s="7" t="inlineStr">
        <is>
          <t>Third Floor (+10900)</t>
        </is>
      </c>
      <c r="C128" s="8">
        <f>'F07 Third Floor'!E239</f>
        <v>1.164259259259259</v>
      </c>
      <c r="D128" s="8">
        <f>'F07 Third Floor'!F239</f>
        <v>0.0</v>
      </c>
      <c r="E128" s="8">
        <f>'F07 Third Floor'!G239</f>
        <v>1.0033777777777777</v>
      </c>
      <c r="F128" s="8">
        <f>'F07 Third Floor'!H239</f>
        <v>2.1617283950617283</v>
      </c>
      <c r="G128" s="8">
        <f>'F07 Third Floor'!I239</f>
        <v>2.015625</v>
      </c>
      <c r="H128" s="17">
        <f>SUM(C128:G128)</f>
        <v>6.344990432098765</v>
      </c>
    </row>
    <row r="129">
      <c r="A129" s="7" t="inlineStr">
        <is>
          <t>F08</t>
        </is>
      </c>
      <c r="B129" s="7" t="inlineStr">
        <is>
          <t>Fourth Floor (+14200) - typical 4th-8th</t>
        </is>
      </c>
      <c r="C129" s="8">
        <f>'F08 Fourth Floor'!E290</f>
        <v>1.8062345679012344</v>
      </c>
      <c r="D129" s="8">
        <f>'F08 Fourth Floor'!F290</f>
        <v>0.0</v>
      </c>
      <c r="E129" s="8">
        <f>'F08 Fourth Floor'!G290</f>
        <v>1.2476839506172839</v>
      </c>
      <c r="F129" s="8">
        <f>'F08 Fourth Floor'!H290</f>
        <v>2.1350617283950615</v>
      </c>
      <c r="G129" s="8">
        <f>'F08 Fourth Floor'!I290</f>
        <v>5.506944444444445</v>
      </c>
      <c r="H129" s="17">
        <f>SUM(C129:G129)</f>
        <v>10.695924691358025</v>
      </c>
    </row>
    <row r="130">
      <c r="A130" s="7" t="inlineStr">
        <is>
          <t>F09</t>
        </is>
      </c>
      <c r="B130" s="7" t="inlineStr">
        <is>
          <t>Fifth Floor (+17500) - typical 4th-8th</t>
        </is>
      </c>
      <c r="C130" s="8">
        <f>'F09 Fifth Floor'!E290</f>
        <v>1.8062345679012344</v>
      </c>
      <c r="D130" s="8">
        <f>'F09 Fifth Floor'!F290</f>
        <v>0.0</v>
      </c>
      <c r="E130" s="8">
        <f>'F09 Fifth Floor'!G290</f>
        <v>1.2476839506172839</v>
      </c>
      <c r="F130" s="8">
        <f>'F09 Fifth Floor'!H290</f>
        <v>2.1350617283950615</v>
      </c>
      <c r="G130" s="8">
        <f>'F09 Fifth Floor'!I290</f>
        <v>5.506944444444445</v>
      </c>
      <c r="H130" s="17">
        <f>SUM(C130:G130)</f>
        <v>10.695924691358025</v>
      </c>
    </row>
    <row r="131">
      <c r="A131" s="7" t="inlineStr">
        <is>
          <t>F10</t>
        </is>
      </c>
      <c r="B131" s="7" t="inlineStr">
        <is>
          <t>Sixth Floor (+20800) - typical 4th-8th</t>
        </is>
      </c>
      <c r="C131" s="8">
        <f>'F10 Sixth Floor'!E290</f>
        <v>1.8062345679012344</v>
      </c>
      <c r="D131" s="8">
        <f>'F10 Sixth Floor'!F290</f>
        <v>0.0</v>
      </c>
      <c r="E131" s="8">
        <f>'F10 Sixth Floor'!G290</f>
        <v>1.2476839506172839</v>
      </c>
      <c r="F131" s="8">
        <f>'F10 Sixth Floor'!H290</f>
        <v>2.1350617283950615</v>
      </c>
      <c r="G131" s="8">
        <f>'F10 Sixth Floor'!I290</f>
        <v>5.506944444444445</v>
      </c>
      <c r="H131" s="17">
        <f>SUM(C131:G131)</f>
        <v>10.695924691358025</v>
      </c>
    </row>
    <row r="132">
      <c r="A132" s="7" t="inlineStr">
        <is>
          <t>F11</t>
        </is>
      </c>
      <c r="B132" s="7" t="inlineStr">
        <is>
          <t>Seventh Floor (+24100) - typical 4th-8th</t>
        </is>
      </c>
      <c r="C132" s="8">
        <f>'F11 Seventh Floor'!E290</f>
        <v>1.8062345679012344</v>
      </c>
      <c r="D132" s="8">
        <f>'F11 Seventh Floor'!F290</f>
        <v>0.0</v>
      </c>
      <c r="E132" s="8">
        <f>'F11 Seventh Floor'!G290</f>
        <v>1.2476839506172839</v>
      </c>
      <c r="F132" s="8">
        <f>'F11 Seventh Floor'!H290</f>
        <v>2.1350617283950615</v>
      </c>
      <c r="G132" s="8">
        <f>'F11 Seventh Floor'!I290</f>
        <v>5.506944444444445</v>
      </c>
      <c r="H132" s="17">
        <f>SUM(C132:G132)</f>
        <v>10.695924691358025</v>
      </c>
    </row>
    <row r="133">
      <c r="A133" s="7" t="inlineStr">
        <is>
          <t>F12</t>
        </is>
      </c>
      <c r="B133" s="7" t="inlineStr">
        <is>
          <t>Eighth Floor (+27400) - typical 4th-8th</t>
        </is>
      </c>
      <c r="C133" s="8">
        <f>'F12 Eighth Floor'!E290</f>
        <v>1.8062345679012344</v>
      </c>
      <c r="D133" s="8">
        <f>'F12 Eighth Floor'!F290</f>
        <v>0.0</v>
      </c>
      <c r="E133" s="8">
        <f>'F12 Eighth Floor'!G290</f>
        <v>1.2476839506172839</v>
      </c>
      <c r="F133" s="8">
        <f>'F12 Eighth Floor'!H290</f>
        <v>2.1350617283950615</v>
      </c>
      <c r="G133" s="8">
        <f>'F12 Eighth Floor'!I290</f>
        <v>5.506944444444445</v>
      </c>
      <c r="H133" s="17">
        <f>SUM(C133:G133)</f>
        <v>10.695924691358025</v>
      </c>
    </row>
    <row r="134">
      <c r="A134" s="7" t="inlineStr">
        <is>
          <t>F13</t>
        </is>
      </c>
      <c r="B134" s="7" t="inlineStr">
        <is>
          <t>Ninth Floor (+30700)</t>
        </is>
      </c>
      <c r="C134" s="8">
        <f>'F13 Ninth Floor'!E300</f>
        <v>2.0317283950617284</v>
      </c>
      <c r="D134" s="8">
        <f>'F13 Ninth Floor'!F300</f>
        <v>0.0</v>
      </c>
      <c r="E134" s="8">
        <f>'F13 Ninth Floor'!G300</f>
        <v>1.163456790123457</v>
      </c>
      <c r="F134" s="8">
        <f>'F13 Ninth Floor'!H300</f>
        <v>2.4608641975308636</v>
      </c>
      <c r="G134" s="8">
        <f>'F13 Ninth Floor'!I300</f>
        <v>6.491030092592593</v>
      </c>
      <c r="H134" s="17">
        <f>SUM(C134:G134)</f>
        <v>12.14707947530864</v>
      </c>
    </row>
    <row r="135">
      <c r="A135" s="7" t="inlineStr">
        <is>
          <t>F14</t>
        </is>
      </c>
      <c r="B135" s="7" t="inlineStr">
        <is>
          <t>Tenth Floor (+34000)</t>
        </is>
      </c>
      <c r="C135" s="8">
        <f>'F14 Tenth Floor'!E262</f>
        <v>1.2256790123456789</v>
      </c>
      <c r="D135" s="8">
        <f>'F14 Tenth Floor'!F262</f>
        <v>0.0</v>
      </c>
      <c r="E135" s="8">
        <f>'F14 Tenth Floor'!G262</f>
        <v>1.2189234567901233</v>
      </c>
      <c r="F135" s="8">
        <f>'F14 Tenth Floor'!H262</f>
        <v>0.8103703703703703</v>
      </c>
      <c r="G135" s="8">
        <f>'F14 Tenth Floor'!I262</f>
        <v>4.057388117283951</v>
      </c>
      <c r="H135" s="17">
        <f>SUM(C135:G135)</f>
        <v>7.312360956790123</v>
      </c>
    </row>
    <row r="136">
      <c r="A136" s="7" t="inlineStr">
        <is>
          <t>F15</t>
        </is>
      </c>
      <c r="B136" s="7" t="inlineStr">
        <is>
          <t>Roof Top Terrace (+37300)</t>
        </is>
      </c>
      <c r="C136" s="8">
        <f>'F15 Roof Top Terrace'!E225</f>
        <v>1.3112962962962962</v>
      </c>
      <c r="D136" s="8">
        <f>'F15 Roof Top Terrace'!F225</f>
        <v>0.0</v>
      </c>
      <c r="E136" s="8">
        <f>'F15 Roof Top Terrace'!G225</f>
        <v>1.2563753086419753</v>
      </c>
      <c r="F136" s="8">
        <f>'F15 Roof Top Terrace'!H225</f>
        <v>1.0644444444444443</v>
      </c>
      <c r="G136" s="8">
        <f>'F15 Roof Top Terrace'!I225</f>
        <v>3.6222029320987654</v>
      </c>
      <c r="H136" s="17">
        <f>SUM(C136:G136)</f>
        <v>7.2543189814814815</v>
      </c>
    </row>
    <row r="137">
      <c r="A137" s="7" t="inlineStr">
        <is>
          <t>F16</t>
        </is>
      </c>
      <c r="B137" s="7" t="inlineStr">
        <is>
          <t>Roof Level (+40450)</t>
        </is>
      </c>
      <c r="C137" s="8">
        <f>'F16 Roof Level'!E93</f>
        <v>0.6935802469135802</v>
      </c>
      <c r="D137" s="8">
        <f>'F16 Roof Level'!F93</f>
        <v>0.0</v>
      </c>
      <c r="E137" s="8">
        <f>'F16 Roof Level'!G93</f>
        <v>0.9603555555555554</v>
      </c>
      <c r="F137" s="8">
        <f>'F16 Roof Level'!H93</f>
        <v>1.009962962962963</v>
      </c>
      <c r="G137" s="8">
        <f>'F16 Roof Level'!I93</f>
        <v>0.32349537037037035</v>
      </c>
      <c r="H137" s="17">
        <f>SUM(C137:G137)</f>
        <v>2.987394135802469</v>
      </c>
    </row>
    <row r="138">
      <c r="A138" s="7" t="inlineStr">
        <is>
          <t>F17</t>
        </is>
      </c>
      <c r="B138" s="7" t="inlineStr">
        <is>
          <t>Top of Lift Core (+44650)</t>
        </is>
      </c>
      <c r="C138" s="8">
        <f>'F17 Top of Lift Core'!E18</f>
        <v>0.0</v>
      </c>
      <c r="D138" s="8">
        <f>'F17 Top of Lift Core'!F18</f>
        <v>0.0</v>
      </c>
      <c r="E138" s="8">
        <f>'F17 Top of Lift Core'!G18</f>
        <v>0.0</v>
      </c>
      <c r="F138" s="8">
        <f>'F17 Top of Lift Core'!H18</f>
        <v>0.0</v>
      </c>
      <c r="G138" s="8">
        <f>'F17 Top of Lift Core'!I18</f>
        <v>0.0</v>
      </c>
      <c r="H138" s="17">
        <f>SUM(C138:G138)</f>
        <v>0.0</v>
      </c>
    </row>
    <row r="139">
      <c r="B139" s="16" t="inlineStr">
        <is>
          <t>TOTAL BEAMS - ALL FLOORS</t>
        </is>
      </c>
      <c r="C139" s="11">
        <f>SUM(C121:C138)</f>
        <v>19.68617283950617</v>
      </c>
      <c r="D139" s="11">
        <f>SUM(D121:D138)</f>
        <v>0.0</v>
      </c>
      <c r="E139" s="11">
        <f>SUM(E121:E138)</f>
        <v>14.784671604938271</v>
      </c>
      <c r="F139" s="11">
        <f>SUM(F121:F138)</f>
        <v>22.562925925925924</v>
      </c>
      <c r="G139" s="11">
        <f>SUM(G121:G138)</f>
        <v>54.39158950617284</v>
      </c>
      <c r="H139" s="11">
        <f>SUM(H121:H138)</f>
        <v>111.42535987654321</v>
      </c>
    </row>
    <row r="142">
      <c r="A142" s="12" t="inlineStr">
        <is>
          <t>FLOOR SLABS</t>
        </is>
      </c>
    </row>
    <row r="143">
      <c r="A143" s="6" t="inlineStr">
        <is>
          <t>Ref</t>
        </is>
      </c>
      <c r="B143" s="6" t="inlineStr">
        <is>
          <t>Floor / level</t>
        </is>
      </c>
      <c r="C143" s="6" t="inlineStr">
        <is>
          <t>Y10</t>
        </is>
      </c>
      <c r="D143" s="6" t="inlineStr">
        <is>
          <t>Y12</t>
        </is>
      </c>
      <c r="E143" s="6" t="inlineStr">
        <is>
          <t>Y16</t>
        </is>
      </c>
      <c r="F143" s="6" t="inlineStr">
        <is>
          <t>Y20</t>
        </is>
      </c>
      <c r="G143" s="6" t="inlineStr">
        <is>
          <t>Y25</t>
        </is>
      </c>
      <c r="H143" s="6" t="inlineStr">
        <is>
          <t>TOTAL (t)</t>
        </is>
      </c>
    </row>
    <row r="144">
      <c r="A144" s="7" t="inlineStr">
        <is>
          <t>F00</t>
        </is>
      </c>
      <c r="B144" s="7" t="inlineStr">
        <is>
          <t>Raft foundation &amp; starters (Foundation to Ground)</t>
        </is>
      </c>
      <c r="C144" s="8">
        <f>'F00 Substructure'!E164</f>
        <v>0.0</v>
      </c>
      <c r="D144" s="8">
        <f>'F00 Substructure'!F164</f>
        <v>0.0</v>
      </c>
      <c r="E144" s="8">
        <f>'F00 Substructure'!G164</f>
        <v>0.0</v>
      </c>
      <c r="F144" s="8">
        <f>'F00 Substructure'!H164</f>
        <v>0.0</v>
      </c>
      <c r="G144" s="8">
        <f>'F00 Substructure'!I164</f>
        <v>0.0</v>
      </c>
      <c r="H144" s="17">
        <f>SUM(C144:G144)</f>
        <v>0.0</v>
      </c>
    </row>
    <row r="145">
      <c r="A145" s="7" t="inlineStr">
        <is>
          <t>F01</t>
        </is>
      </c>
      <c r="B145" s="7" t="inlineStr">
        <is>
          <t>Ground floor (+300) - elements rising to next level</t>
        </is>
      </c>
      <c r="C145" s="8">
        <f>'F01 Ground Floor'!E117</f>
        <v>0.0</v>
      </c>
      <c r="D145" s="8">
        <f>'F01 Ground Floor'!F117</f>
        <v>0.0</v>
      </c>
      <c r="E145" s="8">
        <f>'F01 Ground Floor'!G117</f>
        <v>0.0</v>
      </c>
      <c r="F145" s="8">
        <f>'F01 Ground Floor'!H117</f>
        <v>0.0</v>
      </c>
      <c r="G145" s="8">
        <f>'F01 Ground Floor'!I117</f>
        <v>0.0</v>
      </c>
      <c r="H145" s="17">
        <f>SUM(C145:G145)</f>
        <v>0.0</v>
      </c>
    </row>
    <row r="146">
      <c r="A146" s="7" t="inlineStr">
        <is>
          <t>F02</t>
        </is>
      </c>
      <c r="B146" s="7" t="inlineStr">
        <is>
          <t>M1 Level 1B Parking (+2500)</t>
        </is>
      </c>
      <c r="C146" s="8">
        <f>'F02 M1 Level'!E151</f>
        <v>0.0</v>
      </c>
      <c r="D146" s="8">
        <f>'F02 M1 Level'!F151</f>
        <v>25.573977777777774</v>
      </c>
      <c r="E146" s="8">
        <f>'F02 M1 Level'!G151</f>
        <v>3.741827160493827</v>
      </c>
      <c r="F146" s="8">
        <f>'F02 M1 Level'!H151</f>
        <v>0.0</v>
      </c>
      <c r="G146" s="8">
        <f>'F02 M1 Level'!I151</f>
        <v>0.0</v>
      </c>
      <c r="H146" s="17">
        <f>SUM(C146:G146)</f>
        <v>29.3158049382716</v>
      </c>
    </row>
    <row r="147">
      <c r="A147" s="7" t="inlineStr">
        <is>
          <t>F03</t>
        </is>
      </c>
      <c r="B147" s="7" t="inlineStr">
        <is>
          <t>First Floor Level 2A Parking (+4150)</t>
        </is>
      </c>
      <c r="C147" s="8">
        <f>'F03 First Floor'!E179</f>
        <v>0.0</v>
      </c>
      <c r="D147" s="8">
        <f>'F03 First Floor'!F179</f>
        <v>27.94744444444444</v>
      </c>
      <c r="E147" s="8">
        <f>'F03 First Floor'!G179</f>
        <v>2.5279999999999996</v>
      </c>
      <c r="F147" s="8">
        <f>'F03 First Floor'!H179</f>
        <v>0.0</v>
      </c>
      <c r="G147" s="8">
        <f>'F03 First Floor'!I179</f>
        <v>0.0</v>
      </c>
      <c r="H147" s="17">
        <f>SUM(C147:G147)</f>
        <v>30.475444444444438</v>
      </c>
    </row>
    <row r="148">
      <c r="A148" s="7" t="inlineStr">
        <is>
          <t>F04</t>
        </is>
      </c>
      <c r="B148" s="7" t="inlineStr">
        <is>
          <t>M2 Level 2B Parking (+5200)</t>
        </is>
      </c>
      <c r="C148" s="8">
        <f>'F04 M2 Level'!E137</f>
        <v>0.0</v>
      </c>
      <c r="D148" s="8">
        <f>'F04 M2 Level'!F137</f>
        <v>23.77611111111111</v>
      </c>
      <c r="E148" s="8">
        <f>'F04 M2 Level'!G137</f>
        <v>3.741827160493827</v>
      </c>
      <c r="F148" s="8">
        <f>'F04 M2 Level'!H137</f>
        <v>0.0</v>
      </c>
      <c r="G148" s="8">
        <f>'F04 M2 Level'!I137</f>
        <v>0.0</v>
      </c>
      <c r="H148" s="17">
        <f>SUM(C148:G148)</f>
        <v>27.517938271604937</v>
      </c>
    </row>
    <row r="149">
      <c r="A149" s="7" t="inlineStr">
        <is>
          <t>F05</t>
        </is>
      </c>
      <c r="B149" s="7" t="inlineStr">
        <is>
          <t>Second Floor Level 3A Parking (+6850)</t>
        </is>
      </c>
      <c r="C149" s="8">
        <f>'F05 Second Floor'!E181</f>
        <v>0.0</v>
      </c>
      <c r="D149" s="8">
        <f>'F05 Second Floor'!F181</f>
        <v>35.12697777777777</v>
      </c>
      <c r="E149" s="8">
        <f>'F05 Second Floor'!G181</f>
        <v>0.028444444444444442</v>
      </c>
      <c r="F149" s="8">
        <f>'F05 Second Floor'!H181</f>
        <v>0.0</v>
      </c>
      <c r="G149" s="8">
        <f>'F05 Second Floor'!I181</f>
        <v>0.0</v>
      </c>
      <c r="H149" s="17">
        <f>SUM(C149:G149)</f>
        <v>35.155422222222214</v>
      </c>
    </row>
    <row r="150">
      <c r="A150" s="7" t="inlineStr">
        <is>
          <t>F06</t>
        </is>
      </c>
      <c r="B150" s="7" t="inlineStr">
        <is>
          <t>Mezzanine Floor 3B Parking (+7900)</t>
        </is>
      </c>
      <c r="C150" s="8">
        <f>'F06 Mezzanine Floor'!E128</f>
        <v>0.0</v>
      </c>
      <c r="D150" s="8">
        <f>'F06 Mezzanine Floor'!F128</f>
        <v>33.92935555555555</v>
      </c>
      <c r="E150" s="8">
        <f>'F06 Mezzanine Floor'!G128</f>
        <v>0.0</v>
      </c>
      <c r="F150" s="8">
        <f>'F06 Mezzanine Floor'!H128</f>
        <v>0.0</v>
      </c>
      <c r="G150" s="8">
        <f>'F06 Mezzanine Floor'!I128</f>
        <v>0.0</v>
      </c>
      <c r="H150" s="17">
        <f>SUM(C150:G150)</f>
        <v>33.92935555555555</v>
      </c>
    </row>
    <row r="151">
      <c r="A151" s="7" t="inlineStr">
        <is>
          <t>F07</t>
        </is>
      </c>
      <c r="B151" s="7" t="inlineStr">
        <is>
          <t>Third Floor (+10900)</t>
        </is>
      </c>
      <c r="C151" s="8">
        <f>'F07 Third Floor'!E240</f>
        <v>0.0</v>
      </c>
      <c r="D151" s="8">
        <f>'F07 Third Floor'!F240</f>
        <v>56.827711111111114</v>
      </c>
      <c r="E151" s="8">
        <f>'F07 Third Floor'!G240</f>
        <v>0.14565925925925924</v>
      </c>
      <c r="F151" s="8">
        <f>'F07 Third Floor'!H240</f>
        <v>0.0</v>
      </c>
      <c r="G151" s="8">
        <f>'F07 Third Floor'!I240</f>
        <v>0.0</v>
      </c>
      <c r="H151" s="17">
        <f>SUM(C151:G151)</f>
        <v>56.973370370370375</v>
      </c>
    </row>
    <row r="152">
      <c r="A152" s="7" t="inlineStr">
        <is>
          <t>F08</t>
        </is>
      </c>
      <c r="B152" s="7" t="inlineStr">
        <is>
          <t>Fourth Floor (+14200) - typical 4th-8th</t>
        </is>
      </c>
      <c r="C152" s="8">
        <f>'F08 Fourth Floor'!E291</f>
        <v>0.0</v>
      </c>
      <c r="D152" s="8">
        <f>'F08 Fourth Floor'!F291</f>
        <v>49.804440888888884</v>
      </c>
      <c r="E152" s="8">
        <f>'F08 Fourth Floor'!G291</f>
        <v>0.1505185185185185</v>
      </c>
      <c r="F152" s="8">
        <f>'F08 Fourth Floor'!H291</f>
        <v>0.0</v>
      </c>
      <c r="G152" s="8">
        <f>'F08 Fourth Floor'!I291</f>
        <v>0.0</v>
      </c>
      <c r="H152" s="17">
        <f>SUM(C152:G152)</f>
        <v>49.9549594074074</v>
      </c>
    </row>
    <row r="153">
      <c r="A153" s="7" t="inlineStr">
        <is>
          <t>F09</t>
        </is>
      </c>
      <c r="B153" s="7" t="inlineStr">
        <is>
          <t>Fifth Floor (+17500) - typical 4th-8th</t>
        </is>
      </c>
      <c r="C153" s="8">
        <f>'F09 Fifth Floor'!E291</f>
        <v>0.0</v>
      </c>
      <c r="D153" s="8">
        <f>'F09 Fifth Floor'!F291</f>
        <v>49.804440888888884</v>
      </c>
      <c r="E153" s="8">
        <f>'F09 Fifth Floor'!G291</f>
        <v>0.1505185185185185</v>
      </c>
      <c r="F153" s="8">
        <f>'F09 Fifth Floor'!H291</f>
        <v>0.0</v>
      </c>
      <c r="G153" s="8">
        <f>'F09 Fifth Floor'!I291</f>
        <v>0.0</v>
      </c>
      <c r="H153" s="17">
        <f>SUM(C153:G153)</f>
        <v>49.9549594074074</v>
      </c>
    </row>
    <row r="154">
      <c r="A154" s="7" t="inlineStr">
        <is>
          <t>F10</t>
        </is>
      </c>
      <c r="B154" s="7" t="inlineStr">
        <is>
          <t>Sixth Floor (+20800) - typical 4th-8th</t>
        </is>
      </c>
      <c r="C154" s="8">
        <f>'F10 Sixth Floor'!E291</f>
        <v>0.0</v>
      </c>
      <c r="D154" s="8">
        <f>'F10 Sixth Floor'!F291</f>
        <v>49.804440888888884</v>
      </c>
      <c r="E154" s="8">
        <f>'F10 Sixth Floor'!G291</f>
        <v>0.1505185185185185</v>
      </c>
      <c r="F154" s="8">
        <f>'F10 Sixth Floor'!H291</f>
        <v>0.0</v>
      </c>
      <c r="G154" s="8">
        <f>'F10 Sixth Floor'!I291</f>
        <v>0.0</v>
      </c>
      <c r="H154" s="17">
        <f>SUM(C154:G154)</f>
        <v>49.9549594074074</v>
      </c>
    </row>
    <row r="155">
      <c r="A155" s="7" t="inlineStr">
        <is>
          <t>F11</t>
        </is>
      </c>
      <c r="B155" s="7" t="inlineStr">
        <is>
          <t>Seventh Floor (+24100) - typical 4th-8th</t>
        </is>
      </c>
      <c r="C155" s="8">
        <f>'F11 Seventh Floor'!E291</f>
        <v>0.0</v>
      </c>
      <c r="D155" s="8">
        <f>'F11 Seventh Floor'!F291</f>
        <v>49.804440888888884</v>
      </c>
      <c r="E155" s="8">
        <f>'F11 Seventh Floor'!G291</f>
        <v>0.1505185185185185</v>
      </c>
      <c r="F155" s="8">
        <f>'F11 Seventh Floor'!H291</f>
        <v>0.0</v>
      </c>
      <c r="G155" s="8">
        <f>'F11 Seventh Floor'!I291</f>
        <v>0.0</v>
      </c>
      <c r="H155" s="17">
        <f>SUM(C155:G155)</f>
        <v>49.9549594074074</v>
      </c>
    </row>
    <row r="156">
      <c r="A156" s="7" t="inlineStr">
        <is>
          <t>F12</t>
        </is>
      </c>
      <c r="B156" s="7" t="inlineStr">
        <is>
          <t>Eighth Floor (+27400) - typical 4th-8th</t>
        </is>
      </c>
      <c r="C156" s="8">
        <f>'F12 Eighth Floor'!E291</f>
        <v>0.0</v>
      </c>
      <c r="D156" s="8">
        <f>'F12 Eighth Floor'!F291</f>
        <v>49.804440888888884</v>
      </c>
      <c r="E156" s="8">
        <f>'F12 Eighth Floor'!G291</f>
        <v>0.1505185185185185</v>
      </c>
      <c r="F156" s="8">
        <f>'F12 Eighth Floor'!H291</f>
        <v>0.0</v>
      </c>
      <c r="G156" s="8">
        <f>'F12 Eighth Floor'!I291</f>
        <v>0.0</v>
      </c>
      <c r="H156" s="17">
        <f>SUM(C156:G156)</f>
        <v>49.9549594074074</v>
      </c>
    </row>
    <row r="157">
      <c r="A157" s="7" t="inlineStr">
        <is>
          <t>F13</t>
        </is>
      </c>
      <c r="B157" s="7" t="inlineStr">
        <is>
          <t>Ninth Floor (+30700)</t>
        </is>
      </c>
      <c r="C157" s="8">
        <f>'F13 Ninth Floor'!E301</f>
        <v>0.0</v>
      </c>
      <c r="D157" s="8">
        <f>'F13 Ninth Floor'!F301</f>
        <v>50.00684088888889</v>
      </c>
      <c r="E157" s="8">
        <f>'F13 Ninth Floor'!G301</f>
        <v>0.1505185185185185</v>
      </c>
      <c r="F157" s="8">
        <f>'F13 Ninth Floor'!H301</f>
        <v>0.0</v>
      </c>
      <c r="G157" s="8">
        <f>'F13 Ninth Floor'!I301</f>
        <v>0.0</v>
      </c>
      <c r="H157" s="17">
        <f>SUM(C157:G157)</f>
        <v>50.157359407407405</v>
      </c>
    </row>
    <row r="158">
      <c r="A158" s="7" t="inlineStr">
        <is>
          <t>F14</t>
        </is>
      </c>
      <c r="B158" s="7" t="inlineStr">
        <is>
          <t>Tenth Floor (+34000)</t>
        </is>
      </c>
      <c r="C158" s="8">
        <f>'F14 Tenth Floor'!E263</f>
        <v>0.0</v>
      </c>
      <c r="D158" s="8">
        <f>'F14 Tenth Floor'!F263</f>
        <v>36.276244444444444</v>
      </c>
      <c r="E158" s="8">
        <f>'F14 Tenth Floor'!G263</f>
        <v>0.14767407407407407</v>
      </c>
      <c r="F158" s="8">
        <f>'F14 Tenth Floor'!H263</f>
        <v>0.0</v>
      </c>
      <c r="G158" s="8">
        <f>'F14 Tenth Floor'!I263</f>
        <v>0.0</v>
      </c>
      <c r="H158" s="17">
        <f>SUM(C158:G158)</f>
        <v>36.42391851851852</v>
      </c>
    </row>
    <row r="159">
      <c r="A159" s="7" t="inlineStr">
        <is>
          <t>F15</t>
        </is>
      </c>
      <c r="B159" s="7" t="inlineStr">
        <is>
          <t>Roof Top Terrace (+37300)</t>
        </is>
      </c>
      <c r="C159" s="8">
        <f>'F15 Roof Top Terrace'!E226</f>
        <v>0.0</v>
      </c>
      <c r="D159" s="8">
        <f>'F15 Roof Top Terrace'!F226</f>
        <v>42.840666666666664</v>
      </c>
      <c r="E159" s="8">
        <f>'F15 Roof Top Terrace'!G226</f>
        <v>0.18394074074074074</v>
      </c>
      <c r="F159" s="8">
        <f>'F15 Roof Top Terrace'!H226</f>
        <v>0.0</v>
      </c>
      <c r="G159" s="8">
        <f>'F15 Roof Top Terrace'!I226</f>
        <v>0.0</v>
      </c>
      <c r="H159" s="17">
        <f>SUM(C159:G159)</f>
        <v>43.0246074074074</v>
      </c>
    </row>
    <row r="160">
      <c r="A160" s="7" t="inlineStr">
        <is>
          <t>F16</t>
        </is>
      </c>
      <c r="B160" s="7" t="inlineStr">
        <is>
          <t>Roof Level (+40450)</t>
        </is>
      </c>
      <c r="C160" s="8">
        <f>'F16 Roof Level'!E94</f>
        <v>0.0</v>
      </c>
      <c r="D160" s="8">
        <f>'F16 Roof Level'!F94</f>
        <v>4.5732</v>
      </c>
      <c r="E160" s="8">
        <f>'F16 Roof Level'!G94</f>
        <v>0.0</v>
      </c>
      <c r="F160" s="8">
        <f>'F16 Roof Level'!H94</f>
        <v>0.0</v>
      </c>
      <c r="G160" s="8">
        <f>'F16 Roof Level'!I94</f>
        <v>0.0</v>
      </c>
      <c r="H160" s="17">
        <f>SUM(C160:G160)</f>
        <v>4.5732</v>
      </c>
    </row>
    <row r="161">
      <c r="A161" s="7" t="inlineStr">
        <is>
          <t>F17</t>
        </is>
      </c>
      <c r="B161" s="7" t="inlineStr">
        <is>
          <t>Top of Lift Core (+44650)</t>
        </is>
      </c>
      <c r="C161" s="8">
        <f>'F17 Top of Lift Core'!E19</f>
        <v>0.0</v>
      </c>
      <c r="D161" s="8">
        <f>'F17 Top of Lift Core'!F19</f>
        <v>0.0</v>
      </c>
      <c r="E161" s="8">
        <f>'F17 Top of Lift Core'!G19</f>
        <v>0.0</v>
      </c>
      <c r="F161" s="8">
        <f>'F17 Top of Lift Core'!H19</f>
        <v>0.0</v>
      </c>
      <c r="G161" s="8">
        <f>'F17 Top of Lift Core'!I19</f>
        <v>0.0</v>
      </c>
      <c r="H161" s="17">
        <f>SUM(C161:G161)</f>
        <v>0.0</v>
      </c>
    </row>
    <row r="162">
      <c r="B162" s="16" t="inlineStr">
        <is>
          <t>TOTAL FLOOR SLABS - ALL FLOORS</t>
        </is>
      </c>
      <c r="C162" s="11">
        <f>SUM(C144:C161)</f>
        <v>0.0</v>
      </c>
      <c r="D162" s="11">
        <f>SUM(D144:D161)</f>
        <v>585.9007342222221</v>
      </c>
      <c r="E162" s="11">
        <f>SUM(E144:E161)</f>
        <v>11.420483950617283</v>
      </c>
      <c r="F162" s="11">
        <f>SUM(F144:F161)</f>
        <v>0.0</v>
      </c>
      <c r="G162" s="11">
        <f>SUM(G144:G161)</f>
        <v>0.0</v>
      </c>
      <c r="H162" s="11">
        <f>SUM(H144:H161)</f>
        <v>597.3212181728395</v>
      </c>
    </row>
    <row r="165">
      <c r="A165" s="12" t="inlineStr">
        <is>
          <t>STAIRCASES</t>
        </is>
      </c>
    </row>
    <row r="166">
      <c r="A166" s="6" t="inlineStr">
        <is>
          <t>Ref</t>
        </is>
      </c>
      <c r="B166" s="6" t="inlineStr">
        <is>
          <t>Floor / level</t>
        </is>
      </c>
      <c r="C166" s="6" t="inlineStr">
        <is>
          <t>Y10</t>
        </is>
      </c>
      <c r="D166" s="6" t="inlineStr">
        <is>
          <t>Y12</t>
        </is>
      </c>
      <c r="E166" s="6" t="inlineStr">
        <is>
          <t>Y16</t>
        </is>
      </c>
      <c r="F166" s="6" t="inlineStr">
        <is>
          <t>Y20</t>
        </is>
      </c>
      <c r="G166" s="6" t="inlineStr">
        <is>
          <t>Y25</t>
        </is>
      </c>
      <c r="H166" s="6" t="inlineStr">
        <is>
          <t>TOTAL (t)</t>
        </is>
      </c>
    </row>
    <row r="167">
      <c r="A167" s="7" t="inlineStr">
        <is>
          <t>F00</t>
        </is>
      </c>
      <c r="B167" s="7" t="inlineStr">
        <is>
          <t>Raft foundation &amp; starters (Foundation to Ground)</t>
        </is>
      </c>
      <c r="C167" s="8">
        <f>'F00 Substructure'!E165</f>
        <v>0.0</v>
      </c>
      <c r="D167" s="8">
        <f>'F00 Substructure'!F165</f>
        <v>0.0</v>
      </c>
      <c r="E167" s="8">
        <f>'F00 Substructure'!G165</f>
        <v>0.0</v>
      </c>
      <c r="F167" s="8">
        <f>'F00 Substructure'!H165</f>
        <v>0.0</v>
      </c>
      <c r="G167" s="8">
        <f>'F00 Substructure'!I165</f>
        <v>0.0</v>
      </c>
      <c r="H167" s="17">
        <f>SUM(C167:G167)</f>
        <v>0.0</v>
      </c>
    </row>
    <row r="168">
      <c r="A168" s="7" t="inlineStr">
        <is>
          <t>F01</t>
        </is>
      </c>
      <c r="B168" s="7" t="inlineStr">
        <is>
          <t>Ground floor (+300) - elements rising to next level</t>
        </is>
      </c>
      <c r="C168" s="8">
        <f>'F01 Ground Floor'!E118</f>
        <v>0.0</v>
      </c>
      <c r="D168" s="8">
        <f>'F01 Ground Floor'!F118</f>
        <v>0.8796444444444443</v>
      </c>
      <c r="E168" s="8">
        <f>'F01 Ground Floor'!G118</f>
        <v>1.1916246913580246</v>
      </c>
      <c r="F168" s="8">
        <f>'F01 Ground Floor'!H118</f>
        <v>0.0</v>
      </c>
      <c r="G168" s="8">
        <f>'F01 Ground Floor'!I118</f>
        <v>0.0</v>
      </c>
      <c r="H168" s="17">
        <f>SUM(C168:G168)</f>
        <v>2.071269135802469</v>
      </c>
    </row>
    <row r="169">
      <c r="A169" s="7" t="inlineStr">
        <is>
          <t>F02</t>
        </is>
      </c>
      <c r="B169" s="7" t="inlineStr">
        <is>
          <t>M1 Level 1B Parking (+2500)</t>
        </is>
      </c>
      <c r="C169" s="8">
        <f>'F02 M1 Level'!E152</f>
        <v>0.0</v>
      </c>
      <c r="D169" s="8">
        <f>'F02 M1 Level'!F152</f>
        <v>0.43982222222222217</v>
      </c>
      <c r="E169" s="8">
        <f>'F02 M1 Level'!G152</f>
        <v>0.694004938271605</v>
      </c>
      <c r="F169" s="8">
        <f>'F02 M1 Level'!H152</f>
        <v>0.0</v>
      </c>
      <c r="G169" s="8">
        <f>'F02 M1 Level'!I152</f>
        <v>0.0</v>
      </c>
      <c r="H169" s="17">
        <f>SUM(C169:G169)</f>
        <v>1.1338271604938273</v>
      </c>
    </row>
    <row r="170">
      <c r="A170" s="7" t="inlineStr">
        <is>
          <t>F03</t>
        </is>
      </c>
      <c r="B170" s="7" t="inlineStr">
        <is>
          <t>First Floor Level 2A Parking (+4150)</t>
        </is>
      </c>
      <c r="C170" s="8">
        <f>'F03 First Floor'!E180</f>
        <v>0.0</v>
      </c>
      <c r="D170" s="8">
        <f>'F03 First Floor'!F180</f>
        <v>0.43982222222222217</v>
      </c>
      <c r="E170" s="8">
        <f>'F03 First Floor'!G180</f>
        <v>0.740069135802469</v>
      </c>
      <c r="F170" s="8">
        <f>'F03 First Floor'!H180</f>
        <v>0.0</v>
      </c>
      <c r="G170" s="8">
        <f>'F03 First Floor'!I180</f>
        <v>0.0</v>
      </c>
      <c r="H170" s="17">
        <f>SUM(C170:G170)</f>
        <v>1.1798913580246913</v>
      </c>
    </row>
    <row r="171">
      <c r="A171" s="7" t="inlineStr">
        <is>
          <t>F04</t>
        </is>
      </c>
      <c r="B171" s="7" t="inlineStr">
        <is>
          <t>M2 Level 2B Parking (+5200)</t>
        </is>
      </c>
      <c r="C171" s="8">
        <f>'F04 M2 Level'!E138</f>
        <v>0.0</v>
      </c>
      <c r="D171" s="8">
        <f>'F04 M2 Level'!F138</f>
        <v>0.43982222222222217</v>
      </c>
      <c r="E171" s="8">
        <f>'F04 M2 Level'!G138</f>
        <v>0.694004938271605</v>
      </c>
      <c r="F171" s="8">
        <f>'F04 M2 Level'!H138</f>
        <v>0.0</v>
      </c>
      <c r="G171" s="8">
        <f>'F04 M2 Level'!I138</f>
        <v>0.0</v>
      </c>
      <c r="H171" s="17">
        <f>SUM(C171:G171)</f>
        <v>1.1338271604938273</v>
      </c>
    </row>
    <row r="172">
      <c r="A172" s="7" t="inlineStr">
        <is>
          <t>F05</t>
        </is>
      </c>
      <c r="B172" s="7" t="inlineStr">
        <is>
          <t>Second Floor Level 3A Parking (+6850)</t>
        </is>
      </c>
      <c r="C172" s="8">
        <f>'F05 Second Floor'!E182</f>
        <v>0.0</v>
      </c>
      <c r="D172" s="8">
        <f>'F05 Second Floor'!F182</f>
        <v>0.43982222222222217</v>
      </c>
      <c r="E172" s="8">
        <f>'F05 Second Floor'!G182</f>
        <v>0.740069135802469</v>
      </c>
      <c r="F172" s="8">
        <f>'F05 Second Floor'!H182</f>
        <v>0.0</v>
      </c>
      <c r="G172" s="8">
        <f>'F05 Second Floor'!I182</f>
        <v>0.0</v>
      </c>
      <c r="H172" s="17">
        <f>SUM(C172:G172)</f>
        <v>1.1798913580246913</v>
      </c>
    </row>
    <row r="173">
      <c r="A173" s="7" t="inlineStr">
        <is>
          <t>F06</t>
        </is>
      </c>
      <c r="B173" s="7" t="inlineStr">
        <is>
          <t>Mezzanine Floor 3B Parking (+7900)</t>
        </is>
      </c>
      <c r="C173" s="8">
        <f>'F06 Mezzanine Floor'!E129</f>
        <v>0.0</v>
      </c>
      <c r="D173" s="8">
        <f>'F06 Mezzanine Floor'!F129</f>
        <v>0.43982222222222217</v>
      </c>
      <c r="E173" s="8">
        <f>'F06 Mezzanine Floor'!G129</f>
        <v>0.694004938271605</v>
      </c>
      <c r="F173" s="8">
        <f>'F06 Mezzanine Floor'!H129</f>
        <v>0.0</v>
      </c>
      <c r="G173" s="8">
        <f>'F06 Mezzanine Floor'!I129</f>
        <v>0.0</v>
      </c>
      <c r="H173" s="17">
        <f>SUM(C173:G173)</f>
        <v>1.1338271604938273</v>
      </c>
    </row>
    <row r="174">
      <c r="A174" s="7" t="inlineStr">
        <is>
          <t>F07</t>
        </is>
      </c>
      <c r="B174" s="7" t="inlineStr">
        <is>
          <t>Third Floor (+10900)</t>
        </is>
      </c>
      <c r="C174" s="8">
        <f>'F07 Third Floor'!E241</f>
        <v>0.0</v>
      </c>
      <c r="D174" s="8">
        <f>'F07 Third Floor'!F241</f>
        <v>0.8796444444444443</v>
      </c>
      <c r="E174" s="8">
        <f>'F07 Third Floor'!G241</f>
        <v>1.4340740740740738</v>
      </c>
      <c r="F174" s="8">
        <f>'F07 Third Floor'!H241</f>
        <v>0.0</v>
      </c>
      <c r="G174" s="8">
        <f>'F07 Third Floor'!I241</f>
        <v>0.0</v>
      </c>
      <c r="H174" s="17">
        <f>SUM(C174:G174)</f>
        <v>2.313718518518518</v>
      </c>
    </row>
    <row r="175">
      <c r="A175" s="7" t="inlineStr">
        <is>
          <t>F08</t>
        </is>
      </c>
      <c r="B175" s="7" t="inlineStr">
        <is>
          <t>Fourth Floor (+14200) - typical 4th-8th</t>
        </is>
      </c>
      <c r="C175" s="8">
        <f>'F08 Fourth Floor'!E292</f>
        <v>0.0</v>
      </c>
      <c r="D175" s="8">
        <f>'F08 Fourth Floor'!F292</f>
        <v>0.8796444444444443</v>
      </c>
      <c r="E175" s="8">
        <f>'F08 Fourth Floor'!G292</f>
        <v>1.4340740740740738</v>
      </c>
      <c r="F175" s="8">
        <f>'F08 Fourth Floor'!H292</f>
        <v>0.0</v>
      </c>
      <c r="G175" s="8">
        <f>'F08 Fourth Floor'!I292</f>
        <v>0.0</v>
      </c>
      <c r="H175" s="17">
        <f>SUM(C175:G175)</f>
        <v>2.313718518518518</v>
      </c>
    </row>
    <row r="176">
      <c r="A176" s="7" t="inlineStr">
        <is>
          <t>F09</t>
        </is>
      </c>
      <c r="B176" s="7" t="inlineStr">
        <is>
          <t>Fifth Floor (+17500) - typical 4th-8th</t>
        </is>
      </c>
      <c r="C176" s="8">
        <f>'F09 Fifth Floor'!E292</f>
        <v>0.0</v>
      </c>
      <c r="D176" s="8">
        <f>'F09 Fifth Floor'!F292</f>
        <v>0.8796444444444443</v>
      </c>
      <c r="E176" s="8">
        <f>'F09 Fifth Floor'!G292</f>
        <v>1.4340740740740738</v>
      </c>
      <c r="F176" s="8">
        <f>'F09 Fifth Floor'!H292</f>
        <v>0.0</v>
      </c>
      <c r="G176" s="8">
        <f>'F09 Fifth Floor'!I292</f>
        <v>0.0</v>
      </c>
      <c r="H176" s="17">
        <f>SUM(C176:G176)</f>
        <v>2.313718518518518</v>
      </c>
    </row>
    <row r="177">
      <c r="A177" s="7" t="inlineStr">
        <is>
          <t>F10</t>
        </is>
      </c>
      <c r="B177" s="7" t="inlineStr">
        <is>
          <t>Sixth Floor (+20800) - typical 4th-8th</t>
        </is>
      </c>
      <c r="C177" s="8">
        <f>'F10 Sixth Floor'!E292</f>
        <v>0.0</v>
      </c>
      <c r="D177" s="8">
        <f>'F10 Sixth Floor'!F292</f>
        <v>0.8796444444444443</v>
      </c>
      <c r="E177" s="8">
        <f>'F10 Sixth Floor'!G292</f>
        <v>1.4340740740740738</v>
      </c>
      <c r="F177" s="8">
        <f>'F10 Sixth Floor'!H292</f>
        <v>0.0</v>
      </c>
      <c r="G177" s="8">
        <f>'F10 Sixth Floor'!I292</f>
        <v>0.0</v>
      </c>
      <c r="H177" s="17">
        <f>SUM(C177:G177)</f>
        <v>2.313718518518518</v>
      </c>
    </row>
    <row r="178">
      <c r="A178" s="7" t="inlineStr">
        <is>
          <t>F11</t>
        </is>
      </c>
      <c r="B178" s="7" t="inlineStr">
        <is>
          <t>Seventh Floor (+24100) - typical 4th-8th</t>
        </is>
      </c>
      <c r="C178" s="8">
        <f>'F11 Seventh Floor'!E292</f>
        <v>0.0</v>
      </c>
      <c r="D178" s="8">
        <f>'F11 Seventh Floor'!F292</f>
        <v>0.8796444444444443</v>
      </c>
      <c r="E178" s="8">
        <f>'F11 Seventh Floor'!G292</f>
        <v>1.4340740740740738</v>
      </c>
      <c r="F178" s="8">
        <f>'F11 Seventh Floor'!H292</f>
        <v>0.0</v>
      </c>
      <c r="G178" s="8">
        <f>'F11 Seventh Floor'!I292</f>
        <v>0.0</v>
      </c>
      <c r="H178" s="17">
        <f>SUM(C178:G178)</f>
        <v>2.313718518518518</v>
      </c>
    </row>
    <row r="179">
      <c r="A179" s="7" t="inlineStr">
        <is>
          <t>F12</t>
        </is>
      </c>
      <c r="B179" s="7" t="inlineStr">
        <is>
          <t>Eighth Floor (+27400) - typical 4th-8th</t>
        </is>
      </c>
      <c r="C179" s="8">
        <f>'F12 Eighth Floor'!E292</f>
        <v>0.0</v>
      </c>
      <c r="D179" s="8">
        <f>'F12 Eighth Floor'!F292</f>
        <v>0.8796444444444443</v>
      </c>
      <c r="E179" s="8">
        <f>'F12 Eighth Floor'!G292</f>
        <v>1.4340740740740738</v>
      </c>
      <c r="F179" s="8">
        <f>'F12 Eighth Floor'!H292</f>
        <v>0.0</v>
      </c>
      <c r="G179" s="8">
        <f>'F12 Eighth Floor'!I292</f>
        <v>0.0</v>
      </c>
      <c r="H179" s="17">
        <f>SUM(C179:G179)</f>
        <v>2.313718518518518</v>
      </c>
    </row>
    <row r="180">
      <c r="A180" s="7" t="inlineStr">
        <is>
          <t>F13</t>
        </is>
      </c>
      <c r="B180" s="7" t="inlineStr">
        <is>
          <t>Ninth Floor (+30700)</t>
        </is>
      </c>
      <c r="C180" s="8">
        <f>'F13 Ninth Floor'!E302</f>
        <v>0.0</v>
      </c>
      <c r="D180" s="8">
        <f>'F13 Ninth Floor'!F302</f>
        <v>0.8796444444444443</v>
      </c>
      <c r="E180" s="8">
        <f>'F13 Ninth Floor'!G302</f>
        <v>1.4340740740740738</v>
      </c>
      <c r="F180" s="8">
        <f>'F13 Ninth Floor'!H302</f>
        <v>0.0</v>
      </c>
      <c r="G180" s="8">
        <f>'F13 Ninth Floor'!I302</f>
        <v>0.0</v>
      </c>
      <c r="H180" s="17">
        <f>SUM(C180:G180)</f>
        <v>2.313718518518518</v>
      </c>
    </row>
    <row r="181">
      <c r="A181" s="7" t="inlineStr">
        <is>
          <t>F14</t>
        </is>
      </c>
      <c r="B181" s="7" t="inlineStr">
        <is>
          <t>Tenth Floor (+34000)</t>
        </is>
      </c>
      <c r="C181" s="8">
        <f>'F14 Tenth Floor'!E264</f>
        <v>0.0</v>
      </c>
      <c r="D181" s="8">
        <f>'F14 Tenth Floor'!F264</f>
        <v>0.8796444444444443</v>
      </c>
      <c r="E181" s="8">
        <f>'F14 Tenth Floor'!G264</f>
        <v>1.4340740740740738</v>
      </c>
      <c r="F181" s="8">
        <f>'F14 Tenth Floor'!H264</f>
        <v>0.0</v>
      </c>
      <c r="G181" s="8">
        <f>'F14 Tenth Floor'!I264</f>
        <v>0.0</v>
      </c>
      <c r="H181" s="17">
        <f>SUM(C181:G181)</f>
        <v>2.313718518518518</v>
      </c>
    </row>
    <row r="182">
      <c r="A182" s="7" t="inlineStr">
        <is>
          <t>F15</t>
        </is>
      </c>
      <c r="B182" s="7" t="inlineStr">
        <is>
          <t>Roof Top Terrace (+37300)</t>
        </is>
      </c>
      <c r="C182" s="8">
        <f>'F15 Roof Top Terrace'!E227</f>
        <v>0.0</v>
      </c>
      <c r="D182" s="8">
        <f>'F15 Roof Top Terrace'!F227</f>
        <v>0.0</v>
      </c>
      <c r="E182" s="8">
        <f>'F15 Roof Top Terrace'!G227</f>
        <v>0.0</v>
      </c>
      <c r="F182" s="8">
        <f>'F15 Roof Top Terrace'!H227</f>
        <v>0.0</v>
      </c>
      <c r="G182" s="8">
        <f>'F15 Roof Top Terrace'!I227</f>
        <v>0.0</v>
      </c>
      <c r="H182" s="17">
        <f>SUM(C182:G182)</f>
        <v>0.0</v>
      </c>
    </row>
    <row r="183">
      <c r="A183" s="7" t="inlineStr">
        <is>
          <t>F16</t>
        </is>
      </c>
      <c r="B183" s="7" t="inlineStr">
        <is>
          <t>Roof Level (+40450)</t>
        </is>
      </c>
      <c r="C183" s="8">
        <f>'F16 Roof Level'!E95</f>
        <v>0.0</v>
      </c>
      <c r="D183" s="8">
        <f>'F16 Roof Level'!F95</f>
        <v>0.0</v>
      </c>
      <c r="E183" s="8">
        <f>'F16 Roof Level'!G95</f>
        <v>0.0</v>
      </c>
      <c r="F183" s="8">
        <f>'F16 Roof Level'!H95</f>
        <v>0.0</v>
      </c>
      <c r="G183" s="8">
        <f>'F16 Roof Level'!I95</f>
        <v>0.0</v>
      </c>
      <c r="H183" s="17">
        <f>SUM(C183:G183)</f>
        <v>0.0</v>
      </c>
    </row>
    <row r="184">
      <c r="A184" s="7" t="inlineStr">
        <is>
          <t>F17</t>
        </is>
      </c>
      <c r="B184" s="7" t="inlineStr">
        <is>
          <t>Top of Lift Core (+44650)</t>
        </is>
      </c>
      <c r="C184" s="8">
        <f>'F17 Top of Lift Core'!E20</f>
        <v>0.0</v>
      </c>
      <c r="D184" s="8">
        <f>'F17 Top of Lift Core'!F20</f>
        <v>0.0</v>
      </c>
      <c r="E184" s="8">
        <f>'F17 Top of Lift Core'!G20</f>
        <v>0.0</v>
      </c>
      <c r="F184" s="8">
        <f>'F17 Top of Lift Core'!H20</f>
        <v>0.0</v>
      </c>
      <c r="G184" s="8">
        <f>'F17 Top of Lift Core'!I20</f>
        <v>0.0</v>
      </c>
      <c r="H184" s="17">
        <f>SUM(C184:G184)</f>
        <v>0.0</v>
      </c>
    </row>
    <row r="185">
      <c r="B185" s="16" t="inlineStr">
        <is>
          <t>TOTAL STAIRCASES - ALL FLOORS</t>
        </is>
      </c>
      <c r="C185" s="11">
        <f>SUM(C167:C184)</f>
        <v>0.0</v>
      </c>
      <c r="D185" s="11">
        <f>SUM(D167:D184)</f>
        <v>10.11591111111111</v>
      </c>
      <c r="E185" s="11">
        <f>SUM(E167:E184)</f>
        <v>16.22637037037037</v>
      </c>
      <c r="F185" s="11">
        <f>SUM(F167:F184)</f>
        <v>0.0</v>
      </c>
      <c r="G185" s="11">
        <f>SUM(G167:G184)</f>
        <v>0.0</v>
      </c>
      <c r="H185" s="11">
        <f>SUM(H167:H184)</f>
        <v>26.34228148148148</v>
      </c>
    </row>
    <row r="188">
      <c r="A188" s="12" t="inlineStr">
        <is>
          <t>LIFT CORE ROOF SLAB</t>
        </is>
      </c>
    </row>
    <row r="189">
      <c r="A189" s="6" t="inlineStr">
        <is>
          <t>Ref</t>
        </is>
      </c>
      <c r="B189" s="6" t="inlineStr">
        <is>
          <t>Floor / level</t>
        </is>
      </c>
      <c r="C189" s="6" t="inlineStr">
        <is>
          <t>Y10</t>
        </is>
      </c>
      <c r="D189" s="6" t="inlineStr">
        <is>
          <t>Y12</t>
        </is>
      </c>
      <c r="E189" s="6" t="inlineStr">
        <is>
          <t>Y16</t>
        </is>
      </c>
      <c r="F189" s="6" t="inlineStr">
        <is>
          <t>Y20</t>
        </is>
      </c>
      <c r="G189" s="6" t="inlineStr">
        <is>
          <t>Y25</t>
        </is>
      </c>
      <c r="H189" s="6" t="inlineStr">
        <is>
          <t>TOTAL (t)</t>
        </is>
      </c>
    </row>
    <row r="190">
      <c r="A190" s="7" t="inlineStr">
        <is>
          <t>F00</t>
        </is>
      </c>
      <c r="B190" s="7" t="inlineStr">
        <is>
          <t>Raft foundation &amp; starters (Foundation to Ground)</t>
        </is>
      </c>
      <c r="C190" s="8">
        <f>'F00 Substructure'!E166</f>
        <v>0.0</v>
      </c>
      <c r="D190" s="8">
        <f>'F00 Substructure'!F166</f>
        <v>0.0</v>
      </c>
      <c r="E190" s="8">
        <f>'F00 Substructure'!G166</f>
        <v>0.0</v>
      </c>
      <c r="F190" s="8">
        <f>'F00 Substructure'!H166</f>
        <v>0.0</v>
      </c>
      <c r="G190" s="8">
        <f>'F00 Substructure'!I166</f>
        <v>0.0</v>
      </c>
      <c r="H190" s="17">
        <f>SUM(C190:G190)</f>
        <v>0.0</v>
      </c>
    </row>
    <row r="191">
      <c r="A191" s="7" t="inlineStr">
        <is>
          <t>F01</t>
        </is>
      </c>
      <c r="B191" s="7" t="inlineStr">
        <is>
          <t>Ground floor (+300) - elements rising to next level</t>
        </is>
      </c>
      <c r="C191" s="8">
        <f>'F01 Ground Floor'!E119</f>
        <v>0.0</v>
      </c>
      <c r="D191" s="8">
        <f>'F01 Ground Floor'!F119</f>
        <v>0.0</v>
      </c>
      <c r="E191" s="8">
        <f>'F01 Ground Floor'!G119</f>
        <v>0.0</v>
      </c>
      <c r="F191" s="8">
        <f>'F01 Ground Floor'!H119</f>
        <v>0.0</v>
      </c>
      <c r="G191" s="8">
        <f>'F01 Ground Floor'!I119</f>
        <v>0.0</v>
      </c>
      <c r="H191" s="17">
        <f>SUM(C191:G191)</f>
        <v>0.0</v>
      </c>
    </row>
    <row r="192">
      <c r="A192" s="7" t="inlineStr">
        <is>
          <t>F02</t>
        </is>
      </c>
      <c r="B192" s="7" t="inlineStr">
        <is>
          <t>M1 Level 1B Parking (+2500)</t>
        </is>
      </c>
      <c r="C192" s="8">
        <f>'F02 M1 Level'!E153</f>
        <v>0.0</v>
      </c>
      <c r="D192" s="8">
        <f>'F02 M1 Level'!F153</f>
        <v>0.0</v>
      </c>
      <c r="E192" s="8">
        <f>'F02 M1 Level'!G153</f>
        <v>0.0</v>
      </c>
      <c r="F192" s="8">
        <f>'F02 M1 Level'!H153</f>
        <v>0.0</v>
      </c>
      <c r="G192" s="8">
        <f>'F02 M1 Level'!I153</f>
        <v>0.0</v>
      </c>
      <c r="H192" s="17">
        <f>SUM(C192:G192)</f>
        <v>0.0</v>
      </c>
    </row>
    <row r="193">
      <c r="A193" s="7" t="inlineStr">
        <is>
          <t>F03</t>
        </is>
      </c>
      <c r="B193" s="7" t="inlineStr">
        <is>
          <t>First Floor Level 2A Parking (+4150)</t>
        </is>
      </c>
      <c r="C193" s="8">
        <f>'F03 First Floor'!E181</f>
        <v>0.0</v>
      </c>
      <c r="D193" s="8">
        <f>'F03 First Floor'!F181</f>
        <v>0.0</v>
      </c>
      <c r="E193" s="8">
        <f>'F03 First Floor'!G181</f>
        <v>0.0</v>
      </c>
      <c r="F193" s="8">
        <f>'F03 First Floor'!H181</f>
        <v>0.0</v>
      </c>
      <c r="G193" s="8">
        <f>'F03 First Floor'!I181</f>
        <v>0.0</v>
      </c>
      <c r="H193" s="17">
        <f>SUM(C193:G193)</f>
        <v>0.0</v>
      </c>
    </row>
    <row r="194">
      <c r="A194" s="7" t="inlineStr">
        <is>
          <t>F04</t>
        </is>
      </c>
      <c r="B194" s="7" t="inlineStr">
        <is>
          <t>M2 Level 2B Parking (+5200)</t>
        </is>
      </c>
      <c r="C194" s="8">
        <f>'F04 M2 Level'!E139</f>
        <v>0.0</v>
      </c>
      <c r="D194" s="8">
        <f>'F04 M2 Level'!F139</f>
        <v>0.0</v>
      </c>
      <c r="E194" s="8">
        <f>'F04 M2 Level'!G139</f>
        <v>0.0</v>
      </c>
      <c r="F194" s="8">
        <f>'F04 M2 Level'!H139</f>
        <v>0.0</v>
      </c>
      <c r="G194" s="8">
        <f>'F04 M2 Level'!I139</f>
        <v>0.0</v>
      </c>
      <c r="H194" s="17">
        <f>SUM(C194:G194)</f>
        <v>0.0</v>
      </c>
    </row>
    <row r="195">
      <c r="A195" s="7" t="inlineStr">
        <is>
          <t>F05</t>
        </is>
      </c>
      <c r="B195" s="7" t="inlineStr">
        <is>
          <t>Second Floor Level 3A Parking (+6850)</t>
        </is>
      </c>
      <c r="C195" s="8">
        <f>'F05 Second Floor'!E183</f>
        <v>0.0</v>
      </c>
      <c r="D195" s="8">
        <f>'F05 Second Floor'!F183</f>
        <v>0.0</v>
      </c>
      <c r="E195" s="8">
        <f>'F05 Second Floor'!G183</f>
        <v>0.0</v>
      </c>
      <c r="F195" s="8">
        <f>'F05 Second Floor'!H183</f>
        <v>0.0</v>
      </c>
      <c r="G195" s="8">
        <f>'F05 Second Floor'!I183</f>
        <v>0.0</v>
      </c>
      <c r="H195" s="17">
        <f>SUM(C195:G195)</f>
        <v>0.0</v>
      </c>
    </row>
    <row r="196">
      <c r="A196" s="7" t="inlineStr">
        <is>
          <t>F06</t>
        </is>
      </c>
      <c r="B196" s="7" t="inlineStr">
        <is>
          <t>Mezzanine Floor 3B Parking (+7900)</t>
        </is>
      </c>
      <c r="C196" s="8">
        <f>'F06 Mezzanine Floor'!E130</f>
        <v>0.0</v>
      </c>
      <c r="D196" s="8">
        <f>'F06 Mezzanine Floor'!F130</f>
        <v>0.0</v>
      </c>
      <c r="E196" s="8">
        <f>'F06 Mezzanine Floor'!G130</f>
        <v>0.0</v>
      </c>
      <c r="F196" s="8">
        <f>'F06 Mezzanine Floor'!H130</f>
        <v>0.0</v>
      </c>
      <c r="G196" s="8">
        <f>'F06 Mezzanine Floor'!I130</f>
        <v>0.0</v>
      </c>
      <c r="H196" s="17">
        <f>SUM(C196:G196)</f>
        <v>0.0</v>
      </c>
    </row>
    <row r="197">
      <c r="A197" s="7" t="inlineStr">
        <is>
          <t>F07</t>
        </is>
      </c>
      <c r="B197" s="7" t="inlineStr">
        <is>
          <t>Third Floor (+10900)</t>
        </is>
      </c>
      <c r="C197" s="8">
        <f>'F07 Third Floor'!E242</f>
        <v>0.0</v>
      </c>
      <c r="D197" s="8">
        <f>'F07 Third Floor'!F242</f>
        <v>0.0</v>
      </c>
      <c r="E197" s="8">
        <f>'F07 Third Floor'!G242</f>
        <v>0.0</v>
      </c>
      <c r="F197" s="8">
        <f>'F07 Third Floor'!H242</f>
        <v>0.0</v>
      </c>
      <c r="G197" s="8">
        <f>'F07 Third Floor'!I242</f>
        <v>0.0</v>
      </c>
      <c r="H197" s="17">
        <f>SUM(C197:G197)</f>
        <v>0.0</v>
      </c>
    </row>
    <row r="198">
      <c r="A198" s="7" t="inlineStr">
        <is>
          <t>F08</t>
        </is>
      </c>
      <c r="B198" s="7" t="inlineStr">
        <is>
          <t>Fourth Floor (+14200) - typical 4th-8th</t>
        </is>
      </c>
      <c r="C198" s="8">
        <f>'F08 Fourth Floor'!E293</f>
        <v>0.0</v>
      </c>
      <c r="D198" s="8">
        <f>'F08 Fourth Floor'!F293</f>
        <v>0.0</v>
      </c>
      <c r="E198" s="8">
        <f>'F08 Fourth Floor'!G293</f>
        <v>0.0</v>
      </c>
      <c r="F198" s="8">
        <f>'F08 Fourth Floor'!H293</f>
        <v>0.0</v>
      </c>
      <c r="G198" s="8">
        <f>'F08 Fourth Floor'!I293</f>
        <v>0.0</v>
      </c>
      <c r="H198" s="17">
        <f>SUM(C198:G198)</f>
        <v>0.0</v>
      </c>
    </row>
    <row r="199">
      <c r="A199" s="7" t="inlineStr">
        <is>
          <t>F09</t>
        </is>
      </c>
      <c r="B199" s="7" t="inlineStr">
        <is>
          <t>Fifth Floor (+17500) - typical 4th-8th</t>
        </is>
      </c>
      <c r="C199" s="8">
        <f>'F09 Fifth Floor'!E293</f>
        <v>0.0</v>
      </c>
      <c r="D199" s="8">
        <f>'F09 Fifth Floor'!F293</f>
        <v>0.0</v>
      </c>
      <c r="E199" s="8">
        <f>'F09 Fifth Floor'!G293</f>
        <v>0.0</v>
      </c>
      <c r="F199" s="8">
        <f>'F09 Fifth Floor'!H293</f>
        <v>0.0</v>
      </c>
      <c r="G199" s="8">
        <f>'F09 Fifth Floor'!I293</f>
        <v>0.0</v>
      </c>
      <c r="H199" s="17">
        <f>SUM(C199:G199)</f>
        <v>0.0</v>
      </c>
    </row>
    <row r="200">
      <c r="A200" s="7" t="inlineStr">
        <is>
          <t>F10</t>
        </is>
      </c>
      <c r="B200" s="7" t="inlineStr">
        <is>
          <t>Sixth Floor (+20800) - typical 4th-8th</t>
        </is>
      </c>
      <c r="C200" s="8">
        <f>'F10 Sixth Floor'!E293</f>
        <v>0.0</v>
      </c>
      <c r="D200" s="8">
        <f>'F10 Sixth Floor'!F293</f>
        <v>0.0</v>
      </c>
      <c r="E200" s="8">
        <f>'F10 Sixth Floor'!G293</f>
        <v>0.0</v>
      </c>
      <c r="F200" s="8">
        <f>'F10 Sixth Floor'!H293</f>
        <v>0.0</v>
      </c>
      <c r="G200" s="8">
        <f>'F10 Sixth Floor'!I293</f>
        <v>0.0</v>
      </c>
      <c r="H200" s="17">
        <f>SUM(C200:G200)</f>
        <v>0.0</v>
      </c>
    </row>
    <row r="201">
      <c r="A201" s="7" t="inlineStr">
        <is>
          <t>F11</t>
        </is>
      </c>
      <c r="B201" s="7" t="inlineStr">
        <is>
          <t>Seventh Floor (+24100) - typical 4th-8th</t>
        </is>
      </c>
      <c r="C201" s="8">
        <f>'F11 Seventh Floor'!E293</f>
        <v>0.0</v>
      </c>
      <c r="D201" s="8">
        <f>'F11 Seventh Floor'!F293</f>
        <v>0.0</v>
      </c>
      <c r="E201" s="8">
        <f>'F11 Seventh Floor'!G293</f>
        <v>0.0</v>
      </c>
      <c r="F201" s="8">
        <f>'F11 Seventh Floor'!H293</f>
        <v>0.0</v>
      </c>
      <c r="G201" s="8">
        <f>'F11 Seventh Floor'!I293</f>
        <v>0.0</v>
      </c>
      <c r="H201" s="17">
        <f>SUM(C201:G201)</f>
        <v>0.0</v>
      </c>
    </row>
    <row r="202">
      <c r="A202" s="7" t="inlineStr">
        <is>
          <t>F12</t>
        </is>
      </c>
      <c r="B202" s="7" t="inlineStr">
        <is>
          <t>Eighth Floor (+27400) - typical 4th-8th</t>
        </is>
      </c>
      <c r="C202" s="8">
        <f>'F12 Eighth Floor'!E293</f>
        <v>0.0</v>
      </c>
      <c r="D202" s="8">
        <f>'F12 Eighth Floor'!F293</f>
        <v>0.0</v>
      </c>
      <c r="E202" s="8">
        <f>'F12 Eighth Floor'!G293</f>
        <v>0.0</v>
      </c>
      <c r="F202" s="8">
        <f>'F12 Eighth Floor'!H293</f>
        <v>0.0</v>
      </c>
      <c r="G202" s="8">
        <f>'F12 Eighth Floor'!I293</f>
        <v>0.0</v>
      </c>
      <c r="H202" s="17">
        <f>SUM(C202:G202)</f>
        <v>0.0</v>
      </c>
    </row>
    <row r="203">
      <c r="A203" s="7" t="inlineStr">
        <is>
          <t>F13</t>
        </is>
      </c>
      <c r="B203" s="7" t="inlineStr">
        <is>
          <t>Ninth Floor (+30700)</t>
        </is>
      </c>
      <c r="C203" s="8">
        <f>'F13 Ninth Floor'!E303</f>
        <v>0.0</v>
      </c>
      <c r="D203" s="8">
        <f>'F13 Ninth Floor'!F303</f>
        <v>0.0</v>
      </c>
      <c r="E203" s="8">
        <f>'F13 Ninth Floor'!G303</f>
        <v>0.0</v>
      </c>
      <c r="F203" s="8">
        <f>'F13 Ninth Floor'!H303</f>
        <v>0.0</v>
      </c>
      <c r="G203" s="8">
        <f>'F13 Ninth Floor'!I303</f>
        <v>0.0</v>
      </c>
      <c r="H203" s="17">
        <f>SUM(C203:G203)</f>
        <v>0.0</v>
      </c>
    </row>
    <row r="204">
      <c r="A204" s="7" t="inlineStr">
        <is>
          <t>F14</t>
        </is>
      </c>
      <c r="B204" s="7" t="inlineStr">
        <is>
          <t>Tenth Floor (+34000)</t>
        </is>
      </c>
      <c r="C204" s="8">
        <f>'F14 Tenth Floor'!E265</f>
        <v>0.0</v>
      </c>
      <c r="D204" s="8">
        <f>'F14 Tenth Floor'!F265</f>
        <v>0.0</v>
      </c>
      <c r="E204" s="8">
        <f>'F14 Tenth Floor'!G265</f>
        <v>0.0</v>
      </c>
      <c r="F204" s="8">
        <f>'F14 Tenth Floor'!H265</f>
        <v>0.0</v>
      </c>
      <c r="G204" s="8">
        <f>'F14 Tenth Floor'!I265</f>
        <v>0.0</v>
      </c>
      <c r="H204" s="17">
        <f>SUM(C204:G204)</f>
        <v>0.0</v>
      </c>
    </row>
    <row r="205">
      <c r="A205" s="7" t="inlineStr">
        <is>
          <t>F15</t>
        </is>
      </c>
      <c r="B205" s="7" t="inlineStr">
        <is>
          <t>Roof Top Terrace (+37300)</t>
        </is>
      </c>
      <c r="C205" s="8">
        <f>'F15 Roof Top Terrace'!E228</f>
        <v>0.0</v>
      </c>
      <c r="D205" s="8">
        <f>'F15 Roof Top Terrace'!F228</f>
        <v>0.0</v>
      </c>
      <c r="E205" s="8">
        <f>'F15 Roof Top Terrace'!G228</f>
        <v>0.0</v>
      </c>
      <c r="F205" s="8">
        <f>'F15 Roof Top Terrace'!H228</f>
        <v>0.0</v>
      </c>
      <c r="G205" s="8">
        <f>'F15 Roof Top Terrace'!I228</f>
        <v>0.0</v>
      </c>
      <c r="H205" s="17">
        <f>SUM(C205:G205)</f>
        <v>0.0</v>
      </c>
    </row>
    <row r="206">
      <c r="A206" s="7" t="inlineStr">
        <is>
          <t>F16</t>
        </is>
      </c>
      <c r="B206" s="7" t="inlineStr">
        <is>
          <t>Roof Level (+40450)</t>
        </is>
      </c>
      <c r="C206" s="8">
        <f>'F16 Roof Level'!E96</f>
        <v>0.0</v>
      </c>
      <c r="D206" s="8">
        <f>'F16 Roof Level'!F96</f>
        <v>0.0</v>
      </c>
      <c r="E206" s="8">
        <f>'F16 Roof Level'!G96</f>
        <v>0.0</v>
      </c>
      <c r="F206" s="8">
        <f>'F16 Roof Level'!H96</f>
        <v>0.0</v>
      </c>
      <c r="G206" s="8">
        <f>'F16 Roof Level'!I96</f>
        <v>0.0</v>
      </c>
      <c r="H206" s="17">
        <f>SUM(C206:G206)</f>
        <v>0.0</v>
      </c>
    </row>
    <row r="207">
      <c r="A207" s="7" t="inlineStr">
        <is>
          <t>F17</t>
        </is>
      </c>
      <c r="B207" s="7" t="inlineStr">
        <is>
          <t>Top of Lift Core (+44650)</t>
        </is>
      </c>
      <c r="C207" s="8">
        <f>'F17 Top of Lift Core'!E21</f>
        <v>0.0</v>
      </c>
      <c r="D207" s="8">
        <f>'F17 Top of Lift Core'!F21</f>
        <v>0.3659111111111111</v>
      </c>
      <c r="E207" s="8">
        <f>'F17 Top of Lift Core'!G21</f>
        <v>0.0</v>
      </c>
      <c r="F207" s="8">
        <f>'F17 Top of Lift Core'!H21</f>
        <v>0.0</v>
      </c>
      <c r="G207" s="8">
        <f>'F17 Top of Lift Core'!I21</f>
        <v>0.0</v>
      </c>
      <c r="H207" s="17">
        <f>SUM(C207:G207)</f>
        <v>0.3659111111111111</v>
      </c>
    </row>
    <row r="208">
      <c r="B208" s="16" t="inlineStr">
        <is>
          <t>TOTAL LIFT CORE ROOF SLAB - ALL FLOORS</t>
        </is>
      </c>
      <c r="C208" s="11">
        <f>SUM(C190:C207)</f>
        <v>0.0</v>
      </c>
      <c r="D208" s="11">
        <f>SUM(D190:D207)</f>
        <v>0.3659111111111111</v>
      </c>
      <c r="E208" s="11">
        <f>SUM(E190:E207)</f>
        <v>0.0</v>
      </c>
      <c r="F208" s="11">
        <f>SUM(F190:F207)</f>
        <v>0.0</v>
      </c>
      <c r="G208" s="11">
        <f>SUM(G190:G207)</f>
        <v>0.0</v>
      </c>
      <c r="H208" s="11">
        <f>SUM(H190:H207)</f>
        <v>0.3659111111111111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O16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RAFT FOUNDATION &amp; STARTERS (FOUNDATION TO GROUND)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Raft Foundation</t>
        </is>
      </c>
      <c r="C6" s="13" t="inlineStr">
        <is>
          <t>STR-004</t>
        </is>
      </c>
      <c r="D6" s="13" t="inlineStr">
        <is>
          <t>Raft - bottom reinforcement</t>
        </is>
      </c>
      <c r="E6" s="19" t="inlineStr">
        <is>
          <t>2501</t>
        </is>
      </c>
      <c r="F6" s="19" t="n">
        <v>25</v>
      </c>
      <c r="G6" s="19" t="n">
        <v>1</v>
      </c>
      <c r="H6" s="19" t="n">
        <v>272</v>
      </c>
      <c r="I6" s="13">
        <f>G6*H6</f>
        <v>272.0</v>
      </c>
      <c r="J6" s="20">
        <f>8725/1000</f>
        <v>8.725</v>
      </c>
      <c r="K6" s="21">
        <f>I6*J6</f>
        <v>2373.2</v>
      </c>
      <c r="L6" s="22">
        <f>F6^2/162</f>
        <v>3.8580246913580245</v>
      </c>
      <c r="M6" s="21">
        <f>K6*L6</f>
        <v>9155.864197530864</v>
      </c>
      <c r="N6" s="22">
        <f>M6/1000</f>
        <v>9.155864197530864</v>
      </c>
      <c r="O6" s="13" t="inlineStr">
        <is>
          <t>BBS</t>
        </is>
      </c>
    </row>
    <row r="7">
      <c r="A7" s="13" t="n">
        <v>2</v>
      </c>
      <c r="B7" s="13" t="inlineStr">
        <is>
          <t>Raft Foundation</t>
        </is>
      </c>
      <c r="C7" s="13" t="inlineStr">
        <is>
          <t>STR-004</t>
        </is>
      </c>
      <c r="D7" s="13" t="inlineStr">
        <is>
          <t>Raft - bottom reinforcement</t>
        </is>
      </c>
      <c r="E7" s="19" t="inlineStr">
        <is>
          <t>2502</t>
        </is>
      </c>
      <c r="F7" s="19" t="n">
        <v>25</v>
      </c>
      <c r="G7" s="19" t="n">
        <v>1</v>
      </c>
      <c r="H7" s="19" t="n">
        <v>88</v>
      </c>
      <c r="I7" s="13">
        <f>G7*H7</f>
        <v>88.0</v>
      </c>
      <c r="J7" s="20">
        <f>8375/1000</f>
        <v>8.375</v>
      </c>
      <c r="K7" s="21">
        <f>I7*J7</f>
        <v>737.0</v>
      </c>
      <c r="L7" s="22">
        <f>F7^2/162</f>
        <v>3.8580246913580245</v>
      </c>
      <c r="M7" s="21">
        <f>K7*L7</f>
        <v>2843.364197530864</v>
      </c>
      <c r="N7" s="22">
        <f>M7/1000</f>
        <v>2.8433641975308643</v>
      </c>
      <c r="O7" s="13" t="inlineStr">
        <is>
          <t>BBS</t>
        </is>
      </c>
    </row>
    <row r="8">
      <c r="A8" s="13" t="n">
        <v>3</v>
      </c>
      <c r="B8" s="13" t="inlineStr">
        <is>
          <t>Raft Foundation</t>
        </is>
      </c>
      <c r="C8" s="13" t="inlineStr">
        <is>
          <t>STR-004</t>
        </is>
      </c>
      <c r="D8" s="13" t="inlineStr">
        <is>
          <t>Raft - bottom reinforcement</t>
        </is>
      </c>
      <c r="E8" s="19" t="inlineStr">
        <is>
          <t>2503</t>
        </is>
      </c>
      <c r="F8" s="19" t="n">
        <v>25</v>
      </c>
      <c r="G8" s="19" t="n">
        <v>1</v>
      </c>
      <c r="H8" s="19" t="n">
        <v>92</v>
      </c>
      <c r="I8" s="13">
        <f>G8*H8</f>
        <v>92.0</v>
      </c>
      <c r="J8" s="20">
        <f>10387/1000</f>
        <v>10.387</v>
      </c>
      <c r="K8" s="21">
        <f>I8*J8</f>
        <v>955.604</v>
      </c>
      <c r="L8" s="22">
        <f>F8^2/162</f>
        <v>3.8580246913580245</v>
      </c>
      <c r="M8" s="21">
        <f>K8*L8</f>
        <v>3686.7438271604938</v>
      </c>
      <c r="N8" s="22">
        <f>M8/1000</f>
        <v>3.6867438271604938</v>
      </c>
      <c r="O8" s="13" t="inlineStr">
        <is>
          <t>BBS</t>
        </is>
      </c>
    </row>
    <row r="9">
      <c r="A9" s="13" t="n">
        <v>4</v>
      </c>
      <c r="B9" s="13" t="inlineStr">
        <is>
          <t>Raft Foundation</t>
        </is>
      </c>
      <c r="C9" s="13" t="inlineStr">
        <is>
          <t>STR-004</t>
        </is>
      </c>
      <c r="D9" s="13" t="inlineStr">
        <is>
          <t>Raft - bottom reinforcement</t>
        </is>
      </c>
      <c r="E9" s="19" t="inlineStr">
        <is>
          <t>2504</t>
        </is>
      </c>
      <c r="F9" s="19" t="n">
        <v>25</v>
      </c>
      <c r="G9" s="19" t="n">
        <v>1</v>
      </c>
      <c r="H9" s="19" t="n">
        <v>84</v>
      </c>
      <c r="I9" s="13">
        <f>G9*H9</f>
        <v>84.0</v>
      </c>
      <c r="J9" s="20">
        <f>11025/1000</f>
        <v>11.025</v>
      </c>
      <c r="K9" s="21">
        <f>I9*J9</f>
        <v>926.1</v>
      </c>
      <c r="L9" s="22">
        <f>F9^2/162</f>
        <v>3.8580246913580245</v>
      </c>
      <c r="M9" s="21">
        <f>K9*L9</f>
        <v>3572.9166666666665</v>
      </c>
      <c r="N9" s="22">
        <f>M9/1000</f>
        <v>3.5729166666666665</v>
      </c>
      <c r="O9" s="13" t="inlineStr">
        <is>
          <t>BBS</t>
        </is>
      </c>
    </row>
    <row r="10">
      <c r="A10" s="13" t="n">
        <v>5</v>
      </c>
      <c r="B10" s="13" t="inlineStr">
        <is>
          <t>Raft Foundation</t>
        </is>
      </c>
      <c r="C10" s="13" t="inlineStr">
        <is>
          <t>STR-004</t>
        </is>
      </c>
      <c r="D10" s="13" t="inlineStr">
        <is>
          <t>Raft - bottom reinforcement</t>
        </is>
      </c>
      <c r="E10" s="19" t="inlineStr">
        <is>
          <t>2504A</t>
        </is>
      </c>
      <c r="F10" s="19" t="n">
        <v>25</v>
      </c>
      <c r="G10" s="19" t="n">
        <v>1</v>
      </c>
      <c r="H10" s="19" t="n">
        <v>84</v>
      </c>
      <c r="I10" s="13">
        <f>G10*H10</f>
        <v>84.0</v>
      </c>
      <c r="J10" s="20">
        <f>10600/1000</f>
        <v>10.6</v>
      </c>
      <c r="K10" s="21">
        <f>I10*J10</f>
        <v>890.4</v>
      </c>
      <c r="L10" s="22">
        <f>F10^2/162</f>
        <v>3.8580246913580245</v>
      </c>
      <c r="M10" s="21">
        <f>K10*L10</f>
        <v>3435.1851851851848</v>
      </c>
      <c r="N10" s="22">
        <f>M10/1000</f>
        <v>3.4351851851851847</v>
      </c>
      <c r="O10" s="13" t="inlineStr">
        <is>
          <t>BBS</t>
        </is>
      </c>
    </row>
    <row r="11">
      <c r="A11" s="13" t="n">
        <v>6</v>
      </c>
      <c r="B11" s="13" t="inlineStr">
        <is>
          <t>Raft Foundation</t>
        </is>
      </c>
      <c r="C11" s="13" t="inlineStr">
        <is>
          <t>STR-004</t>
        </is>
      </c>
      <c r="D11" s="13" t="inlineStr">
        <is>
          <t>Raft - bottom reinforcement</t>
        </is>
      </c>
      <c r="E11" s="19" t="inlineStr">
        <is>
          <t>2505</t>
        </is>
      </c>
      <c r="F11" s="19" t="n">
        <v>25</v>
      </c>
      <c r="G11" s="19" t="n">
        <v>1</v>
      </c>
      <c r="H11" s="19" t="n">
        <v>62</v>
      </c>
      <c r="I11" s="13">
        <f>G11*H11</f>
        <v>62.0</v>
      </c>
      <c r="J11" s="20">
        <f>11375/1000</f>
        <v>11.375</v>
      </c>
      <c r="K11" s="21">
        <f>I11*J11</f>
        <v>705.25</v>
      </c>
      <c r="L11" s="22">
        <f>F11^2/162</f>
        <v>3.8580246913580245</v>
      </c>
      <c r="M11" s="21">
        <f>K11*L11</f>
        <v>2720.8719135802467</v>
      </c>
      <c r="N11" s="22">
        <f>M11/1000</f>
        <v>2.720871913580247</v>
      </c>
      <c r="O11" s="13" t="inlineStr">
        <is>
          <t>BBS</t>
        </is>
      </c>
    </row>
    <row r="12">
      <c r="A12" s="13" t="n">
        <v>7</v>
      </c>
      <c r="B12" s="13" t="inlineStr">
        <is>
          <t>Raft Foundation</t>
        </is>
      </c>
      <c r="C12" s="13" t="inlineStr">
        <is>
          <t>STR-004</t>
        </is>
      </c>
      <c r="D12" s="13" t="inlineStr">
        <is>
          <t>Raft - bottom reinforcement</t>
        </is>
      </c>
      <c r="E12" s="19" t="inlineStr">
        <is>
          <t>2506</t>
        </is>
      </c>
      <c r="F12" s="19" t="n">
        <v>25</v>
      </c>
      <c r="G12" s="19" t="n">
        <v>1</v>
      </c>
      <c r="H12" s="19" t="n">
        <v>25</v>
      </c>
      <c r="I12" s="13">
        <f>G12*H12</f>
        <v>25.0</v>
      </c>
      <c r="J12" s="20">
        <f>7425/1000</f>
        <v>7.425</v>
      </c>
      <c r="K12" s="21">
        <f>I12*J12</f>
        <v>185.625</v>
      </c>
      <c r="L12" s="22">
        <f>F12^2/162</f>
        <v>3.8580246913580245</v>
      </c>
      <c r="M12" s="21">
        <f>K12*L12</f>
        <v>716.1458333333333</v>
      </c>
      <c r="N12" s="22">
        <f>M12/1000</f>
        <v>0.7161458333333333</v>
      </c>
      <c r="O12" s="13" t="inlineStr">
        <is>
          <t>BBS</t>
        </is>
      </c>
    </row>
    <row r="13">
      <c r="A13" s="13" t="n">
        <v>8</v>
      </c>
      <c r="B13" s="13" t="inlineStr">
        <is>
          <t>Raft Foundation</t>
        </is>
      </c>
      <c r="C13" s="13" t="inlineStr">
        <is>
          <t>STR-004</t>
        </is>
      </c>
      <c r="D13" s="13" t="inlineStr">
        <is>
          <t>Raft - bottom reinforcement</t>
        </is>
      </c>
      <c r="E13" s="19" t="inlineStr">
        <is>
          <t>2507</t>
        </is>
      </c>
      <c r="F13" s="19" t="n">
        <v>25</v>
      </c>
      <c r="G13" s="19" t="n">
        <v>1</v>
      </c>
      <c r="H13" s="19" t="n">
        <v>88</v>
      </c>
      <c r="I13" s="13">
        <f>G13*H13</f>
        <v>88.0</v>
      </c>
      <c r="J13" s="20">
        <f>12000/1000</f>
        <v>12.0</v>
      </c>
      <c r="K13" s="21">
        <f>I13*J13</f>
        <v>1056.0</v>
      </c>
      <c r="L13" s="22">
        <f>F13^2/162</f>
        <v>3.8580246913580245</v>
      </c>
      <c r="M13" s="21">
        <f>K13*L13</f>
        <v>4074.074074074074</v>
      </c>
      <c r="N13" s="22">
        <f>M13/1000</f>
        <v>4.0740740740740735</v>
      </c>
      <c r="O13" s="13" t="inlineStr">
        <is>
          <t>BBS</t>
        </is>
      </c>
    </row>
    <row r="14">
      <c r="A14" s="13" t="n">
        <v>9</v>
      </c>
      <c r="B14" s="13" t="inlineStr">
        <is>
          <t>Raft Foundation</t>
        </is>
      </c>
      <c r="C14" s="13" t="inlineStr">
        <is>
          <t>STR-004</t>
        </is>
      </c>
      <c r="D14" s="13" t="inlineStr">
        <is>
          <t>Raft - bottom reinforcement</t>
        </is>
      </c>
      <c r="E14" s="19" t="inlineStr">
        <is>
          <t>2508</t>
        </is>
      </c>
      <c r="F14" s="19" t="n">
        <v>25</v>
      </c>
      <c r="G14" s="19" t="n">
        <v>1</v>
      </c>
      <c r="H14" s="19" t="n">
        <v>84</v>
      </c>
      <c r="I14" s="13">
        <f>G14*H14</f>
        <v>84.0</v>
      </c>
      <c r="J14" s="20">
        <f>8125/1000</f>
        <v>8.125</v>
      </c>
      <c r="K14" s="21">
        <f>I14*J14</f>
        <v>682.5</v>
      </c>
      <c r="L14" s="22">
        <f>F14^2/162</f>
        <v>3.8580246913580245</v>
      </c>
      <c r="M14" s="21">
        <f>K14*L14</f>
        <v>2633.1018518518517</v>
      </c>
      <c r="N14" s="22">
        <f>M14/1000</f>
        <v>2.6331018518518516</v>
      </c>
      <c r="O14" s="13" t="inlineStr">
        <is>
          <t>BBS</t>
        </is>
      </c>
    </row>
    <row r="15">
      <c r="A15" s="13" t="n">
        <v>10</v>
      </c>
      <c r="B15" s="13" t="inlineStr">
        <is>
          <t>Raft Foundation</t>
        </is>
      </c>
      <c r="C15" s="13" t="inlineStr">
        <is>
          <t>STR-004</t>
        </is>
      </c>
      <c r="D15" s="13" t="inlineStr">
        <is>
          <t>Raft - bottom reinforcement</t>
        </is>
      </c>
      <c r="E15" s="19" t="inlineStr">
        <is>
          <t>2509</t>
        </is>
      </c>
      <c r="F15" s="19" t="n">
        <v>25</v>
      </c>
      <c r="G15" s="19" t="n">
        <v>1</v>
      </c>
      <c r="H15" s="19" t="n">
        <v>23</v>
      </c>
      <c r="I15" s="13">
        <f>G15*H15</f>
        <v>23.0</v>
      </c>
      <c r="J15" s="20">
        <f>10875/1000</f>
        <v>10.875</v>
      </c>
      <c r="K15" s="21">
        <f>I15*J15</f>
        <v>250.125</v>
      </c>
      <c r="L15" s="22">
        <f>F15^2/162</f>
        <v>3.8580246913580245</v>
      </c>
      <c r="M15" s="21">
        <f>K15*L15</f>
        <v>964.9884259259259</v>
      </c>
      <c r="N15" s="22">
        <f>M15/1000</f>
        <v>0.9649884259259258</v>
      </c>
      <c r="O15" s="13" t="inlineStr">
        <is>
          <t>BBS</t>
        </is>
      </c>
    </row>
    <row r="16">
      <c r="A16" s="13" t="n">
        <v>11</v>
      </c>
      <c r="B16" s="13" t="inlineStr">
        <is>
          <t>Raft Foundation</t>
        </is>
      </c>
      <c r="C16" s="13" t="inlineStr">
        <is>
          <t>STR-004</t>
        </is>
      </c>
      <c r="D16" s="13" t="inlineStr">
        <is>
          <t>Raft - bottom reinforcement</t>
        </is>
      </c>
      <c r="E16" s="19" t="inlineStr">
        <is>
          <t>2509A</t>
        </is>
      </c>
      <c r="F16" s="19" t="n">
        <v>25</v>
      </c>
      <c r="G16" s="19" t="n">
        <v>1</v>
      </c>
      <c r="H16" s="19" t="n">
        <v>23</v>
      </c>
      <c r="I16" s="13">
        <f>G16*H16</f>
        <v>23.0</v>
      </c>
      <c r="J16" s="20">
        <f>10555/1000</f>
        <v>10.555</v>
      </c>
      <c r="K16" s="21">
        <f>I16*J16</f>
        <v>242.765</v>
      </c>
      <c r="L16" s="22">
        <f>F16^2/162</f>
        <v>3.8580246913580245</v>
      </c>
      <c r="M16" s="21">
        <f>K16*L16</f>
        <v>936.5933641975307</v>
      </c>
      <c r="N16" s="22">
        <f>M16/1000</f>
        <v>0.9365933641975307</v>
      </c>
      <c r="O16" s="13" t="inlineStr">
        <is>
          <t>BBS</t>
        </is>
      </c>
    </row>
    <row r="17">
      <c r="A17" s="13" t="n">
        <v>12</v>
      </c>
      <c r="B17" s="13" t="inlineStr">
        <is>
          <t>Raft Foundation</t>
        </is>
      </c>
      <c r="C17" s="13" t="inlineStr">
        <is>
          <t>STR-004</t>
        </is>
      </c>
      <c r="D17" s="13" t="inlineStr">
        <is>
          <t>Raft - bottom reinforcement</t>
        </is>
      </c>
      <c r="E17" s="19" t="inlineStr">
        <is>
          <t>2510</t>
        </is>
      </c>
      <c r="F17" s="19" t="n">
        <v>25</v>
      </c>
      <c r="G17" s="19" t="n">
        <v>1</v>
      </c>
      <c r="H17" s="19" t="n">
        <v>23</v>
      </c>
      <c r="I17" s="13">
        <f>G17*H17</f>
        <v>23.0</v>
      </c>
      <c r="J17" s="20">
        <f>10650/1000</f>
        <v>10.65</v>
      </c>
      <c r="K17" s="21">
        <f>I17*J17</f>
        <v>244.95000000000002</v>
      </c>
      <c r="L17" s="22">
        <f>F17^2/162</f>
        <v>3.8580246913580245</v>
      </c>
      <c r="M17" s="21">
        <f>K17*L17</f>
        <v>945.0231481481482</v>
      </c>
      <c r="N17" s="22">
        <f>M17/1000</f>
        <v>0.9450231481481481</v>
      </c>
      <c r="O17" s="13" t="inlineStr">
        <is>
          <t>BBS</t>
        </is>
      </c>
    </row>
    <row r="18">
      <c r="A18" s="13" t="n">
        <v>13</v>
      </c>
      <c r="B18" s="13" t="inlineStr">
        <is>
          <t>Raft Foundation</t>
        </is>
      </c>
      <c r="C18" s="13" t="inlineStr">
        <is>
          <t>STR-004</t>
        </is>
      </c>
      <c r="D18" s="13" t="inlineStr">
        <is>
          <t>Raft - bottom reinforcement</t>
        </is>
      </c>
      <c r="E18" s="19" t="inlineStr">
        <is>
          <t>2511</t>
        </is>
      </c>
      <c r="F18" s="19" t="n">
        <v>25</v>
      </c>
      <c r="G18" s="19" t="n">
        <v>1</v>
      </c>
      <c r="H18" s="19" t="n">
        <v>240</v>
      </c>
      <c r="I18" s="13">
        <f>G18*H18</f>
        <v>240.0</v>
      </c>
      <c r="J18" s="20">
        <f>10400/1000</f>
        <v>10.4</v>
      </c>
      <c r="K18" s="21">
        <f>I18*J18</f>
        <v>2496.0</v>
      </c>
      <c r="L18" s="22">
        <f>F18^2/162</f>
        <v>3.8580246913580245</v>
      </c>
      <c r="M18" s="21">
        <f>K18*L18</f>
        <v>9629.62962962963</v>
      </c>
      <c r="N18" s="22">
        <f>M18/1000</f>
        <v>9.62962962962963</v>
      </c>
      <c r="O18" s="13" t="inlineStr">
        <is>
          <t>BBS</t>
        </is>
      </c>
    </row>
    <row r="19">
      <c r="A19" s="13" t="n">
        <v>14</v>
      </c>
      <c r="B19" s="13" t="inlineStr">
        <is>
          <t>Raft Foundation</t>
        </is>
      </c>
      <c r="C19" s="13" t="inlineStr">
        <is>
          <t>STR-004</t>
        </is>
      </c>
      <c r="D19" s="13" t="inlineStr">
        <is>
          <t>Raft - bottom reinforcement</t>
        </is>
      </c>
      <c r="E19" s="19" t="inlineStr">
        <is>
          <t>2512</t>
        </is>
      </c>
      <c r="F19" s="19" t="n">
        <v>25</v>
      </c>
      <c r="G19" s="19" t="n">
        <v>1</v>
      </c>
      <c r="H19" s="19" t="n">
        <v>305</v>
      </c>
      <c r="I19" s="13">
        <f>G19*H19</f>
        <v>305.0</v>
      </c>
      <c r="J19" s="20">
        <f>6325/1000</f>
        <v>6.325</v>
      </c>
      <c r="K19" s="21">
        <f>I19*J19</f>
        <v>1929.125</v>
      </c>
      <c r="L19" s="22">
        <f>F19^2/162</f>
        <v>3.8580246913580245</v>
      </c>
      <c r="M19" s="21">
        <f>K19*L19</f>
        <v>7442.611882716049</v>
      </c>
      <c r="N19" s="22">
        <f>M19/1000</f>
        <v>7.442611882716049</v>
      </c>
      <c r="O19" s="13" t="inlineStr">
        <is>
          <t>BBS</t>
        </is>
      </c>
    </row>
    <row r="20">
      <c r="A20" s="13" t="n">
        <v>15</v>
      </c>
      <c r="B20" s="13" t="inlineStr">
        <is>
          <t>Raft Foundation</t>
        </is>
      </c>
      <c r="C20" s="13" t="inlineStr">
        <is>
          <t>STR-004</t>
        </is>
      </c>
      <c r="D20" s="13" t="inlineStr">
        <is>
          <t>Raft - bottom reinforcement</t>
        </is>
      </c>
      <c r="E20" s="19" t="inlineStr">
        <is>
          <t>2513</t>
        </is>
      </c>
      <c r="F20" s="19" t="n">
        <v>25</v>
      </c>
      <c r="G20" s="19" t="n">
        <v>1</v>
      </c>
      <c r="H20" s="19" t="n">
        <v>177</v>
      </c>
      <c r="I20" s="13">
        <f>G20*H20</f>
        <v>177.0</v>
      </c>
      <c r="J20" s="20">
        <f>12000/1000</f>
        <v>12.0</v>
      </c>
      <c r="K20" s="21">
        <f>I20*J20</f>
        <v>2124.0</v>
      </c>
      <c r="L20" s="22">
        <f>F20^2/162</f>
        <v>3.8580246913580245</v>
      </c>
      <c r="M20" s="21">
        <f>K20*L20</f>
        <v>8194.444444444443</v>
      </c>
      <c r="N20" s="22">
        <f>M20/1000</f>
        <v>8.194444444444443</v>
      </c>
      <c r="O20" s="13" t="inlineStr">
        <is>
          <t>BBS</t>
        </is>
      </c>
    </row>
    <row r="21">
      <c r="A21" s="13" t="n">
        <v>16</v>
      </c>
      <c r="B21" s="13" t="inlineStr">
        <is>
          <t>Raft Foundation</t>
        </is>
      </c>
      <c r="C21" s="13" t="inlineStr">
        <is>
          <t>STR-004</t>
        </is>
      </c>
      <c r="D21" s="13" t="inlineStr">
        <is>
          <t>Raft - bottom reinforcement</t>
        </is>
      </c>
      <c r="E21" s="19" t="inlineStr">
        <is>
          <t>2514</t>
        </is>
      </c>
      <c r="F21" s="19" t="n">
        <v>25</v>
      </c>
      <c r="G21" s="19" t="n">
        <v>1</v>
      </c>
      <c r="H21" s="19" t="n">
        <v>58</v>
      </c>
      <c r="I21" s="13">
        <f>G21*H21</f>
        <v>58.0</v>
      </c>
      <c r="J21" s="20">
        <f>5675/1000</f>
        <v>5.675</v>
      </c>
      <c r="K21" s="21">
        <f>I21*J21</f>
        <v>329.15</v>
      </c>
      <c r="L21" s="22">
        <f>F21^2/162</f>
        <v>3.8580246913580245</v>
      </c>
      <c r="M21" s="21">
        <f>K21*L21</f>
        <v>1269.8688271604938</v>
      </c>
      <c r="N21" s="22">
        <f>M21/1000</f>
        <v>1.2698688271604939</v>
      </c>
      <c r="O21" s="13" t="inlineStr">
        <is>
          <t>BBS</t>
        </is>
      </c>
    </row>
    <row r="22">
      <c r="A22" s="13" t="n">
        <v>17</v>
      </c>
      <c r="B22" s="13" t="inlineStr">
        <is>
          <t>Raft Foundation</t>
        </is>
      </c>
      <c r="C22" s="13" t="inlineStr">
        <is>
          <t>STR-004</t>
        </is>
      </c>
      <c r="D22" s="13" t="inlineStr">
        <is>
          <t>Raft - bottom reinforcement</t>
        </is>
      </c>
      <c r="E22" s="19" t="inlineStr">
        <is>
          <t>2514A</t>
        </is>
      </c>
      <c r="F22" s="19" t="n">
        <v>25</v>
      </c>
      <c r="G22" s="19" t="n">
        <v>1</v>
      </c>
      <c r="H22" s="19" t="n">
        <v>58</v>
      </c>
      <c r="I22" s="13">
        <f>G22*H22</f>
        <v>58.0</v>
      </c>
      <c r="J22" s="20">
        <f>10550/1000</f>
        <v>10.55</v>
      </c>
      <c r="K22" s="21">
        <f>I22*J22</f>
        <v>611.9000000000001</v>
      </c>
      <c r="L22" s="22">
        <f>F22^2/162</f>
        <v>3.8580246913580245</v>
      </c>
      <c r="M22" s="21">
        <f>K22*L22</f>
        <v>2360.7253086419755</v>
      </c>
      <c r="N22" s="22">
        <f>M22/1000</f>
        <v>2.3607253086419755</v>
      </c>
      <c r="O22" s="13" t="inlineStr">
        <is>
          <t>BBS</t>
        </is>
      </c>
    </row>
    <row r="23">
      <c r="A23" s="13" t="n">
        <v>18</v>
      </c>
      <c r="B23" s="13" t="inlineStr">
        <is>
          <t>Raft Foundation</t>
        </is>
      </c>
      <c r="C23" s="13" t="inlineStr">
        <is>
          <t>STR-004</t>
        </is>
      </c>
      <c r="D23" s="13" t="inlineStr">
        <is>
          <t>Raft - bottom reinforcement</t>
        </is>
      </c>
      <c r="E23" s="19" t="inlineStr">
        <is>
          <t>2515</t>
        </is>
      </c>
      <c r="F23" s="19" t="n">
        <v>25</v>
      </c>
      <c r="G23" s="19" t="n">
        <v>1</v>
      </c>
      <c r="H23" s="19" t="n">
        <v>177</v>
      </c>
      <c r="I23" s="13">
        <f>G23*H23</f>
        <v>177.0</v>
      </c>
      <c r="J23" s="20">
        <f>5750/1000</f>
        <v>5.75</v>
      </c>
      <c r="K23" s="21">
        <f>I23*J23</f>
        <v>1017.75</v>
      </c>
      <c r="L23" s="22">
        <f>F23^2/162</f>
        <v>3.8580246913580245</v>
      </c>
      <c r="M23" s="21">
        <f>K23*L23</f>
        <v>3926.5046296296296</v>
      </c>
      <c r="N23" s="22">
        <f>M23/1000</f>
        <v>3.9265046296296298</v>
      </c>
      <c r="O23" s="13" t="inlineStr">
        <is>
          <t>BBS</t>
        </is>
      </c>
    </row>
    <row r="24">
      <c r="A24" s="13" t="n">
        <v>19</v>
      </c>
      <c r="B24" s="13" t="inlineStr">
        <is>
          <t>Raft Foundation</t>
        </is>
      </c>
      <c r="C24" s="13" t="inlineStr">
        <is>
          <t>STR-004</t>
        </is>
      </c>
      <c r="D24" s="13" t="inlineStr">
        <is>
          <t>Raft - bottom reinforcement</t>
        </is>
      </c>
      <c r="E24" s="19" t="inlineStr">
        <is>
          <t>2516</t>
        </is>
      </c>
      <c r="F24" s="19" t="n">
        <v>25</v>
      </c>
      <c r="G24" s="19" t="n">
        <v>1</v>
      </c>
      <c r="H24" s="19" t="n">
        <v>58</v>
      </c>
      <c r="I24" s="13">
        <f>G24*H24</f>
        <v>58.0</v>
      </c>
      <c r="J24" s="20">
        <f>5800/1000</f>
        <v>5.8</v>
      </c>
      <c r="K24" s="21">
        <f>I24*J24</f>
        <v>336.4</v>
      </c>
      <c r="L24" s="22">
        <f>F24^2/162</f>
        <v>3.8580246913580245</v>
      </c>
      <c r="M24" s="21">
        <f>K24*L24</f>
        <v>1297.8395061728393</v>
      </c>
      <c r="N24" s="22">
        <f>M24/1000</f>
        <v>1.2978395061728392</v>
      </c>
      <c r="O24" s="13" t="inlineStr">
        <is>
          <t>BBS</t>
        </is>
      </c>
    </row>
    <row r="25">
      <c r="A25" s="13" t="n">
        <v>20</v>
      </c>
      <c r="B25" s="13" t="inlineStr">
        <is>
          <t>Raft Foundation</t>
        </is>
      </c>
      <c r="C25" s="13" t="inlineStr">
        <is>
          <t>STR-004</t>
        </is>
      </c>
      <c r="D25" s="13" t="inlineStr">
        <is>
          <t>Raft - bottom reinforcement</t>
        </is>
      </c>
      <c r="E25" s="19" t="inlineStr">
        <is>
          <t>2516A</t>
        </is>
      </c>
      <c r="F25" s="19" t="n">
        <v>25</v>
      </c>
      <c r="G25" s="19" t="n">
        <v>1</v>
      </c>
      <c r="H25" s="19" t="n">
        <v>58</v>
      </c>
      <c r="I25" s="13">
        <f>G25*H25</f>
        <v>58.0</v>
      </c>
      <c r="J25" s="20">
        <f>11075/1000</f>
        <v>11.075</v>
      </c>
      <c r="K25" s="21">
        <f>I25*J25</f>
        <v>642.3499999999999</v>
      </c>
      <c r="L25" s="22">
        <f>F25^2/162</f>
        <v>3.8580246913580245</v>
      </c>
      <c r="M25" s="21">
        <f>K25*L25</f>
        <v>2478.202160493827</v>
      </c>
      <c r="N25" s="22">
        <f>M25/1000</f>
        <v>2.4782021604938267</v>
      </c>
      <c r="O25" s="13" t="inlineStr">
        <is>
          <t>BBS</t>
        </is>
      </c>
    </row>
    <row r="26">
      <c r="A26" s="13" t="n">
        <v>21</v>
      </c>
      <c r="B26" s="13" t="inlineStr">
        <is>
          <t>Raft Foundation</t>
        </is>
      </c>
      <c r="C26" s="13" t="inlineStr">
        <is>
          <t>STR-004</t>
        </is>
      </c>
      <c r="D26" s="13" t="inlineStr">
        <is>
          <t>Raft - bottom reinforcement</t>
        </is>
      </c>
      <c r="E26" s="19" t="inlineStr">
        <is>
          <t>2517</t>
        </is>
      </c>
      <c r="F26" s="19" t="n">
        <v>25</v>
      </c>
      <c r="G26" s="19" t="n">
        <v>1</v>
      </c>
      <c r="H26" s="19" t="n">
        <v>177</v>
      </c>
      <c r="I26" s="13">
        <f>G26*H26</f>
        <v>177.0</v>
      </c>
      <c r="J26" s="20">
        <f>9000/1000</f>
        <v>9.0</v>
      </c>
      <c r="K26" s="21">
        <f>I26*J26</f>
        <v>1593.0</v>
      </c>
      <c r="L26" s="22">
        <f>F26^2/162</f>
        <v>3.8580246913580245</v>
      </c>
      <c r="M26" s="21">
        <f>K26*L26</f>
        <v>6145.833333333333</v>
      </c>
      <c r="N26" s="22">
        <f>M26/1000</f>
        <v>6.145833333333333</v>
      </c>
      <c r="O26" s="13" t="inlineStr">
        <is>
          <t>BBS</t>
        </is>
      </c>
    </row>
    <row r="27">
      <c r="A27" s="13" t="n">
        <v>22</v>
      </c>
      <c r="B27" s="13" t="inlineStr">
        <is>
          <t>Raft Foundation</t>
        </is>
      </c>
      <c r="C27" s="13" t="inlineStr">
        <is>
          <t>STR-004</t>
        </is>
      </c>
      <c r="D27" s="13" t="inlineStr">
        <is>
          <t>Raft - bottom reinforcement</t>
        </is>
      </c>
      <c r="E27" s="19" t="inlineStr">
        <is>
          <t>2518</t>
        </is>
      </c>
      <c r="F27" s="19" t="n">
        <v>25</v>
      </c>
      <c r="G27" s="19" t="n">
        <v>1</v>
      </c>
      <c r="H27" s="19" t="n">
        <v>39</v>
      </c>
      <c r="I27" s="13">
        <f>G27*H27</f>
        <v>39.0</v>
      </c>
      <c r="J27" s="20">
        <f>9050/1000</f>
        <v>9.05</v>
      </c>
      <c r="K27" s="21">
        <f>I27*J27</f>
        <v>352.95000000000005</v>
      </c>
      <c r="L27" s="22">
        <f>F27^2/162</f>
        <v>3.8580246913580245</v>
      </c>
      <c r="M27" s="21">
        <f>K27*L27</f>
        <v>1361.689814814815</v>
      </c>
      <c r="N27" s="22">
        <f>M27/1000</f>
        <v>1.361689814814815</v>
      </c>
      <c r="O27" s="13" t="inlineStr">
        <is>
          <t>BBS</t>
        </is>
      </c>
    </row>
    <row r="28">
      <c r="A28" s="13" t="n">
        <v>23</v>
      </c>
      <c r="B28" s="13" t="inlineStr">
        <is>
          <t>Raft Foundation</t>
        </is>
      </c>
      <c r="C28" s="13" t="inlineStr">
        <is>
          <t>STR-004</t>
        </is>
      </c>
      <c r="D28" s="13" t="inlineStr">
        <is>
          <t>Raft - bottom reinforcement</t>
        </is>
      </c>
      <c r="E28" s="19" t="inlineStr">
        <is>
          <t>2519</t>
        </is>
      </c>
      <c r="F28" s="19" t="n">
        <v>25</v>
      </c>
      <c r="G28" s="19" t="n">
        <v>1</v>
      </c>
      <c r="H28" s="19" t="n">
        <v>161</v>
      </c>
      <c r="I28" s="13">
        <f>G28*H28</f>
        <v>161.0</v>
      </c>
      <c r="J28" s="20">
        <f>2175/1000</f>
        <v>2.175</v>
      </c>
      <c r="K28" s="21">
        <f>I28*J28</f>
        <v>350.17499999999995</v>
      </c>
      <c r="L28" s="22">
        <f>F28^2/162</f>
        <v>3.8580246913580245</v>
      </c>
      <c r="M28" s="21">
        <f>K28*L28</f>
        <v>1350.983796296296</v>
      </c>
      <c r="N28" s="22">
        <f>M28/1000</f>
        <v>1.350983796296296</v>
      </c>
      <c r="O28" s="13" t="inlineStr">
        <is>
          <t>BBS</t>
        </is>
      </c>
    </row>
    <row r="29">
      <c r="A29" s="13" t="n">
        <v>24</v>
      </c>
      <c r="B29" s="13" t="inlineStr">
        <is>
          <t>Raft Foundation</t>
        </is>
      </c>
      <c r="C29" s="13" t="inlineStr">
        <is>
          <t>STR-004</t>
        </is>
      </c>
      <c r="D29" s="13" t="inlineStr">
        <is>
          <t>Raft - bottom reinforcement</t>
        </is>
      </c>
      <c r="E29" s="19" t="inlineStr">
        <is>
          <t>2520</t>
        </is>
      </c>
      <c r="F29" s="19" t="n">
        <v>25</v>
      </c>
      <c r="G29" s="19" t="n">
        <v>1</v>
      </c>
      <c r="H29" s="19" t="n">
        <v>33</v>
      </c>
      <c r="I29" s="13">
        <f>G29*H29</f>
        <v>33.0</v>
      </c>
      <c r="J29" s="20">
        <f>9000/1000</f>
        <v>9.0</v>
      </c>
      <c r="K29" s="21">
        <f>I29*J29</f>
        <v>297.0</v>
      </c>
      <c r="L29" s="22">
        <f>F29^2/162</f>
        <v>3.8580246913580245</v>
      </c>
      <c r="M29" s="21">
        <f>K29*L29</f>
        <v>1145.8333333333333</v>
      </c>
      <c r="N29" s="22">
        <f>M29/1000</f>
        <v>1.1458333333333333</v>
      </c>
      <c r="O29" s="13" t="inlineStr">
        <is>
          <t>BBS</t>
        </is>
      </c>
    </row>
    <row r="30">
      <c r="A30" s="13" t="n">
        <v>25</v>
      </c>
      <c r="B30" s="13" t="inlineStr">
        <is>
          <t>Raft Foundation</t>
        </is>
      </c>
      <c r="C30" s="13" t="inlineStr">
        <is>
          <t>STR-004</t>
        </is>
      </c>
      <c r="D30" s="13" t="inlineStr">
        <is>
          <t>Raft - bottom reinforcement</t>
        </is>
      </c>
      <c r="E30" s="19" t="inlineStr">
        <is>
          <t>2521</t>
        </is>
      </c>
      <c r="F30" s="19" t="n">
        <v>25</v>
      </c>
      <c r="G30" s="19" t="n">
        <v>1</v>
      </c>
      <c r="H30" s="19" t="n">
        <v>33</v>
      </c>
      <c r="I30" s="13">
        <f>G30*H30</f>
        <v>33.0</v>
      </c>
      <c r="J30" s="20">
        <f>12000/1000</f>
        <v>12.0</v>
      </c>
      <c r="K30" s="21">
        <f>I30*J30</f>
        <v>396.0</v>
      </c>
      <c r="L30" s="22">
        <f>F30^2/162</f>
        <v>3.8580246913580245</v>
      </c>
      <c r="M30" s="21">
        <f>K30*L30</f>
        <v>1527.7777777777776</v>
      </c>
      <c r="N30" s="22">
        <f>M30/1000</f>
        <v>1.5277777777777777</v>
      </c>
      <c r="O30" s="13" t="inlineStr">
        <is>
          <t>BBS</t>
        </is>
      </c>
    </row>
    <row r="31">
      <c r="A31" s="13" t="n">
        <v>26</v>
      </c>
      <c r="B31" s="13" t="inlineStr">
        <is>
          <t>Raft Foundation</t>
        </is>
      </c>
      <c r="C31" s="13" t="inlineStr">
        <is>
          <t>STR-004</t>
        </is>
      </c>
      <c r="D31" s="13" t="inlineStr">
        <is>
          <t>Raft - bottom reinforcement</t>
        </is>
      </c>
      <c r="E31" s="19" t="inlineStr">
        <is>
          <t>2522</t>
        </is>
      </c>
      <c r="F31" s="19" t="n">
        <v>25</v>
      </c>
      <c r="G31" s="19" t="n">
        <v>1</v>
      </c>
      <c r="H31" s="19" t="n">
        <v>33</v>
      </c>
      <c r="I31" s="13">
        <f>G31*H31</f>
        <v>33.0</v>
      </c>
      <c r="J31" s="20">
        <f>11887/1000</f>
        <v>11.887</v>
      </c>
      <c r="K31" s="21">
        <f>I31*J31</f>
        <v>392.271</v>
      </c>
      <c r="L31" s="22">
        <f>F31^2/162</f>
        <v>3.8580246913580245</v>
      </c>
      <c r="M31" s="21">
        <f>K31*L31</f>
        <v>1513.3912037037037</v>
      </c>
      <c r="N31" s="22">
        <f>M31/1000</f>
        <v>1.5133912037037036</v>
      </c>
      <c r="O31" s="13" t="inlineStr">
        <is>
          <t>BBS</t>
        </is>
      </c>
    </row>
    <row r="32">
      <c r="A32" s="13" t="n">
        <v>27</v>
      </c>
      <c r="B32" s="13" t="inlineStr">
        <is>
          <t>Raft Foundation</t>
        </is>
      </c>
      <c r="C32" s="13" t="inlineStr">
        <is>
          <t>STR-004</t>
        </is>
      </c>
      <c r="D32" s="13" t="inlineStr">
        <is>
          <t>Raft - bottom reinforcement</t>
        </is>
      </c>
      <c r="E32" s="19" t="inlineStr">
        <is>
          <t>2523</t>
        </is>
      </c>
      <c r="F32" s="19" t="n">
        <v>25</v>
      </c>
      <c r="G32" s="19" t="n">
        <v>1</v>
      </c>
      <c r="H32" s="19" t="n">
        <v>201</v>
      </c>
      <c r="I32" s="13">
        <f>G32*H32</f>
        <v>201.0</v>
      </c>
      <c r="J32" s="20">
        <f>11525/1000</f>
        <v>11.525</v>
      </c>
      <c r="K32" s="21">
        <f>I32*J32</f>
        <v>2316.525</v>
      </c>
      <c r="L32" s="22">
        <f>F32^2/162</f>
        <v>3.8580246913580245</v>
      </c>
      <c r="M32" s="21">
        <f>K32*L32</f>
        <v>8937.210648148148</v>
      </c>
      <c r="N32" s="22">
        <f>M32/1000</f>
        <v>8.937210648148147</v>
      </c>
      <c r="O32" s="13" t="inlineStr">
        <is>
          <t>BBS</t>
        </is>
      </c>
    </row>
    <row r="33">
      <c r="A33" s="13" t="n">
        <v>28</v>
      </c>
      <c r="B33" s="13" t="inlineStr">
        <is>
          <t>Raft Foundation</t>
        </is>
      </c>
      <c r="C33" s="13" t="inlineStr">
        <is>
          <t>STR-005</t>
        </is>
      </c>
      <c r="D33" s="13" t="inlineStr">
        <is>
          <t>Raft - additional bottom reinforcement</t>
        </is>
      </c>
      <c r="E33" s="19" t="inlineStr">
        <is>
          <t>2001</t>
        </is>
      </c>
      <c r="F33" s="19" t="n">
        <v>20</v>
      </c>
      <c r="G33" s="19" t="n">
        <v>1</v>
      </c>
      <c r="H33" s="19" t="n">
        <v>24</v>
      </c>
      <c r="I33" s="13">
        <f>G33*H33</f>
        <v>24.0</v>
      </c>
      <c r="J33" s="20">
        <f>2225/1000</f>
        <v>2.225</v>
      </c>
      <c r="K33" s="21">
        <f>I33*J33</f>
        <v>53.400000000000006</v>
      </c>
      <c r="L33" s="22">
        <f>F33^2/162</f>
        <v>2.4691358024691357</v>
      </c>
      <c r="M33" s="21">
        <f>K33*L33</f>
        <v>131.85185185185185</v>
      </c>
      <c r="N33" s="22">
        <f>M33/1000</f>
        <v>0.13185185185185186</v>
      </c>
      <c r="O33" s="13" t="inlineStr">
        <is>
          <t>BBS</t>
        </is>
      </c>
    </row>
    <row r="34">
      <c r="A34" s="13" t="n">
        <v>29</v>
      </c>
      <c r="B34" s="13" t="inlineStr">
        <is>
          <t>Raft Foundation</t>
        </is>
      </c>
      <c r="C34" s="13" t="inlineStr">
        <is>
          <t>STR-005</t>
        </is>
      </c>
      <c r="D34" s="13" t="inlineStr">
        <is>
          <t>Raft - additional bottom reinforcement</t>
        </is>
      </c>
      <c r="E34" s="19" t="inlineStr">
        <is>
          <t>2002</t>
        </is>
      </c>
      <c r="F34" s="19" t="n">
        <v>20</v>
      </c>
      <c r="G34" s="19" t="n">
        <v>1</v>
      </c>
      <c r="H34" s="19" t="n">
        <v>27</v>
      </c>
      <c r="I34" s="13">
        <f>G34*H34</f>
        <v>27.0</v>
      </c>
      <c r="J34" s="20">
        <f>3200/1000</f>
        <v>3.2</v>
      </c>
      <c r="K34" s="21">
        <f>I34*J34</f>
        <v>86.4</v>
      </c>
      <c r="L34" s="22">
        <f>F34^2/162</f>
        <v>2.4691358024691357</v>
      </c>
      <c r="M34" s="21">
        <f>K34*L34</f>
        <v>213.33333333333334</v>
      </c>
      <c r="N34" s="22">
        <f>M34/1000</f>
        <v>0.21333333333333335</v>
      </c>
      <c r="O34" s="13" t="inlineStr">
        <is>
          <t>BBS</t>
        </is>
      </c>
    </row>
    <row r="35">
      <c r="A35" s="13" t="n">
        <v>30</v>
      </c>
      <c r="B35" s="13" t="inlineStr">
        <is>
          <t>Raft Foundation</t>
        </is>
      </c>
      <c r="C35" s="13" t="inlineStr">
        <is>
          <t>STR-005</t>
        </is>
      </c>
      <c r="D35" s="13" t="inlineStr">
        <is>
          <t>Raft - additional bottom reinforcement</t>
        </is>
      </c>
      <c r="E35" s="19" t="inlineStr">
        <is>
          <t>2003</t>
        </is>
      </c>
      <c r="F35" s="19" t="n">
        <v>20</v>
      </c>
      <c r="G35" s="19" t="n">
        <v>1</v>
      </c>
      <c r="H35" s="19" t="n">
        <v>40</v>
      </c>
      <c r="I35" s="13">
        <f>G35*H35</f>
        <v>40.0</v>
      </c>
      <c r="J35" s="20">
        <f>5000/1000</f>
        <v>5.0</v>
      </c>
      <c r="K35" s="21">
        <f>I35*J35</f>
        <v>200.0</v>
      </c>
      <c r="L35" s="22">
        <f>F35^2/162</f>
        <v>2.4691358024691357</v>
      </c>
      <c r="M35" s="21">
        <f>K35*L35</f>
        <v>493.82716049382714</v>
      </c>
      <c r="N35" s="22">
        <f>M35/1000</f>
        <v>0.49382716049382713</v>
      </c>
      <c r="O35" s="13" t="inlineStr">
        <is>
          <t>BBS</t>
        </is>
      </c>
    </row>
    <row r="36">
      <c r="A36" s="13" t="n">
        <v>31</v>
      </c>
      <c r="B36" s="13" t="inlineStr">
        <is>
          <t>Raft Foundation</t>
        </is>
      </c>
      <c r="C36" s="13" t="inlineStr">
        <is>
          <t>STR-005</t>
        </is>
      </c>
      <c r="D36" s="13" t="inlineStr">
        <is>
          <t>Raft - additional bottom reinforcement</t>
        </is>
      </c>
      <c r="E36" s="19" t="inlineStr">
        <is>
          <t>2004</t>
        </is>
      </c>
      <c r="F36" s="19" t="n">
        <v>20</v>
      </c>
      <c r="G36" s="19" t="n">
        <v>1</v>
      </c>
      <c r="H36" s="19" t="n">
        <v>34</v>
      </c>
      <c r="I36" s="13">
        <f>G36*H36</f>
        <v>34.0</v>
      </c>
      <c r="J36" s="20">
        <f>4100/1000</f>
        <v>4.1</v>
      </c>
      <c r="K36" s="21">
        <f>I36*J36</f>
        <v>139.39999999999998</v>
      </c>
      <c r="L36" s="22">
        <f>F36^2/162</f>
        <v>2.4691358024691357</v>
      </c>
      <c r="M36" s="21">
        <f>K36*L36</f>
        <v>344.19753086419746</v>
      </c>
      <c r="N36" s="22">
        <f>M36/1000</f>
        <v>0.34419753086419747</v>
      </c>
      <c r="O36" s="13" t="inlineStr">
        <is>
          <t>BBS</t>
        </is>
      </c>
    </row>
    <row r="37">
      <c r="A37" s="13" t="n">
        <v>32</v>
      </c>
      <c r="B37" s="13" t="inlineStr">
        <is>
          <t>Raft Foundation</t>
        </is>
      </c>
      <c r="C37" s="13" t="inlineStr">
        <is>
          <t>STR-005</t>
        </is>
      </c>
      <c r="D37" s="13" t="inlineStr">
        <is>
          <t>Raft - additional bottom reinforcement</t>
        </is>
      </c>
      <c r="E37" s="19" t="inlineStr">
        <is>
          <t>2005</t>
        </is>
      </c>
      <c r="F37" s="19" t="n">
        <v>20</v>
      </c>
      <c r="G37" s="19" t="n">
        <v>1</v>
      </c>
      <c r="H37" s="19" t="n">
        <v>76</v>
      </c>
      <c r="I37" s="13">
        <f>G37*H37</f>
        <v>76.0</v>
      </c>
      <c r="J37" s="20">
        <f>6000/1000</f>
        <v>6.0</v>
      </c>
      <c r="K37" s="21">
        <f>I37*J37</f>
        <v>456.0</v>
      </c>
      <c r="L37" s="22">
        <f>F37^2/162</f>
        <v>2.4691358024691357</v>
      </c>
      <c r="M37" s="21">
        <f>K37*L37</f>
        <v>1125.9259259259259</v>
      </c>
      <c r="N37" s="22">
        <f>M37/1000</f>
        <v>1.1259259259259258</v>
      </c>
      <c r="O37" s="13" t="inlineStr">
        <is>
          <t>BBS</t>
        </is>
      </c>
    </row>
    <row r="38">
      <c r="A38" s="13" t="n">
        <v>33</v>
      </c>
      <c r="B38" s="13" t="inlineStr">
        <is>
          <t>Raft Foundation</t>
        </is>
      </c>
      <c r="C38" s="13" t="inlineStr">
        <is>
          <t>STR-005</t>
        </is>
      </c>
      <c r="D38" s="13" t="inlineStr">
        <is>
          <t>Raft - additional bottom reinforcement</t>
        </is>
      </c>
      <c r="E38" s="19" t="inlineStr">
        <is>
          <t>2006</t>
        </is>
      </c>
      <c r="F38" s="19" t="n">
        <v>20</v>
      </c>
      <c r="G38" s="19" t="n">
        <v>1</v>
      </c>
      <c r="H38" s="19" t="n">
        <v>19</v>
      </c>
      <c r="I38" s="13">
        <f>G38*H38</f>
        <v>19.0</v>
      </c>
      <c r="J38" s="20">
        <f>3350/1000</f>
        <v>3.35</v>
      </c>
      <c r="K38" s="21">
        <f>I38*J38</f>
        <v>63.65</v>
      </c>
      <c r="L38" s="22">
        <f>F38^2/162</f>
        <v>2.4691358024691357</v>
      </c>
      <c r="M38" s="21">
        <f>K38*L38</f>
        <v>157.16049382716048</v>
      </c>
      <c r="N38" s="22">
        <f>M38/1000</f>
        <v>0.1571604938271605</v>
      </c>
      <c r="O38" s="13" t="inlineStr">
        <is>
          <t>BBS</t>
        </is>
      </c>
    </row>
    <row r="39">
      <c r="A39" s="13" t="n">
        <v>34</v>
      </c>
      <c r="B39" s="13" t="inlineStr">
        <is>
          <t>Raft Foundation</t>
        </is>
      </c>
      <c r="C39" s="13" t="inlineStr">
        <is>
          <t>STR-005</t>
        </is>
      </c>
      <c r="D39" s="13" t="inlineStr">
        <is>
          <t>Raft - additional bottom reinforcement</t>
        </is>
      </c>
      <c r="E39" s="19" t="inlineStr">
        <is>
          <t>2501</t>
        </is>
      </c>
      <c r="F39" s="19" t="n">
        <v>25</v>
      </c>
      <c r="G39" s="19" t="n">
        <v>1</v>
      </c>
      <c r="H39" s="19" t="n">
        <v>80</v>
      </c>
      <c r="I39" s="13">
        <f>G39*H39</f>
        <v>80.0</v>
      </c>
      <c r="J39" s="20">
        <f>5000/1000</f>
        <v>5.0</v>
      </c>
      <c r="K39" s="21">
        <f>I39*J39</f>
        <v>400.0</v>
      </c>
      <c r="L39" s="22">
        <f>F39^2/162</f>
        <v>3.8580246913580245</v>
      </c>
      <c r="M39" s="21">
        <f>K39*L39</f>
        <v>1543.2098765432097</v>
      </c>
      <c r="N39" s="22">
        <f>M39/1000</f>
        <v>1.5432098765432096</v>
      </c>
      <c r="O39" s="13" t="inlineStr">
        <is>
          <t>BBS</t>
        </is>
      </c>
    </row>
    <row r="40">
      <c r="A40" s="13" t="n">
        <v>35</v>
      </c>
      <c r="B40" s="13" t="inlineStr">
        <is>
          <t>Raft Foundation</t>
        </is>
      </c>
      <c r="C40" s="13" t="inlineStr">
        <is>
          <t>STR-005</t>
        </is>
      </c>
      <c r="D40" s="13" t="inlineStr">
        <is>
          <t>Raft - additional bottom reinforcement</t>
        </is>
      </c>
      <c r="E40" s="19" t="inlineStr">
        <is>
          <t>2502</t>
        </is>
      </c>
      <c r="F40" s="19" t="n">
        <v>25</v>
      </c>
      <c r="G40" s="19" t="n">
        <v>1</v>
      </c>
      <c r="H40" s="19" t="n">
        <v>67</v>
      </c>
      <c r="I40" s="13">
        <f>G40*H40</f>
        <v>67.0</v>
      </c>
      <c r="J40" s="20">
        <f>6650/1000</f>
        <v>6.65</v>
      </c>
      <c r="K40" s="21">
        <f>I40*J40</f>
        <v>445.55</v>
      </c>
      <c r="L40" s="22">
        <f>F40^2/162</f>
        <v>3.8580246913580245</v>
      </c>
      <c r="M40" s="21">
        <f>K40*L40</f>
        <v>1718.942901234568</v>
      </c>
      <c r="N40" s="22">
        <f>M40/1000</f>
        <v>1.7189429012345678</v>
      </c>
      <c r="O40" s="13" t="inlineStr">
        <is>
          <t>BBS</t>
        </is>
      </c>
    </row>
    <row r="41">
      <c r="A41" s="13" t="n">
        <v>36</v>
      </c>
      <c r="B41" s="13" t="inlineStr">
        <is>
          <t>Raft Foundation</t>
        </is>
      </c>
      <c r="C41" s="13" t="inlineStr">
        <is>
          <t>STR-005</t>
        </is>
      </c>
      <c r="D41" s="13" t="inlineStr">
        <is>
          <t>Raft - additional bottom reinforcement</t>
        </is>
      </c>
      <c r="E41" s="19" t="inlineStr">
        <is>
          <t>2503</t>
        </is>
      </c>
      <c r="F41" s="19" t="n">
        <v>25</v>
      </c>
      <c r="G41" s="19" t="n">
        <v>1</v>
      </c>
      <c r="H41" s="19" t="n">
        <v>111</v>
      </c>
      <c r="I41" s="13">
        <f>G41*H41</f>
        <v>111.0</v>
      </c>
      <c r="J41" s="20">
        <f>4100/1000</f>
        <v>4.1</v>
      </c>
      <c r="K41" s="21">
        <f>I41*J41</f>
        <v>455.09999999999997</v>
      </c>
      <c r="L41" s="22">
        <f>F41^2/162</f>
        <v>3.8580246913580245</v>
      </c>
      <c r="M41" s="21">
        <f>K41*L41</f>
        <v>1755.7870370370367</v>
      </c>
      <c r="N41" s="22">
        <f>M41/1000</f>
        <v>1.7557870370370368</v>
      </c>
      <c r="O41" s="13" t="inlineStr">
        <is>
          <t>BBS</t>
        </is>
      </c>
    </row>
    <row r="42">
      <c r="A42" s="13" t="n">
        <v>37</v>
      </c>
      <c r="B42" s="13" t="inlineStr">
        <is>
          <t>Raft Foundation</t>
        </is>
      </c>
      <c r="C42" s="13" t="inlineStr">
        <is>
          <t>STR-005</t>
        </is>
      </c>
      <c r="D42" s="13" t="inlineStr">
        <is>
          <t>Raft - additional bottom reinforcement</t>
        </is>
      </c>
      <c r="E42" s="19" t="inlineStr">
        <is>
          <t>2504</t>
        </is>
      </c>
      <c r="F42" s="19" t="n">
        <v>25</v>
      </c>
      <c r="G42" s="19" t="n">
        <v>1</v>
      </c>
      <c r="H42" s="19" t="n">
        <v>67</v>
      </c>
      <c r="I42" s="13">
        <f>G42*H42</f>
        <v>67.0</v>
      </c>
      <c r="J42" s="20">
        <f>7575/1000</f>
        <v>7.575</v>
      </c>
      <c r="K42" s="21">
        <f>I42*J42</f>
        <v>507.52500000000003</v>
      </c>
      <c r="L42" s="22">
        <f>F42^2/162</f>
        <v>3.8580246913580245</v>
      </c>
      <c r="M42" s="21">
        <f>K42*L42</f>
        <v>1958.0439814814815</v>
      </c>
      <c r="N42" s="22">
        <f>M42/1000</f>
        <v>1.9580439814814816</v>
      </c>
      <c r="O42" s="13" t="inlineStr">
        <is>
          <t>BBS</t>
        </is>
      </c>
    </row>
    <row r="43">
      <c r="A43" s="13" t="n">
        <v>38</v>
      </c>
      <c r="B43" s="13" t="inlineStr">
        <is>
          <t>Raft Foundation</t>
        </is>
      </c>
      <c r="C43" s="13" t="inlineStr">
        <is>
          <t>STR-005</t>
        </is>
      </c>
      <c r="D43" s="13" t="inlineStr">
        <is>
          <t>Raft - additional bottom reinforcement</t>
        </is>
      </c>
      <c r="E43" s="19" t="inlineStr">
        <is>
          <t>2505</t>
        </is>
      </c>
      <c r="F43" s="19" t="n">
        <v>25</v>
      </c>
      <c r="G43" s="19" t="n">
        <v>1</v>
      </c>
      <c r="H43" s="19" t="n">
        <v>30</v>
      </c>
      <c r="I43" s="13">
        <f>G43*H43</f>
        <v>30.0</v>
      </c>
      <c r="J43" s="20">
        <f>6000/1000</f>
        <v>6.0</v>
      </c>
      <c r="K43" s="21">
        <f>I43*J43</f>
        <v>180.0</v>
      </c>
      <c r="L43" s="22">
        <f>F43^2/162</f>
        <v>3.8580246913580245</v>
      </c>
      <c r="M43" s="21">
        <f>K43*L43</f>
        <v>694.4444444444445</v>
      </c>
      <c r="N43" s="22">
        <f>M43/1000</f>
        <v>0.6944444444444444</v>
      </c>
      <c r="O43" s="13" t="inlineStr">
        <is>
          <t>BBS</t>
        </is>
      </c>
    </row>
    <row r="44">
      <c r="A44" s="13" t="n">
        <v>39</v>
      </c>
      <c r="B44" s="13" t="inlineStr">
        <is>
          <t>Raft Foundation</t>
        </is>
      </c>
      <c r="C44" s="13" t="inlineStr">
        <is>
          <t>STR-005</t>
        </is>
      </c>
      <c r="D44" s="13" t="inlineStr">
        <is>
          <t>Raft - additional bottom reinforcement</t>
        </is>
      </c>
      <c r="E44" s="19" t="inlineStr">
        <is>
          <t>2506</t>
        </is>
      </c>
      <c r="F44" s="19" t="n">
        <v>25</v>
      </c>
      <c r="G44" s="19" t="n">
        <v>1</v>
      </c>
      <c r="H44" s="19" t="n">
        <v>50</v>
      </c>
      <c r="I44" s="13">
        <f>G44*H44</f>
        <v>50.0</v>
      </c>
      <c r="J44" s="20">
        <f>6100/1000</f>
        <v>6.1</v>
      </c>
      <c r="K44" s="21">
        <f>I44*J44</f>
        <v>305.0</v>
      </c>
      <c r="L44" s="22">
        <f>F44^2/162</f>
        <v>3.8580246913580245</v>
      </c>
      <c r="M44" s="21">
        <f>K44*L44</f>
        <v>1176.6975308641975</v>
      </c>
      <c r="N44" s="22">
        <f>M44/1000</f>
        <v>1.1766975308641974</v>
      </c>
      <c r="O44" s="13" t="inlineStr">
        <is>
          <t>BBS</t>
        </is>
      </c>
    </row>
    <row r="45">
      <c r="A45" s="13" t="n">
        <v>40</v>
      </c>
      <c r="B45" s="13" t="inlineStr">
        <is>
          <t>Raft Foundation</t>
        </is>
      </c>
      <c r="C45" s="13" t="inlineStr">
        <is>
          <t>STR-005</t>
        </is>
      </c>
      <c r="D45" s="13" t="inlineStr">
        <is>
          <t>Raft - additional bottom reinforcement</t>
        </is>
      </c>
      <c r="E45" s="19" t="inlineStr">
        <is>
          <t>2507</t>
        </is>
      </c>
      <c r="F45" s="19" t="n">
        <v>25</v>
      </c>
      <c r="G45" s="19" t="n">
        <v>1</v>
      </c>
      <c r="H45" s="19" t="n">
        <v>25</v>
      </c>
      <c r="I45" s="13">
        <f>G45*H45</f>
        <v>25.0</v>
      </c>
      <c r="J45" s="20">
        <f>3250/1000</f>
        <v>3.25</v>
      </c>
      <c r="K45" s="21">
        <f>I45*J45</f>
        <v>81.25</v>
      </c>
      <c r="L45" s="22">
        <f>F45^2/162</f>
        <v>3.8580246913580245</v>
      </c>
      <c r="M45" s="21">
        <f>K45*L45</f>
        <v>313.4645061728395</v>
      </c>
      <c r="N45" s="22">
        <f>M45/1000</f>
        <v>0.3134645061728395</v>
      </c>
      <c r="O45" s="13" t="inlineStr">
        <is>
          <t>BBS</t>
        </is>
      </c>
    </row>
    <row r="46">
      <c r="A46" s="13" t="n">
        <v>41</v>
      </c>
      <c r="B46" s="13" t="inlineStr">
        <is>
          <t>Raft Foundation</t>
        </is>
      </c>
      <c r="C46" s="13" t="inlineStr">
        <is>
          <t>STR-005</t>
        </is>
      </c>
      <c r="D46" s="13" t="inlineStr">
        <is>
          <t>Raft - additional bottom reinforcement</t>
        </is>
      </c>
      <c r="E46" s="19" t="inlineStr">
        <is>
          <t>2508</t>
        </is>
      </c>
      <c r="F46" s="19" t="n">
        <v>25</v>
      </c>
      <c r="G46" s="19" t="n">
        <v>1</v>
      </c>
      <c r="H46" s="19" t="n">
        <v>48</v>
      </c>
      <c r="I46" s="13">
        <f>G46*H46</f>
        <v>48.0</v>
      </c>
      <c r="J46" s="20">
        <f>5100/1000</f>
        <v>5.1</v>
      </c>
      <c r="K46" s="21">
        <f>I46*J46</f>
        <v>244.79999999999998</v>
      </c>
      <c r="L46" s="22">
        <f>F46^2/162</f>
        <v>3.8580246913580245</v>
      </c>
      <c r="M46" s="21">
        <f>K46*L46</f>
        <v>944.4444444444443</v>
      </c>
      <c r="N46" s="22">
        <f>M46/1000</f>
        <v>0.9444444444444443</v>
      </c>
      <c r="O46" s="13" t="inlineStr">
        <is>
          <t>BBS</t>
        </is>
      </c>
    </row>
    <row r="47">
      <c r="A47" s="13" t="n">
        <v>42</v>
      </c>
      <c r="B47" s="13" t="inlineStr">
        <is>
          <t>Raft Foundation</t>
        </is>
      </c>
      <c r="C47" s="13" t="inlineStr">
        <is>
          <t>STR-005</t>
        </is>
      </c>
      <c r="D47" s="13" t="inlineStr">
        <is>
          <t>Raft - additional bottom reinforcement</t>
        </is>
      </c>
      <c r="E47" s="19" t="inlineStr">
        <is>
          <t>2509</t>
        </is>
      </c>
      <c r="F47" s="19" t="n">
        <v>25</v>
      </c>
      <c r="G47" s="19" t="n">
        <v>1</v>
      </c>
      <c r="H47" s="19" t="n">
        <v>39</v>
      </c>
      <c r="I47" s="13">
        <f>G47*H47</f>
        <v>39.0</v>
      </c>
      <c r="J47" s="20">
        <f>8075/1000</f>
        <v>8.075</v>
      </c>
      <c r="K47" s="21">
        <f>I47*J47</f>
        <v>314.92499999999995</v>
      </c>
      <c r="L47" s="22">
        <f>F47^2/162</f>
        <v>3.8580246913580245</v>
      </c>
      <c r="M47" s="21">
        <f>K47*L47</f>
        <v>1214.9884259259256</v>
      </c>
      <c r="N47" s="22">
        <f>M47/1000</f>
        <v>1.2149884259259256</v>
      </c>
      <c r="O47" s="13" t="inlineStr">
        <is>
          <t>BBS</t>
        </is>
      </c>
    </row>
    <row r="48">
      <c r="A48" s="13" t="n">
        <v>43</v>
      </c>
      <c r="B48" s="13" t="inlineStr">
        <is>
          <t>Raft Foundation</t>
        </is>
      </c>
      <c r="C48" s="13" t="inlineStr">
        <is>
          <t>STR-005</t>
        </is>
      </c>
      <c r="D48" s="13" t="inlineStr">
        <is>
          <t>Raft - additional bottom reinforcement</t>
        </is>
      </c>
      <c r="E48" s="19" t="inlineStr">
        <is>
          <t>2510</t>
        </is>
      </c>
      <c r="F48" s="19" t="n">
        <v>25</v>
      </c>
      <c r="G48" s="19" t="n">
        <v>1</v>
      </c>
      <c r="H48" s="19" t="n">
        <v>134</v>
      </c>
      <c r="I48" s="13">
        <f>G48*H48</f>
        <v>134.0</v>
      </c>
      <c r="J48" s="20">
        <f>3950/1000</f>
        <v>3.95</v>
      </c>
      <c r="K48" s="21">
        <f>I48*J48</f>
        <v>529.3000000000001</v>
      </c>
      <c r="L48" s="22">
        <f>F48^2/162</f>
        <v>3.8580246913580245</v>
      </c>
      <c r="M48" s="21">
        <f>K48*L48</f>
        <v>2042.0524691358025</v>
      </c>
      <c r="N48" s="22">
        <f>M48/1000</f>
        <v>2.0420524691358026</v>
      </c>
      <c r="O48" s="13" t="inlineStr">
        <is>
          <t>BBS</t>
        </is>
      </c>
    </row>
    <row r="49">
      <c r="A49" s="13" t="n">
        <v>44</v>
      </c>
      <c r="B49" s="13" t="inlineStr">
        <is>
          <t>Raft Foundation</t>
        </is>
      </c>
      <c r="C49" s="13" t="inlineStr">
        <is>
          <t>STR-005</t>
        </is>
      </c>
      <c r="D49" s="13" t="inlineStr">
        <is>
          <t>Raft - additional bottom reinforcement</t>
        </is>
      </c>
      <c r="E49" s="19" t="inlineStr">
        <is>
          <t>2511</t>
        </is>
      </c>
      <c r="F49" s="19" t="n">
        <v>25</v>
      </c>
      <c r="G49" s="19" t="n">
        <v>1</v>
      </c>
      <c r="H49" s="19" t="n">
        <v>63</v>
      </c>
      <c r="I49" s="13">
        <f>G49*H49</f>
        <v>63.0</v>
      </c>
      <c r="J49" s="20">
        <f>8000/1000</f>
        <v>8.0</v>
      </c>
      <c r="K49" s="21">
        <f>I49*J49</f>
        <v>504.0</v>
      </c>
      <c r="L49" s="22">
        <f>F49^2/162</f>
        <v>3.8580246913580245</v>
      </c>
      <c r="M49" s="21">
        <f>K49*L49</f>
        <v>1944.4444444444443</v>
      </c>
      <c r="N49" s="22">
        <f>M49/1000</f>
        <v>1.9444444444444444</v>
      </c>
      <c r="O49" s="13" t="inlineStr">
        <is>
          <t>BBS</t>
        </is>
      </c>
    </row>
    <row r="50">
      <c r="A50" s="13" t="n">
        <v>45</v>
      </c>
      <c r="B50" s="13" t="inlineStr">
        <is>
          <t>Raft Foundation</t>
        </is>
      </c>
      <c r="C50" s="13" t="inlineStr">
        <is>
          <t>STR-005</t>
        </is>
      </c>
      <c r="D50" s="13" t="inlineStr">
        <is>
          <t>Raft - additional bottom reinforcement</t>
        </is>
      </c>
      <c r="E50" s="19" t="inlineStr">
        <is>
          <t>2512</t>
        </is>
      </c>
      <c r="F50" s="19" t="n">
        <v>25</v>
      </c>
      <c r="G50" s="19" t="n">
        <v>1</v>
      </c>
      <c r="H50" s="19" t="n">
        <v>48</v>
      </c>
      <c r="I50" s="13">
        <f>G50*H50</f>
        <v>48.0</v>
      </c>
      <c r="J50" s="20">
        <f>5200/1000</f>
        <v>5.2</v>
      </c>
      <c r="K50" s="21">
        <f>I50*J50</f>
        <v>249.60000000000002</v>
      </c>
      <c r="L50" s="22">
        <f>F50^2/162</f>
        <v>3.8580246913580245</v>
      </c>
      <c r="M50" s="21">
        <f>K50*L50</f>
        <v>962.962962962963</v>
      </c>
      <c r="N50" s="22">
        <f>M50/1000</f>
        <v>0.962962962962963</v>
      </c>
      <c r="O50" s="13" t="inlineStr">
        <is>
          <t>BBS</t>
        </is>
      </c>
    </row>
    <row r="51">
      <c r="A51" s="13" t="n">
        <v>46</v>
      </c>
      <c r="B51" s="13" t="inlineStr">
        <is>
          <t>Raft Foundation</t>
        </is>
      </c>
      <c r="C51" s="13" t="inlineStr">
        <is>
          <t>STR-005</t>
        </is>
      </c>
      <c r="D51" s="13" t="inlineStr">
        <is>
          <t>Raft - additional bottom reinforcement</t>
        </is>
      </c>
      <c r="E51" s="19" t="inlineStr">
        <is>
          <t>2513</t>
        </is>
      </c>
      <c r="F51" s="19" t="n">
        <v>25</v>
      </c>
      <c r="G51" s="19" t="n">
        <v>1</v>
      </c>
      <c r="H51" s="19" t="n">
        <v>67</v>
      </c>
      <c r="I51" s="13">
        <f>G51*H51</f>
        <v>67.0</v>
      </c>
      <c r="J51" s="20">
        <f>9000/1000</f>
        <v>9.0</v>
      </c>
      <c r="K51" s="21">
        <f>I51*J51</f>
        <v>603.0</v>
      </c>
      <c r="L51" s="22">
        <f>F51^2/162</f>
        <v>3.8580246913580245</v>
      </c>
      <c r="M51" s="21">
        <f>K51*L51</f>
        <v>2326.3888888888887</v>
      </c>
      <c r="N51" s="22">
        <f>M51/1000</f>
        <v>2.326388888888889</v>
      </c>
      <c r="O51" s="13" t="inlineStr">
        <is>
          <t>BBS</t>
        </is>
      </c>
    </row>
    <row r="52">
      <c r="A52" s="13" t="n">
        <v>47</v>
      </c>
      <c r="B52" s="13" t="inlineStr">
        <is>
          <t>Raft Foundation</t>
        </is>
      </c>
      <c r="C52" s="13" t="inlineStr">
        <is>
          <t>STR-005</t>
        </is>
      </c>
      <c r="D52" s="13" t="inlineStr">
        <is>
          <t>Raft - additional bottom reinforcement</t>
        </is>
      </c>
      <c r="E52" s="19" t="inlineStr">
        <is>
          <t>2514</t>
        </is>
      </c>
      <c r="F52" s="19" t="n">
        <v>25</v>
      </c>
      <c r="G52" s="19" t="n">
        <v>1</v>
      </c>
      <c r="H52" s="19" t="n">
        <v>67</v>
      </c>
      <c r="I52" s="13">
        <f>G52*H52</f>
        <v>67.0</v>
      </c>
      <c r="J52" s="20">
        <f>12000/1000</f>
        <v>12.0</v>
      </c>
      <c r="K52" s="21">
        <f>I52*J52</f>
        <v>804.0</v>
      </c>
      <c r="L52" s="22">
        <f>F52^2/162</f>
        <v>3.8580246913580245</v>
      </c>
      <c r="M52" s="21">
        <f>K52*L52</f>
        <v>3101.8518518518517</v>
      </c>
      <c r="N52" s="22">
        <f>M52/1000</f>
        <v>3.1018518518518516</v>
      </c>
      <c r="O52" s="13" t="inlineStr">
        <is>
          <t>BBS</t>
        </is>
      </c>
    </row>
    <row r="53">
      <c r="A53" s="13" t="n">
        <v>48</v>
      </c>
      <c r="B53" s="13" t="inlineStr">
        <is>
          <t>Raft Foundation</t>
        </is>
      </c>
      <c r="C53" s="13" t="inlineStr">
        <is>
          <t>STR-006</t>
        </is>
      </c>
      <c r="D53" s="13" t="inlineStr">
        <is>
          <t>Raft - top reinforcement</t>
        </is>
      </c>
      <c r="E53" s="19" t="inlineStr">
        <is>
          <t>2501</t>
        </is>
      </c>
      <c r="F53" s="19" t="n">
        <v>25</v>
      </c>
      <c r="G53" s="19" t="n">
        <v>1</v>
      </c>
      <c r="H53" s="19" t="n">
        <v>156</v>
      </c>
      <c r="I53" s="13">
        <f>G53*H53</f>
        <v>156.0</v>
      </c>
      <c r="J53" s="20">
        <f>11050/1000</f>
        <v>11.05</v>
      </c>
      <c r="K53" s="21">
        <f>I53*J53</f>
        <v>1723.8000000000002</v>
      </c>
      <c r="L53" s="22">
        <f>F53^2/162</f>
        <v>3.8580246913580245</v>
      </c>
      <c r="M53" s="21">
        <f>K53*L53</f>
        <v>6650.4629629629635</v>
      </c>
      <c r="N53" s="22">
        <f>M53/1000</f>
        <v>6.650462962962964</v>
      </c>
      <c r="O53" s="13" t="inlineStr">
        <is>
          <t>BBS</t>
        </is>
      </c>
    </row>
    <row r="54">
      <c r="A54" s="13" t="n">
        <v>49</v>
      </c>
      <c r="B54" s="13" t="inlineStr">
        <is>
          <t>Raft Foundation</t>
        </is>
      </c>
      <c r="C54" s="13" t="inlineStr">
        <is>
          <t>STR-006</t>
        </is>
      </c>
      <c r="D54" s="13" t="inlineStr">
        <is>
          <t>Raft - top reinforcement</t>
        </is>
      </c>
      <c r="E54" s="19" t="inlineStr">
        <is>
          <t>2502</t>
        </is>
      </c>
      <c r="F54" s="19" t="n">
        <v>25</v>
      </c>
      <c r="G54" s="19" t="n">
        <v>1</v>
      </c>
      <c r="H54" s="19" t="n">
        <v>72</v>
      </c>
      <c r="I54" s="13">
        <f>G54*H54</f>
        <v>72.0</v>
      </c>
      <c r="J54" s="20">
        <f>10625/1000</f>
        <v>10.625</v>
      </c>
      <c r="K54" s="21">
        <f>I54*J54</f>
        <v>765.0</v>
      </c>
      <c r="L54" s="22">
        <f>F54^2/162</f>
        <v>3.8580246913580245</v>
      </c>
      <c r="M54" s="21">
        <f>K54*L54</f>
        <v>2951.3888888888887</v>
      </c>
      <c r="N54" s="22">
        <f>M54/1000</f>
        <v>2.951388888888889</v>
      </c>
      <c r="O54" s="13" t="inlineStr">
        <is>
          <t>BBS</t>
        </is>
      </c>
    </row>
    <row r="55">
      <c r="A55" s="13" t="n">
        <v>50</v>
      </c>
      <c r="B55" s="13" t="inlineStr">
        <is>
          <t>Raft Foundation</t>
        </is>
      </c>
      <c r="C55" s="13" t="inlineStr">
        <is>
          <t>STR-006</t>
        </is>
      </c>
      <c r="D55" s="13" t="inlineStr">
        <is>
          <t>Raft - top reinforcement</t>
        </is>
      </c>
      <c r="E55" s="19" t="inlineStr">
        <is>
          <t>2503</t>
        </is>
      </c>
      <c r="F55" s="19" t="n">
        <v>25</v>
      </c>
      <c r="G55" s="19" t="n">
        <v>1</v>
      </c>
      <c r="H55" s="19" t="n">
        <v>156</v>
      </c>
      <c r="I55" s="13">
        <f>G55*H55</f>
        <v>156.0</v>
      </c>
      <c r="J55" s="20">
        <f>10150/1000</f>
        <v>10.15</v>
      </c>
      <c r="K55" s="21">
        <f>I55*J55</f>
        <v>1583.4</v>
      </c>
      <c r="L55" s="22">
        <f>F55^2/162</f>
        <v>3.8580246913580245</v>
      </c>
      <c r="M55" s="21">
        <f>K55*L55</f>
        <v>6108.7962962962965</v>
      </c>
      <c r="N55" s="22">
        <f>M55/1000</f>
        <v>6.108796296296297</v>
      </c>
      <c r="O55" s="13" t="inlineStr">
        <is>
          <t>BBS</t>
        </is>
      </c>
    </row>
    <row r="56">
      <c r="A56" s="13" t="n">
        <v>51</v>
      </c>
      <c r="B56" s="13" t="inlineStr">
        <is>
          <t>Raft Foundation</t>
        </is>
      </c>
      <c r="C56" s="13" t="inlineStr">
        <is>
          <t>STR-006</t>
        </is>
      </c>
      <c r="D56" s="13" t="inlineStr">
        <is>
          <t>Raft - top reinforcement</t>
        </is>
      </c>
      <c r="E56" s="19" t="inlineStr">
        <is>
          <t>2504</t>
        </is>
      </c>
      <c r="F56" s="19" t="n">
        <v>25</v>
      </c>
      <c r="G56" s="19" t="n">
        <v>1</v>
      </c>
      <c r="H56" s="19" t="n">
        <v>52</v>
      </c>
      <c r="I56" s="13">
        <f>G56*H56</f>
        <v>52.0</v>
      </c>
      <c r="J56" s="20">
        <f>4175/1000</f>
        <v>4.175</v>
      </c>
      <c r="K56" s="21">
        <f>I56*J56</f>
        <v>217.1</v>
      </c>
      <c r="L56" s="22">
        <f>F56^2/162</f>
        <v>3.8580246913580245</v>
      </c>
      <c r="M56" s="21">
        <f>K56*L56</f>
        <v>837.5771604938271</v>
      </c>
      <c r="N56" s="22">
        <f>M56/1000</f>
        <v>0.8375771604938271</v>
      </c>
      <c r="O56" s="13" t="inlineStr">
        <is>
          <t>BBS</t>
        </is>
      </c>
    </row>
    <row r="57">
      <c r="A57" s="13" t="n">
        <v>52</v>
      </c>
      <c r="B57" s="13" t="inlineStr">
        <is>
          <t>Raft Foundation</t>
        </is>
      </c>
      <c r="C57" s="13" t="inlineStr">
        <is>
          <t>STR-006</t>
        </is>
      </c>
      <c r="D57" s="13" t="inlineStr">
        <is>
          <t>Raft - top reinforcement</t>
        </is>
      </c>
      <c r="E57" s="19" t="inlineStr">
        <is>
          <t>2505</t>
        </is>
      </c>
      <c r="F57" s="19" t="n">
        <v>25</v>
      </c>
      <c r="G57" s="19" t="n">
        <v>1</v>
      </c>
      <c r="H57" s="19" t="n">
        <v>21</v>
      </c>
      <c r="I57" s="13">
        <f>G57*H57</f>
        <v>21.0</v>
      </c>
      <c r="J57" s="20">
        <f>9550/1000</f>
        <v>9.55</v>
      </c>
      <c r="K57" s="21">
        <f>I57*J57</f>
        <v>200.55</v>
      </c>
      <c r="L57" s="22">
        <f>F57^2/162</f>
        <v>3.8580246913580245</v>
      </c>
      <c r="M57" s="21">
        <f>K57*L57</f>
        <v>773.7268518518518</v>
      </c>
      <c r="N57" s="22">
        <f>M57/1000</f>
        <v>0.7737268518518519</v>
      </c>
      <c r="O57" s="13" t="inlineStr">
        <is>
          <t>BBS</t>
        </is>
      </c>
    </row>
    <row r="58">
      <c r="A58" s="13" t="n">
        <v>53</v>
      </c>
      <c r="B58" s="13" t="inlineStr">
        <is>
          <t>Raft Foundation</t>
        </is>
      </c>
      <c r="C58" s="13" t="inlineStr">
        <is>
          <t>STR-006</t>
        </is>
      </c>
      <c r="D58" s="13" t="inlineStr">
        <is>
          <t>Raft - top reinforcement</t>
        </is>
      </c>
      <c r="E58" s="19" t="inlineStr">
        <is>
          <t>2506</t>
        </is>
      </c>
      <c r="F58" s="19" t="n">
        <v>25</v>
      </c>
      <c r="G58" s="19" t="n">
        <v>1</v>
      </c>
      <c r="H58" s="19" t="n">
        <v>72</v>
      </c>
      <c r="I58" s="13">
        <f>G58*H58</f>
        <v>72.0</v>
      </c>
      <c r="J58" s="20">
        <f>3950/1000</f>
        <v>3.95</v>
      </c>
      <c r="K58" s="21">
        <f>I58*J58</f>
        <v>284.40000000000003</v>
      </c>
      <c r="L58" s="22">
        <f>F58^2/162</f>
        <v>3.8580246913580245</v>
      </c>
      <c r="M58" s="21">
        <f>K58*L58</f>
        <v>1097.2222222222224</v>
      </c>
      <c r="N58" s="22">
        <f>M58/1000</f>
        <v>1.0972222222222223</v>
      </c>
      <c r="O58" s="13" t="inlineStr">
        <is>
          <t>BBS</t>
        </is>
      </c>
    </row>
    <row r="59">
      <c r="A59" s="13" t="n">
        <v>54</v>
      </c>
      <c r="B59" s="13" t="inlineStr">
        <is>
          <t>Raft Foundation</t>
        </is>
      </c>
      <c r="C59" s="13" t="inlineStr">
        <is>
          <t>STR-006</t>
        </is>
      </c>
      <c r="D59" s="13" t="inlineStr">
        <is>
          <t>Raft - top reinforcement</t>
        </is>
      </c>
      <c r="E59" s="19" t="inlineStr">
        <is>
          <t>2507</t>
        </is>
      </c>
      <c r="F59" s="19" t="n">
        <v>25</v>
      </c>
      <c r="G59" s="19" t="n">
        <v>1</v>
      </c>
      <c r="H59" s="19" t="n">
        <v>52</v>
      </c>
      <c r="I59" s="13">
        <f>G59*H59</f>
        <v>52.0</v>
      </c>
      <c r="J59" s="20">
        <f>10375/1000</f>
        <v>10.375</v>
      </c>
      <c r="K59" s="21">
        <f>I59*J59</f>
        <v>539.5</v>
      </c>
      <c r="L59" s="22">
        <f>F59^2/162</f>
        <v>3.8580246913580245</v>
      </c>
      <c r="M59" s="21">
        <f>K59*L59</f>
        <v>2081.404320987654</v>
      </c>
      <c r="N59" s="22">
        <f>M59/1000</f>
        <v>2.0814043209876543</v>
      </c>
      <c r="O59" s="13" t="inlineStr">
        <is>
          <t>BBS</t>
        </is>
      </c>
    </row>
    <row r="60">
      <c r="A60" s="13" t="n">
        <v>55</v>
      </c>
      <c r="B60" s="13" t="inlineStr">
        <is>
          <t>Raft Foundation</t>
        </is>
      </c>
      <c r="C60" s="13" t="inlineStr">
        <is>
          <t>STR-006</t>
        </is>
      </c>
      <c r="D60" s="13" t="inlineStr">
        <is>
          <t>Raft - top reinforcement</t>
        </is>
      </c>
      <c r="E60" s="19" t="inlineStr">
        <is>
          <t>2508</t>
        </is>
      </c>
      <c r="F60" s="19" t="n">
        <v>25</v>
      </c>
      <c r="G60" s="19" t="n">
        <v>1</v>
      </c>
      <c r="H60" s="19" t="n">
        <v>157</v>
      </c>
      <c r="I60" s="13">
        <f>G60*H60</f>
        <v>157.0</v>
      </c>
      <c r="J60" s="20">
        <f>5400/1000</f>
        <v>5.4</v>
      </c>
      <c r="K60" s="21">
        <f>I60*J60</f>
        <v>847.8000000000001</v>
      </c>
      <c r="L60" s="22">
        <f>F60^2/162</f>
        <v>3.8580246913580245</v>
      </c>
      <c r="M60" s="21">
        <f>K60*L60</f>
        <v>3270.8333333333335</v>
      </c>
      <c r="N60" s="22">
        <f>M60/1000</f>
        <v>3.2708333333333335</v>
      </c>
      <c r="O60" s="13" t="inlineStr">
        <is>
          <t>BBS</t>
        </is>
      </c>
    </row>
    <row r="61">
      <c r="A61" s="13" t="n">
        <v>56</v>
      </c>
      <c r="B61" s="13" t="inlineStr">
        <is>
          <t>Raft Foundation</t>
        </is>
      </c>
      <c r="C61" s="13" t="inlineStr">
        <is>
          <t>STR-006</t>
        </is>
      </c>
      <c r="D61" s="13" t="inlineStr">
        <is>
          <t>Raft - top reinforcement</t>
        </is>
      </c>
      <c r="E61" s="19" t="inlineStr">
        <is>
          <t>2509</t>
        </is>
      </c>
      <c r="F61" s="19" t="n">
        <v>25</v>
      </c>
      <c r="G61" s="19" t="n">
        <v>1</v>
      </c>
      <c r="H61" s="19" t="n">
        <v>20</v>
      </c>
      <c r="I61" s="13">
        <f>G61*H61</f>
        <v>20.0</v>
      </c>
      <c r="J61" s="20">
        <f>7000/1000</f>
        <v>7.0</v>
      </c>
      <c r="K61" s="21">
        <f>I61*J61</f>
        <v>140.0</v>
      </c>
      <c r="L61" s="22">
        <f>F61^2/162</f>
        <v>3.8580246913580245</v>
      </c>
      <c r="M61" s="21">
        <f>K61*L61</f>
        <v>540.1234567901234</v>
      </c>
      <c r="N61" s="22">
        <f>M61/1000</f>
        <v>0.5401234567901234</v>
      </c>
      <c r="O61" s="13" t="inlineStr">
        <is>
          <t>BBS</t>
        </is>
      </c>
    </row>
    <row r="62">
      <c r="A62" s="13" t="n">
        <v>57</v>
      </c>
      <c r="B62" s="13" t="inlineStr">
        <is>
          <t>Raft Foundation</t>
        </is>
      </c>
      <c r="C62" s="13" t="inlineStr">
        <is>
          <t>STR-006</t>
        </is>
      </c>
      <c r="D62" s="13" t="inlineStr">
        <is>
          <t>Raft - top reinforcement</t>
        </is>
      </c>
      <c r="E62" s="19" t="inlineStr">
        <is>
          <t>2510</t>
        </is>
      </c>
      <c r="F62" s="19" t="n">
        <v>25</v>
      </c>
      <c r="G62" s="19" t="n">
        <v>1</v>
      </c>
      <c r="H62" s="19" t="n">
        <v>21</v>
      </c>
      <c r="I62" s="13">
        <f>G62*H62</f>
        <v>21.0</v>
      </c>
      <c r="J62" s="20">
        <f>7750/1000</f>
        <v>7.75</v>
      </c>
      <c r="K62" s="21">
        <f>I62*J62</f>
        <v>162.75</v>
      </c>
      <c r="L62" s="22">
        <f>F62^2/162</f>
        <v>3.8580246913580245</v>
      </c>
      <c r="M62" s="21">
        <f>K62*L62</f>
        <v>627.8935185185185</v>
      </c>
      <c r="N62" s="22">
        <f>M62/1000</f>
        <v>0.6278935185185185</v>
      </c>
      <c r="O62" s="13" t="inlineStr">
        <is>
          <t>BBS</t>
        </is>
      </c>
    </row>
    <row r="63">
      <c r="A63" s="13" t="n">
        <v>58</v>
      </c>
      <c r="B63" s="13" t="inlineStr">
        <is>
          <t>Raft Foundation</t>
        </is>
      </c>
      <c r="C63" s="13" t="inlineStr">
        <is>
          <t>STR-006</t>
        </is>
      </c>
      <c r="D63" s="13" t="inlineStr">
        <is>
          <t>Raft - top reinforcement</t>
        </is>
      </c>
      <c r="E63" s="19" t="inlineStr">
        <is>
          <t>2511</t>
        </is>
      </c>
      <c r="F63" s="19" t="n">
        <v>25</v>
      </c>
      <c r="G63" s="19" t="n">
        <v>1</v>
      </c>
      <c r="H63" s="19" t="n">
        <v>209</v>
      </c>
      <c r="I63" s="13">
        <f>G63*H63</f>
        <v>209.0</v>
      </c>
      <c r="J63" s="20">
        <f>10100/1000</f>
        <v>10.1</v>
      </c>
      <c r="K63" s="21">
        <f>I63*J63</f>
        <v>2110.9</v>
      </c>
      <c r="L63" s="22">
        <f>F63^2/162</f>
        <v>3.8580246913580245</v>
      </c>
      <c r="M63" s="21">
        <f>K63*L63</f>
        <v>8143.9043209876545</v>
      </c>
      <c r="N63" s="22">
        <f>M63/1000</f>
        <v>8.143904320987655</v>
      </c>
      <c r="O63" s="13" t="inlineStr">
        <is>
          <t>BBS</t>
        </is>
      </c>
    </row>
    <row r="64">
      <c r="A64" s="13" t="n">
        <v>59</v>
      </c>
      <c r="B64" s="13" t="inlineStr">
        <is>
          <t>Raft Foundation</t>
        </is>
      </c>
      <c r="C64" s="13" t="inlineStr">
        <is>
          <t>STR-006</t>
        </is>
      </c>
      <c r="D64" s="13" t="inlineStr">
        <is>
          <t>Raft - top reinforcement</t>
        </is>
      </c>
      <c r="E64" s="19" t="inlineStr">
        <is>
          <t>2512</t>
        </is>
      </c>
      <c r="F64" s="19" t="n">
        <v>25</v>
      </c>
      <c r="G64" s="19" t="n">
        <v>1</v>
      </c>
      <c r="H64" s="19" t="n">
        <v>49</v>
      </c>
      <c r="I64" s="13">
        <f>G64*H64</f>
        <v>49.0</v>
      </c>
      <c r="J64" s="20">
        <f>6036/1000</f>
        <v>6.036</v>
      </c>
      <c r="K64" s="21">
        <f>I64*J64</f>
        <v>295.76399999999995</v>
      </c>
      <c r="L64" s="22">
        <f>F64^2/162</f>
        <v>3.8580246913580245</v>
      </c>
      <c r="M64" s="21">
        <f>K64*L64</f>
        <v>1141.0648148148146</v>
      </c>
      <c r="N64" s="22">
        <f>M64/1000</f>
        <v>1.1410648148148146</v>
      </c>
      <c r="O64" s="13" t="inlineStr">
        <is>
          <t>BBS</t>
        </is>
      </c>
    </row>
    <row r="65">
      <c r="A65" s="13" t="n">
        <v>60</v>
      </c>
      <c r="B65" s="13" t="inlineStr">
        <is>
          <t>Raft Foundation</t>
        </is>
      </c>
      <c r="C65" s="13" t="inlineStr">
        <is>
          <t>STR-006</t>
        </is>
      </c>
      <c r="D65" s="13" t="inlineStr">
        <is>
          <t>Raft - top reinforcement</t>
        </is>
      </c>
      <c r="E65" s="19" t="inlineStr">
        <is>
          <t>2513</t>
        </is>
      </c>
      <c r="F65" s="19" t="n">
        <v>25</v>
      </c>
      <c r="G65" s="19" t="n">
        <v>1</v>
      </c>
      <c r="H65" s="19" t="n">
        <v>124</v>
      </c>
      <c r="I65" s="13">
        <f>G65*H65</f>
        <v>124.0</v>
      </c>
      <c r="J65" s="20">
        <f>9750/1000</f>
        <v>9.75</v>
      </c>
      <c r="K65" s="21">
        <f>I65*J65</f>
        <v>1209.0</v>
      </c>
      <c r="L65" s="22">
        <f>F65^2/162</f>
        <v>3.8580246913580245</v>
      </c>
      <c r="M65" s="21">
        <f>K65*L65</f>
        <v>4664.351851851851</v>
      </c>
      <c r="N65" s="22">
        <f>M65/1000</f>
        <v>4.664351851851851</v>
      </c>
      <c r="O65" s="13" t="inlineStr">
        <is>
          <t>BBS</t>
        </is>
      </c>
    </row>
    <row r="66">
      <c r="A66" s="13" t="n">
        <v>61</v>
      </c>
      <c r="B66" s="13" t="inlineStr">
        <is>
          <t>Raft Foundation</t>
        </is>
      </c>
      <c r="C66" s="13" t="inlineStr">
        <is>
          <t>STR-006</t>
        </is>
      </c>
      <c r="D66" s="13" t="inlineStr">
        <is>
          <t>Raft - top reinforcement</t>
        </is>
      </c>
      <c r="E66" s="19" t="inlineStr">
        <is>
          <t>2514</t>
        </is>
      </c>
      <c r="F66" s="19" t="n">
        <v>25</v>
      </c>
      <c r="G66" s="19" t="n">
        <v>1</v>
      </c>
      <c r="H66" s="19" t="n">
        <v>49</v>
      </c>
      <c r="I66" s="13">
        <f>G66*H66</f>
        <v>49.0</v>
      </c>
      <c r="J66" s="20">
        <f>8425/1000</f>
        <v>8.425</v>
      </c>
      <c r="K66" s="21">
        <f>I66*J66</f>
        <v>412.82500000000005</v>
      </c>
      <c r="L66" s="22">
        <f>F66^2/162</f>
        <v>3.8580246913580245</v>
      </c>
      <c r="M66" s="21">
        <f>K66*L66</f>
        <v>1592.6890432098767</v>
      </c>
      <c r="N66" s="22">
        <f>M66/1000</f>
        <v>1.5926890432098766</v>
      </c>
      <c r="O66" s="13" t="inlineStr">
        <is>
          <t>BBS</t>
        </is>
      </c>
    </row>
    <row r="67">
      <c r="A67" s="13" t="n">
        <v>62</v>
      </c>
      <c r="B67" s="13" t="inlineStr">
        <is>
          <t>Raft Foundation</t>
        </is>
      </c>
      <c r="C67" s="13" t="inlineStr">
        <is>
          <t>STR-006</t>
        </is>
      </c>
      <c r="D67" s="13" t="inlineStr">
        <is>
          <t>Raft - top reinforcement</t>
        </is>
      </c>
      <c r="E67" s="19" t="inlineStr">
        <is>
          <t>2515</t>
        </is>
      </c>
      <c r="F67" s="19" t="n">
        <v>25</v>
      </c>
      <c r="G67" s="19" t="n">
        <v>1</v>
      </c>
      <c r="H67" s="19" t="n">
        <v>49</v>
      </c>
      <c r="I67" s="13">
        <f>G67*H67</f>
        <v>49.0</v>
      </c>
      <c r="J67" s="20">
        <f>8400/1000</f>
        <v>8.4</v>
      </c>
      <c r="K67" s="21">
        <f>I67*J67</f>
        <v>411.6</v>
      </c>
      <c r="L67" s="22">
        <f>F67^2/162</f>
        <v>3.8580246913580245</v>
      </c>
      <c r="M67" s="21">
        <f>K67*L67</f>
        <v>1587.962962962963</v>
      </c>
      <c r="N67" s="22">
        <f>M67/1000</f>
        <v>1.587962962962963</v>
      </c>
      <c r="O67" s="13" t="inlineStr">
        <is>
          <t>BBS</t>
        </is>
      </c>
    </row>
    <row r="68">
      <c r="A68" s="13" t="n">
        <v>63</v>
      </c>
      <c r="B68" s="13" t="inlineStr">
        <is>
          <t>Raft Foundation</t>
        </is>
      </c>
      <c r="C68" s="13" t="inlineStr">
        <is>
          <t>STR-006</t>
        </is>
      </c>
      <c r="D68" s="13" t="inlineStr">
        <is>
          <t>Raft - top reinforcement</t>
        </is>
      </c>
      <c r="E68" s="19" t="inlineStr">
        <is>
          <t>2516</t>
        </is>
      </c>
      <c r="F68" s="19" t="n">
        <v>25</v>
      </c>
      <c r="G68" s="19" t="n">
        <v>1</v>
      </c>
      <c r="H68" s="19" t="n">
        <v>124</v>
      </c>
      <c r="I68" s="13">
        <f>G68*H68</f>
        <v>124.0</v>
      </c>
      <c r="J68" s="20">
        <f>12000/1000</f>
        <v>12.0</v>
      </c>
      <c r="K68" s="21">
        <f>I68*J68</f>
        <v>1488.0</v>
      </c>
      <c r="L68" s="22">
        <f>F68^2/162</f>
        <v>3.8580246913580245</v>
      </c>
      <c r="M68" s="21">
        <f>K68*L68</f>
        <v>5740.740740740741</v>
      </c>
      <c r="N68" s="22">
        <f>M68/1000</f>
        <v>5.7407407407407405</v>
      </c>
      <c r="O68" s="13" t="inlineStr">
        <is>
          <t>BBS</t>
        </is>
      </c>
    </row>
    <row r="69">
      <c r="A69" s="13" t="n">
        <v>64</v>
      </c>
      <c r="B69" s="13" t="inlineStr">
        <is>
          <t>Raft Foundation</t>
        </is>
      </c>
      <c r="C69" s="13" t="inlineStr">
        <is>
          <t>STR-006</t>
        </is>
      </c>
      <c r="D69" s="13" t="inlineStr">
        <is>
          <t>Raft - top reinforcement</t>
        </is>
      </c>
      <c r="E69" s="19" t="inlineStr">
        <is>
          <t>2517</t>
        </is>
      </c>
      <c r="F69" s="19" t="n">
        <v>25</v>
      </c>
      <c r="G69" s="19" t="n">
        <v>1</v>
      </c>
      <c r="H69" s="19" t="n">
        <v>49</v>
      </c>
      <c r="I69" s="13">
        <f>G69*H69</f>
        <v>49.0</v>
      </c>
      <c r="J69" s="20">
        <f>9000/1000</f>
        <v>9.0</v>
      </c>
      <c r="K69" s="21">
        <f>I69*J69</f>
        <v>441.0</v>
      </c>
      <c r="L69" s="22">
        <f>F69^2/162</f>
        <v>3.8580246913580245</v>
      </c>
      <c r="M69" s="21">
        <f>K69*L69</f>
        <v>1701.388888888889</v>
      </c>
      <c r="N69" s="22">
        <f>M69/1000</f>
        <v>1.7013888888888888</v>
      </c>
      <c r="O69" s="13" t="inlineStr">
        <is>
          <t>BBS</t>
        </is>
      </c>
    </row>
    <row r="70">
      <c r="A70" s="13" t="n">
        <v>65</v>
      </c>
      <c r="B70" s="13" t="inlineStr">
        <is>
          <t>Raft Foundation</t>
        </is>
      </c>
      <c r="C70" s="13" t="inlineStr">
        <is>
          <t>STR-006</t>
        </is>
      </c>
      <c r="D70" s="13" t="inlineStr">
        <is>
          <t>Raft - top reinforcement</t>
        </is>
      </c>
      <c r="E70" s="19" t="inlineStr">
        <is>
          <t>2518</t>
        </is>
      </c>
      <c r="F70" s="19" t="n">
        <v>25</v>
      </c>
      <c r="G70" s="19" t="n">
        <v>1</v>
      </c>
      <c r="H70" s="19" t="n">
        <v>27</v>
      </c>
      <c r="I70" s="13">
        <f>G70*H70</f>
        <v>27.0</v>
      </c>
      <c r="J70" s="20">
        <f>10950/1000</f>
        <v>10.95</v>
      </c>
      <c r="K70" s="21">
        <f>I70*J70</f>
        <v>295.65</v>
      </c>
      <c r="L70" s="22">
        <f>F70^2/162</f>
        <v>3.8580246913580245</v>
      </c>
      <c r="M70" s="21">
        <f>K70*L70</f>
        <v>1140.6249999999998</v>
      </c>
      <c r="N70" s="22">
        <f>M70/1000</f>
        <v>1.1406249999999998</v>
      </c>
      <c r="O70" s="13" t="inlineStr">
        <is>
          <t>BBS</t>
        </is>
      </c>
    </row>
    <row r="71">
      <c r="A71" s="13" t="n">
        <v>66</v>
      </c>
      <c r="B71" s="13" t="inlineStr">
        <is>
          <t>Raft Foundation</t>
        </is>
      </c>
      <c r="C71" s="13" t="inlineStr">
        <is>
          <t>STR-006</t>
        </is>
      </c>
      <c r="D71" s="13" t="inlineStr">
        <is>
          <t>Raft - top reinforcement</t>
        </is>
      </c>
      <c r="E71" s="19" t="inlineStr">
        <is>
          <t>2519</t>
        </is>
      </c>
      <c r="F71" s="19" t="n">
        <v>25</v>
      </c>
      <c r="G71" s="19" t="n">
        <v>1</v>
      </c>
      <c r="H71" s="19" t="n">
        <v>124</v>
      </c>
      <c r="I71" s="13">
        <f>G71*H71</f>
        <v>124.0</v>
      </c>
      <c r="J71" s="20">
        <f>9175/1000</f>
        <v>9.175</v>
      </c>
      <c r="K71" s="21">
        <f>I71*J71</f>
        <v>1137.7</v>
      </c>
      <c r="L71" s="22">
        <f>F71^2/162</f>
        <v>3.8580246913580245</v>
      </c>
      <c r="M71" s="21">
        <f>K71*L71</f>
        <v>4389.274691358025</v>
      </c>
      <c r="N71" s="22">
        <f>M71/1000</f>
        <v>4.3892746913580245</v>
      </c>
      <c r="O71" s="13" t="inlineStr">
        <is>
          <t>BBS</t>
        </is>
      </c>
    </row>
    <row r="72">
      <c r="A72" s="13" t="n">
        <v>67</v>
      </c>
      <c r="B72" s="13" t="inlineStr">
        <is>
          <t>Raft Foundation</t>
        </is>
      </c>
      <c r="C72" s="13" t="inlineStr">
        <is>
          <t>STR-006</t>
        </is>
      </c>
      <c r="D72" s="13" t="inlineStr">
        <is>
          <t>Raft - top reinforcement</t>
        </is>
      </c>
      <c r="E72" s="19" t="inlineStr">
        <is>
          <t>2520</t>
        </is>
      </c>
      <c r="F72" s="19" t="n">
        <v>25</v>
      </c>
      <c r="G72" s="19" t="n">
        <v>1</v>
      </c>
      <c r="H72" s="19" t="n">
        <v>49</v>
      </c>
      <c r="I72" s="13">
        <f>G72*H72</f>
        <v>49.0</v>
      </c>
      <c r="J72" s="20">
        <f>6925/1000</f>
        <v>6.925</v>
      </c>
      <c r="K72" s="21">
        <f>I72*J72</f>
        <v>339.325</v>
      </c>
      <c r="L72" s="22">
        <f>F72^2/162</f>
        <v>3.8580246913580245</v>
      </c>
      <c r="M72" s="21">
        <f>K72*L72</f>
        <v>1309.1242283950617</v>
      </c>
      <c r="N72" s="22">
        <f>M72/1000</f>
        <v>1.3091242283950617</v>
      </c>
      <c r="O72" s="13" t="inlineStr">
        <is>
          <t>BBS</t>
        </is>
      </c>
    </row>
    <row r="73">
      <c r="A73" s="13" t="n">
        <v>68</v>
      </c>
      <c r="B73" s="13" t="inlineStr">
        <is>
          <t>Raft Foundation</t>
        </is>
      </c>
      <c r="C73" s="13" t="inlineStr">
        <is>
          <t>STR-006</t>
        </is>
      </c>
      <c r="D73" s="13" t="inlineStr">
        <is>
          <t>Raft - top reinforcement</t>
        </is>
      </c>
      <c r="E73" s="19" t="inlineStr">
        <is>
          <t>2521</t>
        </is>
      </c>
      <c r="F73" s="19" t="n">
        <v>25</v>
      </c>
      <c r="G73" s="19" t="n">
        <v>1</v>
      </c>
      <c r="H73" s="19" t="n">
        <v>33</v>
      </c>
      <c r="I73" s="13">
        <f>G73*H73</f>
        <v>33.0</v>
      </c>
      <c r="J73" s="20">
        <f>9575/1000</f>
        <v>9.575</v>
      </c>
      <c r="K73" s="21">
        <f>I73*J73</f>
        <v>315.97499999999997</v>
      </c>
      <c r="L73" s="22">
        <f>F73^2/162</f>
        <v>3.8580246913580245</v>
      </c>
      <c r="M73" s="21">
        <f>K73*L73</f>
        <v>1219.0393518518517</v>
      </c>
      <c r="N73" s="22">
        <f>M73/1000</f>
        <v>1.2190393518518516</v>
      </c>
      <c r="O73" s="13" t="inlineStr">
        <is>
          <t>BBS</t>
        </is>
      </c>
    </row>
    <row r="74">
      <c r="A74" s="13" t="n">
        <v>69</v>
      </c>
      <c r="B74" s="13" t="inlineStr">
        <is>
          <t>Raft Foundation</t>
        </is>
      </c>
      <c r="C74" s="13" t="inlineStr">
        <is>
          <t>STR-006</t>
        </is>
      </c>
      <c r="D74" s="13" t="inlineStr">
        <is>
          <t>Raft - top reinforcement</t>
        </is>
      </c>
      <c r="E74" s="19" t="inlineStr">
        <is>
          <t>2522</t>
        </is>
      </c>
      <c r="F74" s="19" t="n">
        <v>25</v>
      </c>
      <c r="G74" s="19" t="n">
        <v>1</v>
      </c>
      <c r="H74" s="19" t="n">
        <v>140</v>
      </c>
      <c r="I74" s="13">
        <f>G74*H74</f>
        <v>140.0</v>
      </c>
      <c r="J74" s="20">
        <f>8725/1000</f>
        <v>8.725</v>
      </c>
      <c r="K74" s="21">
        <f>I74*J74</f>
        <v>1221.5</v>
      </c>
      <c r="L74" s="22">
        <f>F74^2/162</f>
        <v>3.8580246913580245</v>
      </c>
      <c r="M74" s="21">
        <f>K74*L74</f>
        <v>4712.577160493827</v>
      </c>
      <c r="N74" s="22">
        <f>M74/1000</f>
        <v>4.712577160493828</v>
      </c>
      <c r="O74" s="13" t="inlineStr">
        <is>
          <t>BBS</t>
        </is>
      </c>
    </row>
    <row r="75">
      <c r="A75" s="13" t="n">
        <v>70</v>
      </c>
      <c r="B75" s="13" t="inlineStr">
        <is>
          <t>Raft Foundation</t>
        </is>
      </c>
      <c r="C75" s="13" t="inlineStr">
        <is>
          <t>STR-006</t>
        </is>
      </c>
      <c r="D75" s="13" t="inlineStr">
        <is>
          <t>Raft - top reinforcement</t>
        </is>
      </c>
      <c r="E75" s="19" t="inlineStr">
        <is>
          <t>2523</t>
        </is>
      </c>
      <c r="F75" s="19" t="n">
        <v>25</v>
      </c>
      <c r="G75" s="19" t="n">
        <v>1</v>
      </c>
      <c r="H75" s="19" t="n">
        <v>27</v>
      </c>
      <c r="I75" s="13">
        <f>G75*H75</f>
        <v>27.0</v>
      </c>
      <c r="J75" s="20">
        <f>11975/1000</f>
        <v>11.975</v>
      </c>
      <c r="K75" s="21">
        <f>I75*J75</f>
        <v>323.325</v>
      </c>
      <c r="L75" s="22">
        <f>F75^2/162</f>
        <v>3.8580246913580245</v>
      </c>
      <c r="M75" s="21">
        <f>K75*L75</f>
        <v>1247.3958333333333</v>
      </c>
      <c r="N75" s="22">
        <f>M75/1000</f>
        <v>1.2473958333333333</v>
      </c>
      <c r="O75" s="13" t="inlineStr">
        <is>
          <t>BBS</t>
        </is>
      </c>
    </row>
    <row r="76">
      <c r="A76" s="13" t="n">
        <v>71</v>
      </c>
      <c r="B76" s="13" t="inlineStr">
        <is>
          <t>Raft Foundation</t>
        </is>
      </c>
      <c r="C76" s="13" t="inlineStr">
        <is>
          <t>STR-006</t>
        </is>
      </c>
      <c r="D76" s="13" t="inlineStr">
        <is>
          <t>Raft - top reinforcement</t>
        </is>
      </c>
      <c r="E76" s="19" t="inlineStr">
        <is>
          <t>2524</t>
        </is>
      </c>
      <c r="F76" s="19" t="n">
        <v>25</v>
      </c>
      <c r="G76" s="19" t="n">
        <v>1</v>
      </c>
      <c r="H76" s="19" t="n">
        <v>176</v>
      </c>
      <c r="I76" s="13">
        <f>G76*H76</f>
        <v>176.0</v>
      </c>
      <c r="J76" s="20">
        <f>7625/1000</f>
        <v>7.625</v>
      </c>
      <c r="K76" s="21">
        <f>I76*J76</f>
        <v>1342.0</v>
      </c>
      <c r="L76" s="22">
        <f>F76^2/162</f>
        <v>3.8580246913580245</v>
      </c>
      <c r="M76" s="21">
        <f>K76*L76</f>
        <v>5177.469135802469</v>
      </c>
      <c r="N76" s="22">
        <f>M76/1000</f>
        <v>5.177469135802469</v>
      </c>
      <c r="O76" s="13" t="inlineStr">
        <is>
          <t>BBS</t>
        </is>
      </c>
    </row>
    <row r="77">
      <c r="A77" s="13" t="n">
        <v>72</v>
      </c>
      <c r="B77" s="13" t="inlineStr">
        <is>
          <t>Columns</t>
        </is>
      </c>
      <c r="C77" s="13" t="inlineStr">
        <is>
          <t>STR-007</t>
        </is>
      </c>
      <c r="D77" s="13" t="inlineStr">
        <is>
          <t>COL-01A (5 nos) Foundation to GF - links</t>
        </is>
      </c>
      <c r="E77" s="19" t="inlineStr">
        <is>
          <t>1001</t>
        </is>
      </c>
      <c r="F77" s="19" t="n">
        <v>10</v>
      </c>
      <c r="G77" s="19" t="n">
        <v>5</v>
      </c>
      <c r="H77" s="19" t="n">
        <v>23</v>
      </c>
      <c r="I77" s="13">
        <f>G77*H77</f>
        <v>115.0</v>
      </c>
      <c r="J77" s="20">
        <f>2330/1000</f>
        <v>2.33</v>
      </c>
      <c r="K77" s="21">
        <f>I77*J77</f>
        <v>267.95</v>
      </c>
      <c r="L77" s="22">
        <f>F77^2/162</f>
        <v>0.6172839506172839</v>
      </c>
      <c r="M77" s="21">
        <f>K77*L77</f>
        <v>165.4012345679012</v>
      </c>
      <c r="N77" s="22">
        <f>M77/1000</f>
        <v>0.1654012345679012</v>
      </c>
      <c r="O77" s="13" t="inlineStr">
        <is>
          <t>Elevation + BBS length</t>
        </is>
      </c>
    </row>
    <row r="78">
      <c r="A78" s="13" t="n">
        <v>73</v>
      </c>
      <c r="B78" s="13" t="inlineStr">
        <is>
          <t>Columns</t>
        </is>
      </c>
      <c r="C78" s="13" t="inlineStr">
        <is>
          <t>STR-007</t>
        </is>
      </c>
      <c r="D78" s="13" t="inlineStr">
        <is>
          <t>COL-01A (5 nos) Foundation to GF - links</t>
        </is>
      </c>
      <c r="E78" s="19" t="inlineStr">
        <is>
          <t>1002</t>
        </is>
      </c>
      <c r="F78" s="19" t="n">
        <v>10</v>
      </c>
      <c r="G78" s="19" t="n">
        <v>5</v>
      </c>
      <c r="H78" s="19" t="n">
        <v>46</v>
      </c>
      <c r="I78" s="13">
        <f>G78*H78</f>
        <v>230.0</v>
      </c>
      <c r="J78" s="20">
        <f>1330/1000</f>
        <v>1.33</v>
      </c>
      <c r="K78" s="21">
        <f>I78*J78</f>
        <v>305.90000000000003</v>
      </c>
      <c r="L78" s="22">
        <f>F78^2/162</f>
        <v>0.6172839506172839</v>
      </c>
      <c r="M78" s="21">
        <f>K78*L78</f>
        <v>188.82716049382717</v>
      </c>
      <c r="N78" s="22">
        <f>M78/1000</f>
        <v>0.18882716049382717</v>
      </c>
      <c r="O78" s="13" t="inlineStr">
        <is>
          <t>Elevation + BBS length</t>
        </is>
      </c>
    </row>
    <row r="79">
      <c r="A79" s="13" t="n">
        <v>74</v>
      </c>
      <c r="B79" s="13" t="inlineStr">
        <is>
          <t>Columns</t>
        </is>
      </c>
      <c r="C79" s="13" t="inlineStr">
        <is>
          <t>STR-007</t>
        </is>
      </c>
      <c r="D79" s="13" t="inlineStr">
        <is>
          <t>COL-01A (5 nos) Foundation to GF - links</t>
        </is>
      </c>
      <c r="E79" s="19" t="inlineStr">
        <is>
          <t>1003</t>
        </is>
      </c>
      <c r="F79" s="19" t="n">
        <v>10</v>
      </c>
      <c r="G79" s="19" t="n">
        <v>5</v>
      </c>
      <c r="H79" s="19" t="n">
        <v>23</v>
      </c>
      <c r="I79" s="13">
        <f>G79*H79</f>
        <v>115.0</v>
      </c>
      <c r="J79" s="20">
        <f>1830/1000</f>
        <v>1.83</v>
      </c>
      <c r="K79" s="21">
        <f>I79*J79</f>
        <v>210.45000000000002</v>
      </c>
      <c r="L79" s="22">
        <f>F79^2/162</f>
        <v>0.6172839506172839</v>
      </c>
      <c r="M79" s="21">
        <f>K79*L79</f>
        <v>129.90740740740742</v>
      </c>
      <c r="N79" s="22">
        <f>M79/1000</f>
        <v>0.12990740740740742</v>
      </c>
      <c r="O79" s="13" t="inlineStr">
        <is>
          <t>Elevation + BBS length</t>
        </is>
      </c>
    </row>
    <row r="80">
      <c r="A80" s="13" t="n">
        <v>75</v>
      </c>
      <c r="B80" s="13" t="inlineStr">
        <is>
          <t>Columns</t>
        </is>
      </c>
      <c r="C80" s="13" t="inlineStr">
        <is>
          <t>STR-007</t>
        </is>
      </c>
      <c r="D80" s="13" t="inlineStr">
        <is>
          <t>COL-01A (5 nos) Foundation to GF - main bars</t>
        </is>
      </c>
      <c r="E80" s="19" t="inlineStr">
        <is>
          <t>2501</t>
        </is>
      </c>
      <c r="F80" s="19" t="n">
        <v>25</v>
      </c>
      <c r="G80" s="19" t="n">
        <v>5</v>
      </c>
      <c r="H80" s="19" t="n">
        <v>16</v>
      </c>
      <c r="I80" s="13">
        <f>G80*H80</f>
        <v>80.0</v>
      </c>
      <c r="J80" s="20">
        <f>2850/1000</f>
        <v>2.85</v>
      </c>
      <c r="K80" s="21">
        <f>I80*J80</f>
        <v>228.0</v>
      </c>
      <c r="L80" s="22">
        <f>F80^2/162</f>
        <v>3.8580246913580245</v>
      </c>
      <c r="M80" s="21">
        <f>K80*L80</f>
        <v>879.6296296296296</v>
      </c>
      <c r="N80" s="22">
        <f>M80/1000</f>
        <v>0.8796296296296295</v>
      </c>
      <c r="O80" s="13" t="inlineStr">
        <is>
          <t>Elevation + BBS length</t>
        </is>
      </c>
    </row>
    <row r="81">
      <c r="A81" s="13" t="n">
        <v>76</v>
      </c>
      <c r="B81" s="13" t="inlineStr">
        <is>
          <t>Columns</t>
        </is>
      </c>
      <c r="C81" s="13" t="inlineStr">
        <is>
          <t>STR-007</t>
        </is>
      </c>
      <c r="D81" s="13" t="inlineStr">
        <is>
          <t>COL-01B (1 nos) Foundation to GF - links</t>
        </is>
      </c>
      <c r="E81" s="19" t="inlineStr">
        <is>
          <t>1001</t>
        </is>
      </c>
      <c r="F81" s="19" t="n">
        <v>10</v>
      </c>
      <c r="G81" s="19" t="n">
        <v>1</v>
      </c>
      <c r="H81" s="19" t="n">
        <v>23</v>
      </c>
      <c r="I81" s="13">
        <f>G81*H81</f>
        <v>23.0</v>
      </c>
      <c r="J81" s="20">
        <f>2330/1000</f>
        <v>2.33</v>
      </c>
      <c r="K81" s="21">
        <f>I81*J81</f>
        <v>53.59</v>
      </c>
      <c r="L81" s="22">
        <f>F81^2/162</f>
        <v>0.6172839506172839</v>
      </c>
      <c r="M81" s="21">
        <f>K81*L81</f>
        <v>33.08024691358025</v>
      </c>
      <c r="N81" s="22">
        <f>M81/1000</f>
        <v>0.03308024691358025</v>
      </c>
      <c r="O81" s="13" t="inlineStr">
        <is>
          <t>Elevation + BBS length</t>
        </is>
      </c>
    </row>
    <row r="82">
      <c r="A82" s="13" t="n">
        <v>77</v>
      </c>
      <c r="B82" s="13" t="inlineStr">
        <is>
          <t>Columns</t>
        </is>
      </c>
      <c r="C82" s="13" t="inlineStr">
        <is>
          <t>STR-007</t>
        </is>
      </c>
      <c r="D82" s="13" t="inlineStr">
        <is>
          <t>COL-01B (1 nos) Foundation to GF - links</t>
        </is>
      </c>
      <c r="E82" s="19" t="inlineStr">
        <is>
          <t>1002</t>
        </is>
      </c>
      <c r="F82" s="19" t="n">
        <v>10</v>
      </c>
      <c r="G82" s="19" t="n">
        <v>1</v>
      </c>
      <c r="H82" s="19" t="n">
        <v>46</v>
      </c>
      <c r="I82" s="13">
        <f>G82*H82</f>
        <v>46.0</v>
      </c>
      <c r="J82" s="20">
        <f>1330/1000</f>
        <v>1.33</v>
      </c>
      <c r="K82" s="21">
        <f>I82*J82</f>
        <v>61.18000000000001</v>
      </c>
      <c r="L82" s="22">
        <f>F82^2/162</f>
        <v>0.6172839506172839</v>
      </c>
      <c r="M82" s="21">
        <f>K82*L82</f>
        <v>37.76543209876544</v>
      </c>
      <c r="N82" s="22">
        <f>M82/1000</f>
        <v>0.037765432098765435</v>
      </c>
      <c r="O82" s="13" t="inlineStr">
        <is>
          <t>Elevation + BBS length</t>
        </is>
      </c>
    </row>
    <row r="83">
      <c r="A83" s="13" t="n">
        <v>78</v>
      </c>
      <c r="B83" s="13" t="inlineStr">
        <is>
          <t>Columns</t>
        </is>
      </c>
      <c r="C83" s="13" t="inlineStr">
        <is>
          <t>STR-007</t>
        </is>
      </c>
      <c r="D83" s="13" t="inlineStr">
        <is>
          <t>COL-01B (1 nos) Foundation to GF - links</t>
        </is>
      </c>
      <c r="E83" s="19" t="inlineStr">
        <is>
          <t>1003</t>
        </is>
      </c>
      <c r="F83" s="19" t="n">
        <v>10</v>
      </c>
      <c r="G83" s="19" t="n">
        <v>1</v>
      </c>
      <c r="H83" s="19" t="n">
        <v>23</v>
      </c>
      <c r="I83" s="13">
        <f>G83*H83</f>
        <v>23.0</v>
      </c>
      <c r="J83" s="20">
        <f>1830/1000</f>
        <v>1.83</v>
      </c>
      <c r="K83" s="21">
        <f>I83*J83</f>
        <v>42.09</v>
      </c>
      <c r="L83" s="22">
        <f>F83^2/162</f>
        <v>0.6172839506172839</v>
      </c>
      <c r="M83" s="21">
        <f>K83*L83</f>
        <v>25.98148148148148</v>
      </c>
      <c r="N83" s="22">
        <f>M83/1000</f>
        <v>0.02598148148148148</v>
      </c>
      <c r="O83" s="13" t="inlineStr">
        <is>
          <t>Elevation + BBS length</t>
        </is>
      </c>
    </row>
    <row r="84">
      <c r="A84" s="13" t="n">
        <v>79</v>
      </c>
      <c r="B84" s="13" t="inlineStr">
        <is>
          <t>Columns</t>
        </is>
      </c>
      <c r="C84" s="13" t="inlineStr">
        <is>
          <t>STR-007</t>
        </is>
      </c>
      <c r="D84" s="13" t="inlineStr">
        <is>
          <t>COL-01B (1 nos) Foundation to GF - main bars</t>
        </is>
      </c>
      <c r="E84" s="19" t="inlineStr">
        <is>
          <t>2501</t>
        </is>
      </c>
      <c r="F84" s="19" t="n">
        <v>25</v>
      </c>
      <c r="G84" s="19" t="n">
        <v>1</v>
      </c>
      <c r="H84" s="19" t="n">
        <v>16</v>
      </c>
      <c r="I84" s="13">
        <f>G84*H84</f>
        <v>16.0</v>
      </c>
      <c r="J84" s="20">
        <f>2850/1000</f>
        <v>2.85</v>
      </c>
      <c r="K84" s="21">
        <f>I84*J84</f>
        <v>45.6</v>
      </c>
      <c r="L84" s="22">
        <f>F84^2/162</f>
        <v>3.8580246913580245</v>
      </c>
      <c r="M84" s="21">
        <f>K84*L84</f>
        <v>175.92592592592592</v>
      </c>
      <c r="N84" s="22">
        <f>M84/1000</f>
        <v>0.17592592592592593</v>
      </c>
      <c r="O84" s="13" t="inlineStr">
        <is>
          <t>Elevation + BBS length</t>
        </is>
      </c>
    </row>
    <row r="85">
      <c r="A85" s="13" t="n">
        <v>80</v>
      </c>
      <c r="B85" s="13" t="inlineStr">
        <is>
          <t>Columns</t>
        </is>
      </c>
      <c r="C85" s="13" t="inlineStr">
        <is>
          <t>STR-008</t>
        </is>
      </c>
      <c r="D85" s="13" t="inlineStr">
        <is>
          <t>COL-01C (2 nos) Foundation to GF - links</t>
        </is>
      </c>
      <c r="E85" s="19" t="inlineStr">
        <is>
          <t>1001</t>
        </is>
      </c>
      <c r="F85" s="19" t="n">
        <v>10</v>
      </c>
      <c r="G85" s="19" t="n">
        <v>2</v>
      </c>
      <c r="H85" s="19" t="n">
        <v>23</v>
      </c>
      <c r="I85" s="13">
        <f>G85*H85</f>
        <v>46.0</v>
      </c>
      <c r="J85" s="20">
        <f>2330/1000</f>
        <v>2.33</v>
      </c>
      <c r="K85" s="21">
        <f>I85*J85</f>
        <v>107.18</v>
      </c>
      <c r="L85" s="22">
        <f>F85^2/162</f>
        <v>0.6172839506172839</v>
      </c>
      <c r="M85" s="21">
        <f>K85*L85</f>
        <v>66.1604938271605</v>
      </c>
      <c r="N85" s="22">
        <f>M85/1000</f>
        <v>0.0661604938271605</v>
      </c>
      <c r="O85" s="13" t="inlineStr">
        <is>
          <t>Elevation + BBS length</t>
        </is>
      </c>
    </row>
    <row r="86">
      <c r="A86" s="13" t="n">
        <v>81</v>
      </c>
      <c r="B86" s="13" t="inlineStr">
        <is>
          <t>Columns</t>
        </is>
      </c>
      <c r="C86" s="13" t="inlineStr">
        <is>
          <t>STR-008</t>
        </is>
      </c>
      <c r="D86" s="13" t="inlineStr">
        <is>
          <t>COL-01C (2 nos) Foundation to GF - links</t>
        </is>
      </c>
      <c r="E86" s="19" t="inlineStr">
        <is>
          <t>1002</t>
        </is>
      </c>
      <c r="F86" s="19" t="n">
        <v>10</v>
      </c>
      <c r="G86" s="19" t="n">
        <v>2</v>
      </c>
      <c r="H86" s="19" t="n">
        <v>46</v>
      </c>
      <c r="I86" s="13">
        <f>G86*H86</f>
        <v>92.0</v>
      </c>
      <c r="J86" s="20">
        <f>1330/1000</f>
        <v>1.33</v>
      </c>
      <c r="K86" s="21">
        <f>I86*J86</f>
        <v>122.36000000000001</v>
      </c>
      <c r="L86" s="22">
        <f>F86^2/162</f>
        <v>0.6172839506172839</v>
      </c>
      <c r="M86" s="21">
        <f>K86*L86</f>
        <v>75.53086419753087</v>
      </c>
      <c r="N86" s="22">
        <f>M86/1000</f>
        <v>0.07553086419753087</v>
      </c>
      <c r="O86" s="13" t="inlineStr">
        <is>
          <t>Elevation + BBS length</t>
        </is>
      </c>
    </row>
    <row r="87">
      <c r="A87" s="13" t="n">
        <v>82</v>
      </c>
      <c r="B87" s="13" t="inlineStr">
        <is>
          <t>Columns</t>
        </is>
      </c>
      <c r="C87" s="13" t="inlineStr">
        <is>
          <t>STR-008</t>
        </is>
      </c>
      <c r="D87" s="13" t="inlineStr">
        <is>
          <t>COL-01C (2 nos) Foundation to GF - links</t>
        </is>
      </c>
      <c r="E87" s="19" t="inlineStr">
        <is>
          <t>1003</t>
        </is>
      </c>
      <c r="F87" s="19" t="n">
        <v>10</v>
      </c>
      <c r="G87" s="19" t="n">
        <v>2</v>
      </c>
      <c r="H87" s="19" t="n">
        <v>23</v>
      </c>
      <c r="I87" s="13">
        <f>G87*H87</f>
        <v>46.0</v>
      </c>
      <c r="J87" s="20">
        <f>1830/1000</f>
        <v>1.83</v>
      </c>
      <c r="K87" s="21">
        <f>I87*J87</f>
        <v>84.18</v>
      </c>
      <c r="L87" s="22">
        <f>F87^2/162</f>
        <v>0.6172839506172839</v>
      </c>
      <c r="M87" s="21">
        <f>K87*L87</f>
        <v>51.96296296296296</v>
      </c>
      <c r="N87" s="22">
        <f>M87/1000</f>
        <v>0.05196296296296296</v>
      </c>
      <c r="O87" s="13" t="inlineStr">
        <is>
          <t>Elevation + BBS length</t>
        </is>
      </c>
    </row>
    <row r="88">
      <c r="A88" s="13" t="n">
        <v>83</v>
      </c>
      <c r="B88" s="13" t="inlineStr">
        <is>
          <t>Columns</t>
        </is>
      </c>
      <c r="C88" s="13" t="inlineStr">
        <is>
          <t>STR-008</t>
        </is>
      </c>
      <c r="D88" s="13" t="inlineStr">
        <is>
          <t>COL-01C (2 nos) Foundation to GF - main bars</t>
        </is>
      </c>
      <c r="E88" s="19" t="inlineStr">
        <is>
          <t>2501</t>
        </is>
      </c>
      <c r="F88" s="19" t="n">
        <v>25</v>
      </c>
      <c r="G88" s="19" t="n">
        <v>2</v>
      </c>
      <c r="H88" s="19" t="n">
        <v>16</v>
      </c>
      <c r="I88" s="13">
        <f>G88*H88</f>
        <v>32.0</v>
      </c>
      <c r="J88" s="20">
        <f>2850/1000</f>
        <v>2.85</v>
      </c>
      <c r="K88" s="21">
        <f>I88*J88</f>
        <v>91.2</v>
      </c>
      <c r="L88" s="22">
        <f>F88^2/162</f>
        <v>3.8580246913580245</v>
      </c>
      <c r="M88" s="21">
        <f>K88*L88</f>
        <v>351.85185185185185</v>
      </c>
      <c r="N88" s="22">
        <f>M88/1000</f>
        <v>0.35185185185185186</v>
      </c>
      <c r="O88" s="13" t="inlineStr">
        <is>
          <t>Elevation + BBS length</t>
        </is>
      </c>
    </row>
    <row r="89">
      <c r="A89" s="13" t="n">
        <v>84</v>
      </c>
      <c r="B89" s="13" t="inlineStr">
        <is>
          <t>Columns</t>
        </is>
      </c>
      <c r="C89" s="13" t="inlineStr">
        <is>
          <t>STR-008</t>
        </is>
      </c>
      <c r="D89" s="13" t="inlineStr">
        <is>
          <t>COL-01D (1 nos) Foundation to GF - links</t>
        </is>
      </c>
      <c r="E89" s="19" t="inlineStr">
        <is>
          <t>1001</t>
        </is>
      </c>
      <c r="F89" s="19" t="n">
        <v>10</v>
      </c>
      <c r="G89" s="19" t="n">
        <v>1</v>
      </c>
      <c r="H89" s="19" t="n">
        <v>19</v>
      </c>
      <c r="I89" s="13">
        <f>G89*H89</f>
        <v>19.0</v>
      </c>
      <c r="J89" s="20">
        <f>2330/1000</f>
        <v>2.33</v>
      </c>
      <c r="K89" s="21">
        <f>I89*J89</f>
        <v>44.27</v>
      </c>
      <c r="L89" s="22">
        <f>F89^2/162</f>
        <v>0.6172839506172839</v>
      </c>
      <c r="M89" s="21">
        <f>K89*L89</f>
        <v>27.32716049382716</v>
      </c>
      <c r="N89" s="22">
        <f>M89/1000</f>
        <v>0.027327160493827163</v>
      </c>
      <c r="O89" s="13" t="inlineStr">
        <is>
          <t>Elevation + BBS length</t>
        </is>
      </c>
    </row>
    <row r="90">
      <c r="A90" s="13" t="n">
        <v>85</v>
      </c>
      <c r="B90" s="13" t="inlineStr">
        <is>
          <t>Columns</t>
        </is>
      </c>
      <c r="C90" s="13" t="inlineStr">
        <is>
          <t>STR-008</t>
        </is>
      </c>
      <c r="D90" s="13" t="inlineStr">
        <is>
          <t>COL-01D (1 nos) Foundation to GF - links</t>
        </is>
      </c>
      <c r="E90" s="19" t="inlineStr">
        <is>
          <t>1002</t>
        </is>
      </c>
      <c r="F90" s="19" t="n">
        <v>10</v>
      </c>
      <c r="G90" s="19" t="n">
        <v>1</v>
      </c>
      <c r="H90" s="19" t="n">
        <v>38</v>
      </c>
      <c r="I90" s="13">
        <f>G90*H90</f>
        <v>38.0</v>
      </c>
      <c r="J90" s="20">
        <f>1330/1000</f>
        <v>1.33</v>
      </c>
      <c r="K90" s="21">
        <f>I90*J90</f>
        <v>50.540000000000006</v>
      </c>
      <c r="L90" s="22">
        <f>F90^2/162</f>
        <v>0.6172839506172839</v>
      </c>
      <c r="M90" s="21">
        <f>K90*L90</f>
        <v>31.19753086419753</v>
      </c>
      <c r="N90" s="22">
        <f>M90/1000</f>
        <v>0.03119753086419753</v>
      </c>
      <c r="O90" s="13" t="inlineStr">
        <is>
          <t>Elevation + BBS length</t>
        </is>
      </c>
    </row>
    <row r="91">
      <c r="A91" s="13" t="n">
        <v>86</v>
      </c>
      <c r="B91" s="13" t="inlineStr">
        <is>
          <t>Columns</t>
        </is>
      </c>
      <c r="C91" s="13" t="inlineStr">
        <is>
          <t>STR-008</t>
        </is>
      </c>
      <c r="D91" s="13" t="inlineStr">
        <is>
          <t>COL-01D (1 nos) Foundation to GF - links</t>
        </is>
      </c>
      <c r="E91" s="19" t="inlineStr">
        <is>
          <t>1003</t>
        </is>
      </c>
      <c r="F91" s="19" t="n">
        <v>10</v>
      </c>
      <c r="G91" s="19" t="n">
        <v>1</v>
      </c>
      <c r="H91" s="19" t="n">
        <v>19</v>
      </c>
      <c r="I91" s="13">
        <f>G91*H91</f>
        <v>19.0</v>
      </c>
      <c r="J91" s="20">
        <f>1830/1000</f>
        <v>1.83</v>
      </c>
      <c r="K91" s="21">
        <f>I91*J91</f>
        <v>34.77</v>
      </c>
      <c r="L91" s="22">
        <f>F91^2/162</f>
        <v>0.6172839506172839</v>
      </c>
      <c r="M91" s="21">
        <f>K91*L91</f>
        <v>21.462962962962965</v>
      </c>
      <c r="N91" s="22">
        <f>M91/1000</f>
        <v>0.021462962962962965</v>
      </c>
      <c r="O91" s="13" t="inlineStr">
        <is>
          <t>Elevation + BBS length</t>
        </is>
      </c>
    </row>
    <row r="92">
      <c r="A92" s="13" t="n">
        <v>87</v>
      </c>
      <c r="B92" s="13" t="inlineStr">
        <is>
          <t>Columns</t>
        </is>
      </c>
      <c r="C92" s="13" t="inlineStr">
        <is>
          <t>STR-008</t>
        </is>
      </c>
      <c r="D92" s="13" t="inlineStr">
        <is>
          <t>COL-01D (1 nos) Foundation to GF - main bars</t>
        </is>
      </c>
      <c r="E92" s="19" t="inlineStr">
        <is>
          <t>2501</t>
        </is>
      </c>
      <c r="F92" s="19" t="n">
        <v>25</v>
      </c>
      <c r="G92" s="19" t="n">
        <v>1</v>
      </c>
      <c r="H92" s="19" t="n">
        <v>16</v>
      </c>
      <c r="I92" s="13">
        <f>G92*H92</f>
        <v>16.0</v>
      </c>
      <c r="J92" s="20">
        <f>2850/1000</f>
        <v>2.85</v>
      </c>
      <c r="K92" s="21">
        <f>I92*J92</f>
        <v>45.6</v>
      </c>
      <c r="L92" s="22">
        <f>F92^2/162</f>
        <v>3.8580246913580245</v>
      </c>
      <c r="M92" s="21">
        <f>K92*L92</f>
        <v>175.92592592592592</v>
      </c>
      <c r="N92" s="22">
        <f>M92/1000</f>
        <v>0.17592592592592593</v>
      </c>
      <c r="O92" s="13" t="inlineStr">
        <is>
          <t>Elevation + BBS length</t>
        </is>
      </c>
    </row>
    <row r="93">
      <c r="A93" s="13" t="n">
        <v>88</v>
      </c>
      <c r="B93" s="13" t="inlineStr">
        <is>
          <t>Columns</t>
        </is>
      </c>
      <c r="C93" s="13" t="inlineStr">
        <is>
          <t>STR-010</t>
        </is>
      </c>
      <c r="D93" s="13" t="inlineStr">
        <is>
          <t>COL-02A (3 nos) Foundation to GF - links</t>
        </is>
      </c>
      <c r="E93" s="19" t="inlineStr">
        <is>
          <t>1004</t>
        </is>
      </c>
      <c r="F93" s="19" t="n">
        <v>10</v>
      </c>
      <c r="G93" s="19" t="n">
        <v>3</v>
      </c>
      <c r="H93" s="19" t="n">
        <v>23</v>
      </c>
      <c r="I93" s="13">
        <f>G93*H93</f>
        <v>69.0</v>
      </c>
      <c r="J93" s="20">
        <f>2910/1000</f>
        <v>2.91</v>
      </c>
      <c r="K93" s="21">
        <f>I93*J93</f>
        <v>200.79000000000002</v>
      </c>
      <c r="L93" s="22">
        <f>F93^2/162</f>
        <v>0.6172839506172839</v>
      </c>
      <c r="M93" s="21">
        <f>K93*L93</f>
        <v>123.94444444444446</v>
      </c>
      <c r="N93" s="22">
        <f>M93/1000</f>
        <v>0.12394444444444445</v>
      </c>
      <c r="O93" s="13" t="inlineStr">
        <is>
          <t>Elevation + BBS length</t>
        </is>
      </c>
    </row>
    <row r="94">
      <c r="A94" s="13" t="n">
        <v>89</v>
      </c>
      <c r="B94" s="13" t="inlineStr">
        <is>
          <t>Columns</t>
        </is>
      </c>
      <c r="C94" s="13" t="inlineStr">
        <is>
          <t>STR-010</t>
        </is>
      </c>
      <c r="D94" s="13" t="inlineStr">
        <is>
          <t>COL-02A (3 nos) Foundation to GF - links</t>
        </is>
      </c>
      <c r="E94" s="19" t="inlineStr">
        <is>
          <t>1005</t>
        </is>
      </c>
      <c r="F94" s="19" t="n">
        <v>10</v>
      </c>
      <c r="G94" s="19" t="n">
        <v>3</v>
      </c>
      <c r="H94" s="19">
        <f>5*23</f>
        <v>115.0</v>
      </c>
      <c r="I94" s="13">
        <f>G94*H94</f>
        <v>345.0</v>
      </c>
      <c r="J94" s="20">
        <f>1008/1000</f>
        <v>1.008</v>
      </c>
      <c r="K94" s="21">
        <f>I94*J94</f>
        <v>347.76</v>
      </c>
      <c r="L94" s="22">
        <f>F94^2/162</f>
        <v>0.6172839506172839</v>
      </c>
      <c r="M94" s="21">
        <f>K94*L94</f>
        <v>214.66666666666666</v>
      </c>
      <c r="N94" s="22">
        <f>M94/1000</f>
        <v>0.21466666666666664</v>
      </c>
      <c r="O94" s="13" t="inlineStr">
        <is>
          <t>Elevation + BBS length</t>
        </is>
      </c>
    </row>
    <row r="95">
      <c r="A95" s="13" t="n">
        <v>90</v>
      </c>
      <c r="B95" s="13" t="inlineStr">
        <is>
          <t>Columns</t>
        </is>
      </c>
      <c r="C95" s="13" t="inlineStr">
        <is>
          <t>STR-010</t>
        </is>
      </c>
      <c r="D95" s="13" t="inlineStr">
        <is>
          <t>COL-02A (3 nos) Foundation to GF - main bars</t>
        </is>
      </c>
      <c r="E95" s="19" t="inlineStr">
        <is>
          <t>2501</t>
        </is>
      </c>
      <c r="F95" s="19" t="n">
        <v>25</v>
      </c>
      <c r="G95" s="19" t="n">
        <v>3</v>
      </c>
      <c r="H95" s="19" t="n">
        <v>18</v>
      </c>
      <c r="I95" s="13">
        <f>G95*H95</f>
        <v>54.0</v>
      </c>
      <c r="J95" s="20">
        <f>2850/1000</f>
        <v>2.85</v>
      </c>
      <c r="K95" s="21">
        <f>I95*J95</f>
        <v>153.9</v>
      </c>
      <c r="L95" s="22">
        <f>F95^2/162</f>
        <v>3.8580246913580245</v>
      </c>
      <c r="M95" s="21">
        <f>K95*L95</f>
        <v>593.75</v>
      </c>
      <c r="N95" s="22">
        <f>M95/1000</f>
        <v>0.59375</v>
      </c>
      <c r="O95" s="13" t="inlineStr">
        <is>
          <t>Elevation + BBS length</t>
        </is>
      </c>
    </row>
    <row r="96">
      <c r="A96" s="13" t="n">
        <v>91</v>
      </c>
      <c r="B96" s="13" t="inlineStr">
        <is>
          <t>Columns</t>
        </is>
      </c>
      <c r="C96" s="13" t="inlineStr">
        <is>
          <t>STR-010</t>
        </is>
      </c>
      <c r="D96" s="13" t="inlineStr">
        <is>
          <t>COL-02B (6 nos) Foundation to GF - links</t>
        </is>
      </c>
      <c r="E96" s="19" t="inlineStr">
        <is>
          <t>1004</t>
        </is>
      </c>
      <c r="F96" s="19" t="n">
        <v>10</v>
      </c>
      <c r="G96" s="19" t="n">
        <v>6</v>
      </c>
      <c r="H96" s="19" t="n">
        <v>23</v>
      </c>
      <c r="I96" s="13">
        <f>G96*H96</f>
        <v>138.0</v>
      </c>
      <c r="J96" s="20">
        <f>2910/1000</f>
        <v>2.91</v>
      </c>
      <c r="K96" s="21">
        <f>I96*J96</f>
        <v>401.58000000000004</v>
      </c>
      <c r="L96" s="22">
        <f>F96^2/162</f>
        <v>0.6172839506172839</v>
      </c>
      <c r="M96" s="21">
        <f>K96*L96</f>
        <v>247.8888888888889</v>
      </c>
      <c r="N96" s="22">
        <f>M96/1000</f>
        <v>0.2478888888888889</v>
      </c>
      <c r="O96" s="13" t="inlineStr">
        <is>
          <t>Elevation + BBS length</t>
        </is>
      </c>
    </row>
    <row r="97">
      <c r="A97" s="13" t="n">
        <v>92</v>
      </c>
      <c r="B97" s="13" t="inlineStr">
        <is>
          <t>Columns</t>
        </is>
      </c>
      <c r="C97" s="13" t="inlineStr">
        <is>
          <t>STR-010</t>
        </is>
      </c>
      <c r="D97" s="13" t="inlineStr">
        <is>
          <t>COL-02B (6 nos) Foundation to GF - links</t>
        </is>
      </c>
      <c r="E97" s="19" t="inlineStr">
        <is>
          <t>1005</t>
        </is>
      </c>
      <c r="F97" s="19" t="n">
        <v>10</v>
      </c>
      <c r="G97" s="19" t="n">
        <v>6</v>
      </c>
      <c r="H97" s="19">
        <f>5*23</f>
        <v>115.0</v>
      </c>
      <c r="I97" s="13">
        <f>G97*H97</f>
        <v>690.0</v>
      </c>
      <c r="J97" s="20">
        <f>1008/1000</f>
        <v>1.008</v>
      </c>
      <c r="K97" s="21">
        <f>I97*J97</f>
        <v>695.52</v>
      </c>
      <c r="L97" s="22">
        <f>F97^2/162</f>
        <v>0.6172839506172839</v>
      </c>
      <c r="M97" s="21">
        <f>K97*L97</f>
        <v>429.3333333333333</v>
      </c>
      <c r="N97" s="22">
        <f>M97/1000</f>
        <v>0.4293333333333333</v>
      </c>
      <c r="O97" s="13" t="inlineStr">
        <is>
          <t>Elevation + BBS length</t>
        </is>
      </c>
    </row>
    <row r="98">
      <c r="A98" s="13" t="n">
        <v>93</v>
      </c>
      <c r="B98" s="13" t="inlineStr">
        <is>
          <t>Columns</t>
        </is>
      </c>
      <c r="C98" s="13" t="inlineStr">
        <is>
          <t>STR-010</t>
        </is>
      </c>
      <c r="D98" s="13" t="inlineStr">
        <is>
          <t>COL-02B (6 nos) Foundation to GF - main bars</t>
        </is>
      </c>
      <c r="E98" s="19" t="inlineStr">
        <is>
          <t>2501</t>
        </is>
      </c>
      <c r="F98" s="19" t="n">
        <v>25</v>
      </c>
      <c r="G98" s="19" t="n">
        <v>6</v>
      </c>
      <c r="H98" s="19" t="n">
        <v>18</v>
      </c>
      <c r="I98" s="13">
        <f>G98*H98</f>
        <v>108.0</v>
      </c>
      <c r="J98" s="20">
        <f>2850/1000</f>
        <v>2.85</v>
      </c>
      <c r="K98" s="21">
        <f>I98*J98</f>
        <v>307.8</v>
      </c>
      <c r="L98" s="22">
        <f>F98^2/162</f>
        <v>3.8580246913580245</v>
      </c>
      <c r="M98" s="21">
        <f>K98*L98</f>
        <v>1187.5</v>
      </c>
      <c r="N98" s="22">
        <f>M98/1000</f>
        <v>1.1875</v>
      </c>
      <c r="O98" s="13" t="inlineStr">
        <is>
          <t>Elevation + BBS length</t>
        </is>
      </c>
    </row>
    <row r="99">
      <c r="A99" s="13" t="n">
        <v>94</v>
      </c>
      <c r="B99" s="13" t="inlineStr">
        <is>
          <t>Columns</t>
        </is>
      </c>
      <c r="C99" s="13" t="inlineStr">
        <is>
          <t>STR-011</t>
        </is>
      </c>
      <c r="D99" s="13" t="inlineStr">
        <is>
          <t>COL-02C (1 nos) Foundation to GF - links</t>
        </is>
      </c>
      <c r="E99" s="19" t="inlineStr">
        <is>
          <t>1004</t>
        </is>
      </c>
      <c r="F99" s="19" t="n">
        <v>10</v>
      </c>
      <c r="G99" s="19" t="n">
        <v>1</v>
      </c>
      <c r="H99" s="19" t="n">
        <v>23</v>
      </c>
      <c r="I99" s="13">
        <f>G99*H99</f>
        <v>23.0</v>
      </c>
      <c r="J99" s="20">
        <f>2910/1000</f>
        <v>2.91</v>
      </c>
      <c r="K99" s="21">
        <f>I99*J99</f>
        <v>66.93</v>
      </c>
      <c r="L99" s="22">
        <f>F99^2/162</f>
        <v>0.6172839506172839</v>
      </c>
      <c r="M99" s="21">
        <f>K99*L99</f>
        <v>41.31481481481482</v>
      </c>
      <c r="N99" s="22">
        <f>M99/1000</f>
        <v>0.04131481481481482</v>
      </c>
      <c r="O99" s="13" t="inlineStr">
        <is>
          <t>Elevation + BBS length</t>
        </is>
      </c>
    </row>
    <row r="100">
      <c r="A100" s="13" t="n">
        <v>95</v>
      </c>
      <c r="B100" s="13" t="inlineStr">
        <is>
          <t>Columns</t>
        </is>
      </c>
      <c r="C100" s="13" t="inlineStr">
        <is>
          <t>STR-011</t>
        </is>
      </c>
      <c r="D100" s="13" t="inlineStr">
        <is>
          <t>COL-02C (1 nos) Foundation to GF - links</t>
        </is>
      </c>
      <c r="E100" s="19" t="inlineStr">
        <is>
          <t>1005</t>
        </is>
      </c>
      <c r="F100" s="19" t="n">
        <v>10</v>
      </c>
      <c r="G100" s="19" t="n">
        <v>1</v>
      </c>
      <c r="H100" s="19">
        <f>3*23</f>
        <v>69.0</v>
      </c>
      <c r="I100" s="13">
        <f>G100*H100</f>
        <v>69.0</v>
      </c>
      <c r="J100" s="20">
        <f>1008/1000</f>
        <v>1.008</v>
      </c>
      <c r="K100" s="21">
        <f>I100*J100</f>
        <v>69.552</v>
      </c>
      <c r="L100" s="22">
        <f>F100^2/162</f>
        <v>0.6172839506172839</v>
      </c>
      <c r="M100" s="21">
        <f>K100*L100</f>
        <v>42.93333333333334</v>
      </c>
      <c r="N100" s="22">
        <f>M100/1000</f>
        <v>0.04293333333333334</v>
      </c>
      <c r="O100" s="13" t="inlineStr">
        <is>
          <t>Elevation + BBS length</t>
        </is>
      </c>
    </row>
    <row r="101">
      <c r="A101" s="13" t="n">
        <v>96</v>
      </c>
      <c r="B101" s="13" t="inlineStr">
        <is>
          <t>Columns</t>
        </is>
      </c>
      <c r="C101" s="13" t="inlineStr">
        <is>
          <t>STR-011</t>
        </is>
      </c>
      <c r="D101" s="13" t="inlineStr">
        <is>
          <t>COL-02C (1 nos) Foundation to GF - main bars</t>
        </is>
      </c>
      <c r="E101" s="19" t="inlineStr">
        <is>
          <t>2501</t>
        </is>
      </c>
      <c r="F101" s="19" t="n">
        <v>25</v>
      </c>
      <c r="G101" s="19" t="n">
        <v>1</v>
      </c>
      <c r="H101" s="19" t="n">
        <v>18</v>
      </c>
      <c r="I101" s="13">
        <f>G101*H101</f>
        <v>18.0</v>
      </c>
      <c r="J101" s="20">
        <f>2850/1000</f>
        <v>2.85</v>
      </c>
      <c r="K101" s="21">
        <f>I101*J101</f>
        <v>51.300000000000004</v>
      </c>
      <c r="L101" s="22">
        <f>F101^2/162</f>
        <v>3.8580246913580245</v>
      </c>
      <c r="M101" s="21">
        <f>K101*L101</f>
        <v>197.91666666666669</v>
      </c>
      <c r="N101" s="22">
        <f>M101/1000</f>
        <v>0.19791666666666669</v>
      </c>
      <c r="O101" s="13" t="inlineStr">
        <is>
          <t>Elevation + BBS length</t>
        </is>
      </c>
    </row>
    <row r="102">
      <c r="A102" s="13" t="n">
        <v>97</v>
      </c>
      <c r="B102" s="13" t="inlineStr">
        <is>
          <t>Columns</t>
        </is>
      </c>
      <c r="C102" s="13" t="inlineStr">
        <is>
          <t>STR-011</t>
        </is>
      </c>
      <c r="D102" s="13" t="inlineStr">
        <is>
          <t>COL-02D (15 nos) Foundation to GF - links</t>
        </is>
      </c>
      <c r="E102" s="19" t="inlineStr">
        <is>
          <t>1004</t>
        </is>
      </c>
      <c r="F102" s="19" t="n">
        <v>10</v>
      </c>
      <c r="G102" s="19" t="n">
        <v>15</v>
      </c>
      <c r="H102" s="19" t="n">
        <v>19</v>
      </c>
      <c r="I102" s="13">
        <f>G102*H102</f>
        <v>285.0</v>
      </c>
      <c r="J102" s="20">
        <f>2910/1000</f>
        <v>2.91</v>
      </c>
      <c r="K102" s="21">
        <f>I102*J102</f>
        <v>829.35</v>
      </c>
      <c r="L102" s="22">
        <f>F102^2/162</f>
        <v>0.6172839506172839</v>
      </c>
      <c r="M102" s="21">
        <f>K102*L102</f>
        <v>511.94444444444446</v>
      </c>
      <c r="N102" s="22">
        <f>M102/1000</f>
        <v>0.5119444444444444</v>
      </c>
      <c r="O102" s="13" t="inlineStr">
        <is>
          <t>Elevation + BBS length</t>
        </is>
      </c>
    </row>
    <row r="103">
      <c r="A103" s="13" t="n">
        <v>98</v>
      </c>
      <c r="B103" s="13" t="inlineStr">
        <is>
          <t>Columns</t>
        </is>
      </c>
      <c r="C103" s="13" t="inlineStr">
        <is>
          <t>STR-011</t>
        </is>
      </c>
      <c r="D103" s="13" t="inlineStr">
        <is>
          <t>COL-02D (15 nos) Foundation to GF - links</t>
        </is>
      </c>
      <c r="E103" s="19" t="inlineStr">
        <is>
          <t>1005</t>
        </is>
      </c>
      <c r="F103" s="19" t="n">
        <v>10</v>
      </c>
      <c r="G103" s="19" t="n">
        <v>15</v>
      </c>
      <c r="H103" s="19">
        <f>3*19</f>
        <v>57.0</v>
      </c>
      <c r="I103" s="13">
        <f>G103*H103</f>
        <v>855.0</v>
      </c>
      <c r="J103" s="20">
        <f>1008/1000</f>
        <v>1.008</v>
      </c>
      <c r="K103" s="21">
        <f>I103*J103</f>
        <v>861.84</v>
      </c>
      <c r="L103" s="22">
        <f>F103^2/162</f>
        <v>0.6172839506172839</v>
      </c>
      <c r="M103" s="21">
        <f>K103*L103</f>
        <v>532.0</v>
      </c>
      <c r="N103" s="22">
        <f>M103/1000</f>
        <v>0.532</v>
      </c>
      <c r="O103" s="13" t="inlineStr">
        <is>
          <t>Elevation + BBS length</t>
        </is>
      </c>
    </row>
    <row r="104">
      <c r="A104" s="13" t="n">
        <v>99</v>
      </c>
      <c r="B104" s="13" t="inlineStr">
        <is>
          <t>Columns</t>
        </is>
      </c>
      <c r="C104" s="13" t="inlineStr">
        <is>
          <t>STR-011</t>
        </is>
      </c>
      <c r="D104" s="13" t="inlineStr">
        <is>
          <t>COL-02D (15 nos) Foundation to GF - main bars</t>
        </is>
      </c>
      <c r="E104" s="19" t="inlineStr">
        <is>
          <t>2501</t>
        </is>
      </c>
      <c r="F104" s="19" t="n">
        <v>25</v>
      </c>
      <c r="G104" s="19" t="n">
        <v>15</v>
      </c>
      <c r="H104" s="19" t="n">
        <v>18</v>
      </c>
      <c r="I104" s="13">
        <f>G104*H104</f>
        <v>270.0</v>
      </c>
      <c r="J104" s="20">
        <f>2850/1000</f>
        <v>2.85</v>
      </c>
      <c r="K104" s="21">
        <f>I104*J104</f>
        <v>769.5</v>
      </c>
      <c r="L104" s="22">
        <f>F104^2/162</f>
        <v>3.8580246913580245</v>
      </c>
      <c r="M104" s="21">
        <f>K104*L104</f>
        <v>2968.75</v>
      </c>
      <c r="N104" s="22">
        <f>M104/1000</f>
        <v>2.96875</v>
      </c>
      <c r="O104" s="13" t="inlineStr">
        <is>
          <t>Elevation + BBS length</t>
        </is>
      </c>
    </row>
    <row r="105">
      <c r="A105" s="13" t="n">
        <v>100</v>
      </c>
      <c r="B105" s="13" t="inlineStr">
        <is>
          <t>Columns</t>
        </is>
      </c>
      <c r="C105" s="13" t="inlineStr">
        <is>
          <t>STR-012</t>
        </is>
      </c>
      <c r="D105" s="13" t="inlineStr">
        <is>
          <t>SWC-01A (1 nos) Foundation to GF - links</t>
        </is>
      </c>
      <c r="E105" s="19" t="inlineStr">
        <is>
          <t>1001</t>
        </is>
      </c>
      <c r="F105" s="19" t="n">
        <v>10</v>
      </c>
      <c r="G105" s="19" t="n">
        <v>1</v>
      </c>
      <c r="H105" s="19" t="n">
        <v>23</v>
      </c>
      <c r="I105" s="13">
        <f>G105*H105</f>
        <v>23.0</v>
      </c>
      <c r="J105" s="20">
        <f>5930/1000</f>
        <v>5.93</v>
      </c>
      <c r="K105" s="21">
        <f>I105*J105</f>
        <v>136.39</v>
      </c>
      <c r="L105" s="22">
        <f>F105^2/162</f>
        <v>0.6172839506172839</v>
      </c>
      <c r="M105" s="21">
        <f>K105*L105</f>
        <v>84.19135802469134</v>
      </c>
      <c r="N105" s="22">
        <f>M105/1000</f>
        <v>0.08419135802469134</v>
      </c>
      <c r="O105" s="13" t="inlineStr">
        <is>
          <t>Elevation + BBS length</t>
        </is>
      </c>
    </row>
    <row r="106">
      <c r="A106" s="13" t="n">
        <v>101</v>
      </c>
      <c r="B106" s="13" t="inlineStr">
        <is>
          <t>Columns</t>
        </is>
      </c>
      <c r="C106" s="13" t="inlineStr">
        <is>
          <t>STR-012</t>
        </is>
      </c>
      <c r="D106" s="13" t="inlineStr">
        <is>
          <t>SWC-01A (1 nos) Foundation to GF - links</t>
        </is>
      </c>
      <c r="E106" s="19" t="inlineStr">
        <is>
          <t>1002</t>
        </is>
      </c>
      <c r="F106" s="19" t="n">
        <v>10</v>
      </c>
      <c r="G106" s="19" t="n">
        <v>1</v>
      </c>
      <c r="H106" s="19" t="n">
        <v>23</v>
      </c>
      <c r="I106" s="13">
        <f>G106*H106</f>
        <v>23.0</v>
      </c>
      <c r="J106" s="20">
        <f>2480/1000</f>
        <v>2.48</v>
      </c>
      <c r="K106" s="21">
        <f>I106*J106</f>
        <v>57.04</v>
      </c>
      <c r="L106" s="22">
        <f>F106^2/162</f>
        <v>0.6172839506172839</v>
      </c>
      <c r="M106" s="21">
        <f>K106*L106</f>
        <v>35.20987654320987</v>
      </c>
      <c r="N106" s="22">
        <f>M106/1000</f>
        <v>0.035209876543209874</v>
      </c>
      <c r="O106" s="13" t="inlineStr">
        <is>
          <t>Elevation + BBS length</t>
        </is>
      </c>
    </row>
    <row r="107">
      <c r="A107" s="13" t="n">
        <v>102</v>
      </c>
      <c r="B107" s="13" t="inlineStr">
        <is>
          <t>Columns</t>
        </is>
      </c>
      <c r="C107" s="13" t="inlineStr">
        <is>
          <t>STR-012</t>
        </is>
      </c>
      <c r="D107" s="13" t="inlineStr">
        <is>
          <t>SWC-01A (1 nos) Foundation to GF - links</t>
        </is>
      </c>
      <c r="E107" s="19" t="inlineStr">
        <is>
          <t>1003</t>
        </is>
      </c>
      <c r="F107" s="19" t="n">
        <v>10</v>
      </c>
      <c r="G107" s="19" t="n">
        <v>1</v>
      </c>
      <c r="H107" s="19">
        <f>7*23</f>
        <v>161.0</v>
      </c>
      <c r="I107" s="13">
        <f>G107*H107</f>
        <v>161.0</v>
      </c>
      <c r="J107" s="20">
        <f>910/1000</f>
        <v>0.91</v>
      </c>
      <c r="K107" s="21">
        <f>I107*J107</f>
        <v>146.51</v>
      </c>
      <c r="L107" s="22">
        <f>F107^2/162</f>
        <v>0.6172839506172839</v>
      </c>
      <c r="M107" s="21">
        <f>K107*L107</f>
        <v>90.43827160493827</v>
      </c>
      <c r="N107" s="22">
        <f>M107/1000</f>
        <v>0.09043827160493827</v>
      </c>
      <c r="O107" s="13" t="inlineStr">
        <is>
          <t>Elevation + BBS length</t>
        </is>
      </c>
    </row>
    <row r="108">
      <c r="A108" s="13" t="n">
        <v>103</v>
      </c>
      <c r="B108" s="13" t="inlineStr">
        <is>
          <t>Columns</t>
        </is>
      </c>
      <c r="C108" s="13" t="inlineStr">
        <is>
          <t>STR-012</t>
        </is>
      </c>
      <c r="D108" s="13" t="inlineStr">
        <is>
          <t>SWC-01A (1 nos) Foundation to GF - links</t>
        </is>
      </c>
      <c r="E108" s="19" t="inlineStr">
        <is>
          <t>1004</t>
        </is>
      </c>
      <c r="F108" s="19" t="n">
        <v>10</v>
      </c>
      <c r="G108" s="19" t="n">
        <v>1</v>
      </c>
      <c r="H108" s="19">
        <f>4*23</f>
        <v>92.0</v>
      </c>
      <c r="I108" s="13">
        <f>G108*H108</f>
        <v>92.0</v>
      </c>
      <c r="J108" s="20">
        <f>770/1000</f>
        <v>0.77</v>
      </c>
      <c r="K108" s="21">
        <f>I108*J108</f>
        <v>70.84</v>
      </c>
      <c r="L108" s="22">
        <f>F108^2/162</f>
        <v>0.6172839506172839</v>
      </c>
      <c r="M108" s="21">
        <f>K108*L108</f>
        <v>43.72839506172839</v>
      </c>
      <c r="N108" s="22">
        <f>M108/1000</f>
        <v>0.04372839506172839</v>
      </c>
      <c r="O108" s="13" t="inlineStr">
        <is>
          <t>Elevation + BBS length</t>
        </is>
      </c>
    </row>
    <row r="109">
      <c r="A109" s="13" t="n">
        <v>104</v>
      </c>
      <c r="B109" s="13" t="inlineStr">
        <is>
          <t>Columns</t>
        </is>
      </c>
      <c r="C109" s="13" t="inlineStr">
        <is>
          <t>STR-012</t>
        </is>
      </c>
      <c r="D109" s="13" t="inlineStr">
        <is>
          <t>SWC-01A (1 nos) Foundation to GF - main bars</t>
        </is>
      </c>
      <c r="E109" s="19" t="inlineStr">
        <is>
          <t>2008</t>
        </is>
      </c>
      <c r="F109" s="19" t="n">
        <v>20</v>
      </c>
      <c r="G109" s="19" t="n">
        <v>1</v>
      </c>
      <c r="H109" s="19" t="n">
        <v>48</v>
      </c>
      <c r="I109" s="13">
        <f>G109*H109</f>
        <v>48.0</v>
      </c>
      <c r="J109" s="20">
        <f>2850/1000</f>
        <v>2.85</v>
      </c>
      <c r="K109" s="21">
        <f>I109*J109</f>
        <v>136.8</v>
      </c>
      <c r="L109" s="22">
        <f>F109^2/162</f>
        <v>2.4691358024691357</v>
      </c>
      <c r="M109" s="21">
        <f>K109*L109</f>
        <v>337.77777777777777</v>
      </c>
      <c r="N109" s="22">
        <f>M109/1000</f>
        <v>0.3377777777777778</v>
      </c>
      <c r="O109" s="13" t="inlineStr">
        <is>
          <t>Elevation + BBS length</t>
        </is>
      </c>
    </row>
    <row r="110">
      <c r="A110" s="13" t="n">
        <v>105</v>
      </c>
      <c r="B110" s="13" t="inlineStr">
        <is>
          <t>Shear Walls</t>
        </is>
      </c>
      <c r="C110" s="13" t="inlineStr">
        <is>
          <t>STR-015/016</t>
        </is>
      </c>
      <c r="D110" s="13" t="inlineStr">
        <is>
          <t>Main core CW-01 (L=3600mm) Foundation to GF - horizontal Y12@150 NF/FF</t>
        </is>
      </c>
      <c r="E110" s="19" t="inlineStr">
        <is>
          <t>H-Y12</t>
        </is>
      </c>
      <c r="F110" s="19" t="n">
        <v>12</v>
      </c>
      <c r="G110" s="19" t="n">
        <v>1</v>
      </c>
      <c r="H110" s="19">
        <f>2*9</f>
        <v>18.0</v>
      </c>
      <c r="I110" s="13">
        <f>G110*H110</f>
        <v>18.0</v>
      </c>
      <c r="J110" s="20">
        <f>(3600-2*30+40*12)/1000</f>
        <v>4.02</v>
      </c>
      <c r="K110" s="21">
        <f>I110*J110</f>
        <v>72.35999999999999</v>
      </c>
      <c r="L110" s="22">
        <f>F110^2/162</f>
        <v>0.8888888888888888</v>
      </c>
      <c r="M110" s="21">
        <f>K110*L110</f>
        <v>64.31999999999998</v>
      </c>
      <c r="N110" s="22">
        <f>M110/1000</f>
        <v>0.06431999999999997</v>
      </c>
      <c r="O110" s="13" t="inlineStr">
        <is>
          <t>Elevation count / plan length</t>
        </is>
      </c>
    </row>
    <row r="111">
      <c r="A111" s="13" t="n">
        <v>106</v>
      </c>
      <c r="B111" s="13" t="inlineStr">
        <is>
          <t>Shear Walls</t>
        </is>
      </c>
      <c r="C111" s="13" t="inlineStr">
        <is>
          <t>STR-015/016</t>
        </is>
      </c>
      <c r="D111" s="13" t="inlineStr">
        <is>
          <t>Main core CW-01 Foundation to GF - vertical Y25@150 NF/FF (starters from raft)</t>
        </is>
      </c>
      <c r="E111" s="19" t="inlineStr">
        <is>
          <t>V-Y25</t>
        </is>
      </c>
      <c r="F111" s="19" t="n">
        <v>25</v>
      </c>
      <c r="G111" s="19" t="n">
        <v>1</v>
      </c>
      <c r="H111" s="19">
        <f>2*29</f>
        <v>58.0</v>
      </c>
      <c r="I111" s="13">
        <f>G111*H111</f>
        <v>58.0</v>
      </c>
      <c r="J111" s="20">
        <f>(1250+350+1300+40*25)/1000</f>
        <v>3.9</v>
      </c>
      <c r="K111" s="21">
        <f>I111*J111</f>
        <v>226.2</v>
      </c>
      <c r="L111" s="22">
        <f>F111^2/162</f>
        <v>3.8580246913580245</v>
      </c>
      <c r="M111" s="21">
        <f>K111*L111</f>
        <v>872.6851851851851</v>
      </c>
      <c r="N111" s="22">
        <f>M111/1000</f>
        <v>0.8726851851851851</v>
      </c>
      <c r="O111" s="13" t="inlineStr">
        <is>
          <t>Elevation / plan</t>
        </is>
      </c>
    </row>
    <row r="112">
      <c r="A112" s="13" t="n">
        <v>107</v>
      </c>
      <c r="B112" s="13" t="inlineStr">
        <is>
          <t>Shear Walls</t>
        </is>
      </c>
      <c r="C112" s="13" t="inlineStr">
        <is>
          <t>STR-015/016</t>
        </is>
      </c>
      <c r="D112" s="13" t="inlineStr">
        <is>
          <t>Main core CW-05 (L=7250mm) Foundation to GF - horizontal Y12@150 NF/FF</t>
        </is>
      </c>
      <c r="E112" s="19" t="inlineStr">
        <is>
          <t>H-Y12</t>
        </is>
      </c>
      <c r="F112" s="19" t="n">
        <v>12</v>
      </c>
      <c r="G112" s="19" t="n">
        <v>1</v>
      </c>
      <c r="H112" s="19">
        <f>2*9</f>
        <v>18.0</v>
      </c>
      <c r="I112" s="13">
        <f>G112*H112</f>
        <v>18.0</v>
      </c>
      <c r="J112" s="20">
        <f>(7250-2*30+40*12)/1000</f>
        <v>7.67</v>
      </c>
      <c r="K112" s="21">
        <f>I112*J112</f>
        <v>138.06</v>
      </c>
      <c r="L112" s="22">
        <f>F112^2/162</f>
        <v>0.8888888888888888</v>
      </c>
      <c r="M112" s="21">
        <f>K112*L112</f>
        <v>122.72</v>
      </c>
      <c r="N112" s="22">
        <f>M112/1000</f>
        <v>0.12272</v>
      </c>
      <c r="O112" s="13" t="inlineStr">
        <is>
          <t>Elevation count / plan length</t>
        </is>
      </c>
    </row>
    <row r="113">
      <c r="A113" s="13" t="n">
        <v>108</v>
      </c>
      <c r="B113" s="13" t="inlineStr">
        <is>
          <t>Shear Walls</t>
        </is>
      </c>
      <c r="C113" s="13" t="inlineStr">
        <is>
          <t>STR-015/016</t>
        </is>
      </c>
      <c r="D113" s="13" t="inlineStr">
        <is>
          <t>Main core CW-05 Foundation to GF - vertical Y25@150 NF/FF (starters from raft)</t>
        </is>
      </c>
      <c r="E113" s="19" t="inlineStr">
        <is>
          <t>V-Y25</t>
        </is>
      </c>
      <c r="F113" s="19" t="n">
        <v>25</v>
      </c>
      <c r="G113" s="19" t="n">
        <v>1</v>
      </c>
      <c r="H113" s="19">
        <f>2*(ROUNDUP(7250/150,0)+1)</f>
        <v>100.0</v>
      </c>
      <c r="I113" s="13">
        <f>G113*H113</f>
        <v>100.0</v>
      </c>
      <c r="J113" s="20">
        <f>(1250+350+1300+40*25)/1000</f>
        <v>3.9</v>
      </c>
      <c r="K113" s="21">
        <f>I113*J113</f>
        <v>390.0</v>
      </c>
      <c r="L113" s="22">
        <f>F113^2/162</f>
        <v>3.8580246913580245</v>
      </c>
      <c r="M113" s="21">
        <f>K113*L113</f>
        <v>1504.6296296296296</v>
      </c>
      <c r="N113" s="22">
        <f>M113/1000</f>
        <v>1.5046296296296295</v>
      </c>
      <c r="O113" s="13" t="inlineStr">
        <is>
          <t>Elevation / plan</t>
        </is>
      </c>
    </row>
    <row r="114">
      <c r="A114" s="13" t="n">
        <v>109</v>
      </c>
      <c r="B114" s="13" t="inlineStr">
        <is>
          <t>Shear Walls</t>
        </is>
      </c>
      <c r="C114" s="13" t="inlineStr">
        <is>
          <t>STR-015/016</t>
        </is>
      </c>
      <c r="D114" s="13" t="inlineStr">
        <is>
          <t>Main core CW-07 (stair section) (L=7250mm) Foundation to GF - horizontal Y12@150 NF/FF</t>
        </is>
      </c>
      <c r="E114" s="19" t="inlineStr">
        <is>
          <t>H-Y12</t>
        </is>
      </c>
      <c r="F114" s="19" t="n">
        <v>12</v>
      </c>
      <c r="G114" s="19" t="n">
        <v>1</v>
      </c>
      <c r="H114" s="19">
        <f>2*9</f>
        <v>18.0</v>
      </c>
      <c r="I114" s="13">
        <f>G114*H114</f>
        <v>18.0</v>
      </c>
      <c r="J114" s="20">
        <f>(7250-2*30+40*12)/1000</f>
        <v>7.67</v>
      </c>
      <c r="K114" s="21">
        <f>I114*J114</f>
        <v>138.06</v>
      </c>
      <c r="L114" s="22">
        <f>F114^2/162</f>
        <v>0.8888888888888888</v>
      </c>
      <c r="M114" s="21">
        <f>K114*L114</f>
        <v>122.72</v>
      </c>
      <c r="N114" s="22">
        <f>M114/1000</f>
        <v>0.12272</v>
      </c>
      <c r="O114" s="13" t="inlineStr">
        <is>
          <t>Elevation count / plan length</t>
        </is>
      </c>
    </row>
    <row r="115">
      <c r="A115" s="13" t="n">
        <v>110</v>
      </c>
      <c r="B115" s="13" t="inlineStr">
        <is>
          <t>Shear Walls</t>
        </is>
      </c>
      <c r="C115" s="13" t="inlineStr">
        <is>
          <t>STR-015/016</t>
        </is>
      </c>
      <c r="D115" s="13" t="inlineStr">
        <is>
          <t>Main core CW-07 (stair section) Foundation to GF - vertical Y25@150 NF/FF (starters from raft)</t>
        </is>
      </c>
      <c r="E115" s="19" t="inlineStr">
        <is>
          <t>V-Y25</t>
        </is>
      </c>
      <c r="F115" s="19" t="n">
        <v>25</v>
      </c>
      <c r="G115" s="19" t="n">
        <v>1</v>
      </c>
      <c r="H115" s="19">
        <f>2*(ROUNDUP(7250/150,0)+1)</f>
        <v>100.0</v>
      </c>
      <c r="I115" s="13">
        <f>G115*H115</f>
        <v>100.0</v>
      </c>
      <c r="J115" s="20">
        <f>(1250+350+1300+40*25)/1000</f>
        <v>3.9</v>
      </c>
      <c r="K115" s="21">
        <f>I115*J115</f>
        <v>390.0</v>
      </c>
      <c r="L115" s="22">
        <f>F115^2/162</f>
        <v>3.8580246913580245</v>
      </c>
      <c r="M115" s="21">
        <f>K115*L115</f>
        <v>1504.6296296296296</v>
      </c>
      <c r="N115" s="22">
        <f>M115/1000</f>
        <v>1.5046296296296295</v>
      </c>
      <c r="O115" s="13" t="inlineStr">
        <is>
          <t>Elevation / plan</t>
        </is>
      </c>
    </row>
    <row r="116">
      <c r="A116" s="13" t="n">
        <v>111</v>
      </c>
      <c r="B116" s="13" t="inlineStr">
        <is>
          <t>Shear Walls</t>
        </is>
      </c>
      <c r="C116" s="13" t="inlineStr">
        <is>
          <t>STR-015/016</t>
        </is>
      </c>
      <c r="D116" s="13" t="inlineStr">
        <is>
          <t>Main core CW-09 (L=1150mm) Foundation to GF - horizontal Y12@150 NF/FF</t>
        </is>
      </c>
      <c r="E116" s="19" t="inlineStr">
        <is>
          <t>H-Y12</t>
        </is>
      </c>
      <c r="F116" s="19" t="n">
        <v>12</v>
      </c>
      <c r="G116" s="19" t="n">
        <v>1</v>
      </c>
      <c r="H116" s="19">
        <f>2*9</f>
        <v>18.0</v>
      </c>
      <c r="I116" s="13">
        <f>G116*H116</f>
        <v>18.0</v>
      </c>
      <c r="J116" s="20">
        <f>(1150-2*30+40*12)/1000</f>
        <v>1.57</v>
      </c>
      <c r="K116" s="21">
        <f>I116*J116</f>
        <v>28.26</v>
      </c>
      <c r="L116" s="22">
        <f>F116^2/162</f>
        <v>0.8888888888888888</v>
      </c>
      <c r="M116" s="21">
        <f>K116*L116</f>
        <v>25.12</v>
      </c>
      <c r="N116" s="22">
        <f>M116/1000</f>
        <v>0.02512</v>
      </c>
      <c r="O116" s="13" t="inlineStr">
        <is>
          <t>Elevation count / plan length</t>
        </is>
      </c>
    </row>
    <row r="117">
      <c r="A117" s="13" t="n">
        <v>112</v>
      </c>
      <c r="B117" s="13" t="inlineStr">
        <is>
          <t>Shear Walls</t>
        </is>
      </c>
      <c r="C117" s="13" t="inlineStr">
        <is>
          <t>STR-015/016</t>
        </is>
      </c>
      <c r="D117" s="13" t="inlineStr">
        <is>
          <t>Main core CW-09 Foundation to GF - vertical Y25@150 NF/FF (starters from raft)</t>
        </is>
      </c>
      <c r="E117" s="19" t="inlineStr">
        <is>
          <t>V-Y25</t>
        </is>
      </c>
      <c r="F117" s="19" t="n">
        <v>25</v>
      </c>
      <c r="G117" s="19" t="n">
        <v>1</v>
      </c>
      <c r="H117" s="19">
        <f>2*(ROUNDUP(1150/150,0)+1)</f>
        <v>18.0</v>
      </c>
      <c r="I117" s="13">
        <f>G117*H117</f>
        <v>18.0</v>
      </c>
      <c r="J117" s="20">
        <f>(1250+350+1300+40*25)/1000</f>
        <v>3.9</v>
      </c>
      <c r="K117" s="21">
        <f>I117*J117</f>
        <v>70.2</v>
      </c>
      <c r="L117" s="22">
        <f>F117^2/162</f>
        <v>3.8580246913580245</v>
      </c>
      <c r="M117" s="21">
        <f>K117*L117</f>
        <v>270.8333333333333</v>
      </c>
      <c r="N117" s="22">
        <f>M117/1000</f>
        <v>0.2708333333333333</v>
      </c>
      <c r="O117" s="13" t="inlineStr">
        <is>
          <t>Elevation / plan</t>
        </is>
      </c>
    </row>
    <row r="118">
      <c r="A118" s="13" t="n">
        <v>113</v>
      </c>
      <c r="B118" s="13" t="inlineStr">
        <is>
          <t>Shear Walls</t>
        </is>
      </c>
      <c r="C118" s="13" t="inlineStr">
        <is>
          <t>STR-015/016</t>
        </is>
      </c>
      <c r="D118" s="13" t="inlineStr">
        <is>
          <t>Main core CW-10 (L=1150mm) Foundation to GF - horizontal Y12@150 NF/FF</t>
        </is>
      </c>
      <c r="E118" s="19" t="inlineStr">
        <is>
          <t>H-Y12</t>
        </is>
      </c>
      <c r="F118" s="19" t="n">
        <v>12</v>
      </c>
      <c r="G118" s="19" t="n">
        <v>1</v>
      </c>
      <c r="H118" s="19">
        <f>2*9</f>
        <v>18.0</v>
      </c>
      <c r="I118" s="13">
        <f>G118*H118</f>
        <v>18.0</v>
      </c>
      <c r="J118" s="20">
        <f>(1150-2*30+40*12)/1000</f>
        <v>1.57</v>
      </c>
      <c r="K118" s="21">
        <f>I118*J118</f>
        <v>28.26</v>
      </c>
      <c r="L118" s="22">
        <f>F118^2/162</f>
        <v>0.8888888888888888</v>
      </c>
      <c r="M118" s="21">
        <f>K118*L118</f>
        <v>25.12</v>
      </c>
      <c r="N118" s="22">
        <f>M118/1000</f>
        <v>0.02512</v>
      </c>
      <c r="O118" s="13" t="inlineStr">
        <is>
          <t>Elevation count / plan length</t>
        </is>
      </c>
    </row>
    <row r="119">
      <c r="A119" s="13" t="n">
        <v>114</v>
      </c>
      <c r="B119" s="13" t="inlineStr">
        <is>
          <t>Shear Walls</t>
        </is>
      </c>
      <c r="C119" s="13" t="inlineStr">
        <is>
          <t>STR-015/016</t>
        </is>
      </c>
      <c r="D119" s="13" t="inlineStr">
        <is>
          <t>Main core CW-10 Foundation to GF - vertical Y25@150 NF/FF (starters from raft)</t>
        </is>
      </c>
      <c r="E119" s="19" t="inlineStr">
        <is>
          <t>V-Y25</t>
        </is>
      </c>
      <c r="F119" s="19" t="n">
        <v>25</v>
      </c>
      <c r="G119" s="19" t="n">
        <v>1</v>
      </c>
      <c r="H119" s="19">
        <f>2*(ROUNDUP(1150/150,0)+1)</f>
        <v>18.0</v>
      </c>
      <c r="I119" s="13">
        <f>G119*H119</f>
        <v>18.0</v>
      </c>
      <c r="J119" s="20">
        <f>(1250+350+1300+40*25)/1000</f>
        <v>3.9</v>
      </c>
      <c r="K119" s="21">
        <f>I119*J119</f>
        <v>70.2</v>
      </c>
      <c r="L119" s="22">
        <f>F119^2/162</f>
        <v>3.8580246913580245</v>
      </c>
      <c r="M119" s="21">
        <f>K119*L119</f>
        <v>270.8333333333333</v>
      </c>
      <c r="N119" s="22">
        <f>M119/1000</f>
        <v>0.2708333333333333</v>
      </c>
      <c r="O119" s="13" t="inlineStr">
        <is>
          <t>Elevation / plan</t>
        </is>
      </c>
    </row>
    <row r="120">
      <c r="A120" s="13" t="n">
        <v>115</v>
      </c>
      <c r="B120" s="13" t="inlineStr">
        <is>
          <t>Shear Walls</t>
        </is>
      </c>
      <c r="C120" s="13" t="inlineStr">
        <is>
          <t>STR-015/016</t>
        </is>
      </c>
      <c r="D120" s="13" t="inlineStr">
        <is>
          <t>Main core CW-11 (L=1650mm) Foundation to GF - horizontal Y12@150 NF/FF</t>
        </is>
      </c>
      <c r="E120" s="19" t="inlineStr">
        <is>
          <t>H-Y12</t>
        </is>
      </c>
      <c r="F120" s="19" t="n">
        <v>12</v>
      </c>
      <c r="G120" s="19" t="n">
        <v>1</v>
      </c>
      <c r="H120" s="19">
        <f>2*9</f>
        <v>18.0</v>
      </c>
      <c r="I120" s="13">
        <f>G120*H120</f>
        <v>18.0</v>
      </c>
      <c r="J120" s="20">
        <f>(1650-2*30+40*12)/1000</f>
        <v>2.07</v>
      </c>
      <c r="K120" s="21">
        <f>I120*J120</f>
        <v>37.26</v>
      </c>
      <c r="L120" s="22">
        <f>F120^2/162</f>
        <v>0.8888888888888888</v>
      </c>
      <c r="M120" s="21">
        <f>K120*L120</f>
        <v>33.12</v>
      </c>
      <c r="N120" s="22">
        <f>M120/1000</f>
        <v>0.03312</v>
      </c>
      <c r="O120" s="13" t="inlineStr">
        <is>
          <t>Elevation count / plan length</t>
        </is>
      </c>
    </row>
    <row r="121">
      <c r="A121" s="13" t="n">
        <v>116</v>
      </c>
      <c r="B121" s="13" t="inlineStr">
        <is>
          <t>Shear Walls</t>
        </is>
      </c>
      <c r="C121" s="13" t="inlineStr">
        <is>
          <t>STR-015/016</t>
        </is>
      </c>
      <c r="D121" s="13" t="inlineStr">
        <is>
          <t>Main core CW-11 Foundation to GF - vertical Y25@150 NF/FF (starters from raft)</t>
        </is>
      </c>
      <c r="E121" s="19" t="inlineStr">
        <is>
          <t>V-Y25</t>
        </is>
      </c>
      <c r="F121" s="19" t="n">
        <v>25</v>
      </c>
      <c r="G121" s="19" t="n">
        <v>1</v>
      </c>
      <c r="H121" s="19">
        <f>2*(ROUNDUP(1650/150,0)+1)</f>
        <v>24.0</v>
      </c>
      <c r="I121" s="13">
        <f>G121*H121</f>
        <v>24.0</v>
      </c>
      <c r="J121" s="20">
        <f>(1250+350+1300+40*25)/1000</f>
        <v>3.9</v>
      </c>
      <c r="K121" s="21">
        <f>I121*J121</f>
        <v>93.6</v>
      </c>
      <c r="L121" s="22">
        <f>F121^2/162</f>
        <v>3.8580246913580245</v>
      </c>
      <c r="M121" s="21">
        <f>K121*L121</f>
        <v>361.1111111111111</v>
      </c>
      <c r="N121" s="22">
        <f>M121/1000</f>
        <v>0.3611111111111111</v>
      </c>
      <c r="O121" s="13" t="inlineStr">
        <is>
          <t>Elevation / plan</t>
        </is>
      </c>
    </row>
    <row r="122">
      <c r="A122" s="13" t="n">
        <v>117</v>
      </c>
      <c r="B122" s="13" t="inlineStr">
        <is>
          <t>Shear Walls</t>
        </is>
      </c>
      <c r="C122" s="13" t="inlineStr">
        <is>
          <t>STR-015/016</t>
        </is>
      </c>
      <c r="D122" s="13" t="inlineStr">
        <is>
          <t>Main core confinement links Y10@150 (26 positions on plan) Foundation to GF</t>
        </is>
      </c>
      <c r="E122" s="19" t="inlineStr">
        <is>
          <t>LNK-Y10</t>
        </is>
      </c>
      <c r="F122" s="19" t="n">
        <v>10</v>
      </c>
      <c r="G122" s="19" t="n">
        <v>1</v>
      </c>
      <c r="H122" s="19">
        <f>26*ROUNDUP(1300/150,0)</f>
        <v>234.0</v>
      </c>
      <c r="I122" s="13">
        <f>G122*H122</f>
        <v>234.0</v>
      </c>
      <c r="J122" s="20">
        <f>1800/1000</f>
        <v>1.8</v>
      </c>
      <c r="K122" s="21">
        <f>I122*J122</f>
        <v>421.2</v>
      </c>
      <c r="L122" s="22">
        <f>F122^2/162</f>
        <v>0.6172839506172839</v>
      </c>
      <c r="M122" s="21">
        <f>K122*L122</f>
        <v>260.0</v>
      </c>
      <c r="N122" s="22">
        <f>M122/1000</f>
        <v>0.26</v>
      </c>
      <c r="O122" s="13" t="inlineStr">
        <is>
          <t>Assumed link cut length</t>
        </is>
      </c>
    </row>
    <row r="123">
      <c r="A123" s="13" t="n">
        <v>118</v>
      </c>
      <c r="B123" s="13" t="inlineStr">
        <is>
          <t>Shear Walls</t>
        </is>
      </c>
      <c r="C123" s="13" t="inlineStr">
        <is>
          <t>STR-013/014</t>
        </is>
      </c>
      <c r="D123" s="13" t="inlineStr">
        <is>
          <t>Emergency stair core CW-12 (L=7050mm) Foundation to GF - horizontal Y12@150 NF/FF</t>
        </is>
      </c>
      <c r="E123" s="19" t="inlineStr">
        <is>
          <t>H-Y12</t>
        </is>
      </c>
      <c r="F123" s="19" t="n">
        <v>12</v>
      </c>
      <c r="G123" s="19" t="n">
        <v>1</v>
      </c>
      <c r="H123" s="19">
        <f>2*9</f>
        <v>18.0</v>
      </c>
      <c r="I123" s="13">
        <f>G123*H123</f>
        <v>18.0</v>
      </c>
      <c r="J123" s="20">
        <f>(7050-2*30+40*12)/1000</f>
        <v>7.47</v>
      </c>
      <c r="K123" s="21">
        <f>I123*J123</f>
        <v>134.46</v>
      </c>
      <c r="L123" s="22">
        <f>F123^2/162</f>
        <v>0.8888888888888888</v>
      </c>
      <c r="M123" s="21">
        <f>K123*L123</f>
        <v>119.52</v>
      </c>
      <c r="N123" s="22">
        <f>M123/1000</f>
        <v>0.11952</v>
      </c>
      <c r="O123" s="13" t="inlineStr">
        <is>
          <t>Elevation count / plan length</t>
        </is>
      </c>
    </row>
    <row r="124">
      <c r="A124" s="13" t="n">
        <v>119</v>
      </c>
      <c r="B124" s="13" t="inlineStr">
        <is>
          <t>Shear Walls</t>
        </is>
      </c>
      <c r="C124" s="13" t="inlineStr">
        <is>
          <t>STR-013/014</t>
        </is>
      </c>
      <c r="D124" s="13" t="inlineStr">
        <is>
          <t>Emergency stair core CW-12 Foundation to GF - vertical Y25@150 NF/FF (starters from raft)</t>
        </is>
      </c>
      <c r="E124" s="19" t="inlineStr">
        <is>
          <t>V-Y25</t>
        </is>
      </c>
      <c r="F124" s="19" t="n">
        <v>25</v>
      </c>
      <c r="G124" s="19" t="n">
        <v>1</v>
      </c>
      <c r="H124" s="19">
        <f>2*(ROUNDUP(7050/150,0)+1)</f>
        <v>96.0</v>
      </c>
      <c r="I124" s="13">
        <f>G124*H124</f>
        <v>96.0</v>
      </c>
      <c r="J124" s="20">
        <f>(1250+350+1000+40*25)/1000</f>
        <v>3.6</v>
      </c>
      <c r="K124" s="21">
        <f>I124*J124</f>
        <v>345.6</v>
      </c>
      <c r="L124" s="22">
        <f>F124^2/162</f>
        <v>3.8580246913580245</v>
      </c>
      <c r="M124" s="21">
        <f>K124*L124</f>
        <v>1333.3333333333333</v>
      </c>
      <c r="N124" s="22">
        <f>M124/1000</f>
        <v>1.3333333333333333</v>
      </c>
      <c r="O124" s="13" t="inlineStr">
        <is>
          <t>Elevation / plan</t>
        </is>
      </c>
    </row>
    <row r="125">
      <c r="A125" s="13" t="n">
        <v>120</v>
      </c>
      <c r="B125" s="13" t="inlineStr">
        <is>
          <t>Shear Walls</t>
        </is>
      </c>
      <c r="C125" s="13" t="inlineStr">
        <is>
          <t>STR-013/014</t>
        </is>
      </c>
      <c r="D125" s="13" t="inlineStr">
        <is>
          <t>Emergency stair core CW-13 (L=7810mm) Foundation to GF - horizontal Y12@150 NF/FF</t>
        </is>
      </c>
      <c r="E125" s="19" t="inlineStr">
        <is>
          <t>H-Y12</t>
        </is>
      </c>
      <c r="F125" s="19" t="n">
        <v>12</v>
      </c>
      <c r="G125" s="19" t="n">
        <v>1</v>
      </c>
      <c r="H125" s="19">
        <f>2*9</f>
        <v>18.0</v>
      </c>
      <c r="I125" s="13">
        <f>G125*H125</f>
        <v>18.0</v>
      </c>
      <c r="J125" s="20">
        <f>(7810-2*30+40*12)/1000</f>
        <v>8.23</v>
      </c>
      <c r="K125" s="21">
        <f>I125*J125</f>
        <v>148.14000000000001</v>
      </c>
      <c r="L125" s="22">
        <f>F125^2/162</f>
        <v>0.8888888888888888</v>
      </c>
      <c r="M125" s="21">
        <f>K125*L125</f>
        <v>131.68</v>
      </c>
      <c r="N125" s="22">
        <f>M125/1000</f>
        <v>0.13168000000000002</v>
      </c>
      <c r="O125" s="13" t="inlineStr">
        <is>
          <t>Elevation count / plan length</t>
        </is>
      </c>
    </row>
    <row r="126">
      <c r="A126" s="13" t="n">
        <v>121</v>
      </c>
      <c r="B126" s="13" t="inlineStr">
        <is>
          <t>Shear Walls</t>
        </is>
      </c>
      <c r="C126" s="13" t="inlineStr">
        <is>
          <t>STR-013/014</t>
        </is>
      </c>
      <c r="D126" s="13" t="inlineStr">
        <is>
          <t>Emergency stair core CW-13 Foundation to GF - vertical Y25@150 NF/FF (starters from raft)</t>
        </is>
      </c>
      <c r="E126" s="19" t="inlineStr">
        <is>
          <t>V-Y25</t>
        </is>
      </c>
      <c r="F126" s="19" t="n">
        <v>25</v>
      </c>
      <c r="G126" s="19" t="n">
        <v>1</v>
      </c>
      <c r="H126" s="19">
        <f>2*52</f>
        <v>104.0</v>
      </c>
      <c r="I126" s="13">
        <f>G126*H126</f>
        <v>104.0</v>
      </c>
      <c r="J126" s="20">
        <f>(1250+350+1000+40*25)/1000</f>
        <v>3.6</v>
      </c>
      <c r="K126" s="21">
        <f>I126*J126</f>
        <v>374.40000000000003</v>
      </c>
      <c r="L126" s="22">
        <f>F126^2/162</f>
        <v>3.8580246913580245</v>
      </c>
      <c r="M126" s="21">
        <f>K126*L126</f>
        <v>1444.4444444444446</v>
      </c>
      <c r="N126" s="22">
        <f>M126/1000</f>
        <v>1.4444444444444446</v>
      </c>
      <c r="O126" s="13" t="inlineStr">
        <is>
          <t>Elevation / plan</t>
        </is>
      </c>
    </row>
    <row r="127">
      <c r="A127" s="13" t="n">
        <v>122</v>
      </c>
      <c r="B127" s="13" t="inlineStr">
        <is>
          <t>Shear Walls</t>
        </is>
      </c>
      <c r="C127" s="13" t="inlineStr">
        <is>
          <t>STR-013/014</t>
        </is>
      </c>
      <c r="D127" s="13" t="inlineStr">
        <is>
          <t>Emergency stair core CW-14 (L=3450mm) Foundation to GF - horizontal Y12@150 NF/FF</t>
        </is>
      </c>
      <c r="E127" s="19" t="inlineStr">
        <is>
          <t>H-Y12</t>
        </is>
      </c>
      <c r="F127" s="19" t="n">
        <v>12</v>
      </c>
      <c r="G127" s="19" t="n">
        <v>1</v>
      </c>
      <c r="H127" s="19">
        <f>2*9</f>
        <v>18.0</v>
      </c>
      <c r="I127" s="13">
        <f>G127*H127</f>
        <v>18.0</v>
      </c>
      <c r="J127" s="20">
        <f>(3450-2*30+40*12)/1000</f>
        <v>3.87</v>
      </c>
      <c r="K127" s="21">
        <f>I127*J127</f>
        <v>69.66</v>
      </c>
      <c r="L127" s="22">
        <f>F127^2/162</f>
        <v>0.8888888888888888</v>
      </c>
      <c r="M127" s="21">
        <f>K127*L127</f>
        <v>61.919999999999995</v>
      </c>
      <c r="N127" s="22">
        <f>M127/1000</f>
        <v>0.061919999999999996</v>
      </c>
      <c r="O127" s="13" t="inlineStr">
        <is>
          <t>Elevation count / plan length</t>
        </is>
      </c>
    </row>
    <row r="128">
      <c r="A128" s="13" t="n">
        <v>123</v>
      </c>
      <c r="B128" s="13" t="inlineStr">
        <is>
          <t>Shear Walls</t>
        </is>
      </c>
      <c r="C128" s="13" t="inlineStr">
        <is>
          <t>STR-013/014</t>
        </is>
      </c>
      <c r="D128" s="13" t="inlineStr">
        <is>
          <t>Emergency stair core CW-14 Foundation to GF - vertical Y25@150 NF/FF (starters from raft)</t>
        </is>
      </c>
      <c r="E128" s="19" t="inlineStr">
        <is>
          <t>V-Y25</t>
        </is>
      </c>
      <c r="F128" s="19" t="n">
        <v>25</v>
      </c>
      <c r="G128" s="19" t="n">
        <v>1</v>
      </c>
      <c r="H128" s="19">
        <f>2*(ROUNDUP(3450/150,0)+1)</f>
        <v>48.0</v>
      </c>
      <c r="I128" s="13">
        <f>G128*H128</f>
        <v>48.0</v>
      </c>
      <c r="J128" s="20">
        <f>(1250+350+1000+40*25)/1000</f>
        <v>3.6</v>
      </c>
      <c r="K128" s="21">
        <f>I128*J128</f>
        <v>172.8</v>
      </c>
      <c r="L128" s="22">
        <f>F128^2/162</f>
        <v>3.8580246913580245</v>
      </c>
      <c r="M128" s="21">
        <f>K128*L128</f>
        <v>666.6666666666666</v>
      </c>
      <c r="N128" s="22">
        <f>M128/1000</f>
        <v>0.6666666666666666</v>
      </c>
      <c r="O128" s="13" t="inlineStr">
        <is>
          <t>Elevation / plan</t>
        </is>
      </c>
    </row>
    <row r="129">
      <c r="A129" s="13" t="n">
        <v>124</v>
      </c>
      <c r="B129" s="13" t="inlineStr">
        <is>
          <t>Shear Walls</t>
        </is>
      </c>
      <c r="C129" s="13" t="inlineStr">
        <is>
          <t>STR-013/014</t>
        </is>
      </c>
      <c r="D129" s="13" t="inlineStr">
        <is>
          <t>Emergency stair core CW-15 (L=2425mm) Foundation to GF - horizontal Y12@150 NF/FF</t>
        </is>
      </c>
      <c r="E129" s="19" t="inlineStr">
        <is>
          <t>H-Y12</t>
        </is>
      </c>
      <c r="F129" s="19" t="n">
        <v>12</v>
      </c>
      <c r="G129" s="19" t="n">
        <v>1</v>
      </c>
      <c r="H129" s="19">
        <f>2*9</f>
        <v>18.0</v>
      </c>
      <c r="I129" s="13">
        <f>G129*H129</f>
        <v>18.0</v>
      </c>
      <c r="J129" s="20">
        <f>(2425-2*30+40*12)/1000</f>
        <v>2.845</v>
      </c>
      <c r="K129" s="21">
        <f>I129*J129</f>
        <v>51.21</v>
      </c>
      <c r="L129" s="22">
        <f>F129^2/162</f>
        <v>0.8888888888888888</v>
      </c>
      <c r="M129" s="21">
        <f>K129*L129</f>
        <v>45.519999999999996</v>
      </c>
      <c r="N129" s="22">
        <f>M129/1000</f>
        <v>0.04552</v>
      </c>
      <c r="O129" s="13" t="inlineStr">
        <is>
          <t>Elevation count / plan length</t>
        </is>
      </c>
    </row>
    <row r="130">
      <c r="A130" s="13" t="n">
        <v>125</v>
      </c>
      <c r="B130" s="13" t="inlineStr">
        <is>
          <t>Shear Walls</t>
        </is>
      </c>
      <c r="C130" s="13" t="inlineStr">
        <is>
          <t>STR-013/014</t>
        </is>
      </c>
      <c r="D130" s="13" t="inlineStr">
        <is>
          <t>Emergency stair core CW-15 Foundation to GF - vertical Y25@150 NF/FF (starters from raft)</t>
        </is>
      </c>
      <c r="E130" s="19" t="inlineStr">
        <is>
          <t>V-Y25</t>
        </is>
      </c>
      <c r="F130" s="19" t="n">
        <v>25</v>
      </c>
      <c r="G130" s="19" t="n">
        <v>1</v>
      </c>
      <c r="H130" s="19">
        <f>2*(ROUNDUP(2425/150,0)+1)</f>
        <v>36.0</v>
      </c>
      <c r="I130" s="13">
        <f>G130*H130</f>
        <v>36.0</v>
      </c>
      <c r="J130" s="20">
        <f>(1250+350+1000+40*25)/1000</f>
        <v>3.6</v>
      </c>
      <c r="K130" s="21">
        <f>I130*J130</f>
        <v>129.6</v>
      </c>
      <c r="L130" s="22">
        <f>F130^2/162</f>
        <v>3.8580246913580245</v>
      </c>
      <c r="M130" s="21">
        <f>K130*L130</f>
        <v>499.99999999999994</v>
      </c>
      <c r="N130" s="22">
        <f>M130/1000</f>
        <v>0.49999999999999994</v>
      </c>
      <c r="O130" s="13" t="inlineStr">
        <is>
          <t>Elevation / plan</t>
        </is>
      </c>
    </row>
    <row r="131">
      <c r="A131" s="13" t="n">
        <v>126</v>
      </c>
      <c r="B131" s="13" t="inlineStr">
        <is>
          <t>Shear Walls</t>
        </is>
      </c>
      <c r="C131" s="13" t="inlineStr">
        <is>
          <t>STR-013/014</t>
        </is>
      </c>
      <c r="D131" s="13" t="inlineStr">
        <is>
          <t>Emergency stair core CW-16 (L=775mm) Foundation to GF - horizontal Y12@150 NF/FF</t>
        </is>
      </c>
      <c r="E131" s="19" t="inlineStr">
        <is>
          <t>H-Y12</t>
        </is>
      </c>
      <c r="F131" s="19" t="n">
        <v>12</v>
      </c>
      <c r="G131" s="19" t="n">
        <v>1</v>
      </c>
      <c r="H131" s="19">
        <f>2*9</f>
        <v>18.0</v>
      </c>
      <c r="I131" s="13">
        <f>G131*H131</f>
        <v>18.0</v>
      </c>
      <c r="J131" s="20">
        <f>(775-2*30+40*12)/1000</f>
        <v>1.195</v>
      </c>
      <c r="K131" s="21">
        <f>I131*J131</f>
        <v>21.51</v>
      </c>
      <c r="L131" s="22">
        <f>F131^2/162</f>
        <v>0.8888888888888888</v>
      </c>
      <c r="M131" s="21">
        <f>K131*L131</f>
        <v>19.12</v>
      </c>
      <c r="N131" s="22">
        <f>M131/1000</f>
        <v>0.01912</v>
      </c>
      <c r="O131" s="13" t="inlineStr">
        <is>
          <t>Elevation count / plan length</t>
        </is>
      </c>
    </row>
    <row r="132">
      <c r="A132" s="13" t="n">
        <v>127</v>
      </c>
      <c r="B132" s="13" t="inlineStr">
        <is>
          <t>Shear Walls</t>
        </is>
      </c>
      <c r="C132" s="13" t="inlineStr">
        <is>
          <t>STR-013/014</t>
        </is>
      </c>
      <c r="D132" s="13" t="inlineStr">
        <is>
          <t>Emergency stair core CW-16 Foundation to GF - vertical Y25@150 NF/FF (starters from raft)</t>
        </is>
      </c>
      <c r="E132" s="19" t="inlineStr">
        <is>
          <t>V-Y25</t>
        </is>
      </c>
      <c r="F132" s="19" t="n">
        <v>25</v>
      </c>
      <c r="G132" s="19" t="n">
        <v>1</v>
      </c>
      <c r="H132" s="19">
        <f>2*(ROUNDUP(775/150,0)+1)</f>
        <v>14.0</v>
      </c>
      <c r="I132" s="13">
        <f>G132*H132</f>
        <v>14.0</v>
      </c>
      <c r="J132" s="20">
        <f>(1250+350+1000+40*25)/1000</f>
        <v>3.6</v>
      </c>
      <c r="K132" s="21">
        <f>I132*J132</f>
        <v>50.4</v>
      </c>
      <c r="L132" s="22">
        <f>F132^2/162</f>
        <v>3.8580246913580245</v>
      </c>
      <c r="M132" s="21">
        <f>K132*L132</f>
        <v>194.44444444444443</v>
      </c>
      <c r="N132" s="22">
        <f>M132/1000</f>
        <v>0.19444444444444442</v>
      </c>
      <c r="O132" s="13" t="inlineStr">
        <is>
          <t>Elevation / plan</t>
        </is>
      </c>
    </row>
    <row r="133">
      <c r="A133" s="13" t="n">
        <v>128</v>
      </c>
      <c r="B133" s="13" t="inlineStr">
        <is>
          <t>Shear Walls</t>
        </is>
      </c>
      <c r="C133" s="13" t="inlineStr">
        <is>
          <t>STR-013/014</t>
        </is>
      </c>
      <c r="D133" s="13" t="inlineStr">
        <is>
          <t>Emergency stair core CW-17 (L=360mm) Foundation to GF - horizontal Y12@150 NF/FF</t>
        </is>
      </c>
      <c r="E133" s="19" t="inlineStr">
        <is>
          <t>H-Y12</t>
        </is>
      </c>
      <c r="F133" s="19" t="n">
        <v>12</v>
      </c>
      <c r="G133" s="19" t="n">
        <v>1</v>
      </c>
      <c r="H133" s="19">
        <f>2*9</f>
        <v>18.0</v>
      </c>
      <c r="I133" s="13">
        <f>G133*H133</f>
        <v>18.0</v>
      </c>
      <c r="J133" s="20">
        <f>(360-2*30+40*12)/1000</f>
        <v>0.78</v>
      </c>
      <c r="K133" s="21">
        <f>I133*J133</f>
        <v>14.040000000000001</v>
      </c>
      <c r="L133" s="22">
        <f>F133^2/162</f>
        <v>0.8888888888888888</v>
      </c>
      <c r="M133" s="21">
        <f>K133*L133</f>
        <v>12.48</v>
      </c>
      <c r="N133" s="22">
        <f>M133/1000</f>
        <v>0.01248</v>
      </c>
      <c r="O133" s="13" t="inlineStr">
        <is>
          <t>Elevation count / plan length</t>
        </is>
      </c>
    </row>
    <row r="134">
      <c r="A134" s="13" t="n">
        <v>129</v>
      </c>
      <c r="B134" s="13" t="inlineStr">
        <is>
          <t>Shear Walls</t>
        </is>
      </c>
      <c r="C134" s="13" t="inlineStr">
        <is>
          <t>STR-013/014</t>
        </is>
      </c>
      <c r="D134" s="13" t="inlineStr">
        <is>
          <t>Emergency stair core CW-17 Foundation to GF - vertical Y25@150 NF/FF (starters from raft)</t>
        </is>
      </c>
      <c r="E134" s="19" t="inlineStr">
        <is>
          <t>V-Y25</t>
        </is>
      </c>
      <c r="F134" s="19" t="n">
        <v>25</v>
      </c>
      <c r="G134" s="19" t="n">
        <v>1</v>
      </c>
      <c r="H134" s="19">
        <f>2*(ROUNDUP(360/150,0)+1)</f>
        <v>8.0</v>
      </c>
      <c r="I134" s="13">
        <f>G134*H134</f>
        <v>8.0</v>
      </c>
      <c r="J134" s="20">
        <f>(1250+350+1000+40*25)/1000</f>
        <v>3.6</v>
      </c>
      <c r="K134" s="21">
        <f>I134*J134</f>
        <v>28.8</v>
      </c>
      <c r="L134" s="22">
        <f>F134^2/162</f>
        <v>3.8580246913580245</v>
      </c>
      <c r="M134" s="21">
        <f>K134*L134</f>
        <v>111.11111111111111</v>
      </c>
      <c r="N134" s="22">
        <f>M134/1000</f>
        <v>0.11111111111111112</v>
      </c>
      <c r="O134" s="13" t="inlineStr">
        <is>
          <t>Elevation / plan</t>
        </is>
      </c>
    </row>
    <row r="135">
      <c r="A135" s="13" t="n">
        <v>130</v>
      </c>
      <c r="B135" s="13" t="inlineStr">
        <is>
          <t>Shear Walls</t>
        </is>
      </c>
      <c r="C135" s="13" t="inlineStr">
        <is>
          <t>STR-013/014</t>
        </is>
      </c>
      <c r="D135" s="13" t="inlineStr">
        <is>
          <t>Emergency stair core CW-18 (L=1300mm) Foundation to GF - horizontal Y12@150 NF/FF</t>
        </is>
      </c>
      <c r="E135" s="19" t="inlineStr">
        <is>
          <t>H-Y12</t>
        </is>
      </c>
      <c r="F135" s="19" t="n">
        <v>12</v>
      </c>
      <c r="G135" s="19" t="n">
        <v>1</v>
      </c>
      <c r="H135" s="19">
        <f>2*9</f>
        <v>18.0</v>
      </c>
      <c r="I135" s="13">
        <f>G135*H135</f>
        <v>18.0</v>
      </c>
      <c r="J135" s="20">
        <f>(1300-2*30+40*12)/1000</f>
        <v>1.72</v>
      </c>
      <c r="K135" s="21">
        <f>I135*J135</f>
        <v>30.96</v>
      </c>
      <c r="L135" s="22">
        <f>F135^2/162</f>
        <v>0.8888888888888888</v>
      </c>
      <c r="M135" s="21">
        <f>K135*L135</f>
        <v>27.52</v>
      </c>
      <c r="N135" s="22">
        <f>M135/1000</f>
        <v>0.02752</v>
      </c>
      <c r="O135" s="13" t="inlineStr">
        <is>
          <t>Elevation count / plan length</t>
        </is>
      </c>
    </row>
    <row r="136">
      <c r="A136" s="13" t="n">
        <v>131</v>
      </c>
      <c r="B136" s="13" t="inlineStr">
        <is>
          <t>Shear Walls</t>
        </is>
      </c>
      <c r="C136" s="13" t="inlineStr">
        <is>
          <t>STR-013/014</t>
        </is>
      </c>
      <c r="D136" s="13" t="inlineStr">
        <is>
          <t>Emergency stair core CW-18 Foundation to GF - vertical Y25@150 NF/FF (starters from raft)</t>
        </is>
      </c>
      <c r="E136" s="19" t="inlineStr">
        <is>
          <t>V-Y25</t>
        </is>
      </c>
      <c r="F136" s="19" t="n">
        <v>25</v>
      </c>
      <c r="G136" s="19" t="n">
        <v>1</v>
      </c>
      <c r="H136" s="19">
        <f>2*(ROUNDUP(1300/150,0)+1)</f>
        <v>20.0</v>
      </c>
      <c r="I136" s="13">
        <f>G136*H136</f>
        <v>20.0</v>
      </c>
      <c r="J136" s="20">
        <f>(1250+350+1000+40*25)/1000</f>
        <v>3.6</v>
      </c>
      <c r="K136" s="21">
        <f>I136*J136</f>
        <v>72.0</v>
      </c>
      <c r="L136" s="22">
        <f>F136^2/162</f>
        <v>3.8580246913580245</v>
      </c>
      <c r="M136" s="21">
        <f>K136*L136</f>
        <v>277.77777777777777</v>
      </c>
      <c r="N136" s="22">
        <f>M136/1000</f>
        <v>0.2777777777777778</v>
      </c>
      <c r="O136" s="13" t="inlineStr">
        <is>
          <t>Elevation / plan</t>
        </is>
      </c>
    </row>
    <row r="137">
      <c r="A137" s="13" t="n">
        <v>132</v>
      </c>
      <c r="B137" s="13" t="inlineStr">
        <is>
          <t>Shear Walls</t>
        </is>
      </c>
      <c r="C137" s="13" t="inlineStr">
        <is>
          <t>STR-013/014</t>
        </is>
      </c>
      <c r="D137" s="13" t="inlineStr">
        <is>
          <t>Emergency stair core CW-19 (L=1100mm) Foundation to GF - horizontal Y12@150 NF/FF</t>
        </is>
      </c>
      <c r="E137" s="19" t="inlineStr">
        <is>
          <t>H-Y12</t>
        </is>
      </c>
      <c r="F137" s="19" t="n">
        <v>12</v>
      </c>
      <c r="G137" s="19" t="n">
        <v>1</v>
      </c>
      <c r="H137" s="19">
        <f>2*9</f>
        <v>18.0</v>
      </c>
      <c r="I137" s="13">
        <f>G137*H137</f>
        <v>18.0</v>
      </c>
      <c r="J137" s="20">
        <f>(1100-2*30+40*12)/1000</f>
        <v>1.52</v>
      </c>
      <c r="K137" s="21">
        <f>I137*J137</f>
        <v>27.36</v>
      </c>
      <c r="L137" s="22">
        <f>F137^2/162</f>
        <v>0.8888888888888888</v>
      </c>
      <c r="M137" s="21">
        <f>K137*L137</f>
        <v>24.319999999999997</v>
      </c>
      <c r="N137" s="22">
        <f>M137/1000</f>
        <v>0.024319999999999998</v>
      </c>
      <c r="O137" s="13" t="inlineStr">
        <is>
          <t>Elevation count / plan length</t>
        </is>
      </c>
    </row>
    <row r="138">
      <c r="A138" s="13" t="n">
        <v>133</v>
      </c>
      <c r="B138" s="13" t="inlineStr">
        <is>
          <t>Shear Walls</t>
        </is>
      </c>
      <c r="C138" s="13" t="inlineStr">
        <is>
          <t>STR-013/014</t>
        </is>
      </c>
      <c r="D138" s="13" t="inlineStr">
        <is>
          <t>Emergency stair core CW-19 Foundation to GF - vertical Y25@150 NF/FF (starters from raft)</t>
        </is>
      </c>
      <c r="E138" s="19" t="inlineStr">
        <is>
          <t>V-Y25</t>
        </is>
      </c>
      <c r="F138" s="19" t="n">
        <v>25</v>
      </c>
      <c r="G138" s="19" t="n">
        <v>1</v>
      </c>
      <c r="H138" s="19">
        <f>2*(ROUNDUP(1100/150,0)+1)</f>
        <v>18.0</v>
      </c>
      <c r="I138" s="13">
        <f>G138*H138</f>
        <v>18.0</v>
      </c>
      <c r="J138" s="20">
        <f>(1250+350+1000+40*25)/1000</f>
        <v>3.6</v>
      </c>
      <c r="K138" s="21">
        <f>I138*J138</f>
        <v>64.8</v>
      </c>
      <c r="L138" s="22">
        <f>F138^2/162</f>
        <v>3.8580246913580245</v>
      </c>
      <c r="M138" s="21">
        <f>K138*L138</f>
        <v>249.99999999999997</v>
      </c>
      <c r="N138" s="22">
        <f>M138/1000</f>
        <v>0.24999999999999997</v>
      </c>
      <c r="O138" s="13" t="inlineStr">
        <is>
          <t>Elevation / plan</t>
        </is>
      </c>
    </row>
    <row r="139">
      <c r="A139" s="13" t="n">
        <v>134</v>
      </c>
      <c r="B139" s="13" t="inlineStr">
        <is>
          <t>Shear Walls</t>
        </is>
      </c>
      <c r="C139" s="13" t="inlineStr">
        <is>
          <t>STR-013/014</t>
        </is>
      </c>
      <c r="D139" s="13" t="inlineStr">
        <is>
          <t>Emergency stair core CW-20 (L=1300mm) Foundation to GF - horizontal Y12@150 NF/FF</t>
        </is>
      </c>
      <c r="E139" s="19" t="inlineStr">
        <is>
          <t>H-Y12</t>
        </is>
      </c>
      <c r="F139" s="19" t="n">
        <v>12</v>
      </c>
      <c r="G139" s="19" t="n">
        <v>1</v>
      </c>
      <c r="H139" s="19">
        <f>2*9</f>
        <v>18.0</v>
      </c>
      <c r="I139" s="13">
        <f>G139*H139</f>
        <v>18.0</v>
      </c>
      <c r="J139" s="20">
        <f>(1300-2*30+40*12)/1000</f>
        <v>1.72</v>
      </c>
      <c r="K139" s="21">
        <f>I139*J139</f>
        <v>30.96</v>
      </c>
      <c r="L139" s="22">
        <f>F139^2/162</f>
        <v>0.8888888888888888</v>
      </c>
      <c r="M139" s="21">
        <f>K139*L139</f>
        <v>27.52</v>
      </c>
      <c r="N139" s="22">
        <f>M139/1000</f>
        <v>0.02752</v>
      </c>
      <c r="O139" s="13" t="inlineStr">
        <is>
          <t>Elevation count / plan length</t>
        </is>
      </c>
    </row>
    <row r="140">
      <c r="A140" s="13" t="n">
        <v>135</v>
      </c>
      <c r="B140" s="13" t="inlineStr">
        <is>
          <t>Shear Walls</t>
        </is>
      </c>
      <c r="C140" s="13" t="inlineStr">
        <is>
          <t>STR-013/014</t>
        </is>
      </c>
      <c r="D140" s="13" t="inlineStr">
        <is>
          <t>Emergency stair core CW-20 Foundation to GF - vertical Y25@150 NF/FF (starters from raft)</t>
        </is>
      </c>
      <c r="E140" s="19" t="inlineStr">
        <is>
          <t>V-Y25</t>
        </is>
      </c>
      <c r="F140" s="19" t="n">
        <v>25</v>
      </c>
      <c r="G140" s="19" t="n">
        <v>1</v>
      </c>
      <c r="H140" s="19">
        <f>2*(ROUNDUP(1300/150,0)+1)</f>
        <v>20.0</v>
      </c>
      <c r="I140" s="13">
        <f>G140*H140</f>
        <v>20.0</v>
      </c>
      <c r="J140" s="20">
        <f>(1250+350+1000+40*25)/1000</f>
        <v>3.6</v>
      </c>
      <c r="K140" s="21">
        <f>I140*J140</f>
        <v>72.0</v>
      </c>
      <c r="L140" s="22">
        <f>F140^2/162</f>
        <v>3.8580246913580245</v>
      </c>
      <c r="M140" s="21">
        <f>K140*L140</f>
        <v>277.77777777777777</v>
      </c>
      <c r="N140" s="22">
        <f>M140/1000</f>
        <v>0.2777777777777778</v>
      </c>
      <c r="O140" s="13" t="inlineStr">
        <is>
          <t>Elevation / plan</t>
        </is>
      </c>
    </row>
    <row r="141">
      <c r="A141" s="13" t="n">
        <v>136</v>
      </c>
      <c r="B141" s="13" t="inlineStr">
        <is>
          <t>Shear Walls</t>
        </is>
      </c>
      <c r="C141" s="13" t="inlineStr">
        <is>
          <t>STR-013/014</t>
        </is>
      </c>
      <c r="D141" s="13" t="inlineStr">
        <is>
          <t>Emergency stair core confinement links Y10@150 (33 positions on plan) Foundation to GF</t>
        </is>
      </c>
      <c r="E141" s="19" t="inlineStr">
        <is>
          <t>LNK-Y10</t>
        </is>
      </c>
      <c r="F141" s="19" t="n">
        <v>10</v>
      </c>
      <c r="G141" s="19" t="n">
        <v>1</v>
      </c>
      <c r="H141" s="19">
        <f>33*ROUNDUP(1000/150,0)</f>
        <v>231.0</v>
      </c>
      <c r="I141" s="13">
        <f>G141*H141</f>
        <v>231.0</v>
      </c>
      <c r="J141" s="20">
        <f>1800/1000</f>
        <v>1.8</v>
      </c>
      <c r="K141" s="21">
        <f>I141*J141</f>
        <v>415.8</v>
      </c>
      <c r="L141" s="22">
        <f>F141^2/162</f>
        <v>0.6172839506172839</v>
      </c>
      <c r="M141" s="21">
        <f>K141*L141</f>
        <v>256.6666666666667</v>
      </c>
      <c r="N141" s="22">
        <f>M141/1000</f>
        <v>0.2566666666666667</v>
      </c>
      <c r="O141" s="13" t="inlineStr">
        <is>
          <t>Assumed link cut length</t>
        </is>
      </c>
    </row>
    <row r="142">
      <c r="A142" s="13" t="n">
        <v>137</v>
      </c>
      <c r="B142" s="13" t="inlineStr">
        <is>
          <t>Lift Walls</t>
        </is>
      </c>
      <c r="C142" s="13" t="inlineStr">
        <is>
          <t>STR-015/017</t>
        </is>
      </c>
      <c r="D142" s="13" t="inlineStr">
        <is>
          <t>Main core (lift shafts) CW-02 (L=3600mm) Foundation to GF - horizontal Y12@150 NF/FF</t>
        </is>
      </c>
      <c r="E142" s="19" t="inlineStr">
        <is>
          <t>H-Y12</t>
        </is>
      </c>
      <c r="F142" s="19" t="n">
        <v>12</v>
      </c>
      <c r="G142" s="19" t="n">
        <v>1</v>
      </c>
      <c r="H142" s="19">
        <f>2*9</f>
        <v>18.0</v>
      </c>
      <c r="I142" s="13">
        <f>G142*H142</f>
        <v>18.0</v>
      </c>
      <c r="J142" s="20">
        <f>(3600-2*30+40*12)/1000</f>
        <v>4.02</v>
      </c>
      <c r="K142" s="21">
        <f>I142*J142</f>
        <v>72.35999999999999</v>
      </c>
      <c r="L142" s="22">
        <f>F142^2/162</f>
        <v>0.8888888888888888</v>
      </c>
      <c r="M142" s="21">
        <f>K142*L142</f>
        <v>64.31999999999998</v>
      </c>
      <c r="N142" s="22">
        <f>M142/1000</f>
        <v>0.06431999999999997</v>
      </c>
      <c r="O142" s="13" t="inlineStr">
        <is>
          <t>Elevation count / plan length</t>
        </is>
      </c>
    </row>
    <row r="143">
      <c r="A143" s="13" t="n">
        <v>138</v>
      </c>
      <c r="B143" s="13" t="inlineStr">
        <is>
          <t>Lift Walls</t>
        </is>
      </c>
      <c r="C143" s="13" t="inlineStr">
        <is>
          <t>STR-015/017</t>
        </is>
      </c>
      <c r="D143" s="13" t="inlineStr">
        <is>
          <t>Main core (lift shafts) CW-02 Foundation to GF - vertical Y25@150 NF/FF (starters from raft)</t>
        </is>
      </c>
      <c r="E143" s="19" t="inlineStr">
        <is>
          <t>V-Y25</t>
        </is>
      </c>
      <c r="F143" s="19" t="n">
        <v>25</v>
      </c>
      <c r="G143" s="19" t="n">
        <v>1</v>
      </c>
      <c r="H143" s="19">
        <f>2*29</f>
        <v>58.0</v>
      </c>
      <c r="I143" s="13">
        <f>G143*H143</f>
        <v>58.0</v>
      </c>
      <c r="J143" s="20">
        <f>(1250+350+1300+40*25)/1000</f>
        <v>3.9</v>
      </c>
      <c r="K143" s="21">
        <f>I143*J143</f>
        <v>226.2</v>
      </c>
      <c r="L143" s="22">
        <f>F143^2/162</f>
        <v>3.8580246913580245</v>
      </c>
      <c r="M143" s="21">
        <f>K143*L143</f>
        <v>872.6851851851851</v>
      </c>
      <c r="N143" s="22">
        <f>M143/1000</f>
        <v>0.8726851851851851</v>
      </c>
      <c r="O143" s="13" t="inlineStr">
        <is>
          <t>Elevation / plan</t>
        </is>
      </c>
    </row>
    <row r="144">
      <c r="A144" s="13" t="n">
        <v>139</v>
      </c>
      <c r="B144" s="13" t="inlineStr">
        <is>
          <t>Lift Walls</t>
        </is>
      </c>
      <c r="C144" s="13" t="inlineStr">
        <is>
          <t>STR-015/017</t>
        </is>
      </c>
      <c r="D144" s="13" t="inlineStr">
        <is>
          <t>Main core (lift shafts) CW-03 (L=3600mm) Foundation to GF - horizontal Y12@150 NF/FF</t>
        </is>
      </c>
      <c r="E144" s="19" t="inlineStr">
        <is>
          <t>H-Y12</t>
        </is>
      </c>
      <c r="F144" s="19" t="n">
        <v>12</v>
      </c>
      <c r="G144" s="19" t="n">
        <v>1</v>
      </c>
      <c r="H144" s="19">
        <f>2*9</f>
        <v>18.0</v>
      </c>
      <c r="I144" s="13">
        <f>G144*H144</f>
        <v>18.0</v>
      </c>
      <c r="J144" s="20">
        <f>(3600-2*30+40*12)/1000</f>
        <v>4.02</v>
      </c>
      <c r="K144" s="21">
        <f>I144*J144</f>
        <v>72.35999999999999</v>
      </c>
      <c r="L144" s="22">
        <f>F144^2/162</f>
        <v>0.8888888888888888</v>
      </c>
      <c r="M144" s="21">
        <f>K144*L144</f>
        <v>64.31999999999998</v>
      </c>
      <c r="N144" s="22">
        <f>M144/1000</f>
        <v>0.06431999999999997</v>
      </c>
      <c r="O144" s="13" t="inlineStr">
        <is>
          <t>Elevation count / plan length</t>
        </is>
      </c>
    </row>
    <row r="145">
      <c r="A145" s="13" t="n">
        <v>140</v>
      </c>
      <c r="B145" s="13" t="inlineStr">
        <is>
          <t>Lift Walls</t>
        </is>
      </c>
      <c r="C145" s="13" t="inlineStr">
        <is>
          <t>STR-015/017</t>
        </is>
      </c>
      <c r="D145" s="13" t="inlineStr">
        <is>
          <t>Main core (lift shafts) CW-03 Foundation to GF - vertical Y25@150 NF/FF (starters from raft)</t>
        </is>
      </c>
      <c r="E145" s="19" t="inlineStr">
        <is>
          <t>V-Y25</t>
        </is>
      </c>
      <c r="F145" s="19" t="n">
        <v>25</v>
      </c>
      <c r="G145" s="19" t="n">
        <v>1</v>
      </c>
      <c r="H145" s="19">
        <f>2*29</f>
        <v>58.0</v>
      </c>
      <c r="I145" s="13">
        <f>G145*H145</f>
        <v>58.0</v>
      </c>
      <c r="J145" s="20">
        <f>(1250+350+1300+40*25)/1000</f>
        <v>3.9</v>
      </c>
      <c r="K145" s="21">
        <f>I145*J145</f>
        <v>226.2</v>
      </c>
      <c r="L145" s="22">
        <f>F145^2/162</f>
        <v>3.8580246913580245</v>
      </c>
      <c r="M145" s="21">
        <f>K145*L145</f>
        <v>872.6851851851851</v>
      </c>
      <c r="N145" s="22">
        <f>M145/1000</f>
        <v>0.8726851851851851</v>
      </c>
      <c r="O145" s="13" t="inlineStr">
        <is>
          <t>Elevation / plan</t>
        </is>
      </c>
    </row>
    <row r="146">
      <c r="A146" s="13" t="n">
        <v>141</v>
      </c>
      <c r="B146" s="13" t="inlineStr">
        <is>
          <t>Lift Walls</t>
        </is>
      </c>
      <c r="C146" s="13" t="inlineStr">
        <is>
          <t>STR-015/017</t>
        </is>
      </c>
      <c r="D146" s="13" t="inlineStr">
        <is>
          <t>Main core (lift shafts) CW-04 (L=3600mm) Foundation to GF - horizontal Y12@150 NF/FF</t>
        </is>
      </c>
      <c r="E146" s="19" t="inlineStr">
        <is>
          <t>H-Y12</t>
        </is>
      </c>
      <c r="F146" s="19" t="n">
        <v>12</v>
      </c>
      <c r="G146" s="19" t="n">
        <v>1</v>
      </c>
      <c r="H146" s="19">
        <f>2*9</f>
        <v>18.0</v>
      </c>
      <c r="I146" s="13">
        <f>G146*H146</f>
        <v>18.0</v>
      </c>
      <c r="J146" s="20">
        <f>(3600-2*30+40*12)/1000</f>
        <v>4.02</v>
      </c>
      <c r="K146" s="21">
        <f>I146*J146</f>
        <v>72.35999999999999</v>
      </c>
      <c r="L146" s="22">
        <f>F146^2/162</f>
        <v>0.8888888888888888</v>
      </c>
      <c r="M146" s="21">
        <f>K146*L146</f>
        <v>64.31999999999998</v>
      </c>
      <c r="N146" s="22">
        <f>M146/1000</f>
        <v>0.06431999999999997</v>
      </c>
      <c r="O146" s="13" t="inlineStr">
        <is>
          <t>Elevation count / plan length</t>
        </is>
      </c>
    </row>
    <row r="147">
      <c r="A147" s="13" t="n">
        <v>142</v>
      </c>
      <c r="B147" s="13" t="inlineStr">
        <is>
          <t>Lift Walls</t>
        </is>
      </c>
      <c r="C147" s="13" t="inlineStr">
        <is>
          <t>STR-015/017</t>
        </is>
      </c>
      <c r="D147" s="13" t="inlineStr">
        <is>
          <t>Main core (lift shafts) CW-04 Foundation to GF - vertical Y25@150 NF/FF (starters from raft)</t>
        </is>
      </c>
      <c r="E147" s="19" t="inlineStr">
        <is>
          <t>V-Y25</t>
        </is>
      </c>
      <c r="F147" s="19" t="n">
        <v>25</v>
      </c>
      <c r="G147" s="19" t="n">
        <v>1</v>
      </c>
      <c r="H147" s="19">
        <f>2*29</f>
        <v>58.0</v>
      </c>
      <c r="I147" s="13">
        <f>G147*H147</f>
        <v>58.0</v>
      </c>
      <c r="J147" s="20">
        <f>(1250+350+1300+40*25)/1000</f>
        <v>3.9</v>
      </c>
      <c r="K147" s="21">
        <f>I147*J147</f>
        <v>226.2</v>
      </c>
      <c r="L147" s="22">
        <f>F147^2/162</f>
        <v>3.8580246913580245</v>
      </c>
      <c r="M147" s="21">
        <f>K147*L147</f>
        <v>872.6851851851851</v>
      </c>
      <c r="N147" s="22">
        <f>M147/1000</f>
        <v>0.8726851851851851</v>
      </c>
      <c r="O147" s="13" t="inlineStr">
        <is>
          <t>Elevation / plan</t>
        </is>
      </c>
    </row>
    <row r="148">
      <c r="A148" s="13" t="n">
        <v>143</v>
      </c>
      <c r="B148" s="13" t="inlineStr">
        <is>
          <t>Lift Walls</t>
        </is>
      </c>
      <c r="C148" s="13" t="inlineStr">
        <is>
          <t>STR-015/017</t>
        </is>
      </c>
      <c r="D148" s="13" t="inlineStr">
        <is>
          <t>Main core (lift shafts) CW-06 (L=2025mm) Foundation to GF - horizontal Y12@150 NF/FF</t>
        </is>
      </c>
      <c r="E148" s="19" t="inlineStr">
        <is>
          <t>H-Y12</t>
        </is>
      </c>
      <c r="F148" s="19" t="n">
        <v>12</v>
      </c>
      <c r="G148" s="19" t="n">
        <v>1</v>
      </c>
      <c r="H148" s="19">
        <f>2*9</f>
        <v>18.0</v>
      </c>
      <c r="I148" s="13">
        <f>G148*H148</f>
        <v>18.0</v>
      </c>
      <c r="J148" s="20">
        <f>(2025-2*30+40*12)/1000</f>
        <v>2.445</v>
      </c>
      <c r="K148" s="21">
        <f>I148*J148</f>
        <v>44.01</v>
      </c>
      <c r="L148" s="22">
        <f>F148^2/162</f>
        <v>0.8888888888888888</v>
      </c>
      <c r="M148" s="21">
        <f>K148*L148</f>
        <v>39.12</v>
      </c>
      <c r="N148" s="22">
        <f>M148/1000</f>
        <v>0.039119999999999995</v>
      </c>
      <c r="O148" s="13" t="inlineStr">
        <is>
          <t>Elevation count / plan length</t>
        </is>
      </c>
    </row>
    <row r="149">
      <c r="A149" s="13" t="n">
        <v>144</v>
      </c>
      <c r="B149" s="13" t="inlineStr">
        <is>
          <t>Lift Walls</t>
        </is>
      </c>
      <c r="C149" s="13" t="inlineStr">
        <is>
          <t>STR-015/017</t>
        </is>
      </c>
      <c r="D149" s="13" t="inlineStr">
        <is>
          <t>Main core (lift shafts) CW-06 Foundation to GF - vertical Y25@150 NF/FF (starters from raft)</t>
        </is>
      </c>
      <c r="E149" s="19" t="inlineStr">
        <is>
          <t>V-Y25</t>
        </is>
      </c>
      <c r="F149" s="19" t="n">
        <v>25</v>
      </c>
      <c r="G149" s="19" t="n">
        <v>1</v>
      </c>
      <c r="H149" s="19">
        <f>2*(ROUNDUP(2025/150,0)+1)</f>
        <v>30.0</v>
      </c>
      <c r="I149" s="13">
        <f>G149*H149</f>
        <v>30.0</v>
      </c>
      <c r="J149" s="20">
        <f>(1250+350+1300+40*25)/1000</f>
        <v>3.9</v>
      </c>
      <c r="K149" s="21">
        <f>I149*J149</f>
        <v>117.0</v>
      </c>
      <c r="L149" s="22">
        <f>F149^2/162</f>
        <v>3.8580246913580245</v>
      </c>
      <c r="M149" s="21">
        <f>K149*L149</f>
        <v>451.38888888888886</v>
      </c>
      <c r="N149" s="22">
        <f>M149/1000</f>
        <v>0.45138888888888884</v>
      </c>
      <c r="O149" s="13" t="inlineStr">
        <is>
          <t>Elevation / plan</t>
        </is>
      </c>
    </row>
    <row r="150">
      <c r="A150" s="13" t="n">
        <v>145</v>
      </c>
      <c r="B150" s="13" t="inlineStr">
        <is>
          <t>Lift Walls</t>
        </is>
      </c>
      <c r="C150" s="13" t="inlineStr">
        <is>
          <t>STR-015/017</t>
        </is>
      </c>
      <c r="D150" s="13" t="inlineStr">
        <is>
          <t>Main core (lift shafts) CW-08 (L=4500mm) Foundation to GF - horizontal Y12@150 NF/FF</t>
        </is>
      </c>
      <c r="E150" s="19" t="inlineStr">
        <is>
          <t>H-Y12</t>
        </is>
      </c>
      <c r="F150" s="19" t="n">
        <v>12</v>
      </c>
      <c r="G150" s="19" t="n">
        <v>1</v>
      </c>
      <c r="H150" s="19">
        <f>2*9</f>
        <v>18.0</v>
      </c>
      <c r="I150" s="13">
        <f>G150*H150</f>
        <v>18.0</v>
      </c>
      <c r="J150" s="20">
        <f>(4500-2*30+40*12)/1000</f>
        <v>4.92</v>
      </c>
      <c r="K150" s="21">
        <f>I150*J150</f>
        <v>88.56</v>
      </c>
      <c r="L150" s="22">
        <f>F150^2/162</f>
        <v>0.8888888888888888</v>
      </c>
      <c r="M150" s="21">
        <f>K150*L150</f>
        <v>78.72</v>
      </c>
      <c r="N150" s="22">
        <f>M150/1000</f>
        <v>0.07872</v>
      </c>
      <c r="O150" s="13" t="inlineStr">
        <is>
          <t>Elevation count / plan length</t>
        </is>
      </c>
    </row>
    <row r="151">
      <c r="A151" s="13" t="n">
        <v>146</v>
      </c>
      <c r="B151" s="13" t="inlineStr">
        <is>
          <t>Lift Walls</t>
        </is>
      </c>
      <c r="C151" s="13" t="inlineStr">
        <is>
          <t>STR-015/017</t>
        </is>
      </c>
      <c r="D151" s="13" t="inlineStr">
        <is>
          <t>Main core (lift shafts) CW-08 Foundation to GF - vertical Y25@150 NF/FF (starters from raft)</t>
        </is>
      </c>
      <c r="E151" s="19" t="inlineStr">
        <is>
          <t>V-Y25</t>
        </is>
      </c>
      <c r="F151" s="19" t="n">
        <v>25</v>
      </c>
      <c r="G151" s="19" t="n">
        <v>1</v>
      </c>
      <c r="H151" s="19">
        <f>2*(ROUNDUP(4500/150,0)+1)</f>
        <v>62.0</v>
      </c>
      <c r="I151" s="13">
        <f>G151*H151</f>
        <v>62.0</v>
      </c>
      <c r="J151" s="20">
        <f>(1250+350+1300+40*25)/1000</f>
        <v>3.9</v>
      </c>
      <c r="K151" s="21">
        <f>I151*J151</f>
        <v>241.79999999999998</v>
      </c>
      <c r="L151" s="22">
        <f>F151^2/162</f>
        <v>3.8580246913580245</v>
      </c>
      <c r="M151" s="21">
        <f>K151*L151</f>
        <v>932.8703703703702</v>
      </c>
      <c r="N151" s="22">
        <f>M151/1000</f>
        <v>0.9328703703703702</v>
      </c>
      <c r="O151" s="13" t="inlineStr">
        <is>
          <t>Elevation / plan</t>
        </is>
      </c>
    </row>
    <row r="152">
      <c r="A152" s="13" t="n">
        <v>147</v>
      </c>
      <c r="B152" s="13" t="inlineStr">
        <is>
          <t>Lift Walls</t>
        </is>
      </c>
      <c r="C152" s="13" t="inlineStr">
        <is>
          <t>STR-015/017</t>
        </is>
      </c>
      <c r="D152" s="13" t="inlineStr">
        <is>
          <t>Main core (lift shafts) CW-07 (lift section) (L=4500mm) Foundation to GF - horizontal Y12@150 NF/FF</t>
        </is>
      </c>
      <c r="E152" s="19" t="inlineStr">
        <is>
          <t>H-Y12</t>
        </is>
      </c>
      <c r="F152" s="19" t="n">
        <v>12</v>
      </c>
      <c r="G152" s="19" t="n">
        <v>1</v>
      </c>
      <c r="H152" s="19">
        <f>2*9</f>
        <v>18.0</v>
      </c>
      <c r="I152" s="13">
        <f>G152*H152</f>
        <v>18.0</v>
      </c>
      <c r="J152" s="20">
        <f>(4500-2*30+40*12)/1000</f>
        <v>4.92</v>
      </c>
      <c r="K152" s="21">
        <f>I152*J152</f>
        <v>88.56</v>
      </c>
      <c r="L152" s="22">
        <f>F152^2/162</f>
        <v>0.8888888888888888</v>
      </c>
      <c r="M152" s="21">
        <f>K152*L152</f>
        <v>78.72</v>
      </c>
      <c r="N152" s="22">
        <f>M152/1000</f>
        <v>0.07872</v>
      </c>
      <c r="O152" s="13" t="inlineStr">
        <is>
          <t>Elevation count / plan length</t>
        </is>
      </c>
    </row>
    <row r="153">
      <c r="A153" s="13" t="n">
        <v>148</v>
      </c>
      <c r="B153" s="13" t="inlineStr">
        <is>
          <t>Lift Walls</t>
        </is>
      </c>
      <c r="C153" s="13" t="inlineStr">
        <is>
          <t>STR-015/017</t>
        </is>
      </c>
      <c r="D153" s="13" t="inlineStr">
        <is>
          <t>Main core (lift shafts) CW-07 (lift section) Foundation to GF - vertical Y25@150 NF/FF (starters from raft)</t>
        </is>
      </c>
      <c r="E153" s="19" t="inlineStr">
        <is>
          <t>V-Y25</t>
        </is>
      </c>
      <c r="F153" s="19" t="n">
        <v>25</v>
      </c>
      <c r="G153" s="19" t="n">
        <v>1</v>
      </c>
      <c r="H153" s="19">
        <f>2*(ROUNDUP(4500/150,0)+1)</f>
        <v>62.0</v>
      </c>
      <c r="I153" s="13">
        <f>G153*H153</f>
        <v>62.0</v>
      </c>
      <c r="J153" s="20">
        <f>(1250+350+1300+40*25)/1000</f>
        <v>3.9</v>
      </c>
      <c r="K153" s="21">
        <f>I153*J153</f>
        <v>241.79999999999998</v>
      </c>
      <c r="L153" s="22">
        <f>F153^2/162</f>
        <v>3.8580246913580245</v>
      </c>
      <c r="M153" s="21">
        <f>K153*L153</f>
        <v>932.8703703703702</v>
      </c>
      <c r="N153" s="22">
        <f>M153/1000</f>
        <v>0.9328703703703702</v>
      </c>
      <c r="O153" s="13" t="inlineStr">
        <is>
          <t>Elevation / plan</t>
        </is>
      </c>
    </row>
    <row r="154">
      <c r="A154" s="13" t="n">
        <v>149</v>
      </c>
      <c r="B154" s="13" t="inlineStr">
        <is>
          <t>Lift Walls</t>
        </is>
      </c>
      <c r="C154" s="13" t="inlineStr">
        <is>
          <t>STR-015/017</t>
        </is>
      </c>
      <c r="D154" s="13" t="inlineStr">
        <is>
          <t>Main core (lift shafts) confinement links Y10@150 (26 positions on plan) Foundation to GF</t>
        </is>
      </c>
      <c r="E154" s="19" t="inlineStr">
        <is>
          <t>LNK-Y10</t>
        </is>
      </c>
      <c r="F154" s="19" t="n">
        <v>10</v>
      </c>
      <c r="G154" s="19" t="n">
        <v>1</v>
      </c>
      <c r="H154" s="19">
        <f>26*ROUNDUP(1300/150,0)</f>
        <v>234.0</v>
      </c>
      <c r="I154" s="13">
        <f>G154*H154</f>
        <v>234.0</v>
      </c>
      <c r="J154" s="20">
        <f>1800/1000</f>
        <v>1.8</v>
      </c>
      <c r="K154" s="21">
        <f>I154*J154</f>
        <v>421.2</v>
      </c>
      <c r="L154" s="22">
        <f>F154^2/162</f>
        <v>0.6172839506172839</v>
      </c>
      <c r="M154" s="21">
        <f>K154*L154</f>
        <v>260.0</v>
      </c>
      <c r="N154" s="22">
        <f>M154/1000</f>
        <v>0.26</v>
      </c>
      <c r="O154" s="13" t="inlineStr">
        <is>
          <t>Assumed link cut length</t>
        </is>
      </c>
    </row>
    <row r="156">
      <c r="D156" s="10" t="inlineStr">
        <is>
          <t>SUMMARY - SUBSTRUCTURE: ELEMENT BY BAR SIZE (TONNES)</t>
        </is>
      </c>
    </row>
    <row r="157">
      <c r="D157" s="23" t="inlineStr">
        <is>
          <t>Element</t>
        </is>
      </c>
      <c r="E157" s="24" t="n">
        <v>10</v>
      </c>
      <c r="F157" s="24" t="n">
        <v>12</v>
      </c>
      <c r="G157" s="24" t="n">
        <v>16</v>
      </c>
      <c r="H157" s="24" t="n">
        <v>20</v>
      </c>
      <c r="I157" s="24" t="n">
        <v>25</v>
      </c>
      <c r="J157" s="23" t="inlineStr">
        <is>
          <t>Total (t)</t>
        </is>
      </c>
    </row>
    <row r="158">
      <c r="D158" s="13" t="inlineStr">
        <is>
          <t>Raft Foundation</t>
        </is>
      </c>
      <c r="E158" s="25">
        <f>SUMIFS($N$6:$N$154,$B$6:$B$154,$D158,$F$6:$F$154,E$157)</f>
        <v>0.0</v>
      </c>
      <c r="F158" s="25">
        <f>SUMIFS($N$6:$N$154,$B$6:$B$154,$D158,$F$6:$F$154,F$157)</f>
        <v>0.0</v>
      </c>
      <c r="G158" s="25">
        <f>SUMIFS($N$6:$N$154,$B$6:$B$154,$D158,$F$6:$F$154,G$157)</f>
        <v>0.0</v>
      </c>
      <c r="H158" s="25">
        <f>SUMIFS($N$6:$N$154,$B$6:$B$154,$D158,$F$6:$F$154,H$157)</f>
        <v>2.466296296296296</v>
      </c>
      <c r="I158" s="25">
        <f>SUMIFS($N$6:$N$154,$B$6:$B$154,$D158,$F$6:$F$154,I$157)</f>
        <v>184.67217978395064</v>
      </c>
      <c r="J158" s="17">
        <f>SUM(E158:I158)</f>
        <v>187.13847608024693</v>
      </c>
    </row>
    <row r="159">
      <c r="D159" s="13" t="inlineStr">
        <is>
          <t>Columns</t>
        </is>
      </c>
      <c r="E159" s="25">
        <f>SUMIFS($N$6:$N$154,$B$6:$B$154,$D159,$F$6:$F$154,E$157)</f>
        <v>3.252198765432099</v>
      </c>
      <c r="F159" s="25">
        <f>SUMIFS($N$6:$N$154,$B$6:$B$154,$D159,$F$6:$F$154,F$157)</f>
        <v>0.0</v>
      </c>
      <c r="G159" s="25">
        <f>SUMIFS($N$6:$N$154,$B$6:$B$154,$D159,$F$6:$F$154,G$157)</f>
        <v>0.0</v>
      </c>
      <c r="H159" s="25">
        <f>SUMIFS($N$6:$N$154,$B$6:$B$154,$D159,$F$6:$F$154,H$157)</f>
        <v>0.3377777777777778</v>
      </c>
      <c r="I159" s="25">
        <f>SUMIFS($N$6:$N$154,$B$6:$B$154,$D159,$F$6:$F$154,I$157)</f>
        <v>6.531249999999999</v>
      </c>
      <c r="J159" s="17">
        <f>SUM(E159:I159)</f>
        <v>10.121226543209875</v>
      </c>
    </row>
    <row r="160">
      <c r="D160" s="13" t="inlineStr">
        <is>
          <t>Shear Walls</t>
        </is>
      </c>
      <c r="E160" s="25">
        <f>SUMIFS($N$6:$N$154,$B$6:$B$154,$D160,$F$6:$F$154,E$157)</f>
        <v>0.5166666666666667</v>
      </c>
      <c r="F160" s="25">
        <f>SUMIFS($N$6:$N$154,$B$6:$B$154,$D160,$F$6:$F$154,F$157)</f>
        <v>0.86272</v>
      </c>
      <c r="G160" s="25">
        <f>SUMIFS($N$6:$N$154,$B$6:$B$154,$D160,$F$6:$F$154,G$157)</f>
        <v>0.0</v>
      </c>
      <c r="H160" s="25">
        <f>SUMIFS($N$6:$N$154,$B$6:$B$154,$D160,$F$6:$F$154,H$157)</f>
        <v>0.0</v>
      </c>
      <c r="I160" s="25">
        <f>SUMIFS($N$6:$N$154,$B$6:$B$154,$D160,$F$6:$F$154,I$157)</f>
        <v>9.840277777777779</v>
      </c>
      <c r="J160" s="17">
        <f>SUM(E160:I160)</f>
        <v>11.219664444444446</v>
      </c>
    </row>
    <row r="161">
      <c r="D161" s="13" t="inlineStr">
        <is>
          <t>Lift Walls</t>
        </is>
      </c>
      <c r="E161" s="25">
        <f>SUMIFS($N$6:$N$154,$B$6:$B$154,$D161,$F$6:$F$154,E$157)</f>
        <v>0.26</v>
      </c>
      <c r="F161" s="25">
        <f>SUMIFS($N$6:$N$154,$B$6:$B$154,$D161,$F$6:$F$154,F$157)</f>
        <v>0.3895199999999999</v>
      </c>
      <c r="G161" s="25">
        <f>SUMIFS($N$6:$N$154,$B$6:$B$154,$D161,$F$6:$F$154,G$157)</f>
        <v>0.0</v>
      </c>
      <c r="H161" s="25">
        <f>SUMIFS($N$6:$N$154,$B$6:$B$154,$D161,$F$6:$F$154,H$157)</f>
        <v>0.0</v>
      </c>
      <c r="I161" s="25">
        <f>SUMIFS($N$6:$N$154,$B$6:$B$154,$D161,$F$6:$F$154,I$157)</f>
        <v>4.935185185185185</v>
      </c>
      <c r="J161" s="17">
        <f>SUM(E161:I161)</f>
        <v>5.584705185185185</v>
      </c>
    </row>
    <row r="162">
      <c r="D162" s="13" t="inlineStr">
        <is>
          <t>Retaining / Ramp Walls</t>
        </is>
      </c>
      <c r="E162" s="25">
        <f>SUMIFS($N$6:$N$154,$B$6:$B$154,$D162,$F$6:$F$154,E$157)</f>
        <v>0.0</v>
      </c>
      <c r="F162" s="25">
        <f>SUMIFS($N$6:$N$154,$B$6:$B$154,$D162,$F$6:$F$154,F$157)</f>
        <v>0.0</v>
      </c>
      <c r="G162" s="25">
        <f>SUMIFS($N$6:$N$154,$B$6:$B$154,$D162,$F$6:$F$154,G$157)</f>
        <v>0.0</v>
      </c>
      <c r="H162" s="25">
        <f>SUMIFS($N$6:$N$154,$B$6:$B$154,$D162,$F$6:$F$154,H$157)</f>
        <v>0.0</v>
      </c>
      <c r="I162" s="25">
        <f>SUMIFS($N$6:$N$154,$B$6:$B$154,$D162,$F$6:$F$154,I$157)</f>
        <v>0.0</v>
      </c>
      <c r="J162" s="17">
        <f>SUM(E162:I162)</f>
        <v>0.0</v>
      </c>
    </row>
    <row r="163">
      <c r="D163" s="13" t="inlineStr">
        <is>
          <t>Beams</t>
        </is>
      </c>
      <c r="E163" s="25">
        <f>SUMIFS($N$6:$N$154,$B$6:$B$154,$D163,$F$6:$F$154,E$157)</f>
        <v>0.0</v>
      </c>
      <c r="F163" s="25">
        <f>SUMIFS($N$6:$N$154,$B$6:$B$154,$D163,$F$6:$F$154,F$157)</f>
        <v>0.0</v>
      </c>
      <c r="G163" s="25">
        <f>SUMIFS($N$6:$N$154,$B$6:$B$154,$D163,$F$6:$F$154,G$157)</f>
        <v>0.0</v>
      </c>
      <c r="H163" s="25">
        <f>SUMIFS($N$6:$N$154,$B$6:$B$154,$D163,$F$6:$F$154,H$157)</f>
        <v>0.0</v>
      </c>
      <c r="I163" s="25">
        <f>SUMIFS($N$6:$N$154,$B$6:$B$154,$D163,$F$6:$F$154,I$157)</f>
        <v>0.0</v>
      </c>
      <c r="J163" s="17">
        <f>SUM(E163:I163)</f>
        <v>0.0</v>
      </c>
    </row>
    <row r="164">
      <c r="D164" s="13" t="inlineStr">
        <is>
          <t>Floor Slabs</t>
        </is>
      </c>
      <c r="E164" s="25">
        <f>SUMIFS($N$6:$N$154,$B$6:$B$154,$D164,$F$6:$F$154,E$157)</f>
        <v>0.0</v>
      </c>
      <c r="F164" s="25">
        <f>SUMIFS($N$6:$N$154,$B$6:$B$154,$D164,$F$6:$F$154,F$157)</f>
        <v>0.0</v>
      </c>
      <c r="G164" s="25">
        <f>SUMIFS($N$6:$N$154,$B$6:$B$154,$D164,$F$6:$F$154,G$157)</f>
        <v>0.0</v>
      </c>
      <c r="H164" s="25">
        <f>SUMIFS($N$6:$N$154,$B$6:$B$154,$D164,$F$6:$F$154,H$157)</f>
        <v>0.0</v>
      </c>
      <c r="I164" s="25">
        <f>SUMIFS($N$6:$N$154,$B$6:$B$154,$D164,$F$6:$F$154,I$157)</f>
        <v>0.0</v>
      </c>
      <c r="J164" s="17">
        <f>SUM(E164:I164)</f>
        <v>0.0</v>
      </c>
    </row>
    <row r="165">
      <c r="D165" s="13" t="inlineStr">
        <is>
          <t>Staircases</t>
        </is>
      </c>
      <c r="E165" s="25">
        <f>SUMIFS($N$6:$N$154,$B$6:$B$154,$D165,$F$6:$F$154,E$157)</f>
        <v>0.0</v>
      </c>
      <c r="F165" s="25">
        <f>SUMIFS($N$6:$N$154,$B$6:$B$154,$D165,$F$6:$F$154,F$157)</f>
        <v>0.0</v>
      </c>
      <c r="G165" s="25">
        <f>SUMIFS($N$6:$N$154,$B$6:$B$154,$D165,$F$6:$F$154,G$157)</f>
        <v>0.0</v>
      </c>
      <c r="H165" s="25">
        <f>SUMIFS($N$6:$N$154,$B$6:$B$154,$D165,$F$6:$F$154,H$157)</f>
        <v>0.0</v>
      </c>
      <c r="I165" s="25">
        <f>SUMIFS($N$6:$N$154,$B$6:$B$154,$D165,$F$6:$F$154,I$157)</f>
        <v>0.0</v>
      </c>
      <c r="J165" s="17">
        <f>SUM(E165:I165)</f>
        <v>0.0</v>
      </c>
    </row>
    <row r="166">
      <c r="D166" s="13" t="inlineStr">
        <is>
          <t>Lift Core Roof Slab</t>
        </is>
      </c>
      <c r="E166" s="25">
        <f>SUMIFS($N$6:$N$154,$B$6:$B$154,$D166,$F$6:$F$154,E$157)</f>
        <v>0.0</v>
      </c>
      <c r="F166" s="25">
        <f>SUMIFS($N$6:$N$154,$B$6:$B$154,$D166,$F$6:$F$154,F$157)</f>
        <v>0.0</v>
      </c>
      <c r="G166" s="25">
        <f>SUMIFS($N$6:$N$154,$B$6:$B$154,$D166,$F$6:$F$154,G$157)</f>
        <v>0.0</v>
      </c>
      <c r="H166" s="25">
        <f>SUMIFS($N$6:$N$154,$B$6:$B$154,$D166,$F$6:$F$154,H$157)</f>
        <v>0.0</v>
      </c>
      <c r="I166" s="25">
        <f>SUMIFS($N$6:$N$154,$B$6:$B$154,$D166,$F$6:$F$154,I$157)</f>
        <v>0.0</v>
      </c>
      <c r="J166" s="17">
        <f>SUM(E166:I166)</f>
        <v>0.0</v>
      </c>
    </row>
    <row r="167">
      <c r="D167" s="16" t="inlineStr">
        <is>
          <t>TOTAL - SUBSTRUCTURE</t>
        </is>
      </c>
      <c r="E167" s="26">
        <f>SUM(E158:E166)</f>
        <v>4.028865432098765</v>
      </c>
      <c r="F167" s="26">
        <f>SUM(F158:F166)</f>
        <v>1.25224</v>
      </c>
      <c r="G167" s="26">
        <f>SUM(G158:G166)</f>
        <v>0.0</v>
      </c>
      <c r="H167" s="26">
        <f>SUM(H158:H166)</f>
        <v>2.804074074074074</v>
      </c>
      <c r="I167" s="26">
        <f>SUM(I158:I166)</f>
        <v>205.9788927469136</v>
      </c>
      <c r="J167" s="26">
        <f>SUM(J158:J166)</f>
        <v>214.06407225308644</v>
      </c>
      <c r="K167" s="7" t="inlineStr">
        <is>
          <t>Check vs detail (should be 0):</t>
        </is>
      </c>
      <c r="N167" s="7">
        <f>ROUND(SUM(N6:N154)-J167,6)</f>
        <v>0.0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O12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GROUND FLOOR (+300) - ELEMENTS RISING TO NEXT LEVEL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STR-007</t>
        </is>
      </c>
      <c r="D6" s="13" t="inlineStr">
        <is>
          <t>COL-01A (5 nos) GF to next level - links</t>
        </is>
      </c>
      <c r="E6" s="19" t="inlineStr">
        <is>
          <t>1001</t>
        </is>
      </c>
      <c r="F6" s="19" t="n">
        <v>10</v>
      </c>
      <c r="G6" s="19" t="n">
        <v>5</v>
      </c>
      <c r="H6" s="19" t="n">
        <v>32</v>
      </c>
      <c r="I6" s="13">
        <f>G6*H6</f>
        <v>160.0</v>
      </c>
      <c r="J6" s="20">
        <f>2330/1000</f>
        <v>2.33</v>
      </c>
      <c r="K6" s="21">
        <f>I6*J6</f>
        <v>372.8</v>
      </c>
      <c r="L6" s="22">
        <f>F6^2/162</f>
        <v>0.6172839506172839</v>
      </c>
      <c r="M6" s="21">
        <f>K6*L6</f>
        <v>230.12345679012344</v>
      </c>
      <c r="N6" s="22">
        <f>M6/1000</f>
        <v>0.23012345679012344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STR-007</t>
        </is>
      </c>
      <c r="D7" s="13" t="inlineStr">
        <is>
          <t>COL-01A (5 nos) GF to next level - links</t>
        </is>
      </c>
      <c r="E7" s="19" t="inlineStr">
        <is>
          <t>1002</t>
        </is>
      </c>
      <c r="F7" s="19" t="n">
        <v>10</v>
      </c>
      <c r="G7" s="19" t="n">
        <v>5</v>
      </c>
      <c r="H7" s="19" t="n">
        <v>64</v>
      </c>
      <c r="I7" s="13">
        <f>G7*H7</f>
        <v>320.0</v>
      </c>
      <c r="J7" s="20">
        <f>1330/1000</f>
        <v>1.33</v>
      </c>
      <c r="K7" s="21">
        <f>I7*J7</f>
        <v>425.6</v>
      </c>
      <c r="L7" s="22">
        <f>F7^2/162</f>
        <v>0.6172839506172839</v>
      </c>
      <c r="M7" s="21">
        <f>K7*L7</f>
        <v>262.71604938271605</v>
      </c>
      <c r="N7" s="22">
        <f>M7/1000</f>
        <v>0.26271604938271603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STR-007</t>
        </is>
      </c>
      <c r="D8" s="13" t="inlineStr">
        <is>
          <t>COL-01A (5 nos) GF to next level - links</t>
        </is>
      </c>
      <c r="E8" s="19" t="inlineStr">
        <is>
          <t>1003</t>
        </is>
      </c>
      <c r="F8" s="19" t="n">
        <v>10</v>
      </c>
      <c r="G8" s="19" t="n">
        <v>5</v>
      </c>
      <c r="H8" s="19" t="n">
        <v>32</v>
      </c>
      <c r="I8" s="13">
        <f>G8*H8</f>
        <v>160.0</v>
      </c>
      <c r="J8" s="20">
        <f>1830/1000</f>
        <v>1.83</v>
      </c>
      <c r="K8" s="21">
        <f>I8*J8</f>
        <v>292.8</v>
      </c>
      <c r="L8" s="22">
        <f>F8^2/162</f>
        <v>0.6172839506172839</v>
      </c>
      <c r="M8" s="21">
        <f>K8*L8</f>
        <v>180.74074074074073</v>
      </c>
      <c r="N8" s="22">
        <f>M8/1000</f>
        <v>0.18074074074074073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STR-007</t>
        </is>
      </c>
      <c r="D9" s="13" t="inlineStr">
        <is>
          <t>COL-01A (5 nos) GF to next level - main bars</t>
        </is>
      </c>
      <c r="E9" s="19" t="inlineStr">
        <is>
          <t>2502</t>
        </is>
      </c>
      <c r="F9" s="19" t="n">
        <v>25</v>
      </c>
      <c r="G9" s="19" t="n">
        <v>5</v>
      </c>
      <c r="H9" s="19" t="n">
        <v>16</v>
      </c>
      <c r="I9" s="13">
        <f>G9*H9</f>
        <v>80.0</v>
      </c>
      <c r="J9" s="20">
        <f>5050/1000</f>
        <v>5.05</v>
      </c>
      <c r="K9" s="21">
        <f>I9*J9</f>
        <v>404.0</v>
      </c>
      <c r="L9" s="22">
        <f>F9^2/162</f>
        <v>3.8580246913580245</v>
      </c>
      <c r="M9" s="21">
        <f>K9*L9</f>
        <v>1558.6419753086418</v>
      </c>
      <c r="N9" s="22">
        <f>M9/1000</f>
        <v>1.5586419753086418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STR-007</t>
        </is>
      </c>
      <c r="D10" s="13" t="inlineStr">
        <is>
          <t>COL-01B (1 nos) GF to next level - links</t>
        </is>
      </c>
      <c r="E10" s="19" t="inlineStr">
        <is>
          <t>1001</t>
        </is>
      </c>
      <c r="F10" s="19" t="n">
        <v>10</v>
      </c>
      <c r="G10" s="19" t="n">
        <v>1</v>
      </c>
      <c r="H10" s="19" t="n">
        <v>32</v>
      </c>
      <c r="I10" s="13">
        <f>G10*H10</f>
        <v>32.0</v>
      </c>
      <c r="J10" s="20">
        <f>2330/1000</f>
        <v>2.33</v>
      </c>
      <c r="K10" s="21">
        <f>I10*J10</f>
        <v>74.56</v>
      </c>
      <c r="L10" s="22">
        <f>F10^2/162</f>
        <v>0.6172839506172839</v>
      </c>
      <c r="M10" s="21">
        <f>K10*L10</f>
        <v>46.02469135802469</v>
      </c>
      <c r="N10" s="22">
        <f>M10/1000</f>
        <v>0.04602469135802469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STR-007</t>
        </is>
      </c>
      <c r="D11" s="13" t="inlineStr">
        <is>
          <t>COL-01B (1 nos) GF to next level - links</t>
        </is>
      </c>
      <c r="E11" s="19" t="inlineStr">
        <is>
          <t>1002</t>
        </is>
      </c>
      <c r="F11" s="19" t="n">
        <v>10</v>
      </c>
      <c r="G11" s="19" t="n">
        <v>1</v>
      </c>
      <c r="H11" s="19" t="n">
        <v>64</v>
      </c>
      <c r="I11" s="13">
        <f>G11*H11</f>
        <v>64.0</v>
      </c>
      <c r="J11" s="20">
        <f>1330/1000</f>
        <v>1.33</v>
      </c>
      <c r="K11" s="21">
        <f>I11*J11</f>
        <v>85.12</v>
      </c>
      <c r="L11" s="22">
        <f>F11^2/162</f>
        <v>0.6172839506172839</v>
      </c>
      <c r="M11" s="21">
        <f>K11*L11</f>
        <v>52.54320987654321</v>
      </c>
      <c r="N11" s="22">
        <f>M11/1000</f>
        <v>0.052543209876543207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STR-007</t>
        </is>
      </c>
      <c r="D12" s="13" t="inlineStr">
        <is>
          <t>COL-01B (1 nos) GF to next level - links</t>
        </is>
      </c>
      <c r="E12" s="19" t="inlineStr">
        <is>
          <t>1003</t>
        </is>
      </c>
      <c r="F12" s="19" t="n">
        <v>10</v>
      </c>
      <c r="G12" s="19" t="n">
        <v>1</v>
      </c>
      <c r="H12" s="19" t="n">
        <v>32</v>
      </c>
      <c r="I12" s="13">
        <f>G12*H12</f>
        <v>32.0</v>
      </c>
      <c r="J12" s="20">
        <f>1830/1000</f>
        <v>1.83</v>
      </c>
      <c r="K12" s="21">
        <f>I12*J12</f>
        <v>58.56</v>
      </c>
      <c r="L12" s="22">
        <f>F12^2/162</f>
        <v>0.6172839506172839</v>
      </c>
      <c r="M12" s="21">
        <f>K12*L12</f>
        <v>36.148148148148145</v>
      </c>
      <c r="N12" s="22">
        <f>M12/1000</f>
        <v>0.036148148148148145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Columns</t>
        </is>
      </c>
      <c r="C13" s="13" t="inlineStr">
        <is>
          <t>STR-007</t>
        </is>
      </c>
      <c r="D13" s="13" t="inlineStr">
        <is>
          <t>COL-01B (1 nos) GF to next level - main bars</t>
        </is>
      </c>
      <c r="E13" s="19" t="inlineStr">
        <is>
          <t>2502</t>
        </is>
      </c>
      <c r="F13" s="19" t="n">
        <v>25</v>
      </c>
      <c r="G13" s="19" t="n">
        <v>1</v>
      </c>
      <c r="H13" s="19" t="n">
        <v>16</v>
      </c>
      <c r="I13" s="13">
        <f>G13*H13</f>
        <v>16.0</v>
      </c>
      <c r="J13" s="20">
        <f>5050/1000</f>
        <v>5.05</v>
      </c>
      <c r="K13" s="21">
        <f>I13*J13</f>
        <v>80.8</v>
      </c>
      <c r="L13" s="22">
        <f>F13^2/162</f>
        <v>3.8580246913580245</v>
      </c>
      <c r="M13" s="21">
        <f>K13*L13</f>
        <v>311.72839506172835</v>
      </c>
      <c r="N13" s="22">
        <f>M13/1000</f>
        <v>0.31172839506172834</v>
      </c>
      <c r="O13" s="13" t="inlineStr">
        <is>
          <t>Elevation + BBS length</t>
        </is>
      </c>
    </row>
    <row r="14">
      <c r="A14" s="13" t="n">
        <v>9</v>
      </c>
      <c r="B14" s="13" t="inlineStr">
        <is>
          <t>Columns</t>
        </is>
      </c>
      <c r="C14" s="13" t="inlineStr">
        <is>
          <t>STR-008</t>
        </is>
      </c>
      <c r="D14" s="13" t="inlineStr">
        <is>
          <t>COL-01C (2 nos) GF to next level - links</t>
        </is>
      </c>
      <c r="E14" s="19" t="inlineStr">
        <is>
          <t>1001</t>
        </is>
      </c>
      <c r="F14" s="19" t="n">
        <v>10</v>
      </c>
      <c r="G14" s="19" t="n">
        <v>2</v>
      </c>
      <c r="H14" s="19" t="n">
        <v>32</v>
      </c>
      <c r="I14" s="13">
        <f>G14*H14</f>
        <v>64.0</v>
      </c>
      <c r="J14" s="20">
        <f>2330/1000</f>
        <v>2.33</v>
      </c>
      <c r="K14" s="21">
        <f>I14*J14</f>
        <v>149.12</v>
      </c>
      <c r="L14" s="22">
        <f>F14^2/162</f>
        <v>0.6172839506172839</v>
      </c>
      <c r="M14" s="21">
        <f>K14*L14</f>
        <v>92.04938271604938</v>
      </c>
      <c r="N14" s="22">
        <f>M14/1000</f>
        <v>0.09204938271604939</v>
      </c>
      <c r="O14" s="13" t="inlineStr">
        <is>
          <t>Elevation + BBS length</t>
        </is>
      </c>
    </row>
    <row r="15">
      <c r="A15" s="13" t="n">
        <v>10</v>
      </c>
      <c r="B15" s="13" t="inlineStr">
        <is>
          <t>Columns</t>
        </is>
      </c>
      <c r="C15" s="13" t="inlineStr">
        <is>
          <t>STR-008</t>
        </is>
      </c>
      <c r="D15" s="13" t="inlineStr">
        <is>
          <t>COL-01C (2 nos) GF to next level - links</t>
        </is>
      </c>
      <c r="E15" s="19" t="inlineStr">
        <is>
          <t>1002</t>
        </is>
      </c>
      <c r="F15" s="19" t="n">
        <v>10</v>
      </c>
      <c r="G15" s="19" t="n">
        <v>2</v>
      </c>
      <c r="H15" s="19" t="n">
        <v>64</v>
      </c>
      <c r="I15" s="13">
        <f>G15*H15</f>
        <v>128.0</v>
      </c>
      <c r="J15" s="20">
        <f>1330/1000</f>
        <v>1.33</v>
      </c>
      <c r="K15" s="21">
        <f>I15*J15</f>
        <v>170.24</v>
      </c>
      <c r="L15" s="22">
        <f>F15^2/162</f>
        <v>0.6172839506172839</v>
      </c>
      <c r="M15" s="21">
        <f>K15*L15</f>
        <v>105.08641975308642</v>
      </c>
      <c r="N15" s="22">
        <f>M15/1000</f>
        <v>0.10508641975308641</v>
      </c>
      <c r="O15" s="13" t="inlineStr">
        <is>
          <t>Elevation + BBS length</t>
        </is>
      </c>
    </row>
    <row r="16">
      <c r="A16" s="13" t="n">
        <v>11</v>
      </c>
      <c r="B16" s="13" t="inlineStr">
        <is>
          <t>Columns</t>
        </is>
      </c>
      <c r="C16" s="13" t="inlineStr">
        <is>
          <t>STR-008</t>
        </is>
      </c>
      <c r="D16" s="13" t="inlineStr">
        <is>
          <t>COL-01C (2 nos) GF to next level - links</t>
        </is>
      </c>
      <c r="E16" s="19" t="inlineStr">
        <is>
          <t>1003</t>
        </is>
      </c>
      <c r="F16" s="19" t="n">
        <v>10</v>
      </c>
      <c r="G16" s="19" t="n">
        <v>2</v>
      </c>
      <c r="H16" s="19" t="n">
        <v>32</v>
      </c>
      <c r="I16" s="13">
        <f>G16*H16</f>
        <v>64.0</v>
      </c>
      <c r="J16" s="20">
        <f>1830/1000</f>
        <v>1.83</v>
      </c>
      <c r="K16" s="21">
        <f>I16*J16</f>
        <v>117.12</v>
      </c>
      <c r="L16" s="22">
        <f>F16^2/162</f>
        <v>0.6172839506172839</v>
      </c>
      <c r="M16" s="21">
        <f>K16*L16</f>
        <v>72.29629629629629</v>
      </c>
      <c r="N16" s="22">
        <f>M16/1000</f>
        <v>0.07229629629629629</v>
      </c>
      <c r="O16" s="13" t="inlineStr">
        <is>
          <t>Elevation + BBS length</t>
        </is>
      </c>
    </row>
    <row r="17">
      <c r="A17" s="13" t="n">
        <v>12</v>
      </c>
      <c r="B17" s="13" t="inlineStr">
        <is>
          <t>Columns</t>
        </is>
      </c>
      <c r="C17" s="13" t="inlineStr">
        <is>
          <t>STR-008</t>
        </is>
      </c>
      <c r="D17" s="13" t="inlineStr">
        <is>
          <t>COL-01C (2 nos) GF to next level - main bars</t>
        </is>
      </c>
      <c r="E17" s="19" t="inlineStr">
        <is>
          <t>2502</t>
        </is>
      </c>
      <c r="F17" s="19" t="n">
        <v>25</v>
      </c>
      <c r="G17" s="19" t="n">
        <v>2</v>
      </c>
      <c r="H17" s="19" t="n">
        <v>16</v>
      </c>
      <c r="I17" s="13">
        <f>G17*H17</f>
        <v>32.0</v>
      </c>
      <c r="J17" s="20">
        <f>5050/1000</f>
        <v>5.05</v>
      </c>
      <c r="K17" s="21">
        <f>I17*J17</f>
        <v>161.6</v>
      </c>
      <c r="L17" s="22">
        <f>F17^2/162</f>
        <v>3.8580246913580245</v>
      </c>
      <c r="M17" s="21">
        <f>K17*L17</f>
        <v>623.4567901234567</v>
      </c>
      <c r="N17" s="22">
        <f>M17/1000</f>
        <v>0.6234567901234567</v>
      </c>
      <c r="O17" s="13" t="inlineStr">
        <is>
          <t>Elevation + BBS length</t>
        </is>
      </c>
    </row>
    <row r="18">
      <c r="A18" s="13" t="n">
        <v>13</v>
      </c>
      <c r="B18" s="13" t="inlineStr">
        <is>
          <t>Columns</t>
        </is>
      </c>
      <c r="C18" s="13" t="inlineStr">
        <is>
          <t>STR-008</t>
        </is>
      </c>
      <c r="D18" s="13" t="inlineStr">
        <is>
          <t>COL-01D (1 nos) GF to next level - links</t>
        </is>
      </c>
      <c r="E18" s="19" t="inlineStr">
        <is>
          <t>1001</t>
        </is>
      </c>
      <c r="F18" s="19" t="n">
        <v>10</v>
      </c>
      <c r="G18" s="19" t="n">
        <v>1</v>
      </c>
      <c r="H18" s="19" t="n">
        <v>22</v>
      </c>
      <c r="I18" s="13">
        <f>G18*H18</f>
        <v>22.0</v>
      </c>
      <c r="J18" s="20">
        <f>2330/1000</f>
        <v>2.33</v>
      </c>
      <c r="K18" s="21">
        <f>I18*J18</f>
        <v>51.260000000000005</v>
      </c>
      <c r="L18" s="22">
        <f>F18^2/162</f>
        <v>0.6172839506172839</v>
      </c>
      <c r="M18" s="21">
        <f>K18*L18</f>
        <v>31.641975308641978</v>
      </c>
      <c r="N18" s="22">
        <f>M18/1000</f>
        <v>0.031641975308641976</v>
      </c>
      <c r="O18" s="13" t="inlineStr">
        <is>
          <t>Elevation + BBS length</t>
        </is>
      </c>
    </row>
    <row r="19">
      <c r="A19" s="13" t="n">
        <v>14</v>
      </c>
      <c r="B19" s="13" t="inlineStr">
        <is>
          <t>Columns</t>
        </is>
      </c>
      <c r="C19" s="13" t="inlineStr">
        <is>
          <t>STR-008</t>
        </is>
      </c>
      <c r="D19" s="13" t="inlineStr">
        <is>
          <t>COL-01D (1 nos) GF to next level - links</t>
        </is>
      </c>
      <c r="E19" s="19" t="inlineStr">
        <is>
          <t>1002</t>
        </is>
      </c>
      <c r="F19" s="19" t="n">
        <v>10</v>
      </c>
      <c r="G19" s="19" t="n">
        <v>1</v>
      </c>
      <c r="H19" s="19" t="n">
        <v>44</v>
      </c>
      <c r="I19" s="13">
        <f>G19*H19</f>
        <v>44.0</v>
      </c>
      <c r="J19" s="20">
        <f>1330/1000</f>
        <v>1.33</v>
      </c>
      <c r="K19" s="21">
        <f>I19*J19</f>
        <v>58.52</v>
      </c>
      <c r="L19" s="22">
        <f>F19^2/162</f>
        <v>0.6172839506172839</v>
      </c>
      <c r="M19" s="21">
        <f>K19*L19</f>
        <v>36.123456790123456</v>
      </c>
      <c r="N19" s="22">
        <f>M19/1000</f>
        <v>0.03612345679012346</v>
      </c>
      <c r="O19" s="13" t="inlineStr">
        <is>
          <t>Elevation + BBS length</t>
        </is>
      </c>
    </row>
    <row r="20">
      <c r="A20" s="13" t="n">
        <v>15</v>
      </c>
      <c r="B20" s="13" t="inlineStr">
        <is>
          <t>Columns</t>
        </is>
      </c>
      <c r="C20" s="13" t="inlineStr">
        <is>
          <t>STR-008</t>
        </is>
      </c>
      <c r="D20" s="13" t="inlineStr">
        <is>
          <t>COL-01D (1 nos) GF to next level - links</t>
        </is>
      </c>
      <c r="E20" s="19" t="inlineStr">
        <is>
          <t>1003</t>
        </is>
      </c>
      <c r="F20" s="19" t="n">
        <v>10</v>
      </c>
      <c r="G20" s="19" t="n">
        <v>1</v>
      </c>
      <c r="H20" s="19" t="n">
        <v>22</v>
      </c>
      <c r="I20" s="13">
        <f>G20*H20</f>
        <v>22.0</v>
      </c>
      <c r="J20" s="20">
        <f>1830/1000</f>
        <v>1.83</v>
      </c>
      <c r="K20" s="21">
        <f>I20*J20</f>
        <v>40.260000000000005</v>
      </c>
      <c r="L20" s="22">
        <f>F20^2/162</f>
        <v>0.6172839506172839</v>
      </c>
      <c r="M20" s="21">
        <f>K20*L20</f>
        <v>24.851851851851855</v>
      </c>
      <c r="N20" s="22">
        <f>M20/1000</f>
        <v>0.024851851851851854</v>
      </c>
      <c r="O20" s="13" t="inlineStr">
        <is>
          <t>Elevation + BBS length</t>
        </is>
      </c>
    </row>
    <row r="21">
      <c r="A21" s="13" t="n">
        <v>16</v>
      </c>
      <c r="B21" s="13" t="inlineStr">
        <is>
          <t>Columns</t>
        </is>
      </c>
      <c r="C21" s="13" t="inlineStr">
        <is>
          <t>STR-008</t>
        </is>
      </c>
      <c r="D21" s="13" t="inlineStr">
        <is>
          <t>COL-01D (1 nos) GF to next level - main bars</t>
        </is>
      </c>
      <c r="E21" s="19" t="inlineStr">
        <is>
          <t>2505</t>
        </is>
      </c>
      <c r="F21" s="19" t="n">
        <v>25</v>
      </c>
      <c r="G21" s="19" t="n">
        <v>1</v>
      </c>
      <c r="H21" s="19" t="n">
        <v>16</v>
      </c>
      <c r="I21" s="13">
        <f>G21*H21</f>
        <v>16.0</v>
      </c>
      <c r="J21" s="20">
        <f>3700/1000</f>
        <v>3.7</v>
      </c>
      <c r="K21" s="21">
        <f>I21*J21</f>
        <v>59.2</v>
      </c>
      <c r="L21" s="22">
        <f>F21^2/162</f>
        <v>3.8580246913580245</v>
      </c>
      <c r="M21" s="21">
        <f>K21*L21</f>
        <v>228.39506172839506</v>
      </c>
      <c r="N21" s="22">
        <f>M21/1000</f>
        <v>0.22839506172839508</v>
      </c>
      <c r="O21" s="13" t="inlineStr">
        <is>
          <t>Elevation + BBS length</t>
        </is>
      </c>
    </row>
    <row r="22">
      <c r="A22" s="13" t="n">
        <v>17</v>
      </c>
      <c r="B22" s="13" t="inlineStr">
        <is>
          <t>Columns</t>
        </is>
      </c>
      <c r="C22" s="13" t="inlineStr">
        <is>
          <t>STR-010</t>
        </is>
      </c>
      <c r="D22" s="13" t="inlineStr">
        <is>
          <t>COL-02A (3 nos) GF to next level - links</t>
        </is>
      </c>
      <c r="E22" s="19" t="inlineStr">
        <is>
          <t>1004</t>
        </is>
      </c>
      <c r="F22" s="19" t="n">
        <v>10</v>
      </c>
      <c r="G22" s="19" t="n">
        <v>3</v>
      </c>
      <c r="H22" s="19" t="n">
        <v>32</v>
      </c>
      <c r="I22" s="13">
        <f>G22*H22</f>
        <v>96.0</v>
      </c>
      <c r="J22" s="20">
        <f>2910/1000</f>
        <v>2.91</v>
      </c>
      <c r="K22" s="21">
        <f>I22*J22</f>
        <v>279.36</v>
      </c>
      <c r="L22" s="22">
        <f>F22^2/162</f>
        <v>0.6172839506172839</v>
      </c>
      <c r="M22" s="21">
        <f>K22*L22</f>
        <v>172.44444444444446</v>
      </c>
      <c r="N22" s="22">
        <f>M22/1000</f>
        <v>0.17244444444444446</v>
      </c>
      <c r="O22" s="13" t="inlineStr">
        <is>
          <t>Elevation + BBS length</t>
        </is>
      </c>
    </row>
    <row r="23">
      <c r="A23" s="13" t="n">
        <v>18</v>
      </c>
      <c r="B23" s="13" t="inlineStr">
        <is>
          <t>Columns</t>
        </is>
      </c>
      <c r="C23" s="13" t="inlineStr">
        <is>
          <t>STR-010</t>
        </is>
      </c>
      <c r="D23" s="13" t="inlineStr">
        <is>
          <t>COL-02A (3 nos) GF to next level - links</t>
        </is>
      </c>
      <c r="E23" s="19" t="inlineStr">
        <is>
          <t>1005</t>
        </is>
      </c>
      <c r="F23" s="19" t="n">
        <v>10</v>
      </c>
      <c r="G23" s="19" t="n">
        <v>3</v>
      </c>
      <c r="H23" s="19">
        <f>5*32</f>
        <v>160.0</v>
      </c>
      <c r="I23" s="13">
        <f>G23*H23</f>
        <v>480.0</v>
      </c>
      <c r="J23" s="20">
        <f>1008/1000</f>
        <v>1.008</v>
      </c>
      <c r="K23" s="21">
        <f>I23*J23</f>
        <v>483.84000000000003</v>
      </c>
      <c r="L23" s="22">
        <f>F23^2/162</f>
        <v>0.6172839506172839</v>
      </c>
      <c r="M23" s="21">
        <f>K23*L23</f>
        <v>298.6666666666667</v>
      </c>
      <c r="N23" s="22">
        <f>M23/1000</f>
        <v>0.2986666666666667</v>
      </c>
      <c r="O23" s="13" t="inlineStr">
        <is>
          <t>Elevation + BBS length</t>
        </is>
      </c>
    </row>
    <row r="24">
      <c r="A24" s="13" t="n">
        <v>19</v>
      </c>
      <c r="B24" s="13" t="inlineStr">
        <is>
          <t>Columns</t>
        </is>
      </c>
      <c r="C24" s="13" t="inlineStr">
        <is>
          <t>STR-010</t>
        </is>
      </c>
      <c r="D24" s="13" t="inlineStr">
        <is>
          <t>COL-02A (3 nos) GF to next level - main bars</t>
        </is>
      </c>
      <c r="E24" s="19" t="inlineStr">
        <is>
          <t>2502</t>
        </is>
      </c>
      <c r="F24" s="19" t="n">
        <v>25</v>
      </c>
      <c r="G24" s="19" t="n">
        <v>3</v>
      </c>
      <c r="H24" s="19" t="n">
        <v>18</v>
      </c>
      <c r="I24" s="13">
        <f>G24*H24</f>
        <v>54.0</v>
      </c>
      <c r="J24" s="20">
        <f>5050/1000</f>
        <v>5.05</v>
      </c>
      <c r="K24" s="21">
        <f>I24*J24</f>
        <v>272.7</v>
      </c>
      <c r="L24" s="22">
        <f>F24^2/162</f>
        <v>3.8580246913580245</v>
      </c>
      <c r="M24" s="21">
        <f>K24*L24</f>
        <v>1052.0833333333333</v>
      </c>
      <c r="N24" s="22">
        <f>M24/1000</f>
        <v>1.0520833333333333</v>
      </c>
      <c r="O24" s="13" t="inlineStr">
        <is>
          <t>Elevation + BBS length</t>
        </is>
      </c>
    </row>
    <row r="25">
      <c r="A25" s="13" t="n">
        <v>20</v>
      </c>
      <c r="B25" s="13" t="inlineStr">
        <is>
          <t>Columns</t>
        </is>
      </c>
      <c r="C25" s="13" t="inlineStr">
        <is>
          <t>STR-010</t>
        </is>
      </c>
      <c r="D25" s="13" t="inlineStr">
        <is>
          <t>COL-02B (6 nos) GF to next level - links</t>
        </is>
      </c>
      <c r="E25" s="19" t="inlineStr">
        <is>
          <t>1004</t>
        </is>
      </c>
      <c r="F25" s="19" t="n">
        <v>10</v>
      </c>
      <c r="G25" s="19" t="n">
        <v>6</v>
      </c>
      <c r="H25" s="19" t="n">
        <v>32</v>
      </c>
      <c r="I25" s="13">
        <f>G25*H25</f>
        <v>192.0</v>
      </c>
      <c r="J25" s="20">
        <f>2910/1000</f>
        <v>2.91</v>
      </c>
      <c r="K25" s="21">
        <f>I25*J25</f>
        <v>558.72</v>
      </c>
      <c r="L25" s="22">
        <f>F25^2/162</f>
        <v>0.6172839506172839</v>
      </c>
      <c r="M25" s="21">
        <f>K25*L25</f>
        <v>344.8888888888889</v>
      </c>
      <c r="N25" s="22">
        <f>M25/1000</f>
        <v>0.3448888888888889</v>
      </c>
      <c r="O25" s="13" t="inlineStr">
        <is>
          <t>Elevation + BBS length</t>
        </is>
      </c>
    </row>
    <row r="26">
      <c r="A26" s="13" t="n">
        <v>21</v>
      </c>
      <c r="B26" s="13" t="inlineStr">
        <is>
          <t>Columns</t>
        </is>
      </c>
      <c r="C26" s="13" t="inlineStr">
        <is>
          <t>STR-010</t>
        </is>
      </c>
      <c r="D26" s="13" t="inlineStr">
        <is>
          <t>COL-02B (6 nos) GF to next level - links</t>
        </is>
      </c>
      <c r="E26" s="19" t="inlineStr">
        <is>
          <t>1005</t>
        </is>
      </c>
      <c r="F26" s="19" t="n">
        <v>10</v>
      </c>
      <c r="G26" s="19" t="n">
        <v>6</v>
      </c>
      <c r="H26" s="19">
        <f>5*32</f>
        <v>160.0</v>
      </c>
      <c r="I26" s="13">
        <f>G26*H26</f>
        <v>960.0</v>
      </c>
      <c r="J26" s="20">
        <f>1008/1000</f>
        <v>1.008</v>
      </c>
      <c r="K26" s="21">
        <f>I26*J26</f>
        <v>967.6800000000001</v>
      </c>
      <c r="L26" s="22">
        <f>F26^2/162</f>
        <v>0.6172839506172839</v>
      </c>
      <c r="M26" s="21">
        <f>K26*L26</f>
        <v>597.3333333333334</v>
      </c>
      <c r="N26" s="22">
        <f>M26/1000</f>
        <v>0.5973333333333334</v>
      </c>
      <c r="O26" s="13" t="inlineStr">
        <is>
          <t>Elevation + BBS length</t>
        </is>
      </c>
    </row>
    <row r="27">
      <c r="A27" s="13" t="n">
        <v>22</v>
      </c>
      <c r="B27" s="13" t="inlineStr">
        <is>
          <t>Columns</t>
        </is>
      </c>
      <c r="C27" s="13" t="inlineStr">
        <is>
          <t>STR-010</t>
        </is>
      </c>
      <c r="D27" s="13" t="inlineStr">
        <is>
          <t>COL-02B (6 nos) GF to next level - main bars</t>
        </is>
      </c>
      <c r="E27" s="19" t="inlineStr">
        <is>
          <t>2502</t>
        </is>
      </c>
      <c r="F27" s="19" t="n">
        <v>25</v>
      </c>
      <c r="G27" s="19" t="n">
        <v>6</v>
      </c>
      <c r="H27" s="19" t="n">
        <v>18</v>
      </c>
      <c r="I27" s="13">
        <f>G27*H27</f>
        <v>108.0</v>
      </c>
      <c r="J27" s="20">
        <f>5050/1000</f>
        <v>5.05</v>
      </c>
      <c r="K27" s="21">
        <f>I27*J27</f>
        <v>545.4</v>
      </c>
      <c r="L27" s="22">
        <f>F27^2/162</f>
        <v>3.8580246913580245</v>
      </c>
      <c r="M27" s="21">
        <f>K27*L27</f>
        <v>2104.1666666666665</v>
      </c>
      <c r="N27" s="22">
        <f>M27/1000</f>
        <v>2.1041666666666665</v>
      </c>
      <c r="O27" s="13" t="inlineStr">
        <is>
          <t>Elevation + BBS length</t>
        </is>
      </c>
    </row>
    <row r="28">
      <c r="A28" s="13" t="n">
        <v>23</v>
      </c>
      <c r="B28" s="13" t="inlineStr">
        <is>
          <t>Columns</t>
        </is>
      </c>
      <c r="C28" s="13" t="inlineStr">
        <is>
          <t>STR-011</t>
        </is>
      </c>
      <c r="D28" s="13" t="inlineStr">
        <is>
          <t>COL-02C (1 nos) GF to next level - links</t>
        </is>
      </c>
      <c r="E28" s="19" t="inlineStr">
        <is>
          <t>1004</t>
        </is>
      </c>
      <c r="F28" s="19" t="n">
        <v>10</v>
      </c>
      <c r="G28" s="19" t="n">
        <v>1</v>
      </c>
      <c r="H28" s="19" t="n">
        <v>32</v>
      </c>
      <c r="I28" s="13">
        <f>G28*H28</f>
        <v>32.0</v>
      </c>
      <c r="J28" s="20">
        <f>2910/1000</f>
        <v>2.91</v>
      </c>
      <c r="K28" s="21">
        <f>I28*J28</f>
        <v>93.12</v>
      </c>
      <c r="L28" s="22">
        <f>F28^2/162</f>
        <v>0.6172839506172839</v>
      </c>
      <c r="M28" s="21">
        <f>K28*L28</f>
        <v>57.48148148148148</v>
      </c>
      <c r="N28" s="22">
        <f>M28/1000</f>
        <v>0.05748148148148148</v>
      </c>
      <c r="O28" s="13" t="inlineStr">
        <is>
          <t>Elevation + BBS length</t>
        </is>
      </c>
    </row>
    <row r="29">
      <c r="A29" s="13" t="n">
        <v>24</v>
      </c>
      <c r="B29" s="13" t="inlineStr">
        <is>
          <t>Columns</t>
        </is>
      </c>
      <c r="C29" s="13" t="inlineStr">
        <is>
          <t>STR-011</t>
        </is>
      </c>
      <c r="D29" s="13" t="inlineStr">
        <is>
          <t>COL-02C (1 nos) GF to next level - links</t>
        </is>
      </c>
      <c r="E29" s="19" t="inlineStr">
        <is>
          <t>1005</t>
        </is>
      </c>
      <c r="F29" s="19" t="n">
        <v>10</v>
      </c>
      <c r="G29" s="19" t="n">
        <v>1</v>
      </c>
      <c r="H29" s="19">
        <f>3*32</f>
        <v>96.0</v>
      </c>
      <c r="I29" s="13">
        <f>G29*H29</f>
        <v>96.0</v>
      </c>
      <c r="J29" s="20">
        <f>1008/1000</f>
        <v>1.008</v>
      </c>
      <c r="K29" s="21">
        <f>I29*J29</f>
        <v>96.768</v>
      </c>
      <c r="L29" s="22">
        <f>F29^2/162</f>
        <v>0.6172839506172839</v>
      </c>
      <c r="M29" s="21">
        <f>K29*L29</f>
        <v>59.73333333333333</v>
      </c>
      <c r="N29" s="22">
        <f>M29/1000</f>
        <v>0.059733333333333326</v>
      </c>
      <c r="O29" s="13" t="inlineStr">
        <is>
          <t>Elevation + BBS length</t>
        </is>
      </c>
    </row>
    <row r="30">
      <c r="A30" s="13" t="n">
        <v>25</v>
      </c>
      <c r="B30" s="13" t="inlineStr">
        <is>
          <t>Columns</t>
        </is>
      </c>
      <c r="C30" s="13" t="inlineStr">
        <is>
          <t>STR-011</t>
        </is>
      </c>
      <c r="D30" s="13" t="inlineStr">
        <is>
          <t>COL-02C (1 nos) GF to next level - main bars</t>
        </is>
      </c>
      <c r="E30" s="19" t="inlineStr">
        <is>
          <t>2502</t>
        </is>
      </c>
      <c r="F30" s="19" t="n">
        <v>25</v>
      </c>
      <c r="G30" s="19" t="n">
        <v>1</v>
      </c>
      <c r="H30" s="19" t="n">
        <v>18</v>
      </c>
      <c r="I30" s="13">
        <f>G30*H30</f>
        <v>18.0</v>
      </c>
      <c r="J30" s="20">
        <f>5050/1000</f>
        <v>5.05</v>
      </c>
      <c r="K30" s="21">
        <f>I30*J30</f>
        <v>90.89999999999999</v>
      </c>
      <c r="L30" s="22">
        <f>F30^2/162</f>
        <v>3.8580246913580245</v>
      </c>
      <c r="M30" s="21">
        <f>K30*L30</f>
        <v>350.6944444444444</v>
      </c>
      <c r="N30" s="22">
        <f>M30/1000</f>
        <v>0.3506944444444444</v>
      </c>
      <c r="O30" s="13" t="inlineStr">
        <is>
          <t>Elevation + BBS length</t>
        </is>
      </c>
    </row>
    <row r="31">
      <c r="A31" s="13" t="n">
        <v>26</v>
      </c>
      <c r="B31" s="13" t="inlineStr">
        <is>
          <t>Columns</t>
        </is>
      </c>
      <c r="C31" s="13" t="inlineStr">
        <is>
          <t>STR-011</t>
        </is>
      </c>
      <c r="D31" s="13" t="inlineStr">
        <is>
          <t>COL-02D (15 nos) GF to next level - links</t>
        </is>
      </c>
      <c r="E31" s="19" t="inlineStr">
        <is>
          <t>1004</t>
        </is>
      </c>
      <c r="F31" s="19" t="n">
        <v>10</v>
      </c>
      <c r="G31" s="19" t="n">
        <v>15</v>
      </c>
      <c r="H31" s="19" t="n">
        <v>24</v>
      </c>
      <c r="I31" s="13">
        <f>G31*H31</f>
        <v>360.0</v>
      </c>
      <c r="J31" s="20">
        <f>2910/1000</f>
        <v>2.91</v>
      </c>
      <c r="K31" s="21">
        <f>I31*J31</f>
        <v>1047.6000000000001</v>
      </c>
      <c r="L31" s="22">
        <f>F31^2/162</f>
        <v>0.6172839506172839</v>
      </c>
      <c r="M31" s="21">
        <f>K31*L31</f>
        <v>646.6666666666667</v>
      </c>
      <c r="N31" s="22">
        <f>M31/1000</f>
        <v>0.6466666666666667</v>
      </c>
      <c r="O31" s="13" t="inlineStr">
        <is>
          <t>Elevation + BBS length</t>
        </is>
      </c>
    </row>
    <row r="32">
      <c r="A32" s="13" t="n">
        <v>27</v>
      </c>
      <c r="B32" s="13" t="inlineStr">
        <is>
          <t>Columns</t>
        </is>
      </c>
      <c r="C32" s="13" t="inlineStr">
        <is>
          <t>STR-011</t>
        </is>
      </c>
      <c r="D32" s="13" t="inlineStr">
        <is>
          <t>COL-02D (15 nos) GF to next level - links</t>
        </is>
      </c>
      <c r="E32" s="19" t="inlineStr">
        <is>
          <t>1005</t>
        </is>
      </c>
      <c r="F32" s="19" t="n">
        <v>10</v>
      </c>
      <c r="G32" s="19" t="n">
        <v>15</v>
      </c>
      <c r="H32" s="19">
        <f>3*24</f>
        <v>72.0</v>
      </c>
      <c r="I32" s="13">
        <f>G32*H32</f>
        <v>1080.0</v>
      </c>
      <c r="J32" s="20">
        <f>1008/1000</f>
        <v>1.008</v>
      </c>
      <c r="K32" s="21">
        <f>I32*J32</f>
        <v>1088.64</v>
      </c>
      <c r="L32" s="22">
        <f>F32^2/162</f>
        <v>0.6172839506172839</v>
      </c>
      <c r="M32" s="21">
        <f>K32*L32</f>
        <v>672.0</v>
      </c>
      <c r="N32" s="22">
        <f>M32/1000</f>
        <v>0.672</v>
      </c>
      <c r="O32" s="13" t="inlineStr">
        <is>
          <t>Elevation + BBS length</t>
        </is>
      </c>
    </row>
    <row r="33">
      <c r="A33" s="13" t="n">
        <v>28</v>
      </c>
      <c r="B33" s="13" t="inlineStr">
        <is>
          <t>Columns</t>
        </is>
      </c>
      <c r="C33" s="13" t="inlineStr">
        <is>
          <t>STR-011</t>
        </is>
      </c>
      <c r="D33" s="13" t="inlineStr">
        <is>
          <t>COL-02D (15 nos) GF to next level - main bars</t>
        </is>
      </c>
      <c r="E33" s="19" t="inlineStr">
        <is>
          <t>2505</t>
        </is>
      </c>
      <c r="F33" s="19" t="n">
        <v>25</v>
      </c>
      <c r="G33" s="19" t="n">
        <v>15</v>
      </c>
      <c r="H33" s="19" t="n">
        <v>18</v>
      </c>
      <c r="I33" s="13">
        <f>G33*H33</f>
        <v>270.0</v>
      </c>
      <c r="J33" s="20">
        <f>3700/1000</f>
        <v>3.7</v>
      </c>
      <c r="K33" s="21">
        <f>I33*J33</f>
        <v>999.0</v>
      </c>
      <c r="L33" s="22">
        <f>F33^2/162</f>
        <v>3.8580246913580245</v>
      </c>
      <c r="M33" s="21">
        <f>K33*L33</f>
        <v>3854.1666666666665</v>
      </c>
      <c r="N33" s="22">
        <f>M33/1000</f>
        <v>3.8541666666666665</v>
      </c>
      <c r="O33" s="13" t="inlineStr">
        <is>
          <t>Elevation + BBS length</t>
        </is>
      </c>
    </row>
    <row r="34">
      <c r="A34" s="13" t="n">
        <v>29</v>
      </c>
      <c r="B34" s="13" t="inlineStr">
        <is>
          <t>Columns</t>
        </is>
      </c>
      <c r="C34" s="13" t="inlineStr">
        <is>
          <t>STR-012</t>
        </is>
      </c>
      <c r="D34" s="13" t="inlineStr">
        <is>
          <t>SWC-01A (1 nos) GF to next level - links</t>
        </is>
      </c>
      <c r="E34" s="19" t="inlineStr">
        <is>
          <t>1001</t>
        </is>
      </c>
      <c r="F34" s="19" t="n">
        <v>10</v>
      </c>
      <c r="G34" s="19" t="n">
        <v>1</v>
      </c>
      <c r="H34" s="19" t="n">
        <v>32</v>
      </c>
      <c r="I34" s="13">
        <f>G34*H34</f>
        <v>32.0</v>
      </c>
      <c r="J34" s="20">
        <f>5930/1000</f>
        <v>5.93</v>
      </c>
      <c r="K34" s="21">
        <f>I34*J34</f>
        <v>189.76</v>
      </c>
      <c r="L34" s="22">
        <f>F34^2/162</f>
        <v>0.6172839506172839</v>
      </c>
      <c r="M34" s="21">
        <f>K34*L34</f>
        <v>117.1358024691358</v>
      </c>
      <c r="N34" s="22">
        <f>M34/1000</f>
        <v>0.1171358024691358</v>
      </c>
      <c r="O34" s="13" t="inlineStr">
        <is>
          <t>Elevation + BBS length</t>
        </is>
      </c>
    </row>
    <row r="35">
      <c r="A35" s="13" t="n">
        <v>30</v>
      </c>
      <c r="B35" s="13" t="inlineStr">
        <is>
          <t>Columns</t>
        </is>
      </c>
      <c r="C35" s="13" t="inlineStr">
        <is>
          <t>STR-012</t>
        </is>
      </c>
      <c r="D35" s="13" t="inlineStr">
        <is>
          <t>SWC-01A (1 nos) GF to next level - links</t>
        </is>
      </c>
      <c r="E35" s="19" t="inlineStr">
        <is>
          <t>1002</t>
        </is>
      </c>
      <c r="F35" s="19" t="n">
        <v>10</v>
      </c>
      <c r="G35" s="19" t="n">
        <v>1</v>
      </c>
      <c r="H35" s="19" t="n">
        <v>32</v>
      </c>
      <c r="I35" s="13">
        <f>G35*H35</f>
        <v>32.0</v>
      </c>
      <c r="J35" s="20">
        <f>2480/1000</f>
        <v>2.48</v>
      </c>
      <c r="K35" s="21">
        <f>I35*J35</f>
        <v>79.36</v>
      </c>
      <c r="L35" s="22">
        <f>F35^2/162</f>
        <v>0.6172839506172839</v>
      </c>
      <c r="M35" s="21">
        <f>K35*L35</f>
        <v>48.98765432098765</v>
      </c>
      <c r="N35" s="22">
        <f>M35/1000</f>
        <v>0.04898765432098765</v>
      </c>
      <c r="O35" s="13" t="inlineStr">
        <is>
          <t>Elevation + BBS length</t>
        </is>
      </c>
    </row>
    <row r="36">
      <c r="A36" s="13" t="n">
        <v>31</v>
      </c>
      <c r="B36" s="13" t="inlineStr">
        <is>
          <t>Columns</t>
        </is>
      </c>
      <c r="C36" s="13" t="inlineStr">
        <is>
          <t>STR-012</t>
        </is>
      </c>
      <c r="D36" s="13" t="inlineStr">
        <is>
          <t>SWC-01A (1 nos) GF to next level - links</t>
        </is>
      </c>
      <c r="E36" s="19" t="inlineStr">
        <is>
          <t>1003</t>
        </is>
      </c>
      <c r="F36" s="19" t="n">
        <v>10</v>
      </c>
      <c r="G36" s="19" t="n">
        <v>1</v>
      </c>
      <c r="H36" s="19">
        <f>7*32</f>
        <v>224.0</v>
      </c>
      <c r="I36" s="13">
        <f>G36*H36</f>
        <v>224.0</v>
      </c>
      <c r="J36" s="20">
        <f>910/1000</f>
        <v>0.91</v>
      </c>
      <c r="K36" s="21">
        <f>I36*J36</f>
        <v>203.84</v>
      </c>
      <c r="L36" s="22">
        <f>F36^2/162</f>
        <v>0.6172839506172839</v>
      </c>
      <c r="M36" s="21">
        <f>K36*L36</f>
        <v>125.82716049382715</v>
      </c>
      <c r="N36" s="22">
        <f>M36/1000</f>
        <v>0.12582716049382714</v>
      </c>
      <c r="O36" s="13" t="inlineStr">
        <is>
          <t>Elevation + BBS length</t>
        </is>
      </c>
    </row>
    <row r="37">
      <c r="A37" s="13" t="n">
        <v>32</v>
      </c>
      <c r="B37" s="13" t="inlineStr">
        <is>
          <t>Columns</t>
        </is>
      </c>
      <c r="C37" s="13" t="inlineStr">
        <is>
          <t>STR-012</t>
        </is>
      </c>
      <c r="D37" s="13" t="inlineStr">
        <is>
          <t>SWC-01A (1 nos) GF to next level - links</t>
        </is>
      </c>
      <c r="E37" s="19" t="inlineStr">
        <is>
          <t>1004</t>
        </is>
      </c>
      <c r="F37" s="19" t="n">
        <v>10</v>
      </c>
      <c r="G37" s="19" t="n">
        <v>1</v>
      </c>
      <c r="H37" s="19">
        <f>4*32</f>
        <v>128.0</v>
      </c>
      <c r="I37" s="13">
        <f>G37*H37</f>
        <v>128.0</v>
      </c>
      <c r="J37" s="20">
        <f>770/1000</f>
        <v>0.77</v>
      </c>
      <c r="K37" s="21">
        <f>I37*J37</f>
        <v>98.56</v>
      </c>
      <c r="L37" s="22">
        <f>F37^2/162</f>
        <v>0.6172839506172839</v>
      </c>
      <c r="M37" s="21">
        <f>K37*L37</f>
        <v>60.839506172839506</v>
      </c>
      <c r="N37" s="22">
        <f>M37/1000</f>
        <v>0.06083950617283951</v>
      </c>
      <c r="O37" s="13" t="inlineStr">
        <is>
          <t>Elevation + BBS length</t>
        </is>
      </c>
    </row>
    <row r="38">
      <c r="A38" s="13" t="n">
        <v>33</v>
      </c>
      <c r="B38" s="13" t="inlineStr">
        <is>
          <t>Columns</t>
        </is>
      </c>
      <c r="C38" s="13" t="inlineStr">
        <is>
          <t>STR-012</t>
        </is>
      </c>
      <c r="D38" s="13" t="inlineStr">
        <is>
          <t>SWC-01A (1 nos) GF to next level - main bars</t>
        </is>
      </c>
      <c r="E38" s="19" t="inlineStr">
        <is>
          <t>2009</t>
        </is>
      </c>
      <c r="F38" s="19" t="n">
        <v>20</v>
      </c>
      <c r="G38" s="19" t="n">
        <v>1</v>
      </c>
      <c r="H38" s="19" t="n">
        <v>48</v>
      </c>
      <c r="I38" s="13">
        <f>G38*H38</f>
        <v>48.0</v>
      </c>
      <c r="J38" s="20">
        <f>5050/1000</f>
        <v>5.05</v>
      </c>
      <c r="K38" s="21">
        <f>I38*J38</f>
        <v>242.39999999999998</v>
      </c>
      <c r="L38" s="22">
        <f>F38^2/162</f>
        <v>2.4691358024691357</v>
      </c>
      <c r="M38" s="21">
        <f>K38*L38</f>
        <v>598.5185185185185</v>
      </c>
      <c r="N38" s="22">
        <f>M38/1000</f>
        <v>0.5985185185185184</v>
      </c>
      <c r="O38" s="13" t="inlineStr">
        <is>
          <t>Elevation + BBS length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STR-015/016</t>
        </is>
      </c>
      <c r="D39" s="13" t="inlineStr">
        <is>
          <t>Main core CW-01 (L=3600mm) GF to 1st - horizontal Y12@150 NF/FF</t>
        </is>
      </c>
      <c r="E39" s="19" t="inlineStr">
        <is>
          <t>H-Y12</t>
        </is>
      </c>
      <c r="F39" s="19" t="n">
        <v>12</v>
      </c>
      <c r="G39" s="19" t="n">
        <v>1</v>
      </c>
      <c r="H39" s="19">
        <f>2*34</f>
        <v>68.0</v>
      </c>
      <c r="I39" s="13">
        <f>G39*H39</f>
        <v>68.0</v>
      </c>
      <c r="J39" s="20">
        <f>(3600-2*30+40*12)/1000</f>
        <v>4.02</v>
      </c>
      <c r="K39" s="21">
        <f>I39*J39</f>
        <v>273.35999999999996</v>
      </c>
      <c r="L39" s="22">
        <f>F39^2/162</f>
        <v>0.8888888888888888</v>
      </c>
      <c r="M39" s="21">
        <f>K39*L39</f>
        <v>242.98666666666662</v>
      </c>
      <c r="N39" s="22">
        <f>M39/1000</f>
        <v>0.24298666666666663</v>
      </c>
      <c r="O39" s="13" t="inlineStr">
        <is>
          <t>Elevation count / plan length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STR-015/016</t>
        </is>
      </c>
      <c r="D40" s="13" t="inlineStr">
        <is>
          <t>Main core CW-01 GF to 1st - vertical Y25@150 NF/FF</t>
        </is>
      </c>
      <c r="E40" s="19" t="inlineStr">
        <is>
          <t>V-Y25</t>
        </is>
      </c>
      <c r="F40" s="19" t="n">
        <v>25</v>
      </c>
      <c r="G40" s="19" t="n">
        <v>1</v>
      </c>
      <c r="H40" s="19">
        <f>2*29</f>
        <v>58.0</v>
      </c>
      <c r="I40" s="13">
        <f>G40*H40</f>
        <v>58.0</v>
      </c>
      <c r="J40" s="20">
        <f>(3850+40*25)/1000</f>
        <v>4.85</v>
      </c>
      <c r="K40" s="21">
        <f>I40*J40</f>
        <v>281.29999999999995</v>
      </c>
      <c r="L40" s="22">
        <f>F40^2/162</f>
        <v>3.8580246913580245</v>
      </c>
      <c r="M40" s="21">
        <f>K40*L40</f>
        <v>1085.262345679012</v>
      </c>
      <c r="N40" s="22">
        <f>M40/1000</f>
        <v>1.085262345679012</v>
      </c>
      <c r="O40" s="13" t="inlineStr">
        <is>
          <t>Elevation / plan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STR-015/016</t>
        </is>
      </c>
      <c r="D41" s="13" t="inlineStr">
        <is>
          <t>Main core CW-05 (L=7250mm) GF to 1st - horizontal Y12@150 NF/FF</t>
        </is>
      </c>
      <c r="E41" s="19" t="inlineStr">
        <is>
          <t>H-Y12</t>
        </is>
      </c>
      <c r="F41" s="19" t="n">
        <v>12</v>
      </c>
      <c r="G41" s="19" t="n">
        <v>1</v>
      </c>
      <c r="H41" s="19">
        <f>2*34</f>
        <v>68.0</v>
      </c>
      <c r="I41" s="13">
        <f>G41*H41</f>
        <v>68.0</v>
      </c>
      <c r="J41" s="20">
        <f>(7250-2*30+40*12)/1000</f>
        <v>7.67</v>
      </c>
      <c r="K41" s="21">
        <f>I41*J41</f>
        <v>521.56</v>
      </c>
      <c r="L41" s="22">
        <f>F41^2/162</f>
        <v>0.8888888888888888</v>
      </c>
      <c r="M41" s="21">
        <f>K41*L41</f>
        <v>463.6088888888888</v>
      </c>
      <c r="N41" s="22">
        <f>M41/1000</f>
        <v>0.46360888888888885</v>
      </c>
      <c r="O41" s="13" t="inlineStr">
        <is>
          <t>Elevation count / plan length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STR-015/016</t>
        </is>
      </c>
      <c r="D42" s="13" t="inlineStr">
        <is>
          <t>Main core CW-05 GF to 1st - vertical Y25@150 NF/FF</t>
        </is>
      </c>
      <c r="E42" s="19" t="inlineStr">
        <is>
          <t>V-Y25</t>
        </is>
      </c>
      <c r="F42" s="19" t="n">
        <v>25</v>
      </c>
      <c r="G42" s="19" t="n">
        <v>1</v>
      </c>
      <c r="H42" s="19">
        <f>2*(ROUNDUP(7250/150,0)+1)</f>
        <v>100.0</v>
      </c>
      <c r="I42" s="13">
        <f>G42*H42</f>
        <v>100.0</v>
      </c>
      <c r="J42" s="20">
        <f>(3850+40*25)/1000</f>
        <v>4.85</v>
      </c>
      <c r="K42" s="21">
        <f>I42*J42</f>
        <v>484.99999999999994</v>
      </c>
      <c r="L42" s="22">
        <f>F42^2/162</f>
        <v>3.8580246913580245</v>
      </c>
      <c r="M42" s="21">
        <f>K42*L42</f>
        <v>1871.1419753086416</v>
      </c>
      <c r="N42" s="22">
        <f>M42/1000</f>
        <v>1.8711419753086416</v>
      </c>
      <c r="O42" s="13" t="inlineStr">
        <is>
          <t>Elevation / plan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STR-015/016</t>
        </is>
      </c>
      <c r="D43" s="13" t="inlineStr">
        <is>
          <t>Main core CW-07 (stair section) (L=7250mm) GF to 1st - horizontal Y12@150 NF/FF</t>
        </is>
      </c>
      <c r="E43" s="19" t="inlineStr">
        <is>
          <t>H-Y12</t>
        </is>
      </c>
      <c r="F43" s="19" t="n">
        <v>12</v>
      </c>
      <c r="G43" s="19" t="n">
        <v>1</v>
      </c>
      <c r="H43" s="19">
        <f>2*34</f>
        <v>68.0</v>
      </c>
      <c r="I43" s="13">
        <f>G43*H43</f>
        <v>68.0</v>
      </c>
      <c r="J43" s="20">
        <f>(7250-2*30+40*12)/1000</f>
        <v>7.67</v>
      </c>
      <c r="K43" s="21">
        <f>I43*J43</f>
        <v>521.56</v>
      </c>
      <c r="L43" s="22">
        <f>F43^2/162</f>
        <v>0.8888888888888888</v>
      </c>
      <c r="M43" s="21">
        <f>K43*L43</f>
        <v>463.6088888888888</v>
      </c>
      <c r="N43" s="22">
        <f>M43/1000</f>
        <v>0.46360888888888885</v>
      </c>
      <c r="O43" s="13" t="inlineStr">
        <is>
          <t>Elevation count / plan length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STR-015/016</t>
        </is>
      </c>
      <c r="D44" s="13" t="inlineStr">
        <is>
          <t>Main core CW-07 (stair section) GF to 1st - vertical Y25@150 NF/FF</t>
        </is>
      </c>
      <c r="E44" s="19" t="inlineStr">
        <is>
          <t>V-Y25</t>
        </is>
      </c>
      <c r="F44" s="19" t="n">
        <v>25</v>
      </c>
      <c r="G44" s="19" t="n">
        <v>1</v>
      </c>
      <c r="H44" s="19">
        <f>2*(ROUNDUP(7250/150,0)+1)</f>
        <v>100.0</v>
      </c>
      <c r="I44" s="13">
        <f>G44*H44</f>
        <v>100.0</v>
      </c>
      <c r="J44" s="20">
        <f>(3850+40*25)/1000</f>
        <v>4.85</v>
      </c>
      <c r="K44" s="21">
        <f>I44*J44</f>
        <v>484.99999999999994</v>
      </c>
      <c r="L44" s="22">
        <f>F44^2/162</f>
        <v>3.8580246913580245</v>
      </c>
      <c r="M44" s="21">
        <f>K44*L44</f>
        <v>1871.1419753086416</v>
      </c>
      <c r="N44" s="22">
        <f>M44/1000</f>
        <v>1.8711419753086416</v>
      </c>
      <c r="O44" s="13" t="inlineStr">
        <is>
          <t>Elevation / plan</t>
        </is>
      </c>
    </row>
    <row r="45">
      <c r="A45" s="13" t="n">
        <v>40</v>
      </c>
      <c r="B45" s="13" t="inlineStr">
        <is>
          <t>Shear Walls</t>
        </is>
      </c>
      <c r="C45" s="13" t="inlineStr">
        <is>
          <t>STR-015/016</t>
        </is>
      </c>
      <c r="D45" s="13" t="inlineStr">
        <is>
          <t>Main core CW-09 (L=1150mm) GF to 1st - horizontal Y12@150 NF/FF</t>
        </is>
      </c>
      <c r="E45" s="19" t="inlineStr">
        <is>
          <t>H-Y12</t>
        </is>
      </c>
      <c r="F45" s="19" t="n">
        <v>12</v>
      </c>
      <c r="G45" s="19" t="n">
        <v>1</v>
      </c>
      <c r="H45" s="19">
        <f>2*34</f>
        <v>68.0</v>
      </c>
      <c r="I45" s="13">
        <f>G45*H45</f>
        <v>68.0</v>
      </c>
      <c r="J45" s="20">
        <f>(1150-2*30+40*12)/1000</f>
        <v>1.57</v>
      </c>
      <c r="K45" s="21">
        <f>I45*J45</f>
        <v>106.76</v>
      </c>
      <c r="L45" s="22">
        <f>F45^2/162</f>
        <v>0.8888888888888888</v>
      </c>
      <c r="M45" s="21">
        <f>K45*L45</f>
        <v>94.89777777777778</v>
      </c>
      <c r="N45" s="22">
        <f>M45/1000</f>
        <v>0.09489777777777778</v>
      </c>
      <c r="O45" s="13" t="inlineStr">
        <is>
          <t>Elevation count / plan length</t>
        </is>
      </c>
    </row>
    <row r="46">
      <c r="A46" s="13" t="n">
        <v>41</v>
      </c>
      <c r="B46" s="13" t="inlineStr">
        <is>
          <t>Shear Walls</t>
        </is>
      </c>
      <c r="C46" s="13" t="inlineStr">
        <is>
          <t>STR-015/016</t>
        </is>
      </c>
      <c r="D46" s="13" t="inlineStr">
        <is>
          <t>Main core CW-09 GF to 1st - vertical Y25@150 NF/FF</t>
        </is>
      </c>
      <c r="E46" s="19" t="inlineStr">
        <is>
          <t>V-Y25</t>
        </is>
      </c>
      <c r="F46" s="19" t="n">
        <v>25</v>
      </c>
      <c r="G46" s="19" t="n">
        <v>1</v>
      </c>
      <c r="H46" s="19">
        <f>2*(ROUNDUP(1150/150,0)+1)</f>
        <v>18.0</v>
      </c>
      <c r="I46" s="13">
        <f>G46*H46</f>
        <v>18.0</v>
      </c>
      <c r="J46" s="20">
        <f>(3850+40*25)/1000</f>
        <v>4.85</v>
      </c>
      <c r="K46" s="21">
        <f>I46*J46</f>
        <v>87.3</v>
      </c>
      <c r="L46" s="22">
        <f>F46^2/162</f>
        <v>3.8580246913580245</v>
      </c>
      <c r="M46" s="21">
        <f>K46*L46</f>
        <v>336.80555555555554</v>
      </c>
      <c r="N46" s="22">
        <f>M46/1000</f>
        <v>0.3368055555555555</v>
      </c>
      <c r="O46" s="13" t="inlineStr">
        <is>
          <t>Elevation / plan</t>
        </is>
      </c>
    </row>
    <row r="47">
      <c r="A47" s="13" t="n">
        <v>42</v>
      </c>
      <c r="B47" s="13" t="inlineStr">
        <is>
          <t>Shear Walls</t>
        </is>
      </c>
      <c r="C47" s="13" t="inlineStr">
        <is>
          <t>STR-015/016</t>
        </is>
      </c>
      <c r="D47" s="13" t="inlineStr">
        <is>
          <t>Main core CW-10 (L=1150mm) GF to 1st - horizontal Y12@150 NF/FF</t>
        </is>
      </c>
      <c r="E47" s="19" t="inlineStr">
        <is>
          <t>H-Y12</t>
        </is>
      </c>
      <c r="F47" s="19" t="n">
        <v>12</v>
      </c>
      <c r="G47" s="19" t="n">
        <v>1</v>
      </c>
      <c r="H47" s="19">
        <f>2*34</f>
        <v>68.0</v>
      </c>
      <c r="I47" s="13">
        <f>G47*H47</f>
        <v>68.0</v>
      </c>
      <c r="J47" s="20">
        <f>(1150-2*30+40*12)/1000</f>
        <v>1.57</v>
      </c>
      <c r="K47" s="21">
        <f>I47*J47</f>
        <v>106.76</v>
      </c>
      <c r="L47" s="22">
        <f>F47^2/162</f>
        <v>0.8888888888888888</v>
      </c>
      <c r="M47" s="21">
        <f>K47*L47</f>
        <v>94.89777777777778</v>
      </c>
      <c r="N47" s="22">
        <f>M47/1000</f>
        <v>0.09489777777777778</v>
      </c>
      <c r="O47" s="13" t="inlineStr">
        <is>
          <t>Elevation count / plan length</t>
        </is>
      </c>
    </row>
    <row r="48">
      <c r="A48" s="13" t="n">
        <v>43</v>
      </c>
      <c r="B48" s="13" t="inlineStr">
        <is>
          <t>Shear Walls</t>
        </is>
      </c>
      <c r="C48" s="13" t="inlineStr">
        <is>
          <t>STR-015/016</t>
        </is>
      </c>
      <c r="D48" s="13" t="inlineStr">
        <is>
          <t>Main core CW-10 GF to 1st - vertical Y25@150 NF/FF</t>
        </is>
      </c>
      <c r="E48" s="19" t="inlineStr">
        <is>
          <t>V-Y25</t>
        </is>
      </c>
      <c r="F48" s="19" t="n">
        <v>25</v>
      </c>
      <c r="G48" s="19" t="n">
        <v>1</v>
      </c>
      <c r="H48" s="19">
        <f>2*(ROUNDUP(1150/150,0)+1)</f>
        <v>18.0</v>
      </c>
      <c r="I48" s="13">
        <f>G48*H48</f>
        <v>18.0</v>
      </c>
      <c r="J48" s="20">
        <f>(3850+40*25)/1000</f>
        <v>4.85</v>
      </c>
      <c r="K48" s="21">
        <f>I48*J48</f>
        <v>87.3</v>
      </c>
      <c r="L48" s="22">
        <f>F48^2/162</f>
        <v>3.8580246913580245</v>
      </c>
      <c r="M48" s="21">
        <f>K48*L48</f>
        <v>336.80555555555554</v>
      </c>
      <c r="N48" s="22">
        <f>M48/1000</f>
        <v>0.3368055555555555</v>
      </c>
      <c r="O48" s="13" t="inlineStr">
        <is>
          <t>Elevation / plan</t>
        </is>
      </c>
    </row>
    <row r="49">
      <c r="A49" s="13" t="n">
        <v>44</v>
      </c>
      <c r="B49" s="13" t="inlineStr">
        <is>
          <t>Shear Walls</t>
        </is>
      </c>
      <c r="C49" s="13" t="inlineStr">
        <is>
          <t>STR-015/016</t>
        </is>
      </c>
      <c r="D49" s="13" t="inlineStr">
        <is>
          <t>Main core CW-11 (L=1650mm) GF to 1st - horizontal Y12@150 NF/FF</t>
        </is>
      </c>
      <c r="E49" s="19" t="inlineStr">
        <is>
          <t>H-Y12</t>
        </is>
      </c>
      <c r="F49" s="19" t="n">
        <v>12</v>
      </c>
      <c r="G49" s="19" t="n">
        <v>1</v>
      </c>
      <c r="H49" s="19">
        <f>2*34</f>
        <v>68.0</v>
      </c>
      <c r="I49" s="13">
        <f>G49*H49</f>
        <v>68.0</v>
      </c>
      <c r="J49" s="20">
        <f>(1650-2*30+40*12)/1000</f>
        <v>2.07</v>
      </c>
      <c r="K49" s="21">
        <f>I49*J49</f>
        <v>140.76</v>
      </c>
      <c r="L49" s="22">
        <f>F49^2/162</f>
        <v>0.8888888888888888</v>
      </c>
      <c r="M49" s="21">
        <f>K49*L49</f>
        <v>125.11999999999999</v>
      </c>
      <c r="N49" s="22">
        <f>M49/1000</f>
        <v>0.12511999999999998</v>
      </c>
      <c r="O49" s="13" t="inlineStr">
        <is>
          <t>Elevation count / plan length</t>
        </is>
      </c>
    </row>
    <row r="50">
      <c r="A50" s="13" t="n">
        <v>45</v>
      </c>
      <c r="B50" s="13" t="inlineStr">
        <is>
          <t>Shear Walls</t>
        </is>
      </c>
      <c r="C50" s="13" t="inlineStr">
        <is>
          <t>STR-015/016</t>
        </is>
      </c>
      <c r="D50" s="13" t="inlineStr">
        <is>
          <t>Main core CW-11 GF to 1st - vertical Y25@150 NF/FF</t>
        </is>
      </c>
      <c r="E50" s="19" t="inlineStr">
        <is>
          <t>V-Y25</t>
        </is>
      </c>
      <c r="F50" s="19" t="n">
        <v>25</v>
      </c>
      <c r="G50" s="19" t="n">
        <v>1</v>
      </c>
      <c r="H50" s="19">
        <f>2*(ROUNDUP(1650/150,0)+1)</f>
        <v>24.0</v>
      </c>
      <c r="I50" s="13">
        <f>G50*H50</f>
        <v>24.0</v>
      </c>
      <c r="J50" s="20">
        <f>(3850+40*25)/1000</f>
        <v>4.85</v>
      </c>
      <c r="K50" s="21">
        <f>I50*J50</f>
        <v>116.39999999999999</v>
      </c>
      <c r="L50" s="22">
        <f>F50^2/162</f>
        <v>3.8580246913580245</v>
      </c>
      <c r="M50" s="21">
        <f>K50*L50</f>
        <v>449.074074074074</v>
      </c>
      <c r="N50" s="22">
        <f>M50/1000</f>
        <v>0.449074074074074</v>
      </c>
      <c r="O50" s="13" t="inlineStr">
        <is>
          <t>Elevation / plan</t>
        </is>
      </c>
    </row>
    <row r="51">
      <c r="A51" s="13" t="n">
        <v>46</v>
      </c>
      <c r="B51" s="13" t="inlineStr">
        <is>
          <t>Shear Walls</t>
        </is>
      </c>
      <c r="C51" s="13" t="inlineStr">
        <is>
          <t>STR-015/016</t>
        </is>
      </c>
      <c r="D51" s="13" t="inlineStr">
        <is>
          <t>Main core confinement links Y10@150 (26 positions on plan) GF to 1st</t>
        </is>
      </c>
      <c r="E51" s="19" t="inlineStr">
        <is>
          <t>LNK-Y10</t>
        </is>
      </c>
      <c r="F51" s="19" t="n">
        <v>10</v>
      </c>
      <c r="G51" s="19" t="n">
        <v>1</v>
      </c>
      <c r="H51" s="19">
        <f>26*ROUNDUP(3850/150,0)</f>
        <v>676.0</v>
      </c>
      <c r="I51" s="13">
        <f>G51*H51</f>
        <v>676.0</v>
      </c>
      <c r="J51" s="20">
        <f>1800/1000</f>
        <v>1.8</v>
      </c>
      <c r="K51" s="21">
        <f>I51*J51</f>
        <v>1216.8</v>
      </c>
      <c r="L51" s="22">
        <f>F51^2/162</f>
        <v>0.6172839506172839</v>
      </c>
      <c r="M51" s="21">
        <f>K51*L51</f>
        <v>751.1111111111111</v>
      </c>
      <c r="N51" s="22">
        <f>M51/1000</f>
        <v>0.7511111111111111</v>
      </c>
      <c r="O51" s="13" t="inlineStr">
        <is>
          <t>Assumed link cut length</t>
        </is>
      </c>
    </row>
    <row r="52">
      <c r="A52" s="13" t="n">
        <v>47</v>
      </c>
      <c r="B52" s="13" t="inlineStr">
        <is>
          <t>Shear Walls</t>
        </is>
      </c>
      <c r="C52" s="13" t="inlineStr">
        <is>
          <t>STR-013/014</t>
        </is>
      </c>
      <c r="D52" s="13" t="inlineStr">
        <is>
          <t>Emergency stair core CW-12 (L=7050mm) GF to M1 - horizontal Y12@150 NF/FF</t>
        </is>
      </c>
      <c r="E52" s="19" t="inlineStr">
        <is>
          <t>H-Y12</t>
        </is>
      </c>
      <c r="F52" s="19" t="n">
        <v>12</v>
      </c>
      <c r="G52" s="19" t="n">
        <v>1</v>
      </c>
      <c r="H52" s="19">
        <f>2*15</f>
        <v>30.0</v>
      </c>
      <c r="I52" s="13">
        <f>G52*H52</f>
        <v>30.0</v>
      </c>
      <c r="J52" s="20">
        <f>(7050-2*30+40*12)/1000</f>
        <v>7.47</v>
      </c>
      <c r="K52" s="21">
        <f>I52*J52</f>
        <v>224.1</v>
      </c>
      <c r="L52" s="22">
        <f>F52^2/162</f>
        <v>0.8888888888888888</v>
      </c>
      <c r="M52" s="21">
        <f>K52*L52</f>
        <v>199.2</v>
      </c>
      <c r="N52" s="22">
        <f>M52/1000</f>
        <v>0.1992</v>
      </c>
      <c r="O52" s="13" t="inlineStr">
        <is>
          <t>Elevation count / plan length</t>
        </is>
      </c>
    </row>
    <row r="53">
      <c r="A53" s="13" t="n">
        <v>48</v>
      </c>
      <c r="B53" s="13" t="inlineStr">
        <is>
          <t>Shear Walls</t>
        </is>
      </c>
      <c r="C53" s="13" t="inlineStr">
        <is>
          <t>STR-013/014</t>
        </is>
      </c>
      <c r="D53" s="13" t="inlineStr">
        <is>
          <t>Emergency stair core CW-12 GF to M1 - vertical Y25@150 NF/FF</t>
        </is>
      </c>
      <c r="E53" s="19" t="inlineStr">
        <is>
          <t>V-Y25</t>
        </is>
      </c>
      <c r="F53" s="19" t="n">
        <v>25</v>
      </c>
      <c r="G53" s="19" t="n">
        <v>1</v>
      </c>
      <c r="H53" s="19">
        <f>2*(ROUNDUP(7050/150,0)+1)</f>
        <v>96.0</v>
      </c>
      <c r="I53" s="13">
        <f>G53*H53</f>
        <v>96.0</v>
      </c>
      <c r="J53" s="20">
        <f>(2500+40*25)/1000</f>
        <v>3.5</v>
      </c>
      <c r="K53" s="21">
        <f>I53*J53</f>
        <v>336.0</v>
      </c>
      <c r="L53" s="22">
        <f>F53^2/162</f>
        <v>3.8580246913580245</v>
      </c>
      <c r="M53" s="21">
        <f>K53*L53</f>
        <v>1296.2962962962963</v>
      </c>
      <c r="N53" s="22">
        <f>M53/1000</f>
        <v>1.2962962962962963</v>
      </c>
      <c r="O53" s="13" t="inlineStr">
        <is>
          <t>Elevation / plan</t>
        </is>
      </c>
    </row>
    <row r="54">
      <c r="A54" s="13" t="n">
        <v>49</v>
      </c>
      <c r="B54" s="13" t="inlineStr">
        <is>
          <t>Shear Walls</t>
        </is>
      </c>
      <c r="C54" s="13" t="inlineStr">
        <is>
          <t>STR-013/014</t>
        </is>
      </c>
      <c r="D54" s="13" t="inlineStr">
        <is>
          <t>Emergency stair core CW-13 (L=7810mm) GF to M1 - horizontal Y12@150 NF/FF</t>
        </is>
      </c>
      <c r="E54" s="19" t="inlineStr">
        <is>
          <t>H-Y12</t>
        </is>
      </c>
      <c r="F54" s="19" t="n">
        <v>12</v>
      </c>
      <c r="G54" s="19" t="n">
        <v>1</v>
      </c>
      <c r="H54" s="19">
        <f>2*15</f>
        <v>30.0</v>
      </c>
      <c r="I54" s="13">
        <f>G54*H54</f>
        <v>30.0</v>
      </c>
      <c r="J54" s="20">
        <f>(7810-2*30+40*12)/1000</f>
        <v>8.23</v>
      </c>
      <c r="K54" s="21">
        <f>I54*J54</f>
        <v>246.9</v>
      </c>
      <c r="L54" s="22">
        <f>F54^2/162</f>
        <v>0.8888888888888888</v>
      </c>
      <c r="M54" s="21">
        <f>K54*L54</f>
        <v>219.46666666666667</v>
      </c>
      <c r="N54" s="22">
        <f>M54/1000</f>
        <v>0.21946666666666667</v>
      </c>
      <c r="O54" s="13" t="inlineStr">
        <is>
          <t>Elevation count / plan length</t>
        </is>
      </c>
    </row>
    <row r="55">
      <c r="A55" s="13" t="n">
        <v>50</v>
      </c>
      <c r="B55" s="13" t="inlineStr">
        <is>
          <t>Shear Walls</t>
        </is>
      </c>
      <c r="C55" s="13" t="inlineStr">
        <is>
          <t>STR-013/014</t>
        </is>
      </c>
      <c r="D55" s="13" t="inlineStr">
        <is>
          <t>Emergency stair core CW-13 GF to M1 - vertical Y25@150 NF/FF</t>
        </is>
      </c>
      <c r="E55" s="19" t="inlineStr">
        <is>
          <t>V-Y25</t>
        </is>
      </c>
      <c r="F55" s="19" t="n">
        <v>25</v>
      </c>
      <c r="G55" s="19" t="n">
        <v>1</v>
      </c>
      <c r="H55" s="19">
        <f>2*52</f>
        <v>104.0</v>
      </c>
      <c r="I55" s="13">
        <f>G55*H55</f>
        <v>104.0</v>
      </c>
      <c r="J55" s="20">
        <f>(2500+40*25)/1000</f>
        <v>3.5</v>
      </c>
      <c r="K55" s="21">
        <f>I55*J55</f>
        <v>364.0</v>
      </c>
      <c r="L55" s="22">
        <f>F55^2/162</f>
        <v>3.8580246913580245</v>
      </c>
      <c r="M55" s="21">
        <f>K55*L55</f>
        <v>1404.320987654321</v>
      </c>
      <c r="N55" s="22">
        <f>M55/1000</f>
        <v>1.404320987654321</v>
      </c>
      <c r="O55" s="13" t="inlineStr">
        <is>
          <t>Elevation / plan</t>
        </is>
      </c>
    </row>
    <row r="56">
      <c r="A56" s="13" t="n">
        <v>51</v>
      </c>
      <c r="B56" s="13" t="inlineStr">
        <is>
          <t>Shear Walls</t>
        </is>
      </c>
      <c r="C56" s="13" t="inlineStr">
        <is>
          <t>STR-013/014</t>
        </is>
      </c>
      <c r="D56" s="13" t="inlineStr">
        <is>
          <t>Emergency stair core CW-14 (L=3450mm) GF to M1 - horizontal Y12@150 NF/FF</t>
        </is>
      </c>
      <c r="E56" s="19" t="inlineStr">
        <is>
          <t>H-Y12</t>
        </is>
      </c>
      <c r="F56" s="19" t="n">
        <v>12</v>
      </c>
      <c r="G56" s="19" t="n">
        <v>1</v>
      </c>
      <c r="H56" s="19">
        <f>2*15</f>
        <v>30.0</v>
      </c>
      <c r="I56" s="13">
        <f>G56*H56</f>
        <v>30.0</v>
      </c>
      <c r="J56" s="20">
        <f>(3450-2*30+40*12)/1000</f>
        <v>3.87</v>
      </c>
      <c r="K56" s="21">
        <f>I56*J56</f>
        <v>116.10000000000001</v>
      </c>
      <c r="L56" s="22">
        <f>F56^2/162</f>
        <v>0.8888888888888888</v>
      </c>
      <c r="M56" s="21">
        <f>K56*L56</f>
        <v>103.2</v>
      </c>
      <c r="N56" s="22">
        <f>M56/1000</f>
        <v>0.1032</v>
      </c>
      <c r="O56" s="13" t="inlineStr">
        <is>
          <t>Elevation count / plan length</t>
        </is>
      </c>
    </row>
    <row r="57">
      <c r="A57" s="13" t="n">
        <v>52</v>
      </c>
      <c r="B57" s="13" t="inlineStr">
        <is>
          <t>Shear Walls</t>
        </is>
      </c>
      <c r="C57" s="13" t="inlineStr">
        <is>
          <t>STR-013/014</t>
        </is>
      </c>
      <c r="D57" s="13" t="inlineStr">
        <is>
          <t>Emergency stair core CW-14 GF to M1 - vertical Y25@150 NF/FF</t>
        </is>
      </c>
      <c r="E57" s="19" t="inlineStr">
        <is>
          <t>V-Y25</t>
        </is>
      </c>
      <c r="F57" s="19" t="n">
        <v>25</v>
      </c>
      <c r="G57" s="19" t="n">
        <v>1</v>
      </c>
      <c r="H57" s="19">
        <f>2*(ROUNDUP(3450/150,0)+1)</f>
        <v>48.0</v>
      </c>
      <c r="I57" s="13">
        <f>G57*H57</f>
        <v>48.0</v>
      </c>
      <c r="J57" s="20">
        <f>(2500+40*25)/1000</f>
        <v>3.5</v>
      </c>
      <c r="K57" s="21">
        <f>I57*J57</f>
        <v>168.0</v>
      </c>
      <c r="L57" s="22">
        <f>F57^2/162</f>
        <v>3.8580246913580245</v>
      </c>
      <c r="M57" s="21">
        <f>K57*L57</f>
        <v>648.1481481481482</v>
      </c>
      <c r="N57" s="22">
        <f>M57/1000</f>
        <v>0.6481481481481481</v>
      </c>
      <c r="O57" s="13" t="inlineStr">
        <is>
          <t>Elevation / plan</t>
        </is>
      </c>
    </row>
    <row r="58">
      <c r="A58" s="13" t="n">
        <v>53</v>
      </c>
      <c r="B58" s="13" t="inlineStr">
        <is>
          <t>Shear Walls</t>
        </is>
      </c>
      <c r="C58" s="13" t="inlineStr">
        <is>
          <t>STR-013/014</t>
        </is>
      </c>
      <c r="D58" s="13" t="inlineStr">
        <is>
          <t>Emergency stair core CW-15 (L=2425mm) GF to M1 - horizontal Y12@150 NF/FF</t>
        </is>
      </c>
      <c r="E58" s="19" t="inlineStr">
        <is>
          <t>H-Y12</t>
        </is>
      </c>
      <c r="F58" s="19" t="n">
        <v>12</v>
      </c>
      <c r="G58" s="19" t="n">
        <v>1</v>
      </c>
      <c r="H58" s="19">
        <f>2*15</f>
        <v>30.0</v>
      </c>
      <c r="I58" s="13">
        <f>G58*H58</f>
        <v>30.0</v>
      </c>
      <c r="J58" s="20">
        <f>(2425-2*30+40*12)/1000</f>
        <v>2.845</v>
      </c>
      <c r="K58" s="21">
        <f>I58*J58</f>
        <v>85.35000000000001</v>
      </c>
      <c r="L58" s="22">
        <f>F58^2/162</f>
        <v>0.8888888888888888</v>
      </c>
      <c r="M58" s="21">
        <f>K58*L58</f>
        <v>75.86666666666667</v>
      </c>
      <c r="N58" s="22">
        <f>M58/1000</f>
        <v>0.07586666666666668</v>
      </c>
      <c r="O58" s="13" t="inlineStr">
        <is>
          <t>Elevation count / plan length</t>
        </is>
      </c>
    </row>
    <row r="59">
      <c r="A59" s="13" t="n">
        <v>54</v>
      </c>
      <c r="B59" s="13" t="inlineStr">
        <is>
          <t>Shear Walls</t>
        </is>
      </c>
      <c r="C59" s="13" t="inlineStr">
        <is>
          <t>STR-013/014</t>
        </is>
      </c>
      <c r="D59" s="13" t="inlineStr">
        <is>
          <t>Emergency stair core CW-15 GF to M1 - vertical Y25@150 NF/FF</t>
        </is>
      </c>
      <c r="E59" s="19" t="inlineStr">
        <is>
          <t>V-Y25</t>
        </is>
      </c>
      <c r="F59" s="19" t="n">
        <v>25</v>
      </c>
      <c r="G59" s="19" t="n">
        <v>1</v>
      </c>
      <c r="H59" s="19">
        <f>2*(ROUNDUP(2425/150,0)+1)</f>
        <v>36.0</v>
      </c>
      <c r="I59" s="13">
        <f>G59*H59</f>
        <v>36.0</v>
      </c>
      <c r="J59" s="20">
        <f>(2500+40*25)/1000</f>
        <v>3.5</v>
      </c>
      <c r="K59" s="21">
        <f>I59*J59</f>
        <v>126.0</v>
      </c>
      <c r="L59" s="22">
        <f>F59^2/162</f>
        <v>3.8580246913580245</v>
      </c>
      <c r="M59" s="21">
        <f>K59*L59</f>
        <v>486.1111111111111</v>
      </c>
      <c r="N59" s="22">
        <f>M59/1000</f>
        <v>0.4861111111111111</v>
      </c>
      <c r="O59" s="13" t="inlineStr">
        <is>
          <t>Elevation / plan</t>
        </is>
      </c>
    </row>
    <row r="60">
      <c r="A60" s="13" t="n">
        <v>55</v>
      </c>
      <c r="B60" s="13" t="inlineStr">
        <is>
          <t>Shear Walls</t>
        </is>
      </c>
      <c r="C60" s="13" t="inlineStr">
        <is>
          <t>STR-013/014</t>
        </is>
      </c>
      <c r="D60" s="13" t="inlineStr">
        <is>
          <t>Emergency stair core CW-16 (L=775mm) GF to M1 - horizontal Y12@150 NF/FF</t>
        </is>
      </c>
      <c r="E60" s="19" t="inlineStr">
        <is>
          <t>H-Y12</t>
        </is>
      </c>
      <c r="F60" s="19" t="n">
        <v>12</v>
      </c>
      <c r="G60" s="19" t="n">
        <v>1</v>
      </c>
      <c r="H60" s="19">
        <f>2*15</f>
        <v>30.0</v>
      </c>
      <c r="I60" s="13">
        <f>G60*H60</f>
        <v>30.0</v>
      </c>
      <c r="J60" s="20">
        <f>(775-2*30+40*12)/1000</f>
        <v>1.195</v>
      </c>
      <c r="K60" s="21">
        <f>I60*J60</f>
        <v>35.85</v>
      </c>
      <c r="L60" s="22">
        <f>F60^2/162</f>
        <v>0.8888888888888888</v>
      </c>
      <c r="M60" s="21">
        <f>K60*L60</f>
        <v>31.866666666666667</v>
      </c>
      <c r="N60" s="22">
        <f>M60/1000</f>
        <v>0.03186666666666667</v>
      </c>
      <c r="O60" s="13" t="inlineStr">
        <is>
          <t>Elevation count / plan length</t>
        </is>
      </c>
    </row>
    <row r="61">
      <c r="A61" s="13" t="n">
        <v>56</v>
      </c>
      <c r="B61" s="13" t="inlineStr">
        <is>
          <t>Shear Walls</t>
        </is>
      </c>
      <c r="C61" s="13" t="inlineStr">
        <is>
          <t>STR-013/014</t>
        </is>
      </c>
      <c r="D61" s="13" t="inlineStr">
        <is>
          <t>Emergency stair core CW-16 GF to M1 - vertical Y25@150 NF/FF</t>
        </is>
      </c>
      <c r="E61" s="19" t="inlineStr">
        <is>
          <t>V-Y25</t>
        </is>
      </c>
      <c r="F61" s="19" t="n">
        <v>25</v>
      </c>
      <c r="G61" s="19" t="n">
        <v>1</v>
      </c>
      <c r="H61" s="19">
        <f>2*(ROUNDUP(775/150,0)+1)</f>
        <v>14.0</v>
      </c>
      <c r="I61" s="13">
        <f>G61*H61</f>
        <v>14.0</v>
      </c>
      <c r="J61" s="20">
        <f>(2500+40*25)/1000</f>
        <v>3.5</v>
      </c>
      <c r="K61" s="21">
        <f>I61*J61</f>
        <v>49.0</v>
      </c>
      <c r="L61" s="22">
        <f>F61^2/162</f>
        <v>3.8580246913580245</v>
      </c>
      <c r="M61" s="21">
        <f>K61*L61</f>
        <v>189.0432098765432</v>
      </c>
      <c r="N61" s="22">
        <f>M61/1000</f>
        <v>0.1890432098765432</v>
      </c>
      <c r="O61" s="13" t="inlineStr">
        <is>
          <t>Elevation / plan</t>
        </is>
      </c>
    </row>
    <row r="62">
      <c r="A62" s="13" t="n">
        <v>57</v>
      </c>
      <c r="B62" s="13" t="inlineStr">
        <is>
          <t>Shear Walls</t>
        </is>
      </c>
      <c r="C62" s="13" t="inlineStr">
        <is>
          <t>STR-013/014</t>
        </is>
      </c>
      <c r="D62" s="13" t="inlineStr">
        <is>
          <t>Emergency stair core CW-17 (L=360mm) GF to M1 - horizontal Y12@150 NF/FF</t>
        </is>
      </c>
      <c r="E62" s="19" t="inlineStr">
        <is>
          <t>H-Y12</t>
        </is>
      </c>
      <c r="F62" s="19" t="n">
        <v>12</v>
      </c>
      <c r="G62" s="19" t="n">
        <v>1</v>
      </c>
      <c r="H62" s="19">
        <f>2*15</f>
        <v>30.0</v>
      </c>
      <c r="I62" s="13">
        <f>G62*H62</f>
        <v>30.0</v>
      </c>
      <c r="J62" s="20">
        <f>(360-2*30+40*12)/1000</f>
        <v>0.78</v>
      </c>
      <c r="K62" s="21">
        <f>I62*J62</f>
        <v>23.400000000000002</v>
      </c>
      <c r="L62" s="22">
        <f>F62^2/162</f>
        <v>0.8888888888888888</v>
      </c>
      <c r="M62" s="21">
        <f>K62*L62</f>
        <v>20.8</v>
      </c>
      <c r="N62" s="22">
        <f>M62/1000</f>
        <v>0.0208</v>
      </c>
      <c r="O62" s="13" t="inlineStr">
        <is>
          <t>Elevation count / plan length</t>
        </is>
      </c>
    </row>
    <row r="63">
      <c r="A63" s="13" t="n">
        <v>58</v>
      </c>
      <c r="B63" s="13" t="inlineStr">
        <is>
          <t>Shear Walls</t>
        </is>
      </c>
      <c r="C63" s="13" t="inlineStr">
        <is>
          <t>STR-013/014</t>
        </is>
      </c>
      <c r="D63" s="13" t="inlineStr">
        <is>
          <t>Emergency stair core CW-17 GF to M1 - vertical Y25@150 NF/FF</t>
        </is>
      </c>
      <c r="E63" s="19" t="inlineStr">
        <is>
          <t>V-Y25</t>
        </is>
      </c>
      <c r="F63" s="19" t="n">
        <v>25</v>
      </c>
      <c r="G63" s="19" t="n">
        <v>1</v>
      </c>
      <c r="H63" s="19">
        <f>2*(ROUNDUP(360/150,0)+1)</f>
        <v>8.0</v>
      </c>
      <c r="I63" s="13">
        <f>G63*H63</f>
        <v>8.0</v>
      </c>
      <c r="J63" s="20">
        <f>(2500+40*25)/1000</f>
        <v>3.5</v>
      </c>
      <c r="K63" s="21">
        <f>I63*J63</f>
        <v>28.0</v>
      </c>
      <c r="L63" s="22">
        <f>F63^2/162</f>
        <v>3.8580246913580245</v>
      </c>
      <c r="M63" s="21">
        <f>K63*L63</f>
        <v>108.02469135802468</v>
      </c>
      <c r="N63" s="22">
        <f>M63/1000</f>
        <v>0.10802469135802469</v>
      </c>
      <c r="O63" s="13" t="inlineStr">
        <is>
          <t>Elevation / plan</t>
        </is>
      </c>
    </row>
    <row r="64">
      <c r="A64" s="13" t="n">
        <v>59</v>
      </c>
      <c r="B64" s="13" t="inlineStr">
        <is>
          <t>Shear Walls</t>
        </is>
      </c>
      <c r="C64" s="13" t="inlineStr">
        <is>
          <t>STR-013/014</t>
        </is>
      </c>
      <c r="D64" s="13" t="inlineStr">
        <is>
          <t>Emergency stair core CW-18 (L=1300mm) GF to M1 - horizontal Y12@150 NF/FF</t>
        </is>
      </c>
      <c r="E64" s="19" t="inlineStr">
        <is>
          <t>H-Y12</t>
        </is>
      </c>
      <c r="F64" s="19" t="n">
        <v>12</v>
      </c>
      <c r="G64" s="19" t="n">
        <v>1</v>
      </c>
      <c r="H64" s="19">
        <f>2*15</f>
        <v>30.0</v>
      </c>
      <c r="I64" s="13">
        <f>G64*H64</f>
        <v>30.0</v>
      </c>
      <c r="J64" s="20">
        <f>(1300-2*30+40*12)/1000</f>
        <v>1.72</v>
      </c>
      <c r="K64" s="21">
        <f>I64*J64</f>
        <v>51.6</v>
      </c>
      <c r="L64" s="22">
        <f>F64^2/162</f>
        <v>0.8888888888888888</v>
      </c>
      <c r="M64" s="21">
        <f>K64*L64</f>
        <v>45.86666666666667</v>
      </c>
      <c r="N64" s="22">
        <f>M64/1000</f>
        <v>0.04586666666666667</v>
      </c>
      <c r="O64" s="13" t="inlineStr">
        <is>
          <t>Elevation count / plan length</t>
        </is>
      </c>
    </row>
    <row r="65">
      <c r="A65" s="13" t="n">
        <v>60</v>
      </c>
      <c r="B65" s="13" t="inlineStr">
        <is>
          <t>Shear Walls</t>
        </is>
      </c>
      <c r="C65" s="13" t="inlineStr">
        <is>
          <t>STR-013/014</t>
        </is>
      </c>
      <c r="D65" s="13" t="inlineStr">
        <is>
          <t>Emergency stair core CW-18 GF to M1 - vertical Y25@150 NF/FF</t>
        </is>
      </c>
      <c r="E65" s="19" t="inlineStr">
        <is>
          <t>V-Y25</t>
        </is>
      </c>
      <c r="F65" s="19" t="n">
        <v>25</v>
      </c>
      <c r="G65" s="19" t="n">
        <v>1</v>
      </c>
      <c r="H65" s="19">
        <f>2*(ROUNDUP(1300/150,0)+1)</f>
        <v>20.0</v>
      </c>
      <c r="I65" s="13">
        <f>G65*H65</f>
        <v>20.0</v>
      </c>
      <c r="J65" s="20">
        <f>(2500+40*25)/1000</f>
        <v>3.5</v>
      </c>
      <c r="K65" s="21">
        <f>I65*J65</f>
        <v>70.0</v>
      </c>
      <c r="L65" s="22">
        <f>F65^2/162</f>
        <v>3.8580246913580245</v>
      </c>
      <c r="M65" s="21">
        <f>K65*L65</f>
        <v>270.0617283950617</v>
      </c>
      <c r="N65" s="22">
        <f>M65/1000</f>
        <v>0.2700617283950617</v>
      </c>
      <c r="O65" s="13" t="inlineStr">
        <is>
          <t>Elevation / plan</t>
        </is>
      </c>
    </row>
    <row r="66">
      <c r="A66" s="13" t="n">
        <v>61</v>
      </c>
      <c r="B66" s="13" t="inlineStr">
        <is>
          <t>Shear Walls</t>
        </is>
      </c>
      <c r="C66" s="13" t="inlineStr">
        <is>
          <t>STR-013/014</t>
        </is>
      </c>
      <c r="D66" s="13" t="inlineStr">
        <is>
          <t>Emergency stair core CW-19 (L=1100mm) GF to M1 - horizontal Y12@150 NF/FF</t>
        </is>
      </c>
      <c r="E66" s="19" t="inlineStr">
        <is>
          <t>H-Y12</t>
        </is>
      </c>
      <c r="F66" s="19" t="n">
        <v>12</v>
      </c>
      <c r="G66" s="19" t="n">
        <v>1</v>
      </c>
      <c r="H66" s="19">
        <f>2*15</f>
        <v>30.0</v>
      </c>
      <c r="I66" s="13">
        <f>G66*H66</f>
        <v>30.0</v>
      </c>
      <c r="J66" s="20">
        <f>(1100-2*30+40*12)/1000</f>
        <v>1.52</v>
      </c>
      <c r="K66" s="21">
        <f>I66*J66</f>
        <v>45.6</v>
      </c>
      <c r="L66" s="22">
        <f>F66^2/162</f>
        <v>0.8888888888888888</v>
      </c>
      <c r="M66" s="21">
        <f>K66*L66</f>
        <v>40.53333333333333</v>
      </c>
      <c r="N66" s="22">
        <f>M66/1000</f>
        <v>0.04053333333333333</v>
      </c>
      <c r="O66" s="13" t="inlineStr">
        <is>
          <t>Elevation count / plan length</t>
        </is>
      </c>
    </row>
    <row r="67">
      <c r="A67" s="13" t="n">
        <v>62</v>
      </c>
      <c r="B67" s="13" t="inlineStr">
        <is>
          <t>Shear Walls</t>
        </is>
      </c>
      <c r="C67" s="13" t="inlineStr">
        <is>
          <t>STR-013/014</t>
        </is>
      </c>
      <c r="D67" s="13" t="inlineStr">
        <is>
          <t>Emergency stair core CW-19 GF to M1 - vertical Y25@150 NF/FF</t>
        </is>
      </c>
      <c r="E67" s="19" t="inlineStr">
        <is>
          <t>V-Y25</t>
        </is>
      </c>
      <c r="F67" s="19" t="n">
        <v>25</v>
      </c>
      <c r="G67" s="19" t="n">
        <v>1</v>
      </c>
      <c r="H67" s="19">
        <f>2*(ROUNDUP(1100/150,0)+1)</f>
        <v>18.0</v>
      </c>
      <c r="I67" s="13">
        <f>G67*H67</f>
        <v>18.0</v>
      </c>
      <c r="J67" s="20">
        <f>(2500+40*25)/1000</f>
        <v>3.5</v>
      </c>
      <c r="K67" s="21">
        <f>I67*J67</f>
        <v>63.0</v>
      </c>
      <c r="L67" s="22">
        <f>F67^2/162</f>
        <v>3.8580246913580245</v>
      </c>
      <c r="M67" s="21">
        <f>K67*L67</f>
        <v>243.05555555555554</v>
      </c>
      <c r="N67" s="22">
        <f>M67/1000</f>
        <v>0.24305555555555555</v>
      </c>
      <c r="O67" s="13" t="inlineStr">
        <is>
          <t>Elevation / plan</t>
        </is>
      </c>
    </row>
    <row r="68">
      <c r="A68" s="13" t="n">
        <v>63</v>
      </c>
      <c r="B68" s="13" t="inlineStr">
        <is>
          <t>Shear Walls</t>
        </is>
      </c>
      <c r="C68" s="13" t="inlineStr">
        <is>
          <t>STR-013/014</t>
        </is>
      </c>
      <c r="D68" s="13" t="inlineStr">
        <is>
          <t>Emergency stair core CW-20 (L=1300mm) GF to M1 - horizontal Y12@150 NF/FF</t>
        </is>
      </c>
      <c r="E68" s="19" t="inlineStr">
        <is>
          <t>H-Y12</t>
        </is>
      </c>
      <c r="F68" s="19" t="n">
        <v>12</v>
      </c>
      <c r="G68" s="19" t="n">
        <v>1</v>
      </c>
      <c r="H68" s="19">
        <f>2*15</f>
        <v>30.0</v>
      </c>
      <c r="I68" s="13">
        <f>G68*H68</f>
        <v>30.0</v>
      </c>
      <c r="J68" s="20">
        <f>(1300-2*30+40*12)/1000</f>
        <v>1.72</v>
      </c>
      <c r="K68" s="21">
        <f>I68*J68</f>
        <v>51.6</v>
      </c>
      <c r="L68" s="22">
        <f>F68^2/162</f>
        <v>0.8888888888888888</v>
      </c>
      <c r="M68" s="21">
        <f>K68*L68</f>
        <v>45.86666666666667</v>
      </c>
      <c r="N68" s="22">
        <f>M68/1000</f>
        <v>0.04586666666666667</v>
      </c>
      <c r="O68" s="13" t="inlineStr">
        <is>
          <t>Elevation count / plan length</t>
        </is>
      </c>
    </row>
    <row r="69">
      <c r="A69" s="13" t="n">
        <v>64</v>
      </c>
      <c r="B69" s="13" t="inlineStr">
        <is>
          <t>Shear Walls</t>
        </is>
      </c>
      <c r="C69" s="13" t="inlineStr">
        <is>
          <t>STR-013/014</t>
        </is>
      </c>
      <c r="D69" s="13" t="inlineStr">
        <is>
          <t>Emergency stair core CW-20 GF to M1 - vertical Y25@150 NF/FF</t>
        </is>
      </c>
      <c r="E69" s="19" t="inlineStr">
        <is>
          <t>V-Y25</t>
        </is>
      </c>
      <c r="F69" s="19" t="n">
        <v>25</v>
      </c>
      <c r="G69" s="19" t="n">
        <v>1</v>
      </c>
      <c r="H69" s="19">
        <f>2*(ROUNDUP(1300/150,0)+1)</f>
        <v>20.0</v>
      </c>
      <c r="I69" s="13">
        <f>G69*H69</f>
        <v>20.0</v>
      </c>
      <c r="J69" s="20">
        <f>(2500+40*25)/1000</f>
        <v>3.5</v>
      </c>
      <c r="K69" s="21">
        <f>I69*J69</f>
        <v>70.0</v>
      </c>
      <c r="L69" s="22">
        <f>F69^2/162</f>
        <v>3.8580246913580245</v>
      </c>
      <c r="M69" s="21">
        <f>K69*L69</f>
        <v>270.0617283950617</v>
      </c>
      <c r="N69" s="22">
        <f>M69/1000</f>
        <v>0.2700617283950617</v>
      </c>
      <c r="O69" s="13" t="inlineStr">
        <is>
          <t>Elevation / plan</t>
        </is>
      </c>
    </row>
    <row r="70">
      <c r="A70" s="13" t="n">
        <v>65</v>
      </c>
      <c r="B70" s="13" t="inlineStr">
        <is>
          <t>Shear Walls</t>
        </is>
      </c>
      <c r="C70" s="13" t="inlineStr">
        <is>
          <t>STR-013/014</t>
        </is>
      </c>
      <c r="D70" s="13" t="inlineStr">
        <is>
          <t>Emergency stair core confinement links Y10@150 (33 positions on plan) GF to M1</t>
        </is>
      </c>
      <c r="E70" s="19" t="inlineStr">
        <is>
          <t>LNK-Y10</t>
        </is>
      </c>
      <c r="F70" s="19" t="n">
        <v>10</v>
      </c>
      <c r="G70" s="19" t="n">
        <v>1</v>
      </c>
      <c r="H70" s="19">
        <f>33*ROUNDUP(2500/150,0)</f>
        <v>561.0</v>
      </c>
      <c r="I70" s="13">
        <f>G70*H70</f>
        <v>561.0</v>
      </c>
      <c r="J70" s="20">
        <f>1800/1000</f>
        <v>1.8</v>
      </c>
      <c r="K70" s="21">
        <f>I70*J70</f>
        <v>1009.8000000000001</v>
      </c>
      <c r="L70" s="22">
        <f>F70^2/162</f>
        <v>0.6172839506172839</v>
      </c>
      <c r="M70" s="21">
        <f>K70*L70</f>
        <v>623.3333333333334</v>
      </c>
      <c r="N70" s="22">
        <f>M70/1000</f>
        <v>0.6233333333333334</v>
      </c>
      <c r="O70" s="13" t="inlineStr">
        <is>
          <t>Assumed link cut length</t>
        </is>
      </c>
    </row>
    <row r="71">
      <c r="A71" s="13" t="n">
        <v>66</v>
      </c>
      <c r="B71" s="13" t="inlineStr">
        <is>
          <t>Lift Walls</t>
        </is>
      </c>
      <c r="C71" s="13" t="inlineStr">
        <is>
          <t>STR-015/017</t>
        </is>
      </c>
      <c r="D71" s="13" t="inlineStr">
        <is>
          <t>Main core (lift shafts) CW-02 (L=3600mm) GF to 1st - horizontal Y12@150 NF/FF</t>
        </is>
      </c>
      <c r="E71" s="19" t="inlineStr">
        <is>
          <t>H-Y12</t>
        </is>
      </c>
      <c r="F71" s="19" t="n">
        <v>12</v>
      </c>
      <c r="G71" s="19" t="n">
        <v>1</v>
      </c>
      <c r="H71" s="19">
        <f>2*34</f>
        <v>68.0</v>
      </c>
      <c r="I71" s="13">
        <f>G71*H71</f>
        <v>68.0</v>
      </c>
      <c r="J71" s="20">
        <f>(3600-2*30+40*12)/1000</f>
        <v>4.02</v>
      </c>
      <c r="K71" s="21">
        <f>I71*J71</f>
        <v>273.35999999999996</v>
      </c>
      <c r="L71" s="22">
        <f>F71^2/162</f>
        <v>0.8888888888888888</v>
      </c>
      <c r="M71" s="21">
        <f>K71*L71</f>
        <v>242.98666666666662</v>
      </c>
      <c r="N71" s="22">
        <f>M71/1000</f>
        <v>0.24298666666666663</v>
      </c>
      <c r="O71" s="13" t="inlineStr">
        <is>
          <t>Elevation count / plan length</t>
        </is>
      </c>
    </row>
    <row r="72">
      <c r="A72" s="13" t="n">
        <v>67</v>
      </c>
      <c r="B72" s="13" t="inlineStr">
        <is>
          <t>Lift Walls</t>
        </is>
      </c>
      <c r="C72" s="13" t="inlineStr">
        <is>
          <t>STR-015/017</t>
        </is>
      </c>
      <c r="D72" s="13" t="inlineStr">
        <is>
          <t>Main core (lift shafts) CW-02 GF to 1st - vertical Y25@150 NF/FF</t>
        </is>
      </c>
      <c r="E72" s="19" t="inlineStr">
        <is>
          <t>V-Y25</t>
        </is>
      </c>
      <c r="F72" s="19" t="n">
        <v>25</v>
      </c>
      <c r="G72" s="19" t="n">
        <v>1</v>
      </c>
      <c r="H72" s="19">
        <f>2*29</f>
        <v>58.0</v>
      </c>
      <c r="I72" s="13">
        <f>G72*H72</f>
        <v>58.0</v>
      </c>
      <c r="J72" s="20">
        <f>(3850+40*25)/1000</f>
        <v>4.85</v>
      </c>
      <c r="K72" s="21">
        <f>I72*J72</f>
        <v>281.29999999999995</v>
      </c>
      <c r="L72" s="22">
        <f>F72^2/162</f>
        <v>3.8580246913580245</v>
      </c>
      <c r="M72" s="21">
        <f>K72*L72</f>
        <v>1085.262345679012</v>
      </c>
      <c r="N72" s="22">
        <f>M72/1000</f>
        <v>1.085262345679012</v>
      </c>
      <c r="O72" s="13" t="inlineStr">
        <is>
          <t>Elevation / plan</t>
        </is>
      </c>
    </row>
    <row r="73">
      <c r="A73" s="13" t="n">
        <v>68</v>
      </c>
      <c r="B73" s="13" t="inlineStr">
        <is>
          <t>Lift Walls</t>
        </is>
      </c>
      <c r="C73" s="13" t="inlineStr">
        <is>
          <t>STR-015/017</t>
        </is>
      </c>
      <c r="D73" s="13" t="inlineStr">
        <is>
          <t>Main core (lift shafts) CW-03 (L=3600mm) GF to 1st - horizontal Y12@150 NF/FF</t>
        </is>
      </c>
      <c r="E73" s="19" t="inlineStr">
        <is>
          <t>H-Y12</t>
        </is>
      </c>
      <c r="F73" s="19" t="n">
        <v>12</v>
      </c>
      <c r="G73" s="19" t="n">
        <v>1</v>
      </c>
      <c r="H73" s="19">
        <f>2*34</f>
        <v>68.0</v>
      </c>
      <c r="I73" s="13">
        <f>G73*H73</f>
        <v>68.0</v>
      </c>
      <c r="J73" s="20">
        <f>(3600-2*30+40*12)/1000</f>
        <v>4.02</v>
      </c>
      <c r="K73" s="21">
        <f>I73*J73</f>
        <v>273.35999999999996</v>
      </c>
      <c r="L73" s="22">
        <f>F73^2/162</f>
        <v>0.8888888888888888</v>
      </c>
      <c r="M73" s="21">
        <f>K73*L73</f>
        <v>242.98666666666662</v>
      </c>
      <c r="N73" s="22">
        <f>M73/1000</f>
        <v>0.24298666666666663</v>
      </c>
      <c r="O73" s="13" t="inlineStr">
        <is>
          <t>Elevation count / plan length</t>
        </is>
      </c>
    </row>
    <row r="74">
      <c r="A74" s="13" t="n">
        <v>69</v>
      </c>
      <c r="B74" s="13" t="inlineStr">
        <is>
          <t>Lift Walls</t>
        </is>
      </c>
      <c r="C74" s="13" t="inlineStr">
        <is>
          <t>STR-015/017</t>
        </is>
      </c>
      <c r="D74" s="13" t="inlineStr">
        <is>
          <t>Main core (lift shafts) CW-03 GF to 1st - vertical Y25@150 NF/FF</t>
        </is>
      </c>
      <c r="E74" s="19" t="inlineStr">
        <is>
          <t>V-Y25</t>
        </is>
      </c>
      <c r="F74" s="19" t="n">
        <v>25</v>
      </c>
      <c r="G74" s="19" t="n">
        <v>1</v>
      </c>
      <c r="H74" s="19">
        <f>2*29</f>
        <v>58.0</v>
      </c>
      <c r="I74" s="13">
        <f>G74*H74</f>
        <v>58.0</v>
      </c>
      <c r="J74" s="20">
        <f>(3850+40*25)/1000</f>
        <v>4.85</v>
      </c>
      <c r="K74" s="21">
        <f>I74*J74</f>
        <v>281.29999999999995</v>
      </c>
      <c r="L74" s="22">
        <f>F74^2/162</f>
        <v>3.8580246913580245</v>
      </c>
      <c r="M74" s="21">
        <f>K74*L74</f>
        <v>1085.262345679012</v>
      </c>
      <c r="N74" s="22">
        <f>M74/1000</f>
        <v>1.085262345679012</v>
      </c>
      <c r="O74" s="13" t="inlineStr">
        <is>
          <t>Elevation / plan</t>
        </is>
      </c>
    </row>
    <row r="75">
      <c r="A75" s="13" t="n">
        <v>70</v>
      </c>
      <c r="B75" s="13" t="inlineStr">
        <is>
          <t>Lift Walls</t>
        </is>
      </c>
      <c r="C75" s="13" t="inlineStr">
        <is>
          <t>STR-015/017</t>
        </is>
      </c>
      <c r="D75" s="13" t="inlineStr">
        <is>
          <t>Main core (lift shafts) CW-04 (L=3600mm) GF to 1st - horizontal Y12@150 NF/FF</t>
        </is>
      </c>
      <c r="E75" s="19" t="inlineStr">
        <is>
          <t>H-Y12</t>
        </is>
      </c>
      <c r="F75" s="19" t="n">
        <v>12</v>
      </c>
      <c r="G75" s="19" t="n">
        <v>1</v>
      </c>
      <c r="H75" s="19">
        <f>2*34</f>
        <v>68.0</v>
      </c>
      <c r="I75" s="13">
        <f>G75*H75</f>
        <v>68.0</v>
      </c>
      <c r="J75" s="20">
        <f>(3600-2*30+40*12)/1000</f>
        <v>4.02</v>
      </c>
      <c r="K75" s="21">
        <f>I75*J75</f>
        <v>273.35999999999996</v>
      </c>
      <c r="L75" s="22">
        <f>F75^2/162</f>
        <v>0.8888888888888888</v>
      </c>
      <c r="M75" s="21">
        <f>K75*L75</f>
        <v>242.98666666666662</v>
      </c>
      <c r="N75" s="22">
        <f>M75/1000</f>
        <v>0.24298666666666663</v>
      </c>
      <c r="O75" s="13" t="inlineStr">
        <is>
          <t>Elevation count / plan length</t>
        </is>
      </c>
    </row>
    <row r="76">
      <c r="A76" s="13" t="n">
        <v>71</v>
      </c>
      <c r="B76" s="13" t="inlineStr">
        <is>
          <t>Lift Walls</t>
        </is>
      </c>
      <c r="C76" s="13" t="inlineStr">
        <is>
          <t>STR-015/017</t>
        </is>
      </c>
      <c r="D76" s="13" t="inlineStr">
        <is>
          <t>Main core (lift shafts) CW-04 GF to 1st - vertical Y25@150 NF/FF</t>
        </is>
      </c>
      <c r="E76" s="19" t="inlineStr">
        <is>
          <t>V-Y25</t>
        </is>
      </c>
      <c r="F76" s="19" t="n">
        <v>25</v>
      </c>
      <c r="G76" s="19" t="n">
        <v>1</v>
      </c>
      <c r="H76" s="19">
        <f>2*29</f>
        <v>58.0</v>
      </c>
      <c r="I76" s="13">
        <f>G76*H76</f>
        <v>58.0</v>
      </c>
      <c r="J76" s="20">
        <f>(3850+40*25)/1000</f>
        <v>4.85</v>
      </c>
      <c r="K76" s="21">
        <f>I76*J76</f>
        <v>281.29999999999995</v>
      </c>
      <c r="L76" s="22">
        <f>F76^2/162</f>
        <v>3.8580246913580245</v>
      </c>
      <c r="M76" s="21">
        <f>K76*L76</f>
        <v>1085.262345679012</v>
      </c>
      <c r="N76" s="22">
        <f>M76/1000</f>
        <v>1.085262345679012</v>
      </c>
      <c r="O76" s="13" t="inlineStr">
        <is>
          <t>Elevation / plan</t>
        </is>
      </c>
    </row>
    <row r="77">
      <c r="A77" s="13" t="n">
        <v>72</v>
      </c>
      <c r="B77" s="13" t="inlineStr">
        <is>
          <t>Lift Walls</t>
        </is>
      </c>
      <c r="C77" s="13" t="inlineStr">
        <is>
          <t>STR-015/017</t>
        </is>
      </c>
      <c r="D77" s="13" t="inlineStr">
        <is>
          <t>Main core (lift shafts) CW-06 (L=2025mm) GF to 1st - horizontal Y12@150 NF/FF</t>
        </is>
      </c>
      <c r="E77" s="19" t="inlineStr">
        <is>
          <t>H-Y12</t>
        </is>
      </c>
      <c r="F77" s="19" t="n">
        <v>12</v>
      </c>
      <c r="G77" s="19" t="n">
        <v>1</v>
      </c>
      <c r="H77" s="19">
        <f>2*34</f>
        <v>68.0</v>
      </c>
      <c r="I77" s="13">
        <f>G77*H77</f>
        <v>68.0</v>
      </c>
      <c r="J77" s="20">
        <f>(2025-2*30+40*12)/1000</f>
        <v>2.445</v>
      </c>
      <c r="K77" s="21">
        <f>I77*J77</f>
        <v>166.26</v>
      </c>
      <c r="L77" s="22">
        <f>F77^2/162</f>
        <v>0.8888888888888888</v>
      </c>
      <c r="M77" s="21">
        <f>K77*L77</f>
        <v>147.78666666666666</v>
      </c>
      <c r="N77" s="22">
        <f>M77/1000</f>
        <v>0.14778666666666665</v>
      </c>
      <c r="O77" s="13" t="inlineStr">
        <is>
          <t>Elevation count / plan length</t>
        </is>
      </c>
    </row>
    <row r="78">
      <c r="A78" s="13" t="n">
        <v>73</v>
      </c>
      <c r="B78" s="13" t="inlineStr">
        <is>
          <t>Lift Walls</t>
        </is>
      </c>
      <c r="C78" s="13" t="inlineStr">
        <is>
          <t>STR-015/017</t>
        </is>
      </c>
      <c r="D78" s="13" t="inlineStr">
        <is>
          <t>Main core (lift shafts) CW-06 GF to 1st - vertical Y25@150 NF/FF</t>
        </is>
      </c>
      <c r="E78" s="19" t="inlineStr">
        <is>
          <t>V-Y25</t>
        </is>
      </c>
      <c r="F78" s="19" t="n">
        <v>25</v>
      </c>
      <c r="G78" s="19" t="n">
        <v>1</v>
      </c>
      <c r="H78" s="19">
        <f>2*(ROUNDUP(2025/150,0)+1)</f>
        <v>30.0</v>
      </c>
      <c r="I78" s="13">
        <f>G78*H78</f>
        <v>30.0</v>
      </c>
      <c r="J78" s="20">
        <f>(3850+40*25)/1000</f>
        <v>4.85</v>
      </c>
      <c r="K78" s="21">
        <f>I78*J78</f>
        <v>145.5</v>
      </c>
      <c r="L78" s="22">
        <f>F78^2/162</f>
        <v>3.8580246913580245</v>
      </c>
      <c r="M78" s="21">
        <f>K78*L78</f>
        <v>561.3425925925926</v>
      </c>
      <c r="N78" s="22">
        <f>M78/1000</f>
        <v>0.5613425925925926</v>
      </c>
      <c r="O78" s="13" t="inlineStr">
        <is>
          <t>Elevation / plan</t>
        </is>
      </c>
    </row>
    <row r="79">
      <c r="A79" s="13" t="n">
        <v>74</v>
      </c>
      <c r="B79" s="13" t="inlineStr">
        <is>
          <t>Lift Walls</t>
        </is>
      </c>
      <c r="C79" s="13" t="inlineStr">
        <is>
          <t>STR-015/017</t>
        </is>
      </c>
      <c r="D79" s="13" t="inlineStr">
        <is>
          <t>Main core (lift shafts) CW-08 (L=4500mm) GF to 1st - horizontal Y12@150 NF/FF</t>
        </is>
      </c>
      <c r="E79" s="19" t="inlineStr">
        <is>
          <t>H-Y12</t>
        </is>
      </c>
      <c r="F79" s="19" t="n">
        <v>12</v>
      </c>
      <c r="G79" s="19" t="n">
        <v>1</v>
      </c>
      <c r="H79" s="19">
        <f>2*34</f>
        <v>68.0</v>
      </c>
      <c r="I79" s="13">
        <f>G79*H79</f>
        <v>68.0</v>
      </c>
      <c r="J79" s="20">
        <f>(4500-2*30+40*12)/1000</f>
        <v>4.92</v>
      </c>
      <c r="K79" s="21">
        <f>I79*J79</f>
        <v>334.56</v>
      </c>
      <c r="L79" s="22">
        <f>F79^2/162</f>
        <v>0.8888888888888888</v>
      </c>
      <c r="M79" s="21">
        <f>K79*L79</f>
        <v>297.38666666666666</v>
      </c>
      <c r="N79" s="22">
        <f>M79/1000</f>
        <v>0.29738666666666663</v>
      </c>
      <c r="O79" s="13" t="inlineStr">
        <is>
          <t>Elevation count / plan length</t>
        </is>
      </c>
    </row>
    <row r="80">
      <c r="A80" s="13" t="n">
        <v>75</v>
      </c>
      <c r="B80" s="13" t="inlineStr">
        <is>
          <t>Lift Walls</t>
        </is>
      </c>
      <c r="C80" s="13" t="inlineStr">
        <is>
          <t>STR-015/017</t>
        </is>
      </c>
      <c r="D80" s="13" t="inlineStr">
        <is>
          <t>Main core (lift shafts) CW-08 GF to 1st - vertical Y25@150 NF/FF</t>
        </is>
      </c>
      <c r="E80" s="19" t="inlineStr">
        <is>
          <t>V-Y25</t>
        </is>
      </c>
      <c r="F80" s="19" t="n">
        <v>25</v>
      </c>
      <c r="G80" s="19" t="n">
        <v>1</v>
      </c>
      <c r="H80" s="19">
        <f>2*(ROUNDUP(4500/150,0)+1)</f>
        <v>62.0</v>
      </c>
      <c r="I80" s="13">
        <f>G80*H80</f>
        <v>62.0</v>
      </c>
      <c r="J80" s="20">
        <f>(3850+40*25)/1000</f>
        <v>4.85</v>
      </c>
      <c r="K80" s="21">
        <f>I80*J80</f>
        <v>300.7</v>
      </c>
      <c r="L80" s="22">
        <f>F80^2/162</f>
        <v>3.8580246913580245</v>
      </c>
      <c r="M80" s="21">
        <f>K80*L80</f>
        <v>1160.108024691358</v>
      </c>
      <c r="N80" s="22">
        <f>M80/1000</f>
        <v>1.160108024691358</v>
      </c>
      <c r="O80" s="13" t="inlineStr">
        <is>
          <t>Elevation / plan</t>
        </is>
      </c>
    </row>
    <row r="81">
      <c r="A81" s="13" t="n">
        <v>76</v>
      </c>
      <c r="B81" s="13" t="inlineStr">
        <is>
          <t>Lift Walls</t>
        </is>
      </c>
      <c r="C81" s="13" t="inlineStr">
        <is>
          <t>STR-015/017</t>
        </is>
      </c>
      <c r="D81" s="13" t="inlineStr">
        <is>
          <t>Main core (lift shafts) CW-07 (lift section) (L=4500mm) GF to 1st - horizontal Y12@150 NF/FF</t>
        </is>
      </c>
      <c r="E81" s="19" t="inlineStr">
        <is>
          <t>H-Y12</t>
        </is>
      </c>
      <c r="F81" s="19" t="n">
        <v>12</v>
      </c>
      <c r="G81" s="19" t="n">
        <v>1</v>
      </c>
      <c r="H81" s="19">
        <f>2*34</f>
        <v>68.0</v>
      </c>
      <c r="I81" s="13">
        <f>G81*H81</f>
        <v>68.0</v>
      </c>
      <c r="J81" s="20">
        <f>(4500-2*30+40*12)/1000</f>
        <v>4.92</v>
      </c>
      <c r="K81" s="21">
        <f>I81*J81</f>
        <v>334.56</v>
      </c>
      <c r="L81" s="22">
        <f>F81^2/162</f>
        <v>0.8888888888888888</v>
      </c>
      <c r="M81" s="21">
        <f>K81*L81</f>
        <v>297.38666666666666</v>
      </c>
      <c r="N81" s="22">
        <f>M81/1000</f>
        <v>0.29738666666666663</v>
      </c>
      <c r="O81" s="13" t="inlineStr">
        <is>
          <t>Elevation count / plan length</t>
        </is>
      </c>
    </row>
    <row r="82">
      <c r="A82" s="13" t="n">
        <v>77</v>
      </c>
      <c r="B82" s="13" t="inlineStr">
        <is>
          <t>Lift Walls</t>
        </is>
      </c>
      <c r="C82" s="13" t="inlineStr">
        <is>
          <t>STR-015/017</t>
        </is>
      </c>
      <c r="D82" s="13" t="inlineStr">
        <is>
          <t>Main core (lift shafts) CW-07 (lift section) GF to 1st - vertical Y25@150 NF/FF</t>
        </is>
      </c>
      <c r="E82" s="19" t="inlineStr">
        <is>
          <t>V-Y25</t>
        </is>
      </c>
      <c r="F82" s="19" t="n">
        <v>25</v>
      </c>
      <c r="G82" s="19" t="n">
        <v>1</v>
      </c>
      <c r="H82" s="19">
        <f>2*(ROUNDUP(4500/150,0)+1)</f>
        <v>62.0</v>
      </c>
      <c r="I82" s="13">
        <f>G82*H82</f>
        <v>62.0</v>
      </c>
      <c r="J82" s="20">
        <f>(3850+40*25)/1000</f>
        <v>4.85</v>
      </c>
      <c r="K82" s="21">
        <f>I82*J82</f>
        <v>300.7</v>
      </c>
      <c r="L82" s="22">
        <f>F82^2/162</f>
        <v>3.8580246913580245</v>
      </c>
      <c r="M82" s="21">
        <f>K82*L82</f>
        <v>1160.108024691358</v>
      </c>
      <c r="N82" s="22">
        <f>M82/1000</f>
        <v>1.160108024691358</v>
      </c>
      <c r="O82" s="13" t="inlineStr">
        <is>
          <t>Elevation / plan</t>
        </is>
      </c>
    </row>
    <row r="83">
      <c r="A83" s="13" t="n">
        <v>78</v>
      </c>
      <c r="B83" s="13" t="inlineStr">
        <is>
          <t>Lift Walls</t>
        </is>
      </c>
      <c r="C83" s="13" t="inlineStr">
        <is>
          <t>STR-015/017</t>
        </is>
      </c>
      <c r="D83" s="13" t="inlineStr">
        <is>
          <t>Main core (lift shafts) confinement links Y10@150 (26 positions on plan) GF to 1st</t>
        </is>
      </c>
      <c r="E83" s="19" t="inlineStr">
        <is>
          <t>LNK-Y10</t>
        </is>
      </c>
      <c r="F83" s="19" t="n">
        <v>10</v>
      </c>
      <c r="G83" s="19" t="n">
        <v>1</v>
      </c>
      <c r="H83" s="19">
        <f>26*ROUNDUP(3850/150,0)</f>
        <v>676.0</v>
      </c>
      <c r="I83" s="13">
        <f>G83*H83</f>
        <v>676.0</v>
      </c>
      <c r="J83" s="20">
        <f>1800/1000</f>
        <v>1.8</v>
      </c>
      <c r="K83" s="21">
        <f>I83*J83</f>
        <v>1216.8</v>
      </c>
      <c r="L83" s="22">
        <f>F83^2/162</f>
        <v>0.6172839506172839</v>
      </c>
      <c r="M83" s="21">
        <f>K83*L83</f>
        <v>751.1111111111111</v>
      </c>
      <c r="N83" s="22">
        <f>M83/1000</f>
        <v>0.7511111111111111</v>
      </c>
      <c r="O83" s="13" t="inlineStr">
        <is>
          <t>Assumed link cut length</t>
        </is>
      </c>
    </row>
    <row r="84">
      <c r="A84" s="13" t="n">
        <v>79</v>
      </c>
      <c r="B84" s="13" t="inlineStr">
        <is>
          <t>Retaining / Ramp Walls</t>
        </is>
      </c>
      <c r="C84" s="13" t="inlineStr">
        <is>
          <t>STR-002</t>
        </is>
      </c>
      <c r="D84" s="13" t="inlineStr">
        <is>
          <t>RAMP-01 wall 250 thk x 7400 long x 3500 high (raft top -1000 to M1 +2500) - horizontal Y12@150 NF/FF (PROVISIONAL)</t>
        </is>
      </c>
      <c r="E84" s="19" t="inlineStr">
        <is>
          <t>H-Y12</t>
        </is>
      </c>
      <c r="F84" s="19" t="n">
        <v>12</v>
      </c>
      <c r="G84" s="19" t="n">
        <v>1</v>
      </c>
      <c r="H84" s="19">
        <f>2*ROUNDUP(3500/150,0)</f>
        <v>48.0</v>
      </c>
      <c r="I84" s="13">
        <f>G84*H84</f>
        <v>48.0</v>
      </c>
      <c r="J84" s="20">
        <f>(7400-2*30+40*12)/1000</f>
        <v>7.82</v>
      </c>
      <c r="K84" s="21">
        <f>I84*J84</f>
        <v>375.36</v>
      </c>
      <c r="L84" s="22">
        <f>F84^2/162</f>
        <v>0.8888888888888888</v>
      </c>
      <c r="M84" s="21">
        <f>K84*L84</f>
        <v>333.6533333333333</v>
      </c>
      <c r="N84" s="22">
        <f>M84/1000</f>
        <v>0.3336533333333333</v>
      </c>
      <c r="O84" s="13" t="inlineStr">
        <is>
          <t>Provisional</t>
        </is>
      </c>
    </row>
    <row r="85">
      <c r="A85" s="13" t="n">
        <v>80</v>
      </c>
      <c r="B85" s="13" t="inlineStr">
        <is>
          <t>Retaining / Ramp Walls</t>
        </is>
      </c>
      <c r="C85" s="13" t="inlineStr">
        <is>
          <t>STR-002</t>
        </is>
      </c>
      <c r="D85" s="13" t="inlineStr">
        <is>
          <t>RAMP-01 wall - vertical Y12@150 NF/FF (PROVISIONAL)</t>
        </is>
      </c>
      <c r="E85" s="19" t="inlineStr">
        <is>
          <t>V-Y12</t>
        </is>
      </c>
      <c r="F85" s="19" t="n">
        <v>12</v>
      </c>
      <c r="G85" s="19" t="n">
        <v>1</v>
      </c>
      <c r="H85" s="19">
        <f>2*(ROUNDUP(7400/150,0)+1)</f>
        <v>102.0</v>
      </c>
      <c r="I85" s="13">
        <f>G85*H85</f>
        <v>102.0</v>
      </c>
      <c r="J85" s="20">
        <f>(1250+350+3500+40*12)/1000</f>
        <v>5.58</v>
      </c>
      <c r="K85" s="21">
        <f>I85*J85</f>
        <v>569.16</v>
      </c>
      <c r="L85" s="22">
        <f>F85^2/162</f>
        <v>0.8888888888888888</v>
      </c>
      <c r="M85" s="21">
        <f>K85*L85</f>
        <v>505.91999999999996</v>
      </c>
      <c r="N85" s="22">
        <f>M85/1000</f>
        <v>0.5059199999999999</v>
      </c>
      <c r="O85" s="13" t="inlineStr">
        <is>
          <t>Provisional</t>
        </is>
      </c>
    </row>
    <row r="86">
      <c r="A86" s="13" t="n">
        <v>81</v>
      </c>
      <c r="B86" s="13" t="inlineStr">
        <is>
          <t>Staircases</t>
        </is>
      </c>
      <c r="C86" s="13" t="inlineStr">
        <is>
          <t>STR-019</t>
        </is>
      </c>
      <c r="D86" s="13" t="inlineStr">
        <is>
          <t>Main staircase GF to 1st floor</t>
        </is>
      </c>
      <c r="E86" s="19" t="inlineStr">
        <is>
          <t>1201</t>
        </is>
      </c>
      <c r="F86" s="19" t="n">
        <v>12</v>
      </c>
      <c r="G86" s="19" t="n">
        <v>1</v>
      </c>
      <c r="H86" s="19" t="n">
        <v>30</v>
      </c>
      <c r="I86" s="13">
        <f>G86*H86</f>
        <v>30.0</v>
      </c>
      <c r="J86" s="20">
        <f>6200/1000</f>
        <v>6.2</v>
      </c>
      <c r="K86" s="21">
        <f>I86*J86</f>
        <v>186.0</v>
      </c>
      <c r="L86" s="22">
        <f>F86^2/162</f>
        <v>0.8888888888888888</v>
      </c>
      <c r="M86" s="21">
        <f>K86*L86</f>
        <v>165.33333333333331</v>
      </c>
      <c r="N86" s="22">
        <f>M86/1000</f>
        <v>0.1653333333333333</v>
      </c>
      <c r="O86" s="13" t="inlineStr">
        <is>
          <t>BBS</t>
        </is>
      </c>
    </row>
    <row r="87">
      <c r="A87" s="13" t="n">
        <v>82</v>
      </c>
      <c r="B87" s="13" t="inlineStr">
        <is>
          <t>Staircases</t>
        </is>
      </c>
      <c r="C87" s="13" t="inlineStr">
        <is>
          <t>STR-019</t>
        </is>
      </c>
      <c r="D87" s="13" t="inlineStr">
        <is>
          <t>Main staircase GF to 1st floor</t>
        </is>
      </c>
      <c r="E87" s="19" t="inlineStr">
        <is>
          <t>1202</t>
        </is>
      </c>
      <c r="F87" s="19" t="n">
        <v>12</v>
      </c>
      <c r="G87" s="19" t="n">
        <v>1</v>
      </c>
      <c r="H87" s="19" t="n">
        <v>80</v>
      </c>
      <c r="I87" s="13">
        <f>G87*H87</f>
        <v>80.0</v>
      </c>
      <c r="J87" s="20">
        <f>2300/1000</f>
        <v>2.3</v>
      </c>
      <c r="K87" s="21">
        <f>I87*J87</f>
        <v>184.0</v>
      </c>
      <c r="L87" s="22">
        <f>F87^2/162</f>
        <v>0.8888888888888888</v>
      </c>
      <c r="M87" s="21">
        <f>K87*L87</f>
        <v>163.55555555555554</v>
      </c>
      <c r="N87" s="22">
        <f>M87/1000</f>
        <v>0.16355555555555554</v>
      </c>
      <c r="O87" s="13" t="inlineStr">
        <is>
          <t>BBS</t>
        </is>
      </c>
    </row>
    <row r="88">
      <c r="A88" s="13" t="n">
        <v>83</v>
      </c>
      <c r="B88" s="13" t="inlineStr">
        <is>
          <t>Staircases</t>
        </is>
      </c>
      <c r="C88" s="13" t="inlineStr">
        <is>
          <t>STR-019</t>
        </is>
      </c>
      <c r="D88" s="13" t="inlineStr">
        <is>
          <t>Main staircase GF to 1st floor</t>
        </is>
      </c>
      <c r="E88" s="19" t="inlineStr">
        <is>
          <t>1203</t>
        </is>
      </c>
      <c r="F88" s="19" t="n">
        <v>12</v>
      </c>
      <c r="G88" s="19" t="n">
        <v>1</v>
      </c>
      <c r="H88" s="19" t="n">
        <v>26</v>
      </c>
      <c r="I88" s="13">
        <f>G88*H88</f>
        <v>26.0</v>
      </c>
      <c r="J88" s="20">
        <f>4800/1000</f>
        <v>4.8</v>
      </c>
      <c r="K88" s="21">
        <f>I88*J88</f>
        <v>124.8</v>
      </c>
      <c r="L88" s="22">
        <f>F88^2/162</f>
        <v>0.8888888888888888</v>
      </c>
      <c r="M88" s="21">
        <f>K88*L88</f>
        <v>110.93333333333332</v>
      </c>
      <c r="N88" s="22">
        <f>M88/1000</f>
        <v>0.11093333333333333</v>
      </c>
      <c r="O88" s="13" t="inlineStr">
        <is>
          <t>BBS</t>
        </is>
      </c>
    </row>
    <row r="89">
      <c r="A89" s="13" t="n">
        <v>84</v>
      </c>
      <c r="B89" s="13" t="inlineStr">
        <is>
          <t>Staircases</t>
        </is>
      </c>
      <c r="C89" s="13" t="inlineStr">
        <is>
          <t>STR-019</t>
        </is>
      </c>
      <c r="D89" s="13" t="inlineStr">
        <is>
          <t>Main staircase GF to 1st floor</t>
        </is>
      </c>
      <c r="E89" s="19" t="inlineStr">
        <is>
          <t>1601</t>
        </is>
      </c>
      <c r="F89" s="19" t="n">
        <v>16</v>
      </c>
      <c r="G89" s="19" t="n">
        <v>1</v>
      </c>
      <c r="H89" s="19" t="n">
        <v>11</v>
      </c>
      <c r="I89" s="13">
        <f>G89*H89</f>
        <v>11.0</v>
      </c>
      <c r="J89" s="20">
        <f>6800/1000</f>
        <v>6.8</v>
      </c>
      <c r="K89" s="21">
        <f>I89*J89</f>
        <v>74.8</v>
      </c>
      <c r="L89" s="22">
        <f>F89^2/162</f>
        <v>1.5802469135802468</v>
      </c>
      <c r="M89" s="21">
        <f>K89*L89</f>
        <v>118.20246913580246</v>
      </c>
      <c r="N89" s="22">
        <f>M89/1000</f>
        <v>0.11820246913580246</v>
      </c>
      <c r="O89" s="13" t="inlineStr">
        <is>
          <t>BBS</t>
        </is>
      </c>
    </row>
    <row r="90">
      <c r="A90" s="13" t="n">
        <v>85</v>
      </c>
      <c r="B90" s="13" t="inlineStr">
        <is>
          <t>Staircases</t>
        </is>
      </c>
      <c r="C90" s="13" t="inlineStr">
        <is>
          <t>STR-019</t>
        </is>
      </c>
      <c r="D90" s="13" t="inlineStr">
        <is>
          <t>Main staircase GF to 1st floor</t>
        </is>
      </c>
      <c r="E90" s="19" t="inlineStr">
        <is>
          <t>1602</t>
        </is>
      </c>
      <c r="F90" s="19" t="n">
        <v>16</v>
      </c>
      <c r="G90" s="19" t="n">
        <v>1</v>
      </c>
      <c r="H90" s="19" t="n">
        <v>11</v>
      </c>
      <c r="I90" s="13">
        <f>G90*H90</f>
        <v>11.0</v>
      </c>
      <c r="J90" s="20">
        <f>9000/1000</f>
        <v>9.0</v>
      </c>
      <c r="K90" s="21">
        <f>I90*J90</f>
        <v>99.0</v>
      </c>
      <c r="L90" s="22">
        <f>F90^2/162</f>
        <v>1.5802469135802468</v>
      </c>
      <c r="M90" s="21">
        <f>K90*L90</f>
        <v>156.44444444444443</v>
      </c>
      <c r="N90" s="22">
        <f>M90/1000</f>
        <v>0.15644444444444444</v>
      </c>
      <c r="O90" s="13" t="inlineStr">
        <is>
          <t>BBS</t>
        </is>
      </c>
    </row>
    <row r="91">
      <c r="A91" s="13" t="n">
        <v>86</v>
      </c>
      <c r="B91" s="13" t="inlineStr">
        <is>
          <t>Staircases</t>
        </is>
      </c>
      <c r="C91" s="13" t="inlineStr">
        <is>
          <t>STR-019</t>
        </is>
      </c>
      <c r="D91" s="13" t="inlineStr">
        <is>
          <t>Main staircase GF to 1st floor</t>
        </is>
      </c>
      <c r="E91" s="19" t="inlineStr">
        <is>
          <t>1603</t>
        </is>
      </c>
      <c r="F91" s="19" t="n">
        <v>16</v>
      </c>
      <c r="G91" s="19" t="n">
        <v>1</v>
      </c>
      <c r="H91" s="19" t="n">
        <v>11</v>
      </c>
      <c r="I91" s="13">
        <f>G91*H91</f>
        <v>11.0</v>
      </c>
      <c r="J91" s="20">
        <f>2400/1000</f>
        <v>2.4</v>
      </c>
      <c r="K91" s="21">
        <f>I91*J91</f>
        <v>26.4</v>
      </c>
      <c r="L91" s="22">
        <f>F91^2/162</f>
        <v>1.5802469135802468</v>
      </c>
      <c r="M91" s="21">
        <f>K91*L91</f>
        <v>41.718518518518515</v>
      </c>
      <c r="N91" s="22">
        <f>M91/1000</f>
        <v>0.041718518518518516</v>
      </c>
      <c r="O91" s="13" t="inlineStr">
        <is>
          <t>BBS</t>
        </is>
      </c>
    </row>
    <row r="92">
      <c r="A92" s="13" t="n">
        <v>87</v>
      </c>
      <c r="B92" s="13" t="inlineStr">
        <is>
          <t>Staircases</t>
        </is>
      </c>
      <c r="C92" s="13" t="inlineStr">
        <is>
          <t>STR-019</t>
        </is>
      </c>
      <c r="D92" s="13" t="inlineStr">
        <is>
          <t>Main staircase GF to 1st floor</t>
        </is>
      </c>
      <c r="E92" s="19" t="inlineStr">
        <is>
          <t>1606</t>
        </is>
      </c>
      <c r="F92" s="19" t="n">
        <v>16</v>
      </c>
      <c r="G92" s="19" t="n">
        <v>1</v>
      </c>
      <c r="H92" s="19" t="n">
        <v>11</v>
      </c>
      <c r="I92" s="13">
        <f>G92*H92</f>
        <v>11.0</v>
      </c>
      <c r="J92" s="20">
        <f>8375/1000</f>
        <v>8.375</v>
      </c>
      <c r="K92" s="21">
        <f>I92*J92</f>
        <v>92.125</v>
      </c>
      <c r="L92" s="22">
        <f>F92^2/162</f>
        <v>1.5802469135802468</v>
      </c>
      <c r="M92" s="21">
        <f>K92*L92</f>
        <v>145.58024691358023</v>
      </c>
      <c r="N92" s="22">
        <f>M92/1000</f>
        <v>0.14558024691358024</v>
      </c>
      <c r="O92" s="13" t="inlineStr">
        <is>
          <t>BBS</t>
        </is>
      </c>
    </row>
    <row r="93">
      <c r="A93" s="13" t="n">
        <v>88</v>
      </c>
      <c r="B93" s="13" t="inlineStr">
        <is>
          <t>Staircases</t>
        </is>
      </c>
      <c r="C93" s="13" t="inlineStr">
        <is>
          <t>STR-019</t>
        </is>
      </c>
      <c r="D93" s="13" t="inlineStr">
        <is>
          <t>Main staircase GF to 1st floor</t>
        </is>
      </c>
      <c r="E93" s="19" t="inlineStr">
        <is>
          <t>1607</t>
        </is>
      </c>
      <c r="F93" s="19" t="n">
        <v>16</v>
      </c>
      <c r="G93" s="19" t="n">
        <v>1</v>
      </c>
      <c r="H93" s="19" t="n">
        <v>11</v>
      </c>
      <c r="I93" s="13">
        <f>G93*H93</f>
        <v>11.0</v>
      </c>
      <c r="J93" s="20">
        <f>3500/1000</f>
        <v>3.5</v>
      </c>
      <c r="K93" s="21">
        <f>I93*J93</f>
        <v>38.5</v>
      </c>
      <c r="L93" s="22">
        <f>F93^2/162</f>
        <v>1.5802469135802468</v>
      </c>
      <c r="M93" s="21">
        <f>K93*L93</f>
        <v>60.839506172839506</v>
      </c>
      <c r="N93" s="22">
        <f>M93/1000</f>
        <v>0.06083950617283951</v>
      </c>
      <c r="O93" s="13" t="inlineStr">
        <is>
          <t>BBS</t>
        </is>
      </c>
    </row>
    <row r="94">
      <c r="A94" s="13" t="n">
        <v>89</v>
      </c>
      <c r="B94" s="13" t="inlineStr">
        <is>
          <t>Staircases</t>
        </is>
      </c>
      <c r="C94" s="13" t="inlineStr">
        <is>
          <t>STR-019</t>
        </is>
      </c>
      <c r="D94" s="13" t="inlineStr">
        <is>
          <t>Main staircase GF to 1st floor</t>
        </is>
      </c>
      <c r="E94" s="19" t="inlineStr">
        <is>
          <t>1608</t>
        </is>
      </c>
      <c r="F94" s="19" t="n">
        <v>16</v>
      </c>
      <c r="G94" s="19" t="n">
        <v>1</v>
      </c>
      <c r="H94" s="19" t="n">
        <v>11</v>
      </c>
      <c r="I94" s="13">
        <f>G94*H94</f>
        <v>11.0</v>
      </c>
      <c r="J94" s="20">
        <f>2500/1000</f>
        <v>2.5</v>
      </c>
      <c r="K94" s="21">
        <f>I94*J94</f>
        <v>27.5</v>
      </c>
      <c r="L94" s="22">
        <f>F94^2/162</f>
        <v>1.5802469135802468</v>
      </c>
      <c r="M94" s="21">
        <f>K94*L94</f>
        <v>43.456790123456784</v>
      </c>
      <c r="N94" s="22">
        <f>M94/1000</f>
        <v>0.04345679012345678</v>
      </c>
      <c r="O94" s="13" t="inlineStr">
        <is>
          <t>BBS</t>
        </is>
      </c>
    </row>
    <row r="95">
      <c r="A95" s="13" t="n">
        <v>90</v>
      </c>
      <c r="B95" s="13" t="inlineStr">
        <is>
          <t>Staircases</t>
        </is>
      </c>
      <c r="C95" s="13" t="inlineStr">
        <is>
          <t>STR-019</t>
        </is>
      </c>
      <c r="D95" s="13" t="inlineStr">
        <is>
          <t>Main staircase GF to 1st floor</t>
        </is>
      </c>
      <c r="E95" s="19" t="inlineStr">
        <is>
          <t>1609</t>
        </is>
      </c>
      <c r="F95" s="19" t="n">
        <v>16</v>
      </c>
      <c r="G95" s="19" t="n">
        <v>1</v>
      </c>
      <c r="H95" s="19" t="n">
        <v>11</v>
      </c>
      <c r="I95" s="13">
        <f>G95*H95</f>
        <v>11.0</v>
      </c>
      <c r="J95" s="20">
        <f>3500/1000</f>
        <v>3.5</v>
      </c>
      <c r="K95" s="21">
        <f>I95*J95</f>
        <v>38.5</v>
      </c>
      <c r="L95" s="22">
        <f>F95^2/162</f>
        <v>1.5802469135802468</v>
      </c>
      <c r="M95" s="21">
        <f>K95*L95</f>
        <v>60.839506172839506</v>
      </c>
      <c r="N95" s="22">
        <f>M95/1000</f>
        <v>0.06083950617283951</v>
      </c>
      <c r="O95" s="13" t="inlineStr">
        <is>
          <t>BBS</t>
        </is>
      </c>
    </row>
    <row r="96">
      <c r="A96" s="13" t="n">
        <v>91</v>
      </c>
      <c r="B96" s="13" t="inlineStr">
        <is>
          <t>Staircases</t>
        </is>
      </c>
      <c r="C96" s="13" t="inlineStr">
        <is>
          <t>STR-019</t>
        </is>
      </c>
      <c r="D96" s="13" t="inlineStr">
        <is>
          <t>Main staircase GF to 1st floor</t>
        </is>
      </c>
      <c r="E96" s="19" t="inlineStr">
        <is>
          <t>1610</t>
        </is>
      </c>
      <c r="F96" s="19" t="n">
        <v>16</v>
      </c>
      <c r="G96" s="19" t="n">
        <v>1</v>
      </c>
      <c r="H96" s="19" t="n">
        <v>11</v>
      </c>
      <c r="I96" s="13">
        <f>G96*H96</f>
        <v>11.0</v>
      </c>
      <c r="J96" s="20">
        <f>2000/1000</f>
        <v>2.0</v>
      </c>
      <c r="K96" s="21">
        <f>I96*J96</f>
        <v>22.0</v>
      </c>
      <c r="L96" s="22">
        <f>F96^2/162</f>
        <v>1.5802469135802468</v>
      </c>
      <c r="M96" s="21">
        <f>K96*L96</f>
        <v>34.76543209876543</v>
      </c>
      <c r="N96" s="22">
        <f>M96/1000</f>
        <v>0.03476543209876543</v>
      </c>
      <c r="O96" s="13" t="inlineStr">
        <is>
          <t>BBS</t>
        </is>
      </c>
    </row>
    <row r="97">
      <c r="A97" s="13" t="n">
        <v>92</v>
      </c>
      <c r="B97" s="13" t="inlineStr">
        <is>
          <t>Staircases</t>
        </is>
      </c>
      <c r="C97" s="13" t="inlineStr">
        <is>
          <t>STR-031</t>
        </is>
      </c>
      <c r="D97" s="13" t="inlineStr">
        <is>
          <t>Emergency staircase GF to M1</t>
        </is>
      </c>
      <c r="E97" s="19" t="inlineStr">
        <is>
          <t>1201</t>
        </is>
      </c>
      <c r="F97" s="19" t="n">
        <v>12</v>
      </c>
      <c r="G97" s="19" t="n">
        <v>1</v>
      </c>
      <c r="H97" s="19" t="n">
        <v>30</v>
      </c>
      <c r="I97" s="13">
        <f>G97*H97</f>
        <v>30.0</v>
      </c>
      <c r="J97" s="20">
        <f>6200/1000</f>
        <v>6.2</v>
      </c>
      <c r="K97" s="21">
        <f>I97*J97</f>
        <v>186.0</v>
      </c>
      <c r="L97" s="22">
        <f>F97^2/162</f>
        <v>0.8888888888888888</v>
      </c>
      <c r="M97" s="21">
        <f>K97*L97</f>
        <v>165.33333333333331</v>
      </c>
      <c r="N97" s="22">
        <f>M97/1000</f>
        <v>0.1653333333333333</v>
      </c>
      <c r="O97" s="13" t="inlineStr">
        <is>
          <t>BBS</t>
        </is>
      </c>
    </row>
    <row r="98">
      <c r="A98" s="13" t="n">
        <v>93</v>
      </c>
      <c r="B98" s="13" t="inlineStr">
        <is>
          <t>Staircases</t>
        </is>
      </c>
      <c r="C98" s="13" t="inlineStr">
        <is>
          <t>STR-031</t>
        </is>
      </c>
      <c r="D98" s="13" t="inlineStr">
        <is>
          <t>Emergency staircase GF to M1</t>
        </is>
      </c>
      <c r="E98" s="19" t="inlineStr">
        <is>
          <t>1202</t>
        </is>
      </c>
      <c r="F98" s="19" t="n">
        <v>12</v>
      </c>
      <c r="G98" s="19" t="n">
        <v>1</v>
      </c>
      <c r="H98" s="19" t="n">
        <v>80</v>
      </c>
      <c r="I98" s="13">
        <f>G98*H98</f>
        <v>80.0</v>
      </c>
      <c r="J98" s="20">
        <f>2300/1000</f>
        <v>2.3</v>
      </c>
      <c r="K98" s="21">
        <f>I98*J98</f>
        <v>184.0</v>
      </c>
      <c r="L98" s="22">
        <f>F98^2/162</f>
        <v>0.8888888888888888</v>
      </c>
      <c r="M98" s="21">
        <f>K98*L98</f>
        <v>163.55555555555554</v>
      </c>
      <c r="N98" s="22">
        <f>M98/1000</f>
        <v>0.16355555555555554</v>
      </c>
      <c r="O98" s="13" t="inlineStr">
        <is>
          <t>BBS</t>
        </is>
      </c>
    </row>
    <row r="99">
      <c r="A99" s="13" t="n">
        <v>94</v>
      </c>
      <c r="B99" s="13" t="inlineStr">
        <is>
          <t>Staircases</t>
        </is>
      </c>
      <c r="C99" s="13" t="inlineStr">
        <is>
          <t>STR-031</t>
        </is>
      </c>
      <c r="D99" s="13" t="inlineStr">
        <is>
          <t>Emergency staircase GF to M1</t>
        </is>
      </c>
      <c r="E99" s="19" t="inlineStr">
        <is>
          <t>1203</t>
        </is>
      </c>
      <c r="F99" s="19" t="n">
        <v>12</v>
      </c>
      <c r="G99" s="19" t="n">
        <v>1</v>
      </c>
      <c r="H99" s="19" t="n">
        <v>26</v>
      </c>
      <c r="I99" s="13">
        <f>G99*H99</f>
        <v>26.0</v>
      </c>
      <c r="J99" s="20">
        <f>4800/1000</f>
        <v>4.8</v>
      </c>
      <c r="K99" s="21">
        <f>I99*J99</f>
        <v>124.8</v>
      </c>
      <c r="L99" s="22">
        <f>F99^2/162</f>
        <v>0.8888888888888888</v>
      </c>
      <c r="M99" s="21">
        <f>K99*L99</f>
        <v>110.93333333333332</v>
      </c>
      <c r="N99" s="22">
        <f>M99/1000</f>
        <v>0.11093333333333333</v>
      </c>
      <c r="O99" s="13" t="inlineStr">
        <is>
          <t>BBS</t>
        </is>
      </c>
    </row>
    <row r="100">
      <c r="A100" s="13" t="n">
        <v>95</v>
      </c>
      <c r="B100" s="13" t="inlineStr">
        <is>
          <t>Staircases</t>
        </is>
      </c>
      <c r="C100" s="13" t="inlineStr">
        <is>
          <t>STR-031</t>
        </is>
      </c>
      <c r="D100" s="13" t="inlineStr">
        <is>
          <t>Emergency staircase GF to M1</t>
        </is>
      </c>
      <c r="E100" s="19" t="inlineStr">
        <is>
          <t>1601</t>
        </is>
      </c>
      <c r="F100" s="19" t="n">
        <v>16</v>
      </c>
      <c r="G100" s="19" t="n">
        <v>1</v>
      </c>
      <c r="H100" s="19" t="n">
        <v>10</v>
      </c>
      <c r="I100" s="13">
        <f>G100*H100</f>
        <v>10.0</v>
      </c>
      <c r="J100" s="20">
        <f>5100/1000</f>
        <v>5.1</v>
      </c>
      <c r="K100" s="21">
        <f>I100*J100</f>
        <v>51.0</v>
      </c>
      <c r="L100" s="22">
        <f>F100^2/162</f>
        <v>1.5802469135802468</v>
      </c>
      <c r="M100" s="21">
        <f>K100*L100</f>
        <v>80.59259259259258</v>
      </c>
      <c r="N100" s="22">
        <f>M100/1000</f>
        <v>0.08059259259259258</v>
      </c>
      <c r="O100" s="13" t="inlineStr">
        <is>
          <t>BBS</t>
        </is>
      </c>
    </row>
    <row r="101">
      <c r="A101" s="13" t="n">
        <v>96</v>
      </c>
      <c r="B101" s="13" t="inlineStr">
        <is>
          <t>Staircases</t>
        </is>
      </c>
      <c r="C101" s="13" t="inlineStr">
        <is>
          <t>STR-031</t>
        </is>
      </c>
      <c r="D101" s="13" t="inlineStr">
        <is>
          <t>Emergency staircase GF to M1</t>
        </is>
      </c>
      <c r="E101" s="19" t="inlineStr">
        <is>
          <t>1602</t>
        </is>
      </c>
      <c r="F101" s="19" t="n">
        <v>16</v>
      </c>
      <c r="G101" s="19" t="n">
        <v>1</v>
      </c>
      <c r="H101" s="19" t="n">
        <v>10</v>
      </c>
      <c r="I101" s="13">
        <f>G101*H101</f>
        <v>10.0</v>
      </c>
      <c r="J101" s="20">
        <f>7300/1000</f>
        <v>7.3</v>
      </c>
      <c r="K101" s="21">
        <f>I101*J101</f>
        <v>73.0</v>
      </c>
      <c r="L101" s="22">
        <f>F101^2/162</f>
        <v>1.5802469135802468</v>
      </c>
      <c r="M101" s="21">
        <f>K101*L101</f>
        <v>115.35802469135803</v>
      </c>
      <c r="N101" s="22">
        <f>M101/1000</f>
        <v>0.11535802469135803</v>
      </c>
      <c r="O101" s="13" t="inlineStr">
        <is>
          <t>BBS</t>
        </is>
      </c>
    </row>
    <row r="102">
      <c r="A102" s="13" t="n">
        <v>97</v>
      </c>
      <c r="B102" s="13" t="inlineStr">
        <is>
          <t>Staircases</t>
        </is>
      </c>
      <c r="C102" s="13" t="inlineStr">
        <is>
          <t>STR-031</t>
        </is>
      </c>
      <c r="D102" s="13" t="inlineStr">
        <is>
          <t>Emergency staircase GF to M1</t>
        </is>
      </c>
      <c r="E102" s="19" t="inlineStr">
        <is>
          <t>1603</t>
        </is>
      </c>
      <c r="F102" s="19" t="n">
        <v>16</v>
      </c>
      <c r="G102" s="19" t="n">
        <v>1</v>
      </c>
      <c r="H102" s="19" t="n">
        <v>10</v>
      </c>
      <c r="I102" s="13">
        <f>G102*H102</f>
        <v>10.0</v>
      </c>
      <c r="J102" s="20">
        <f>2125/1000</f>
        <v>2.125</v>
      </c>
      <c r="K102" s="21">
        <f>I102*J102</f>
        <v>21.25</v>
      </c>
      <c r="L102" s="22">
        <f>F102^2/162</f>
        <v>1.5802469135802468</v>
      </c>
      <c r="M102" s="21">
        <f>K102*L102</f>
        <v>33.58024691358025</v>
      </c>
      <c r="N102" s="22">
        <f>M102/1000</f>
        <v>0.03358024691358025</v>
      </c>
      <c r="O102" s="13" t="inlineStr">
        <is>
          <t>BBS</t>
        </is>
      </c>
    </row>
    <row r="103">
      <c r="A103" s="13" t="n">
        <v>98</v>
      </c>
      <c r="B103" s="13" t="inlineStr">
        <is>
          <t>Staircases</t>
        </is>
      </c>
      <c r="C103" s="13" t="inlineStr">
        <is>
          <t>STR-031</t>
        </is>
      </c>
      <c r="D103" s="13" t="inlineStr">
        <is>
          <t>Emergency staircase GF to M1</t>
        </is>
      </c>
      <c r="E103" s="19" t="inlineStr">
        <is>
          <t>1606</t>
        </is>
      </c>
      <c r="F103" s="19" t="n">
        <v>16</v>
      </c>
      <c r="G103" s="19" t="n">
        <v>1</v>
      </c>
      <c r="H103" s="19" t="n">
        <v>10</v>
      </c>
      <c r="I103" s="13">
        <f>G103*H103</f>
        <v>10.0</v>
      </c>
      <c r="J103" s="20">
        <f>8500/1000</f>
        <v>8.5</v>
      </c>
      <c r="K103" s="21">
        <f>I103*J103</f>
        <v>85.0</v>
      </c>
      <c r="L103" s="22">
        <f>F103^2/162</f>
        <v>1.5802469135802468</v>
      </c>
      <c r="M103" s="21">
        <f>K103*L103</f>
        <v>134.320987654321</v>
      </c>
      <c r="N103" s="22">
        <f>M103/1000</f>
        <v>0.134320987654321</v>
      </c>
      <c r="O103" s="13" t="inlineStr">
        <is>
          <t>BBS</t>
        </is>
      </c>
    </row>
    <row r="104">
      <c r="A104" s="13" t="n">
        <v>99</v>
      </c>
      <c r="B104" s="13" t="inlineStr">
        <is>
          <t>Staircases</t>
        </is>
      </c>
      <c r="C104" s="13" t="inlineStr">
        <is>
          <t>STR-031</t>
        </is>
      </c>
      <c r="D104" s="13" t="inlineStr">
        <is>
          <t>Emergency staircase GF to M1</t>
        </is>
      </c>
      <c r="E104" s="19" t="inlineStr">
        <is>
          <t>1607</t>
        </is>
      </c>
      <c r="F104" s="19" t="n">
        <v>16</v>
      </c>
      <c r="G104" s="19" t="n">
        <v>1</v>
      </c>
      <c r="H104" s="19" t="n">
        <v>10</v>
      </c>
      <c r="I104" s="13">
        <f>G104*H104</f>
        <v>10.0</v>
      </c>
      <c r="J104" s="20">
        <f>4500/1000</f>
        <v>4.5</v>
      </c>
      <c r="K104" s="21">
        <f>I104*J104</f>
        <v>45.0</v>
      </c>
      <c r="L104" s="22">
        <f>F104^2/162</f>
        <v>1.5802469135802468</v>
      </c>
      <c r="M104" s="21">
        <f>K104*L104</f>
        <v>71.11111111111111</v>
      </c>
      <c r="N104" s="22">
        <f>M104/1000</f>
        <v>0.07111111111111111</v>
      </c>
      <c r="O104" s="13" t="inlineStr">
        <is>
          <t>BBS</t>
        </is>
      </c>
    </row>
    <row r="105">
      <c r="A105" s="13" t="n">
        <v>100</v>
      </c>
      <c r="B105" s="13" t="inlineStr">
        <is>
          <t>Staircases</t>
        </is>
      </c>
      <c r="C105" s="13" t="inlineStr">
        <is>
          <t>STR-031</t>
        </is>
      </c>
      <c r="D105" s="13" t="inlineStr">
        <is>
          <t>Emergency staircase GF to M1</t>
        </is>
      </c>
      <c r="E105" s="19" t="inlineStr">
        <is>
          <t>1608</t>
        </is>
      </c>
      <c r="F105" s="19" t="n">
        <v>16</v>
      </c>
      <c r="G105" s="19" t="n">
        <v>1</v>
      </c>
      <c r="H105" s="19" t="n">
        <v>10</v>
      </c>
      <c r="I105" s="13">
        <f>G105*H105</f>
        <v>10.0</v>
      </c>
      <c r="J105" s="20">
        <f>1200/1000</f>
        <v>1.2</v>
      </c>
      <c r="K105" s="21">
        <f>I105*J105</f>
        <v>12.0</v>
      </c>
      <c r="L105" s="22">
        <f>F105^2/162</f>
        <v>1.5802469135802468</v>
      </c>
      <c r="M105" s="21">
        <f>K105*L105</f>
        <v>18.962962962962962</v>
      </c>
      <c r="N105" s="22">
        <f>M105/1000</f>
        <v>0.018962962962962963</v>
      </c>
      <c r="O105" s="13" t="inlineStr">
        <is>
          <t>BBS</t>
        </is>
      </c>
    </row>
    <row r="106">
      <c r="A106" s="13" t="n">
        <v>101</v>
      </c>
      <c r="B106" s="13" t="inlineStr">
        <is>
          <t>Staircases</t>
        </is>
      </c>
      <c r="C106" s="13" t="inlineStr">
        <is>
          <t>STR-031</t>
        </is>
      </c>
      <c r="D106" s="13" t="inlineStr">
        <is>
          <t>Emergency staircase GF to M1</t>
        </is>
      </c>
      <c r="E106" s="19" t="inlineStr">
        <is>
          <t>1609</t>
        </is>
      </c>
      <c r="F106" s="19" t="n">
        <v>16</v>
      </c>
      <c r="G106" s="19" t="n">
        <v>1</v>
      </c>
      <c r="H106" s="19" t="n">
        <v>10</v>
      </c>
      <c r="I106" s="13">
        <f>G106*H106</f>
        <v>10.0</v>
      </c>
      <c r="J106" s="20">
        <f>2800/1000</f>
        <v>2.8</v>
      </c>
      <c r="K106" s="21">
        <f>I106*J106</f>
        <v>28.0</v>
      </c>
      <c r="L106" s="22">
        <f>F106^2/162</f>
        <v>1.5802469135802468</v>
      </c>
      <c r="M106" s="21">
        <f>K106*L106</f>
        <v>44.24691358024691</v>
      </c>
      <c r="N106" s="22">
        <f>M106/1000</f>
        <v>0.04424691358024691</v>
      </c>
      <c r="O106" s="13" t="inlineStr">
        <is>
          <t>BBS</t>
        </is>
      </c>
    </row>
    <row r="107">
      <c r="A107" s="13" t="n">
        <v>102</v>
      </c>
      <c r="B107" s="13" t="inlineStr">
        <is>
          <t>Staircases</t>
        </is>
      </c>
      <c r="C107" s="13" t="inlineStr">
        <is>
          <t>STR-031</t>
        </is>
      </c>
      <c r="D107" s="13" t="inlineStr">
        <is>
          <t>Emergency staircase GF to M1</t>
        </is>
      </c>
      <c r="E107" s="19" t="inlineStr">
        <is>
          <t>1610</t>
        </is>
      </c>
      <c r="F107" s="19" t="n">
        <v>16</v>
      </c>
      <c r="G107" s="19" t="n">
        <v>1</v>
      </c>
      <c r="H107" s="19" t="n">
        <v>10</v>
      </c>
      <c r="I107" s="13">
        <f>G107*H107</f>
        <v>10.0</v>
      </c>
      <c r="J107" s="20">
        <f>2000/1000</f>
        <v>2.0</v>
      </c>
      <c r="K107" s="21">
        <f>I107*J107</f>
        <v>20.0</v>
      </c>
      <c r="L107" s="22">
        <f>F107^2/162</f>
        <v>1.5802469135802468</v>
      </c>
      <c r="M107" s="21">
        <f>K107*L107</f>
        <v>31.604938271604937</v>
      </c>
      <c r="N107" s="22">
        <f>M107/1000</f>
        <v>0.03160493827160494</v>
      </c>
      <c r="O107" s="13" t="inlineStr">
        <is>
          <t>BBS</t>
        </is>
      </c>
    </row>
    <row r="109">
      <c r="D109" s="10" t="inlineStr">
        <is>
          <t>SUMMARY - GROUND FLOOR: ELEMENT BY BAR SIZE (TONNES)</t>
        </is>
      </c>
    </row>
    <row r="110">
      <c r="D110" s="23" t="inlineStr">
        <is>
          <t>Element</t>
        </is>
      </c>
      <c r="E110" s="24" t="n">
        <v>10</v>
      </c>
      <c r="F110" s="24" t="n">
        <v>12</v>
      </c>
      <c r="G110" s="24" t="n">
        <v>16</v>
      </c>
      <c r="H110" s="24" t="n">
        <v>20</v>
      </c>
      <c r="I110" s="24" t="n">
        <v>25</v>
      </c>
      <c r="J110" s="23" t="inlineStr">
        <is>
          <t>Total (t)</t>
        </is>
      </c>
    </row>
    <row r="111">
      <c r="D111" s="13" t="inlineStr">
        <is>
          <t>Raft Foundation</t>
        </is>
      </c>
      <c r="E111" s="25">
        <f>SUMIFS($N$6:$N$107,$B$6:$B$107,$D111,$F$6:$F$107,E$110)</f>
        <v>0.0</v>
      </c>
      <c r="F111" s="25">
        <f>SUMIFS($N$6:$N$107,$B$6:$B$107,$D111,$F$6:$F$107,F$110)</f>
        <v>0.0</v>
      </c>
      <c r="G111" s="25">
        <f>SUMIFS($N$6:$N$107,$B$6:$B$107,$D111,$F$6:$F$107,G$110)</f>
        <v>0.0</v>
      </c>
      <c r="H111" s="25">
        <f>SUMIFS($N$6:$N$107,$B$6:$B$107,$D111,$F$6:$F$107,H$110)</f>
        <v>0.0</v>
      </c>
      <c r="I111" s="25">
        <f>SUMIFS($N$6:$N$107,$B$6:$B$107,$D111,$F$6:$F$107,I$110)</f>
        <v>0.0</v>
      </c>
      <c r="J111" s="17">
        <f>SUM(E111:I111)</f>
        <v>0.0</v>
      </c>
    </row>
    <row r="112">
      <c r="D112" s="13" t="inlineStr">
        <is>
          <t>Columns</t>
        </is>
      </c>
      <c r="E112" s="25">
        <f>SUMIFS($N$6:$N$107,$B$6:$B$107,$D112,$F$6:$F$107,E$110)</f>
        <v>4.372350617283951</v>
      </c>
      <c r="F112" s="25">
        <f>SUMIFS($N$6:$N$107,$B$6:$B$107,$D112,$F$6:$F$107,F$110)</f>
        <v>0.0</v>
      </c>
      <c r="G112" s="25">
        <f>SUMIFS($N$6:$N$107,$B$6:$B$107,$D112,$F$6:$F$107,G$110)</f>
        <v>0.0</v>
      </c>
      <c r="H112" s="25">
        <f>SUMIFS($N$6:$N$107,$B$6:$B$107,$D112,$F$6:$F$107,H$110)</f>
        <v>0.5985185185185184</v>
      </c>
      <c r="I112" s="25">
        <f>SUMIFS($N$6:$N$107,$B$6:$B$107,$D112,$F$6:$F$107,I$110)</f>
        <v>10.083333333333332</v>
      </c>
      <c r="J112" s="17">
        <f>SUM(E112:I112)</f>
        <v>15.054202469135802</v>
      </c>
    </row>
    <row r="113">
      <c r="D113" s="13" t="inlineStr">
        <is>
          <t>Shear Walls</t>
        </is>
      </c>
      <c r="E113" s="25">
        <f>SUMIFS($N$6:$N$107,$B$6:$B$107,$D113,$F$6:$F$107,E$110)</f>
        <v>1.3744444444444444</v>
      </c>
      <c r="F113" s="25">
        <f>SUMIFS($N$6:$N$107,$B$6:$B$107,$D113,$F$6:$F$107,F$110)</f>
        <v>2.2677866666666664</v>
      </c>
      <c r="G113" s="25">
        <f>SUMIFS($N$6:$N$107,$B$6:$B$107,$D113,$F$6:$F$107,G$110)</f>
        <v>0.0</v>
      </c>
      <c r="H113" s="25">
        <f>SUMIFS($N$6:$N$107,$B$6:$B$107,$D113,$F$6:$F$107,H$110)</f>
        <v>0.0</v>
      </c>
      <c r="I113" s="25">
        <f>SUMIFS($N$6:$N$107,$B$6:$B$107,$D113,$F$6:$F$107,I$110)</f>
        <v>10.865354938271604</v>
      </c>
      <c r="J113" s="17">
        <f>SUM(E113:I113)</f>
        <v>14.507586049382715</v>
      </c>
    </row>
    <row r="114">
      <c r="D114" s="13" t="inlineStr">
        <is>
          <t>Lift Walls</t>
        </is>
      </c>
      <c r="E114" s="25">
        <f>SUMIFS($N$6:$N$107,$B$6:$B$107,$D114,$F$6:$F$107,E$110)</f>
        <v>0.7511111111111111</v>
      </c>
      <c r="F114" s="25">
        <f>SUMIFS($N$6:$N$107,$B$6:$B$107,$D114,$F$6:$F$107,F$110)</f>
        <v>1.4715199999999997</v>
      </c>
      <c r="G114" s="25">
        <f>SUMIFS($N$6:$N$107,$B$6:$B$107,$D114,$F$6:$F$107,G$110)</f>
        <v>0.0</v>
      </c>
      <c r="H114" s="25">
        <f>SUMIFS($N$6:$N$107,$B$6:$B$107,$D114,$F$6:$F$107,H$110)</f>
        <v>0.0</v>
      </c>
      <c r="I114" s="25">
        <f>SUMIFS($N$6:$N$107,$B$6:$B$107,$D114,$F$6:$F$107,I$110)</f>
        <v>6.137345679012345</v>
      </c>
      <c r="J114" s="17">
        <f>SUM(E114:I114)</f>
        <v>8.359976790123456</v>
      </c>
    </row>
    <row r="115">
      <c r="D115" s="13" t="inlineStr">
        <is>
          <t>Retaining / Ramp Walls</t>
        </is>
      </c>
      <c r="E115" s="25">
        <f>SUMIFS($N$6:$N$107,$B$6:$B$107,$D115,$F$6:$F$107,E$110)</f>
        <v>0.0</v>
      </c>
      <c r="F115" s="25">
        <f>SUMIFS($N$6:$N$107,$B$6:$B$107,$D115,$F$6:$F$107,F$110)</f>
        <v>0.8395733333333333</v>
      </c>
      <c r="G115" s="25">
        <f>SUMIFS($N$6:$N$107,$B$6:$B$107,$D115,$F$6:$F$107,G$110)</f>
        <v>0.0</v>
      </c>
      <c r="H115" s="25">
        <f>SUMIFS($N$6:$N$107,$B$6:$B$107,$D115,$F$6:$F$107,H$110)</f>
        <v>0.0</v>
      </c>
      <c r="I115" s="25">
        <f>SUMIFS($N$6:$N$107,$B$6:$B$107,$D115,$F$6:$F$107,I$110)</f>
        <v>0.0</v>
      </c>
      <c r="J115" s="17">
        <f>SUM(E115:I115)</f>
        <v>0.8395733333333333</v>
      </c>
    </row>
    <row r="116">
      <c r="D116" s="13" t="inlineStr">
        <is>
          <t>Beams</t>
        </is>
      </c>
      <c r="E116" s="25">
        <f>SUMIFS($N$6:$N$107,$B$6:$B$107,$D116,$F$6:$F$107,E$110)</f>
        <v>0.0</v>
      </c>
      <c r="F116" s="25">
        <f>SUMIFS($N$6:$N$107,$B$6:$B$107,$D116,$F$6:$F$107,F$110)</f>
        <v>0.0</v>
      </c>
      <c r="G116" s="25">
        <f>SUMIFS($N$6:$N$107,$B$6:$B$107,$D116,$F$6:$F$107,G$110)</f>
        <v>0.0</v>
      </c>
      <c r="H116" s="25">
        <f>SUMIFS($N$6:$N$107,$B$6:$B$107,$D116,$F$6:$F$107,H$110)</f>
        <v>0.0</v>
      </c>
      <c r="I116" s="25">
        <f>SUMIFS($N$6:$N$107,$B$6:$B$107,$D116,$F$6:$F$107,I$110)</f>
        <v>0.0</v>
      </c>
      <c r="J116" s="17">
        <f>SUM(E116:I116)</f>
        <v>0.0</v>
      </c>
    </row>
    <row r="117">
      <c r="D117" s="13" t="inlineStr">
        <is>
          <t>Floor Slabs</t>
        </is>
      </c>
      <c r="E117" s="25">
        <f>SUMIFS($N$6:$N$107,$B$6:$B$107,$D117,$F$6:$F$107,E$110)</f>
        <v>0.0</v>
      </c>
      <c r="F117" s="25">
        <f>SUMIFS($N$6:$N$107,$B$6:$B$107,$D117,$F$6:$F$107,F$110)</f>
        <v>0.0</v>
      </c>
      <c r="G117" s="25">
        <f>SUMIFS($N$6:$N$107,$B$6:$B$107,$D117,$F$6:$F$107,G$110)</f>
        <v>0.0</v>
      </c>
      <c r="H117" s="25">
        <f>SUMIFS($N$6:$N$107,$B$6:$B$107,$D117,$F$6:$F$107,H$110)</f>
        <v>0.0</v>
      </c>
      <c r="I117" s="25">
        <f>SUMIFS($N$6:$N$107,$B$6:$B$107,$D117,$F$6:$F$107,I$110)</f>
        <v>0.0</v>
      </c>
      <c r="J117" s="17">
        <f>SUM(E117:I117)</f>
        <v>0.0</v>
      </c>
    </row>
    <row r="118">
      <c r="D118" s="13" t="inlineStr">
        <is>
          <t>Staircases</t>
        </is>
      </c>
      <c r="E118" s="25">
        <f>SUMIFS($N$6:$N$107,$B$6:$B$107,$D118,$F$6:$F$107,E$110)</f>
        <v>0.0</v>
      </c>
      <c r="F118" s="25">
        <f>SUMIFS($N$6:$N$107,$B$6:$B$107,$D118,$F$6:$F$107,F$110)</f>
        <v>0.8796444444444443</v>
      </c>
      <c r="G118" s="25">
        <f>SUMIFS($N$6:$N$107,$B$6:$B$107,$D118,$F$6:$F$107,G$110)</f>
        <v>1.1916246913580246</v>
      </c>
      <c r="H118" s="25">
        <f>SUMIFS($N$6:$N$107,$B$6:$B$107,$D118,$F$6:$F$107,H$110)</f>
        <v>0.0</v>
      </c>
      <c r="I118" s="25">
        <f>SUMIFS($N$6:$N$107,$B$6:$B$107,$D118,$F$6:$F$107,I$110)</f>
        <v>0.0</v>
      </c>
      <c r="J118" s="17">
        <f>SUM(E118:I118)</f>
        <v>2.071269135802469</v>
      </c>
    </row>
    <row r="119">
      <c r="D119" s="13" t="inlineStr">
        <is>
          <t>Lift Core Roof Slab</t>
        </is>
      </c>
      <c r="E119" s="25">
        <f>SUMIFS($N$6:$N$107,$B$6:$B$107,$D119,$F$6:$F$107,E$110)</f>
        <v>0.0</v>
      </c>
      <c r="F119" s="25">
        <f>SUMIFS($N$6:$N$107,$B$6:$B$107,$D119,$F$6:$F$107,F$110)</f>
        <v>0.0</v>
      </c>
      <c r="G119" s="25">
        <f>SUMIFS($N$6:$N$107,$B$6:$B$107,$D119,$F$6:$F$107,G$110)</f>
        <v>0.0</v>
      </c>
      <c r="H119" s="25">
        <f>SUMIFS($N$6:$N$107,$B$6:$B$107,$D119,$F$6:$F$107,H$110)</f>
        <v>0.0</v>
      </c>
      <c r="I119" s="25">
        <f>SUMIFS($N$6:$N$107,$B$6:$B$107,$D119,$F$6:$F$107,I$110)</f>
        <v>0.0</v>
      </c>
      <c r="J119" s="17">
        <f>SUM(E119:I119)</f>
        <v>0.0</v>
      </c>
    </row>
    <row r="120">
      <c r="D120" s="16" t="inlineStr">
        <is>
          <t>TOTAL - GROUND FLOOR</t>
        </is>
      </c>
      <c r="E120" s="26">
        <f>SUM(E111:E119)</f>
        <v>6.497906172839507</v>
      </c>
      <c r="F120" s="26">
        <f>SUM(F111:F119)</f>
        <v>5.458524444444444</v>
      </c>
      <c r="G120" s="26">
        <f>SUM(G111:G119)</f>
        <v>1.1916246913580246</v>
      </c>
      <c r="H120" s="26">
        <f>SUM(H111:H119)</f>
        <v>0.5985185185185184</v>
      </c>
      <c r="I120" s="26">
        <f>SUM(I111:I119)</f>
        <v>27.08603395061728</v>
      </c>
      <c r="J120" s="26">
        <f>SUM(J111:J119)</f>
        <v>40.832607777777774</v>
      </c>
      <c r="K120" s="7" t="inlineStr">
        <is>
          <t>Check vs detail (should be 0):</t>
        </is>
      </c>
      <c r="N120" s="7">
        <f>ROUND(SUM(N6:N107)-J120,6)</f>
        <v>-0.0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O15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M1 LEVEL 1B PARKING (+2500)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STR-008</t>
        </is>
      </c>
      <c r="D6" s="13" t="inlineStr">
        <is>
          <t>COL-01D (1 nos) M1 to 1st/M2 - links</t>
        </is>
      </c>
      <c r="E6" s="19" t="inlineStr">
        <is>
          <t>1001</t>
        </is>
      </c>
      <c r="F6" s="19" t="n">
        <v>10</v>
      </c>
      <c r="G6" s="19" t="n">
        <v>1</v>
      </c>
      <c r="H6" s="19" t="n">
        <v>28</v>
      </c>
      <c r="I6" s="13">
        <f>G6*H6</f>
        <v>28.0</v>
      </c>
      <c r="J6" s="20">
        <f>2330/1000</f>
        <v>2.33</v>
      </c>
      <c r="K6" s="21">
        <f>I6*J6</f>
        <v>65.24000000000001</v>
      </c>
      <c r="L6" s="22">
        <f>F6^2/162</f>
        <v>0.6172839506172839</v>
      </c>
      <c r="M6" s="21">
        <f>K6*L6</f>
        <v>40.27160493827161</v>
      </c>
      <c r="N6" s="22">
        <f>M6/1000</f>
        <v>0.04027160493827161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STR-008</t>
        </is>
      </c>
      <c r="D7" s="13" t="inlineStr">
        <is>
          <t>COL-01D (1 nos) M1 to 1st/M2 - links</t>
        </is>
      </c>
      <c r="E7" s="19" t="inlineStr">
        <is>
          <t>1002</t>
        </is>
      </c>
      <c r="F7" s="19" t="n">
        <v>10</v>
      </c>
      <c r="G7" s="19" t="n">
        <v>1</v>
      </c>
      <c r="H7" s="19" t="n">
        <v>56</v>
      </c>
      <c r="I7" s="13">
        <f>G7*H7</f>
        <v>56.0</v>
      </c>
      <c r="J7" s="20">
        <f>1330/1000</f>
        <v>1.33</v>
      </c>
      <c r="K7" s="21">
        <f>I7*J7</f>
        <v>74.48</v>
      </c>
      <c r="L7" s="22">
        <f>F7^2/162</f>
        <v>0.6172839506172839</v>
      </c>
      <c r="M7" s="21">
        <f>K7*L7</f>
        <v>45.97530864197531</v>
      </c>
      <c r="N7" s="22">
        <f>M7/1000</f>
        <v>0.04597530864197531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STR-008</t>
        </is>
      </c>
      <c r="D8" s="13" t="inlineStr">
        <is>
          <t>COL-01D (1 nos) M1 to 1st/M2 - links</t>
        </is>
      </c>
      <c r="E8" s="19" t="inlineStr">
        <is>
          <t>1003</t>
        </is>
      </c>
      <c r="F8" s="19" t="n">
        <v>10</v>
      </c>
      <c r="G8" s="19" t="n">
        <v>1</v>
      </c>
      <c r="H8" s="19" t="n">
        <v>28</v>
      </c>
      <c r="I8" s="13">
        <f>G8*H8</f>
        <v>28.0</v>
      </c>
      <c r="J8" s="20">
        <f>1830/1000</f>
        <v>1.83</v>
      </c>
      <c r="K8" s="21">
        <f>I8*J8</f>
        <v>51.24</v>
      </c>
      <c r="L8" s="22">
        <f>F8^2/162</f>
        <v>0.6172839506172839</v>
      </c>
      <c r="M8" s="21">
        <f>K8*L8</f>
        <v>31.62962962962963</v>
      </c>
      <c r="N8" s="22">
        <f>M8/1000</f>
        <v>0.03162962962962963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STR-008</t>
        </is>
      </c>
      <c r="D9" s="13" t="inlineStr">
        <is>
          <t>COL-01D (1 nos) M1 to 1st/M2 - main bars</t>
        </is>
      </c>
      <c r="E9" s="19" t="inlineStr">
        <is>
          <t>2503</t>
        </is>
      </c>
      <c r="F9" s="19" t="n">
        <v>25</v>
      </c>
      <c r="G9" s="19" t="n">
        <v>1</v>
      </c>
      <c r="H9" s="19" t="n">
        <v>16</v>
      </c>
      <c r="I9" s="13">
        <f>G9*H9</f>
        <v>16.0</v>
      </c>
      <c r="J9" s="20">
        <f>3900/1000</f>
        <v>3.9</v>
      </c>
      <c r="K9" s="21">
        <f>I9*J9</f>
        <v>62.4</v>
      </c>
      <c r="L9" s="22">
        <f>F9^2/162</f>
        <v>3.8580246913580245</v>
      </c>
      <c r="M9" s="21">
        <f>K9*L9</f>
        <v>240.74074074074073</v>
      </c>
      <c r="N9" s="22">
        <f>M9/1000</f>
        <v>0.24074074074074073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STR-011</t>
        </is>
      </c>
      <c r="D10" s="13" t="inlineStr">
        <is>
          <t>COL-02D (15 nos) M1 to 1st/M2 - links</t>
        </is>
      </c>
      <c r="E10" s="19" t="inlineStr">
        <is>
          <t>1004</t>
        </is>
      </c>
      <c r="F10" s="19" t="n">
        <v>10</v>
      </c>
      <c r="G10" s="19" t="n">
        <v>15</v>
      </c>
      <c r="H10" s="19" t="n">
        <v>28</v>
      </c>
      <c r="I10" s="13">
        <f>G10*H10</f>
        <v>420.0</v>
      </c>
      <c r="J10" s="20">
        <f>2910/1000</f>
        <v>2.91</v>
      </c>
      <c r="K10" s="21">
        <f>I10*J10</f>
        <v>1222.2</v>
      </c>
      <c r="L10" s="22">
        <f>F10^2/162</f>
        <v>0.6172839506172839</v>
      </c>
      <c r="M10" s="21">
        <f>K10*L10</f>
        <v>754.4444444444445</v>
      </c>
      <c r="N10" s="22">
        <f>M10/1000</f>
        <v>0.7544444444444445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STR-011</t>
        </is>
      </c>
      <c r="D11" s="13" t="inlineStr">
        <is>
          <t>COL-02D (15 nos) M1 to 1st/M2 - links</t>
        </is>
      </c>
      <c r="E11" s="19" t="inlineStr">
        <is>
          <t>1005</t>
        </is>
      </c>
      <c r="F11" s="19" t="n">
        <v>10</v>
      </c>
      <c r="G11" s="19" t="n">
        <v>15</v>
      </c>
      <c r="H11" s="19">
        <f>3*28</f>
        <v>84.0</v>
      </c>
      <c r="I11" s="13">
        <f>G11*H11</f>
        <v>1260.0</v>
      </c>
      <c r="J11" s="20">
        <f>1008/1000</f>
        <v>1.008</v>
      </c>
      <c r="K11" s="21">
        <f>I11*J11</f>
        <v>1270.08</v>
      </c>
      <c r="L11" s="22">
        <f>F11^2/162</f>
        <v>0.6172839506172839</v>
      </c>
      <c r="M11" s="21">
        <f>K11*L11</f>
        <v>783.9999999999999</v>
      </c>
      <c r="N11" s="22">
        <f>M11/1000</f>
        <v>0.7839999999999999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STR-011</t>
        </is>
      </c>
      <c r="D12" s="13" t="inlineStr">
        <is>
          <t>COL-02D (15 nos) M1 to 1st/M2 - main bars</t>
        </is>
      </c>
      <c r="E12" s="19" t="inlineStr">
        <is>
          <t>2506</t>
        </is>
      </c>
      <c r="F12" s="19" t="n">
        <v>25</v>
      </c>
      <c r="G12" s="19" t="n">
        <v>15</v>
      </c>
      <c r="H12" s="19" t="n">
        <v>18</v>
      </c>
      <c r="I12" s="13">
        <f>G12*H12</f>
        <v>270.0</v>
      </c>
      <c r="J12" s="20">
        <f>3900/1000</f>
        <v>3.9</v>
      </c>
      <c r="K12" s="21">
        <f>I12*J12</f>
        <v>1053.0</v>
      </c>
      <c r="L12" s="22">
        <f>F12^2/162</f>
        <v>3.8580246913580245</v>
      </c>
      <c r="M12" s="21">
        <f>K12*L12</f>
        <v>4062.5</v>
      </c>
      <c r="N12" s="22">
        <f>M12/1000</f>
        <v>4.0625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Shear Walls</t>
        </is>
      </c>
      <c r="C13" s="13" t="inlineStr">
        <is>
          <t>STR-013/014</t>
        </is>
      </c>
      <c r="D13" s="13" t="inlineStr">
        <is>
          <t>Emergency stair core CW-12 (L=7050mm) M1 to M2 - horizontal Y12@150 NF/FF</t>
        </is>
      </c>
      <c r="E13" s="19" t="inlineStr">
        <is>
          <t>H-Y12</t>
        </is>
      </c>
      <c r="F13" s="19" t="n">
        <v>12</v>
      </c>
      <c r="G13" s="19" t="n">
        <v>1</v>
      </c>
      <c r="H13" s="19">
        <f>2*16</f>
        <v>32.0</v>
      </c>
      <c r="I13" s="13">
        <f>G13*H13</f>
        <v>32.0</v>
      </c>
      <c r="J13" s="20">
        <f>(7050-2*30+40*12)/1000</f>
        <v>7.47</v>
      </c>
      <c r="K13" s="21">
        <f>I13*J13</f>
        <v>239.04</v>
      </c>
      <c r="L13" s="22">
        <f>F13^2/162</f>
        <v>0.8888888888888888</v>
      </c>
      <c r="M13" s="21">
        <f>K13*L13</f>
        <v>212.48</v>
      </c>
      <c r="N13" s="22">
        <f>M13/1000</f>
        <v>0.21248</v>
      </c>
      <c r="O13" s="13" t="inlineStr">
        <is>
          <t>Elevation count / plan length</t>
        </is>
      </c>
    </row>
    <row r="14">
      <c r="A14" s="13" t="n">
        <v>9</v>
      </c>
      <c r="B14" s="13" t="inlineStr">
        <is>
          <t>Shear Walls</t>
        </is>
      </c>
      <c r="C14" s="13" t="inlineStr">
        <is>
          <t>STR-013/014</t>
        </is>
      </c>
      <c r="D14" s="13" t="inlineStr">
        <is>
          <t>Emergency stair core CW-12 M1 to M2 - vertical Y25@150 NF/FF</t>
        </is>
      </c>
      <c r="E14" s="19" t="inlineStr">
        <is>
          <t>V-Y25</t>
        </is>
      </c>
      <c r="F14" s="19" t="n">
        <v>25</v>
      </c>
      <c r="G14" s="19" t="n">
        <v>1</v>
      </c>
      <c r="H14" s="19">
        <f>2*(ROUNDUP(7050/150,0)+1)</f>
        <v>96.0</v>
      </c>
      <c r="I14" s="13">
        <f>G14*H14</f>
        <v>96.0</v>
      </c>
      <c r="J14" s="20">
        <f>(2700+40*25)/1000</f>
        <v>3.7</v>
      </c>
      <c r="K14" s="21">
        <f>I14*J14</f>
        <v>355.20000000000005</v>
      </c>
      <c r="L14" s="22">
        <f>F14^2/162</f>
        <v>3.8580246913580245</v>
      </c>
      <c r="M14" s="21">
        <f>K14*L14</f>
        <v>1370.3703703703704</v>
      </c>
      <c r="N14" s="22">
        <f>M14/1000</f>
        <v>1.3703703703703705</v>
      </c>
      <c r="O14" s="13" t="inlineStr">
        <is>
          <t>Elevation / plan</t>
        </is>
      </c>
    </row>
    <row r="15">
      <c r="A15" s="13" t="n">
        <v>10</v>
      </c>
      <c r="B15" s="13" t="inlineStr">
        <is>
          <t>Shear Walls</t>
        </is>
      </c>
      <c r="C15" s="13" t="inlineStr">
        <is>
          <t>STR-013/014</t>
        </is>
      </c>
      <c r="D15" s="13" t="inlineStr">
        <is>
          <t>Emergency stair core CW-13 (L=7810mm) M1 to M2 - horizontal Y12@150 NF/FF</t>
        </is>
      </c>
      <c r="E15" s="19" t="inlineStr">
        <is>
          <t>H-Y12</t>
        </is>
      </c>
      <c r="F15" s="19" t="n">
        <v>12</v>
      </c>
      <c r="G15" s="19" t="n">
        <v>1</v>
      </c>
      <c r="H15" s="19">
        <f>2*16</f>
        <v>32.0</v>
      </c>
      <c r="I15" s="13">
        <f>G15*H15</f>
        <v>32.0</v>
      </c>
      <c r="J15" s="20">
        <f>(7810-2*30+40*12)/1000</f>
        <v>8.23</v>
      </c>
      <c r="K15" s="21">
        <f>I15*J15</f>
        <v>263.36</v>
      </c>
      <c r="L15" s="22">
        <f>F15^2/162</f>
        <v>0.8888888888888888</v>
      </c>
      <c r="M15" s="21">
        <f>K15*L15</f>
        <v>234.09777777777776</v>
      </c>
      <c r="N15" s="22">
        <f>M15/1000</f>
        <v>0.23409777777777777</v>
      </c>
      <c r="O15" s="13" t="inlineStr">
        <is>
          <t>Elevation count / plan length</t>
        </is>
      </c>
    </row>
    <row r="16">
      <c r="A16" s="13" t="n">
        <v>11</v>
      </c>
      <c r="B16" s="13" t="inlineStr">
        <is>
          <t>Shear Walls</t>
        </is>
      </c>
      <c r="C16" s="13" t="inlineStr">
        <is>
          <t>STR-013/014</t>
        </is>
      </c>
      <c r="D16" s="13" t="inlineStr">
        <is>
          <t>Emergency stair core CW-13 M1 to M2 - vertical Y25@150 NF/FF</t>
        </is>
      </c>
      <c r="E16" s="19" t="inlineStr">
        <is>
          <t>V-Y25</t>
        </is>
      </c>
      <c r="F16" s="19" t="n">
        <v>25</v>
      </c>
      <c r="G16" s="19" t="n">
        <v>1</v>
      </c>
      <c r="H16" s="19">
        <f>2*52</f>
        <v>104.0</v>
      </c>
      <c r="I16" s="13">
        <f>G16*H16</f>
        <v>104.0</v>
      </c>
      <c r="J16" s="20">
        <f>(2700+40*25)/1000</f>
        <v>3.7</v>
      </c>
      <c r="K16" s="21">
        <f>I16*J16</f>
        <v>384.8</v>
      </c>
      <c r="L16" s="22">
        <f>F16^2/162</f>
        <v>3.8580246913580245</v>
      </c>
      <c r="M16" s="21">
        <f>K16*L16</f>
        <v>1484.567901234568</v>
      </c>
      <c r="N16" s="22">
        <f>M16/1000</f>
        <v>1.4845679012345678</v>
      </c>
      <c r="O16" s="13" t="inlineStr">
        <is>
          <t>Elevation / plan</t>
        </is>
      </c>
    </row>
    <row r="17">
      <c r="A17" s="13" t="n">
        <v>12</v>
      </c>
      <c r="B17" s="13" t="inlineStr">
        <is>
          <t>Shear Walls</t>
        </is>
      </c>
      <c r="C17" s="13" t="inlineStr">
        <is>
          <t>STR-013/014</t>
        </is>
      </c>
      <c r="D17" s="13" t="inlineStr">
        <is>
          <t>Emergency stair core CW-14 (L=3450mm) M1 to M2 - horizontal Y12@150 NF/FF</t>
        </is>
      </c>
      <c r="E17" s="19" t="inlineStr">
        <is>
          <t>H-Y12</t>
        </is>
      </c>
      <c r="F17" s="19" t="n">
        <v>12</v>
      </c>
      <c r="G17" s="19" t="n">
        <v>1</v>
      </c>
      <c r="H17" s="19">
        <f>2*16</f>
        <v>32.0</v>
      </c>
      <c r="I17" s="13">
        <f>G17*H17</f>
        <v>32.0</v>
      </c>
      <c r="J17" s="20">
        <f>(3450-2*30+40*12)/1000</f>
        <v>3.87</v>
      </c>
      <c r="K17" s="21">
        <f>I17*J17</f>
        <v>123.84</v>
      </c>
      <c r="L17" s="22">
        <f>F17^2/162</f>
        <v>0.8888888888888888</v>
      </c>
      <c r="M17" s="21">
        <f>K17*L17</f>
        <v>110.08</v>
      </c>
      <c r="N17" s="22">
        <f>M17/1000</f>
        <v>0.11008</v>
      </c>
      <c r="O17" s="13" t="inlineStr">
        <is>
          <t>Elevation count / plan length</t>
        </is>
      </c>
    </row>
    <row r="18">
      <c r="A18" s="13" t="n">
        <v>13</v>
      </c>
      <c r="B18" s="13" t="inlineStr">
        <is>
          <t>Shear Walls</t>
        </is>
      </c>
      <c r="C18" s="13" t="inlineStr">
        <is>
          <t>STR-013/014</t>
        </is>
      </c>
      <c r="D18" s="13" t="inlineStr">
        <is>
          <t>Emergency stair core CW-14 M1 to M2 - vertical Y25@150 NF/FF</t>
        </is>
      </c>
      <c r="E18" s="19" t="inlineStr">
        <is>
          <t>V-Y25</t>
        </is>
      </c>
      <c r="F18" s="19" t="n">
        <v>25</v>
      </c>
      <c r="G18" s="19" t="n">
        <v>1</v>
      </c>
      <c r="H18" s="19">
        <f>2*(ROUNDUP(3450/150,0)+1)</f>
        <v>48.0</v>
      </c>
      <c r="I18" s="13">
        <f>G18*H18</f>
        <v>48.0</v>
      </c>
      <c r="J18" s="20">
        <f>(2700+40*25)/1000</f>
        <v>3.7</v>
      </c>
      <c r="K18" s="21">
        <f>I18*J18</f>
        <v>177.60000000000002</v>
      </c>
      <c r="L18" s="22">
        <f>F18^2/162</f>
        <v>3.8580246913580245</v>
      </c>
      <c r="M18" s="21">
        <f>K18*L18</f>
        <v>685.1851851851852</v>
      </c>
      <c r="N18" s="22">
        <f>M18/1000</f>
        <v>0.6851851851851852</v>
      </c>
      <c r="O18" s="13" t="inlineStr">
        <is>
          <t>Elevation / plan</t>
        </is>
      </c>
    </row>
    <row r="19">
      <c r="A19" s="13" t="n">
        <v>14</v>
      </c>
      <c r="B19" s="13" t="inlineStr">
        <is>
          <t>Shear Walls</t>
        </is>
      </c>
      <c r="C19" s="13" t="inlineStr">
        <is>
          <t>STR-013/014</t>
        </is>
      </c>
      <c r="D19" s="13" t="inlineStr">
        <is>
          <t>Emergency stair core CW-15 (L=2425mm) M1 to M2 - horizontal Y12@150 NF/FF</t>
        </is>
      </c>
      <c r="E19" s="19" t="inlineStr">
        <is>
          <t>H-Y12</t>
        </is>
      </c>
      <c r="F19" s="19" t="n">
        <v>12</v>
      </c>
      <c r="G19" s="19" t="n">
        <v>1</v>
      </c>
      <c r="H19" s="19">
        <f>2*16</f>
        <v>32.0</v>
      </c>
      <c r="I19" s="13">
        <f>G19*H19</f>
        <v>32.0</v>
      </c>
      <c r="J19" s="20">
        <f>(2425-2*30+40*12)/1000</f>
        <v>2.845</v>
      </c>
      <c r="K19" s="21">
        <f>I19*J19</f>
        <v>91.04</v>
      </c>
      <c r="L19" s="22">
        <f>F19^2/162</f>
        <v>0.8888888888888888</v>
      </c>
      <c r="M19" s="21">
        <f>K19*L19</f>
        <v>80.92444444444445</v>
      </c>
      <c r="N19" s="22">
        <f>M19/1000</f>
        <v>0.08092444444444445</v>
      </c>
      <c r="O19" s="13" t="inlineStr">
        <is>
          <t>Elevation count / plan length</t>
        </is>
      </c>
    </row>
    <row r="20">
      <c r="A20" s="13" t="n">
        <v>15</v>
      </c>
      <c r="B20" s="13" t="inlineStr">
        <is>
          <t>Shear Walls</t>
        </is>
      </c>
      <c r="C20" s="13" t="inlineStr">
        <is>
          <t>STR-013/014</t>
        </is>
      </c>
      <c r="D20" s="13" t="inlineStr">
        <is>
          <t>Emergency stair core CW-15 M1 to M2 - vertical Y25@150 NF/FF</t>
        </is>
      </c>
      <c r="E20" s="19" t="inlineStr">
        <is>
          <t>V-Y25</t>
        </is>
      </c>
      <c r="F20" s="19" t="n">
        <v>25</v>
      </c>
      <c r="G20" s="19" t="n">
        <v>1</v>
      </c>
      <c r="H20" s="19">
        <f>2*(ROUNDUP(2425/150,0)+1)</f>
        <v>36.0</v>
      </c>
      <c r="I20" s="13">
        <f>G20*H20</f>
        <v>36.0</v>
      </c>
      <c r="J20" s="20">
        <f>(2700+40*25)/1000</f>
        <v>3.7</v>
      </c>
      <c r="K20" s="21">
        <f>I20*J20</f>
        <v>133.20000000000002</v>
      </c>
      <c r="L20" s="22">
        <f>F20^2/162</f>
        <v>3.8580246913580245</v>
      </c>
      <c r="M20" s="21">
        <f>K20*L20</f>
        <v>513.8888888888889</v>
      </c>
      <c r="N20" s="22">
        <f>M20/1000</f>
        <v>0.513888888888889</v>
      </c>
      <c r="O20" s="13" t="inlineStr">
        <is>
          <t>Elevation / plan</t>
        </is>
      </c>
    </row>
    <row r="21">
      <c r="A21" s="13" t="n">
        <v>16</v>
      </c>
      <c r="B21" s="13" t="inlineStr">
        <is>
          <t>Shear Walls</t>
        </is>
      </c>
      <c r="C21" s="13" t="inlineStr">
        <is>
          <t>STR-013/014</t>
        </is>
      </c>
      <c r="D21" s="13" t="inlineStr">
        <is>
          <t>Emergency stair core CW-16 (L=775mm) M1 to M2 - horizontal Y12@150 NF/FF</t>
        </is>
      </c>
      <c r="E21" s="19" t="inlineStr">
        <is>
          <t>H-Y12</t>
        </is>
      </c>
      <c r="F21" s="19" t="n">
        <v>12</v>
      </c>
      <c r="G21" s="19" t="n">
        <v>1</v>
      </c>
      <c r="H21" s="19">
        <f>2*16</f>
        <v>32.0</v>
      </c>
      <c r="I21" s="13">
        <f>G21*H21</f>
        <v>32.0</v>
      </c>
      <c r="J21" s="20">
        <f>(775-2*30+40*12)/1000</f>
        <v>1.195</v>
      </c>
      <c r="K21" s="21">
        <f>I21*J21</f>
        <v>38.24</v>
      </c>
      <c r="L21" s="22">
        <f>F21^2/162</f>
        <v>0.8888888888888888</v>
      </c>
      <c r="M21" s="21">
        <f>K21*L21</f>
        <v>33.99111111111111</v>
      </c>
      <c r="N21" s="22">
        <f>M21/1000</f>
        <v>0.03399111111111111</v>
      </c>
      <c r="O21" s="13" t="inlineStr">
        <is>
          <t>Elevation count / plan length</t>
        </is>
      </c>
    </row>
    <row r="22">
      <c r="A22" s="13" t="n">
        <v>17</v>
      </c>
      <c r="B22" s="13" t="inlineStr">
        <is>
          <t>Shear Walls</t>
        </is>
      </c>
      <c r="C22" s="13" t="inlineStr">
        <is>
          <t>STR-013/014</t>
        </is>
      </c>
      <c r="D22" s="13" t="inlineStr">
        <is>
          <t>Emergency stair core CW-16 M1 to M2 - vertical Y25@150 NF/FF</t>
        </is>
      </c>
      <c r="E22" s="19" t="inlineStr">
        <is>
          <t>V-Y25</t>
        </is>
      </c>
      <c r="F22" s="19" t="n">
        <v>25</v>
      </c>
      <c r="G22" s="19" t="n">
        <v>1</v>
      </c>
      <c r="H22" s="19">
        <f>2*(ROUNDUP(775/150,0)+1)</f>
        <v>14.0</v>
      </c>
      <c r="I22" s="13">
        <f>G22*H22</f>
        <v>14.0</v>
      </c>
      <c r="J22" s="20">
        <f>(2700+40*25)/1000</f>
        <v>3.7</v>
      </c>
      <c r="K22" s="21">
        <f>I22*J22</f>
        <v>51.800000000000004</v>
      </c>
      <c r="L22" s="22">
        <f>F22^2/162</f>
        <v>3.8580246913580245</v>
      </c>
      <c r="M22" s="21">
        <f>K22*L22</f>
        <v>199.8456790123457</v>
      </c>
      <c r="N22" s="22">
        <f>M22/1000</f>
        <v>0.1998456790123457</v>
      </c>
      <c r="O22" s="13" t="inlineStr">
        <is>
          <t>Elevation / plan</t>
        </is>
      </c>
    </row>
    <row r="23">
      <c r="A23" s="13" t="n">
        <v>18</v>
      </c>
      <c r="B23" s="13" t="inlineStr">
        <is>
          <t>Shear Walls</t>
        </is>
      </c>
      <c r="C23" s="13" t="inlineStr">
        <is>
          <t>STR-013/014</t>
        </is>
      </c>
      <c r="D23" s="13" t="inlineStr">
        <is>
          <t>Emergency stair core CW-17 (L=360mm) M1 to M2 - horizontal Y12@150 NF/FF</t>
        </is>
      </c>
      <c r="E23" s="19" t="inlineStr">
        <is>
          <t>H-Y12</t>
        </is>
      </c>
      <c r="F23" s="19" t="n">
        <v>12</v>
      </c>
      <c r="G23" s="19" t="n">
        <v>1</v>
      </c>
      <c r="H23" s="19">
        <f>2*16</f>
        <v>32.0</v>
      </c>
      <c r="I23" s="13">
        <f>G23*H23</f>
        <v>32.0</v>
      </c>
      <c r="J23" s="20">
        <f>(360-2*30+40*12)/1000</f>
        <v>0.78</v>
      </c>
      <c r="K23" s="21">
        <f>I23*J23</f>
        <v>24.96</v>
      </c>
      <c r="L23" s="22">
        <f>F23^2/162</f>
        <v>0.8888888888888888</v>
      </c>
      <c r="M23" s="21">
        <f>K23*L23</f>
        <v>22.186666666666667</v>
      </c>
      <c r="N23" s="22">
        <f>M23/1000</f>
        <v>0.022186666666666667</v>
      </c>
      <c r="O23" s="13" t="inlineStr">
        <is>
          <t>Elevation count / plan length</t>
        </is>
      </c>
    </row>
    <row r="24">
      <c r="A24" s="13" t="n">
        <v>19</v>
      </c>
      <c r="B24" s="13" t="inlineStr">
        <is>
          <t>Shear Walls</t>
        </is>
      </c>
      <c r="C24" s="13" t="inlineStr">
        <is>
          <t>STR-013/014</t>
        </is>
      </c>
      <c r="D24" s="13" t="inlineStr">
        <is>
          <t>Emergency stair core CW-17 M1 to M2 - vertical Y25@150 NF/FF</t>
        </is>
      </c>
      <c r="E24" s="19" t="inlineStr">
        <is>
          <t>V-Y25</t>
        </is>
      </c>
      <c r="F24" s="19" t="n">
        <v>25</v>
      </c>
      <c r="G24" s="19" t="n">
        <v>1</v>
      </c>
      <c r="H24" s="19">
        <f>2*(ROUNDUP(360/150,0)+1)</f>
        <v>8.0</v>
      </c>
      <c r="I24" s="13">
        <f>G24*H24</f>
        <v>8.0</v>
      </c>
      <c r="J24" s="20">
        <f>(2700+40*25)/1000</f>
        <v>3.7</v>
      </c>
      <c r="K24" s="21">
        <f>I24*J24</f>
        <v>29.6</v>
      </c>
      <c r="L24" s="22">
        <f>F24^2/162</f>
        <v>3.8580246913580245</v>
      </c>
      <c r="M24" s="21">
        <f>K24*L24</f>
        <v>114.19753086419753</v>
      </c>
      <c r="N24" s="22">
        <f>M24/1000</f>
        <v>0.11419753086419754</v>
      </c>
      <c r="O24" s="13" t="inlineStr">
        <is>
          <t>Elevation / plan</t>
        </is>
      </c>
    </row>
    <row r="25">
      <c r="A25" s="13" t="n">
        <v>20</v>
      </c>
      <c r="B25" s="13" t="inlineStr">
        <is>
          <t>Shear Walls</t>
        </is>
      </c>
      <c r="C25" s="13" t="inlineStr">
        <is>
          <t>STR-013/014</t>
        </is>
      </c>
      <c r="D25" s="13" t="inlineStr">
        <is>
          <t>Emergency stair core CW-18 (L=1300mm) M1 to M2 - horizontal Y12@150 NF/FF</t>
        </is>
      </c>
      <c r="E25" s="19" t="inlineStr">
        <is>
          <t>H-Y12</t>
        </is>
      </c>
      <c r="F25" s="19" t="n">
        <v>12</v>
      </c>
      <c r="G25" s="19" t="n">
        <v>1</v>
      </c>
      <c r="H25" s="19">
        <f>2*16</f>
        <v>32.0</v>
      </c>
      <c r="I25" s="13">
        <f>G25*H25</f>
        <v>32.0</v>
      </c>
      <c r="J25" s="20">
        <f>(1300-2*30+40*12)/1000</f>
        <v>1.72</v>
      </c>
      <c r="K25" s="21">
        <f>I25*J25</f>
        <v>55.04</v>
      </c>
      <c r="L25" s="22">
        <f>F25^2/162</f>
        <v>0.8888888888888888</v>
      </c>
      <c r="M25" s="21">
        <f>K25*L25</f>
        <v>48.92444444444444</v>
      </c>
      <c r="N25" s="22">
        <f>M25/1000</f>
        <v>0.04892444444444444</v>
      </c>
      <c r="O25" s="13" t="inlineStr">
        <is>
          <t>Elevation count / plan length</t>
        </is>
      </c>
    </row>
    <row r="26">
      <c r="A26" s="13" t="n">
        <v>21</v>
      </c>
      <c r="B26" s="13" t="inlineStr">
        <is>
          <t>Shear Walls</t>
        </is>
      </c>
      <c r="C26" s="13" t="inlineStr">
        <is>
          <t>STR-013/014</t>
        </is>
      </c>
      <c r="D26" s="13" t="inlineStr">
        <is>
          <t>Emergency stair core CW-18 M1 to M2 - vertical Y25@150 NF/FF</t>
        </is>
      </c>
      <c r="E26" s="19" t="inlineStr">
        <is>
          <t>V-Y25</t>
        </is>
      </c>
      <c r="F26" s="19" t="n">
        <v>25</v>
      </c>
      <c r="G26" s="19" t="n">
        <v>1</v>
      </c>
      <c r="H26" s="19">
        <f>2*(ROUNDUP(1300/150,0)+1)</f>
        <v>20.0</v>
      </c>
      <c r="I26" s="13">
        <f>G26*H26</f>
        <v>20.0</v>
      </c>
      <c r="J26" s="20">
        <f>(2700+40*25)/1000</f>
        <v>3.7</v>
      </c>
      <c r="K26" s="21">
        <f>I26*J26</f>
        <v>74.0</v>
      </c>
      <c r="L26" s="22">
        <f>F26^2/162</f>
        <v>3.8580246913580245</v>
      </c>
      <c r="M26" s="21">
        <f>K26*L26</f>
        <v>285.4938271604938</v>
      </c>
      <c r="N26" s="22">
        <f>M26/1000</f>
        <v>0.2854938271604938</v>
      </c>
      <c r="O26" s="13" t="inlineStr">
        <is>
          <t>Elevation / plan</t>
        </is>
      </c>
    </row>
    <row r="27">
      <c r="A27" s="13" t="n">
        <v>22</v>
      </c>
      <c r="B27" s="13" t="inlineStr">
        <is>
          <t>Shear Walls</t>
        </is>
      </c>
      <c r="C27" s="13" t="inlineStr">
        <is>
          <t>STR-013/014</t>
        </is>
      </c>
      <c r="D27" s="13" t="inlineStr">
        <is>
          <t>Emergency stair core CW-19 (L=1100mm) M1 to M2 - horizontal Y12@150 NF/FF</t>
        </is>
      </c>
      <c r="E27" s="19" t="inlineStr">
        <is>
          <t>H-Y12</t>
        </is>
      </c>
      <c r="F27" s="19" t="n">
        <v>12</v>
      </c>
      <c r="G27" s="19" t="n">
        <v>1</v>
      </c>
      <c r="H27" s="19">
        <f>2*16</f>
        <v>32.0</v>
      </c>
      <c r="I27" s="13">
        <f>G27*H27</f>
        <v>32.0</v>
      </c>
      <c r="J27" s="20">
        <f>(1100-2*30+40*12)/1000</f>
        <v>1.52</v>
      </c>
      <c r="K27" s="21">
        <f>I27*J27</f>
        <v>48.64</v>
      </c>
      <c r="L27" s="22">
        <f>F27^2/162</f>
        <v>0.8888888888888888</v>
      </c>
      <c r="M27" s="21">
        <f>K27*L27</f>
        <v>43.23555555555556</v>
      </c>
      <c r="N27" s="22">
        <f>M27/1000</f>
        <v>0.043235555555555555</v>
      </c>
      <c r="O27" s="13" t="inlineStr">
        <is>
          <t>Elevation count / plan length</t>
        </is>
      </c>
    </row>
    <row r="28">
      <c r="A28" s="13" t="n">
        <v>23</v>
      </c>
      <c r="B28" s="13" t="inlineStr">
        <is>
          <t>Shear Walls</t>
        </is>
      </c>
      <c r="C28" s="13" t="inlineStr">
        <is>
          <t>STR-013/014</t>
        </is>
      </c>
      <c r="D28" s="13" t="inlineStr">
        <is>
          <t>Emergency stair core CW-19 M1 to M2 - vertical Y25@150 NF/FF</t>
        </is>
      </c>
      <c r="E28" s="19" t="inlineStr">
        <is>
          <t>V-Y25</t>
        </is>
      </c>
      <c r="F28" s="19" t="n">
        <v>25</v>
      </c>
      <c r="G28" s="19" t="n">
        <v>1</v>
      </c>
      <c r="H28" s="19">
        <f>2*(ROUNDUP(1100/150,0)+1)</f>
        <v>18.0</v>
      </c>
      <c r="I28" s="13">
        <f>G28*H28</f>
        <v>18.0</v>
      </c>
      <c r="J28" s="20">
        <f>(2700+40*25)/1000</f>
        <v>3.7</v>
      </c>
      <c r="K28" s="21">
        <f>I28*J28</f>
        <v>66.60000000000001</v>
      </c>
      <c r="L28" s="22">
        <f>F28^2/162</f>
        <v>3.8580246913580245</v>
      </c>
      <c r="M28" s="21">
        <f>K28*L28</f>
        <v>256.94444444444446</v>
      </c>
      <c r="N28" s="22">
        <f>M28/1000</f>
        <v>0.2569444444444445</v>
      </c>
      <c r="O28" s="13" t="inlineStr">
        <is>
          <t>Elevation / plan</t>
        </is>
      </c>
    </row>
    <row r="29">
      <c r="A29" s="13" t="n">
        <v>24</v>
      </c>
      <c r="B29" s="13" t="inlineStr">
        <is>
          <t>Shear Walls</t>
        </is>
      </c>
      <c r="C29" s="13" t="inlineStr">
        <is>
          <t>STR-013/014</t>
        </is>
      </c>
      <c r="D29" s="13" t="inlineStr">
        <is>
          <t>Emergency stair core CW-20 (L=1300mm) M1 to M2 - horizontal Y12@150 NF/FF</t>
        </is>
      </c>
      <c r="E29" s="19" t="inlineStr">
        <is>
          <t>H-Y12</t>
        </is>
      </c>
      <c r="F29" s="19" t="n">
        <v>12</v>
      </c>
      <c r="G29" s="19" t="n">
        <v>1</v>
      </c>
      <c r="H29" s="19">
        <f>2*16</f>
        <v>32.0</v>
      </c>
      <c r="I29" s="13">
        <f>G29*H29</f>
        <v>32.0</v>
      </c>
      <c r="J29" s="20">
        <f>(1300-2*30+40*12)/1000</f>
        <v>1.72</v>
      </c>
      <c r="K29" s="21">
        <f>I29*J29</f>
        <v>55.04</v>
      </c>
      <c r="L29" s="22">
        <f>F29^2/162</f>
        <v>0.8888888888888888</v>
      </c>
      <c r="M29" s="21">
        <f>K29*L29</f>
        <v>48.92444444444444</v>
      </c>
      <c r="N29" s="22">
        <f>M29/1000</f>
        <v>0.04892444444444444</v>
      </c>
      <c r="O29" s="13" t="inlineStr">
        <is>
          <t>Elevation count / plan length</t>
        </is>
      </c>
    </row>
    <row r="30">
      <c r="A30" s="13" t="n">
        <v>25</v>
      </c>
      <c r="B30" s="13" t="inlineStr">
        <is>
          <t>Shear Walls</t>
        </is>
      </c>
      <c r="C30" s="13" t="inlineStr">
        <is>
          <t>STR-013/014</t>
        </is>
      </c>
      <c r="D30" s="13" t="inlineStr">
        <is>
          <t>Emergency stair core CW-20 M1 to M2 - vertical Y25@150 NF/FF</t>
        </is>
      </c>
      <c r="E30" s="19" t="inlineStr">
        <is>
          <t>V-Y25</t>
        </is>
      </c>
      <c r="F30" s="19" t="n">
        <v>25</v>
      </c>
      <c r="G30" s="19" t="n">
        <v>1</v>
      </c>
      <c r="H30" s="19">
        <f>2*(ROUNDUP(1300/150,0)+1)</f>
        <v>20.0</v>
      </c>
      <c r="I30" s="13">
        <f>G30*H30</f>
        <v>20.0</v>
      </c>
      <c r="J30" s="20">
        <f>(2700+40*25)/1000</f>
        <v>3.7</v>
      </c>
      <c r="K30" s="21">
        <f>I30*J30</f>
        <v>74.0</v>
      </c>
      <c r="L30" s="22">
        <f>F30^2/162</f>
        <v>3.8580246913580245</v>
      </c>
      <c r="M30" s="21">
        <f>K30*L30</f>
        <v>285.4938271604938</v>
      </c>
      <c r="N30" s="22">
        <f>M30/1000</f>
        <v>0.2854938271604938</v>
      </c>
      <c r="O30" s="13" t="inlineStr">
        <is>
          <t>Elevation / plan</t>
        </is>
      </c>
    </row>
    <row r="31">
      <c r="A31" s="13" t="n">
        <v>26</v>
      </c>
      <c r="B31" s="13" t="inlineStr">
        <is>
          <t>Shear Walls</t>
        </is>
      </c>
      <c r="C31" s="13" t="inlineStr">
        <is>
          <t>STR-013/014</t>
        </is>
      </c>
      <c r="D31" s="13" t="inlineStr">
        <is>
          <t>Emergency stair core confinement links Y10@150 (33 positions on plan) M1 to M2</t>
        </is>
      </c>
      <c r="E31" s="19" t="inlineStr">
        <is>
          <t>LNK-Y10</t>
        </is>
      </c>
      <c r="F31" s="19" t="n">
        <v>10</v>
      </c>
      <c r="G31" s="19" t="n">
        <v>1</v>
      </c>
      <c r="H31" s="19">
        <f>33*ROUNDUP(2700/150,0)</f>
        <v>594.0</v>
      </c>
      <c r="I31" s="13">
        <f>G31*H31</f>
        <v>594.0</v>
      </c>
      <c r="J31" s="20">
        <f>1800/1000</f>
        <v>1.8</v>
      </c>
      <c r="K31" s="21">
        <f>I31*J31</f>
        <v>1069.2</v>
      </c>
      <c r="L31" s="22">
        <f>F31^2/162</f>
        <v>0.6172839506172839</v>
      </c>
      <c r="M31" s="21">
        <f>K31*L31</f>
        <v>660.0</v>
      </c>
      <c r="N31" s="22">
        <f>M31/1000</f>
        <v>0.66</v>
      </c>
      <c r="O31" s="13" t="inlineStr">
        <is>
          <t>Assumed link cut length</t>
        </is>
      </c>
    </row>
    <row r="32">
      <c r="A32" s="13" t="n">
        <v>27</v>
      </c>
      <c r="B32" s="13" t="inlineStr">
        <is>
          <t>Beams</t>
        </is>
      </c>
      <c r="C32" s="13" t="inlineStr">
        <is>
          <t>STR-042</t>
        </is>
      </c>
      <c r="D32" s="13" t="inlineStr">
        <is>
          <t>M1 Level beams</t>
        </is>
      </c>
      <c r="E32" s="19" t="inlineStr">
        <is>
          <t>1001</t>
        </is>
      </c>
      <c r="F32" s="19" t="n">
        <v>10</v>
      </c>
      <c r="G32" s="19" t="n">
        <v>1</v>
      </c>
      <c r="H32" s="19" t="n">
        <v>1073</v>
      </c>
      <c r="I32" s="13">
        <f>G32*H32</f>
        <v>1073.0</v>
      </c>
      <c r="J32" s="20">
        <f>1700/1000</f>
        <v>1.7</v>
      </c>
      <c r="K32" s="21">
        <f>I32*J32</f>
        <v>1824.1</v>
      </c>
      <c r="L32" s="22">
        <f>F32^2/162</f>
        <v>0.6172839506172839</v>
      </c>
      <c r="M32" s="21">
        <f>K32*L32</f>
        <v>1125.9876543209875</v>
      </c>
      <c r="N32" s="22">
        <f>M32/1000</f>
        <v>1.1259876543209875</v>
      </c>
      <c r="O32" s="13" t="inlineStr">
        <is>
          <t>BBS</t>
        </is>
      </c>
    </row>
    <row r="33">
      <c r="A33" s="13" t="n">
        <v>28</v>
      </c>
      <c r="B33" s="13" t="inlineStr">
        <is>
          <t>Beams</t>
        </is>
      </c>
      <c r="C33" s="13" t="inlineStr">
        <is>
          <t>STR-042</t>
        </is>
      </c>
      <c r="D33" s="13" t="inlineStr">
        <is>
          <t>M1 Level beams</t>
        </is>
      </c>
      <c r="E33" s="19" t="inlineStr">
        <is>
          <t>1601</t>
        </is>
      </c>
      <c r="F33" s="19" t="n">
        <v>16</v>
      </c>
      <c r="G33" s="19" t="n">
        <v>1</v>
      </c>
      <c r="H33" s="19" t="n">
        <v>4</v>
      </c>
      <c r="I33" s="13">
        <f>G33*H33</f>
        <v>4.0</v>
      </c>
      <c r="J33" s="20">
        <f>12000/1000</f>
        <v>12.0</v>
      </c>
      <c r="K33" s="21">
        <f>I33*J33</f>
        <v>48.0</v>
      </c>
      <c r="L33" s="22">
        <f>F33^2/162</f>
        <v>1.5802469135802468</v>
      </c>
      <c r="M33" s="21">
        <f>K33*L33</f>
        <v>75.85185185185185</v>
      </c>
      <c r="N33" s="22">
        <f>M33/1000</f>
        <v>0.07585185185185185</v>
      </c>
      <c r="O33" s="13" t="inlineStr">
        <is>
          <t>BBS</t>
        </is>
      </c>
    </row>
    <row r="34">
      <c r="A34" s="13" t="n">
        <v>29</v>
      </c>
      <c r="B34" s="13" t="inlineStr">
        <is>
          <t>Beams</t>
        </is>
      </c>
      <c r="C34" s="13" t="inlineStr">
        <is>
          <t>STR-042</t>
        </is>
      </c>
      <c r="D34" s="13" t="inlineStr">
        <is>
          <t>M1 Level beams</t>
        </is>
      </c>
      <c r="E34" s="19" t="inlineStr">
        <is>
          <t>1602</t>
        </is>
      </c>
      <c r="F34" s="19" t="n">
        <v>16</v>
      </c>
      <c r="G34" s="19" t="n">
        <v>1</v>
      </c>
      <c r="H34" s="19" t="n">
        <v>2</v>
      </c>
      <c r="I34" s="13">
        <f>G34*H34</f>
        <v>2.0</v>
      </c>
      <c r="J34" s="20">
        <f>7200/1000</f>
        <v>7.2</v>
      </c>
      <c r="K34" s="21">
        <f>I34*J34</f>
        <v>14.4</v>
      </c>
      <c r="L34" s="22">
        <f>F34^2/162</f>
        <v>1.5802469135802468</v>
      </c>
      <c r="M34" s="21">
        <f>K34*L34</f>
        <v>22.755555555555556</v>
      </c>
      <c r="N34" s="22">
        <f>M34/1000</f>
        <v>0.022755555555555557</v>
      </c>
      <c r="O34" s="13" t="inlineStr">
        <is>
          <t>BBS</t>
        </is>
      </c>
    </row>
    <row r="35">
      <c r="A35" s="13" t="n">
        <v>30</v>
      </c>
      <c r="B35" s="13" t="inlineStr">
        <is>
          <t>Beams</t>
        </is>
      </c>
      <c r="C35" s="13" t="inlineStr">
        <is>
          <t>STR-042</t>
        </is>
      </c>
      <c r="D35" s="13" t="inlineStr">
        <is>
          <t>M1 Level beams</t>
        </is>
      </c>
      <c r="E35" s="19" t="inlineStr">
        <is>
          <t>1603</t>
        </is>
      </c>
      <c r="F35" s="19" t="n">
        <v>16</v>
      </c>
      <c r="G35" s="19" t="n">
        <v>1</v>
      </c>
      <c r="H35" s="19" t="n">
        <v>6</v>
      </c>
      <c r="I35" s="13">
        <f>G35*H35</f>
        <v>6.0</v>
      </c>
      <c r="J35" s="20">
        <f>7000/1000</f>
        <v>7.0</v>
      </c>
      <c r="K35" s="21">
        <f>I35*J35</f>
        <v>42.0</v>
      </c>
      <c r="L35" s="22">
        <f>F35^2/162</f>
        <v>1.5802469135802468</v>
      </c>
      <c r="M35" s="21">
        <f>K35*L35</f>
        <v>66.37037037037037</v>
      </c>
      <c r="N35" s="22">
        <f>M35/1000</f>
        <v>0.06637037037037037</v>
      </c>
      <c r="O35" s="13" t="inlineStr">
        <is>
          <t>BBS</t>
        </is>
      </c>
    </row>
    <row r="36">
      <c r="A36" s="13" t="n">
        <v>31</v>
      </c>
      <c r="B36" s="13" t="inlineStr">
        <is>
          <t>Beams</t>
        </is>
      </c>
      <c r="C36" s="13" t="inlineStr">
        <is>
          <t>STR-042</t>
        </is>
      </c>
      <c r="D36" s="13" t="inlineStr">
        <is>
          <t>M1 Level beams</t>
        </is>
      </c>
      <c r="E36" s="19" t="inlineStr">
        <is>
          <t>1604</t>
        </is>
      </c>
      <c r="F36" s="19" t="n">
        <v>16</v>
      </c>
      <c r="G36" s="19" t="n">
        <v>1</v>
      </c>
      <c r="H36" s="19" t="n">
        <v>2</v>
      </c>
      <c r="I36" s="13">
        <f>G36*H36</f>
        <v>2.0</v>
      </c>
      <c r="J36" s="20">
        <f>5900/1000</f>
        <v>5.9</v>
      </c>
      <c r="K36" s="21">
        <f>I36*J36</f>
        <v>11.8</v>
      </c>
      <c r="L36" s="22">
        <f>F36^2/162</f>
        <v>1.5802469135802468</v>
      </c>
      <c r="M36" s="21">
        <f>K36*L36</f>
        <v>18.646913580246913</v>
      </c>
      <c r="N36" s="22">
        <f>M36/1000</f>
        <v>0.018646913580246914</v>
      </c>
      <c r="O36" s="13" t="inlineStr">
        <is>
          <t>BBS</t>
        </is>
      </c>
    </row>
    <row r="37">
      <c r="A37" s="13" t="n">
        <v>32</v>
      </c>
      <c r="B37" s="13" t="inlineStr">
        <is>
          <t>Beams</t>
        </is>
      </c>
      <c r="C37" s="13" t="inlineStr">
        <is>
          <t>STR-042</t>
        </is>
      </c>
      <c r="D37" s="13" t="inlineStr">
        <is>
          <t>M1 Level beams</t>
        </is>
      </c>
      <c r="E37" s="19" t="inlineStr">
        <is>
          <t>1605</t>
        </is>
      </c>
      <c r="F37" s="19" t="n">
        <v>16</v>
      </c>
      <c r="G37" s="19" t="n">
        <v>1</v>
      </c>
      <c r="H37" s="19" t="n">
        <v>2</v>
      </c>
      <c r="I37" s="13">
        <f>G37*H37</f>
        <v>2.0</v>
      </c>
      <c r="J37" s="20">
        <f>5150/1000</f>
        <v>5.15</v>
      </c>
      <c r="K37" s="21">
        <f>I37*J37</f>
        <v>10.3</v>
      </c>
      <c r="L37" s="22">
        <f>F37^2/162</f>
        <v>1.5802469135802468</v>
      </c>
      <c r="M37" s="21">
        <f>K37*L37</f>
        <v>16.276543209876543</v>
      </c>
      <c r="N37" s="22">
        <f>M37/1000</f>
        <v>0.016276543209876544</v>
      </c>
      <c r="O37" s="13" t="inlineStr">
        <is>
          <t>BBS</t>
        </is>
      </c>
    </row>
    <row r="38">
      <c r="A38" s="13" t="n">
        <v>33</v>
      </c>
      <c r="B38" s="13" t="inlineStr">
        <is>
          <t>Beams</t>
        </is>
      </c>
      <c r="C38" s="13" t="inlineStr">
        <is>
          <t>STR-042</t>
        </is>
      </c>
      <c r="D38" s="13" t="inlineStr">
        <is>
          <t>M1 Level beams</t>
        </is>
      </c>
      <c r="E38" s="19" t="inlineStr">
        <is>
          <t>1606</t>
        </is>
      </c>
      <c r="F38" s="19" t="n">
        <v>16</v>
      </c>
      <c r="G38" s="19" t="n">
        <v>1</v>
      </c>
      <c r="H38" s="19" t="n">
        <v>3</v>
      </c>
      <c r="I38" s="13">
        <f>G38*H38</f>
        <v>3.0</v>
      </c>
      <c r="J38" s="20">
        <f>8050/1000</f>
        <v>8.05</v>
      </c>
      <c r="K38" s="21">
        <f>I38*J38</f>
        <v>24.150000000000002</v>
      </c>
      <c r="L38" s="22">
        <f>F38^2/162</f>
        <v>1.5802469135802468</v>
      </c>
      <c r="M38" s="21">
        <f>K38*L38</f>
        <v>38.162962962962965</v>
      </c>
      <c r="N38" s="22">
        <f>M38/1000</f>
        <v>0.03816296296296297</v>
      </c>
      <c r="O38" s="13" t="inlineStr">
        <is>
          <t>BBS</t>
        </is>
      </c>
    </row>
    <row r="39">
      <c r="A39" s="13" t="n">
        <v>34</v>
      </c>
      <c r="B39" s="13" t="inlineStr">
        <is>
          <t>Beams</t>
        </is>
      </c>
      <c r="C39" s="13" t="inlineStr">
        <is>
          <t>STR-042</t>
        </is>
      </c>
      <c r="D39" s="13" t="inlineStr">
        <is>
          <t>M1 Level beams</t>
        </is>
      </c>
      <c r="E39" s="19" t="inlineStr">
        <is>
          <t>1607</t>
        </is>
      </c>
      <c r="F39" s="19" t="n">
        <v>16</v>
      </c>
      <c r="G39" s="19" t="n">
        <v>1</v>
      </c>
      <c r="H39" s="19" t="n">
        <v>3</v>
      </c>
      <c r="I39" s="13">
        <f>G39*H39</f>
        <v>3.0</v>
      </c>
      <c r="J39" s="20">
        <f>6400/1000</f>
        <v>6.4</v>
      </c>
      <c r="K39" s="21">
        <f>I39*J39</f>
        <v>19.200000000000003</v>
      </c>
      <c r="L39" s="22">
        <f>F39^2/162</f>
        <v>1.5802469135802468</v>
      </c>
      <c r="M39" s="21">
        <f>K39*L39</f>
        <v>30.340740740740742</v>
      </c>
      <c r="N39" s="22">
        <f>M39/1000</f>
        <v>0.03034074074074074</v>
      </c>
      <c r="O39" s="13" t="inlineStr">
        <is>
          <t>BBS</t>
        </is>
      </c>
    </row>
    <row r="40">
      <c r="A40" s="13" t="n">
        <v>35</v>
      </c>
      <c r="B40" s="13" t="inlineStr">
        <is>
          <t>Beams</t>
        </is>
      </c>
      <c r="C40" s="13" t="inlineStr">
        <is>
          <t>STR-042</t>
        </is>
      </c>
      <c r="D40" s="13" t="inlineStr">
        <is>
          <t>M1 Level beams</t>
        </is>
      </c>
      <c r="E40" s="19" t="inlineStr">
        <is>
          <t>1608</t>
        </is>
      </c>
      <c r="F40" s="19" t="n">
        <v>16</v>
      </c>
      <c r="G40" s="19" t="n">
        <v>1</v>
      </c>
      <c r="H40" s="19" t="n">
        <v>3</v>
      </c>
      <c r="I40" s="13">
        <f>G40*H40</f>
        <v>3.0</v>
      </c>
      <c r="J40" s="20">
        <f>9250/1000</f>
        <v>9.25</v>
      </c>
      <c r="K40" s="21">
        <f>I40*J40</f>
        <v>27.75</v>
      </c>
      <c r="L40" s="22">
        <f>F40^2/162</f>
        <v>1.5802469135802468</v>
      </c>
      <c r="M40" s="21">
        <f>K40*L40</f>
        <v>43.85185185185185</v>
      </c>
      <c r="N40" s="22">
        <f>M40/1000</f>
        <v>0.04385185185185185</v>
      </c>
      <c r="O40" s="13" t="inlineStr">
        <is>
          <t>BBS</t>
        </is>
      </c>
    </row>
    <row r="41">
      <c r="A41" s="13" t="n">
        <v>36</v>
      </c>
      <c r="B41" s="13" t="inlineStr">
        <is>
          <t>Beams</t>
        </is>
      </c>
      <c r="C41" s="13" t="inlineStr">
        <is>
          <t>STR-042</t>
        </is>
      </c>
      <c r="D41" s="13" t="inlineStr">
        <is>
          <t>M1 Level beams</t>
        </is>
      </c>
      <c r="E41" s="19" t="inlineStr">
        <is>
          <t>1609</t>
        </is>
      </c>
      <c r="F41" s="19" t="n">
        <v>16</v>
      </c>
      <c r="G41" s="19" t="n">
        <v>1</v>
      </c>
      <c r="H41" s="19" t="n">
        <v>6</v>
      </c>
      <c r="I41" s="13">
        <f>G41*H41</f>
        <v>6.0</v>
      </c>
      <c r="J41" s="20">
        <f>7200/1000</f>
        <v>7.2</v>
      </c>
      <c r="K41" s="21">
        <f>I41*J41</f>
        <v>43.2</v>
      </c>
      <c r="L41" s="22">
        <f>F41^2/162</f>
        <v>1.5802469135802468</v>
      </c>
      <c r="M41" s="21">
        <f>K41*L41</f>
        <v>68.26666666666667</v>
      </c>
      <c r="N41" s="22">
        <f>M41/1000</f>
        <v>0.06826666666666667</v>
      </c>
      <c r="O41" s="13" t="inlineStr">
        <is>
          <t>BBS</t>
        </is>
      </c>
    </row>
    <row r="42">
      <c r="A42" s="13" t="n">
        <v>37</v>
      </c>
      <c r="B42" s="13" t="inlineStr">
        <is>
          <t>Beams</t>
        </is>
      </c>
      <c r="C42" s="13" t="inlineStr">
        <is>
          <t>STR-042</t>
        </is>
      </c>
      <c r="D42" s="13" t="inlineStr">
        <is>
          <t>M1 Level beams</t>
        </is>
      </c>
      <c r="E42" s="19" t="inlineStr">
        <is>
          <t>1610</t>
        </is>
      </c>
      <c r="F42" s="19" t="n">
        <v>16</v>
      </c>
      <c r="G42" s="19" t="n">
        <v>1</v>
      </c>
      <c r="H42" s="19" t="n">
        <v>2</v>
      </c>
      <c r="I42" s="13">
        <f>G42*H42</f>
        <v>2.0</v>
      </c>
      <c r="J42" s="20">
        <f>11700/1000</f>
        <v>11.7</v>
      </c>
      <c r="K42" s="21">
        <f>I42*J42</f>
        <v>23.4</v>
      </c>
      <c r="L42" s="22">
        <f>F42^2/162</f>
        <v>1.5802469135802468</v>
      </c>
      <c r="M42" s="21">
        <f>K42*L42</f>
        <v>36.977777777777774</v>
      </c>
      <c r="N42" s="22">
        <f>M42/1000</f>
        <v>0.036977777777777776</v>
      </c>
      <c r="O42" s="13" t="inlineStr">
        <is>
          <t>BBS</t>
        </is>
      </c>
    </row>
    <row r="43">
      <c r="A43" s="13" t="n">
        <v>38</v>
      </c>
      <c r="B43" s="13" t="inlineStr">
        <is>
          <t>Beams</t>
        </is>
      </c>
      <c r="C43" s="13" t="inlineStr">
        <is>
          <t>STR-042</t>
        </is>
      </c>
      <c r="D43" s="13" t="inlineStr">
        <is>
          <t>M1 Level beams</t>
        </is>
      </c>
      <c r="E43" s="19" t="inlineStr">
        <is>
          <t>1611</t>
        </is>
      </c>
      <c r="F43" s="19" t="n">
        <v>16</v>
      </c>
      <c r="G43" s="19" t="n">
        <v>1</v>
      </c>
      <c r="H43" s="19" t="n">
        <v>2</v>
      </c>
      <c r="I43" s="13">
        <f>G43*H43</f>
        <v>2.0</v>
      </c>
      <c r="J43" s="20">
        <f>12000/1000</f>
        <v>12.0</v>
      </c>
      <c r="K43" s="21">
        <f>I43*J43</f>
        <v>24.0</v>
      </c>
      <c r="L43" s="22">
        <f>F43^2/162</f>
        <v>1.5802469135802468</v>
      </c>
      <c r="M43" s="21">
        <f>K43*L43</f>
        <v>37.925925925925924</v>
      </c>
      <c r="N43" s="22">
        <f>M43/1000</f>
        <v>0.037925925925925925</v>
      </c>
      <c r="O43" s="13" t="inlineStr">
        <is>
          <t>BBS</t>
        </is>
      </c>
    </row>
    <row r="44">
      <c r="A44" s="13" t="n">
        <v>39</v>
      </c>
      <c r="B44" s="13" t="inlineStr">
        <is>
          <t>Beams</t>
        </is>
      </c>
      <c r="C44" s="13" t="inlineStr">
        <is>
          <t>STR-042</t>
        </is>
      </c>
      <c r="D44" s="13" t="inlineStr">
        <is>
          <t>M1 Level beams</t>
        </is>
      </c>
      <c r="E44" s="19" t="inlineStr">
        <is>
          <t>1612</t>
        </is>
      </c>
      <c r="F44" s="19" t="n">
        <v>16</v>
      </c>
      <c r="G44" s="19" t="n">
        <v>1</v>
      </c>
      <c r="H44" s="19" t="n">
        <v>2</v>
      </c>
      <c r="I44" s="13">
        <f>G44*H44</f>
        <v>2.0</v>
      </c>
      <c r="J44" s="20">
        <f>12000/1000</f>
        <v>12.0</v>
      </c>
      <c r="K44" s="21">
        <f>I44*J44</f>
        <v>24.0</v>
      </c>
      <c r="L44" s="22">
        <f>F44^2/162</f>
        <v>1.5802469135802468</v>
      </c>
      <c r="M44" s="21">
        <f>K44*L44</f>
        <v>37.925925925925924</v>
      </c>
      <c r="N44" s="22">
        <f>M44/1000</f>
        <v>0.037925925925925925</v>
      </c>
      <c r="O44" s="13" t="inlineStr">
        <is>
          <t>BBS</t>
        </is>
      </c>
    </row>
    <row r="45">
      <c r="A45" s="13" t="n">
        <v>40</v>
      </c>
      <c r="B45" s="13" t="inlineStr">
        <is>
          <t>Beams</t>
        </is>
      </c>
      <c r="C45" s="13" t="inlineStr">
        <is>
          <t>STR-042</t>
        </is>
      </c>
      <c r="D45" s="13" t="inlineStr">
        <is>
          <t>M1 Level beams</t>
        </is>
      </c>
      <c r="E45" s="19" t="inlineStr">
        <is>
          <t>1613</t>
        </is>
      </c>
      <c r="F45" s="19" t="n">
        <v>16</v>
      </c>
      <c r="G45" s="19" t="n">
        <v>1</v>
      </c>
      <c r="H45" s="19" t="n">
        <v>2</v>
      </c>
      <c r="I45" s="13">
        <f>G45*H45</f>
        <v>2.0</v>
      </c>
      <c r="J45" s="20">
        <f>5150/1000</f>
        <v>5.15</v>
      </c>
      <c r="K45" s="21">
        <f>I45*J45</f>
        <v>10.3</v>
      </c>
      <c r="L45" s="22">
        <f>F45^2/162</f>
        <v>1.5802469135802468</v>
      </c>
      <c r="M45" s="21">
        <f>K45*L45</f>
        <v>16.276543209876543</v>
      </c>
      <c r="N45" s="22">
        <f>M45/1000</f>
        <v>0.016276543209876544</v>
      </c>
      <c r="O45" s="13" t="inlineStr">
        <is>
          <t>BBS</t>
        </is>
      </c>
    </row>
    <row r="46">
      <c r="A46" s="13" t="n">
        <v>41</v>
      </c>
      <c r="B46" s="13" t="inlineStr">
        <is>
          <t>Beams</t>
        </is>
      </c>
      <c r="C46" s="13" t="inlineStr">
        <is>
          <t>STR-042</t>
        </is>
      </c>
      <c r="D46" s="13" t="inlineStr">
        <is>
          <t>M1 Level beams</t>
        </is>
      </c>
      <c r="E46" s="19" t="inlineStr">
        <is>
          <t>1614</t>
        </is>
      </c>
      <c r="F46" s="19" t="n">
        <v>16</v>
      </c>
      <c r="G46" s="19" t="n">
        <v>1</v>
      </c>
      <c r="H46" s="19" t="n">
        <v>2</v>
      </c>
      <c r="I46" s="13">
        <f>G46*H46</f>
        <v>2.0</v>
      </c>
      <c r="J46" s="20">
        <f>8850/1000</f>
        <v>8.85</v>
      </c>
      <c r="K46" s="21">
        <f>I46*J46</f>
        <v>17.7</v>
      </c>
      <c r="L46" s="22">
        <f>F46^2/162</f>
        <v>1.5802469135802468</v>
      </c>
      <c r="M46" s="21">
        <f>K46*L46</f>
        <v>27.970370370370368</v>
      </c>
      <c r="N46" s="22">
        <f>M46/1000</f>
        <v>0.027970370370370368</v>
      </c>
      <c r="O46" s="13" t="inlineStr">
        <is>
          <t>BBS</t>
        </is>
      </c>
    </row>
    <row r="47">
      <c r="A47" s="13" t="n">
        <v>42</v>
      </c>
      <c r="B47" s="13" t="inlineStr">
        <is>
          <t>Beams</t>
        </is>
      </c>
      <c r="C47" s="13" t="inlineStr">
        <is>
          <t>STR-042</t>
        </is>
      </c>
      <c r="D47" s="13" t="inlineStr">
        <is>
          <t>M1 Level beams</t>
        </is>
      </c>
      <c r="E47" s="19" t="inlineStr">
        <is>
          <t>1615</t>
        </is>
      </c>
      <c r="F47" s="19" t="n">
        <v>16</v>
      </c>
      <c r="G47" s="19" t="n">
        <v>1</v>
      </c>
      <c r="H47" s="19" t="n">
        <v>2</v>
      </c>
      <c r="I47" s="13">
        <f>G47*H47</f>
        <v>2.0</v>
      </c>
      <c r="J47" s="20">
        <f>12000/1000</f>
        <v>12.0</v>
      </c>
      <c r="K47" s="21">
        <f>I47*J47</f>
        <v>24.0</v>
      </c>
      <c r="L47" s="22">
        <f>F47^2/162</f>
        <v>1.5802469135802468</v>
      </c>
      <c r="M47" s="21">
        <f>K47*L47</f>
        <v>37.925925925925924</v>
      </c>
      <c r="N47" s="22">
        <f>M47/1000</f>
        <v>0.037925925925925925</v>
      </c>
      <c r="O47" s="13" t="inlineStr">
        <is>
          <t>BBS</t>
        </is>
      </c>
    </row>
    <row r="48">
      <c r="A48" s="13" t="n">
        <v>43</v>
      </c>
      <c r="B48" s="13" t="inlineStr">
        <is>
          <t>Beams</t>
        </is>
      </c>
      <c r="C48" s="13" t="inlineStr">
        <is>
          <t>STR-042</t>
        </is>
      </c>
      <c r="D48" s="13" t="inlineStr">
        <is>
          <t>M1 Level beams</t>
        </is>
      </c>
      <c r="E48" s="19" t="inlineStr">
        <is>
          <t>2001</t>
        </is>
      </c>
      <c r="F48" s="19" t="n">
        <v>20</v>
      </c>
      <c r="G48" s="19" t="n">
        <v>1</v>
      </c>
      <c r="H48" s="19" t="n">
        <v>3</v>
      </c>
      <c r="I48" s="13">
        <f>G48*H48</f>
        <v>3.0</v>
      </c>
      <c r="J48" s="20">
        <f>11200/1000</f>
        <v>11.2</v>
      </c>
      <c r="K48" s="21">
        <f>I48*J48</f>
        <v>33.599999999999994</v>
      </c>
      <c r="L48" s="22">
        <f>F48^2/162</f>
        <v>2.4691358024691357</v>
      </c>
      <c r="M48" s="21">
        <f>K48*L48</f>
        <v>82.96296296296295</v>
      </c>
      <c r="N48" s="22">
        <f>M48/1000</f>
        <v>0.08296296296296295</v>
      </c>
      <c r="O48" s="13" t="inlineStr">
        <is>
          <t>BBS</t>
        </is>
      </c>
    </row>
    <row r="49">
      <c r="A49" s="13" t="n">
        <v>44</v>
      </c>
      <c r="B49" s="13" t="inlineStr">
        <is>
          <t>Beams</t>
        </is>
      </c>
      <c r="C49" s="13" t="inlineStr">
        <is>
          <t>STR-042</t>
        </is>
      </c>
      <c r="D49" s="13" t="inlineStr">
        <is>
          <t>M1 Level beams</t>
        </is>
      </c>
      <c r="E49" s="19" t="inlineStr">
        <is>
          <t>2002</t>
        </is>
      </c>
      <c r="F49" s="19" t="n">
        <v>20</v>
      </c>
      <c r="G49" s="19" t="n">
        <v>1</v>
      </c>
      <c r="H49" s="19" t="n">
        <v>6</v>
      </c>
      <c r="I49" s="13">
        <f>G49*H49</f>
        <v>6.0</v>
      </c>
      <c r="J49" s="20">
        <f>9600/1000</f>
        <v>9.6</v>
      </c>
      <c r="K49" s="21">
        <f>I49*J49</f>
        <v>57.599999999999994</v>
      </c>
      <c r="L49" s="22">
        <f>F49^2/162</f>
        <v>2.4691358024691357</v>
      </c>
      <c r="M49" s="21">
        <f>K49*L49</f>
        <v>142.2222222222222</v>
      </c>
      <c r="N49" s="22">
        <f>M49/1000</f>
        <v>0.1422222222222222</v>
      </c>
      <c r="O49" s="13" t="inlineStr">
        <is>
          <t>BBS</t>
        </is>
      </c>
    </row>
    <row r="50">
      <c r="A50" s="13" t="n">
        <v>45</v>
      </c>
      <c r="B50" s="13" t="inlineStr">
        <is>
          <t>Beams</t>
        </is>
      </c>
      <c r="C50" s="13" t="inlineStr">
        <is>
          <t>STR-042</t>
        </is>
      </c>
      <c r="D50" s="13" t="inlineStr">
        <is>
          <t>M1 Level beams</t>
        </is>
      </c>
      <c r="E50" s="19" t="inlineStr">
        <is>
          <t>2003</t>
        </is>
      </c>
      <c r="F50" s="19" t="n">
        <v>20</v>
      </c>
      <c r="G50" s="19" t="n">
        <v>1</v>
      </c>
      <c r="H50" s="19" t="n">
        <v>3</v>
      </c>
      <c r="I50" s="13">
        <f>G50*H50</f>
        <v>3.0</v>
      </c>
      <c r="J50" s="20">
        <f>12000/1000</f>
        <v>12.0</v>
      </c>
      <c r="K50" s="21">
        <f>I50*J50</f>
        <v>36.0</v>
      </c>
      <c r="L50" s="22">
        <f>F50^2/162</f>
        <v>2.4691358024691357</v>
      </c>
      <c r="M50" s="21">
        <f>K50*L50</f>
        <v>88.88888888888889</v>
      </c>
      <c r="N50" s="22">
        <f>M50/1000</f>
        <v>0.08888888888888889</v>
      </c>
      <c r="O50" s="13" t="inlineStr">
        <is>
          <t>BBS</t>
        </is>
      </c>
    </row>
    <row r="51">
      <c r="A51" s="13" t="n">
        <v>46</v>
      </c>
      <c r="B51" s="13" t="inlineStr">
        <is>
          <t>Beams</t>
        </is>
      </c>
      <c r="C51" s="13" t="inlineStr">
        <is>
          <t>STR-042</t>
        </is>
      </c>
      <c r="D51" s="13" t="inlineStr">
        <is>
          <t>M1 Level beams</t>
        </is>
      </c>
      <c r="E51" s="19" t="inlineStr">
        <is>
          <t>2004</t>
        </is>
      </c>
      <c r="F51" s="19" t="n">
        <v>20</v>
      </c>
      <c r="G51" s="19" t="n">
        <v>1</v>
      </c>
      <c r="H51" s="19" t="n">
        <v>3</v>
      </c>
      <c r="I51" s="13">
        <f>G51*H51</f>
        <v>3.0</v>
      </c>
      <c r="J51" s="20">
        <f>7050/1000</f>
        <v>7.05</v>
      </c>
      <c r="K51" s="21">
        <f>I51*J51</f>
        <v>21.15</v>
      </c>
      <c r="L51" s="22">
        <f>F51^2/162</f>
        <v>2.4691358024691357</v>
      </c>
      <c r="M51" s="21">
        <f>K51*L51</f>
        <v>52.222222222222214</v>
      </c>
      <c r="N51" s="22">
        <f>M51/1000</f>
        <v>0.05222222222222221</v>
      </c>
      <c r="O51" s="13" t="inlineStr">
        <is>
          <t>BBS</t>
        </is>
      </c>
    </row>
    <row r="52">
      <c r="A52" s="13" t="n">
        <v>47</v>
      </c>
      <c r="B52" s="13" t="inlineStr">
        <is>
          <t>Beams</t>
        </is>
      </c>
      <c r="C52" s="13" t="inlineStr">
        <is>
          <t>STR-042</t>
        </is>
      </c>
      <c r="D52" s="13" t="inlineStr">
        <is>
          <t>M1 Level beams</t>
        </is>
      </c>
      <c r="E52" s="19" t="inlineStr">
        <is>
          <t>2005</t>
        </is>
      </c>
      <c r="F52" s="19" t="n">
        <v>20</v>
      </c>
      <c r="G52" s="19" t="n">
        <v>1</v>
      </c>
      <c r="H52" s="19" t="n">
        <v>3</v>
      </c>
      <c r="I52" s="13">
        <f>G52*H52</f>
        <v>3.0</v>
      </c>
      <c r="J52" s="20">
        <f>9300/1000</f>
        <v>9.3</v>
      </c>
      <c r="K52" s="21">
        <f>I52*J52</f>
        <v>27.900000000000002</v>
      </c>
      <c r="L52" s="22">
        <f>F52^2/162</f>
        <v>2.4691358024691357</v>
      </c>
      <c r="M52" s="21">
        <f>K52*L52</f>
        <v>68.88888888888889</v>
      </c>
      <c r="N52" s="22">
        <f>M52/1000</f>
        <v>0.06888888888888889</v>
      </c>
      <c r="O52" s="13" t="inlineStr">
        <is>
          <t>BBS</t>
        </is>
      </c>
    </row>
    <row r="53">
      <c r="A53" s="13" t="n">
        <v>48</v>
      </c>
      <c r="B53" s="13" t="inlineStr">
        <is>
          <t>Beams</t>
        </is>
      </c>
      <c r="C53" s="13" t="inlineStr">
        <is>
          <t>STR-042</t>
        </is>
      </c>
      <c r="D53" s="13" t="inlineStr">
        <is>
          <t>M1 Level beams</t>
        </is>
      </c>
      <c r="E53" s="19" t="inlineStr">
        <is>
          <t>2006</t>
        </is>
      </c>
      <c r="F53" s="19" t="n">
        <v>20</v>
      </c>
      <c r="G53" s="19" t="n">
        <v>1</v>
      </c>
      <c r="H53" s="19" t="n">
        <v>3</v>
      </c>
      <c r="I53" s="13">
        <f>G53*H53</f>
        <v>3.0</v>
      </c>
      <c r="J53" s="20">
        <f>9100/1000</f>
        <v>9.1</v>
      </c>
      <c r="K53" s="21">
        <f>I53*J53</f>
        <v>27.299999999999997</v>
      </c>
      <c r="L53" s="22">
        <f>F53^2/162</f>
        <v>2.4691358024691357</v>
      </c>
      <c r="M53" s="21">
        <f>K53*L53</f>
        <v>67.40740740740739</v>
      </c>
      <c r="N53" s="22">
        <f>M53/1000</f>
        <v>0.06740740740740739</v>
      </c>
      <c r="O53" s="13" t="inlineStr">
        <is>
          <t>BBS</t>
        </is>
      </c>
    </row>
    <row r="54">
      <c r="A54" s="13" t="n">
        <v>49</v>
      </c>
      <c r="B54" s="13" t="inlineStr">
        <is>
          <t>Beams</t>
        </is>
      </c>
      <c r="C54" s="13" t="inlineStr">
        <is>
          <t>STR-042</t>
        </is>
      </c>
      <c r="D54" s="13" t="inlineStr">
        <is>
          <t>M1 Level beams</t>
        </is>
      </c>
      <c r="E54" s="19" t="inlineStr">
        <is>
          <t>2007</t>
        </is>
      </c>
      <c r="F54" s="19" t="n">
        <v>20</v>
      </c>
      <c r="G54" s="19" t="n">
        <v>1</v>
      </c>
      <c r="H54" s="19" t="n">
        <v>6</v>
      </c>
      <c r="I54" s="13">
        <f>G54*H54</f>
        <v>6.0</v>
      </c>
      <c r="J54" s="20">
        <f>5725/1000</f>
        <v>5.725</v>
      </c>
      <c r="K54" s="21">
        <f>I54*J54</f>
        <v>34.349999999999994</v>
      </c>
      <c r="L54" s="22">
        <f>F54^2/162</f>
        <v>2.4691358024691357</v>
      </c>
      <c r="M54" s="21">
        <f>K54*L54</f>
        <v>84.8148148148148</v>
      </c>
      <c r="N54" s="22">
        <f>M54/1000</f>
        <v>0.0848148148148148</v>
      </c>
      <c r="O54" s="13" t="inlineStr">
        <is>
          <t>BBS</t>
        </is>
      </c>
    </row>
    <row r="55">
      <c r="A55" s="13" t="n">
        <v>50</v>
      </c>
      <c r="B55" s="13" t="inlineStr">
        <is>
          <t>Beams</t>
        </is>
      </c>
      <c r="C55" s="13" t="inlineStr">
        <is>
          <t>STR-042</t>
        </is>
      </c>
      <c r="D55" s="13" t="inlineStr">
        <is>
          <t>M1 Level beams</t>
        </is>
      </c>
      <c r="E55" s="19" t="inlineStr">
        <is>
          <t>2008</t>
        </is>
      </c>
      <c r="F55" s="19" t="n">
        <v>20</v>
      </c>
      <c r="G55" s="19" t="n">
        <v>1</v>
      </c>
      <c r="H55" s="19" t="n">
        <v>3</v>
      </c>
      <c r="I55" s="13">
        <f>G55*H55</f>
        <v>3.0</v>
      </c>
      <c r="J55" s="20">
        <f>9250/1000</f>
        <v>9.25</v>
      </c>
      <c r="K55" s="21">
        <f>I55*J55</f>
        <v>27.75</v>
      </c>
      <c r="L55" s="22">
        <f>F55^2/162</f>
        <v>2.4691358024691357</v>
      </c>
      <c r="M55" s="21">
        <f>K55*L55</f>
        <v>68.51851851851852</v>
      </c>
      <c r="N55" s="22">
        <f>M55/1000</f>
        <v>0.06851851851851852</v>
      </c>
      <c r="O55" s="13" t="inlineStr">
        <is>
          <t>BBS</t>
        </is>
      </c>
    </row>
    <row r="56">
      <c r="A56" s="13" t="n">
        <v>51</v>
      </c>
      <c r="B56" s="13" t="inlineStr">
        <is>
          <t>Beams</t>
        </is>
      </c>
      <c r="C56" s="13" t="inlineStr">
        <is>
          <t>STR-042</t>
        </is>
      </c>
      <c r="D56" s="13" t="inlineStr">
        <is>
          <t>M1 Level beams</t>
        </is>
      </c>
      <c r="E56" s="19" t="inlineStr">
        <is>
          <t>2009</t>
        </is>
      </c>
      <c r="F56" s="19" t="n">
        <v>20</v>
      </c>
      <c r="G56" s="19" t="n">
        <v>1</v>
      </c>
      <c r="H56" s="19" t="n">
        <v>3</v>
      </c>
      <c r="I56" s="13">
        <f>G56*H56</f>
        <v>3.0</v>
      </c>
      <c r="J56" s="20">
        <f>6500/1000</f>
        <v>6.5</v>
      </c>
      <c r="K56" s="21">
        <f>I56*J56</f>
        <v>19.5</v>
      </c>
      <c r="L56" s="22">
        <f>F56^2/162</f>
        <v>2.4691358024691357</v>
      </c>
      <c r="M56" s="21">
        <f>K56*L56</f>
        <v>48.148148148148145</v>
      </c>
      <c r="N56" s="22">
        <f>M56/1000</f>
        <v>0.04814814814814815</v>
      </c>
      <c r="O56" s="13" t="inlineStr">
        <is>
          <t>BBS</t>
        </is>
      </c>
    </row>
    <row r="57">
      <c r="A57" s="13" t="n">
        <v>52</v>
      </c>
      <c r="B57" s="13" t="inlineStr">
        <is>
          <t>Beams</t>
        </is>
      </c>
      <c r="C57" s="13" t="inlineStr">
        <is>
          <t>STR-042</t>
        </is>
      </c>
      <c r="D57" s="13" t="inlineStr">
        <is>
          <t>M1 Level beams</t>
        </is>
      </c>
      <c r="E57" s="19" t="inlineStr">
        <is>
          <t>2010</t>
        </is>
      </c>
      <c r="F57" s="19" t="n">
        <v>20</v>
      </c>
      <c r="G57" s="19" t="n">
        <v>1</v>
      </c>
      <c r="H57" s="19" t="n">
        <v>3</v>
      </c>
      <c r="I57" s="13">
        <f>G57*H57</f>
        <v>3.0</v>
      </c>
      <c r="J57" s="20">
        <f>5700/1000</f>
        <v>5.7</v>
      </c>
      <c r="K57" s="21">
        <f>I57*J57</f>
        <v>17.1</v>
      </c>
      <c r="L57" s="22">
        <f>F57^2/162</f>
        <v>2.4691358024691357</v>
      </c>
      <c r="M57" s="21">
        <f>K57*L57</f>
        <v>42.22222222222222</v>
      </c>
      <c r="N57" s="22">
        <f>M57/1000</f>
        <v>0.042222222222222223</v>
      </c>
      <c r="O57" s="13" t="inlineStr">
        <is>
          <t>BBS</t>
        </is>
      </c>
    </row>
    <row r="58">
      <c r="A58" s="13" t="n">
        <v>53</v>
      </c>
      <c r="B58" s="13" t="inlineStr">
        <is>
          <t>Beams</t>
        </is>
      </c>
      <c r="C58" s="13" t="inlineStr">
        <is>
          <t>STR-042</t>
        </is>
      </c>
      <c r="D58" s="13" t="inlineStr">
        <is>
          <t>M1 Level beams</t>
        </is>
      </c>
      <c r="E58" s="19" t="inlineStr">
        <is>
          <t>2011</t>
        </is>
      </c>
      <c r="F58" s="19" t="n">
        <v>20</v>
      </c>
      <c r="G58" s="19" t="n">
        <v>1</v>
      </c>
      <c r="H58" s="19" t="n">
        <v>3</v>
      </c>
      <c r="I58" s="13">
        <f>G58*H58</f>
        <v>3.0</v>
      </c>
      <c r="J58" s="20">
        <f>9100/1000</f>
        <v>9.1</v>
      </c>
      <c r="K58" s="21">
        <f>I58*J58</f>
        <v>27.299999999999997</v>
      </c>
      <c r="L58" s="22">
        <f>F58^2/162</f>
        <v>2.4691358024691357</v>
      </c>
      <c r="M58" s="21">
        <f>K58*L58</f>
        <v>67.40740740740739</v>
      </c>
      <c r="N58" s="22">
        <f>M58/1000</f>
        <v>0.06740740740740739</v>
      </c>
      <c r="O58" s="13" t="inlineStr">
        <is>
          <t>BBS</t>
        </is>
      </c>
    </row>
    <row r="59">
      <c r="A59" s="13" t="n">
        <v>54</v>
      </c>
      <c r="B59" s="13" t="inlineStr">
        <is>
          <t>Beams</t>
        </is>
      </c>
      <c r="C59" s="13" t="inlineStr">
        <is>
          <t>STR-042</t>
        </is>
      </c>
      <c r="D59" s="13" t="inlineStr">
        <is>
          <t>M1 Level beams</t>
        </is>
      </c>
      <c r="E59" s="19" t="inlineStr">
        <is>
          <t>2501</t>
        </is>
      </c>
      <c r="F59" s="19" t="n">
        <v>25</v>
      </c>
      <c r="G59" s="19" t="n">
        <v>1</v>
      </c>
      <c r="H59" s="19" t="n">
        <v>3</v>
      </c>
      <c r="I59" s="13">
        <f>G59*H59</f>
        <v>3.0</v>
      </c>
      <c r="J59" s="20">
        <f>11300/1000</f>
        <v>11.3</v>
      </c>
      <c r="K59" s="21">
        <f>I59*J59</f>
        <v>33.900000000000006</v>
      </c>
      <c r="L59" s="22">
        <f>F59^2/162</f>
        <v>3.8580246913580245</v>
      </c>
      <c r="M59" s="21">
        <f>K59*L59</f>
        <v>130.78703703703707</v>
      </c>
      <c r="N59" s="22">
        <f>M59/1000</f>
        <v>0.13078703703703706</v>
      </c>
      <c r="O59" s="13" t="inlineStr">
        <is>
          <t>BBS</t>
        </is>
      </c>
    </row>
    <row r="60">
      <c r="A60" s="13" t="n">
        <v>55</v>
      </c>
      <c r="B60" s="13" t="inlineStr">
        <is>
          <t>Beams</t>
        </is>
      </c>
      <c r="C60" s="13" t="inlineStr">
        <is>
          <t>STR-042</t>
        </is>
      </c>
      <c r="D60" s="13" t="inlineStr">
        <is>
          <t>M1 Level beams</t>
        </is>
      </c>
      <c r="E60" s="19" t="inlineStr">
        <is>
          <t>2502</t>
        </is>
      </c>
      <c r="F60" s="19" t="n">
        <v>25</v>
      </c>
      <c r="G60" s="19" t="n">
        <v>1</v>
      </c>
      <c r="H60" s="19" t="n">
        <v>6</v>
      </c>
      <c r="I60" s="13">
        <f>G60*H60</f>
        <v>6.0</v>
      </c>
      <c r="J60" s="20">
        <f>9600/1000</f>
        <v>9.6</v>
      </c>
      <c r="K60" s="21">
        <f>I60*J60</f>
        <v>57.599999999999994</v>
      </c>
      <c r="L60" s="22">
        <f>F60^2/162</f>
        <v>3.8580246913580245</v>
      </c>
      <c r="M60" s="21">
        <f>K60*L60</f>
        <v>222.2222222222222</v>
      </c>
      <c r="N60" s="22">
        <f>M60/1000</f>
        <v>0.2222222222222222</v>
      </c>
      <c r="O60" s="13" t="inlineStr">
        <is>
          <t>BBS</t>
        </is>
      </c>
    </row>
    <row r="61">
      <c r="A61" s="13" t="n">
        <v>56</v>
      </c>
      <c r="B61" s="13" t="inlineStr">
        <is>
          <t>Beams</t>
        </is>
      </c>
      <c r="C61" s="13" t="inlineStr">
        <is>
          <t>STR-042</t>
        </is>
      </c>
      <c r="D61" s="13" t="inlineStr">
        <is>
          <t>M1 Level beams</t>
        </is>
      </c>
      <c r="E61" s="19" t="inlineStr">
        <is>
          <t>2503</t>
        </is>
      </c>
      <c r="F61" s="19" t="n">
        <v>25</v>
      </c>
      <c r="G61" s="19" t="n">
        <v>1</v>
      </c>
      <c r="H61" s="19" t="n">
        <v>3</v>
      </c>
      <c r="I61" s="13">
        <f>G61*H61</f>
        <v>3.0</v>
      </c>
      <c r="J61" s="20">
        <f>12000/1000</f>
        <v>12.0</v>
      </c>
      <c r="K61" s="21">
        <f>I61*J61</f>
        <v>36.0</v>
      </c>
      <c r="L61" s="22">
        <f>F61^2/162</f>
        <v>3.8580246913580245</v>
      </c>
      <c r="M61" s="21">
        <f>K61*L61</f>
        <v>138.88888888888889</v>
      </c>
      <c r="N61" s="22">
        <f>M61/1000</f>
        <v>0.1388888888888889</v>
      </c>
      <c r="O61" s="13" t="inlineStr">
        <is>
          <t>BBS</t>
        </is>
      </c>
    </row>
    <row r="62">
      <c r="A62" s="13" t="n">
        <v>57</v>
      </c>
      <c r="B62" s="13" t="inlineStr">
        <is>
          <t>Beams</t>
        </is>
      </c>
      <c r="C62" s="13" t="inlineStr">
        <is>
          <t>STR-042</t>
        </is>
      </c>
      <c r="D62" s="13" t="inlineStr">
        <is>
          <t>M1 Level beams</t>
        </is>
      </c>
      <c r="E62" s="19" t="inlineStr">
        <is>
          <t>2504</t>
        </is>
      </c>
      <c r="F62" s="19" t="n">
        <v>25</v>
      </c>
      <c r="G62" s="19" t="n">
        <v>1</v>
      </c>
      <c r="H62" s="19" t="n">
        <v>3</v>
      </c>
      <c r="I62" s="13">
        <f>G62*H62</f>
        <v>3.0</v>
      </c>
      <c r="J62" s="20">
        <f>7150/1000</f>
        <v>7.15</v>
      </c>
      <c r="K62" s="21">
        <f>I62*J62</f>
        <v>21.450000000000003</v>
      </c>
      <c r="L62" s="22">
        <f>F62^2/162</f>
        <v>3.8580246913580245</v>
      </c>
      <c r="M62" s="21">
        <f>K62*L62</f>
        <v>82.75462962962963</v>
      </c>
      <c r="N62" s="22">
        <f>M62/1000</f>
        <v>0.08275462962962964</v>
      </c>
      <c r="O62" s="13" t="inlineStr">
        <is>
          <t>BBS</t>
        </is>
      </c>
    </row>
    <row r="63">
      <c r="A63" s="13" t="n">
        <v>58</v>
      </c>
      <c r="B63" s="13" t="inlineStr">
        <is>
          <t>Beams</t>
        </is>
      </c>
      <c r="C63" s="13" t="inlineStr">
        <is>
          <t>STR-042</t>
        </is>
      </c>
      <c r="D63" s="13" t="inlineStr">
        <is>
          <t>M1 Level beams</t>
        </is>
      </c>
      <c r="E63" s="19" t="inlineStr">
        <is>
          <t>2505</t>
        </is>
      </c>
      <c r="F63" s="19" t="n">
        <v>25</v>
      </c>
      <c r="G63" s="19" t="n">
        <v>1</v>
      </c>
      <c r="H63" s="19" t="n">
        <v>3</v>
      </c>
      <c r="I63" s="13">
        <f>G63*H63</f>
        <v>3.0</v>
      </c>
      <c r="J63" s="20">
        <f>9300/1000</f>
        <v>9.3</v>
      </c>
      <c r="K63" s="21">
        <f>I63*J63</f>
        <v>27.900000000000002</v>
      </c>
      <c r="L63" s="22">
        <f>F63^2/162</f>
        <v>3.8580246913580245</v>
      </c>
      <c r="M63" s="21">
        <f>K63*L63</f>
        <v>107.63888888888889</v>
      </c>
      <c r="N63" s="22">
        <f>M63/1000</f>
        <v>0.10763888888888888</v>
      </c>
      <c r="O63" s="13" t="inlineStr">
        <is>
          <t>BBS</t>
        </is>
      </c>
    </row>
    <row r="64">
      <c r="A64" s="13" t="n">
        <v>59</v>
      </c>
      <c r="B64" s="13" t="inlineStr">
        <is>
          <t>Beams</t>
        </is>
      </c>
      <c r="C64" s="13" t="inlineStr">
        <is>
          <t>STR-042</t>
        </is>
      </c>
      <c r="D64" s="13" t="inlineStr">
        <is>
          <t>M1 Level beams</t>
        </is>
      </c>
      <c r="E64" s="19" t="inlineStr">
        <is>
          <t>2506</t>
        </is>
      </c>
      <c r="F64" s="19" t="n">
        <v>25</v>
      </c>
      <c r="G64" s="19" t="n">
        <v>1</v>
      </c>
      <c r="H64" s="19" t="n">
        <v>3</v>
      </c>
      <c r="I64" s="13">
        <f>G64*H64</f>
        <v>3.0</v>
      </c>
      <c r="J64" s="20">
        <f>9200/1000</f>
        <v>9.2</v>
      </c>
      <c r="K64" s="21">
        <f>I64*J64</f>
        <v>27.599999999999998</v>
      </c>
      <c r="L64" s="22">
        <f>F64^2/162</f>
        <v>3.8580246913580245</v>
      </c>
      <c r="M64" s="21">
        <f>K64*L64</f>
        <v>106.48148148148147</v>
      </c>
      <c r="N64" s="22">
        <f>M64/1000</f>
        <v>0.10648148148148147</v>
      </c>
      <c r="O64" s="13" t="inlineStr">
        <is>
          <t>BBS</t>
        </is>
      </c>
    </row>
    <row r="65">
      <c r="A65" s="13" t="n">
        <v>60</v>
      </c>
      <c r="B65" s="13" t="inlineStr">
        <is>
          <t>Beams</t>
        </is>
      </c>
      <c r="C65" s="13" t="inlineStr">
        <is>
          <t>STR-042</t>
        </is>
      </c>
      <c r="D65" s="13" t="inlineStr">
        <is>
          <t>M1 Level beams</t>
        </is>
      </c>
      <c r="E65" s="19" t="inlineStr">
        <is>
          <t>2507</t>
        </is>
      </c>
      <c r="F65" s="19" t="n">
        <v>25</v>
      </c>
      <c r="G65" s="19" t="n">
        <v>1</v>
      </c>
      <c r="H65" s="19" t="n">
        <v>3</v>
      </c>
      <c r="I65" s="13">
        <f>G65*H65</f>
        <v>3.0</v>
      </c>
      <c r="J65" s="20">
        <f>9850/1000</f>
        <v>9.85</v>
      </c>
      <c r="K65" s="21">
        <f>I65*J65</f>
        <v>29.549999999999997</v>
      </c>
      <c r="L65" s="22">
        <f>F65^2/162</f>
        <v>3.8580246913580245</v>
      </c>
      <c r="M65" s="21">
        <f>K65*L65</f>
        <v>114.00462962962962</v>
      </c>
      <c r="N65" s="22">
        <f>M65/1000</f>
        <v>0.11400462962962962</v>
      </c>
      <c r="O65" s="13" t="inlineStr">
        <is>
          <t>BBS</t>
        </is>
      </c>
    </row>
    <row r="66">
      <c r="A66" s="13" t="n">
        <v>61</v>
      </c>
      <c r="B66" s="13" t="inlineStr">
        <is>
          <t>Beams</t>
        </is>
      </c>
      <c r="C66" s="13" t="inlineStr">
        <is>
          <t>STR-042</t>
        </is>
      </c>
      <c r="D66" s="13" t="inlineStr">
        <is>
          <t>M1 Level beams</t>
        </is>
      </c>
      <c r="E66" s="19" t="inlineStr">
        <is>
          <t>2508</t>
        </is>
      </c>
      <c r="F66" s="19" t="n">
        <v>25</v>
      </c>
      <c r="G66" s="19" t="n">
        <v>1</v>
      </c>
      <c r="H66" s="19" t="n">
        <v>3</v>
      </c>
      <c r="I66" s="13">
        <f>G66*H66</f>
        <v>3.0</v>
      </c>
      <c r="J66" s="20">
        <f>11425/1000</f>
        <v>11.425</v>
      </c>
      <c r="K66" s="21">
        <f>I66*J66</f>
        <v>34.275000000000006</v>
      </c>
      <c r="L66" s="22">
        <f>F66^2/162</f>
        <v>3.8580246913580245</v>
      </c>
      <c r="M66" s="21">
        <f>K66*L66</f>
        <v>132.2337962962963</v>
      </c>
      <c r="N66" s="22">
        <f>M66/1000</f>
        <v>0.1322337962962963</v>
      </c>
      <c r="O66" s="13" t="inlineStr">
        <is>
          <t>BBS</t>
        </is>
      </c>
    </row>
    <row r="67">
      <c r="A67" s="13" t="n">
        <v>62</v>
      </c>
      <c r="B67" s="13" t="inlineStr">
        <is>
          <t>Beams</t>
        </is>
      </c>
      <c r="C67" s="13" t="inlineStr">
        <is>
          <t>STR-042</t>
        </is>
      </c>
      <c r="D67" s="13" t="inlineStr">
        <is>
          <t>M1 Level beams</t>
        </is>
      </c>
      <c r="E67" s="19" t="inlineStr">
        <is>
          <t>2509</t>
        </is>
      </c>
      <c r="F67" s="19" t="n">
        <v>25</v>
      </c>
      <c r="G67" s="19" t="n">
        <v>1</v>
      </c>
      <c r="H67" s="19" t="n">
        <v>3</v>
      </c>
      <c r="I67" s="13">
        <f>G67*H67</f>
        <v>3.0</v>
      </c>
      <c r="J67" s="20">
        <f>6850/1000</f>
        <v>6.85</v>
      </c>
      <c r="K67" s="21">
        <f>I67*J67</f>
        <v>20.549999999999997</v>
      </c>
      <c r="L67" s="22">
        <f>F67^2/162</f>
        <v>3.8580246913580245</v>
      </c>
      <c r="M67" s="21">
        <f>K67*L67</f>
        <v>79.28240740740739</v>
      </c>
      <c r="N67" s="22">
        <f>M67/1000</f>
        <v>0.07928240740740738</v>
      </c>
      <c r="O67" s="13" t="inlineStr">
        <is>
          <t>BBS</t>
        </is>
      </c>
    </row>
    <row r="68">
      <c r="A68" s="13" t="n">
        <v>63</v>
      </c>
      <c r="B68" s="13" t="inlineStr">
        <is>
          <t>Beams</t>
        </is>
      </c>
      <c r="C68" s="13" t="inlineStr">
        <is>
          <t>STR-042</t>
        </is>
      </c>
      <c r="D68" s="13" t="inlineStr">
        <is>
          <t>M1 Level beams</t>
        </is>
      </c>
      <c r="E68" s="19" t="inlineStr">
        <is>
          <t>2510</t>
        </is>
      </c>
      <c r="F68" s="19" t="n">
        <v>25</v>
      </c>
      <c r="G68" s="19" t="n">
        <v>1</v>
      </c>
      <c r="H68" s="19" t="n">
        <v>3</v>
      </c>
      <c r="I68" s="13">
        <f>G68*H68</f>
        <v>3.0</v>
      </c>
      <c r="J68" s="20">
        <f>4475/1000</f>
        <v>4.475</v>
      </c>
      <c r="K68" s="21">
        <f>I68*J68</f>
        <v>13.424999999999999</v>
      </c>
      <c r="L68" s="22">
        <f>F68^2/162</f>
        <v>3.8580246913580245</v>
      </c>
      <c r="M68" s="21">
        <f>K68*L68</f>
        <v>51.793981481481474</v>
      </c>
      <c r="N68" s="22">
        <f>M68/1000</f>
        <v>0.051793981481481476</v>
      </c>
      <c r="O68" s="13" t="inlineStr">
        <is>
          <t>BBS</t>
        </is>
      </c>
    </row>
    <row r="69">
      <c r="A69" s="13" t="n">
        <v>64</v>
      </c>
      <c r="B69" s="13" t="inlineStr">
        <is>
          <t>Beams</t>
        </is>
      </c>
      <c r="C69" s="13" t="inlineStr">
        <is>
          <t>STR-042</t>
        </is>
      </c>
      <c r="D69" s="13" t="inlineStr">
        <is>
          <t>M1 Level beams</t>
        </is>
      </c>
      <c r="E69" s="19" t="inlineStr">
        <is>
          <t>2511</t>
        </is>
      </c>
      <c r="F69" s="19" t="n">
        <v>25</v>
      </c>
      <c r="G69" s="19" t="n">
        <v>1</v>
      </c>
      <c r="H69" s="19" t="n">
        <v>3</v>
      </c>
      <c r="I69" s="13">
        <f>G69*H69</f>
        <v>3.0</v>
      </c>
      <c r="J69" s="20">
        <f>7600/1000</f>
        <v>7.6</v>
      </c>
      <c r="K69" s="21">
        <f>I69*J69</f>
        <v>22.799999999999997</v>
      </c>
      <c r="L69" s="22">
        <f>F69^2/162</f>
        <v>3.8580246913580245</v>
      </c>
      <c r="M69" s="21">
        <f>K69*L69</f>
        <v>87.96296296296295</v>
      </c>
      <c r="N69" s="22">
        <f>M69/1000</f>
        <v>0.08796296296296295</v>
      </c>
      <c r="O69" s="13" t="inlineStr">
        <is>
          <t>BBS</t>
        </is>
      </c>
    </row>
    <row r="70">
      <c r="A70" s="13" t="n">
        <v>65</v>
      </c>
      <c r="B70" s="13" t="inlineStr">
        <is>
          <t>Beams</t>
        </is>
      </c>
      <c r="C70" s="13" t="inlineStr">
        <is>
          <t>STR-042</t>
        </is>
      </c>
      <c r="D70" s="13" t="inlineStr">
        <is>
          <t>M1 Level beams</t>
        </is>
      </c>
      <c r="E70" s="19" t="inlineStr">
        <is>
          <t>2512</t>
        </is>
      </c>
      <c r="F70" s="19" t="n">
        <v>25</v>
      </c>
      <c r="G70" s="19" t="n">
        <v>1</v>
      </c>
      <c r="H70" s="19" t="n">
        <v>3</v>
      </c>
      <c r="I70" s="13">
        <f>G70*H70</f>
        <v>3.0</v>
      </c>
      <c r="J70" s="20">
        <f>6800/1000</f>
        <v>6.8</v>
      </c>
      <c r="K70" s="21">
        <f>I70*J70</f>
        <v>20.4</v>
      </c>
      <c r="L70" s="22">
        <f>F70^2/162</f>
        <v>3.8580246913580245</v>
      </c>
      <c r="M70" s="21">
        <f>K70*L70</f>
        <v>78.7037037037037</v>
      </c>
      <c r="N70" s="22">
        <f>M70/1000</f>
        <v>0.07870370370370369</v>
      </c>
      <c r="O70" s="13" t="inlineStr">
        <is>
          <t>BBS</t>
        </is>
      </c>
    </row>
    <row r="71">
      <c r="A71" s="13" t="n">
        <v>66</v>
      </c>
      <c r="B71" s="13" t="inlineStr">
        <is>
          <t>Beams</t>
        </is>
      </c>
      <c r="C71" s="13" t="inlineStr">
        <is>
          <t>STR-042</t>
        </is>
      </c>
      <c r="D71" s="13" t="inlineStr">
        <is>
          <t>M1 Level beams</t>
        </is>
      </c>
      <c r="E71" s="19" t="inlineStr">
        <is>
          <t>2513</t>
        </is>
      </c>
      <c r="F71" s="19" t="n">
        <v>25</v>
      </c>
      <c r="G71" s="19" t="n">
        <v>1</v>
      </c>
      <c r="H71" s="19" t="n">
        <v>3</v>
      </c>
      <c r="I71" s="13">
        <f>G71*H71</f>
        <v>3.0</v>
      </c>
      <c r="J71" s="20">
        <f>6850/1000</f>
        <v>6.85</v>
      </c>
      <c r="K71" s="21">
        <f>I71*J71</f>
        <v>20.549999999999997</v>
      </c>
      <c r="L71" s="22">
        <f>F71^2/162</f>
        <v>3.8580246913580245</v>
      </c>
      <c r="M71" s="21">
        <f>K71*L71</f>
        <v>79.28240740740739</v>
      </c>
      <c r="N71" s="22">
        <f>M71/1000</f>
        <v>0.07928240740740738</v>
      </c>
      <c r="O71" s="13" t="inlineStr">
        <is>
          <t>BBS</t>
        </is>
      </c>
    </row>
    <row r="72">
      <c r="A72" s="13" t="n">
        <v>67</v>
      </c>
      <c r="B72" s="13" t="inlineStr">
        <is>
          <t>Beams</t>
        </is>
      </c>
      <c r="C72" s="13" t="inlineStr">
        <is>
          <t>STR-042</t>
        </is>
      </c>
      <c r="D72" s="13" t="inlineStr">
        <is>
          <t>M1 Level beams</t>
        </is>
      </c>
      <c r="E72" s="19" t="inlineStr">
        <is>
          <t>2514</t>
        </is>
      </c>
      <c r="F72" s="19" t="n">
        <v>25</v>
      </c>
      <c r="G72" s="19" t="n">
        <v>1</v>
      </c>
      <c r="H72" s="19" t="n">
        <v>3</v>
      </c>
      <c r="I72" s="13">
        <f>G72*H72</f>
        <v>3.0</v>
      </c>
      <c r="J72" s="20">
        <f>10975/1000</f>
        <v>10.975</v>
      </c>
      <c r="K72" s="21">
        <f>I72*J72</f>
        <v>32.925</v>
      </c>
      <c r="L72" s="22">
        <f>F72^2/162</f>
        <v>3.8580246913580245</v>
      </c>
      <c r="M72" s="21">
        <f>K72*L72</f>
        <v>127.02546296296295</v>
      </c>
      <c r="N72" s="22">
        <f>M72/1000</f>
        <v>0.12702546296296294</v>
      </c>
      <c r="O72" s="13" t="inlineStr">
        <is>
          <t>BBS</t>
        </is>
      </c>
    </row>
    <row r="73">
      <c r="A73" s="13" t="n">
        <v>68</v>
      </c>
      <c r="B73" s="13" t="inlineStr">
        <is>
          <t>Beams</t>
        </is>
      </c>
      <c r="C73" s="13" t="inlineStr">
        <is>
          <t>STR-042</t>
        </is>
      </c>
      <c r="D73" s="13" t="inlineStr">
        <is>
          <t>M1 Level beams</t>
        </is>
      </c>
      <c r="E73" s="19" t="inlineStr">
        <is>
          <t>2515</t>
        </is>
      </c>
      <c r="F73" s="19" t="n">
        <v>25</v>
      </c>
      <c r="G73" s="19" t="n">
        <v>1</v>
      </c>
      <c r="H73" s="19" t="n">
        <v>3</v>
      </c>
      <c r="I73" s="13">
        <f>G73*H73</f>
        <v>3.0</v>
      </c>
      <c r="J73" s="20">
        <f>11250/1000</f>
        <v>11.25</v>
      </c>
      <c r="K73" s="21">
        <f>I73*J73</f>
        <v>33.75</v>
      </c>
      <c r="L73" s="22">
        <f>F73^2/162</f>
        <v>3.8580246913580245</v>
      </c>
      <c r="M73" s="21">
        <f>K73*L73</f>
        <v>130.20833333333331</v>
      </c>
      <c r="N73" s="22">
        <f>M73/1000</f>
        <v>0.13020833333333331</v>
      </c>
      <c r="O73" s="13" t="inlineStr">
        <is>
          <t>BBS</t>
        </is>
      </c>
    </row>
    <row r="74">
      <c r="A74" s="13" t="n">
        <v>69</v>
      </c>
      <c r="B74" s="13" t="inlineStr">
        <is>
          <t>Beams</t>
        </is>
      </c>
      <c r="C74" s="13" t="inlineStr">
        <is>
          <t>STR-042</t>
        </is>
      </c>
      <c r="D74" s="13" t="inlineStr">
        <is>
          <t>M1 Level beams</t>
        </is>
      </c>
      <c r="E74" s="19" t="inlineStr">
        <is>
          <t>2516</t>
        </is>
      </c>
      <c r="F74" s="19" t="n">
        <v>25</v>
      </c>
      <c r="G74" s="19" t="n">
        <v>1</v>
      </c>
      <c r="H74" s="19" t="n">
        <v>3</v>
      </c>
      <c r="I74" s="13">
        <f>G74*H74</f>
        <v>3.0</v>
      </c>
      <c r="J74" s="20">
        <f>6650/1000</f>
        <v>6.65</v>
      </c>
      <c r="K74" s="21">
        <f>I74*J74</f>
        <v>19.950000000000003</v>
      </c>
      <c r="L74" s="22">
        <f>F74^2/162</f>
        <v>3.8580246913580245</v>
      </c>
      <c r="M74" s="21">
        <f>K74*L74</f>
        <v>76.9675925925926</v>
      </c>
      <c r="N74" s="22">
        <f>M74/1000</f>
        <v>0.0769675925925926</v>
      </c>
      <c r="O74" s="13" t="inlineStr">
        <is>
          <t>BBS</t>
        </is>
      </c>
    </row>
    <row r="75">
      <c r="A75" s="13" t="n">
        <v>70</v>
      </c>
      <c r="B75" s="13" t="inlineStr">
        <is>
          <t>Beams</t>
        </is>
      </c>
      <c r="C75" s="13" t="inlineStr">
        <is>
          <t>STR-042</t>
        </is>
      </c>
      <c r="D75" s="13" t="inlineStr">
        <is>
          <t>M1 Level beams</t>
        </is>
      </c>
      <c r="E75" s="19" t="inlineStr">
        <is>
          <t>2517</t>
        </is>
      </c>
      <c r="F75" s="19" t="n">
        <v>25</v>
      </c>
      <c r="G75" s="19" t="n">
        <v>1</v>
      </c>
      <c r="H75" s="19" t="n">
        <v>3</v>
      </c>
      <c r="I75" s="13">
        <f>G75*H75</f>
        <v>3.0</v>
      </c>
      <c r="J75" s="20">
        <f>8150/1000</f>
        <v>8.15</v>
      </c>
      <c r="K75" s="21">
        <f>I75*J75</f>
        <v>24.450000000000003</v>
      </c>
      <c r="L75" s="22">
        <f>F75^2/162</f>
        <v>3.8580246913580245</v>
      </c>
      <c r="M75" s="21">
        <f>K75*L75</f>
        <v>94.32870370370371</v>
      </c>
      <c r="N75" s="22">
        <f>M75/1000</f>
        <v>0.0943287037037037</v>
      </c>
      <c r="O75" s="13" t="inlineStr">
        <is>
          <t>BBS</t>
        </is>
      </c>
    </row>
    <row r="76">
      <c r="A76" s="13" t="n">
        <v>71</v>
      </c>
      <c r="B76" s="13" t="inlineStr">
        <is>
          <t>Beams</t>
        </is>
      </c>
      <c r="C76" s="13" t="inlineStr">
        <is>
          <t>STR-042</t>
        </is>
      </c>
      <c r="D76" s="13" t="inlineStr">
        <is>
          <t>M1 Level beams</t>
        </is>
      </c>
      <c r="E76" s="19" t="inlineStr">
        <is>
          <t>2518</t>
        </is>
      </c>
      <c r="F76" s="19" t="n">
        <v>25</v>
      </c>
      <c r="G76" s="19" t="n">
        <v>1</v>
      </c>
      <c r="H76" s="19" t="n">
        <v>3</v>
      </c>
      <c r="I76" s="13">
        <f>G76*H76</f>
        <v>3.0</v>
      </c>
      <c r="J76" s="20">
        <f>7600/1000</f>
        <v>7.6</v>
      </c>
      <c r="K76" s="21">
        <f>I76*J76</f>
        <v>22.799999999999997</v>
      </c>
      <c r="L76" s="22">
        <f>F76^2/162</f>
        <v>3.8580246913580245</v>
      </c>
      <c r="M76" s="21">
        <f>K76*L76</f>
        <v>87.96296296296295</v>
      </c>
      <c r="N76" s="22">
        <f>M76/1000</f>
        <v>0.08796296296296295</v>
      </c>
      <c r="O76" s="13" t="inlineStr">
        <is>
          <t>BBS</t>
        </is>
      </c>
    </row>
    <row r="77">
      <c r="A77" s="13" t="n">
        <v>72</v>
      </c>
      <c r="B77" s="13" t="inlineStr">
        <is>
          <t>Beams</t>
        </is>
      </c>
      <c r="C77" s="13" t="inlineStr">
        <is>
          <t>STR-042</t>
        </is>
      </c>
      <c r="D77" s="13" t="inlineStr">
        <is>
          <t>M1 Level beams</t>
        </is>
      </c>
      <c r="E77" s="19" t="inlineStr">
        <is>
          <t>2519</t>
        </is>
      </c>
      <c r="F77" s="19" t="n">
        <v>25</v>
      </c>
      <c r="G77" s="19" t="n">
        <v>1</v>
      </c>
      <c r="H77" s="19" t="n">
        <v>3</v>
      </c>
      <c r="I77" s="13">
        <f>G77*H77</f>
        <v>3.0</v>
      </c>
      <c r="J77" s="20">
        <f>10775/1000</f>
        <v>10.775</v>
      </c>
      <c r="K77" s="21">
        <f>I77*J77</f>
        <v>32.325</v>
      </c>
      <c r="L77" s="22">
        <f>F77^2/162</f>
        <v>3.8580246913580245</v>
      </c>
      <c r="M77" s="21">
        <f>K77*L77</f>
        <v>124.71064814814815</v>
      </c>
      <c r="N77" s="22">
        <f>M77/1000</f>
        <v>0.12471064814814815</v>
      </c>
      <c r="O77" s="13" t="inlineStr">
        <is>
          <t>BBS</t>
        </is>
      </c>
    </row>
    <row r="78">
      <c r="A78" s="13" t="n">
        <v>73</v>
      </c>
      <c r="B78" s="13" t="inlineStr">
        <is>
          <t>Beams</t>
        </is>
      </c>
      <c r="C78" s="13" t="inlineStr">
        <is>
          <t>STR-042</t>
        </is>
      </c>
      <c r="D78" s="13" t="inlineStr">
        <is>
          <t>M1 Level beams</t>
        </is>
      </c>
      <c r="E78" s="19" t="inlineStr">
        <is>
          <t>2520</t>
        </is>
      </c>
      <c r="F78" s="19" t="n">
        <v>25</v>
      </c>
      <c r="G78" s="19" t="n">
        <v>1</v>
      </c>
      <c r="H78" s="19" t="n">
        <v>3</v>
      </c>
      <c r="I78" s="13">
        <f>G78*H78</f>
        <v>3.0</v>
      </c>
      <c r="J78" s="20">
        <f>9850/1000</f>
        <v>9.85</v>
      </c>
      <c r="K78" s="21">
        <f>I78*J78</f>
        <v>29.549999999999997</v>
      </c>
      <c r="L78" s="22">
        <f>F78^2/162</f>
        <v>3.8580246913580245</v>
      </c>
      <c r="M78" s="21">
        <f>K78*L78</f>
        <v>114.00462962962962</v>
      </c>
      <c r="N78" s="22">
        <f>M78/1000</f>
        <v>0.11400462962962962</v>
      </c>
      <c r="O78" s="13" t="inlineStr">
        <is>
          <t>BBS</t>
        </is>
      </c>
    </row>
    <row r="79">
      <c r="A79" s="13" t="n">
        <v>74</v>
      </c>
      <c r="B79" s="13" t="inlineStr">
        <is>
          <t>Beams</t>
        </is>
      </c>
      <c r="C79" s="13" t="inlineStr">
        <is>
          <t>STR-042</t>
        </is>
      </c>
      <c r="D79" s="13" t="inlineStr">
        <is>
          <t>M1 Level beams</t>
        </is>
      </c>
      <c r="E79" s="19" t="inlineStr">
        <is>
          <t>2521</t>
        </is>
      </c>
      <c r="F79" s="19" t="n">
        <v>25</v>
      </c>
      <c r="G79" s="19" t="n">
        <v>1</v>
      </c>
      <c r="H79" s="19" t="n">
        <v>3</v>
      </c>
      <c r="I79" s="13">
        <f>G79*H79</f>
        <v>3.0</v>
      </c>
      <c r="J79" s="20">
        <f>8925/1000</f>
        <v>8.925</v>
      </c>
      <c r="K79" s="21">
        <f>I79*J79</f>
        <v>26.775000000000002</v>
      </c>
      <c r="L79" s="22">
        <f>F79^2/162</f>
        <v>3.8580246913580245</v>
      </c>
      <c r="M79" s="21">
        <f>K79*L79</f>
        <v>103.29861111111111</v>
      </c>
      <c r="N79" s="22">
        <f>M79/1000</f>
        <v>0.10329861111111112</v>
      </c>
      <c r="O79" s="13" t="inlineStr">
        <is>
          <t>BBS</t>
        </is>
      </c>
    </row>
    <row r="80">
      <c r="A80" s="13" t="n">
        <v>75</v>
      </c>
      <c r="B80" s="13" t="inlineStr">
        <is>
          <t>Beams</t>
        </is>
      </c>
      <c r="C80" s="13" t="inlineStr">
        <is>
          <t>STR-042</t>
        </is>
      </c>
      <c r="D80" s="13" t="inlineStr">
        <is>
          <t>M1 Level beams</t>
        </is>
      </c>
      <c r="E80" s="19" t="inlineStr">
        <is>
          <t>2522</t>
        </is>
      </c>
      <c r="F80" s="19" t="n">
        <v>25</v>
      </c>
      <c r="G80" s="19" t="n">
        <v>1</v>
      </c>
      <c r="H80" s="19" t="n">
        <v>3</v>
      </c>
      <c r="I80" s="13">
        <f>G80*H80</f>
        <v>3.0</v>
      </c>
      <c r="J80" s="20">
        <f>6600/1000</f>
        <v>6.6</v>
      </c>
      <c r="K80" s="21">
        <f>I80*J80</f>
        <v>19.799999999999997</v>
      </c>
      <c r="L80" s="22">
        <f>F80^2/162</f>
        <v>3.8580246913580245</v>
      </c>
      <c r="M80" s="21">
        <f>K80*L80</f>
        <v>76.38888888888887</v>
      </c>
      <c r="N80" s="22">
        <f>M80/1000</f>
        <v>0.07638888888888887</v>
      </c>
      <c r="O80" s="13" t="inlineStr">
        <is>
          <t>BBS</t>
        </is>
      </c>
    </row>
    <row r="81">
      <c r="A81" s="13" t="n">
        <v>76</v>
      </c>
      <c r="B81" s="13" t="inlineStr">
        <is>
          <t>Beams</t>
        </is>
      </c>
      <c r="C81" s="13" t="inlineStr">
        <is>
          <t>STR-042</t>
        </is>
      </c>
      <c r="D81" s="13" t="inlineStr">
        <is>
          <t>M1 Level beams</t>
        </is>
      </c>
      <c r="E81" s="19" t="inlineStr">
        <is>
          <t>2523</t>
        </is>
      </c>
      <c r="F81" s="19" t="n">
        <v>25</v>
      </c>
      <c r="G81" s="19" t="n">
        <v>1</v>
      </c>
      <c r="H81" s="19" t="n">
        <v>3</v>
      </c>
      <c r="I81" s="13">
        <f>G81*H81</f>
        <v>3.0</v>
      </c>
      <c r="J81" s="20">
        <f>7850/1000</f>
        <v>7.85</v>
      </c>
      <c r="K81" s="21">
        <f>I81*J81</f>
        <v>23.549999999999997</v>
      </c>
      <c r="L81" s="22">
        <f>F81^2/162</f>
        <v>3.8580246913580245</v>
      </c>
      <c r="M81" s="21">
        <f>K81*L81</f>
        <v>90.85648148148147</v>
      </c>
      <c r="N81" s="22">
        <f>M81/1000</f>
        <v>0.09085648148148147</v>
      </c>
      <c r="O81" s="13" t="inlineStr">
        <is>
          <t>BBS</t>
        </is>
      </c>
    </row>
    <row r="82">
      <c r="A82" s="13" t="n">
        <v>77</v>
      </c>
      <c r="B82" s="13" t="inlineStr">
        <is>
          <t>Floor Slabs</t>
        </is>
      </c>
      <c r="C82" s="13" t="inlineStr">
        <is>
          <t>STR-043</t>
        </is>
      </c>
      <c r="D82" s="13" t="inlineStr">
        <is>
          <t>M1 slab - bottom reinforcement</t>
        </is>
      </c>
      <c r="E82" s="19" t="inlineStr">
        <is>
          <t>1201</t>
        </is>
      </c>
      <c r="F82" s="19" t="n">
        <v>12</v>
      </c>
      <c r="G82" s="19" t="n">
        <v>1</v>
      </c>
      <c r="H82" s="19" t="n">
        <v>99</v>
      </c>
      <c r="I82" s="13">
        <f>G82*H82</f>
        <v>99.0</v>
      </c>
      <c r="J82" s="20">
        <f>8550/1000</f>
        <v>8.55</v>
      </c>
      <c r="K82" s="21">
        <f>I82*J82</f>
        <v>846.45</v>
      </c>
      <c r="L82" s="22">
        <f>F82^2/162</f>
        <v>0.8888888888888888</v>
      </c>
      <c r="M82" s="21">
        <f>K82*L82</f>
        <v>752.4</v>
      </c>
      <c r="N82" s="22">
        <f>M82/1000</f>
        <v>0.7524</v>
      </c>
      <c r="O82" s="13" t="inlineStr">
        <is>
          <t>BBS</t>
        </is>
      </c>
    </row>
    <row r="83">
      <c r="A83" s="13" t="n">
        <v>78</v>
      </c>
      <c r="B83" s="13" t="inlineStr">
        <is>
          <t>Floor Slabs</t>
        </is>
      </c>
      <c r="C83" s="13" t="inlineStr">
        <is>
          <t>STR-043</t>
        </is>
      </c>
      <c r="D83" s="13" t="inlineStr">
        <is>
          <t>M1 slab - bottom reinforcement</t>
        </is>
      </c>
      <c r="E83" s="19" t="inlineStr">
        <is>
          <t>1202</t>
        </is>
      </c>
      <c r="F83" s="19" t="n">
        <v>12</v>
      </c>
      <c r="G83" s="19" t="n">
        <v>1</v>
      </c>
      <c r="H83" s="19" t="n">
        <v>122</v>
      </c>
      <c r="I83" s="13">
        <f>G83*H83</f>
        <v>122.0</v>
      </c>
      <c r="J83" s="20">
        <f>5500/1000</f>
        <v>5.5</v>
      </c>
      <c r="K83" s="21">
        <f>I83*J83</f>
        <v>671.0</v>
      </c>
      <c r="L83" s="22">
        <f>F83^2/162</f>
        <v>0.8888888888888888</v>
      </c>
      <c r="M83" s="21">
        <f>K83*L83</f>
        <v>596.4444444444445</v>
      </c>
      <c r="N83" s="22">
        <f>M83/1000</f>
        <v>0.5964444444444444</v>
      </c>
      <c r="O83" s="13" t="inlineStr">
        <is>
          <t>BBS</t>
        </is>
      </c>
    </row>
    <row r="84">
      <c r="A84" s="13" t="n">
        <v>79</v>
      </c>
      <c r="B84" s="13" t="inlineStr">
        <is>
          <t>Floor Slabs</t>
        </is>
      </c>
      <c r="C84" s="13" t="inlineStr">
        <is>
          <t>STR-043</t>
        </is>
      </c>
      <c r="D84" s="13" t="inlineStr">
        <is>
          <t>M1 slab - bottom reinforcement</t>
        </is>
      </c>
      <c r="E84" s="19" t="inlineStr">
        <is>
          <t>1203</t>
        </is>
      </c>
      <c r="F84" s="19" t="n">
        <v>12</v>
      </c>
      <c r="G84" s="19" t="n">
        <v>1</v>
      </c>
      <c r="H84" s="19" t="n">
        <v>21</v>
      </c>
      <c r="I84" s="13">
        <f>G84*H84</f>
        <v>21.0</v>
      </c>
      <c r="J84" s="20">
        <f>4250/1000</f>
        <v>4.25</v>
      </c>
      <c r="K84" s="21">
        <f>I84*J84</f>
        <v>89.25</v>
      </c>
      <c r="L84" s="22">
        <f>F84^2/162</f>
        <v>0.8888888888888888</v>
      </c>
      <c r="M84" s="21">
        <f>K84*L84</f>
        <v>79.33333333333333</v>
      </c>
      <c r="N84" s="22">
        <f>M84/1000</f>
        <v>0.07933333333333333</v>
      </c>
      <c r="O84" s="13" t="inlineStr">
        <is>
          <t>BBS</t>
        </is>
      </c>
    </row>
    <row r="85">
      <c r="A85" s="13" t="n">
        <v>80</v>
      </c>
      <c r="B85" s="13" t="inlineStr">
        <is>
          <t>Floor Slabs</t>
        </is>
      </c>
      <c r="C85" s="13" t="inlineStr">
        <is>
          <t>STR-043</t>
        </is>
      </c>
      <c r="D85" s="13" t="inlineStr">
        <is>
          <t>M1 slab - bottom reinforcement</t>
        </is>
      </c>
      <c r="E85" s="19" t="inlineStr">
        <is>
          <t>1204</t>
        </is>
      </c>
      <c r="F85" s="19" t="n">
        <v>12</v>
      </c>
      <c r="G85" s="19" t="n">
        <v>1</v>
      </c>
      <c r="H85" s="19" t="n">
        <v>54</v>
      </c>
      <c r="I85" s="13">
        <f>G85*H85</f>
        <v>54.0</v>
      </c>
      <c r="J85" s="20">
        <f>5250/1000</f>
        <v>5.25</v>
      </c>
      <c r="K85" s="21">
        <f>I85*J85</f>
        <v>283.5</v>
      </c>
      <c r="L85" s="22">
        <f>F85^2/162</f>
        <v>0.8888888888888888</v>
      </c>
      <c r="M85" s="21">
        <f>K85*L85</f>
        <v>252.0</v>
      </c>
      <c r="N85" s="22">
        <f>M85/1000</f>
        <v>0.252</v>
      </c>
      <c r="O85" s="13" t="inlineStr">
        <is>
          <t>BBS</t>
        </is>
      </c>
    </row>
    <row r="86">
      <c r="A86" s="13" t="n">
        <v>81</v>
      </c>
      <c r="B86" s="13" t="inlineStr">
        <is>
          <t>Floor Slabs</t>
        </is>
      </c>
      <c r="C86" s="13" t="inlineStr">
        <is>
          <t>STR-043</t>
        </is>
      </c>
      <c r="D86" s="13" t="inlineStr">
        <is>
          <t>M1 slab - bottom reinforcement</t>
        </is>
      </c>
      <c r="E86" s="19" t="inlineStr">
        <is>
          <t>1205</t>
        </is>
      </c>
      <c r="F86" s="19" t="n">
        <v>12</v>
      </c>
      <c r="G86" s="19" t="n">
        <v>1</v>
      </c>
      <c r="H86" s="19" t="n">
        <v>144</v>
      </c>
      <c r="I86" s="13">
        <f>G86*H86</f>
        <v>144.0</v>
      </c>
      <c r="J86" s="20">
        <f>9050/1000</f>
        <v>9.05</v>
      </c>
      <c r="K86" s="21">
        <f>I86*J86</f>
        <v>1303.2</v>
      </c>
      <c r="L86" s="22">
        <f>F86^2/162</f>
        <v>0.8888888888888888</v>
      </c>
      <c r="M86" s="21">
        <f>K86*L86</f>
        <v>1158.3999999999999</v>
      </c>
      <c r="N86" s="22">
        <f>M86/1000</f>
        <v>1.1583999999999999</v>
      </c>
      <c r="O86" s="13" t="inlineStr">
        <is>
          <t>BBS</t>
        </is>
      </c>
    </row>
    <row r="87">
      <c r="A87" s="13" t="n">
        <v>82</v>
      </c>
      <c r="B87" s="13" t="inlineStr">
        <is>
          <t>Floor Slabs</t>
        </is>
      </c>
      <c r="C87" s="13" t="inlineStr">
        <is>
          <t>STR-043</t>
        </is>
      </c>
      <c r="D87" s="13" t="inlineStr">
        <is>
          <t>M1 slab - bottom reinforcement</t>
        </is>
      </c>
      <c r="E87" s="19" t="inlineStr">
        <is>
          <t>1206</t>
        </is>
      </c>
      <c r="F87" s="19" t="n">
        <v>12</v>
      </c>
      <c r="G87" s="19" t="n">
        <v>1</v>
      </c>
      <c r="H87" s="19" t="n">
        <v>74</v>
      </c>
      <c r="I87" s="13">
        <f>G87*H87</f>
        <v>74.0</v>
      </c>
      <c r="J87" s="20">
        <f>8950/1000</f>
        <v>8.95</v>
      </c>
      <c r="K87" s="21">
        <f>I87*J87</f>
        <v>662.3</v>
      </c>
      <c r="L87" s="22">
        <f>F87^2/162</f>
        <v>0.8888888888888888</v>
      </c>
      <c r="M87" s="21">
        <f>K87*L87</f>
        <v>588.711111111111</v>
      </c>
      <c r="N87" s="22">
        <f>M87/1000</f>
        <v>0.588711111111111</v>
      </c>
      <c r="O87" s="13" t="inlineStr">
        <is>
          <t>BBS</t>
        </is>
      </c>
    </row>
    <row r="88">
      <c r="A88" s="13" t="n">
        <v>83</v>
      </c>
      <c r="B88" s="13" t="inlineStr">
        <is>
          <t>Floor Slabs</t>
        </is>
      </c>
      <c r="C88" s="13" t="inlineStr">
        <is>
          <t>STR-043</t>
        </is>
      </c>
      <c r="D88" s="13" t="inlineStr">
        <is>
          <t>M1 slab - bottom reinforcement</t>
        </is>
      </c>
      <c r="E88" s="19" t="inlineStr">
        <is>
          <t>1207</t>
        </is>
      </c>
      <c r="F88" s="19" t="n">
        <v>12</v>
      </c>
      <c r="G88" s="19" t="n">
        <v>1</v>
      </c>
      <c r="H88" s="19" t="n">
        <v>93</v>
      </c>
      <c r="I88" s="13">
        <f>G88*H88</f>
        <v>93.0</v>
      </c>
      <c r="J88" s="20">
        <f>8850/1000</f>
        <v>8.85</v>
      </c>
      <c r="K88" s="21">
        <f>I88*J88</f>
        <v>823.05</v>
      </c>
      <c r="L88" s="22">
        <f>F88^2/162</f>
        <v>0.8888888888888888</v>
      </c>
      <c r="M88" s="21">
        <f>K88*L88</f>
        <v>731.5999999999999</v>
      </c>
      <c r="N88" s="22">
        <f>M88/1000</f>
        <v>0.7315999999999999</v>
      </c>
      <c r="O88" s="13" t="inlineStr">
        <is>
          <t>BBS</t>
        </is>
      </c>
    </row>
    <row r="89">
      <c r="A89" s="13" t="n">
        <v>84</v>
      </c>
      <c r="B89" s="13" t="inlineStr">
        <is>
          <t>Floor Slabs</t>
        </is>
      </c>
      <c r="C89" s="13" t="inlineStr">
        <is>
          <t>STR-043</t>
        </is>
      </c>
      <c r="D89" s="13" t="inlineStr">
        <is>
          <t>M1 slab - bottom reinforcement</t>
        </is>
      </c>
      <c r="E89" s="19" t="inlineStr">
        <is>
          <t>1208</t>
        </is>
      </c>
      <c r="F89" s="19" t="n">
        <v>12</v>
      </c>
      <c r="G89" s="19" t="n">
        <v>1</v>
      </c>
      <c r="H89" s="19" t="n">
        <v>15</v>
      </c>
      <c r="I89" s="13">
        <f>G89*H89</f>
        <v>15.0</v>
      </c>
      <c r="J89" s="20">
        <f>8775/1000</f>
        <v>8.775</v>
      </c>
      <c r="K89" s="21">
        <f>I89*J89</f>
        <v>131.625</v>
      </c>
      <c r="L89" s="22">
        <f>F89^2/162</f>
        <v>0.8888888888888888</v>
      </c>
      <c r="M89" s="21">
        <f>K89*L89</f>
        <v>117.0</v>
      </c>
      <c r="N89" s="22">
        <f>M89/1000</f>
        <v>0.117</v>
      </c>
      <c r="O89" s="13" t="inlineStr">
        <is>
          <t>BBS</t>
        </is>
      </c>
    </row>
    <row r="90">
      <c r="A90" s="13" t="n">
        <v>85</v>
      </c>
      <c r="B90" s="13" t="inlineStr">
        <is>
          <t>Floor Slabs</t>
        </is>
      </c>
      <c r="C90" s="13" t="inlineStr">
        <is>
          <t>STR-043</t>
        </is>
      </c>
      <c r="D90" s="13" t="inlineStr">
        <is>
          <t>M1 slab - bottom reinforcement</t>
        </is>
      </c>
      <c r="E90" s="19" t="inlineStr">
        <is>
          <t>1209</t>
        </is>
      </c>
      <c r="F90" s="19" t="n">
        <v>12</v>
      </c>
      <c r="G90" s="19" t="n">
        <v>1</v>
      </c>
      <c r="H90" s="19" t="n">
        <v>93</v>
      </c>
      <c r="I90" s="13">
        <f>G90*H90</f>
        <v>93.0</v>
      </c>
      <c r="J90" s="20">
        <f>8700/1000</f>
        <v>8.7</v>
      </c>
      <c r="K90" s="21">
        <f>I90*J90</f>
        <v>809.0999999999999</v>
      </c>
      <c r="L90" s="22">
        <f>F90^2/162</f>
        <v>0.8888888888888888</v>
      </c>
      <c r="M90" s="21">
        <f>K90*L90</f>
        <v>719.1999999999999</v>
      </c>
      <c r="N90" s="22">
        <f>M90/1000</f>
        <v>0.7192</v>
      </c>
      <c r="O90" s="13" t="inlineStr">
        <is>
          <t>BBS</t>
        </is>
      </c>
    </row>
    <row r="91">
      <c r="A91" s="13" t="n">
        <v>86</v>
      </c>
      <c r="B91" s="13" t="inlineStr">
        <is>
          <t>Floor Slabs</t>
        </is>
      </c>
      <c r="C91" s="13" t="inlineStr">
        <is>
          <t>STR-043</t>
        </is>
      </c>
      <c r="D91" s="13" t="inlineStr">
        <is>
          <t>M1 slab - bottom reinforcement</t>
        </is>
      </c>
      <c r="E91" s="19" t="inlineStr">
        <is>
          <t>1210</t>
        </is>
      </c>
      <c r="F91" s="19" t="n">
        <v>12</v>
      </c>
      <c r="G91" s="19" t="n">
        <v>1</v>
      </c>
      <c r="H91" s="19" t="n">
        <v>122</v>
      </c>
      <c r="I91" s="13">
        <f>G91*H91</f>
        <v>122.0</v>
      </c>
      <c r="J91" s="20">
        <f>6350/1000</f>
        <v>6.35</v>
      </c>
      <c r="K91" s="21">
        <f>I91*J91</f>
        <v>774.6999999999999</v>
      </c>
      <c r="L91" s="22">
        <f>F91^2/162</f>
        <v>0.8888888888888888</v>
      </c>
      <c r="M91" s="21">
        <f>K91*L91</f>
        <v>688.6222222222221</v>
      </c>
      <c r="N91" s="22">
        <f>M91/1000</f>
        <v>0.6886222222222221</v>
      </c>
      <c r="O91" s="13" t="inlineStr">
        <is>
          <t>BBS</t>
        </is>
      </c>
    </row>
    <row r="92">
      <c r="A92" s="13" t="n">
        <v>87</v>
      </c>
      <c r="B92" s="13" t="inlineStr">
        <is>
          <t>Floor Slabs</t>
        </is>
      </c>
      <c r="C92" s="13" t="inlineStr">
        <is>
          <t>STR-043</t>
        </is>
      </c>
      <c r="D92" s="13" t="inlineStr">
        <is>
          <t>M1 slab - bottom reinforcement</t>
        </is>
      </c>
      <c r="E92" s="19" t="inlineStr">
        <is>
          <t>1211</t>
        </is>
      </c>
      <c r="F92" s="19" t="n">
        <v>12</v>
      </c>
      <c r="G92" s="19" t="n">
        <v>1</v>
      </c>
      <c r="H92" s="19" t="n">
        <v>13</v>
      </c>
      <c r="I92" s="13">
        <f>G92*H92</f>
        <v>13.0</v>
      </c>
      <c r="J92" s="20">
        <f>6600/1000</f>
        <v>6.6</v>
      </c>
      <c r="K92" s="21">
        <f>I92*J92</f>
        <v>85.8</v>
      </c>
      <c r="L92" s="22">
        <f>F92^2/162</f>
        <v>0.8888888888888888</v>
      </c>
      <c r="M92" s="21">
        <f>K92*L92</f>
        <v>76.26666666666667</v>
      </c>
      <c r="N92" s="22">
        <f>M92/1000</f>
        <v>0.07626666666666666</v>
      </c>
      <c r="O92" s="13" t="inlineStr">
        <is>
          <t>BBS</t>
        </is>
      </c>
    </row>
    <row r="93">
      <c r="A93" s="13" t="n">
        <v>88</v>
      </c>
      <c r="B93" s="13" t="inlineStr">
        <is>
          <t>Floor Slabs</t>
        </is>
      </c>
      <c r="C93" s="13" t="inlineStr">
        <is>
          <t>STR-043</t>
        </is>
      </c>
      <c r="D93" s="13" t="inlineStr">
        <is>
          <t>M1 slab - bottom reinforcement</t>
        </is>
      </c>
      <c r="E93" s="19" t="inlineStr">
        <is>
          <t>1212</t>
        </is>
      </c>
      <c r="F93" s="19" t="n">
        <v>12</v>
      </c>
      <c r="G93" s="19" t="n">
        <v>1</v>
      </c>
      <c r="H93" s="19" t="n">
        <v>154</v>
      </c>
      <c r="I93" s="13">
        <f>G93*H93</f>
        <v>154.0</v>
      </c>
      <c r="J93" s="20">
        <f>12000/1000</f>
        <v>12.0</v>
      </c>
      <c r="K93" s="21">
        <f>I93*J93</f>
        <v>1848.0</v>
      </c>
      <c r="L93" s="22">
        <f>F93^2/162</f>
        <v>0.8888888888888888</v>
      </c>
      <c r="M93" s="21">
        <f>K93*L93</f>
        <v>1642.6666666666665</v>
      </c>
      <c r="N93" s="22">
        <f>M93/1000</f>
        <v>1.6426666666666665</v>
      </c>
      <c r="O93" s="13" t="inlineStr">
        <is>
          <t>BBS</t>
        </is>
      </c>
    </row>
    <row r="94">
      <c r="A94" s="13" t="n">
        <v>89</v>
      </c>
      <c r="B94" s="13" t="inlineStr">
        <is>
          <t>Floor Slabs</t>
        </is>
      </c>
      <c r="C94" s="13" t="inlineStr">
        <is>
          <t>STR-043</t>
        </is>
      </c>
      <c r="D94" s="13" t="inlineStr">
        <is>
          <t>M1 slab - bottom reinforcement</t>
        </is>
      </c>
      <c r="E94" s="19" t="inlineStr">
        <is>
          <t>1213</t>
        </is>
      </c>
      <c r="F94" s="19" t="n">
        <v>12</v>
      </c>
      <c r="G94" s="19" t="n">
        <v>1</v>
      </c>
      <c r="H94" s="19" t="n">
        <v>73</v>
      </c>
      <c r="I94" s="13">
        <f>G94*H94</f>
        <v>73.0</v>
      </c>
      <c r="J94" s="20">
        <f>8100/1000</f>
        <v>8.1</v>
      </c>
      <c r="K94" s="21">
        <f>I94*J94</f>
        <v>591.3</v>
      </c>
      <c r="L94" s="22">
        <f>F94^2/162</f>
        <v>0.8888888888888888</v>
      </c>
      <c r="M94" s="21">
        <f>K94*L94</f>
        <v>525.5999999999999</v>
      </c>
      <c r="N94" s="22">
        <f>M94/1000</f>
        <v>0.5256</v>
      </c>
      <c r="O94" s="13" t="inlineStr">
        <is>
          <t>BBS</t>
        </is>
      </c>
    </row>
    <row r="95">
      <c r="A95" s="13" t="n">
        <v>90</v>
      </c>
      <c r="B95" s="13" t="inlineStr">
        <is>
          <t>Floor Slabs</t>
        </is>
      </c>
      <c r="C95" s="13" t="inlineStr">
        <is>
          <t>STR-043</t>
        </is>
      </c>
      <c r="D95" s="13" t="inlineStr">
        <is>
          <t>M1 slab - bottom reinforcement</t>
        </is>
      </c>
      <c r="E95" s="19" t="inlineStr">
        <is>
          <t>1214</t>
        </is>
      </c>
      <c r="F95" s="19" t="n">
        <v>12</v>
      </c>
      <c r="G95" s="19" t="n">
        <v>1</v>
      </c>
      <c r="H95" s="19" t="n">
        <v>13</v>
      </c>
      <c r="I95" s="13">
        <f>G95*H95</f>
        <v>13.0</v>
      </c>
      <c r="J95" s="20">
        <f>4200/1000</f>
        <v>4.2</v>
      </c>
      <c r="K95" s="21">
        <f>I95*J95</f>
        <v>54.6</v>
      </c>
      <c r="L95" s="22">
        <f>F95^2/162</f>
        <v>0.8888888888888888</v>
      </c>
      <c r="M95" s="21">
        <f>K95*L95</f>
        <v>48.53333333333333</v>
      </c>
      <c r="N95" s="22">
        <f>M95/1000</f>
        <v>0.04853333333333333</v>
      </c>
      <c r="O95" s="13" t="inlineStr">
        <is>
          <t>BBS</t>
        </is>
      </c>
    </row>
    <row r="96">
      <c r="A96" s="13" t="n">
        <v>91</v>
      </c>
      <c r="B96" s="13" t="inlineStr">
        <is>
          <t>Floor Slabs</t>
        </is>
      </c>
      <c r="C96" s="13" t="inlineStr">
        <is>
          <t>STR-043</t>
        </is>
      </c>
      <c r="D96" s="13" t="inlineStr">
        <is>
          <t>M1 slab - bottom reinforcement</t>
        </is>
      </c>
      <c r="E96" s="19" t="inlineStr">
        <is>
          <t>1215</t>
        </is>
      </c>
      <c r="F96" s="19" t="n">
        <v>12</v>
      </c>
      <c r="G96" s="19" t="n">
        <v>1</v>
      </c>
      <c r="H96" s="19" t="n">
        <v>153</v>
      </c>
      <c r="I96" s="13">
        <f>G96*H96</f>
        <v>153.0</v>
      </c>
      <c r="J96" s="20">
        <f>12000/1000</f>
        <v>12.0</v>
      </c>
      <c r="K96" s="21">
        <f>I96*J96</f>
        <v>1836.0</v>
      </c>
      <c r="L96" s="22">
        <f>F96^2/162</f>
        <v>0.8888888888888888</v>
      </c>
      <c r="M96" s="21">
        <f>K96*L96</f>
        <v>1632.0</v>
      </c>
      <c r="N96" s="22">
        <f>M96/1000</f>
        <v>1.632</v>
      </c>
      <c r="O96" s="13" t="inlineStr">
        <is>
          <t>BBS</t>
        </is>
      </c>
    </row>
    <row r="97">
      <c r="A97" s="13" t="n">
        <v>92</v>
      </c>
      <c r="B97" s="13" t="inlineStr">
        <is>
          <t>Floor Slabs</t>
        </is>
      </c>
      <c r="C97" s="13" t="inlineStr">
        <is>
          <t>STR-043</t>
        </is>
      </c>
      <c r="D97" s="13" t="inlineStr">
        <is>
          <t>M1 slab - bottom reinforcement</t>
        </is>
      </c>
      <c r="E97" s="19" t="inlineStr">
        <is>
          <t>1215(2)</t>
        </is>
      </c>
      <c r="F97" s="19" t="n">
        <v>12</v>
      </c>
      <c r="G97" s="19" t="n">
        <v>1</v>
      </c>
      <c r="H97" s="19" t="n">
        <v>74</v>
      </c>
      <c r="I97" s="13">
        <f>G97*H97</f>
        <v>74.0</v>
      </c>
      <c r="J97" s="20">
        <f>12000/1000</f>
        <v>12.0</v>
      </c>
      <c r="K97" s="21">
        <f>I97*J97</f>
        <v>888.0</v>
      </c>
      <c r="L97" s="22">
        <f>F97^2/162</f>
        <v>0.8888888888888888</v>
      </c>
      <c r="M97" s="21">
        <f>K97*L97</f>
        <v>789.3333333333333</v>
      </c>
      <c r="N97" s="22">
        <f>M97/1000</f>
        <v>0.7893333333333332</v>
      </c>
      <c r="O97" s="13" t="inlineStr">
        <is>
          <t>BBS</t>
        </is>
      </c>
    </row>
    <row r="98">
      <c r="A98" s="13" t="n">
        <v>93</v>
      </c>
      <c r="B98" s="13" t="inlineStr">
        <is>
          <t>Floor Slabs</t>
        </is>
      </c>
      <c r="C98" s="13" t="inlineStr">
        <is>
          <t>STR-043</t>
        </is>
      </c>
      <c r="D98" s="13" t="inlineStr">
        <is>
          <t>M1 slab - bottom reinforcement</t>
        </is>
      </c>
      <c r="E98" s="19" t="inlineStr">
        <is>
          <t>1216</t>
        </is>
      </c>
      <c r="F98" s="19" t="n">
        <v>12</v>
      </c>
      <c r="G98" s="19" t="n">
        <v>1</v>
      </c>
      <c r="H98" s="19" t="n">
        <v>37</v>
      </c>
      <c r="I98" s="13">
        <f>G98*H98</f>
        <v>37.0</v>
      </c>
      <c r="J98" s="20">
        <f>5550/1000</f>
        <v>5.55</v>
      </c>
      <c r="K98" s="21">
        <f>I98*J98</f>
        <v>205.35</v>
      </c>
      <c r="L98" s="22">
        <f>F98^2/162</f>
        <v>0.8888888888888888</v>
      </c>
      <c r="M98" s="21">
        <f>K98*L98</f>
        <v>182.53333333333333</v>
      </c>
      <c r="N98" s="22">
        <f>M98/1000</f>
        <v>0.18253333333333333</v>
      </c>
      <c r="O98" s="13" t="inlineStr">
        <is>
          <t>BBS</t>
        </is>
      </c>
    </row>
    <row r="99">
      <c r="A99" s="13" t="n">
        <v>94</v>
      </c>
      <c r="B99" s="13" t="inlineStr">
        <is>
          <t>Floor Slabs</t>
        </is>
      </c>
      <c r="C99" s="13" t="inlineStr">
        <is>
          <t>STR-043</t>
        </is>
      </c>
      <c r="D99" s="13" t="inlineStr">
        <is>
          <t>M1 slab - bottom reinforcement</t>
        </is>
      </c>
      <c r="E99" s="19" t="inlineStr">
        <is>
          <t>1217</t>
        </is>
      </c>
      <c r="F99" s="19" t="n">
        <v>12</v>
      </c>
      <c r="G99" s="19" t="n">
        <v>1</v>
      </c>
      <c r="H99" s="19" t="n">
        <v>44</v>
      </c>
      <c r="I99" s="13">
        <f>G99*H99</f>
        <v>44.0</v>
      </c>
      <c r="J99" s="20">
        <f>11750/1000</f>
        <v>11.75</v>
      </c>
      <c r="K99" s="21">
        <f>I99*J99</f>
        <v>517.0</v>
      </c>
      <c r="L99" s="22">
        <f>F99^2/162</f>
        <v>0.8888888888888888</v>
      </c>
      <c r="M99" s="21">
        <f>K99*L99</f>
        <v>459.55555555555554</v>
      </c>
      <c r="N99" s="22">
        <f>M99/1000</f>
        <v>0.45955555555555555</v>
      </c>
      <c r="O99" s="13" t="inlineStr">
        <is>
          <t>BBS</t>
        </is>
      </c>
    </row>
    <row r="100">
      <c r="A100" s="13" t="n">
        <v>95</v>
      </c>
      <c r="B100" s="13" t="inlineStr">
        <is>
          <t>Floor Slabs</t>
        </is>
      </c>
      <c r="C100" s="13" t="inlineStr">
        <is>
          <t>STR-043</t>
        </is>
      </c>
      <c r="D100" s="13" t="inlineStr">
        <is>
          <t>M1 slab - bottom reinforcement</t>
        </is>
      </c>
      <c r="E100" s="19" t="inlineStr">
        <is>
          <t>1218</t>
        </is>
      </c>
      <c r="F100" s="19" t="n">
        <v>12</v>
      </c>
      <c r="G100" s="19" t="n">
        <v>1</v>
      </c>
      <c r="H100" s="19" t="n">
        <v>75</v>
      </c>
      <c r="I100" s="13">
        <f>G100*H100</f>
        <v>75.0</v>
      </c>
      <c r="J100" s="20">
        <f>11500/1000</f>
        <v>11.5</v>
      </c>
      <c r="K100" s="21">
        <f>I100*J100</f>
        <v>862.5</v>
      </c>
      <c r="L100" s="22">
        <f>F100^2/162</f>
        <v>0.8888888888888888</v>
      </c>
      <c r="M100" s="21">
        <f>K100*L100</f>
        <v>766.6666666666666</v>
      </c>
      <c r="N100" s="22">
        <f>M100/1000</f>
        <v>0.7666666666666666</v>
      </c>
      <c r="O100" s="13" t="inlineStr">
        <is>
          <t>BBS</t>
        </is>
      </c>
    </row>
    <row r="101">
      <c r="A101" s="13" t="n">
        <v>96</v>
      </c>
      <c r="B101" s="13" t="inlineStr">
        <is>
          <t>Floor Slabs</t>
        </is>
      </c>
      <c r="C101" s="13" t="inlineStr">
        <is>
          <t>STR-043</t>
        </is>
      </c>
      <c r="D101" s="13" t="inlineStr">
        <is>
          <t>M1 slab - bottom reinforcement</t>
        </is>
      </c>
      <c r="E101" s="19" t="inlineStr">
        <is>
          <t>1601</t>
        </is>
      </c>
      <c r="F101" s="19" t="n">
        <v>16</v>
      </c>
      <c r="G101" s="19" t="n">
        <v>1</v>
      </c>
      <c r="H101" s="19" t="n">
        <v>95</v>
      </c>
      <c r="I101" s="13">
        <f>G101*H101</f>
        <v>95.0</v>
      </c>
      <c r="J101" s="20">
        <f>8375/1000</f>
        <v>8.375</v>
      </c>
      <c r="K101" s="21">
        <f>I101*J101</f>
        <v>795.625</v>
      </c>
      <c r="L101" s="22">
        <f>F101^2/162</f>
        <v>1.5802469135802468</v>
      </c>
      <c r="M101" s="21">
        <f>K101*L101</f>
        <v>1257.2839506172838</v>
      </c>
      <c r="N101" s="22">
        <f>M101/1000</f>
        <v>1.257283950617284</v>
      </c>
      <c r="O101" s="13" t="inlineStr">
        <is>
          <t>BBS</t>
        </is>
      </c>
    </row>
    <row r="102">
      <c r="A102" s="13" t="n">
        <v>97</v>
      </c>
      <c r="B102" s="13" t="inlineStr">
        <is>
          <t>Floor Slabs</t>
        </is>
      </c>
      <c r="C102" s="13" t="inlineStr">
        <is>
          <t>STR-043</t>
        </is>
      </c>
      <c r="D102" s="13" t="inlineStr">
        <is>
          <t>M1 slab - bottom reinforcement</t>
        </is>
      </c>
      <c r="E102" s="19" t="inlineStr">
        <is>
          <t>1602</t>
        </is>
      </c>
      <c r="F102" s="19" t="n">
        <v>16</v>
      </c>
      <c r="G102" s="19" t="n">
        <v>1</v>
      </c>
      <c r="H102" s="19" t="n">
        <v>95</v>
      </c>
      <c r="I102" s="13">
        <f>G102*H102</f>
        <v>95.0</v>
      </c>
      <c r="J102" s="20">
        <f>8275/1000</f>
        <v>8.275</v>
      </c>
      <c r="K102" s="21">
        <f>I102*J102</f>
        <v>786.125</v>
      </c>
      <c r="L102" s="22">
        <f>F102^2/162</f>
        <v>1.5802469135802468</v>
      </c>
      <c r="M102" s="21">
        <f>K102*L102</f>
        <v>1242.2716049382716</v>
      </c>
      <c r="N102" s="22">
        <f>M102/1000</f>
        <v>1.2422716049382716</v>
      </c>
      <c r="O102" s="13" t="inlineStr">
        <is>
          <t>BBS</t>
        </is>
      </c>
    </row>
    <row r="103">
      <c r="A103" s="13" t="n">
        <v>98</v>
      </c>
      <c r="B103" s="13" t="inlineStr">
        <is>
          <t>Floor Slabs</t>
        </is>
      </c>
      <c r="C103" s="13" t="inlineStr">
        <is>
          <t>STR-044</t>
        </is>
      </c>
      <c r="D103" s="13" t="inlineStr">
        <is>
          <t>M1 slab - top reinforcement</t>
        </is>
      </c>
      <c r="E103" s="19" t="inlineStr">
        <is>
          <t>1219</t>
        </is>
      </c>
      <c r="F103" s="19" t="n">
        <v>12</v>
      </c>
      <c r="G103" s="19" t="n">
        <v>1</v>
      </c>
      <c r="H103" s="19" t="n">
        <v>60</v>
      </c>
      <c r="I103" s="13">
        <f>G103*H103</f>
        <v>60.0</v>
      </c>
      <c r="J103" s="20">
        <f>10350/1000</f>
        <v>10.35</v>
      </c>
      <c r="K103" s="21">
        <f>I103*J103</f>
        <v>621.0</v>
      </c>
      <c r="L103" s="22">
        <f>F103^2/162</f>
        <v>0.8888888888888888</v>
      </c>
      <c r="M103" s="21">
        <f>K103*L103</f>
        <v>552.0</v>
      </c>
      <c r="N103" s="22">
        <f>M103/1000</f>
        <v>0.552</v>
      </c>
      <c r="O103" s="13" t="inlineStr">
        <is>
          <t>BBS</t>
        </is>
      </c>
    </row>
    <row r="104">
      <c r="A104" s="13" t="n">
        <v>99</v>
      </c>
      <c r="B104" s="13" t="inlineStr">
        <is>
          <t>Floor Slabs</t>
        </is>
      </c>
      <c r="C104" s="13" t="inlineStr">
        <is>
          <t>STR-044</t>
        </is>
      </c>
      <c r="D104" s="13" t="inlineStr">
        <is>
          <t>M1 slab - top reinforcement</t>
        </is>
      </c>
      <c r="E104" s="19" t="inlineStr">
        <is>
          <t>1220</t>
        </is>
      </c>
      <c r="F104" s="19" t="n">
        <v>12</v>
      </c>
      <c r="G104" s="19" t="n">
        <v>1</v>
      </c>
      <c r="H104" s="19" t="n">
        <v>32</v>
      </c>
      <c r="I104" s="13">
        <f>G104*H104</f>
        <v>32.0</v>
      </c>
      <c r="J104" s="20">
        <f>5550/1000</f>
        <v>5.55</v>
      </c>
      <c r="K104" s="21">
        <f>I104*J104</f>
        <v>177.6</v>
      </c>
      <c r="L104" s="22">
        <f>F104^2/162</f>
        <v>0.8888888888888888</v>
      </c>
      <c r="M104" s="21">
        <f>K104*L104</f>
        <v>157.86666666666665</v>
      </c>
      <c r="N104" s="22">
        <f>M104/1000</f>
        <v>0.15786666666666666</v>
      </c>
      <c r="O104" s="13" t="inlineStr">
        <is>
          <t>BBS</t>
        </is>
      </c>
    </row>
    <row r="105">
      <c r="A105" s="13" t="n">
        <v>100</v>
      </c>
      <c r="B105" s="13" t="inlineStr">
        <is>
          <t>Floor Slabs</t>
        </is>
      </c>
      <c r="C105" s="13" t="inlineStr">
        <is>
          <t>STR-044</t>
        </is>
      </c>
      <c r="D105" s="13" t="inlineStr">
        <is>
          <t>M1 slab - top reinforcement</t>
        </is>
      </c>
      <c r="E105" s="19" t="inlineStr">
        <is>
          <t>1221</t>
        </is>
      </c>
      <c r="F105" s="19" t="n">
        <v>12</v>
      </c>
      <c r="G105" s="19" t="n">
        <v>1</v>
      </c>
      <c r="H105" s="19" t="n">
        <v>16</v>
      </c>
      <c r="I105" s="13">
        <f>G105*H105</f>
        <v>16.0</v>
      </c>
      <c r="J105" s="20">
        <f>8250/1000</f>
        <v>8.25</v>
      </c>
      <c r="K105" s="21">
        <f>I105*J105</f>
        <v>132.0</v>
      </c>
      <c r="L105" s="22">
        <f>F105^2/162</f>
        <v>0.8888888888888888</v>
      </c>
      <c r="M105" s="21">
        <f>K105*L105</f>
        <v>117.33333333333333</v>
      </c>
      <c r="N105" s="22">
        <f>M105/1000</f>
        <v>0.11733333333333333</v>
      </c>
      <c r="O105" s="13" t="inlineStr">
        <is>
          <t>BBS</t>
        </is>
      </c>
    </row>
    <row r="106">
      <c r="A106" s="13" t="n">
        <v>101</v>
      </c>
      <c r="B106" s="13" t="inlineStr">
        <is>
          <t>Floor Slabs</t>
        </is>
      </c>
      <c r="C106" s="13" t="inlineStr">
        <is>
          <t>STR-044</t>
        </is>
      </c>
      <c r="D106" s="13" t="inlineStr">
        <is>
          <t>M1 slab - top reinforcement</t>
        </is>
      </c>
      <c r="E106" s="19" t="inlineStr">
        <is>
          <t>1222</t>
        </is>
      </c>
      <c r="F106" s="19" t="n">
        <v>12</v>
      </c>
      <c r="G106" s="19" t="n">
        <v>1</v>
      </c>
      <c r="H106" s="19" t="n">
        <v>57</v>
      </c>
      <c r="I106" s="13">
        <f>G106*H106</f>
        <v>57.0</v>
      </c>
      <c r="J106" s="20">
        <f>9750/1000</f>
        <v>9.75</v>
      </c>
      <c r="K106" s="21">
        <f>I106*J106</f>
        <v>555.75</v>
      </c>
      <c r="L106" s="22">
        <f>F106^2/162</f>
        <v>0.8888888888888888</v>
      </c>
      <c r="M106" s="21">
        <f>K106*L106</f>
        <v>494.0</v>
      </c>
      <c r="N106" s="22">
        <f>M106/1000</f>
        <v>0.494</v>
      </c>
      <c r="O106" s="13" t="inlineStr">
        <is>
          <t>BBS</t>
        </is>
      </c>
    </row>
    <row r="107">
      <c r="A107" s="13" t="n">
        <v>102</v>
      </c>
      <c r="B107" s="13" t="inlineStr">
        <is>
          <t>Floor Slabs</t>
        </is>
      </c>
      <c r="C107" s="13" t="inlineStr">
        <is>
          <t>STR-044</t>
        </is>
      </c>
      <c r="D107" s="13" t="inlineStr">
        <is>
          <t>M1 slab - top reinforcement</t>
        </is>
      </c>
      <c r="E107" s="19" t="inlineStr">
        <is>
          <t>1223</t>
        </is>
      </c>
      <c r="F107" s="19" t="n">
        <v>12</v>
      </c>
      <c r="G107" s="19" t="n">
        <v>1</v>
      </c>
      <c r="H107" s="19" t="n">
        <v>92</v>
      </c>
      <c r="I107" s="13">
        <f>G107*H107</f>
        <v>92.0</v>
      </c>
      <c r="J107" s="20">
        <f>8000/1000</f>
        <v>8.0</v>
      </c>
      <c r="K107" s="21">
        <f>I107*J107</f>
        <v>736.0</v>
      </c>
      <c r="L107" s="22">
        <f>F107^2/162</f>
        <v>0.8888888888888888</v>
      </c>
      <c r="M107" s="21">
        <f>K107*L107</f>
        <v>654.2222222222222</v>
      </c>
      <c r="N107" s="22">
        <f>M107/1000</f>
        <v>0.6542222222222221</v>
      </c>
      <c r="O107" s="13" t="inlineStr">
        <is>
          <t>BBS</t>
        </is>
      </c>
    </row>
    <row r="108">
      <c r="A108" s="13" t="n">
        <v>103</v>
      </c>
      <c r="B108" s="13" t="inlineStr">
        <is>
          <t>Floor Slabs</t>
        </is>
      </c>
      <c r="C108" s="13" t="inlineStr">
        <is>
          <t>STR-044</t>
        </is>
      </c>
      <c r="D108" s="13" t="inlineStr">
        <is>
          <t>M1 slab - top reinforcement</t>
        </is>
      </c>
      <c r="E108" s="19" t="inlineStr">
        <is>
          <t>1224</t>
        </is>
      </c>
      <c r="F108" s="19" t="n">
        <v>12</v>
      </c>
      <c r="G108" s="19" t="n">
        <v>1</v>
      </c>
      <c r="H108" s="19" t="n">
        <v>45</v>
      </c>
      <c r="I108" s="13">
        <f>G108*H108</f>
        <v>45.0</v>
      </c>
      <c r="J108" s="20">
        <f>4700/1000</f>
        <v>4.7</v>
      </c>
      <c r="K108" s="21">
        <f>I108*J108</f>
        <v>211.5</v>
      </c>
      <c r="L108" s="22">
        <f>F108^2/162</f>
        <v>0.8888888888888888</v>
      </c>
      <c r="M108" s="21">
        <f>K108*L108</f>
        <v>188.0</v>
      </c>
      <c r="N108" s="22">
        <f>M108/1000</f>
        <v>0.188</v>
      </c>
      <c r="O108" s="13" t="inlineStr">
        <is>
          <t>BBS</t>
        </is>
      </c>
    </row>
    <row r="109">
      <c r="A109" s="13" t="n">
        <v>104</v>
      </c>
      <c r="B109" s="13" t="inlineStr">
        <is>
          <t>Floor Slabs</t>
        </is>
      </c>
      <c r="C109" s="13" t="inlineStr">
        <is>
          <t>STR-044</t>
        </is>
      </c>
      <c r="D109" s="13" t="inlineStr">
        <is>
          <t>M1 slab - top reinforcement</t>
        </is>
      </c>
      <c r="E109" s="19" t="inlineStr">
        <is>
          <t>1225</t>
        </is>
      </c>
      <c r="F109" s="19" t="n">
        <v>12</v>
      </c>
      <c r="G109" s="19" t="n">
        <v>1</v>
      </c>
      <c r="H109" s="19" t="n">
        <v>108</v>
      </c>
      <c r="I109" s="13">
        <f>G109*H109</f>
        <v>108.0</v>
      </c>
      <c r="J109" s="20">
        <f>8800/1000</f>
        <v>8.8</v>
      </c>
      <c r="K109" s="21">
        <f>I109*J109</f>
        <v>950.4000000000001</v>
      </c>
      <c r="L109" s="22">
        <f>F109^2/162</f>
        <v>0.8888888888888888</v>
      </c>
      <c r="M109" s="21">
        <f>K109*L109</f>
        <v>844.8000000000001</v>
      </c>
      <c r="N109" s="22">
        <f>M109/1000</f>
        <v>0.8448000000000001</v>
      </c>
      <c r="O109" s="13" t="inlineStr">
        <is>
          <t>BBS</t>
        </is>
      </c>
    </row>
    <row r="110">
      <c r="A110" s="13" t="n">
        <v>105</v>
      </c>
      <c r="B110" s="13" t="inlineStr">
        <is>
          <t>Floor Slabs</t>
        </is>
      </c>
      <c r="C110" s="13" t="inlineStr">
        <is>
          <t>STR-044</t>
        </is>
      </c>
      <c r="D110" s="13" t="inlineStr">
        <is>
          <t>M1 slab - top reinforcement</t>
        </is>
      </c>
      <c r="E110" s="19" t="inlineStr">
        <is>
          <t>1226</t>
        </is>
      </c>
      <c r="F110" s="19" t="n">
        <v>12</v>
      </c>
      <c r="G110" s="19" t="n">
        <v>1</v>
      </c>
      <c r="H110" s="19" t="n">
        <v>12</v>
      </c>
      <c r="I110" s="13">
        <f>G110*H110</f>
        <v>12.0</v>
      </c>
      <c r="J110" s="20">
        <f>8700/1000</f>
        <v>8.7</v>
      </c>
      <c r="K110" s="21">
        <f>I110*J110</f>
        <v>104.39999999999999</v>
      </c>
      <c r="L110" s="22">
        <f>F110^2/162</f>
        <v>0.8888888888888888</v>
      </c>
      <c r="M110" s="21">
        <f>K110*L110</f>
        <v>92.79999999999998</v>
      </c>
      <c r="N110" s="22">
        <f>M110/1000</f>
        <v>0.09279999999999998</v>
      </c>
      <c r="O110" s="13" t="inlineStr">
        <is>
          <t>BBS</t>
        </is>
      </c>
    </row>
    <row r="111">
      <c r="A111" s="13" t="n">
        <v>106</v>
      </c>
      <c r="B111" s="13" t="inlineStr">
        <is>
          <t>Floor Slabs</t>
        </is>
      </c>
      <c r="C111" s="13" t="inlineStr">
        <is>
          <t>STR-044</t>
        </is>
      </c>
      <c r="D111" s="13" t="inlineStr">
        <is>
          <t>M1 slab - top reinforcement</t>
        </is>
      </c>
      <c r="E111" s="19" t="inlineStr">
        <is>
          <t>1227</t>
        </is>
      </c>
      <c r="F111" s="19" t="n">
        <v>12</v>
      </c>
      <c r="G111" s="19" t="n">
        <v>1</v>
      </c>
      <c r="H111" s="19" t="n">
        <v>15</v>
      </c>
      <c r="I111" s="13">
        <f>G111*H111</f>
        <v>15.0</v>
      </c>
      <c r="J111" s="20">
        <f>4800/1000</f>
        <v>4.8</v>
      </c>
      <c r="K111" s="21">
        <f>I111*J111</f>
        <v>72.0</v>
      </c>
      <c r="L111" s="22">
        <f>F111^2/162</f>
        <v>0.8888888888888888</v>
      </c>
      <c r="M111" s="21">
        <f>K111*L111</f>
        <v>64.0</v>
      </c>
      <c r="N111" s="22">
        <f>M111/1000</f>
        <v>0.064</v>
      </c>
      <c r="O111" s="13" t="inlineStr">
        <is>
          <t>BBS</t>
        </is>
      </c>
    </row>
    <row r="112">
      <c r="A112" s="13" t="n">
        <v>107</v>
      </c>
      <c r="B112" s="13" t="inlineStr">
        <is>
          <t>Floor Slabs</t>
        </is>
      </c>
      <c r="C112" s="13" t="inlineStr">
        <is>
          <t>STR-044</t>
        </is>
      </c>
      <c r="D112" s="13" t="inlineStr">
        <is>
          <t>M1 slab - top reinforcement</t>
        </is>
      </c>
      <c r="E112" s="19" t="inlineStr">
        <is>
          <t>1228</t>
        </is>
      </c>
      <c r="F112" s="19" t="n">
        <v>12</v>
      </c>
      <c r="G112" s="19" t="n">
        <v>1</v>
      </c>
      <c r="H112" s="19" t="n">
        <v>93</v>
      </c>
      <c r="I112" s="13">
        <f>G112*H112</f>
        <v>93.0</v>
      </c>
      <c r="J112" s="20">
        <f>8650/1000</f>
        <v>8.65</v>
      </c>
      <c r="K112" s="21">
        <f>I112*J112</f>
        <v>804.45</v>
      </c>
      <c r="L112" s="22">
        <f>F112^2/162</f>
        <v>0.8888888888888888</v>
      </c>
      <c r="M112" s="21">
        <f>K112*L112</f>
        <v>715.0666666666667</v>
      </c>
      <c r="N112" s="22">
        <f>M112/1000</f>
        <v>0.7150666666666667</v>
      </c>
      <c r="O112" s="13" t="inlineStr">
        <is>
          <t>BBS</t>
        </is>
      </c>
    </row>
    <row r="113">
      <c r="A113" s="13" t="n">
        <v>108</v>
      </c>
      <c r="B113" s="13" t="inlineStr">
        <is>
          <t>Floor Slabs</t>
        </is>
      </c>
      <c r="C113" s="13" t="inlineStr">
        <is>
          <t>STR-044</t>
        </is>
      </c>
      <c r="D113" s="13" t="inlineStr">
        <is>
          <t>M1 slab - top reinforcement</t>
        </is>
      </c>
      <c r="E113" s="19" t="inlineStr">
        <is>
          <t>1229</t>
        </is>
      </c>
      <c r="F113" s="19" t="n">
        <v>12</v>
      </c>
      <c r="G113" s="19" t="n">
        <v>1</v>
      </c>
      <c r="H113" s="19" t="n">
        <v>93</v>
      </c>
      <c r="I113" s="13">
        <f>G113*H113</f>
        <v>93.0</v>
      </c>
      <c r="J113" s="20">
        <f>4550/1000</f>
        <v>4.55</v>
      </c>
      <c r="K113" s="21">
        <f>I113*J113</f>
        <v>423.15</v>
      </c>
      <c r="L113" s="22">
        <f>F113^2/162</f>
        <v>0.8888888888888888</v>
      </c>
      <c r="M113" s="21">
        <f>K113*L113</f>
        <v>376.13333333333327</v>
      </c>
      <c r="N113" s="22">
        <f>M113/1000</f>
        <v>0.37613333333333326</v>
      </c>
      <c r="O113" s="13" t="inlineStr">
        <is>
          <t>BBS</t>
        </is>
      </c>
    </row>
    <row r="114">
      <c r="A114" s="13" t="n">
        <v>109</v>
      </c>
      <c r="B114" s="13" t="inlineStr">
        <is>
          <t>Floor Slabs</t>
        </is>
      </c>
      <c r="C114" s="13" t="inlineStr">
        <is>
          <t>STR-044</t>
        </is>
      </c>
      <c r="D114" s="13" t="inlineStr">
        <is>
          <t>M1 slab - top reinforcement</t>
        </is>
      </c>
      <c r="E114" s="19" t="inlineStr">
        <is>
          <t>1230</t>
        </is>
      </c>
      <c r="F114" s="19" t="n">
        <v>12</v>
      </c>
      <c r="G114" s="19" t="n">
        <v>1</v>
      </c>
      <c r="H114" s="19" t="n">
        <v>75</v>
      </c>
      <c r="I114" s="13">
        <f>G114*H114</f>
        <v>75.0</v>
      </c>
      <c r="J114" s="20">
        <f>10150/1000</f>
        <v>10.15</v>
      </c>
      <c r="K114" s="21">
        <f>I114*J114</f>
        <v>761.25</v>
      </c>
      <c r="L114" s="22">
        <f>F114^2/162</f>
        <v>0.8888888888888888</v>
      </c>
      <c r="M114" s="21">
        <f>K114*L114</f>
        <v>676.6666666666666</v>
      </c>
      <c r="N114" s="22">
        <f>M114/1000</f>
        <v>0.6766666666666666</v>
      </c>
      <c r="O114" s="13" t="inlineStr">
        <is>
          <t>BBS</t>
        </is>
      </c>
    </row>
    <row r="115">
      <c r="A115" s="13" t="n">
        <v>110</v>
      </c>
      <c r="B115" s="13" t="inlineStr">
        <is>
          <t>Floor Slabs</t>
        </is>
      </c>
      <c r="C115" s="13" t="inlineStr">
        <is>
          <t>STR-044</t>
        </is>
      </c>
      <c r="D115" s="13" t="inlineStr">
        <is>
          <t>M1 slab - top reinforcement</t>
        </is>
      </c>
      <c r="E115" s="19" t="inlineStr">
        <is>
          <t>1231</t>
        </is>
      </c>
      <c r="F115" s="19" t="n">
        <v>12</v>
      </c>
      <c r="G115" s="19" t="n">
        <v>1</v>
      </c>
      <c r="H115" s="19" t="n">
        <v>122</v>
      </c>
      <c r="I115" s="13">
        <f>G115*H115</f>
        <v>122.0</v>
      </c>
      <c r="J115" s="20">
        <f>8950/1000</f>
        <v>8.95</v>
      </c>
      <c r="K115" s="21">
        <f>I115*J115</f>
        <v>1091.8999999999999</v>
      </c>
      <c r="L115" s="22">
        <f>F115^2/162</f>
        <v>0.8888888888888888</v>
      </c>
      <c r="M115" s="21">
        <f>K115*L115</f>
        <v>970.5777777777776</v>
      </c>
      <c r="N115" s="22">
        <f>M115/1000</f>
        <v>0.9705777777777775</v>
      </c>
      <c r="O115" s="13" t="inlineStr">
        <is>
          <t>BBS</t>
        </is>
      </c>
    </row>
    <row r="116">
      <c r="A116" s="13" t="n">
        <v>111</v>
      </c>
      <c r="B116" s="13" t="inlineStr">
        <is>
          <t>Floor Slabs</t>
        </is>
      </c>
      <c r="C116" s="13" t="inlineStr">
        <is>
          <t>STR-044</t>
        </is>
      </c>
      <c r="D116" s="13" t="inlineStr">
        <is>
          <t>M1 slab - top reinforcement</t>
        </is>
      </c>
      <c r="E116" s="19" t="inlineStr">
        <is>
          <t>1232</t>
        </is>
      </c>
      <c r="F116" s="19" t="n">
        <v>12</v>
      </c>
      <c r="G116" s="19" t="n">
        <v>1</v>
      </c>
      <c r="H116" s="19" t="n">
        <v>75</v>
      </c>
      <c r="I116" s="13">
        <f>G116*H116</f>
        <v>75.0</v>
      </c>
      <c r="J116" s="20">
        <f>9200/1000</f>
        <v>9.2</v>
      </c>
      <c r="K116" s="21">
        <f>I116*J116</f>
        <v>690.0</v>
      </c>
      <c r="L116" s="22">
        <f>F116^2/162</f>
        <v>0.8888888888888888</v>
      </c>
      <c r="M116" s="21">
        <f>K116*L116</f>
        <v>613.3333333333333</v>
      </c>
      <c r="N116" s="22">
        <f>M116/1000</f>
        <v>0.6133333333333333</v>
      </c>
      <c r="O116" s="13" t="inlineStr">
        <is>
          <t>BBS</t>
        </is>
      </c>
    </row>
    <row r="117">
      <c r="A117" s="13" t="n">
        <v>112</v>
      </c>
      <c r="B117" s="13" t="inlineStr">
        <is>
          <t>Floor Slabs</t>
        </is>
      </c>
      <c r="C117" s="13" t="inlineStr">
        <is>
          <t>STR-044</t>
        </is>
      </c>
      <c r="D117" s="13" t="inlineStr">
        <is>
          <t>M1 slab - top reinforcement</t>
        </is>
      </c>
      <c r="E117" s="19" t="inlineStr">
        <is>
          <t>1233</t>
        </is>
      </c>
      <c r="F117" s="19" t="n">
        <v>12</v>
      </c>
      <c r="G117" s="19" t="n">
        <v>1</v>
      </c>
      <c r="H117" s="19" t="n">
        <v>37</v>
      </c>
      <c r="I117" s="13">
        <f>G117*H117</f>
        <v>37.0</v>
      </c>
      <c r="J117" s="20">
        <f>5000/1000</f>
        <v>5.0</v>
      </c>
      <c r="K117" s="21">
        <f>I117*J117</f>
        <v>185.0</v>
      </c>
      <c r="L117" s="22">
        <f>F117^2/162</f>
        <v>0.8888888888888888</v>
      </c>
      <c r="M117" s="21">
        <f>K117*L117</f>
        <v>164.44444444444443</v>
      </c>
      <c r="N117" s="22">
        <f>M117/1000</f>
        <v>0.16444444444444442</v>
      </c>
      <c r="O117" s="13" t="inlineStr">
        <is>
          <t>BBS</t>
        </is>
      </c>
    </row>
    <row r="118">
      <c r="A118" s="13" t="n">
        <v>113</v>
      </c>
      <c r="B118" s="13" t="inlineStr">
        <is>
          <t>Floor Slabs</t>
        </is>
      </c>
      <c r="C118" s="13" t="inlineStr">
        <is>
          <t>STR-044</t>
        </is>
      </c>
      <c r="D118" s="13" t="inlineStr">
        <is>
          <t>M1 slab - top reinforcement</t>
        </is>
      </c>
      <c r="E118" s="19" t="inlineStr">
        <is>
          <t>1234</t>
        </is>
      </c>
      <c r="F118" s="19" t="n">
        <v>12</v>
      </c>
      <c r="G118" s="19" t="n">
        <v>1</v>
      </c>
      <c r="H118" s="19" t="n">
        <v>86</v>
      </c>
      <c r="I118" s="13">
        <f>G118*H118</f>
        <v>86.0</v>
      </c>
      <c r="J118" s="20">
        <f>6400/1000</f>
        <v>6.4</v>
      </c>
      <c r="K118" s="21">
        <f>I118*J118</f>
        <v>550.4</v>
      </c>
      <c r="L118" s="22">
        <f>F118^2/162</f>
        <v>0.8888888888888888</v>
      </c>
      <c r="M118" s="21">
        <f>K118*L118</f>
        <v>489.2444444444444</v>
      </c>
      <c r="N118" s="22">
        <f>M118/1000</f>
        <v>0.4892444444444444</v>
      </c>
      <c r="O118" s="13" t="inlineStr">
        <is>
          <t>BBS</t>
        </is>
      </c>
    </row>
    <row r="119">
      <c r="A119" s="13" t="n">
        <v>114</v>
      </c>
      <c r="B119" s="13" t="inlineStr">
        <is>
          <t>Floor Slabs</t>
        </is>
      </c>
      <c r="C119" s="13" t="inlineStr">
        <is>
          <t>STR-044</t>
        </is>
      </c>
      <c r="D119" s="13" t="inlineStr">
        <is>
          <t>M1 slab - top reinforcement</t>
        </is>
      </c>
      <c r="E119" s="19" t="inlineStr">
        <is>
          <t>1235</t>
        </is>
      </c>
      <c r="F119" s="19" t="n">
        <v>12</v>
      </c>
      <c r="G119" s="19" t="n">
        <v>1</v>
      </c>
      <c r="H119" s="19" t="n">
        <v>13</v>
      </c>
      <c r="I119" s="13">
        <f>G119*H119</f>
        <v>13.0</v>
      </c>
      <c r="J119" s="20">
        <f>4200/1000</f>
        <v>4.2</v>
      </c>
      <c r="K119" s="21">
        <f>I119*J119</f>
        <v>54.6</v>
      </c>
      <c r="L119" s="22">
        <f>F119^2/162</f>
        <v>0.8888888888888888</v>
      </c>
      <c r="M119" s="21">
        <f>K119*L119</f>
        <v>48.53333333333333</v>
      </c>
      <c r="N119" s="22">
        <f>M119/1000</f>
        <v>0.04853333333333333</v>
      </c>
      <c r="O119" s="13" t="inlineStr">
        <is>
          <t>BBS</t>
        </is>
      </c>
    </row>
    <row r="120">
      <c r="A120" s="13" t="n">
        <v>115</v>
      </c>
      <c r="B120" s="13" t="inlineStr">
        <is>
          <t>Floor Slabs</t>
        </is>
      </c>
      <c r="C120" s="13" t="inlineStr">
        <is>
          <t>STR-044</t>
        </is>
      </c>
      <c r="D120" s="13" t="inlineStr">
        <is>
          <t>M1 slab - top reinforcement</t>
        </is>
      </c>
      <c r="E120" s="19" t="inlineStr">
        <is>
          <t>1236</t>
        </is>
      </c>
      <c r="F120" s="19" t="n">
        <v>12</v>
      </c>
      <c r="G120" s="19" t="n">
        <v>1</v>
      </c>
      <c r="H120" s="19" t="n">
        <v>74</v>
      </c>
      <c r="I120" s="13">
        <f>G120*H120</f>
        <v>74.0</v>
      </c>
      <c r="J120" s="20">
        <f>10850/1000</f>
        <v>10.85</v>
      </c>
      <c r="K120" s="21">
        <f>I120*J120</f>
        <v>802.9</v>
      </c>
      <c r="L120" s="22">
        <f>F120^2/162</f>
        <v>0.8888888888888888</v>
      </c>
      <c r="M120" s="21">
        <f>K120*L120</f>
        <v>713.6888888888889</v>
      </c>
      <c r="N120" s="22">
        <f>M120/1000</f>
        <v>0.7136888888888888</v>
      </c>
      <c r="O120" s="13" t="inlineStr">
        <is>
          <t>BBS</t>
        </is>
      </c>
    </row>
    <row r="121">
      <c r="A121" s="13" t="n">
        <v>116</v>
      </c>
      <c r="B121" s="13" t="inlineStr">
        <is>
          <t>Floor Slabs</t>
        </is>
      </c>
      <c r="C121" s="13" t="inlineStr">
        <is>
          <t>STR-044</t>
        </is>
      </c>
      <c r="D121" s="13" t="inlineStr">
        <is>
          <t>M1 slab - top reinforcement</t>
        </is>
      </c>
      <c r="E121" s="19" t="inlineStr">
        <is>
          <t>1237</t>
        </is>
      </c>
      <c r="F121" s="19" t="n">
        <v>12</v>
      </c>
      <c r="G121" s="19" t="n">
        <v>1</v>
      </c>
      <c r="H121" s="19" t="n">
        <v>74</v>
      </c>
      <c r="I121" s="13">
        <f>G121*H121</f>
        <v>74.0</v>
      </c>
      <c r="J121" s="20">
        <f>9350/1000</f>
        <v>9.35</v>
      </c>
      <c r="K121" s="21">
        <f>I121*J121</f>
        <v>691.9</v>
      </c>
      <c r="L121" s="22">
        <f>F121^2/162</f>
        <v>0.8888888888888888</v>
      </c>
      <c r="M121" s="21">
        <f>K121*L121</f>
        <v>615.0222222222221</v>
      </c>
      <c r="N121" s="22">
        <f>M121/1000</f>
        <v>0.6150222222222221</v>
      </c>
      <c r="O121" s="13" t="inlineStr">
        <is>
          <t>BBS</t>
        </is>
      </c>
    </row>
    <row r="122">
      <c r="A122" s="13" t="n">
        <v>117</v>
      </c>
      <c r="B122" s="13" t="inlineStr">
        <is>
          <t>Floor Slabs</t>
        </is>
      </c>
      <c r="C122" s="13" t="inlineStr">
        <is>
          <t>STR-044</t>
        </is>
      </c>
      <c r="D122" s="13" t="inlineStr">
        <is>
          <t>M1 slab - top reinforcement</t>
        </is>
      </c>
      <c r="E122" s="19" t="inlineStr">
        <is>
          <t>1238</t>
        </is>
      </c>
      <c r="F122" s="19" t="n">
        <v>12</v>
      </c>
      <c r="G122" s="19" t="n">
        <v>1</v>
      </c>
      <c r="H122" s="19" t="n">
        <v>237</v>
      </c>
      <c r="I122" s="13">
        <f>G122*H122</f>
        <v>237.0</v>
      </c>
      <c r="J122" s="20">
        <f>10700/1000</f>
        <v>10.7</v>
      </c>
      <c r="K122" s="21">
        <f>I122*J122</f>
        <v>2535.8999999999996</v>
      </c>
      <c r="L122" s="22">
        <f>F122^2/162</f>
        <v>0.8888888888888888</v>
      </c>
      <c r="M122" s="21">
        <f>K122*L122</f>
        <v>2254.1333333333328</v>
      </c>
      <c r="N122" s="22">
        <f>M122/1000</f>
        <v>2.254133333333333</v>
      </c>
      <c r="O122" s="13" t="inlineStr">
        <is>
          <t>BBS</t>
        </is>
      </c>
    </row>
    <row r="123">
      <c r="A123" s="13" t="n">
        <v>118</v>
      </c>
      <c r="B123" s="13" t="inlineStr">
        <is>
          <t>Floor Slabs</t>
        </is>
      </c>
      <c r="C123" s="13" t="inlineStr">
        <is>
          <t>STR-044</t>
        </is>
      </c>
      <c r="D123" s="13" t="inlineStr">
        <is>
          <t>M1 slab - top reinforcement</t>
        </is>
      </c>
      <c r="E123" s="19" t="inlineStr">
        <is>
          <t>1239</t>
        </is>
      </c>
      <c r="F123" s="19" t="n">
        <v>12</v>
      </c>
      <c r="G123" s="19" t="n">
        <v>1</v>
      </c>
      <c r="H123" s="19" t="n">
        <v>44</v>
      </c>
      <c r="I123" s="13">
        <f>G123*H123</f>
        <v>44.0</v>
      </c>
      <c r="J123" s="20">
        <f>11750/1000</f>
        <v>11.75</v>
      </c>
      <c r="K123" s="21">
        <f>I123*J123</f>
        <v>517.0</v>
      </c>
      <c r="L123" s="22">
        <f>F123^2/162</f>
        <v>0.8888888888888888</v>
      </c>
      <c r="M123" s="21">
        <f>K123*L123</f>
        <v>459.55555555555554</v>
      </c>
      <c r="N123" s="22">
        <f>M123/1000</f>
        <v>0.45955555555555555</v>
      </c>
      <c r="O123" s="13" t="inlineStr">
        <is>
          <t>BBS</t>
        </is>
      </c>
    </row>
    <row r="124">
      <c r="A124" s="13" t="n">
        <v>119</v>
      </c>
      <c r="B124" s="13" t="inlineStr">
        <is>
          <t>Floor Slabs</t>
        </is>
      </c>
      <c r="C124" s="13" t="inlineStr">
        <is>
          <t>STR-044</t>
        </is>
      </c>
      <c r="D124" s="13" t="inlineStr">
        <is>
          <t>M1 slab - top reinforcement</t>
        </is>
      </c>
      <c r="E124" s="19" t="inlineStr">
        <is>
          <t>1243</t>
        </is>
      </c>
      <c r="F124" s="19" t="n">
        <v>12</v>
      </c>
      <c r="G124" s="19" t="n">
        <v>1</v>
      </c>
      <c r="H124" s="19" t="n">
        <v>74</v>
      </c>
      <c r="I124" s="13">
        <f>G124*H124</f>
        <v>74.0</v>
      </c>
      <c r="J124" s="20">
        <f>7850/1000</f>
        <v>7.85</v>
      </c>
      <c r="K124" s="21">
        <f>I124*J124</f>
        <v>580.9</v>
      </c>
      <c r="L124" s="22">
        <f>F124^2/162</f>
        <v>0.8888888888888888</v>
      </c>
      <c r="M124" s="21">
        <f>K124*L124</f>
        <v>516.3555555555555</v>
      </c>
      <c r="N124" s="22">
        <f>M124/1000</f>
        <v>0.5163555555555555</v>
      </c>
      <c r="O124" s="13" t="inlineStr">
        <is>
          <t>BBS</t>
        </is>
      </c>
    </row>
    <row r="125">
      <c r="A125" s="13" t="n">
        <v>120</v>
      </c>
      <c r="B125" s="13" t="inlineStr">
        <is>
          <t>Floor Slabs</t>
        </is>
      </c>
      <c r="C125" s="13" t="inlineStr">
        <is>
          <t>STR-044</t>
        </is>
      </c>
      <c r="D125" s="13" t="inlineStr">
        <is>
          <t>M1 slab - top reinforcement</t>
        </is>
      </c>
      <c r="E125" s="19" t="inlineStr">
        <is>
          <t>1602</t>
        </is>
      </c>
      <c r="F125" s="19" t="n">
        <v>16</v>
      </c>
      <c r="G125" s="19" t="n">
        <v>1</v>
      </c>
      <c r="H125" s="19" t="n">
        <v>95</v>
      </c>
      <c r="I125" s="13">
        <f>G125*H125</f>
        <v>95.0</v>
      </c>
      <c r="J125" s="20">
        <f>8275/1000</f>
        <v>8.275</v>
      </c>
      <c r="K125" s="21">
        <f>I125*J125</f>
        <v>786.125</v>
      </c>
      <c r="L125" s="22">
        <f>F125^2/162</f>
        <v>1.5802469135802468</v>
      </c>
      <c r="M125" s="21">
        <f>K125*L125</f>
        <v>1242.2716049382716</v>
      </c>
      <c r="N125" s="22">
        <f>M125/1000</f>
        <v>1.2422716049382716</v>
      </c>
      <c r="O125" s="13" t="inlineStr">
        <is>
          <t>BBS</t>
        </is>
      </c>
    </row>
    <row r="126">
      <c r="A126" s="13" t="n">
        <v>121</v>
      </c>
      <c r="B126" s="13" t="inlineStr">
        <is>
          <t>Floor Slabs</t>
        </is>
      </c>
      <c r="C126" s="13" t="inlineStr">
        <is>
          <t>STR-045</t>
        </is>
      </c>
      <c r="D126" s="13" t="inlineStr">
        <is>
          <t>M1 slab - additional top reinforcement</t>
        </is>
      </c>
      <c r="E126" s="19" t="inlineStr">
        <is>
          <t>1240</t>
        </is>
      </c>
      <c r="F126" s="19" t="n">
        <v>12</v>
      </c>
      <c r="G126" s="19" t="n">
        <v>1</v>
      </c>
      <c r="H126" s="19" t="n">
        <v>207</v>
      </c>
      <c r="I126" s="13">
        <f>G126*H126</f>
        <v>207.0</v>
      </c>
      <c r="J126" s="20">
        <f>3000/1000</f>
        <v>3.0</v>
      </c>
      <c r="K126" s="21">
        <f>I126*J126</f>
        <v>621.0</v>
      </c>
      <c r="L126" s="22">
        <f>F126^2/162</f>
        <v>0.8888888888888888</v>
      </c>
      <c r="M126" s="21">
        <f>K126*L126</f>
        <v>552.0</v>
      </c>
      <c r="N126" s="22">
        <f>M126/1000</f>
        <v>0.552</v>
      </c>
      <c r="O126" s="13" t="inlineStr">
        <is>
          <t>BBS</t>
        </is>
      </c>
    </row>
    <row r="127">
      <c r="A127" s="13" t="n">
        <v>122</v>
      </c>
      <c r="B127" s="13" t="inlineStr">
        <is>
          <t>Floor Slabs</t>
        </is>
      </c>
      <c r="C127" s="13" t="inlineStr">
        <is>
          <t>STR-045</t>
        </is>
      </c>
      <c r="D127" s="13" t="inlineStr">
        <is>
          <t>M1 slab - additional top reinforcement</t>
        </is>
      </c>
      <c r="E127" s="19" t="inlineStr">
        <is>
          <t>1241</t>
        </is>
      </c>
      <c r="F127" s="19" t="n">
        <v>12</v>
      </c>
      <c r="G127" s="19" t="n">
        <v>1</v>
      </c>
      <c r="H127" s="19" t="n">
        <v>90</v>
      </c>
      <c r="I127" s="13">
        <f>G127*H127</f>
        <v>90.0</v>
      </c>
      <c r="J127" s="20">
        <f>4900/1000</f>
        <v>4.9</v>
      </c>
      <c r="K127" s="21">
        <f>I127*J127</f>
        <v>441.00000000000006</v>
      </c>
      <c r="L127" s="22">
        <f>F127^2/162</f>
        <v>0.8888888888888888</v>
      </c>
      <c r="M127" s="21">
        <f>K127*L127</f>
        <v>392.00000000000006</v>
      </c>
      <c r="N127" s="22">
        <f>M127/1000</f>
        <v>0.39200000000000007</v>
      </c>
      <c r="O127" s="13" t="inlineStr">
        <is>
          <t>BBS</t>
        </is>
      </c>
    </row>
    <row r="128">
      <c r="A128" s="13" t="n">
        <v>123</v>
      </c>
      <c r="B128" s="13" t="inlineStr">
        <is>
          <t>Floor Slabs</t>
        </is>
      </c>
      <c r="C128" s="13" t="inlineStr">
        <is>
          <t>STR-045</t>
        </is>
      </c>
      <c r="D128" s="13" t="inlineStr">
        <is>
          <t>M1 slab - additional top reinforcement</t>
        </is>
      </c>
      <c r="E128" s="19" t="inlineStr">
        <is>
          <t>1242</t>
        </is>
      </c>
      <c r="F128" s="19" t="n">
        <v>12</v>
      </c>
      <c r="G128" s="19" t="n">
        <v>1</v>
      </c>
      <c r="H128" s="19" t="n">
        <v>98</v>
      </c>
      <c r="I128" s="13">
        <f>G128*H128</f>
        <v>98.0</v>
      </c>
      <c r="J128" s="20">
        <f>12000/1000</f>
        <v>12.0</v>
      </c>
      <c r="K128" s="21">
        <f>I128*J128</f>
        <v>1176.0</v>
      </c>
      <c r="L128" s="22">
        <f>F128^2/162</f>
        <v>0.8888888888888888</v>
      </c>
      <c r="M128" s="21">
        <f>K128*L128</f>
        <v>1045.3333333333333</v>
      </c>
      <c r="N128" s="22">
        <f>M128/1000</f>
        <v>1.0453333333333332</v>
      </c>
      <c r="O128" s="13" t="inlineStr">
        <is>
          <t>BBS</t>
        </is>
      </c>
    </row>
    <row r="129">
      <c r="A129" s="13" t="n">
        <v>124</v>
      </c>
      <c r="B129" s="13" t="inlineStr">
        <is>
          <t>Staircases</t>
        </is>
      </c>
      <c r="C129" s="13" t="inlineStr">
        <is>
          <t>STR-033</t>
        </is>
      </c>
      <c r="D129" s="13" t="inlineStr">
        <is>
          <t>Emergency staircase typical flight (M1 to 3rd, one storey)</t>
        </is>
      </c>
      <c r="E129" s="19" t="inlineStr">
        <is>
          <t>1201</t>
        </is>
      </c>
      <c r="F129" s="19" t="n">
        <v>12</v>
      </c>
      <c r="G129" s="19" t="n">
        <v>1</v>
      </c>
      <c r="H129" s="19" t="n">
        <v>30</v>
      </c>
      <c r="I129" s="13">
        <f>G129*H129</f>
        <v>30.0</v>
      </c>
      <c r="J129" s="20">
        <f>6200/1000</f>
        <v>6.2</v>
      </c>
      <c r="K129" s="21">
        <f>I129*J129</f>
        <v>186.0</v>
      </c>
      <c r="L129" s="22">
        <f>F129^2/162</f>
        <v>0.8888888888888888</v>
      </c>
      <c r="M129" s="21">
        <f>K129*L129</f>
        <v>165.33333333333331</v>
      </c>
      <c r="N129" s="22">
        <f>M129/1000</f>
        <v>0.1653333333333333</v>
      </c>
      <c r="O129" s="13" t="inlineStr">
        <is>
          <t>BBS</t>
        </is>
      </c>
    </row>
    <row r="130">
      <c r="A130" s="13" t="n">
        <v>125</v>
      </c>
      <c r="B130" s="13" t="inlineStr">
        <is>
          <t>Staircases</t>
        </is>
      </c>
      <c r="C130" s="13" t="inlineStr">
        <is>
          <t>STR-033</t>
        </is>
      </c>
      <c r="D130" s="13" t="inlineStr">
        <is>
          <t>Emergency staircase typical flight (M1 to 3rd, one storey)</t>
        </is>
      </c>
      <c r="E130" s="19" t="inlineStr">
        <is>
          <t>1202</t>
        </is>
      </c>
      <c r="F130" s="19" t="n">
        <v>12</v>
      </c>
      <c r="G130" s="19" t="n">
        <v>1</v>
      </c>
      <c r="H130" s="19" t="n">
        <v>80</v>
      </c>
      <c r="I130" s="13">
        <f>G130*H130</f>
        <v>80.0</v>
      </c>
      <c r="J130" s="20">
        <f>2300/1000</f>
        <v>2.3</v>
      </c>
      <c r="K130" s="21">
        <f>I130*J130</f>
        <v>184.0</v>
      </c>
      <c r="L130" s="22">
        <f>F130^2/162</f>
        <v>0.8888888888888888</v>
      </c>
      <c r="M130" s="21">
        <f>K130*L130</f>
        <v>163.55555555555554</v>
      </c>
      <c r="N130" s="22">
        <f>M130/1000</f>
        <v>0.16355555555555554</v>
      </c>
      <c r="O130" s="13" t="inlineStr">
        <is>
          <t>BBS</t>
        </is>
      </c>
    </row>
    <row r="131">
      <c r="A131" s="13" t="n">
        <v>126</v>
      </c>
      <c r="B131" s="13" t="inlineStr">
        <is>
          <t>Staircases</t>
        </is>
      </c>
      <c r="C131" s="13" t="inlineStr">
        <is>
          <t>STR-033</t>
        </is>
      </c>
      <c r="D131" s="13" t="inlineStr">
        <is>
          <t>Emergency staircase typical flight (M1 to 3rd, one storey)</t>
        </is>
      </c>
      <c r="E131" s="19" t="inlineStr">
        <is>
          <t>1203</t>
        </is>
      </c>
      <c r="F131" s="19" t="n">
        <v>12</v>
      </c>
      <c r="G131" s="19" t="n">
        <v>1</v>
      </c>
      <c r="H131" s="19" t="n">
        <v>26</v>
      </c>
      <c r="I131" s="13">
        <f>G131*H131</f>
        <v>26.0</v>
      </c>
      <c r="J131" s="20">
        <f>4800/1000</f>
        <v>4.8</v>
      </c>
      <c r="K131" s="21">
        <f>I131*J131</f>
        <v>124.8</v>
      </c>
      <c r="L131" s="22">
        <f>F131^2/162</f>
        <v>0.8888888888888888</v>
      </c>
      <c r="M131" s="21">
        <f>K131*L131</f>
        <v>110.93333333333332</v>
      </c>
      <c r="N131" s="22">
        <f>M131/1000</f>
        <v>0.11093333333333333</v>
      </c>
      <c r="O131" s="13" t="inlineStr">
        <is>
          <t>BBS</t>
        </is>
      </c>
    </row>
    <row r="132">
      <c r="A132" s="13" t="n">
        <v>127</v>
      </c>
      <c r="B132" s="13" t="inlineStr">
        <is>
          <t>Staircases</t>
        </is>
      </c>
      <c r="C132" s="13" t="inlineStr">
        <is>
          <t>STR-033</t>
        </is>
      </c>
      <c r="D132" s="13" t="inlineStr">
        <is>
          <t>Emergency staircase typical flight (M1 to 3rd, one storey)</t>
        </is>
      </c>
      <c r="E132" s="19" t="inlineStr">
        <is>
          <t>1601</t>
        </is>
      </c>
      <c r="F132" s="19" t="n">
        <v>16</v>
      </c>
      <c r="G132" s="19" t="n">
        <v>1</v>
      </c>
      <c r="H132" s="19" t="n">
        <v>11</v>
      </c>
      <c r="I132" s="13">
        <f>G132*H132</f>
        <v>11.0</v>
      </c>
      <c r="J132" s="20">
        <f>8175/1000</f>
        <v>8.175</v>
      </c>
      <c r="K132" s="21">
        <f>I132*J132</f>
        <v>89.92500000000001</v>
      </c>
      <c r="L132" s="22">
        <f>F132^2/162</f>
        <v>1.5802469135802468</v>
      </c>
      <c r="M132" s="21">
        <f>K132*L132</f>
        <v>142.1037037037037</v>
      </c>
      <c r="N132" s="22">
        <f>M132/1000</f>
        <v>0.1421037037037037</v>
      </c>
      <c r="O132" s="13" t="inlineStr">
        <is>
          <t>BBS</t>
        </is>
      </c>
    </row>
    <row r="133">
      <c r="A133" s="13" t="n">
        <v>128</v>
      </c>
      <c r="B133" s="13" t="inlineStr">
        <is>
          <t>Staircases</t>
        </is>
      </c>
      <c r="C133" s="13" t="inlineStr">
        <is>
          <t>STR-033</t>
        </is>
      </c>
      <c r="D133" s="13" t="inlineStr">
        <is>
          <t>Emergency staircase typical flight (M1 to 3rd, one storey)</t>
        </is>
      </c>
      <c r="E133" s="19" t="inlineStr">
        <is>
          <t>1602</t>
        </is>
      </c>
      <c r="F133" s="19" t="n">
        <v>16</v>
      </c>
      <c r="G133" s="19" t="n">
        <v>1</v>
      </c>
      <c r="H133" s="19" t="n">
        <v>11</v>
      </c>
      <c r="I133" s="13">
        <f>G133*H133</f>
        <v>11.0</v>
      </c>
      <c r="J133" s="20">
        <f>2650/1000</f>
        <v>2.65</v>
      </c>
      <c r="K133" s="21">
        <f>I133*J133</f>
        <v>29.15</v>
      </c>
      <c r="L133" s="22">
        <f>F133^2/162</f>
        <v>1.5802469135802468</v>
      </c>
      <c r="M133" s="21">
        <f>K133*L133</f>
        <v>46.06419753086419</v>
      </c>
      <c r="N133" s="22">
        <f>M133/1000</f>
        <v>0.046064197530864194</v>
      </c>
      <c r="O133" s="13" t="inlineStr">
        <is>
          <t>BBS</t>
        </is>
      </c>
    </row>
    <row r="134">
      <c r="A134" s="13" t="n">
        <v>129</v>
      </c>
      <c r="B134" s="13" t="inlineStr">
        <is>
          <t>Staircases</t>
        </is>
      </c>
      <c r="C134" s="13" t="inlineStr">
        <is>
          <t>STR-033</t>
        </is>
      </c>
      <c r="D134" s="13" t="inlineStr">
        <is>
          <t>Emergency staircase typical flight (M1 to 3rd, one storey)</t>
        </is>
      </c>
      <c r="E134" s="19" t="inlineStr">
        <is>
          <t>1603</t>
        </is>
      </c>
      <c r="F134" s="19" t="n">
        <v>16</v>
      </c>
      <c r="G134" s="19" t="n">
        <v>1</v>
      </c>
      <c r="H134" s="19" t="n">
        <v>11</v>
      </c>
      <c r="I134" s="13">
        <f>G134*H134</f>
        <v>11.0</v>
      </c>
      <c r="J134" s="20">
        <f>2400/1000</f>
        <v>2.4</v>
      </c>
      <c r="K134" s="21">
        <f>I134*J134</f>
        <v>26.4</v>
      </c>
      <c r="L134" s="22">
        <f>F134^2/162</f>
        <v>1.5802469135802468</v>
      </c>
      <c r="M134" s="21">
        <f>K134*L134</f>
        <v>41.718518518518515</v>
      </c>
      <c r="N134" s="22">
        <f>M134/1000</f>
        <v>0.041718518518518516</v>
      </c>
      <c r="O134" s="13" t="inlineStr">
        <is>
          <t>BBS</t>
        </is>
      </c>
    </row>
    <row r="135">
      <c r="A135" s="13" t="n">
        <v>130</v>
      </c>
      <c r="B135" s="13" t="inlineStr">
        <is>
          <t>Staircases</t>
        </is>
      </c>
      <c r="C135" s="13" t="inlineStr">
        <is>
          <t>STR-033</t>
        </is>
      </c>
      <c r="D135" s="13" t="inlineStr">
        <is>
          <t>Emergency staircase typical flight (M1 to 3rd, one storey)</t>
        </is>
      </c>
      <c r="E135" s="19" t="inlineStr">
        <is>
          <t>1604</t>
        </is>
      </c>
      <c r="F135" s="19" t="n">
        <v>16</v>
      </c>
      <c r="G135" s="19" t="n">
        <v>1</v>
      </c>
      <c r="H135" s="19" t="n">
        <v>11</v>
      </c>
      <c r="I135" s="13">
        <f>G135*H135</f>
        <v>11.0</v>
      </c>
      <c r="J135" s="20">
        <f>4300/1000</f>
        <v>4.3</v>
      </c>
      <c r="K135" s="21">
        <f>I135*J135</f>
        <v>47.3</v>
      </c>
      <c r="L135" s="22">
        <f>F135^2/162</f>
        <v>1.5802469135802468</v>
      </c>
      <c r="M135" s="21">
        <f>K135*L135</f>
        <v>74.74567901234568</v>
      </c>
      <c r="N135" s="22">
        <f>M135/1000</f>
        <v>0.07474567901234568</v>
      </c>
      <c r="O135" s="13" t="inlineStr">
        <is>
          <t>BBS</t>
        </is>
      </c>
    </row>
    <row r="136">
      <c r="A136" s="13" t="n">
        <v>131</v>
      </c>
      <c r="B136" s="13" t="inlineStr">
        <is>
          <t>Staircases</t>
        </is>
      </c>
      <c r="C136" s="13" t="inlineStr">
        <is>
          <t>STR-033</t>
        </is>
      </c>
      <c r="D136" s="13" t="inlineStr">
        <is>
          <t>Emergency staircase typical flight (M1 to 3rd, one storey)</t>
        </is>
      </c>
      <c r="E136" s="19" t="inlineStr">
        <is>
          <t>1605</t>
        </is>
      </c>
      <c r="F136" s="19" t="n">
        <v>16</v>
      </c>
      <c r="G136" s="19" t="n">
        <v>1</v>
      </c>
      <c r="H136" s="19" t="n">
        <v>11</v>
      </c>
      <c r="I136" s="13">
        <f>G136*H136</f>
        <v>11.0</v>
      </c>
      <c r="J136" s="20">
        <f>2100/1000</f>
        <v>2.1</v>
      </c>
      <c r="K136" s="21">
        <f>I136*J136</f>
        <v>23.1</v>
      </c>
      <c r="L136" s="22">
        <f>F136^2/162</f>
        <v>1.5802469135802468</v>
      </c>
      <c r="M136" s="21">
        <f>K136*L136</f>
        <v>36.50370370370371</v>
      </c>
      <c r="N136" s="22">
        <f>M136/1000</f>
        <v>0.036503703703703705</v>
      </c>
      <c r="O136" s="13" t="inlineStr">
        <is>
          <t>BBS</t>
        </is>
      </c>
    </row>
    <row r="137">
      <c r="A137" s="13" t="n">
        <v>132</v>
      </c>
      <c r="B137" s="13" t="inlineStr">
        <is>
          <t>Staircases</t>
        </is>
      </c>
      <c r="C137" s="13" t="inlineStr">
        <is>
          <t>STR-033</t>
        </is>
      </c>
      <c r="D137" s="13" t="inlineStr">
        <is>
          <t>Emergency staircase typical flight (M1 to 3rd, one storey)</t>
        </is>
      </c>
      <c r="E137" s="19" t="inlineStr">
        <is>
          <t>1606</t>
        </is>
      </c>
      <c r="F137" s="19" t="n">
        <v>16</v>
      </c>
      <c r="G137" s="19" t="n">
        <v>1</v>
      </c>
      <c r="H137" s="19" t="n">
        <v>11</v>
      </c>
      <c r="I137" s="13">
        <f>G137*H137</f>
        <v>11.0</v>
      </c>
      <c r="J137" s="20">
        <f>6900/1000</f>
        <v>6.9</v>
      </c>
      <c r="K137" s="21">
        <f>I137*J137</f>
        <v>75.9</v>
      </c>
      <c r="L137" s="22">
        <f>F137^2/162</f>
        <v>1.5802469135802468</v>
      </c>
      <c r="M137" s="21">
        <f>K137*L137</f>
        <v>119.94074074074074</v>
      </c>
      <c r="N137" s="22">
        <f>M137/1000</f>
        <v>0.11994074074074074</v>
      </c>
      <c r="O137" s="13" t="inlineStr">
        <is>
          <t>BBS</t>
        </is>
      </c>
    </row>
    <row r="138">
      <c r="A138" s="13" t="n">
        <v>133</v>
      </c>
      <c r="B138" s="13" t="inlineStr">
        <is>
          <t>Staircases</t>
        </is>
      </c>
      <c r="C138" s="13" t="inlineStr">
        <is>
          <t>STR-033</t>
        </is>
      </c>
      <c r="D138" s="13" t="inlineStr">
        <is>
          <t>Emergency staircase typical flight (M1 to 3rd, one storey)</t>
        </is>
      </c>
      <c r="E138" s="19" t="inlineStr">
        <is>
          <t>1607</t>
        </is>
      </c>
      <c r="F138" s="19" t="n">
        <v>16</v>
      </c>
      <c r="G138" s="19" t="n">
        <v>1</v>
      </c>
      <c r="H138" s="19" t="n">
        <v>11</v>
      </c>
      <c r="I138" s="13">
        <f>G138*H138</f>
        <v>11.0</v>
      </c>
      <c r="J138" s="20">
        <f>4800/1000</f>
        <v>4.8</v>
      </c>
      <c r="K138" s="21">
        <f>I138*J138</f>
        <v>52.8</v>
      </c>
      <c r="L138" s="22">
        <f>F138^2/162</f>
        <v>1.5802469135802468</v>
      </c>
      <c r="M138" s="21">
        <f>K138*L138</f>
        <v>83.43703703703703</v>
      </c>
      <c r="N138" s="22">
        <f>M138/1000</f>
        <v>0.08343703703703703</v>
      </c>
      <c r="O138" s="13" t="inlineStr">
        <is>
          <t>BBS</t>
        </is>
      </c>
    </row>
    <row r="139">
      <c r="A139" s="13" t="n">
        <v>134</v>
      </c>
      <c r="B139" s="13" t="inlineStr">
        <is>
          <t>Staircases</t>
        </is>
      </c>
      <c r="C139" s="13" t="inlineStr">
        <is>
          <t>STR-033</t>
        </is>
      </c>
      <c r="D139" s="13" t="inlineStr">
        <is>
          <t>Emergency staircase typical flight (M1 to 3rd, one storey)</t>
        </is>
      </c>
      <c r="E139" s="19" t="inlineStr">
        <is>
          <t>1608</t>
        </is>
      </c>
      <c r="F139" s="19" t="n">
        <v>16</v>
      </c>
      <c r="G139" s="19" t="n">
        <v>1</v>
      </c>
      <c r="H139" s="19" t="n">
        <v>11</v>
      </c>
      <c r="I139" s="13">
        <f>G139*H139</f>
        <v>11.0</v>
      </c>
      <c r="J139" s="20">
        <f>3400/1000</f>
        <v>3.4</v>
      </c>
      <c r="K139" s="21">
        <f>I139*J139</f>
        <v>37.4</v>
      </c>
      <c r="L139" s="22">
        <f>F139^2/162</f>
        <v>1.5802469135802468</v>
      </c>
      <c r="M139" s="21">
        <f>K139*L139</f>
        <v>59.10123456790123</v>
      </c>
      <c r="N139" s="22">
        <f>M139/1000</f>
        <v>0.05910123456790123</v>
      </c>
      <c r="O139" s="13" t="inlineStr">
        <is>
          <t>BBS</t>
        </is>
      </c>
    </row>
    <row r="140">
      <c r="A140" s="13" t="n">
        <v>135</v>
      </c>
      <c r="B140" s="13" t="inlineStr">
        <is>
          <t>Staircases</t>
        </is>
      </c>
      <c r="C140" s="13" t="inlineStr">
        <is>
          <t>STR-033</t>
        </is>
      </c>
      <c r="D140" s="13" t="inlineStr">
        <is>
          <t>Emergency staircase typical flight (M1 to 3rd, one storey)</t>
        </is>
      </c>
      <c r="E140" s="19" t="inlineStr">
        <is>
          <t>1609</t>
        </is>
      </c>
      <c r="F140" s="19" t="n">
        <v>16</v>
      </c>
      <c r="G140" s="19" t="n">
        <v>1</v>
      </c>
      <c r="H140" s="19" t="n">
        <v>11</v>
      </c>
      <c r="I140" s="13">
        <f>G140*H140</f>
        <v>11.0</v>
      </c>
      <c r="J140" s="20">
        <f>3200/1000</f>
        <v>3.2</v>
      </c>
      <c r="K140" s="21">
        <f>I140*J140</f>
        <v>35.2</v>
      </c>
      <c r="L140" s="22">
        <f>F140^2/162</f>
        <v>1.5802469135802468</v>
      </c>
      <c r="M140" s="21">
        <f>K140*L140</f>
        <v>55.62469135802469</v>
      </c>
      <c r="N140" s="22">
        <f>M140/1000</f>
        <v>0.05562469135802469</v>
      </c>
      <c r="O140" s="13" t="inlineStr">
        <is>
          <t>BBS</t>
        </is>
      </c>
    </row>
    <row r="141">
      <c r="A141" s="13" t="n">
        <v>136</v>
      </c>
      <c r="B141" s="13" t="inlineStr">
        <is>
          <t>Staircases</t>
        </is>
      </c>
      <c r="C141" s="13" t="inlineStr">
        <is>
          <t>STR-033</t>
        </is>
      </c>
      <c r="D141" s="13" t="inlineStr">
        <is>
          <t>Emergency staircase typical flight (M1 to 3rd, one storey)</t>
        </is>
      </c>
      <c r="E141" s="19" t="inlineStr">
        <is>
          <t>1610</t>
        </is>
      </c>
      <c r="F141" s="19" t="n">
        <v>16</v>
      </c>
      <c r="G141" s="19" t="n">
        <v>1</v>
      </c>
      <c r="H141" s="19" t="n">
        <v>11</v>
      </c>
      <c r="I141" s="13">
        <f>G141*H141</f>
        <v>11.0</v>
      </c>
      <c r="J141" s="20">
        <f>2000/1000</f>
        <v>2.0</v>
      </c>
      <c r="K141" s="21">
        <f>I141*J141</f>
        <v>22.0</v>
      </c>
      <c r="L141" s="22">
        <f>F141^2/162</f>
        <v>1.5802469135802468</v>
      </c>
      <c r="M141" s="21">
        <f>K141*L141</f>
        <v>34.76543209876543</v>
      </c>
      <c r="N141" s="22">
        <f>M141/1000</f>
        <v>0.03476543209876543</v>
      </c>
      <c r="O141" s="13" t="inlineStr">
        <is>
          <t>BBS</t>
        </is>
      </c>
    </row>
    <row r="143">
      <c r="D143" s="10" t="inlineStr">
        <is>
          <t>SUMMARY - M1 LEVEL: ELEMENT BY BAR SIZE (TONNES)</t>
        </is>
      </c>
    </row>
    <row r="144">
      <c r="D144" s="23" t="inlineStr">
        <is>
          <t>Element</t>
        </is>
      </c>
      <c r="E144" s="24" t="n">
        <v>10</v>
      </c>
      <c r="F144" s="24" t="n">
        <v>12</v>
      </c>
      <c r="G144" s="24" t="n">
        <v>16</v>
      </c>
      <c r="H144" s="24" t="n">
        <v>20</v>
      </c>
      <c r="I144" s="24" t="n">
        <v>25</v>
      </c>
      <c r="J144" s="23" t="inlineStr">
        <is>
          <t>Total (t)</t>
        </is>
      </c>
    </row>
    <row r="145">
      <c r="D145" s="13" t="inlineStr">
        <is>
          <t>Raft Foundation</t>
        </is>
      </c>
      <c r="E145" s="25">
        <f>SUMIFS($N$6:$N$141,$B$6:$B$141,$D145,$F$6:$F$141,E$144)</f>
        <v>0.0</v>
      </c>
      <c r="F145" s="25">
        <f>SUMIFS($N$6:$N$141,$B$6:$B$141,$D145,$F$6:$F$141,F$144)</f>
        <v>0.0</v>
      </c>
      <c r="G145" s="25">
        <f>SUMIFS($N$6:$N$141,$B$6:$B$141,$D145,$F$6:$F$141,G$144)</f>
        <v>0.0</v>
      </c>
      <c r="H145" s="25">
        <f>SUMIFS($N$6:$N$141,$B$6:$B$141,$D145,$F$6:$F$141,H$144)</f>
        <v>0.0</v>
      </c>
      <c r="I145" s="25">
        <f>SUMIFS($N$6:$N$141,$B$6:$B$141,$D145,$F$6:$F$141,I$144)</f>
        <v>0.0</v>
      </c>
      <c r="J145" s="17">
        <f>SUM(E145:I145)</f>
        <v>0.0</v>
      </c>
    </row>
    <row r="146">
      <c r="D146" s="13" t="inlineStr">
        <is>
          <t>Columns</t>
        </is>
      </c>
      <c r="E146" s="25">
        <f>SUMIFS($N$6:$N$141,$B$6:$B$141,$D146,$F$6:$F$141,E$144)</f>
        <v>1.656320987654321</v>
      </c>
      <c r="F146" s="25">
        <f>SUMIFS($N$6:$N$141,$B$6:$B$141,$D146,$F$6:$F$141,F$144)</f>
        <v>0.0</v>
      </c>
      <c r="G146" s="25">
        <f>SUMIFS($N$6:$N$141,$B$6:$B$141,$D146,$F$6:$F$141,G$144)</f>
        <v>0.0</v>
      </c>
      <c r="H146" s="25">
        <f>SUMIFS($N$6:$N$141,$B$6:$B$141,$D146,$F$6:$F$141,H$144)</f>
        <v>0.0</v>
      </c>
      <c r="I146" s="25">
        <f>SUMIFS($N$6:$N$141,$B$6:$B$141,$D146,$F$6:$F$141,I$144)</f>
        <v>4.3032407407407405</v>
      </c>
      <c r="J146" s="17">
        <f>SUM(E146:I146)</f>
        <v>5.9595617283950615</v>
      </c>
    </row>
    <row r="147">
      <c r="D147" s="13" t="inlineStr">
        <is>
          <t>Shear Walls</t>
        </is>
      </c>
      <c r="E147" s="25">
        <f>SUMIFS($N$6:$N$141,$B$6:$B$141,$D147,$F$6:$F$141,E$144)</f>
        <v>0.66</v>
      </c>
      <c r="F147" s="25">
        <f>SUMIFS($N$6:$N$141,$B$6:$B$141,$D147,$F$6:$F$141,F$144)</f>
        <v>0.8348444444444444</v>
      </c>
      <c r="G147" s="25">
        <f>SUMIFS($N$6:$N$141,$B$6:$B$141,$D147,$F$6:$F$141,G$144)</f>
        <v>0.0</v>
      </c>
      <c r="H147" s="25">
        <f>SUMIFS($N$6:$N$141,$B$6:$B$141,$D147,$F$6:$F$141,H$144)</f>
        <v>0.0</v>
      </c>
      <c r="I147" s="25">
        <f>SUMIFS($N$6:$N$141,$B$6:$B$141,$D147,$F$6:$F$141,I$144)</f>
        <v>5.195987654320988</v>
      </c>
      <c r="J147" s="17">
        <f>SUM(E147:I147)</f>
        <v>6.690832098765433</v>
      </c>
    </row>
    <row r="148">
      <c r="D148" s="13" t="inlineStr">
        <is>
          <t>Lift Walls</t>
        </is>
      </c>
      <c r="E148" s="25">
        <f>SUMIFS($N$6:$N$141,$B$6:$B$141,$D148,$F$6:$F$141,E$144)</f>
        <v>0.0</v>
      </c>
      <c r="F148" s="25">
        <f>SUMIFS($N$6:$N$141,$B$6:$B$141,$D148,$F$6:$F$141,F$144)</f>
        <v>0.0</v>
      </c>
      <c r="G148" s="25">
        <f>SUMIFS($N$6:$N$141,$B$6:$B$141,$D148,$F$6:$F$141,G$144)</f>
        <v>0.0</v>
      </c>
      <c r="H148" s="25">
        <f>SUMIFS($N$6:$N$141,$B$6:$B$141,$D148,$F$6:$F$141,H$144)</f>
        <v>0.0</v>
      </c>
      <c r="I148" s="25">
        <f>SUMIFS($N$6:$N$141,$B$6:$B$141,$D148,$F$6:$F$141,I$144)</f>
        <v>0.0</v>
      </c>
      <c r="J148" s="17">
        <f>SUM(E148:I148)</f>
        <v>0.0</v>
      </c>
    </row>
    <row r="149">
      <c r="D149" s="13" t="inlineStr">
        <is>
          <t>Retaining / Ramp Walls</t>
        </is>
      </c>
      <c r="E149" s="25">
        <f>SUMIFS($N$6:$N$141,$B$6:$B$141,$D149,$F$6:$F$141,E$144)</f>
        <v>0.0</v>
      </c>
      <c r="F149" s="25">
        <f>SUMIFS($N$6:$N$141,$B$6:$B$141,$D149,$F$6:$F$141,F$144)</f>
        <v>0.0</v>
      </c>
      <c r="G149" s="25">
        <f>SUMIFS($N$6:$N$141,$B$6:$B$141,$D149,$F$6:$F$141,G$144)</f>
        <v>0.0</v>
      </c>
      <c r="H149" s="25">
        <f>SUMIFS($N$6:$N$141,$B$6:$B$141,$D149,$F$6:$F$141,H$144)</f>
        <v>0.0</v>
      </c>
      <c r="I149" s="25">
        <f>SUMIFS($N$6:$N$141,$B$6:$B$141,$D149,$F$6:$F$141,I$144)</f>
        <v>0.0</v>
      </c>
      <c r="J149" s="17">
        <f>SUM(E149:I149)</f>
        <v>0.0</v>
      </c>
    </row>
    <row r="150">
      <c r="D150" s="13" t="inlineStr">
        <is>
          <t>Beams</t>
        </is>
      </c>
      <c r="E150" s="25">
        <f>SUMIFS($N$6:$N$141,$B$6:$B$141,$D150,$F$6:$F$141,E$144)</f>
        <v>1.1259876543209875</v>
      </c>
      <c r="F150" s="25">
        <f>SUMIFS($N$6:$N$141,$B$6:$B$141,$D150,$F$6:$F$141,F$144)</f>
        <v>0.0</v>
      </c>
      <c r="G150" s="25">
        <f>SUMIFS($N$6:$N$141,$B$6:$B$141,$D150,$F$6:$F$141,G$144)</f>
        <v>0.575525925925926</v>
      </c>
      <c r="H150" s="25">
        <f>SUMIFS($N$6:$N$141,$B$6:$B$141,$D150,$F$6:$F$141,H$144)</f>
        <v>0.8137037037037036</v>
      </c>
      <c r="I150" s="25">
        <f>SUMIFS($N$6:$N$141,$B$6:$B$141,$D150,$F$6:$F$141,I$144)</f>
        <v>2.437789351851852</v>
      </c>
      <c r="J150" s="17">
        <f>SUM(E150:I150)</f>
        <v>4.953006635802469</v>
      </c>
    </row>
    <row r="151">
      <c r="D151" s="13" t="inlineStr">
        <is>
          <t>Floor Slabs</t>
        </is>
      </c>
      <c r="E151" s="25">
        <f>SUMIFS($N$6:$N$141,$B$6:$B$141,$D151,$F$6:$F$141,E$144)</f>
        <v>0.0</v>
      </c>
      <c r="F151" s="25">
        <f>SUMIFS($N$6:$N$141,$B$6:$B$141,$D151,$F$6:$F$141,F$144)</f>
        <v>25.573977777777774</v>
      </c>
      <c r="G151" s="25">
        <f>SUMIFS($N$6:$N$141,$B$6:$B$141,$D151,$F$6:$F$141,G$144)</f>
        <v>3.741827160493827</v>
      </c>
      <c r="H151" s="25">
        <f>SUMIFS($N$6:$N$141,$B$6:$B$141,$D151,$F$6:$F$141,H$144)</f>
        <v>0.0</v>
      </c>
      <c r="I151" s="25">
        <f>SUMIFS($N$6:$N$141,$B$6:$B$141,$D151,$F$6:$F$141,I$144)</f>
        <v>0.0</v>
      </c>
      <c r="J151" s="17">
        <f>SUM(E151:I151)</f>
        <v>29.3158049382716</v>
      </c>
    </row>
    <row r="152">
      <c r="D152" s="13" t="inlineStr">
        <is>
          <t>Staircases</t>
        </is>
      </c>
      <c r="E152" s="25">
        <f>SUMIFS($N$6:$N$141,$B$6:$B$141,$D152,$F$6:$F$141,E$144)</f>
        <v>0.0</v>
      </c>
      <c r="F152" s="25">
        <f>SUMIFS($N$6:$N$141,$B$6:$B$141,$D152,$F$6:$F$141,F$144)</f>
        <v>0.43982222222222217</v>
      </c>
      <c r="G152" s="25">
        <f>SUMIFS($N$6:$N$141,$B$6:$B$141,$D152,$F$6:$F$141,G$144)</f>
        <v>0.694004938271605</v>
      </c>
      <c r="H152" s="25">
        <f>SUMIFS($N$6:$N$141,$B$6:$B$141,$D152,$F$6:$F$141,H$144)</f>
        <v>0.0</v>
      </c>
      <c r="I152" s="25">
        <f>SUMIFS($N$6:$N$141,$B$6:$B$141,$D152,$F$6:$F$141,I$144)</f>
        <v>0.0</v>
      </c>
      <c r="J152" s="17">
        <f>SUM(E152:I152)</f>
        <v>1.1338271604938273</v>
      </c>
    </row>
    <row r="153">
      <c r="D153" s="13" t="inlineStr">
        <is>
          <t>Lift Core Roof Slab</t>
        </is>
      </c>
      <c r="E153" s="25">
        <f>SUMIFS($N$6:$N$141,$B$6:$B$141,$D153,$F$6:$F$141,E$144)</f>
        <v>0.0</v>
      </c>
      <c r="F153" s="25">
        <f>SUMIFS($N$6:$N$141,$B$6:$B$141,$D153,$F$6:$F$141,F$144)</f>
        <v>0.0</v>
      </c>
      <c r="G153" s="25">
        <f>SUMIFS($N$6:$N$141,$B$6:$B$141,$D153,$F$6:$F$141,G$144)</f>
        <v>0.0</v>
      </c>
      <c r="H153" s="25">
        <f>SUMIFS($N$6:$N$141,$B$6:$B$141,$D153,$F$6:$F$141,H$144)</f>
        <v>0.0</v>
      </c>
      <c r="I153" s="25">
        <f>SUMIFS($N$6:$N$141,$B$6:$B$141,$D153,$F$6:$F$141,I$144)</f>
        <v>0.0</v>
      </c>
      <c r="J153" s="17">
        <f>SUM(E153:I153)</f>
        <v>0.0</v>
      </c>
    </row>
    <row r="154">
      <c r="D154" s="16" t="inlineStr">
        <is>
          <t>TOTAL - M1 LEVEL</t>
        </is>
      </c>
      <c r="E154" s="26">
        <f>SUM(E145:E153)</f>
        <v>3.4423086419753086</v>
      </c>
      <c r="F154" s="26">
        <f>SUM(F145:F153)</f>
        <v>26.848644444444442</v>
      </c>
      <c r="G154" s="26">
        <f>SUM(G145:G153)</f>
        <v>5.011358024691358</v>
      </c>
      <c r="H154" s="26">
        <f>SUM(H145:H153)</f>
        <v>0.8137037037037036</v>
      </c>
      <c r="I154" s="26">
        <f>SUM(I145:I153)</f>
        <v>11.937017746913579</v>
      </c>
      <c r="J154" s="26">
        <f>SUM(J145:J153)</f>
        <v>48.053032561728386</v>
      </c>
      <c r="K154" s="7" t="inlineStr">
        <is>
          <t>Check vs detail (should be 0):</t>
        </is>
      </c>
      <c r="N154" s="7">
        <f>ROUND(SUM(N6:N141)-J154,6)</f>
        <v>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O18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FIRST FLOOR LEVEL 2A PARKING (+4150)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STR-007</t>
        </is>
      </c>
      <c r="D6" s="13" t="inlineStr">
        <is>
          <t>COL-01A (5 nos) 1st to 2nd - links</t>
        </is>
      </c>
      <c r="E6" s="19" t="inlineStr">
        <is>
          <t>1001</t>
        </is>
      </c>
      <c r="F6" s="19" t="n">
        <v>10</v>
      </c>
      <c r="G6" s="19" t="n">
        <v>5</v>
      </c>
      <c r="H6" s="19" t="n">
        <v>29</v>
      </c>
      <c r="I6" s="13">
        <f>G6*H6</f>
        <v>145.0</v>
      </c>
      <c r="J6" s="20">
        <f>2330/1000</f>
        <v>2.33</v>
      </c>
      <c r="K6" s="21">
        <f>I6*J6</f>
        <v>337.85</v>
      </c>
      <c r="L6" s="22">
        <f>F6^2/162</f>
        <v>0.6172839506172839</v>
      </c>
      <c r="M6" s="21">
        <f>K6*L6</f>
        <v>208.5493827160494</v>
      </c>
      <c r="N6" s="22">
        <f>M6/1000</f>
        <v>0.2085493827160494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STR-007</t>
        </is>
      </c>
      <c r="D7" s="13" t="inlineStr">
        <is>
          <t>COL-01A (5 nos) 1st to 2nd - links</t>
        </is>
      </c>
      <c r="E7" s="19" t="inlineStr">
        <is>
          <t>1002</t>
        </is>
      </c>
      <c r="F7" s="19" t="n">
        <v>10</v>
      </c>
      <c r="G7" s="19" t="n">
        <v>5</v>
      </c>
      <c r="H7" s="19" t="n">
        <v>58</v>
      </c>
      <c r="I7" s="13">
        <f>G7*H7</f>
        <v>290.0</v>
      </c>
      <c r="J7" s="20">
        <f>1330/1000</f>
        <v>1.33</v>
      </c>
      <c r="K7" s="21">
        <f>I7*J7</f>
        <v>385.70000000000005</v>
      </c>
      <c r="L7" s="22">
        <f>F7^2/162</f>
        <v>0.6172839506172839</v>
      </c>
      <c r="M7" s="21">
        <f>K7*L7</f>
        <v>238.08641975308643</v>
      </c>
      <c r="N7" s="22">
        <f>M7/1000</f>
        <v>0.23808641975308642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STR-007</t>
        </is>
      </c>
      <c r="D8" s="13" t="inlineStr">
        <is>
          <t>COL-01A (5 nos) 1st to 2nd - links</t>
        </is>
      </c>
      <c r="E8" s="19" t="inlineStr">
        <is>
          <t>1003</t>
        </is>
      </c>
      <c r="F8" s="19" t="n">
        <v>10</v>
      </c>
      <c r="G8" s="19" t="n">
        <v>5</v>
      </c>
      <c r="H8" s="19" t="n">
        <v>29</v>
      </c>
      <c r="I8" s="13">
        <f>G8*H8</f>
        <v>145.0</v>
      </c>
      <c r="J8" s="20">
        <f>1830/1000</f>
        <v>1.83</v>
      </c>
      <c r="K8" s="21">
        <f>I8*J8</f>
        <v>265.35</v>
      </c>
      <c r="L8" s="22">
        <f>F8^2/162</f>
        <v>0.6172839506172839</v>
      </c>
      <c r="M8" s="21">
        <f>K8*L8</f>
        <v>163.7962962962963</v>
      </c>
      <c r="N8" s="22">
        <f>M8/1000</f>
        <v>0.1637962962962963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STR-007</t>
        </is>
      </c>
      <c r="D9" s="13" t="inlineStr">
        <is>
          <t>COL-01A (5 nos) 1st to 2nd - main bars</t>
        </is>
      </c>
      <c r="E9" s="19" t="inlineStr">
        <is>
          <t>2503</t>
        </is>
      </c>
      <c r="F9" s="19" t="n">
        <v>25</v>
      </c>
      <c r="G9" s="19" t="n">
        <v>5</v>
      </c>
      <c r="H9" s="19" t="n">
        <v>16</v>
      </c>
      <c r="I9" s="13">
        <f>G9*H9</f>
        <v>80.0</v>
      </c>
      <c r="J9" s="20">
        <f>3900/1000</f>
        <v>3.9</v>
      </c>
      <c r="K9" s="21">
        <f>I9*J9</f>
        <v>312.0</v>
      </c>
      <c r="L9" s="22">
        <f>F9^2/162</f>
        <v>3.8580246913580245</v>
      </c>
      <c r="M9" s="21">
        <f>K9*L9</f>
        <v>1203.7037037037037</v>
      </c>
      <c r="N9" s="22">
        <f>M9/1000</f>
        <v>1.2037037037037037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STR-007</t>
        </is>
      </c>
      <c r="D10" s="13" t="inlineStr">
        <is>
          <t>COL-01B (1 nos) 1st to 2nd - links</t>
        </is>
      </c>
      <c r="E10" s="19" t="inlineStr">
        <is>
          <t>1001</t>
        </is>
      </c>
      <c r="F10" s="19" t="n">
        <v>10</v>
      </c>
      <c r="G10" s="19" t="n">
        <v>1</v>
      </c>
      <c r="H10" s="19" t="n">
        <v>29</v>
      </c>
      <c r="I10" s="13">
        <f>G10*H10</f>
        <v>29.0</v>
      </c>
      <c r="J10" s="20">
        <f>2330/1000</f>
        <v>2.33</v>
      </c>
      <c r="K10" s="21">
        <f>I10*J10</f>
        <v>67.57000000000001</v>
      </c>
      <c r="L10" s="22">
        <f>F10^2/162</f>
        <v>0.6172839506172839</v>
      </c>
      <c r="M10" s="21">
        <f>K10*L10</f>
        <v>41.70987654320988</v>
      </c>
      <c r="N10" s="22">
        <f>M10/1000</f>
        <v>0.04170987654320988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STR-007</t>
        </is>
      </c>
      <c r="D11" s="13" t="inlineStr">
        <is>
          <t>COL-01B (1 nos) 1st to 2nd - links</t>
        </is>
      </c>
      <c r="E11" s="19" t="inlineStr">
        <is>
          <t>1002</t>
        </is>
      </c>
      <c r="F11" s="19" t="n">
        <v>10</v>
      </c>
      <c r="G11" s="19" t="n">
        <v>1</v>
      </c>
      <c r="H11" s="19" t="n">
        <v>58</v>
      </c>
      <c r="I11" s="13">
        <f>G11*H11</f>
        <v>58.0</v>
      </c>
      <c r="J11" s="20">
        <f>1330/1000</f>
        <v>1.33</v>
      </c>
      <c r="K11" s="21">
        <f>I11*J11</f>
        <v>77.14</v>
      </c>
      <c r="L11" s="22">
        <f>F11^2/162</f>
        <v>0.6172839506172839</v>
      </c>
      <c r="M11" s="21">
        <f>K11*L11</f>
        <v>47.617283950617285</v>
      </c>
      <c r="N11" s="22">
        <f>M11/1000</f>
        <v>0.04761728395061728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STR-007</t>
        </is>
      </c>
      <c r="D12" s="13" t="inlineStr">
        <is>
          <t>COL-01B (1 nos) 1st to 2nd - links</t>
        </is>
      </c>
      <c r="E12" s="19" t="inlineStr">
        <is>
          <t>1003</t>
        </is>
      </c>
      <c r="F12" s="19" t="n">
        <v>10</v>
      </c>
      <c r="G12" s="19" t="n">
        <v>1</v>
      </c>
      <c r="H12" s="19" t="n">
        <v>29</v>
      </c>
      <c r="I12" s="13">
        <f>G12*H12</f>
        <v>29.0</v>
      </c>
      <c r="J12" s="20">
        <f>1830/1000</f>
        <v>1.83</v>
      </c>
      <c r="K12" s="21">
        <f>I12*J12</f>
        <v>53.07</v>
      </c>
      <c r="L12" s="22">
        <f>F12^2/162</f>
        <v>0.6172839506172839</v>
      </c>
      <c r="M12" s="21">
        <f>K12*L12</f>
        <v>32.75925925925926</v>
      </c>
      <c r="N12" s="22">
        <f>M12/1000</f>
        <v>0.03275925925925926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Columns</t>
        </is>
      </c>
      <c r="C13" s="13" t="inlineStr">
        <is>
          <t>STR-007</t>
        </is>
      </c>
      <c r="D13" s="13" t="inlineStr">
        <is>
          <t>COL-01B (1 nos) 1st to 2nd - main bars</t>
        </is>
      </c>
      <c r="E13" s="19" t="inlineStr">
        <is>
          <t>2503</t>
        </is>
      </c>
      <c r="F13" s="19" t="n">
        <v>25</v>
      </c>
      <c r="G13" s="19" t="n">
        <v>1</v>
      </c>
      <c r="H13" s="19" t="n">
        <v>16</v>
      </c>
      <c r="I13" s="13">
        <f>G13*H13</f>
        <v>16.0</v>
      </c>
      <c r="J13" s="20">
        <f>3900/1000</f>
        <v>3.9</v>
      </c>
      <c r="K13" s="21">
        <f>I13*J13</f>
        <v>62.4</v>
      </c>
      <c r="L13" s="22">
        <f>F13^2/162</f>
        <v>3.8580246913580245</v>
      </c>
      <c r="M13" s="21">
        <f>K13*L13</f>
        <v>240.74074074074073</v>
      </c>
      <c r="N13" s="22">
        <f>M13/1000</f>
        <v>0.24074074074074073</v>
      </c>
      <c r="O13" s="13" t="inlineStr">
        <is>
          <t>Elevation + BBS length</t>
        </is>
      </c>
    </row>
    <row r="14">
      <c r="A14" s="13" t="n">
        <v>9</v>
      </c>
      <c r="B14" s="13" t="inlineStr">
        <is>
          <t>Columns</t>
        </is>
      </c>
      <c r="C14" s="13" t="inlineStr">
        <is>
          <t>STR-008</t>
        </is>
      </c>
      <c r="D14" s="13" t="inlineStr">
        <is>
          <t>COL-01C (2 nos) 1st to 2nd - links</t>
        </is>
      </c>
      <c r="E14" s="19" t="inlineStr">
        <is>
          <t>1001</t>
        </is>
      </c>
      <c r="F14" s="19" t="n">
        <v>10</v>
      </c>
      <c r="G14" s="19" t="n">
        <v>2</v>
      </c>
      <c r="H14" s="19" t="n">
        <v>29</v>
      </c>
      <c r="I14" s="13">
        <f>G14*H14</f>
        <v>58.0</v>
      </c>
      <c r="J14" s="20">
        <f>2330/1000</f>
        <v>2.33</v>
      </c>
      <c r="K14" s="21">
        <f>I14*J14</f>
        <v>135.14000000000001</v>
      </c>
      <c r="L14" s="22">
        <f>F14^2/162</f>
        <v>0.6172839506172839</v>
      </c>
      <c r="M14" s="21">
        <f>K14*L14</f>
        <v>83.41975308641976</v>
      </c>
      <c r="N14" s="22">
        <f>M14/1000</f>
        <v>0.08341975308641976</v>
      </c>
      <c r="O14" s="13" t="inlineStr">
        <is>
          <t>Elevation + BBS length</t>
        </is>
      </c>
    </row>
    <row r="15">
      <c r="A15" s="13" t="n">
        <v>10</v>
      </c>
      <c r="B15" s="13" t="inlineStr">
        <is>
          <t>Columns</t>
        </is>
      </c>
      <c r="C15" s="13" t="inlineStr">
        <is>
          <t>STR-008</t>
        </is>
      </c>
      <c r="D15" s="13" t="inlineStr">
        <is>
          <t>COL-01C (2 nos) 1st to 2nd - links</t>
        </is>
      </c>
      <c r="E15" s="19" t="inlineStr">
        <is>
          <t>1002</t>
        </is>
      </c>
      <c r="F15" s="19" t="n">
        <v>10</v>
      </c>
      <c r="G15" s="19" t="n">
        <v>2</v>
      </c>
      <c r="H15" s="19" t="n">
        <v>58</v>
      </c>
      <c r="I15" s="13">
        <f>G15*H15</f>
        <v>116.0</v>
      </c>
      <c r="J15" s="20">
        <f>1330/1000</f>
        <v>1.33</v>
      </c>
      <c r="K15" s="21">
        <f>I15*J15</f>
        <v>154.28</v>
      </c>
      <c r="L15" s="22">
        <f>F15^2/162</f>
        <v>0.6172839506172839</v>
      </c>
      <c r="M15" s="21">
        <f>K15*L15</f>
        <v>95.23456790123457</v>
      </c>
      <c r="N15" s="22">
        <f>M15/1000</f>
        <v>0.09523456790123457</v>
      </c>
      <c r="O15" s="13" t="inlineStr">
        <is>
          <t>Elevation + BBS length</t>
        </is>
      </c>
    </row>
    <row r="16">
      <c r="A16" s="13" t="n">
        <v>11</v>
      </c>
      <c r="B16" s="13" t="inlineStr">
        <is>
          <t>Columns</t>
        </is>
      </c>
      <c r="C16" s="13" t="inlineStr">
        <is>
          <t>STR-008</t>
        </is>
      </c>
      <c r="D16" s="13" t="inlineStr">
        <is>
          <t>COL-01C (2 nos) 1st to 2nd - links</t>
        </is>
      </c>
      <c r="E16" s="19" t="inlineStr">
        <is>
          <t>1003</t>
        </is>
      </c>
      <c r="F16" s="19" t="n">
        <v>10</v>
      </c>
      <c r="G16" s="19" t="n">
        <v>2</v>
      </c>
      <c r="H16" s="19" t="n">
        <v>29</v>
      </c>
      <c r="I16" s="13">
        <f>G16*H16</f>
        <v>58.0</v>
      </c>
      <c r="J16" s="20">
        <f>1830/1000</f>
        <v>1.83</v>
      </c>
      <c r="K16" s="21">
        <f>I16*J16</f>
        <v>106.14</v>
      </c>
      <c r="L16" s="22">
        <f>F16^2/162</f>
        <v>0.6172839506172839</v>
      </c>
      <c r="M16" s="21">
        <f>K16*L16</f>
        <v>65.51851851851852</v>
      </c>
      <c r="N16" s="22">
        <f>M16/1000</f>
        <v>0.06551851851851852</v>
      </c>
      <c r="O16" s="13" t="inlineStr">
        <is>
          <t>Elevation + BBS length</t>
        </is>
      </c>
    </row>
    <row r="17">
      <c r="A17" s="13" t="n">
        <v>12</v>
      </c>
      <c r="B17" s="13" t="inlineStr">
        <is>
          <t>Columns</t>
        </is>
      </c>
      <c r="C17" s="13" t="inlineStr">
        <is>
          <t>STR-008</t>
        </is>
      </c>
      <c r="D17" s="13" t="inlineStr">
        <is>
          <t>COL-01C (2 nos) 1st to 2nd - main bars</t>
        </is>
      </c>
      <c r="E17" s="19" t="inlineStr">
        <is>
          <t>2503</t>
        </is>
      </c>
      <c r="F17" s="19" t="n">
        <v>25</v>
      </c>
      <c r="G17" s="19" t="n">
        <v>2</v>
      </c>
      <c r="H17" s="19" t="n">
        <v>16</v>
      </c>
      <c r="I17" s="13">
        <f>G17*H17</f>
        <v>32.0</v>
      </c>
      <c r="J17" s="20">
        <f>3900/1000</f>
        <v>3.9</v>
      </c>
      <c r="K17" s="21">
        <f>I17*J17</f>
        <v>124.8</v>
      </c>
      <c r="L17" s="22">
        <f>F17^2/162</f>
        <v>3.8580246913580245</v>
      </c>
      <c r="M17" s="21">
        <f>K17*L17</f>
        <v>481.48148148148147</v>
      </c>
      <c r="N17" s="22">
        <f>M17/1000</f>
        <v>0.48148148148148145</v>
      </c>
      <c r="O17" s="13" t="inlineStr">
        <is>
          <t>Elevation + BBS length</t>
        </is>
      </c>
    </row>
    <row r="18">
      <c r="A18" s="13" t="n">
        <v>13</v>
      </c>
      <c r="B18" s="13" t="inlineStr">
        <is>
          <t>Columns</t>
        </is>
      </c>
      <c r="C18" s="13" t="inlineStr">
        <is>
          <t>STR-010</t>
        </is>
      </c>
      <c r="D18" s="13" t="inlineStr">
        <is>
          <t>COL-02A (3 nos) 1st to 2nd - links</t>
        </is>
      </c>
      <c r="E18" s="19" t="inlineStr">
        <is>
          <t>1004</t>
        </is>
      </c>
      <c r="F18" s="19" t="n">
        <v>10</v>
      </c>
      <c r="G18" s="19" t="n">
        <v>3</v>
      </c>
      <c r="H18" s="19" t="n">
        <v>29</v>
      </c>
      <c r="I18" s="13">
        <f>G18*H18</f>
        <v>87.0</v>
      </c>
      <c r="J18" s="20">
        <f>2910/1000</f>
        <v>2.91</v>
      </c>
      <c r="K18" s="21">
        <f>I18*J18</f>
        <v>253.17000000000002</v>
      </c>
      <c r="L18" s="22">
        <f>F18^2/162</f>
        <v>0.6172839506172839</v>
      </c>
      <c r="M18" s="21">
        <f>K18*L18</f>
        <v>156.27777777777777</v>
      </c>
      <c r="N18" s="22">
        <f>M18/1000</f>
        <v>0.15627777777777777</v>
      </c>
      <c r="O18" s="13" t="inlineStr">
        <is>
          <t>Elevation + BBS length</t>
        </is>
      </c>
    </row>
    <row r="19">
      <c r="A19" s="13" t="n">
        <v>14</v>
      </c>
      <c r="B19" s="13" t="inlineStr">
        <is>
          <t>Columns</t>
        </is>
      </c>
      <c r="C19" s="13" t="inlineStr">
        <is>
          <t>STR-010</t>
        </is>
      </c>
      <c r="D19" s="13" t="inlineStr">
        <is>
          <t>COL-02A (3 nos) 1st to 2nd - links</t>
        </is>
      </c>
      <c r="E19" s="19" t="inlineStr">
        <is>
          <t>1005</t>
        </is>
      </c>
      <c r="F19" s="19" t="n">
        <v>10</v>
      </c>
      <c r="G19" s="19" t="n">
        <v>3</v>
      </c>
      <c r="H19" s="19">
        <f>5*29</f>
        <v>145.0</v>
      </c>
      <c r="I19" s="13">
        <f>G19*H19</f>
        <v>435.0</v>
      </c>
      <c r="J19" s="20">
        <f>1008/1000</f>
        <v>1.008</v>
      </c>
      <c r="K19" s="21">
        <f>I19*J19</f>
        <v>438.48</v>
      </c>
      <c r="L19" s="22">
        <f>F19^2/162</f>
        <v>0.6172839506172839</v>
      </c>
      <c r="M19" s="21">
        <f>K19*L19</f>
        <v>270.6666666666667</v>
      </c>
      <c r="N19" s="22">
        <f>M19/1000</f>
        <v>0.27066666666666667</v>
      </c>
      <c r="O19" s="13" t="inlineStr">
        <is>
          <t>Elevation + BBS length</t>
        </is>
      </c>
    </row>
    <row r="20">
      <c r="A20" s="13" t="n">
        <v>15</v>
      </c>
      <c r="B20" s="13" t="inlineStr">
        <is>
          <t>Columns</t>
        </is>
      </c>
      <c r="C20" s="13" t="inlineStr">
        <is>
          <t>STR-010</t>
        </is>
      </c>
      <c r="D20" s="13" t="inlineStr">
        <is>
          <t>COL-02A (3 nos) 1st to 2nd - main bars</t>
        </is>
      </c>
      <c r="E20" s="19" t="inlineStr">
        <is>
          <t>2503</t>
        </is>
      </c>
      <c r="F20" s="19" t="n">
        <v>25</v>
      </c>
      <c r="G20" s="19" t="n">
        <v>3</v>
      </c>
      <c r="H20" s="19" t="n">
        <v>18</v>
      </c>
      <c r="I20" s="13">
        <f>G20*H20</f>
        <v>54.0</v>
      </c>
      <c r="J20" s="20">
        <f>3900/1000</f>
        <v>3.9</v>
      </c>
      <c r="K20" s="21">
        <f>I20*J20</f>
        <v>210.6</v>
      </c>
      <c r="L20" s="22">
        <f>F20^2/162</f>
        <v>3.8580246913580245</v>
      </c>
      <c r="M20" s="21">
        <f>K20*L20</f>
        <v>812.4999999999999</v>
      </c>
      <c r="N20" s="22">
        <f>M20/1000</f>
        <v>0.8124999999999999</v>
      </c>
      <c r="O20" s="13" t="inlineStr">
        <is>
          <t>Elevation + BBS length</t>
        </is>
      </c>
    </row>
    <row r="21">
      <c r="A21" s="13" t="n">
        <v>16</v>
      </c>
      <c r="B21" s="13" t="inlineStr">
        <is>
          <t>Columns</t>
        </is>
      </c>
      <c r="C21" s="13" t="inlineStr">
        <is>
          <t>STR-010</t>
        </is>
      </c>
      <c r="D21" s="13" t="inlineStr">
        <is>
          <t>COL-02B (6 nos) 1st to 2nd - links</t>
        </is>
      </c>
      <c r="E21" s="19" t="inlineStr">
        <is>
          <t>1004</t>
        </is>
      </c>
      <c r="F21" s="19" t="n">
        <v>10</v>
      </c>
      <c r="G21" s="19" t="n">
        <v>6</v>
      </c>
      <c r="H21" s="19" t="n">
        <v>29</v>
      </c>
      <c r="I21" s="13">
        <f>G21*H21</f>
        <v>174.0</v>
      </c>
      <c r="J21" s="20">
        <f>2910/1000</f>
        <v>2.91</v>
      </c>
      <c r="K21" s="21">
        <f>I21*J21</f>
        <v>506.34000000000003</v>
      </c>
      <c r="L21" s="22">
        <f>F21^2/162</f>
        <v>0.6172839506172839</v>
      </c>
      <c r="M21" s="21">
        <f>K21*L21</f>
        <v>312.55555555555554</v>
      </c>
      <c r="N21" s="22">
        <f>M21/1000</f>
        <v>0.31255555555555553</v>
      </c>
      <c r="O21" s="13" t="inlineStr">
        <is>
          <t>Elevation + BBS length</t>
        </is>
      </c>
    </row>
    <row r="22">
      <c r="A22" s="13" t="n">
        <v>17</v>
      </c>
      <c r="B22" s="13" t="inlineStr">
        <is>
          <t>Columns</t>
        </is>
      </c>
      <c r="C22" s="13" t="inlineStr">
        <is>
          <t>STR-010</t>
        </is>
      </c>
      <c r="D22" s="13" t="inlineStr">
        <is>
          <t>COL-02B (6 nos) 1st to 2nd - links</t>
        </is>
      </c>
      <c r="E22" s="19" t="inlineStr">
        <is>
          <t>1005</t>
        </is>
      </c>
      <c r="F22" s="19" t="n">
        <v>10</v>
      </c>
      <c r="G22" s="19" t="n">
        <v>6</v>
      </c>
      <c r="H22" s="19">
        <f>5*29</f>
        <v>145.0</v>
      </c>
      <c r="I22" s="13">
        <f>G22*H22</f>
        <v>870.0</v>
      </c>
      <c r="J22" s="20">
        <f>1008/1000</f>
        <v>1.008</v>
      </c>
      <c r="K22" s="21">
        <f>I22*J22</f>
        <v>876.96</v>
      </c>
      <c r="L22" s="22">
        <f>F22^2/162</f>
        <v>0.6172839506172839</v>
      </c>
      <c r="M22" s="21">
        <f>K22*L22</f>
        <v>541.3333333333334</v>
      </c>
      <c r="N22" s="22">
        <f>M22/1000</f>
        <v>0.5413333333333333</v>
      </c>
      <c r="O22" s="13" t="inlineStr">
        <is>
          <t>Elevation + BBS length</t>
        </is>
      </c>
    </row>
    <row r="23">
      <c r="A23" s="13" t="n">
        <v>18</v>
      </c>
      <c r="B23" s="13" t="inlineStr">
        <is>
          <t>Columns</t>
        </is>
      </c>
      <c r="C23" s="13" t="inlineStr">
        <is>
          <t>STR-010</t>
        </is>
      </c>
      <c r="D23" s="13" t="inlineStr">
        <is>
          <t>COL-02B (6 nos) 1st to 2nd - main bars</t>
        </is>
      </c>
      <c r="E23" s="19" t="inlineStr">
        <is>
          <t>2503</t>
        </is>
      </c>
      <c r="F23" s="19" t="n">
        <v>25</v>
      </c>
      <c r="G23" s="19" t="n">
        <v>6</v>
      </c>
      <c r="H23" s="19" t="n">
        <v>18</v>
      </c>
      <c r="I23" s="13">
        <f>G23*H23</f>
        <v>108.0</v>
      </c>
      <c r="J23" s="20">
        <f>3900/1000</f>
        <v>3.9</v>
      </c>
      <c r="K23" s="21">
        <f>I23*J23</f>
        <v>421.2</v>
      </c>
      <c r="L23" s="22">
        <f>F23^2/162</f>
        <v>3.8580246913580245</v>
      </c>
      <c r="M23" s="21">
        <f>K23*L23</f>
        <v>1624.9999999999998</v>
      </c>
      <c r="N23" s="22">
        <f>M23/1000</f>
        <v>1.6249999999999998</v>
      </c>
      <c r="O23" s="13" t="inlineStr">
        <is>
          <t>Elevation + BBS length</t>
        </is>
      </c>
    </row>
    <row r="24">
      <c r="A24" s="13" t="n">
        <v>19</v>
      </c>
      <c r="B24" s="13" t="inlineStr">
        <is>
          <t>Columns</t>
        </is>
      </c>
      <c r="C24" s="13" t="inlineStr">
        <is>
          <t>STR-011</t>
        </is>
      </c>
      <c r="D24" s="13" t="inlineStr">
        <is>
          <t>COL-02C (1 nos) 1st to 2nd - links</t>
        </is>
      </c>
      <c r="E24" s="19" t="inlineStr">
        <is>
          <t>1004</t>
        </is>
      </c>
      <c r="F24" s="19" t="n">
        <v>10</v>
      </c>
      <c r="G24" s="19" t="n">
        <v>1</v>
      </c>
      <c r="H24" s="19" t="n">
        <v>29</v>
      </c>
      <c r="I24" s="13">
        <f>G24*H24</f>
        <v>29.0</v>
      </c>
      <c r="J24" s="20">
        <f>2910/1000</f>
        <v>2.91</v>
      </c>
      <c r="K24" s="21">
        <f>I24*J24</f>
        <v>84.39</v>
      </c>
      <c r="L24" s="22">
        <f>F24^2/162</f>
        <v>0.6172839506172839</v>
      </c>
      <c r="M24" s="21">
        <f>K24*L24</f>
        <v>52.09259259259259</v>
      </c>
      <c r="N24" s="22">
        <f>M24/1000</f>
        <v>0.052092592592592586</v>
      </c>
      <c r="O24" s="13" t="inlineStr">
        <is>
          <t>Elevation + BBS length</t>
        </is>
      </c>
    </row>
    <row r="25">
      <c r="A25" s="13" t="n">
        <v>20</v>
      </c>
      <c r="B25" s="13" t="inlineStr">
        <is>
          <t>Columns</t>
        </is>
      </c>
      <c r="C25" s="13" t="inlineStr">
        <is>
          <t>STR-011</t>
        </is>
      </c>
      <c r="D25" s="13" t="inlineStr">
        <is>
          <t>COL-02C (1 nos) 1st to 2nd - links</t>
        </is>
      </c>
      <c r="E25" s="19" t="inlineStr">
        <is>
          <t>1005</t>
        </is>
      </c>
      <c r="F25" s="19" t="n">
        <v>10</v>
      </c>
      <c r="G25" s="19" t="n">
        <v>1</v>
      </c>
      <c r="H25" s="19">
        <f>3*29</f>
        <v>87.0</v>
      </c>
      <c r="I25" s="13">
        <f>G25*H25</f>
        <v>87.0</v>
      </c>
      <c r="J25" s="20">
        <f>1008/1000</f>
        <v>1.008</v>
      </c>
      <c r="K25" s="21">
        <f>I25*J25</f>
        <v>87.696</v>
      </c>
      <c r="L25" s="22">
        <f>F25^2/162</f>
        <v>0.6172839506172839</v>
      </c>
      <c r="M25" s="21">
        <f>K25*L25</f>
        <v>54.133333333333326</v>
      </c>
      <c r="N25" s="22">
        <f>M25/1000</f>
        <v>0.054133333333333325</v>
      </c>
      <c r="O25" s="13" t="inlineStr">
        <is>
          <t>Elevation + BBS length</t>
        </is>
      </c>
    </row>
    <row r="26">
      <c r="A26" s="13" t="n">
        <v>21</v>
      </c>
      <c r="B26" s="13" t="inlineStr">
        <is>
          <t>Columns</t>
        </is>
      </c>
      <c r="C26" s="13" t="inlineStr">
        <is>
          <t>STR-011</t>
        </is>
      </c>
      <c r="D26" s="13" t="inlineStr">
        <is>
          <t>COL-02C (1 nos) 1st to 2nd - main bars</t>
        </is>
      </c>
      <c r="E26" s="19" t="inlineStr">
        <is>
          <t>2503</t>
        </is>
      </c>
      <c r="F26" s="19" t="n">
        <v>25</v>
      </c>
      <c r="G26" s="19" t="n">
        <v>1</v>
      </c>
      <c r="H26" s="19" t="n">
        <v>18</v>
      </c>
      <c r="I26" s="13">
        <f>G26*H26</f>
        <v>18.0</v>
      </c>
      <c r="J26" s="20">
        <f>3900/1000</f>
        <v>3.9</v>
      </c>
      <c r="K26" s="21">
        <f>I26*J26</f>
        <v>70.2</v>
      </c>
      <c r="L26" s="22">
        <f>F26^2/162</f>
        <v>3.8580246913580245</v>
      </c>
      <c r="M26" s="21">
        <f>K26*L26</f>
        <v>270.8333333333333</v>
      </c>
      <c r="N26" s="22">
        <f>M26/1000</f>
        <v>0.2708333333333333</v>
      </c>
      <c r="O26" s="13" t="inlineStr">
        <is>
          <t>Elevation + BBS length</t>
        </is>
      </c>
    </row>
    <row r="27">
      <c r="A27" s="13" t="n">
        <v>22</v>
      </c>
      <c r="B27" s="13" t="inlineStr">
        <is>
          <t>Columns</t>
        </is>
      </c>
      <c r="C27" s="13" t="inlineStr">
        <is>
          <t>STR-012</t>
        </is>
      </c>
      <c r="D27" s="13" t="inlineStr">
        <is>
          <t>SWC-01A (1 nos) 1st to 2nd - links</t>
        </is>
      </c>
      <c r="E27" s="19" t="inlineStr">
        <is>
          <t>1001</t>
        </is>
      </c>
      <c r="F27" s="19" t="n">
        <v>10</v>
      </c>
      <c r="G27" s="19" t="n">
        <v>1</v>
      </c>
      <c r="H27" s="19" t="n">
        <v>32</v>
      </c>
      <c r="I27" s="13">
        <f>G27*H27</f>
        <v>32.0</v>
      </c>
      <c r="J27" s="20">
        <f>5930/1000</f>
        <v>5.93</v>
      </c>
      <c r="K27" s="21">
        <f>I27*J27</f>
        <v>189.76</v>
      </c>
      <c r="L27" s="22">
        <f>F27^2/162</f>
        <v>0.6172839506172839</v>
      </c>
      <c r="M27" s="21">
        <f>K27*L27</f>
        <v>117.1358024691358</v>
      </c>
      <c r="N27" s="22">
        <f>M27/1000</f>
        <v>0.1171358024691358</v>
      </c>
      <c r="O27" s="13" t="inlineStr">
        <is>
          <t>Elevation + BBS length</t>
        </is>
      </c>
    </row>
    <row r="28">
      <c r="A28" s="13" t="n">
        <v>23</v>
      </c>
      <c r="B28" s="13" t="inlineStr">
        <is>
          <t>Columns</t>
        </is>
      </c>
      <c r="C28" s="13" t="inlineStr">
        <is>
          <t>STR-012</t>
        </is>
      </c>
      <c r="D28" s="13" t="inlineStr">
        <is>
          <t>SWC-01A (1 nos) 1st to 2nd - links</t>
        </is>
      </c>
      <c r="E28" s="19" t="inlineStr">
        <is>
          <t>1002</t>
        </is>
      </c>
      <c r="F28" s="19" t="n">
        <v>10</v>
      </c>
      <c r="G28" s="19" t="n">
        <v>1</v>
      </c>
      <c r="H28" s="19" t="n">
        <v>32</v>
      </c>
      <c r="I28" s="13">
        <f>G28*H28</f>
        <v>32.0</v>
      </c>
      <c r="J28" s="20">
        <f>2480/1000</f>
        <v>2.48</v>
      </c>
      <c r="K28" s="21">
        <f>I28*J28</f>
        <v>79.36</v>
      </c>
      <c r="L28" s="22">
        <f>F28^2/162</f>
        <v>0.6172839506172839</v>
      </c>
      <c r="M28" s="21">
        <f>K28*L28</f>
        <v>48.98765432098765</v>
      </c>
      <c r="N28" s="22">
        <f>M28/1000</f>
        <v>0.04898765432098765</v>
      </c>
      <c r="O28" s="13" t="inlineStr">
        <is>
          <t>Elevation + BBS length</t>
        </is>
      </c>
    </row>
    <row r="29">
      <c r="A29" s="13" t="n">
        <v>24</v>
      </c>
      <c r="B29" s="13" t="inlineStr">
        <is>
          <t>Columns</t>
        </is>
      </c>
      <c r="C29" s="13" t="inlineStr">
        <is>
          <t>STR-012</t>
        </is>
      </c>
      <c r="D29" s="13" t="inlineStr">
        <is>
          <t>SWC-01A (1 nos) 1st to 2nd - links</t>
        </is>
      </c>
      <c r="E29" s="19" t="inlineStr">
        <is>
          <t>1003</t>
        </is>
      </c>
      <c r="F29" s="19" t="n">
        <v>10</v>
      </c>
      <c r="G29" s="19" t="n">
        <v>1</v>
      </c>
      <c r="H29" s="19">
        <f>7*32</f>
        <v>224.0</v>
      </c>
      <c r="I29" s="13">
        <f>G29*H29</f>
        <v>224.0</v>
      </c>
      <c r="J29" s="20">
        <f>910/1000</f>
        <v>0.91</v>
      </c>
      <c r="K29" s="21">
        <f>I29*J29</f>
        <v>203.84</v>
      </c>
      <c r="L29" s="22">
        <f>F29^2/162</f>
        <v>0.6172839506172839</v>
      </c>
      <c r="M29" s="21">
        <f>K29*L29</f>
        <v>125.82716049382715</v>
      </c>
      <c r="N29" s="22">
        <f>M29/1000</f>
        <v>0.12582716049382714</v>
      </c>
      <c r="O29" s="13" t="inlineStr">
        <is>
          <t>Elevation + BBS length</t>
        </is>
      </c>
    </row>
    <row r="30">
      <c r="A30" s="13" t="n">
        <v>25</v>
      </c>
      <c r="B30" s="13" t="inlineStr">
        <is>
          <t>Columns</t>
        </is>
      </c>
      <c r="C30" s="13" t="inlineStr">
        <is>
          <t>STR-012</t>
        </is>
      </c>
      <c r="D30" s="13" t="inlineStr">
        <is>
          <t>SWC-01A (1 nos) 1st to 2nd - links</t>
        </is>
      </c>
      <c r="E30" s="19" t="inlineStr">
        <is>
          <t>1004</t>
        </is>
      </c>
      <c r="F30" s="19" t="n">
        <v>10</v>
      </c>
      <c r="G30" s="19" t="n">
        <v>1</v>
      </c>
      <c r="H30" s="19">
        <f>4*32</f>
        <v>128.0</v>
      </c>
      <c r="I30" s="13">
        <f>G30*H30</f>
        <v>128.0</v>
      </c>
      <c r="J30" s="20">
        <f>770/1000</f>
        <v>0.77</v>
      </c>
      <c r="K30" s="21">
        <f>I30*J30</f>
        <v>98.56</v>
      </c>
      <c r="L30" s="22">
        <f>F30^2/162</f>
        <v>0.6172839506172839</v>
      </c>
      <c r="M30" s="21">
        <f>K30*L30</f>
        <v>60.839506172839506</v>
      </c>
      <c r="N30" s="22">
        <f>M30/1000</f>
        <v>0.06083950617283951</v>
      </c>
      <c r="O30" s="13" t="inlineStr">
        <is>
          <t>Elevation + BBS length</t>
        </is>
      </c>
    </row>
    <row r="31">
      <c r="A31" s="13" t="n">
        <v>26</v>
      </c>
      <c r="B31" s="13" t="inlineStr">
        <is>
          <t>Columns</t>
        </is>
      </c>
      <c r="C31" s="13" t="inlineStr">
        <is>
          <t>STR-012</t>
        </is>
      </c>
      <c r="D31" s="13" t="inlineStr">
        <is>
          <t>SWC-01A (1 nos) 1st to 2nd - main bars</t>
        </is>
      </c>
      <c r="E31" s="19" t="inlineStr">
        <is>
          <t>2004</t>
        </is>
      </c>
      <c r="F31" s="19" t="n">
        <v>20</v>
      </c>
      <c r="G31" s="19" t="n">
        <v>1</v>
      </c>
      <c r="H31" s="19" t="n">
        <v>48</v>
      </c>
      <c r="I31" s="13">
        <f>G31*H31</f>
        <v>48.0</v>
      </c>
      <c r="J31" s="20">
        <f>3900/1000</f>
        <v>3.9</v>
      </c>
      <c r="K31" s="21">
        <f>I31*J31</f>
        <v>187.2</v>
      </c>
      <c r="L31" s="22">
        <f>F31^2/162</f>
        <v>2.4691358024691357</v>
      </c>
      <c r="M31" s="21">
        <f>K31*L31</f>
        <v>462.2222222222222</v>
      </c>
      <c r="N31" s="22">
        <f>M31/1000</f>
        <v>0.46222222222222215</v>
      </c>
      <c r="O31" s="13" t="inlineStr">
        <is>
          <t>Elevation + BBS length</t>
        </is>
      </c>
    </row>
    <row r="32">
      <c r="A32" s="13" t="n">
        <v>27</v>
      </c>
      <c r="B32" s="13" t="inlineStr">
        <is>
          <t>Shear Walls</t>
        </is>
      </c>
      <c r="C32" s="13" t="inlineStr">
        <is>
          <t>STR-015/016</t>
        </is>
      </c>
      <c r="D32" s="13" t="inlineStr">
        <is>
          <t>Main core CW-01 (L=3600mm) 1st to 2nd - horizontal Y12@150 NF/FF</t>
        </is>
      </c>
      <c r="E32" s="19" t="inlineStr">
        <is>
          <t>H-Y12</t>
        </is>
      </c>
      <c r="F32" s="19" t="n">
        <v>12</v>
      </c>
      <c r="G32" s="19" t="n">
        <v>1</v>
      </c>
      <c r="H32" s="19">
        <f>2*16</f>
        <v>32.0</v>
      </c>
      <c r="I32" s="13">
        <f>G32*H32</f>
        <v>32.0</v>
      </c>
      <c r="J32" s="20">
        <f>(3600-2*30+40*12)/1000</f>
        <v>4.02</v>
      </c>
      <c r="K32" s="21">
        <f>I32*J32</f>
        <v>128.64</v>
      </c>
      <c r="L32" s="22">
        <f>F32^2/162</f>
        <v>0.8888888888888888</v>
      </c>
      <c r="M32" s="21">
        <f>K32*L32</f>
        <v>114.34666666666665</v>
      </c>
      <c r="N32" s="22">
        <f>M32/1000</f>
        <v>0.11434666666666665</v>
      </c>
      <c r="O32" s="13" t="inlineStr">
        <is>
          <t>Elevation count / plan length</t>
        </is>
      </c>
    </row>
    <row r="33">
      <c r="A33" s="13" t="n">
        <v>28</v>
      </c>
      <c r="B33" s="13" t="inlineStr">
        <is>
          <t>Shear Walls</t>
        </is>
      </c>
      <c r="C33" s="13" t="inlineStr">
        <is>
          <t>STR-015/016</t>
        </is>
      </c>
      <c r="D33" s="13" t="inlineStr">
        <is>
          <t>Main core CW-01 1st to 2nd - vertical Y25@150 NF/FF</t>
        </is>
      </c>
      <c r="E33" s="19" t="inlineStr">
        <is>
          <t>V-Y25</t>
        </is>
      </c>
      <c r="F33" s="19" t="n">
        <v>25</v>
      </c>
      <c r="G33" s="19" t="n">
        <v>1</v>
      </c>
      <c r="H33" s="19">
        <f>2*29</f>
        <v>58.0</v>
      </c>
      <c r="I33" s="13">
        <f>G33*H33</f>
        <v>58.0</v>
      </c>
      <c r="J33" s="20">
        <f>(2700+40*25)/1000</f>
        <v>3.7</v>
      </c>
      <c r="K33" s="21">
        <f>I33*J33</f>
        <v>214.60000000000002</v>
      </c>
      <c r="L33" s="22">
        <f>F33^2/162</f>
        <v>3.8580246913580245</v>
      </c>
      <c r="M33" s="21">
        <f>K33*L33</f>
        <v>827.9320987654321</v>
      </c>
      <c r="N33" s="22">
        <f>M33/1000</f>
        <v>0.8279320987654321</v>
      </c>
      <c r="O33" s="13" t="inlineStr">
        <is>
          <t>Elevation / plan</t>
        </is>
      </c>
    </row>
    <row r="34">
      <c r="A34" s="13" t="n">
        <v>29</v>
      </c>
      <c r="B34" s="13" t="inlineStr">
        <is>
          <t>Shear Walls</t>
        </is>
      </c>
      <c r="C34" s="13" t="inlineStr">
        <is>
          <t>STR-015/016</t>
        </is>
      </c>
      <c r="D34" s="13" t="inlineStr">
        <is>
          <t>Main core CW-05 (L=7250mm) 1st to 2nd - horizontal Y12@150 NF/FF</t>
        </is>
      </c>
      <c r="E34" s="19" t="inlineStr">
        <is>
          <t>H-Y12</t>
        </is>
      </c>
      <c r="F34" s="19" t="n">
        <v>12</v>
      </c>
      <c r="G34" s="19" t="n">
        <v>1</v>
      </c>
      <c r="H34" s="19">
        <f>2*16</f>
        <v>32.0</v>
      </c>
      <c r="I34" s="13">
        <f>G34*H34</f>
        <v>32.0</v>
      </c>
      <c r="J34" s="20">
        <f>(7250-2*30+40*12)/1000</f>
        <v>7.67</v>
      </c>
      <c r="K34" s="21">
        <f>I34*J34</f>
        <v>245.44</v>
      </c>
      <c r="L34" s="22">
        <f>F34^2/162</f>
        <v>0.8888888888888888</v>
      </c>
      <c r="M34" s="21">
        <f>K34*L34</f>
        <v>218.1688888888889</v>
      </c>
      <c r="N34" s="22">
        <f>M34/1000</f>
        <v>0.21816888888888888</v>
      </c>
      <c r="O34" s="13" t="inlineStr">
        <is>
          <t>Elevation count / plan length</t>
        </is>
      </c>
    </row>
    <row r="35">
      <c r="A35" s="13" t="n">
        <v>30</v>
      </c>
      <c r="B35" s="13" t="inlineStr">
        <is>
          <t>Shear Walls</t>
        </is>
      </c>
      <c r="C35" s="13" t="inlineStr">
        <is>
          <t>STR-015/016</t>
        </is>
      </c>
      <c r="D35" s="13" t="inlineStr">
        <is>
          <t>Main core CW-05 1st to 2nd - vertical Y25@150 NF/FF</t>
        </is>
      </c>
      <c r="E35" s="19" t="inlineStr">
        <is>
          <t>V-Y25</t>
        </is>
      </c>
      <c r="F35" s="19" t="n">
        <v>25</v>
      </c>
      <c r="G35" s="19" t="n">
        <v>1</v>
      </c>
      <c r="H35" s="19">
        <f>2*(ROUNDUP(7250/150,0)+1)</f>
        <v>100.0</v>
      </c>
      <c r="I35" s="13">
        <f>G35*H35</f>
        <v>100.0</v>
      </c>
      <c r="J35" s="20">
        <f>(2700+40*25)/1000</f>
        <v>3.7</v>
      </c>
      <c r="K35" s="21">
        <f>I35*J35</f>
        <v>370.0</v>
      </c>
      <c r="L35" s="22">
        <f>F35^2/162</f>
        <v>3.8580246913580245</v>
      </c>
      <c r="M35" s="21">
        <f>K35*L35</f>
        <v>1427.469135802469</v>
      </c>
      <c r="N35" s="22">
        <f>M35/1000</f>
        <v>1.4274691358024691</v>
      </c>
      <c r="O35" s="13" t="inlineStr">
        <is>
          <t>Elevation / plan</t>
        </is>
      </c>
    </row>
    <row r="36">
      <c r="A36" s="13" t="n">
        <v>31</v>
      </c>
      <c r="B36" s="13" t="inlineStr">
        <is>
          <t>Shear Walls</t>
        </is>
      </c>
      <c r="C36" s="13" t="inlineStr">
        <is>
          <t>STR-015/016</t>
        </is>
      </c>
      <c r="D36" s="13" t="inlineStr">
        <is>
          <t>Main core CW-07 (stair section) (L=7250mm) 1st to 2nd - horizontal Y12@150 NF/FF</t>
        </is>
      </c>
      <c r="E36" s="19" t="inlineStr">
        <is>
          <t>H-Y12</t>
        </is>
      </c>
      <c r="F36" s="19" t="n">
        <v>12</v>
      </c>
      <c r="G36" s="19" t="n">
        <v>1</v>
      </c>
      <c r="H36" s="19">
        <f>2*16</f>
        <v>32.0</v>
      </c>
      <c r="I36" s="13">
        <f>G36*H36</f>
        <v>32.0</v>
      </c>
      <c r="J36" s="20">
        <f>(7250-2*30+40*12)/1000</f>
        <v>7.67</v>
      </c>
      <c r="K36" s="21">
        <f>I36*J36</f>
        <v>245.44</v>
      </c>
      <c r="L36" s="22">
        <f>F36^2/162</f>
        <v>0.8888888888888888</v>
      </c>
      <c r="M36" s="21">
        <f>K36*L36</f>
        <v>218.1688888888889</v>
      </c>
      <c r="N36" s="22">
        <f>M36/1000</f>
        <v>0.21816888888888888</v>
      </c>
      <c r="O36" s="13" t="inlineStr">
        <is>
          <t>Elevation count / plan length</t>
        </is>
      </c>
    </row>
    <row r="37">
      <c r="A37" s="13" t="n">
        <v>32</v>
      </c>
      <c r="B37" s="13" t="inlineStr">
        <is>
          <t>Shear Walls</t>
        </is>
      </c>
      <c r="C37" s="13" t="inlineStr">
        <is>
          <t>STR-015/016</t>
        </is>
      </c>
      <c r="D37" s="13" t="inlineStr">
        <is>
          <t>Main core CW-07 (stair section) 1st to 2nd - vertical Y25@150 NF/FF</t>
        </is>
      </c>
      <c r="E37" s="19" t="inlineStr">
        <is>
          <t>V-Y25</t>
        </is>
      </c>
      <c r="F37" s="19" t="n">
        <v>25</v>
      </c>
      <c r="G37" s="19" t="n">
        <v>1</v>
      </c>
      <c r="H37" s="19">
        <f>2*(ROUNDUP(7250/150,0)+1)</f>
        <v>100.0</v>
      </c>
      <c r="I37" s="13">
        <f>G37*H37</f>
        <v>100.0</v>
      </c>
      <c r="J37" s="20">
        <f>(2700+40*25)/1000</f>
        <v>3.7</v>
      </c>
      <c r="K37" s="21">
        <f>I37*J37</f>
        <v>370.0</v>
      </c>
      <c r="L37" s="22">
        <f>F37^2/162</f>
        <v>3.8580246913580245</v>
      </c>
      <c r="M37" s="21">
        <f>K37*L37</f>
        <v>1427.469135802469</v>
      </c>
      <c r="N37" s="22">
        <f>M37/1000</f>
        <v>1.4274691358024691</v>
      </c>
      <c r="O37" s="13" t="inlineStr">
        <is>
          <t>Elevation / plan</t>
        </is>
      </c>
    </row>
    <row r="38">
      <c r="A38" s="13" t="n">
        <v>33</v>
      </c>
      <c r="B38" s="13" t="inlineStr">
        <is>
          <t>Shear Walls</t>
        </is>
      </c>
      <c r="C38" s="13" t="inlineStr">
        <is>
          <t>STR-015/016</t>
        </is>
      </c>
      <c r="D38" s="13" t="inlineStr">
        <is>
          <t>Main core CW-09 (L=1150mm) 1st to 2nd - horizontal Y12@150 NF/FF</t>
        </is>
      </c>
      <c r="E38" s="19" t="inlineStr">
        <is>
          <t>H-Y12</t>
        </is>
      </c>
      <c r="F38" s="19" t="n">
        <v>12</v>
      </c>
      <c r="G38" s="19" t="n">
        <v>1</v>
      </c>
      <c r="H38" s="19">
        <f>2*16</f>
        <v>32.0</v>
      </c>
      <c r="I38" s="13">
        <f>G38*H38</f>
        <v>32.0</v>
      </c>
      <c r="J38" s="20">
        <f>(1150-2*30+40*12)/1000</f>
        <v>1.57</v>
      </c>
      <c r="K38" s="21">
        <f>I38*J38</f>
        <v>50.24</v>
      </c>
      <c r="L38" s="22">
        <f>F38^2/162</f>
        <v>0.8888888888888888</v>
      </c>
      <c r="M38" s="21">
        <f>K38*L38</f>
        <v>44.657777777777774</v>
      </c>
      <c r="N38" s="22">
        <f>M38/1000</f>
        <v>0.044657777777777775</v>
      </c>
      <c r="O38" s="13" t="inlineStr">
        <is>
          <t>Elevation count / plan length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STR-015/016</t>
        </is>
      </c>
      <c r="D39" s="13" t="inlineStr">
        <is>
          <t>Main core CW-09 1st to 2nd - vertical Y25@150 NF/FF</t>
        </is>
      </c>
      <c r="E39" s="19" t="inlineStr">
        <is>
          <t>V-Y25</t>
        </is>
      </c>
      <c r="F39" s="19" t="n">
        <v>25</v>
      </c>
      <c r="G39" s="19" t="n">
        <v>1</v>
      </c>
      <c r="H39" s="19">
        <f>2*(ROUNDUP(1150/150,0)+1)</f>
        <v>18.0</v>
      </c>
      <c r="I39" s="13">
        <f>G39*H39</f>
        <v>18.0</v>
      </c>
      <c r="J39" s="20">
        <f>(2700+40*25)/1000</f>
        <v>3.7</v>
      </c>
      <c r="K39" s="21">
        <f>I39*J39</f>
        <v>66.60000000000001</v>
      </c>
      <c r="L39" s="22">
        <f>F39^2/162</f>
        <v>3.8580246913580245</v>
      </c>
      <c r="M39" s="21">
        <f>K39*L39</f>
        <v>256.94444444444446</v>
      </c>
      <c r="N39" s="22">
        <f>M39/1000</f>
        <v>0.2569444444444445</v>
      </c>
      <c r="O39" s="13" t="inlineStr">
        <is>
          <t>Elevation / plan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STR-015/016</t>
        </is>
      </c>
      <c r="D40" s="13" t="inlineStr">
        <is>
          <t>Main core CW-10 (L=1150mm) 1st to 2nd - horizontal Y12@150 NF/FF</t>
        </is>
      </c>
      <c r="E40" s="19" t="inlineStr">
        <is>
          <t>H-Y12</t>
        </is>
      </c>
      <c r="F40" s="19" t="n">
        <v>12</v>
      </c>
      <c r="G40" s="19" t="n">
        <v>1</v>
      </c>
      <c r="H40" s="19">
        <f>2*16</f>
        <v>32.0</v>
      </c>
      <c r="I40" s="13">
        <f>G40*H40</f>
        <v>32.0</v>
      </c>
      <c r="J40" s="20">
        <f>(1150-2*30+40*12)/1000</f>
        <v>1.57</v>
      </c>
      <c r="K40" s="21">
        <f>I40*J40</f>
        <v>50.24</v>
      </c>
      <c r="L40" s="22">
        <f>F40^2/162</f>
        <v>0.8888888888888888</v>
      </c>
      <c r="M40" s="21">
        <f>K40*L40</f>
        <v>44.657777777777774</v>
      </c>
      <c r="N40" s="22">
        <f>M40/1000</f>
        <v>0.044657777777777775</v>
      </c>
      <c r="O40" s="13" t="inlineStr">
        <is>
          <t>Elevation count / plan length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STR-015/016</t>
        </is>
      </c>
      <c r="D41" s="13" t="inlineStr">
        <is>
          <t>Main core CW-10 1st to 2nd - vertical Y25@150 NF/FF</t>
        </is>
      </c>
      <c r="E41" s="19" t="inlineStr">
        <is>
          <t>V-Y25</t>
        </is>
      </c>
      <c r="F41" s="19" t="n">
        <v>25</v>
      </c>
      <c r="G41" s="19" t="n">
        <v>1</v>
      </c>
      <c r="H41" s="19">
        <f>2*(ROUNDUP(1150/150,0)+1)</f>
        <v>18.0</v>
      </c>
      <c r="I41" s="13">
        <f>G41*H41</f>
        <v>18.0</v>
      </c>
      <c r="J41" s="20">
        <f>(2700+40*25)/1000</f>
        <v>3.7</v>
      </c>
      <c r="K41" s="21">
        <f>I41*J41</f>
        <v>66.60000000000001</v>
      </c>
      <c r="L41" s="22">
        <f>F41^2/162</f>
        <v>3.8580246913580245</v>
      </c>
      <c r="M41" s="21">
        <f>K41*L41</f>
        <v>256.94444444444446</v>
      </c>
      <c r="N41" s="22">
        <f>M41/1000</f>
        <v>0.2569444444444445</v>
      </c>
      <c r="O41" s="13" t="inlineStr">
        <is>
          <t>Elevation / plan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STR-015/016</t>
        </is>
      </c>
      <c r="D42" s="13" t="inlineStr">
        <is>
          <t>Main core CW-11 (L=1650mm) 1st to 2nd - horizontal Y12@150 NF/FF</t>
        </is>
      </c>
      <c r="E42" s="19" t="inlineStr">
        <is>
          <t>H-Y12</t>
        </is>
      </c>
      <c r="F42" s="19" t="n">
        <v>12</v>
      </c>
      <c r="G42" s="19" t="n">
        <v>1</v>
      </c>
      <c r="H42" s="19">
        <f>2*16</f>
        <v>32.0</v>
      </c>
      <c r="I42" s="13">
        <f>G42*H42</f>
        <v>32.0</v>
      </c>
      <c r="J42" s="20">
        <f>(1650-2*30+40*12)/1000</f>
        <v>2.07</v>
      </c>
      <c r="K42" s="21">
        <f>I42*J42</f>
        <v>66.24</v>
      </c>
      <c r="L42" s="22">
        <f>F42^2/162</f>
        <v>0.8888888888888888</v>
      </c>
      <c r="M42" s="21">
        <f>K42*L42</f>
        <v>58.879999999999995</v>
      </c>
      <c r="N42" s="22">
        <f>M42/1000</f>
        <v>0.058879999999999995</v>
      </c>
      <c r="O42" s="13" t="inlineStr">
        <is>
          <t>Elevation count / plan length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STR-015/016</t>
        </is>
      </c>
      <c r="D43" s="13" t="inlineStr">
        <is>
          <t>Main core CW-11 1st to 2nd - vertical Y25@150 NF/FF</t>
        </is>
      </c>
      <c r="E43" s="19" t="inlineStr">
        <is>
          <t>V-Y25</t>
        </is>
      </c>
      <c r="F43" s="19" t="n">
        <v>25</v>
      </c>
      <c r="G43" s="19" t="n">
        <v>1</v>
      </c>
      <c r="H43" s="19">
        <f>2*(ROUNDUP(1650/150,0)+1)</f>
        <v>24.0</v>
      </c>
      <c r="I43" s="13">
        <f>G43*H43</f>
        <v>24.0</v>
      </c>
      <c r="J43" s="20">
        <f>(2700+40*25)/1000</f>
        <v>3.7</v>
      </c>
      <c r="K43" s="21">
        <f>I43*J43</f>
        <v>88.80000000000001</v>
      </c>
      <c r="L43" s="22">
        <f>F43^2/162</f>
        <v>3.8580246913580245</v>
      </c>
      <c r="M43" s="21">
        <f>K43*L43</f>
        <v>342.5925925925926</v>
      </c>
      <c r="N43" s="22">
        <f>M43/1000</f>
        <v>0.3425925925925926</v>
      </c>
      <c r="O43" s="13" t="inlineStr">
        <is>
          <t>Elevation / plan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STR-015/016</t>
        </is>
      </c>
      <c r="D44" s="13" t="inlineStr">
        <is>
          <t>Main core confinement links Y10@150 (26 positions on plan) 1st to 2nd</t>
        </is>
      </c>
      <c r="E44" s="19" t="inlineStr">
        <is>
          <t>LNK-Y10</t>
        </is>
      </c>
      <c r="F44" s="19" t="n">
        <v>10</v>
      </c>
      <c r="G44" s="19" t="n">
        <v>1</v>
      </c>
      <c r="H44" s="19">
        <f>26*ROUNDUP(2700/150,0)</f>
        <v>468.0</v>
      </c>
      <c r="I44" s="13">
        <f>G44*H44</f>
        <v>468.0</v>
      </c>
      <c r="J44" s="20">
        <f>1800/1000</f>
        <v>1.8</v>
      </c>
      <c r="K44" s="21">
        <f>I44*J44</f>
        <v>842.4</v>
      </c>
      <c r="L44" s="22">
        <f>F44^2/162</f>
        <v>0.6172839506172839</v>
      </c>
      <c r="M44" s="21">
        <f>K44*L44</f>
        <v>520.0</v>
      </c>
      <c r="N44" s="22">
        <f>M44/1000</f>
        <v>0.52</v>
      </c>
      <c r="O44" s="13" t="inlineStr">
        <is>
          <t>Assumed link cut length</t>
        </is>
      </c>
    </row>
    <row r="45">
      <c r="A45" s="13" t="n">
        <v>40</v>
      </c>
      <c r="B45" s="13" t="inlineStr">
        <is>
          <t>Lift Walls</t>
        </is>
      </c>
      <c r="C45" s="13" t="inlineStr">
        <is>
          <t>STR-015/017</t>
        </is>
      </c>
      <c r="D45" s="13" t="inlineStr">
        <is>
          <t>Main core (lift shafts) CW-02 (L=3600mm) 1st to 2nd - horizontal Y12@150 NF/FF</t>
        </is>
      </c>
      <c r="E45" s="19" t="inlineStr">
        <is>
          <t>H-Y12</t>
        </is>
      </c>
      <c r="F45" s="19" t="n">
        <v>12</v>
      </c>
      <c r="G45" s="19" t="n">
        <v>1</v>
      </c>
      <c r="H45" s="19">
        <f>2*16</f>
        <v>32.0</v>
      </c>
      <c r="I45" s="13">
        <f>G45*H45</f>
        <v>32.0</v>
      </c>
      <c r="J45" s="20">
        <f>(3600-2*30+40*12)/1000</f>
        <v>4.02</v>
      </c>
      <c r="K45" s="21">
        <f>I45*J45</f>
        <v>128.64</v>
      </c>
      <c r="L45" s="22">
        <f>F45^2/162</f>
        <v>0.8888888888888888</v>
      </c>
      <c r="M45" s="21">
        <f>K45*L45</f>
        <v>114.34666666666665</v>
      </c>
      <c r="N45" s="22">
        <f>M45/1000</f>
        <v>0.11434666666666665</v>
      </c>
      <c r="O45" s="13" t="inlineStr">
        <is>
          <t>Elevation count / plan length</t>
        </is>
      </c>
    </row>
    <row r="46">
      <c r="A46" s="13" t="n">
        <v>41</v>
      </c>
      <c r="B46" s="13" t="inlineStr">
        <is>
          <t>Lift Walls</t>
        </is>
      </c>
      <c r="C46" s="13" t="inlineStr">
        <is>
          <t>STR-015/017</t>
        </is>
      </c>
      <c r="D46" s="13" t="inlineStr">
        <is>
          <t>Main core (lift shafts) CW-02 1st to 2nd - vertical Y25@150 NF/FF</t>
        </is>
      </c>
      <c r="E46" s="19" t="inlineStr">
        <is>
          <t>V-Y25</t>
        </is>
      </c>
      <c r="F46" s="19" t="n">
        <v>25</v>
      </c>
      <c r="G46" s="19" t="n">
        <v>1</v>
      </c>
      <c r="H46" s="19">
        <f>2*29</f>
        <v>58.0</v>
      </c>
      <c r="I46" s="13">
        <f>G46*H46</f>
        <v>58.0</v>
      </c>
      <c r="J46" s="20">
        <f>(2700+40*25)/1000</f>
        <v>3.7</v>
      </c>
      <c r="K46" s="21">
        <f>I46*J46</f>
        <v>214.60000000000002</v>
      </c>
      <c r="L46" s="22">
        <f>F46^2/162</f>
        <v>3.8580246913580245</v>
      </c>
      <c r="M46" s="21">
        <f>K46*L46</f>
        <v>827.9320987654321</v>
      </c>
      <c r="N46" s="22">
        <f>M46/1000</f>
        <v>0.8279320987654321</v>
      </c>
      <c r="O46" s="13" t="inlineStr">
        <is>
          <t>Elevation / plan</t>
        </is>
      </c>
    </row>
    <row r="47">
      <c r="A47" s="13" t="n">
        <v>42</v>
      </c>
      <c r="B47" s="13" t="inlineStr">
        <is>
          <t>Lift Walls</t>
        </is>
      </c>
      <c r="C47" s="13" t="inlineStr">
        <is>
          <t>STR-015/017</t>
        </is>
      </c>
      <c r="D47" s="13" t="inlineStr">
        <is>
          <t>Main core (lift shafts) CW-03 (L=3600mm) 1st to 2nd - horizontal Y12@150 NF/FF</t>
        </is>
      </c>
      <c r="E47" s="19" t="inlineStr">
        <is>
          <t>H-Y12</t>
        </is>
      </c>
      <c r="F47" s="19" t="n">
        <v>12</v>
      </c>
      <c r="G47" s="19" t="n">
        <v>1</v>
      </c>
      <c r="H47" s="19">
        <f>2*16</f>
        <v>32.0</v>
      </c>
      <c r="I47" s="13">
        <f>G47*H47</f>
        <v>32.0</v>
      </c>
      <c r="J47" s="20">
        <f>(3600-2*30+40*12)/1000</f>
        <v>4.02</v>
      </c>
      <c r="K47" s="21">
        <f>I47*J47</f>
        <v>128.64</v>
      </c>
      <c r="L47" s="22">
        <f>F47^2/162</f>
        <v>0.8888888888888888</v>
      </c>
      <c r="M47" s="21">
        <f>K47*L47</f>
        <v>114.34666666666665</v>
      </c>
      <c r="N47" s="22">
        <f>M47/1000</f>
        <v>0.11434666666666665</v>
      </c>
      <c r="O47" s="13" t="inlineStr">
        <is>
          <t>Elevation count / plan length</t>
        </is>
      </c>
    </row>
    <row r="48">
      <c r="A48" s="13" t="n">
        <v>43</v>
      </c>
      <c r="B48" s="13" t="inlineStr">
        <is>
          <t>Lift Walls</t>
        </is>
      </c>
      <c r="C48" s="13" t="inlineStr">
        <is>
          <t>STR-015/017</t>
        </is>
      </c>
      <c r="D48" s="13" t="inlineStr">
        <is>
          <t>Main core (lift shafts) CW-03 1st to 2nd - vertical Y25@150 NF/FF</t>
        </is>
      </c>
      <c r="E48" s="19" t="inlineStr">
        <is>
          <t>V-Y25</t>
        </is>
      </c>
      <c r="F48" s="19" t="n">
        <v>25</v>
      </c>
      <c r="G48" s="19" t="n">
        <v>1</v>
      </c>
      <c r="H48" s="19">
        <f>2*29</f>
        <v>58.0</v>
      </c>
      <c r="I48" s="13">
        <f>G48*H48</f>
        <v>58.0</v>
      </c>
      <c r="J48" s="20">
        <f>(2700+40*25)/1000</f>
        <v>3.7</v>
      </c>
      <c r="K48" s="21">
        <f>I48*J48</f>
        <v>214.60000000000002</v>
      </c>
      <c r="L48" s="22">
        <f>F48^2/162</f>
        <v>3.8580246913580245</v>
      </c>
      <c r="M48" s="21">
        <f>K48*L48</f>
        <v>827.9320987654321</v>
      </c>
      <c r="N48" s="22">
        <f>M48/1000</f>
        <v>0.8279320987654321</v>
      </c>
      <c r="O48" s="13" t="inlineStr">
        <is>
          <t>Elevation / plan</t>
        </is>
      </c>
    </row>
    <row r="49">
      <c r="A49" s="13" t="n">
        <v>44</v>
      </c>
      <c r="B49" s="13" t="inlineStr">
        <is>
          <t>Lift Walls</t>
        </is>
      </c>
      <c r="C49" s="13" t="inlineStr">
        <is>
          <t>STR-015/017</t>
        </is>
      </c>
      <c r="D49" s="13" t="inlineStr">
        <is>
          <t>Main core (lift shafts) CW-04 (L=3600mm) 1st to 2nd - horizontal Y12@150 NF/FF</t>
        </is>
      </c>
      <c r="E49" s="19" t="inlineStr">
        <is>
          <t>H-Y12</t>
        </is>
      </c>
      <c r="F49" s="19" t="n">
        <v>12</v>
      </c>
      <c r="G49" s="19" t="n">
        <v>1</v>
      </c>
      <c r="H49" s="19">
        <f>2*16</f>
        <v>32.0</v>
      </c>
      <c r="I49" s="13">
        <f>G49*H49</f>
        <v>32.0</v>
      </c>
      <c r="J49" s="20">
        <f>(3600-2*30+40*12)/1000</f>
        <v>4.02</v>
      </c>
      <c r="K49" s="21">
        <f>I49*J49</f>
        <v>128.64</v>
      </c>
      <c r="L49" s="22">
        <f>F49^2/162</f>
        <v>0.8888888888888888</v>
      </c>
      <c r="M49" s="21">
        <f>K49*L49</f>
        <v>114.34666666666665</v>
      </c>
      <c r="N49" s="22">
        <f>M49/1000</f>
        <v>0.11434666666666665</v>
      </c>
      <c r="O49" s="13" t="inlineStr">
        <is>
          <t>Elevation count / plan length</t>
        </is>
      </c>
    </row>
    <row r="50">
      <c r="A50" s="13" t="n">
        <v>45</v>
      </c>
      <c r="B50" s="13" t="inlineStr">
        <is>
          <t>Lift Walls</t>
        </is>
      </c>
      <c r="C50" s="13" t="inlineStr">
        <is>
          <t>STR-015/017</t>
        </is>
      </c>
      <c r="D50" s="13" t="inlineStr">
        <is>
          <t>Main core (lift shafts) CW-04 1st to 2nd - vertical Y25@150 NF/FF</t>
        </is>
      </c>
      <c r="E50" s="19" t="inlineStr">
        <is>
          <t>V-Y25</t>
        </is>
      </c>
      <c r="F50" s="19" t="n">
        <v>25</v>
      </c>
      <c r="G50" s="19" t="n">
        <v>1</v>
      </c>
      <c r="H50" s="19">
        <f>2*29</f>
        <v>58.0</v>
      </c>
      <c r="I50" s="13">
        <f>G50*H50</f>
        <v>58.0</v>
      </c>
      <c r="J50" s="20">
        <f>(2700+40*25)/1000</f>
        <v>3.7</v>
      </c>
      <c r="K50" s="21">
        <f>I50*J50</f>
        <v>214.60000000000002</v>
      </c>
      <c r="L50" s="22">
        <f>F50^2/162</f>
        <v>3.8580246913580245</v>
      </c>
      <c r="M50" s="21">
        <f>K50*L50</f>
        <v>827.9320987654321</v>
      </c>
      <c r="N50" s="22">
        <f>M50/1000</f>
        <v>0.8279320987654321</v>
      </c>
      <c r="O50" s="13" t="inlineStr">
        <is>
          <t>Elevation / plan</t>
        </is>
      </c>
    </row>
    <row r="51">
      <c r="A51" s="13" t="n">
        <v>46</v>
      </c>
      <c r="B51" s="13" t="inlineStr">
        <is>
          <t>Lift Walls</t>
        </is>
      </c>
      <c r="C51" s="13" t="inlineStr">
        <is>
          <t>STR-015/017</t>
        </is>
      </c>
      <c r="D51" s="13" t="inlineStr">
        <is>
          <t>Main core (lift shafts) CW-06 (L=2025mm) 1st to 2nd - horizontal Y12@150 NF/FF</t>
        </is>
      </c>
      <c r="E51" s="19" t="inlineStr">
        <is>
          <t>H-Y12</t>
        </is>
      </c>
      <c r="F51" s="19" t="n">
        <v>12</v>
      </c>
      <c r="G51" s="19" t="n">
        <v>1</v>
      </c>
      <c r="H51" s="19">
        <f>2*16</f>
        <v>32.0</v>
      </c>
      <c r="I51" s="13">
        <f>G51*H51</f>
        <v>32.0</v>
      </c>
      <c r="J51" s="20">
        <f>(2025-2*30+40*12)/1000</f>
        <v>2.445</v>
      </c>
      <c r="K51" s="21">
        <f>I51*J51</f>
        <v>78.24</v>
      </c>
      <c r="L51" s="22">
        <f>F51^2/162</f>
        <v>0.8888888888888888</v>
      </c>
      <c r="M51" s="21">
        <f>K51*L51</f>
        <v>69.54666666666665</v>
      </c>
      <c r="N51" s="22">
        <f>M51/1000</f>
        <v>0.06954666666666666</v>
      </c>
      <c r="O51" s="13" t="inlineStr">
        <is>
          <t>Elevation count / plan length</t>
        </is>
      </c>
    </row>
    <row r="52">
      <c r="A52" s="13" t="n">
        <v>47</v>
      </c>
      <c r="B52" s="13" t="inlineStr">
        <is>
          <t>Lift Walls</t>
        </is>
      </c>
      <c r="C52" s="13" t="inlineStr">
        <is>
          <t>STR-015/017</t>
        </is>
      </c>
      <c r="D52" s="13" t="inlineStr">
        <is>
          <t>Main core (lift shafts) CW-06 1st to 2nd - vertical Y25@150 NF/FF</t>
        </is>
      </c>
      <c r="E52" s="19" t="inlineStr">
        <is>
          <t>V-Y25</t>
        </is>
      </c>
      <c r="F52" s="19" t="n">
        <v>25</v>
      </c>
      <c r="G52" s="19" t="n">
        <v>1</v>
      </c>
      <c r="H52" s="19">
        <f>2*(ROUNDUP(2025/150,0)+1)</f>
        <v>30.0</v>
      </c>
      <c r="I52" s="13">
        <f>G52*H52</f>
        <v>30.0</v>
      </c>
      <c r="J52" s="20">
        <f>(2700+40*25)/1000</f>
        <v>3.7</v>
      </c>
      <c r="K52" s="21">
        <f>I52*J52</f>
        <v>111.0</v>
      </c>
      <c r="L52" s="22">
        <f>F52^2/162</f>
        <v>3.8580246913580245</v>
      </c>
      <c r="M52" s="21">
        <f>K52*L52</f>
        <v>428.2407407407407</v>
      </c>
      <c r="N52" s="22">
        <f>M52/1000</f>
        <v>0.4282407407407407</v>
      </c>
      <c r="O52" s="13" t="inlineStr">
        <is>
          <t>Elevation / plan</t>
        </is>
      </c>
    </row>
    <row r="53">
      <c r="A53" s="13" t="n">
        <v>48</v>
      </c>
      <c r="B53" s="13" t="inlineStr">
        <is>
          <t>Lift Walls</t>
        </is>
      </c>
      <c r="C53" s="13" t="inlineStr">
        <is>
          <t>STR-015/017</t>
        </is>
      </c>
      <c r="D53" s="13" t="inlineStr">
        <is>
          <t>Main core (lift shafts) CW-08 (L=4500mm) 1st to 2nd - horizontal Y12@150 NF/FF</t>
        </is>
      </c>
      <c r="E53" s="19" t="inlineStr">
        <is>
          <t>H-Y12</t>
        </is>
      </c>
      <c r="F53" s="19" t="n">
        <v>12</v>
      </c>
      <c r="G53" s="19" t="n">
        <v>1</v>
      </c>
      <c r="H53" s="19">
        <f>2*16</f>
        <v>32.0</v>
      </c>
      <c r="I53" s="13">
        <f>G53*H53</f>
        <v>32.0</v>
      </c>
      <c r="J53" s="20">
        <f>(4500-2*30+40*12)/1000</f>
        <v>4.92</v>
      </c>
      <c r="K53" s="21">
        <f>I53*J53</f>
        <v>157.44</v>
      </c>
      <c r="L53" s="22">
        <f>F53^2/162</f>
        <v>0.8888888888888888</v>
      </c>
      <c r="M53" s="21">
        <f>K53*L53</f>
        <v>139.94666666666666</v>
      </c>
      <c r="N53" s="22">
        <f>M53/1000</f>
        <v>0.13994666666666666</v>
      </c>
      <c r="O53" s="13" t="inlineStr">
        <is>
          <t>Elevation count / plan length</t>
        </is>
      </c>
    </row>
    <row r="54">
      <c r="A54" s="13" t="n">
        <v>49</v>
      </c>
      <c r="B54" s="13" t="inlineStr">
        <is>
          <t>Lift Walls</t>
        </is>
      </c>
      <c r="C54" s="13" t="inlineStr">
        <is>
          <t>STR-015/017</t>
        </is>
      </c>
      <c r="D54" s="13" t="inlineStr">
        <is>
          <t>Main core (lift shafts) CW-08 1st to 2nd - vertical Y25@150 NF/FF</t>
        </is>
      </c>
      <c r="E54" s="19" t="inlineStr">
        <is>
          <t>V-Y25</t>
        </is>
      </c>
      <c r="F54" s="19" t="n">
        <v>25</v>
      </c>
      <c r="G54" s="19" t="n">
        <v>1</v>
      </c>
      <c r="H54" s="19">
        <f>2*(ROUNDUP(4500/150,0)+1)</f>
        <v>62.0</v>
      </c>
      <c r="I54" s="13">
        <f>G54*H54</f>
        <v>62.0</v>
      </c>
      <c r="J54" s="20">
        <f>(2700+40*25)/1000</f>
        <v>3.7</v>
      </c>
      <c r="K54" s="21">
        <f>I54*J54</f>
        <v>229.4</v>
      </c>
      <c r="L54" s="22">
        <f>F54^2/162</f>
        <v>3.8580246913580245</v>
      </c>
      <c r="M54" s="21">
        <f>K54*L54</f>
        <v>885.0308641975308</v>
      </c>
      <c r="N54" s="22">
        <f>M54/1000</f>
        <v>0.8850308641975309</v>
      </c>
      <c r="O54" s="13" t="inlineStr">
        <is>
          <t>Elevation / plan</t>
        </is>
      </c>
    </row>
    <row r="55">
      <c r="A55" s="13" t="n">
        <v>50</v>
      </c>
      <c r="B55" s="13" t="inlineStr">
        <is>
          <t>Lift Walls</t>
        </is>
      </c>
      <c r="C55" s="13" t="inlineStr">
        <is>
          <t>STR-015/017</t>
        </is>
      </c>
      <c r="D55" s="13" t="inlineStr">
        <is>
          <t>Main core (lift shafts) CW-07 (lift section) (L=4500mm) 1st to 2nd - horizontal Y12@150 NF/FF</t>
        </is>
      </c>
      <c r="E55" s="19" t="inlineStr">
        <is>
          <t>H-Y12</t>
        </is>
      </c>
      <c r="F55" s="19" t="n">
        <v>12</v>
      </c>
      <c r="G55" s="19" t="n">
        <v>1</v>
      </c>
      <c r="H55" s="19">
        <f>2*16</f>
        <v>32.0</v>
      </c>
      <c r="I55" s="13">
        <f>G55*H55</f>
        <v>32.0</v>
      </c>
      <c r="J55" s="20">
        <f>(4500-2*30+40*12)/1000</f>
        <v>4.92</v>
      </c>
      <c r="K55" s="21">
        <f>I55*J55</f>
        <v>157.44</v>
      </c>
      <c r="L55" s="22">
        <f>F55^2/162</f>
        <v>0.8888888888888888</v>
      </c>
      <c r="M55" s="21">
        <f>K55*L55</f>
        <v>139.94666666666666</v>
      </c>
      <c r="N55" s="22">
        <f>M55/1000</f>
        <v>0.13994666666666666</v>
      </c>
      <c r="O55" s="13" t="inlineStr">
        <is>
          <t>Elevation count / plan length</t>
        </is>
      </c>
    </row>
    <row r="56">
      <c r="A56" s="13" t="n">
        <v>51</v>
      </c>
      <c r="B56" s="13" t="inlineStr">
        <is>
          <t>Lift Walls</t>
        </is>
      </c>
      <c r="C56" s="13" t="inlineStr">
        <is>
          <t>STR-015/017</t>
        </is>
      </c>
      <c r="D56" s="13" t="inlineStr">
        <is>
          <t>Main core (lift shafts) CW-07 (lift section) 1st to 2nd - vertical Y25@150 NF/FF</t>
        </is>
      </c>
      <c r="E56" s="19" t="inlineStr">
        <is>
          <t>V-Y25</t>
        </is>
      </c>
      <c r="F56" s="19" t="n">
        <v>25</v>
      </c>
      <c r="G56" s="19" t="n">
        <v>1</v>
      </c>
      <c r="H56" s="19">
        <f>2*(ROUNDUP(4500/150,0)+1)</f>
        <v>62.0</v>
      </c>
      <c r="I56" s="13">
        <f>G56*H56</f>
        <v>62.0</v>
      </c>
      <c r="J56" s="20">
        <f>(2700+40*25)/1000</f>
        <v>3.7</v>
      </c>
      <c r="K56" s="21">
        <f>I56*J56</f>
        <v>229.4</v>
      </c>
      <c r="L56" s="22">
        <f>F56^2/162</f>
        <v>3.8580246913580245</v>
      </c>
      <c r="M56" s="21">
        <f>K56*L56</f>
        <v>885.0308641975308</v>
      </c>
      <c r="N56" s="22">
        <f>M56/1000</f>
        <v>0.8850308641975309</v>
      </c>
      <c r="O56" s="13" t="inlineStr">
        <is>
          <t>Elevation / plan</t>
        </is>
      </c>
    </row>
    <row r="57">
      <c r="A57" s="13" t="n">
        <v>52</v>
      </c>
      <c r="B57" s="13" t="inlineStr">
        <is>
          <t>Lift Walls</t>
        </is>
      </c>
      <c r="C57" s="13" t="inlineStr">
        <is>
          <t>STR-015/017</t>
        </is>
      </c>
      <c r="D57" s="13" t="inlineStr">
        <is>
          <t>Main core (lift shafts) confinement links Y10@150 (26 positions on plan) 1st to 2nd</t>
        </is>
      </c>
      <c r="E57" s="19" t="inlineStr">
        <is>
          <t>LNK-Y10</t>
        </is>
      </c>
      <c r="F57" s="19" t="n">
        <v>10</v>
      </c>
      <c r="G57" s="19" t="n">
        <v>1</v>
      </c>
      <c r="H57" s="19">
        <f>26*ROUNDUP(2700/150,0)</f>
        <v>468.0</v>
      </c>
      <c r="I57" s="13">
        <f>G57*H57</f>
        <v>468.0</v>
      </c>
      <c r="J57" s="20">
        <f>1800/1000</f>
        <v>1.8</v>
      </c>
      <c r="K57" s="21">
        <f>I57*J57</f>
        <v>842.4</v>
      </c>
      <c r="L57" s="22">
        <f>F57^2/162</f>
        <v>0.6172839506172839</v>
      </c>
      <c r="M57" s="21">
        <f>K57*L57</f>
        <v>520.0</v>
      </c>
      <c r="N57" s="22">
        <f>M57/1000</f>
        <v>0.52</v>
      </c>
      <c r="O57" s="13" t="inlineStr">
        <is>
          <t>Assumed link cut length</t>
        </is>
      </c>
    </row>
    <row r="58">
      <c r="A58" s="13" t="n">
        <v>53</v>
      </c>
      <c r="B58" s="13" t="inlineStr">
        <is>
          <t>Beams</t>
        </is>
      </c>
      <c r="C58" s="13" t="inlineStr">
        <is>
          <t>STR-048</t>
        </is>
      </c>
      <c r="D58" s="13" t="inlineStr">
        <is>
          <t>First floor beams</t>
        </is>
      </c>
      <c r="E58" s="19" t="inlineStr">
        <is>
          <t>1001</t>
        </is>
      </c>
      <c r="F58" s="19" t="n">
        <v>10</v>
      </c>
      <c r="G58" s="19" t="n">
        <v>1</v>
      </c>
      <c r="H58" s="19" t="n">
        <v>693</v>
      </c>
      <c r="I58" s="13">
        <f>G58*H58</f>
        <v>693.0</v>
      </c>
      <c r="J58" s="20">
        <f>1700/1000</f>
        <v>1.7</v>
      </c>
      <c r="K58" s="21">
        <f>I58*J58</f>
        <v>1178.1</v>
      </c>
      <c r="L58" s="22">
        <f>F58^2/162</f>
        <v>0.6172839506172839</v>
      </c>
      <c r="M58" s="21">
        <f>K58*L58</f>
        <v>727.2222222222222</v>
      </c>
      <c r="N58" s="22">
        <f>M58/1000</f>
        <v>0.7272222222222222</v>
      </c>
      <c r="O58" s="13" t="inlineStr">
        <is>
          <t>BBS</t>
        </is>
      </c>
    </row>
    <row r="59">
      <c r="A59" s="13" t="n">
        <v>54</v>
      </c>
      <c r="B59" s="13" t="inlineStr">
        <is>
          <t>Beams</t>
        </is>
      </c>
      <c r="C59" s="13" t="inlineStr">
        <is>
          <t>STR-048</t>
        </is>
      </c>
      <c r="D59" s="13" t="inlineStr">
        <is>
          <t>First floor beams</t>
        </is>
      </c>
      <c r="E59" s="19" t="inlineStr">
        <is>
          <t>1002</t>
        </is>
      </c>
      <c r="F59" s="19" t="n">
        <v>10</v>
      </c>
      <c r="G59" s="19" t="n">
        <v>1</v>
      </c>
      <c r="H59" s="19" t="n">
        <v>270</v>
      </c>
      <c r="I59" s="13">
        <f>G59*H59</f>
        <v>270.0</v>
      </c>
      <c r="J59" s="20">
        <f>1500/1000</f>
        <v>1.5</v>
      </c>
      <c r="K59" s="21">
        <f>I59*J59</f>
        <v>405.0</v>
      </c>
      <c r="L59" s="22">
        <f>F59^2/162</f>
        <v>0.6172839506172839</v>
      </c>
      <c r="M59" s="21">
        <f>K59*L59</f>
        <v>250.0</v>
      </c>
      <c r="N59" s="22">
        <f>M59/1000</f>
        <v>0.25</v>
      </c>
      <c r="O59" s="13" t="inlineStr">
        <is>
          <t>BBS</t>
        </is>
      </c>
    </row>
    <row r="60">
      <c r="A60" s="13" t="n">
        <v>55</v>
      </c>
      <c r="B60" s="13" t="inlineStr">
        <is>
          <t>Beams</t>
        </is>
      </c>
      <c r="C60" s="13" t="inlineStr">
        <is>
          <t>STR-048</t>
        </is>
      </c>
      <c r="D60" s="13" t="inlineStr">
        <is>
          <t>First floor beams</t>
        </is>
      </c>
      <c r="E60" s="19" t="inlineStr">
        <is>
          <t>1601</t>
        </is>
      </c>
      <c r="F60" s="19" t="n">
        <v>16</v>
      </c>
      <c r="G60" s="19" t="n">
        <v>1</v>
      </c>
      <c r="H60" s="19" t="n">
        <v>3</v>
      </c>
      <c r="I60" s="13">
        <f>G60*H60</f>
        <v>3.0</v>
      </c>
      <c r="J60" s="20">
        <f>9750/1000</f>
        <v>9.75</v>
      </c>
      <c r="K60" s="21">
        <f>I60*J60</f>
        <v>29.25</v>
      </c>
      <c r="L60" s="22">
        <f>F60^2/162</f>
        <v>1.5802469135802468</v>
      </c>
      <c r="M60" s="21">
        <f>K60*L60</f>
        <v>46.22222222222222</v>
      </c>
      <c r="N60" s="22">
        <f>M60/1000</f>
        <v>0.04622222222222222</v>
      </c>
      <c r="O60" s="13" t="inlineStr">
        <is>
          <t>BBS</t>
        </is>
      </c>
    </row>
    <row r="61">
      <c r="A61" s="13" t="n">
        <v>56</v>
      </c>
      <c r="B61" s="13" t="inlineStr">
        <is>
          <t>Beams</t>
        </is>
      </c>
      <c r="C61" s="13" t="inlineStr">
        <is>
          <t>STR-048</t>
        </is>
      </c>
      <c r="D61" s="13" t="inlineStr">
        <is>
          <t>First floor beams</t>
        </is>
      </c>
      <c r="E61" s="19" t="inlineStr">
        <is>
          <t>1602</t>
        </is>
      </c>
      <c r="F61" s="19" t="n">
        <v>16</v>
      </c>
      <c r="G61" s="19" t="n">
        <v>1</v>
      </c>
      <c r="H61" s="19" t="n">
        <v>3</v>
      </c>
      <c r="I61" s="13">
        <f>G61*H61</f>
        <v>3.0</v>
      </c>
      <c r="J61" s="20">
        <f>5850/1000</f>
        <v>5.85</v>
      </c>
      <c r="K61" s="21">
        <f>I61*J61</f>
        <v>17.549999999999997</v>
      </c>
      <c r="L61" s="22">
        <f>F61^2/162</f>
        <v>1.5802469135802468</v>
      </c>
      <c r="M61" s="21">
        <f>K61*L61</f>
        <v>27.733333333333327</v>
      </c>
      <c r="N61" s="22">
        <f>M61/1000</f>
        <v>0.02773333333333333</v>
      </c>
      <c r="O61" s="13" t="inlineStr">
        <is>
          <t>BBS</t>
        </is>
      </c>
    </row>
    <row r="62">
      <c r="A62" s="13" t="n">
        <v>57</v>
      </c>
      <c r="B62" s="13" t="inlineStr">
        <is>
          <t>Beams</t>
        </is>
      </c>
      <c r="C62" s="13" t="inlineStr">
        <is>
          <t>STR-048</t>
        </is>
      </c>
      <c r="D62" s="13" t="inlineStr">
        <is>
          <t>First floor beams</t>
        </is>
      </c>
      <c r="E62" s="19" t="inlineStr">
        <is>
          <t>1603</t>
        </is>
      </c>
      <c r="F62" s="19" t="n">
        <v>16</v>
      </c>
      <c r="G62" s="19" t="n">
        <v>1</v>
      </c>
      <c r="H62" s="19" t="n">
        <v>6</v>
      </c>
      <c r="I62" s="13">
        <f>G62*H62</f>
        <v>6.0</v>
      </c>
      <c r="J62" s="20">
        <f>9300/1000</f>
        <v>9.3</v>
      </c>
      <c r="K62" s="21">
        <f>I62*J62</f>
        <v>55.800000000000004</v>
      </c>
      <c r="L62" s="22">
        <f>F62^2/162</f>
        <v>1.5802469135802468</v>
      </c>
      <c r="M62" s="21">
        <f>K62*L62</f>
        <v>88.17777777777778</v>
      </c>
      <c r="N62" s="22">
        <f>M62/1000</f>
        <v>0.08817777777777777</v>
      </c>
      <c r="O62" s="13" t="inlineStr">
        <is>
          <t>BBS</t>
        </is>
      </c>
    </row>
    <row r="63">
      <c r="A63" s="13" t="n">
        <v>58</v>
      </c>
      <c r="B63" s="13" t="inlineStr">
        <is>
          <t>Beams</t>
        </is>
      </c>
      <c r="C63" s="13" t="inlineStr">
        <is>
          <t>STR-048</t>
        </is>
      </c>
      <c r="D63" s="13" t="inlineStr">
        <is>
          <t>First floor beams</t>
        </is>
      </c>
      <c r="E63" s="19" t="inlineStr">
        <is>
          <t>1604</t>
        </is>
      </c>
      <c r="F63" s="19" t="n">
        <v>16</v>
      </c>
      <c r="G63" s="19" t="n">
        <v>1</v>
      </c>
      <c r="H63" s="19" t="n">
        <v>3</v>
      </c>
      <c r="I63" s="13">
        <f>G63*H63</f>
        <v>3.0</v>
      </c>
      <c r="J63" s="20">
        <f>9000/1000</f>
        <v>9.0</v>
      </c>
      <c r="K63" s="21">
        <f>I63*J63</f>
        <v>27.0</v>
      </c>
      <c r="L63" s="22">
        <f>F63^2/162</f>
        <v>1.5802469135802468</v>
      </c>
      <c r="M63" s="21">
        <f>K63*L63</f>
        <v>42.666666666666664</v>
      </c>
      <c r="N63" s="22">
        <f>M63/1000</f>
        <v>0.042666666666666665</v>
      </c>
      <c r="O63" s="13" t="inlineStr">
        <is>
          <t>BBS</t>
        </is>
      </c>
    </row>
    <row r="64">
      <c r="A64" s="13" t="n">
        <v>59</v>
      </c>
      <c r="B64" s="13" t="inlineStr">
        <is>
          <t>Beams</t>
        </is>
      </c>
      <c r="C64" s="13" t="inlineStr">
        <is>
          <t>STR-048</t>
        </is>
      </c>
      <c r="D64" s="13" t="inlineStr">
        <is>
          <t>First floor beams</t>
        </is>
      </c>
      <c r="E64" s="19" t="inlineStr">
        <is>
          <t>1605</t>
        </is>
      </c>
      <c r="F64" s="19" t="n">
        <v>16</v>
      </c>
      <c r="G64" s="19" t="n">
        <v>1</v>
      </c>
      <c r="H64" s="19" t="n">
        <v>2</v>
      </c>
      <c r="I64" s="13">
        <f>G64*H64</f>
        <v>2.0</v>
      </c>
      <c r="J64" s="20">
        <f>11000/1000</f>
        <v>11.0</v>
      </c>
      <c r="K64" s="21">
        <f>I64*J64</f>
        <v>22.0</v>
      </c>
      <c r="L64" s="22">
        <f>F64^2/162</f>
        <v>1.5802469135802468</v>
      </c>
      <c r="M64" s="21">
        <f>K64*L64</f>
        <v>34.76543209876543</v>
      </c>
      <c r="N64" s="22">
        <f>M64/1000</f>
        <v>0.03476543209876543</v>
      </c>
      <c r="O64" s="13" t="inlineStr">
        <is>
          <t>BBS</t>
        </is>
      </c>
    </row>
    <row r="65">
      <c r="A65" s="13" t="n">
        <v>60</v>
      </c>
      <c r="B65" s="13" t="inlineStr">
        <is>
          <t>Beams</t>
        </is>
      </c>
      <c r="C65" s="13" t="inlineStr">
        <is>
          <t>STR-048</t>
        </is>
      </c>
      <c r="D65" s="13" t="inlineStr">
        <is>
          <t>First floor beams</t>
        </is>
      </c>
      <c r="E65" s="19" t="inlineStr">
        <is>
          <t>1606</t>
        </is>
      </c>
      <c r="F65" s="19" t="n">
        <v>16</v>
      </c>
      <c r="G65" s="19" t="n">
        <v>1</v>
      </c>
      <c r="H65" s="19" t="n">
        <v>2</v>
      </c>
      <c r="I65" s="13">
        <f>G65*H65</f>
        <v>2.0</v>
      </c>
      <c r="J65" s="20">
        <f>8800/1000</f>
        <v>8.8</v>
      </c>
      <c r="K65" s="21">
        <f>I65*J65</f>
        <v>17.6</v>
      </c>
      <c r="L65" s="22">
        <f>F65^2/162</f>
        <v>1.5802469135802468</v>
      </c>
      <c r="M65" s="21">
        <f>K65*L65</f>
        <v>27.812345679012346</v>
      </c>
      <c r="N65" s="22">
        <f>M65/1000</f>
        <v>0.027812345679012345</v>
      </c>
      <c r="O65" s="13" t="inlineStr">
        <is>
          <t>BBS</t>
        </is>
      </c>
    </row>
    <row r="66">
      <c r="A66" s="13" t="n">
        <v>61</v>
      </c>
      <c r="B66" s="13" t="inlineStr">
        <is>
          <t>Beams</t>
        </is>
      </c>
      <c r="C66" s="13" t="inlineStr">
        <is>
          <t>STR-048</t>
        </is>
      </c>
      <c r="D66" s="13" t="inlineStr">
        <is>
          <t>First floor beams</t>
        </is>
      </c>
      <c r="E66" s="19" t="inlineStr">
        <is>
          <t>1607</t>
        </is>
      </c>
      <c r="F66" s="19" t="n">
        <v>16</v>
      </c>
      <c r="G66" s="19" t="n">
        <v>1</v>
      </c>
      <c r="H66" s="19" t="n">
        <v>8</v>
      </c>
      <c r="I66" s="13">
        <f>G66*H66</f>
        <v>8.0</v>
      </c>
      <c r="J66" s="20">
        <f>12000/1000</f>
        <v>12.0</v>
      </c>
      <c r="K66" s="21">
        <f>I66*J66</f>
        <v>96.0</v>
      </c>
      <c r="L66" s="22">
        <f>F66^2/162</f>
        <v>1.5802469135802468</v>
      </c>
      <c r="M66" s="21">
        <f>K66*L66</f>
        <v>151.7037037037037</v>
      </c>
      <c r="N66" s="22">
        <f>M66/1000</f>
        <v>0.1517037037037037</v>
      </c>
      <c r="O66" s="13" t="inlineStr">
        <is>
          <t>BBS</t>
        </is>
      </c>
    </row>
    <row r="67">
      <c r="A67" s="13" t="n">
        <v>62</v>
      </c>
      <c r="B67" s="13" t="inlineStr">
        <is>
          <t>Beams</t>
        </is>
      </c>
      <c r="C67" s="13" t="inlineStr">
        <is>
          <t>STR-048</t>
        </is>
      </c>
      <c r="D67" s="13" t="inlineStr">
        <is>
          <t>First floor beams</t>
        </is>
      </c>
      <c r="E67" s="19" t="inlineStr">
        <is>
          <t>1608</t>
        </is>
      </c>
      <c r="F67" s="19" t="n">
        <v>16</v>
      </c>
      <c r="G67" s="19" t="n">
        <v>1</v>
      </c>
      <c r="H67" s="19" t="n">
        <v>4</v>
      </c>
      <c r="I67" s="13">
        <f>G67*H67</f>
        <v>4.0</v>
      </c>
      <c r="J67" s="20">
        <f>7400/1000</f>
        <v>7.4</v>
      </c>
      <c r="K67" s="21">
        <f>I67*J67</f>
        <v>29.6</v>
      </c>
      <c r="L67" s="22">
        <f>F67^2/162</f>
        <v>1.5802469135802468</v>
      </c>
      <c r="M67" s="21">
        <f>K67*L67</f>
        <v>46.77530864197531</v>
      </c>
      <c r="N67" s="22">
        <f>M67/1000</f>
        <v>0.04677530864197531</v>
      </c>
      <c r="O67" s="13" t="inlineStr">
        <is>
          <t>BBS</t>
        </is>
      </c>
    </row>
    <row r="68">
      <c r="A68" s="13" t="n">
        <v>63</v>
      </c>
      <c r="B68" s="13" t="inlineStr">
        <is>
          <t>Beams</t>
        </is>
      </c>
      <c r="C68" s="13" t="inlineStr">
        <is>
          <t>STR-048</t>
        </is>
      </c>
      <c r="D68" s="13" t="inlineStr">
        <is>
          <t>First floor beams</t>
        </is>
      </c>
      <c r="E68" s="19" t="inlineStr">
        <is>
          <t>1609</t>
        </is>
      </c>
      <c r="F68" s="19" t="n">
        <v>16</v>
      </c>
      <c r="G68" s="19" t="n">
        <v>1</v>
      </c>
      <c r="H68" s="19" t="n">
        <v>3</v>
      </c>
      <c r="I68" s="13">
        <f>G68*H68</f>
        <v>3.0</v>
      </c>
      <c r="J68" s="20">
        <f>9200/1000</f>
        <v>9.2</v>
      </c>
      <c r="K68" s="21">
        <f>I68*J68</f>
        <v>27.599999999999998</v>
      </c>
      <c r="L68" s="22">
        <f>F68^2/162</f>
        <v>1.5802469135802468</v>
      </c>
      <c r="M68" s="21">
        <f>K68*L68</f>
        <v>43.61481481481481</v>
      </c>
      <c r="N68" s="22">
        <f>M68/1000</f>
        <v>0.04361481481481481</v>
      </c>
      <c r="O68" s="13" t="inlineStr">
        <is>
          <t>BBS</t>
        </is>
      </c>
    </row>
    <row r="69">
      <c r="A69" s="13" t="n">
        <v>64</v>
      </c>
      <c r="B69" s="13" t="inlineStr">
        <is>
          <t>Beams</t>
        </is>
      </c>
      <c r="C69" s="13" t="inlineStr">
        <is>
          <t>STR-048</t>
        </is>
      </c>
      <c r="D69" s="13" t="inlineStr">
        <is>
          <t>First floor beams</t>
        </is>
      </c>
      <c r="E69" s="19" t="inlineStr">
        <is>
          <t>1610</t>
        </is>
      </c>
      <c r="F69" s="19" t="n">
        <v>16</v>
      </c>
      <c r="G69" s="19" t="n">
        <v>1</v>
      </c>
      <c r="H69" s="19" t="n">
        <v>4</v>
      </c>
      <c r="I69" s="13">
        <f>G69*H69</f>
        <v>4.0</v>
      </c>
      <c r="J69" s="20">
        <f>6775/1000</f>
        <v>6.775</v>
      </c>
      <c r="K69" s="21">
        <f>I69*J69</f>
        <v>27.1</v>
      </c>
      <c r="L69" s="22">
        <f>F69^2/162</f>
        <v>1.5802469135802468</v>
      </c>
      <c r="M69" s="21">
        <f>K69*L69</f>
        <v>42.824691358024694</v>
      </c>
      <c r="N69" s="22">
        <f>M69/1000</f>
        <v>0.04282469135802469</v>
      </c>
      <c r="O69" s="13" t="inlineStr">
        <is>
          <t>BBS</t>
        </is>
      </c>
    </row>
    <row r="70">
      <c r="A70" s="13" t="n">
        <v>65</v>
      </c>
      <c r="B70" s="13" t="inlineStr">
        <is>
          <t>Beams</t>
        </is>
      </c>
      <c r="C70" s="13" t="inlineStr">
        <is>
          <t>STR-048</t>
        </is>
      </c>
      <c r="D70" s="13" t="inlineStr">
        <is>
          <t>First floor beams</t>
        </is>
      </c>
      <c r="E70" s="19" t="inlineStr">
        <is>
          <t>1611</t>
        </is>
      </c>
      <c r="F70" s="19" t="n">
        <v>16</v>
      </c>
      <c r="G70" s="19" t="n">
        <v>1</v>
      </c>
      <c r="H70" s="19" t="n">
        <v>3</v>
      </c>
      <c r="I70" s="13">
        <f>G70*H70</f>
        <v>3.0</v>
      </c>
      <c r="J70" s="20">
        <f>4600/1000</f>
        <v>4.6</v>
      </c>
      <c r="K70" s="21">
        <f>I70*J70</f>
        <v>13.799999999999999</v>
      </c>
      <c r="L70" s="22">
        <f>F70^2/162</f>
        <v>1.5802469135802468</v>
      </c>
      <c r="M70" s="21">
        <f>K70*L70</f>
        <v>21.807407407407403</v>
      </c>
      <c r="N70" s="22">
        <f>M70/1000</f>
        <v>0.021807407407407404</v>
      </c>
      <c r="O70" s="13" t="inlineStr">
        <is>
          <t>BBS</t>
        </is>
      </c>
    </row>
    <row r="71">
      <c r="A71" s="13" t="n">
        <v>66</v>
      </c>
      <c r="B71" s="13" t="inlineStr">
        <is>
          <t>Beams</t>
        </is>
      </c>
      <c r="C71" s="13" t="inlineStr">
        <is>
          <t>STR-048</t>
        </is>
      </c>
      <c r="D71" s="13" t="inlineStr">
        <is>
          <t>First floor beams</t>
        </is>
      </c>
      <c r="E71" s="19" t="inlineStr">
        <is>
          <t>1612</t>
        </is>
      </c>
      <c r="F71" s="19" t="n">
        <v>16</v>
      </c>
      <c r="G71" s="19" t="n">
        <v>1</v>
      </c>
      <c r="H71" s="19" t="n">
        <v>2</v>
      </c>
      <c r="I71" s="13">
        <f>G71*H71</f>
        <v>2.0</v>
      </c>
      <c r="J71" s="20">
        <f>4000/1000</f>
        <v>4.0</v>
      </c>
      <c r="K71" s="21">
        <f>I71*J71</f>
        <v>8.0</v>
      </c>
      <c r="L71" s="22">
        <f>F71^2/162</f>
        <v>1.5802469135802468</v>
      </c>
      <c r="M71" s="21">
        <f>K71*L71</f>
        <v>12.641975308641975</v>
      </c>
      <c r="N71" s="22">
        <f>M71/1000</f>
        <v>0.012641975308641975</v>
      </c>
      <c r="O71" s="13" t="inlineStr">
        <is>
          <t>BBS</t>
        </is>
      </c>
    </row>
    <row r="72">
      <c r="A72" s="13" t="n">
        <v>67</v>
      </c>
      <c r="B72" s="13" t="inlineStr">
        <is>
          <t>Beams</t>
        </is>
      </c>
      <c r="C72" s="13" t="inlineStr">
        <is>
          <t>STR-048</t>
        </is>
      </c>
      <c r="D72" s="13" t="inlineStr">
        <is>
          <t>First floor beams</t>
        </is>
      </c>
      <c r="E72" s="19" t="inlineStr">
        <is>
          <t>1613</t>
        </is>
      </c>
      <c r="F72" s="19" t="n">
        <v>16</v>
      </c>
      <c r="G72" s="19" t="n">
        <v>1</v>
      </c>
      <c r="H72" s="19" t="n">
        <v>2</v>
      </c>
      <c r="I72" s="13">
        <f>G72*H72</f>
        <v>2.0</v>
      </c>
      <c r="J72" s="20">
        <f>11500/1000</f>
        <v>11.5</v>
      </c>
      <c r="K72" s="21">
        <f>I72*J72</f>
        <v>23.0</v>
      </c>
      <c r="L72" s="22">
        <f>F72^2/162</f>
        <v>1.5802469135802468</v>
      </c>
      <c r="M72" s="21">
        <f>K72*L72</f>
        <v>36.34567901234568</v>
      </c>
      <c r="N72" s="22">
        <f>M72/1000</f>
        <v>0.03634567901234568</v>
      </c>
      <c r="O72" s="13" t="inlineStr">
        <is>
          <t>BBS</t>
        </is>
      </c>
    </row>
    <row r="73">
      <c r="A73" s="13" t="n">
        <v>68</v>
      </c>
      <c r="B73" s="13" t="inlineStr">
        <is>
          <t>Beams</t>
        </is>
      </c>
      <c r="C73" s="13" t="inlineStr">
        <is>
          <t>STR-048</t>
        </is>
      </c>
      <c r="D73" s="13" t="inlineStr">
        <is>
          <t>First floor beams</t>
        </is>
      </c>
      <c r="E73" s="19" t="inlineStr">
        <is>
          <t>1614</t>
        </is>
      </c>
      <c r="F73" s="19" t="n">
        <v>16</v>
      </c>
      <c r="G73" s="19" t="n">
        <v>1</v>
      </c>
      <c r="H73" s="19" t="n">
        <v>2</v>
      </c>
      <c r="I73" s="13">
        <f>G73*H73</f>
        <v>2.0</v>
      </c>
      <c r="J73" s="20">
        <f>11850/1000</f>
        <v>11.85</v>
      </c>
      <c r="K73" s="21">
        <f>I73*J73</f>
        <v>23.7</v>
      </c>
      <c r="L73" s="22">
        <f>F73^2/162</f>
        <v>1.5802469135802468</v>
      </c>
      <c r="M73" s="21">
        <f>K73*L73</f>
        <v>37.45185185185185</v>
      </c>
      <c r="N73" s="22">
        <f>M73/1000</f>
        <v>0.03745185185185185</v>
      </c>
      <c r="O73" s="13" t="inlineStr">
        <is>
          <t>BBS</t>
        </is>
      </c>
    </row>
    <row r="74">
      <c r="A74" s="13" t="n">
        <v>69</v>
      </c>
      <c r="B74" s="13" t="inlineStr">
        <is>
          <t>Beams</t>
        </is>
      </c>
      <c r="C74" s="13" t="inlineStr">
        <is>
          <t>STR-048</t>
        </is>
      </c>
      <c r="D74" s="13" t="inlineStr">
        <is>
          <t>First floor beams</t>
        </is>
      </c>
      <c r="E74" s="19" t="inlineStr">
        <is>
          <t>1615</t>
        </is>
      </c>
      <c r="F74" s="19" t="n">
        <v>16</v>
      </c>
      <c r="G74" s="19" t="n">
        <v>1</v>
      </c>
      <c r="H74" s="19" t="n">
        <v>12</v>
      </c>
      <c r="I74" s="13">
        <f>G74*H74</f>
        <v>12.0</v>
      </c>
      <c r="J74" s="20">
        <f>3350/1000</f>
        <v>3.35</v>
      </c>
      <c r="K74" s="21">
        <f>I74*J74</f>
        <v>40.2</v>
      </c>
      <c r="L74" s="22">
        <f>F74^2/162</f>
        <v>1.5802469135802468</v>
      </c>
      <c r="M74" s="21">
        <f>K74*L74</f>
        <v>63.525925925925925</v>
      </c>
      <c r="N74" s="22">
        <f>M74/1000</f>
        <v>0.06352592592592593</v>
      </c>
      <c r="O74" s="13" t="inlineStr">
        <is>
          <t>BBS</t>
        </is>
      </c>
    </row>
    <row r="75">
      <c r="A75" s="13" t="n">
        <v>70</v>
      </c>
      <c r="B75" s="13" t="inlineStr">
        <is>
          <t>Beams</t>
        </is>
      </c>
      <c r="C75" s="13" t="inlineStr">
        <is>
          <t>STR-048</t>
        </is>
      </c>
      <c r="D75" s="13" t="inlineStr">
        <is>
          <t>First floor beams</t>
        </is>
      </c>
      <c r="E75" s="19" t="inlineStr">
        <is>
          <t>1616</t>
        </is>
      </c>
      <c r="F75" s="19" t="n">
        <v>16</v>
      </c>
      <c r="G75" s="19" t="n">
        <v>1</v>
      </c>
      <c r="H75" s="19" t="n">
        <v>10</v>
      </c>
      <c r="I75" s="13">
        <f>G75*H75</f>
        <v>10.0</v>
      </c>
      <c r="J75" s="20">
        <f>2450/1000</f>
        <v>2.45</v>
      </c>
      <c r="K75" s="21">
        <f>I75*J75</f>
        <v>24.5</v>
      </c>
      <c r="L75" s="22">
        <f>F75^2/162</f>
        <v>1.5802469135802468</v>
      </c>
      <c r="M75" s="21">
        <f>K75*L75</f>
        <v>38.71604938271605</v>
      </c>
      <c r="N75" s="22">
        <f>M75/1000</f>
        <v>0.03871604938271605</v>
      </c>
      <c r="O75" s="13" t="inlineStr">
        <is>
          <t>BBS</t>
        </is>
      </c>
    </row>
    <row r="76">
      <c r="A76" s="13" t="n">
        <v>71</v>
      </c>
      <c r="B76" s="13" t="inlineStr">
        <is>
          <t>Beams</t>
        </is>
      </c>
      <c r="C76" s="13" t="inlineStr">
        <is>
          <t>STR-048</t>
        </is>
      </c>
      <c r="D76" s="13" t="inlineStr">
        <is>
          <t>First floor beams</t>
        </is>
      </c>
      <c r="E76" s="19" t="inlineStr">
        <is>
          <t>2001</t>
        </is>
      </c>
      <c r="F76" s="19" t="n">
        <v>20</v>
      </c>
      <c r="G76" s="19" t="n">
        <v>1</v>
      </c>
      <c r="H76" s="19" t="n">
        <v>2</v>
      </c>
      <c r="I76" s="13">
        <f>G76*H76</f>
        <v>2.0</v>
      </c>
      <c r="J76" s="20">
        <f>11750/1000</f>
        <v>11.75</v>
      </c>
      <c r="K76" s="21">
        <f>I76*J76</f>
        <v>23.5</v>
      </c>
      <c r="L76" s="22">
        <f>F76^2/162</f>
        <v>2.4691358024691357</v>
      </c>
      <c r="M76" s="21">
        <f>K76*L76</f>
        <v>58.02469135802469</v>
      </c>
      <c r="N76" s="22">
        <f>M76/1000</f>
        <v>0.05802469135802469</v>
      </c>
      <c r="O76" s="13" t="inlineStr">
        <is>
          <t>BBS</t>
        </is>
      </c>
    </row>
    <row r="77">
      <c r="A77" s="13" t="n">
        <v>72</v>
      </c>
      <c r="B77" s="13" t="inlineStr">
        <is>
          <t>Beams</t>
        </is>
      </c>
      <c r="C77" s="13" t="inlineStr">
        <is>
          <t>STR-048</t>
        </is>
      </c>
      <c r="D77" s="13" t="inlineStr">
        <is>
          <t>First floor beams</t>
        </is>
      </c>
      <c r="E77" s="19" t="inlineStr">
        <is>
          <t>2002</t>
        </is>
      </c>
      <c r="F77" s="19" t="n">
        <v>20</v>
      </c>
      <c r="G77" s="19" t="n">
        <v>1</v>
      </c>
      <c r="H77" s="19" t="n">
        <v>2</v>
      </c>
      <c r="I77" s="13">
        <f>G77*H77</f>
        <v>2.0</v>
      </c>
      <c r="J77" s="20">
        <f>7300/1000</f>
        <v>7.3</v>
      </c>
      <c r="K77" s="21">
        <f>I77*J77</f>
        <v>14.6</v>
      </c>
      <c r="L77" s="22">
        <f>F77^2/162</f>
        <v>2.4691358024691357</v>
      </c>
      <c r="M77" s="21">
        <f>K77*L77</f>
        <v>36.04938271604938</v>
      </c>
      <c r="N77" s="22">
        <f>M77/1000</f>
        <v>0.03604938271604938</v>
      </c>
      <c r="O77" s="13" t="inlineStr">
        <is>
          <t>BBS</t>
        </is>
      </c>
    </row>
    <row r="78">
      <c r="A78" s="13" t="n">
        <v>73</v>
      </c>
      <c r="B78" s="13" t="inlineStr">
        <is>
          <t>Beams</t>
        </is>
      </c>
      <c r="C78" s="13" t="inlineStr">
        <is>
          <t>STR-048</t>
        </is>
      </c>
      <c r="D78" s="13" t="inlineStr">
        <is>
          <t>First floor beams</t>
        </is>
      </c>
      <c r="E78" s="19" t="inlineStr">
        <is>
          <t>2003</t>
        </is>
      </c>
      <c r="F78" s="19" t="n">
        <v>20</v>
      </c>
      <c r="G78" s="19" t="n">
        <v>1</v>
      </c>
      <c r="H78" s="19" t="n">
        <v>2</v>
      </c>
      <c r="I78" s="13">
        <f>G78*H78</f>
        <v>2.0</v>
      </c>
      <c r="J78" s="20">
        <f>9400/1000</f>
        <v>9.4</v>
      </c>
      <c r="K78" s="21">
        <f>I78*J78</f>
        <v>18.8</v>
      </c>
      <c r="L78" s="22">
        <f>F78^2/162</f>
        <v>2.4691358024691357</v>
      </c>
      <c r="M78" s="21">
        <f>K78*L78</f>
        <v>46.41975308641975</v>
      </c>
      <c r="N78" s="22">
        <f>M78/1000</f>
        <v>0.046419753086419754</v>
      </c>
      <c r="O78" s="13" t="inlineStr">
        <is>
          <t>BBS</t>
        </is>
      </c>
    </row>
    <row r="79">
      <c r="A79" s="13" t="n">
        <v>74</v>
      </c>
      <c r="B79" s="13" t="inlineStr">
        <is>
          <t>Beams</t>
        </is>
      </c>
      <c r="C79" s="13" t="inlineStr">
        <is>
          <t>STR-048</t>
        </is>
      </c>
      <c r="D79" s="13" t="inlineStr">
        <is>
          <t>First floor beams</t>
        </is>
      </c>
      <c r="E79" s="19" t="inlineStr">
        <is>
          <t>2004</t>
        </is>
      </c>
      <c r="F79" s="19" t="n">
        <v>20</v>
      </c>
      <c r="G79" s="19" t="n">
        <v>1</v>
      </c>
      <c r="H79" s="19" t="n">
        <v>2</v>
      </c>
      <c r="I79" s="13">
        <f>G79*H79</f>
        <v>2.0</v>
      </c>
      <c r="J79" s="20">
        <f>11900/1000</f>
        <v>11.9</v>
      </c>
      <c r="K79" s="21">
        <f>I79*J79</f>
        <v>23.8</v>
      </c>
      <c r="L79" s="22">
        <f>F79^2/162</f>
        <v>2.4691358024691357</v>
      </c>
      <c r="M79" s="21">
        <f>K79*L79</f>
        <v>58.76543209876543</v>
      </c>
      <c r="N79" s="22">
        <f>M79/1000</f>
        <v>0.05876543209876543</v>
      </c>
      <c r="O79" s="13" t="inlineStr">
        <is>
          <t>BBS</t>
        </is>
      </c>
    </row>
    <row r="80">
      <c r="A80" s="13" t="n">
        <v>75</v>
      </c>
      <c r="B80" s="13" t="inlineStr">
        <is>
          <t>Beams</t>
        </is>
      </c>
      <c r="C80" s="13" t="inlineStr">
        <is>
          <t>STR-048</t>
        </is>
      </c>
      <c r="D80" s="13" t="inlineStr">
        <is>
          <t>First floor beams</t>
        </is>
      </c>
      <c r="E80" s="19" t="inlineStr">
        <is>
          <t>2005</t>
        </is>
      </c>
      <c r="F80" s="19" t="n">
        <v>20</v>
      </c>
      <c r="G80" s="19" t="n">
        <v>1</v>
      </c>
      <c r="H80" s="19" t="n">
        <v>2</v>
      </c>
      <c r="I80" s="13">
        <f>G80*H80</f>
        <v>2.0</v>
      </c>
      <c r="J80" s="20">
        <f>9550/1000</f>
        <v>9.55</v>
      </c>
      <c r="K80" s="21">
        <f>I80*J80</f>
        <v>19.1</v>
      </c>
      <c r="L80" s="22">
        <f>F80^2/162</f>
        <v>2.4691358024691357</v>
      </c>
      <c r="M80" s="21">
        <f>K80*L80</f>
        <v>47.160493827160494</v>
      </c>
      <c r="N80" s="22">
        <f>M80/1000</f>
        <v>0.04716049382716049</v>
      </c>
      <c r="O80" s="13" t="inlineStr">
        <is>
          <t>BBS</t>
        </is>
      </c>
    </row>
    <row r="81">
      <c r="A81" s="13" t="n">
        <v>76</v>
      </c>
      <c r="B81" s="13" t="inlineStr">
        <is>
          <t>Beams</t>
        </is>
      </c>
      <c r="C81" s="13" t="inlineStr">
        <is>
          <t>STR-048</t>
        </is>
      </c>
      <c r="D81" s="13" t="inlineStr">
        <is>
          <t>First floor beams</t>
        </is>
      </c>
      <c r="E81" s="19" t="inlineStr">
        <is>
          <t>2006</t>
        </is>
      </c>
      <c r="F81" s="19" t="n">
        <v>20</v>
      </c>
      <c r="G81" s="19" t="n">
        <v>1</v>
      </c>
      <c r="H81" s="19" t="n">
        <v>2</v>
      </c>
      <c r="I81" s="13">
        <f>G81*H81</f>
        <v>2.0</v>
      </c>
      <c r="J81" s="20">
        <f>5900/1000</f>
        <v>5.9</v>
      </c>
      <c r="K81" s="21">
        <f>I81*J81</f>
        <v>11.8</v>
      </c>
      <c r="L81" s="22">
        <f>F81^2/162</f>
        <v>2.4691358024691357</v>
      </c>
      <c r="M81" s="21">
        <f>K81*L81</f>
        <v>29.135802469135804</v>
      </c>
      <c r="N81" s="22">
        <f>M81/1000</f>
        <v>0.029135802469135805</v>
      </c>
      <c r="O81" s="13" t="inlineStr">
        <is>
          <t>BBS</t>
        </is>
      </c>
    </row>
    <row r="82">
      <c r="A82" s="13" t="n">
        <v>77</v>
      </c>
      <c r="B82" s="13" t="inlineStr">
        <is>
          <t>Beams</t>
        </is>
      </c>
      <c r="C82" s="13" t="inlineStr">
        <is>
          <t>STR-048</t>
        </is>
      </c>
      <c r="D82" s="13" t="inlineStr">
        <is>
          <t>First floor beams</t>
        </is>
      </c>
      <c r="E82" s="19" t="inlineStr">
        <is>
          <t>2007</t>
        </is>
      </c>
      <c r="F82" s="19" t="n">
        <v>20</v>
      </c>
      <c r="G82" s="19" t="n">
        <v>1</v>
      </c>
      <c r="H82" s="19" t="n">
        <v>4</v>
      </c>
      <c r="I82" s="13">
        <f>G82*H82</f>
        <v>4.0</v>
      </c>
      <c r="J82" s="20">
        <f>9300/1000</f>
        <v>9.3</v>
      </c>
      <c r="K82" s="21">
        <f>I82*J82</f>
        <v>37.2</v>
      </c>
      <c r="L82" s="22">
        <f>F82^2/162</f>
        <v>2.4691358024691357</v>
      </c>
      <c r="M82" s="21">
        <f>K82*L82</f>
        <v>91.85185185185185</v>
      </c>
      <c r="N82" s="22">
        <f>M82/1000</f>
        <v>0.09185185185185185</v>
      </c>
      <c r="O82" s="13" t="inlineStr">
        <is>
          <t>BBS</t>
        </is>
      </c>
    </row>
    <row r="83">
      <c r="A83" s="13" t="n">
        <v>78</v>
      </c>
      <c r="B83" s="13" t="inlineStr">
        <is>
          <t>Beams</t>
        </is>
      </c>
      <c r="C83" s="13" t="inlineStr">
        <is>
          <t>STR-048</t>
        </is>
      </c>
      <c r="D83" s="13" t="inlineStr">
        <is>
          <t>First floor beams</t>
        </is>
      </c>
      <c r="E83" s="19" t="inlineStr">
        <is>
          <t>2008</t>
        </is>
      </c>
      <c r="F83" s="19" t="n">
        <v>20</v>
      </c>
      <c r="G83" s="19" t="n">
        <v>1</v>
      </c>
      <c r="H83" s="19" t="n">
        <v>2</v>
      </c>
      <c r="I83" s="13">
        <f>G83*H83</f>
        <v>2.0</v>
      </c>
      <c r="J83" s="20">
        <f>9100/1000</f>
        <v>9.1</v>
      </c>
      <c r="K83" s="21">
        <f>I83*J83</f>
        <v>18.2</v>
      </c>
      <c r="L83" s="22">
        <f>F83^2/162</f>
        <v>2.4691358024691357</v>
      </c>
      <c r="M83" s="21">
        <f>K83*L83</f>
        <v>44.938271604938265</v>
      </c>
      <c r="N83" s="22">
        <f>M83/1000</f>
        <v>0.04493827160493827</v>
      </c>
      <c r="O83" s="13" t="inlineStr">
        <is>
          <t>BBS</t>
        </is>
      </c>
    </row>
    <row r="84">
      <c r="A84" s="13" t="n">
        <v>79</v>
      </c>
      <c r="B84" s="13" t="inlineStr">
        <is>
          <t>Beams</t>
        </is>
      </c>
      <c r="C84" s="13" t="inlineStr">
        <is>
          <t>STR-048</t>
        </is>
      </c>
      <c r="D84" s="13" t="inlineStr">
        <is>
          <t>First floor beams</t>
        </is>
      </c>
      <c r="E84" s="19" t="inlineStr">
        <is>
          <t>2009</t>
        </is>
      </c>
      <c r="F84" s="19" t="n">
        <v>20</v>
      </c>
      <c r="G84" s="19" t="n">
        <v>1</v>
      </c>
      <c r="H84" s="19" t="n">
        <v>3</v>
      </c>
      <c r="I84" s="13">
        <f>G84*H84</f>
        <v>3.0</v>
      </c>
      <c r="J84" s="20">
        <f>8200/1000</f>
        <v>8.2</v>
      </c>
      <c r="K84" s="21">
        <f>I84*J84</f>
        <v>24.599999999999998</v>
      </c>
      <c r="L84" s="22">
        <f>F84^2/162</f>
        <v>2.4691358024691357</v>
      </c>
      <c r="M84" s="21">
        <f>K84*L84</f>
        <v>60.74074074074073</v>
      </c>
      <c r="N84" s="22">
        <f>M84/1000</f>
        <v>0.060740740740740734</v>
      </c>
      <c r="O84" s="13" t="inlineStr">
        <is>
          <t>BBS</t>
        </is>
      </c>
    </row>
    <row r="85">
      <c r="A85" s="13" t="n">
        <v>80</v>
      </c>
      <c r="B85" s="13" t="inlineStr">
        <is>
          <t>Beams</t>
        </is>
      </c>
      <c r="C85" s="13" t="inlineStr">
        <is>
          <t>STR-048</t>
        </is>
      </c>
      <c r="D85" s="13" t="inlineStr">
        <is>
          <t>First floor beams</t>
        </is>
      </c>
      <c r="E85" s="19" t="inlineStr">
        <is>
          <t>2010</t>
        </is>
      </c>
      <c r="F85" s="19" t="n">
        <v>20</v>
      </c>
      <c r="G85" s="19" t="n">
        <v>1</v>
      </c>
      <c r="H85" s="19" t="n">
        <v>3</v>
      </c>
      <c r="I85" s="13">
        <f>G85*H85</f>
        <v>3.0</v>
      </c>
      <c r="J85" s="20">
        <f>6550/1000</f>
        <v>6.55</v>
      </c>
      <c r="K85" s="21">
        <f>I85*J85</f>
        <v>19.65</v>
      </c>
      <c r="L85" s="22">
        <f>F85^2/162</f>
        <v>2.4691358024691357</v>
      </c>
      <c r="M85" s="21">
        <f>K85*L85</f>
        <v>48.51851851851851</v>
      </c>
      <c r="N85" s="22">
        <f>M85/1000</f>
        <v>0.04851851851851851</v>
      </c>
      <c r="O85" s="13" t="inlineStr">
        <is>
          <t>BBS</t>
        </is>
      </c>
    </row>
    <row r="86">
      <c r="A86" s="13" t="n">
        <v>81</v>
      </c>
      <c r="B86" s="13" t="inlineStr">
        <is>
          <t>Beams</t>
        </is>
      </c>
      <c r="C86" s="13" t="inlineStr">
        <is>
          <t>STR-048</t>
        </is>
      </c>
      <c r="D86" s="13" t="inlineStr">
        <is>
          <t>First floor beams</t>
        </is>
      </c>
      <c r="E86" s="19" t="inlineStr">
        <is>
          <t>2011</t>
        </is>
      </c>
      <c r="F86" s="19" t="n">
        <v>20</v>
      </c>
      <c r="G86" s="19" t="n">
        <v>1</v>
      </c>
      <c r="H86" s="19" t="n">
        <v>3</v>
      </c>
      <c r="I86" s="13">
        <f>G86*H86</f>
        <v>3.0</v>
      </c>
      <c r="J86" s="20">
        <f>8200/1000</f>
        <v>8.2</v>
      </c>
      <c r="K86" s="21">
        <f>I86*J86</f>
        <v>24.599999999999998</v>
      </c>
      <c r="L86" s="22">
        <f>F86^2/162</f>
        <v>2.4691358024691357</v>
      </c>
      <c r="M86" s="21">
        <f>K86*L86</f>
        <v>60.74074074074073</v>
      </c>
      <c r="N86" s="22">
        <f>M86/1000</f>
        <v>0.060740740740740734</v>
      </c>
      <c r="O86" s="13" t="inlineStr">
        <is>
          <t>BBS</t>
        </is>
      </c>
    </row>
    <row r="87">
      <c r="A87" s="13" t="n">
        <v>82</v>
      </c>
      <c r="B87" s="13" t="inlineStr">
        <is>
          <t>Beams</t>
        </is>
      </c>
      <c r="C87" s="13" t="inlineStr">
        <is>
          <t>STR-048</t>
        </is>
      </c>
      <c r="D87" s="13" t="inlineStr">
        <is>
          <t>First floor beams</t>
        </is>
      </c>
      <c r="E87" s="19" t="inlineStr">
        <is>
          <t>2012</t>
        </is>
      </c>
      <c r="F87" s="19" t="n">
        <v>20</v>
      </c>
      <c r="G87" s="19" t="n">
        <v>1</v>
      </c>
      <c r="H87" s="19" t="n">
        <v>3</v>
      </c>
      <c r="I87" s="13">
        <f>G87*H87</f>
        <v>3.0</v>
      </c>
      <c r="J87" s="20">
        <f>9250/1000</f>
        <v>9.25</v>
      </c>
      <c r="K87" s="21">
        <f>I87*J87</f>
        <v>27.75</v>
      </c>
      <c r="L87" s="22">
        <f>F87^2/162</f>
        <v>2.4691358024691357</v>
      </c>
      <c r="M87" s="21">
        <f>K87*L87</f>
        <v>68.51851851851852</v>
      </c>
      <c r="N87" s="22">
        <f>M87/1000</f>
        <v>0.06851851851851852</v>
      </c>
      <c r="O87" s="13" t="inlineStr">
        <is>
          <t>BBS</t>
        </is>
      </c>
    </row>
    <row r="88">
      <c r="A88" s="13" t="n">
        <v>83</v>
      </c>
      <c r="B88" s="13" t="inlineStr">
        <is>
          <t>Beams</t>
        </is>
      </c>
      <c r="C88" s="13" t="inlineStr">
        <is>
          <t>STR-048</t>
        </is>
      </c>
      <c r="D88" s="13" t="inlineStr">
        <is>
          <t>First floor beams</t>
        </is>
      </c>
      <c r="E88" s="19" t="inlineStr">
        <is>
          <t>2013</t>
        </is>
      </c>
      <c r="F88" s="19" t="n">
        <v>20</v>
      </c>
      <c r="G88" s="19" t="n">
        <v>1</v>
      </c>
      <c r="H88" s="19" t="n">
        <v>3</v>
      </c>
      <c r="I88" s="13">
        <f>G88*H88</f>
        <v>3.0</v>
      </c>
      <c r="J88" s="20">
        <f>5700/1000</f>
        <v>5.7</v>
      </c>
      <c r="K88" s="21">
        <f>I88*J88</f>
        <v>17.1</v>
      </c>
      <c r="L88" s="22">
        <f>F88^2/162</f>
        <v>2.4691358024691357</v>
      </c>
      <c r="M88" s="21">
        <f>K88*L88</f>
        <v>42.22222222222222</v>
      </c>
      <c r="N88" s="22">
        <f>M88/1000</f>
        <v>0.042222222222222223</v>
      </c>
      <c r="O88" s="13" t="inlineStr">
        <is>
          <t>BBS</t>
        </is>
      </c>
    </row>
    <row r="89">
      <c r="A89" s="13" t="n">
        <v>84</v>
      </c>
      <c r="B89" s="13" t="inlineStr">
        <is>
          <t>Beams</t>
        </is>
      </c>
      <c r="C89" s="13" t="inlineStr">
        <is>
          <t>STR-048</t>
        </is>
      </c>
      <c r="D89" s="13" t="inlineStr">
        <is>
          <t>First floor beams</t>
        </is>
      </c>
      <c r="E89" s="19" t="inlineStr">
        <is>
          <t>2014</t>
        </is>
      </c>
      <c r="F89" s="19" t="n">
        <v>20</v>
      </c>
      <c r="G89" s="19" t="n">
        <v>1</v>
      </c>
      <c r="H89" s="19" t="n">
        <v>3</v>
      </c>
      <c r="I89" s="13">
        <f>G89*H89</f>
        <v>3.0</v>
      </c>
      <c r="J89" s="20">
        <f>9400/1000</f>
        <v>9.4</v>
      </c>
      <c r="K89" s="21">
        <f>I89*J89</f>
        <v>28.200000000000003</v>
      </c>
      <c r="L89" s="22">
        <f>F89^2/162</f>
        <v>2.4691358024691357</v>
      </c>
      <c r="M89" s="21">
        <f>K89*L89</f>
        <v>69.62962962962963</v>
      </c>
      <c r="N89" s="22">
        <f>M89/1000</f>
        <v>0.06962962962962964</v>
      </c>
      <c r="O89" s="13" t="inlineStr">
        <is>
          <t>BBS</t>
        </is>
      </c>
    </row>
    <row r="90">
      <c r="A90" s="13" t="n">
        <v>85</v>
      </c>
      <c r="B90" s="13" t="inlineStr">
        <is>
          <t>Beams</t>
        </is>
      </c>
      <c r="C90" s="13" t="inlineStr">
        <is>
          <t>STR-048</t>
        </is>
      </c>
      <c r="D90" s="13" t="inlineStr">
        <is>
          <t>First floor beams</t>
        </is>
      </c>
      <c r="E90" s="19" t="inlineStr">
        <is>
          <t>2015</t>
        </is>
      </c>
      <c r="F90" s="19" t="n">
        <v>20</v>
      </c>
      <c r="G90" s="19" t="n">
        <v>1</v>
      </c>
      <c r="H90" s="19" t="n">
        <v>3</v>
      </c>
      <c r="I90" s="13">
        <f>G90*H90</f>
        <v>3.0</v>
      </c>
      <c r="J90" s="20">
        <f>4600/1000</f>
        <v>4.6</v>
      </c>
      <c r="K90" s="21">
        <f>I90*J90</f>
        <v>13.799999999999999</v>
      </c>
      <c r="L90" s="22">
        <f>F90^2/162</f>
        <v>2.4691358024691357</v>
      </c>
      <c r="M90" s="21">
        <f>K90*L90</f>
        <v>34.07407407407407</v>
      </c>
      <c r="N90" s="22">
        <f>M90/1000</f>
        <v>0.03407407407407407</v>
      </c>
      <c r="O90" s="13" t="inlineStr">
        <is>
          <t>BBS</t>
        </is>
      </c>
    </row>
    <row r="91">
      <c r="A91" s="13" t="n">
        <v>86</v>
      </c>
      <c r="B91" s="13" t="inlineStr">
        <is>
          <t>Beams</t>
        </is>
      </c>
      <c r="C91" s="13" t="inlineStr">
        <is>
          <t>STR-048</t>
        </is>
      </c>
      <c r="D91" s="13" t="inlineStr">
        <is>
          <t>First floor beams</t>
        </is>
      </c>
      <c r="E91" s="19" t="inlineStr">
        <is>
          <t>2501</t>
        </is>
      </c>
      <c r="F91" s="19" t="n">
        <v>25</v>
      </c>
      <c r="G91" s="19" t="n">
        <v>1</v>
      </c>
      <c r="H91" s="19" t="n">
        <v>3</v>
      </c>
      <c r="I91" s="13">
        <f>G91*H91</f>
        <v>3.0</v>
      </c>
      <c r="J91" s="20">
        <f>10750/1000</f>
        <v>10.75</v>
      </c>
      <c r="K91" s="21">
        <f>I91*J91</f>
        <v>32.25</v>
      </c>
      <c r="L91" s="22">
        <f>F91^2/162</f>
        <v>3.8580246913580245</v>
      </c>
      <c r="M91" s="21">
        <f>K91*L91</f>
        <v>124.42129629629629</v>
      </c>
      <c r="N91" s="22">
        <f>M91/1000</f>
        <v>0.1244212962962963</v>
      </c>
      <c r="O91" s="13" t="inlineStr">
        <is>
          <t>BBS</t>
        </is>
      </c>
    </row>
    <row r="92">
      <c r="A92" s="13" t="n">
        <v>87</v>
      </c>
      <c r="B92" s="13" t="inlineStr">
        <is>
          <t>Beams</t>
        </is>
      </c>
      <c r="C92" s="13" t="inlineStr">
        <is>
          <t>STR-048</t>
        </is>
      </c>
      <c r="D92" s="13" t="inlineStr">
        <is>
          <t>First floor beams</t>
        </is>
      </c>
      <c r="E92" s="19" t="inlineStr">
        <is>
          <t>2502</t>
        </is>
      </c>
      <c r="F92" s="19" t="n">
        <v>25</v>
      </c>
      <c r="G92" s="19" t="n">
        <v>1</v>
      </c>
      <c r="H92" s="19" t="n">
        <v>5</v>
      </c>
      <c r="I92" s="13">
        <f>G92*H92</f>
        <v>5.0</v>
      </c>
      <c r="J92" s="20">
        <f>7400/1000</f>
        <v>7.4</v>
      </c>
      <c r="K92" s="21">
        <f>I92*J92</f>
        <v>37.0</v>
      </c>
      <c r="L92" s="22">
        <f>F92^2/162</f>
        <v>3.8580246913580245</v>
      </c>
      <c r="M92" s="21">
        <f>K92*L92</f>
        <v>142.7469135802469</v>
      </c>
      <c r="N92" s="22">
        <f>M92/1000</f>
        <v>0.1427469135802469</v>
      </c>
      <c r="O92" s="13" t="inlineStr">
        <is>
          <t>BBS</t>
        </is>
      </c>
    </row>
    <row r="93">
      <c r="A93" s="13" t="n">
        <v>88</v>
      </c>
      <c r="B93" s="13" t="inlineStr">
        <is>
          <t>Beams</t>
        </is>
      </c>
      <c r="C93" s="13" t="inlineStr">
        <is>
          <t>STR-048</t>
        </is>
      </c>
      <c r="D93" s="13" t="inlineStr">
        <is>
          <t>First floor beams</t>
        </is>
      </c>
      <c r="E93" s="19" t="inlineStr">
        <is>
          <t>2503</t>
        </is>
      </c>
      <c r="F93" s="19" t="n">
        <v>25</v>
      </c>
      <c r="G93" s="19" t="n">
        <v>1</v>
      </c>
      <c r="H93" s="19" t="n">
        <v>8</v>
      </c>
      <c r="I93" s="13">
        <f>G93*H93</f>
        <v>8.0</v>
      </c>
      <c r="J93" s="20">
        <f>9400/1000</f>
        <v>9.4</v>
      </c>
      <c r="K93" s="21">
        <f>I93*J93</f>
        <v>75.2</v>
      </c>
      <c r="L93" s="22">
        <f>F93^2/162</f>
        <v>3.8580246913580245</v>
      </c>
      <c r="M93" s="21">
        <f>K93*L93</f>
        <v>290.12345679012344</v>
      </c>
      <c r="N93" s="22">
        <f>M93/1000</f>
        <v>0.29012345679012347</v>
      </c>
      <c r="O93" s="13" t="inlineStr">
        <is>
          <t>BBS</t>
        </is>
      </c>
    </row>
    <row r="94">
      <c r="A94" s="13" t="n">
        <v>89</v>
      </c>
      <c r="B94" s="13" t="inlineStr">
        <is>
          <t>Beams</t>
        </is>
      </c>
      <c r="C94" s="13" t="inlineStr">
        <is>
          <t>STR-048</t>
        </is>
      </c>
      <c r="D94" s="13" t="inlineStr">
        <is>
          <t>First floor beams</t>
        </is>
      </c>
      <c r="E94" s="19" t="inlineStr">
        <is>
          <t>2504</t>
        </is>
      </c>
      <c r="F94" s="19" t="n">
        <v>25</v>
      </c>
      <c r="G94" s="19" t="n">
        <v>1</v>
      </c>
      <c r="H94" s="19" t="n">
        <v>3</v>
      </c>
      <c r="I94" s="13">
        <f>G94*H94</f>
        <v>3.0</v>
      </c>
      <c r="J94" s="20">
        <f>12000/1000</f>
        <v>12.0</v>
      </c>
      <c r="K94" s="21">
        <f>I94*J94</f>
        <v>36.0</v>
      </c>
      <c r="L94" s="22">
        <f>F94^2/162</f>
        <v>3.8580246913580245</v>
      </c>
      <c r="M94" s="21">
        <f>K94*L94</f>
        <v>138.88888888888889</v>
      </c>
      <c r="N94" s="22">
        <f>M94/1000</f>
        <v>0.1388888888888889</v>
      </c>
      <c r="O94" s="13" t="inlineStr">
        <is>
          <t>BBS</t>
        </is>
      </c>
    </row>
    <row r="95">
      <c r="A95" s="13" t="n">
        <v>90</v>
      </c>
      <c r="B95" s="13" t="inlineStr">
        <is>
          <t>Beams</t>
        </is>
      </c>
      <c r="C95" s="13" t="inlineStr">
        <is>
          <t>STR-048</t>
        </is>
      </c>
      <c r="D95" s="13" t="inlineStr">
        <is>
          <t>First floor beams</t>
        </is>
      </c>
      <c r="E95" s="19" t="inlineStr">
        <is>
          <t>2505</t>
        </is>
      </c>
      <c r="F95" s="19" t="n">
        <v>25</v>
      </c>
      <c r="G95" s="19" t="n">
        <v>1</v>
      </c>
      <c r="H95" s="19" t="n">
        <v>2</v>
      </c>
      <c r="I95" s="13">
        <f>G95*H95</f>
        <v>2.0</v>
      </c>
      <c r="J95" s="20">
        <f>11600/1000</f>
        <v>11.6</v>
      </c>
      <c r="K95" s="21">
        <f>I95*J95</f>
        <v>23.2</v>
      </c>
      <c r="L95" s="22">
        <f>F95^2/162</f>
        <v>3.8580246913580245</v>
      </c>
      <c r="M95" s="21">
        <f>K95*L95</f>
        <v>89.50617283950616</v>
      </c>
      <c r="N95" s="22">
        <f>M95/1000</f>
        <v>0.08950617283950617</v>
      </c>
      <c r="O95" s="13" t="inlineStr">
        <is>
          <t>BBS</t>
        </is>
      </c>
    </row>
    <row r="96">
      <c r="A96" s="13" t="n">
        <v>91</v>
      </c>
      <c r="B96" s="13" t="inlineStr">
        <is>
          <t>Beams</t>
        </is>
      </c>
      <c r="C96" s="13" t="inlineStr">
        <is>
          <t>STR-048</t>
        </is>
      </c>
      <c r="D96" s="13" t="inlineStr">
        <is>
          <t>First floor beams</t>
        </is>
      </c>
      <c r="E96" s="19" t="inlineStr">
        <is>
          <t>2506</t>
        </is>
      </c>
      <c r="F96" s="19" t="n">
        <v>25</v>
      </c>
      <c r="G96" s="19" t="n">
        <v>1</v>
      </c>
      <c r="H96" s="19" t="n">
        <v>2</v>
      </c>
      <c r="I96" s="13">
        <f>G96*H96</f>
        <v>2.0</v>
      </c>
      <c r="J96" s="20">
        <f>11900/1000</f>
        <v>11.9</v>
      </c>
      <c r="K96" s="21">
        <f>I96*J96</f>
        <v>23.8</v>
      </c>
      <c r="L96" s="22">
        <f>F96^2/162</f>
        <v>3.8580246913580245</v>
      </c>
      <c r="M96" s="21">
        <f>K96*L96</f>
        <v>91.82098765432099</v>
      </c>
      <c r="N96" s="22">
        <f>M96/1000</f>
        <v>0.09182098765432099</v>
      </c>
      <c r="O96" s="13" t="inlineStr">
        <is>
          <t>BBS</t>
        </is>
      </c>
    </row>
    <row r="97">
      <c r="A97" s="13" t="n">
        <v>92</v>
      </c>
      <c r="B97" s="13" t="inlineStr">
        <is>
          <t>Beams</t>
        </is>
      </c>
      <c r="C97" s="13" t="inlineStr">
        <is>
          <t>STR-048</t>
        </is>
      </c>
      <c r="D97" s="13" t="inlineStr">
        <is>
          <t>First floor beams</t>
        </is>
      </c>
      <c r="E97" s="19" t="inlineStr">
        <is>
          <t>2507</t>
        </is>
      </c>
      <c r="F97" s="19" t="n">
        <v>25</v>
      </c>
      <c r="G97" s="19" t="n">
        <v>1</v>
      </c>
      <c r="H97" s="19" t="n">
        <v>3</v>
      </c>
      <c r="I97" s="13">
        <f>G97*H97</f>
        <v>3.0</v>
      </c>
      <c r="J97" s="20">
        <f>9850/1000</f>
        <v>9.85</v>
      </c>
      <c r="K97" s="21">
        <f>I97*J97</f>
        <v>29.549999999999997</v>
      </c>
      <c r="L97" s="22">
        <f>F97^2/162</f>
        <v>3.8580246913580245</v>
      </c>
      <c r="M97" s="21">
        <f>K97*L97</f>
        <v>114.00462962962962</v>
      </c>
      <c r="N97" s="22">
        <f>M97/1000</f>
        <v>0.11400462962962962</v>
      </c>
      <c r="O97" s="13" t="inlineStr">
        <is>
          <t>BBS</t>
        </is>
      </c>
    </row>
    <row r="98">
      <c r="A98" s="13" t="n">
        <v>93</v>
      </c>
      <c r="B98" s="13" t="inlineStr">
        <is>
          <t>Beams</t>
        </is>
      </c>
      <c r="C98" s="13" t="inlineStr">
        <is>
          <t>STR-048</t>
        </is>
      </c>
      <c r="D98" s="13" t="inlineStr">
        <is>
          <t>First floor beams</t>
        </is>
      </c>
      <c r="E98" s="19" t="inlineStr">
        <is>
          <t>2508</t>
        </is>
      </c>
      <c r="F98" s="19" t="n">
        <v>25</v>
      </c>
      <c r="G98" s="19" t="n">
        <v>1</v>
      </c>
      <c r="H98" s="19" t="n">
        <v>3</v>
      </c>
      <c r="I98" s="13">
        <f>G98*H98</f>
        <v>3.0</v>
      </c>
      <c r="J98" s="20">
        <f>5850/1000</f>
        <v>5.85</v>
      </c>
      <c r="K98" s="21">
        <f>I98*J98</f>
        <v>17.549999999999997</v>
      </c>
      <c r="L98" s="22">
        <f>F98^2/162</f>
        <v>3.8580246913580245</v>
      </c>
      <c r="M98" s="21">
        <f>K98*L98</f>
        <v>67.70833333333331</v>
      </c>
      <c r="N98" s="22">
        <f>M98/1000</f>
        <v>0.06770833333333331</v>
      </c>
      <c r="O98" s="13" t="inlineStr">
        <is>
          <t>BBS</t>
        </is>
      </c>
    </row>
    <row r="99">
      <c r="A99" s="13" t="n">
        <v>94</v>
      </c>
      <c r="B99" s="13" t="inlineStr">
        <is>
          <t>Beams</t>
        </is>
      </c>
      <c r="C99" s="13" t="inlineStr">
        <is>
          <t>STR-048</t>
        </is>
      </c>
      <c r="D99" s="13" t="inlineStr">
        <is>
          <t>First floor beams</t>
        </is>
      </c>
      <c r="E99" s="19" t="inlineStr">
        <is>
          <t>2509</t>
        </is>
      </c>
      <c r="F99" s="19" t="n">
        <v>25</v>
      </c>
      <c r="G99" s="19" t="n">
        <v>1</v>
      </c>
      <c r="H99" s="19" t="n">
        <v>3</v>
      </c>
      <c r="I99" s="13">
        <f>G99*H99</f>
        <v>3.0</v>
      </c>
      <c r="J99" s="20">
        <f>9300/1000</f>
        <v>9.3</v>
      </c>
      <c r="K99" s="21">
        <f>I99*J99</f>
        <v>27.900000000000002</v>
      </c>
      <c r="L99" s="22">
        <f>F99^2/162</f>
        <v>3.8580246913580245</v>
      </c>
      <c r="M99" s="21">
        <f>K99*L99</f>
        <v>107.63888888888889</v>
      </c>
      <c r="N99" s="22">
        <f>M99/1000</f>
        <v>0.10763888888888888</v>
      </c>
      <c r="O99" s="13" t="inlineStr">
        <is>
          <t>BBS</t>
        </is>
      </c>
    </row>
    <row r="100">
      <c r="A100" s="13" t="n">
        <v>95</v>
      </c>
      <c r="B100" s="13" t="inlineStr">
        <is>
          <t>Beams</t>
        </is>
      </c>
      <c r="C100" s="13" t="inlineStr">
        <is>
          <t>STR-048</t>
        </is>
      </c>
      <c r="D100" s="13" t="inlineStr">
        <is>
          <t>First floor beams</t>
        </is>
      </c>
      <c r="E100" s="19" t="inlineStr">
        <is>
          <t>2510</t>
        </is>
      </c>
      <c r="F100" s="19" t="n">
        <v>25</v>
      </c>
      <c r="G100" s="19" t="n">
        <v>1</v>
      </c>
      <c r="H100" s="19" t="n">
        <v>3</v>
      </c>
      <c r="I100" s="13">
        <f>G100*H100</f>
        <v>3.0</v>
      </c>
      <c r="J100" s="20">
        <f>9100/1000</f>
        <v>9.1</v>
      </c>
      <c r="K100" s="21">
        <f>I100*J100</f>
        <v>27.299999999999997</v>
      </c>
      <c r="L100" s="22">
        <f>F100^2/162</f>
        <v>3.8580246913580245</v>
      </c>
      <c r="M100" s="21">
        <f>K100*L100</f>
        <v>105.32407407407406</v>
      </c>
      <c r="N100" s="22">
        <f>M100/1000</f>
        <v>0.10532407407407406</v>
      </c>
      <c r="O100" s="13" t="inlineStr">
        <is>
          <t>BBS</t>
        </is>
      </c>
    </row>
    <row r="101">
      <c r="A101" s="13" t="n">
        <v>96</v>
      </c>
      <c r="B101" s="13" t="inlineStr">
        <is>
          <t>Beams</t>
        </is>
      </c>
      <c r="C101" s="13" t="inlineStr">
        <is>
          <t>STR-048</t>
        </is>
      </c>
      <c r="D101" s="13" t="inlineStr">
        <is>
          <t>First floor beams</t>
        </is>
      </c>
      <c r="E101" s="19" t="inlineStr">
        <is>
          <t>2511</t>
        </is>
      </c>
      <c r="F101" s="19" t="n">
        <v>25</v>
      </c>
      <c r="G101" s="19" t="n">
        <v>1</v>
      </c>
      <c r="H101" s="19" t="n">
        <v>3</v>
      </c>
      <c r="I101" s="13">
        <f>G101*H101</f>
        <v>3.0</v>
      </c>
      <c r="J101" s="20">
        <f>10475/1000</f>
        <v>10.475</v>
      </c>
      <c r="K101" s="21">
        <f>I101*J101</f>
        <v>31.424999999999997</v>
      </c>
      <c r="L101" s="22">
        <f>F101^2/162</f>
        <v>3.8580246913580245</v>
      </c>
      <c r="M101" s="21">
        <f>K101*L101</f>
        <v>121.23842592592591</v>
      </c>
      <c r="N101" s="22">
        <f>M101/1000</f>
        <v>0.12123842592592592</v>
      </c>
      <c r="O101" s="13" t="inlineStr">
        <is>
          <t>BBS</t>
        </is>
      </c>
    </row>
    <row r="102">
      <c r="A102" s="13" t="n">
        <v>97</v>
      </c>
      <c r="B102" s="13" t="inlineStr">
        <is>
          <t>Beams</t>
        </is>
      </c>
      <c r="C102" s="13" t="inlineStr">
        <is>
          <t>STR-048</t>
        </is>
      </c>
      <c r="D102" s="13" t="inlineStr">
        <is>
          <t>First floor beams</t>
        </is>
      </c>
      <c r="E102" s="19" t="inlineStr">
        <is>
          <t>2512</t>
        </is>
      </c>
      <c r="F102" s="19" t="n">
        <v>25</v>
      </c>
      <c r="G102" s="19" t="n">
        <v>1</v>
      </c>
      <c r="H102" s="19" t="n">
        <v>3</v>
      </c>
      <c r="I102" s="13">
        <f>G102*H102</f>
        <v>3.0</v>
      </c>
      <c r="J102" s="20">
        <f>4800/1000</f>
        <v>4.8</v>
      </c>
      <c r="K102" s="21">
        <f>I102*J102</f>
        <v>14.399999999999999</v>
      </c>
      <c r="L102" s="22">
        <f>F102^2/162</f>
        <v>3.8580246913580245</v>
      </c>
      <c r="M102" s="21">
        <f>K102*L102</f>
        <v>55.55555555555555</v>
      </c>
      <c r="N102" s="22">
        <f>M102/1000</f>
        <v>0.05555555555555555</v>
      </c>
      <c r="O102" s="13" t="inlineStr">
        <is>
          <t>BBS</t>
        </is>
      </c>
    </row>
    <row r="103">
      <c r="A103" s="13" t="n">
        <v>98</v>
      </c>
      <c r="B103" s="13" t="inlineStr">
        <is>
          <t>Beams</t>
        </is>
      </c>
      <c r="C103" s="13" t="inlineStr">
        <is>
          <t>STR-048</t>
        </is>
      </c>
      <c r="D103" s="13" t="inlineStr">
        <is>
          <t>First floor beams</t>
        </is>
      </c>
      <c r="E103" s="19" t="inlineStr">
        <is>
          <t>2513</t>
        </is>
      </c>
      <c r="F103" s="19" t="n">
        <v>25</v>
      </c>
      <c r="G103" s="19" t="n">
        <v>1</v>
      </c>
      <c r="H103" s="19" t="n">
        <v>3</v>
      </c>
      <c r="I103" s="13">
        <f>G103*H103</f>
        <v>3.0</v>
      </c>
      <c r="J103" s="20">
        <f>10750/1000</f>
        <v>10.75</v>
      </c>
      <c r="K103" s="21">
        <f>I103*J103</f>
        <v>32.25</v>
      </c>
      <c r="L103" s="22">
        <f>F103^2/162</f>
        <v>3.8580246913580245</v>
      </c>
      <c r="M103" s="21">
        <f>K103*L103</f>
        <v>124.42129629629629</v>
      </c>
      <c r="N103" s="22">
        <f>M103/1000</f>
        <v>0.1244212962962963</v>
      </c>
      <c r="O103" s="13" t="inlineStr">
        <is>
          <t>BBS</t>
        </is>
      </c>
    </row>
    <row r="104">
      <c r="A104" s="13" t="n">
        <v>99</v>
      </c>
      <c r="B104" s="13" t="inlineStr">
        <is>
          <t>Beams</t>
        </is>
      </c>
      <c r="C104" s="13" t="inlineStr">
        <is>
          <t>STR-048</t>
        </is>
      </c>
      <c r="D104" s="13" t="inlineStr">
        <is>
          <t>First floor beams</t>
        </is>
      </c>
      <c r="E104" s="19" t="inlineStr">
        <is>
          <t>2514</t>
        </is>
      </c>
      <c r="F104" s="19" t="n">
        <v>25</v>
      </c>
      <c r="G104" s="19" t="n">
        <v>1</v>
      </c>
      <c r="H104" s="19" t="n">
        <v>3</v>
      </c>
      <c r="I104" s="13">
        <f>G104*H104</f>
        <v>3.0</v>
      </c>
      <c r="J104" s="20">
        <f>8400/1000</f>
        <v>8.4</v>
      </c>
      <c r="K104" s="21">
        <f>I104*J104</f>
        <v>25.200000000000003</v>
      </c>
      <c r="L104" s="22">
        <f>F104^2/162</f>
        <v>3.8580246913580245</v>
      </c>
      <c r="M104" s="21">
        <f>K104*L104</f>
        <v>97.22222222222223</v>
      </c>
      <c r="N104" s="22">
        <f>M104/1000</f>
        <v>0.09722222222222222</v>
      </c>
      <c r="O104" s="13" t="inlineStr">
        <is>
          <t>BBS</t>
        </is>
      </c>
    </row>
    <row r="105">
      <c r="A105" s="13" t="n">
        <v>100</v>
      </c>
      <c r="B105" s="13" t="inlineStr">
        <is>
          <t>Beams</t>
        </is>
      </c>
      <c r="C105" s="13" t="inlineStr">
        <is>
          <t>STR-048</t>
        </is>
      </c>
      <c r="D105" s="13" t="inlineStr">
        <is>
          <t>First floor beams</t>
        </is>
      </c>
      <c r="E105" s="19" t="inlineStr">
        <is>
          <t>2515</t>
        </is>
      </c>
      <c r="F105" s="19" t="n">
        <v>25</v>
      </c>
      <c r="G105" s="19" t="n">
        <v>1</v>
      </c>
      <c r="H105" s="19" t="n">
        <v>3</v>
      </c>
      <c r="I105" s="13">
        <f>G105*H105</f>
        <v>3.0</v>
      </c>
      <c r="J105" s="20">
        <f>10100/1000</f>
        <v>10.1</v>
      </c>
      <c r="K105" s="21">
        <f>I105*J105</f>
        <v>30.299999999999997</v>
      </c>
      <c r="L105" s="22">
        <f>F105^2/162</f>
        <v>3.8580246913580245</v>
      </c>
      <c r="M105" s="21">
        <f>K105*L105</f>
        <v>116.89814814814814</v>
      </c>
      <c r="N105" s="22">
        <f>M105/1000</f>
        <v>0.11689814814814814</v>
      </c>
      <c r="O105" s="13" t="inlineStr">
        <is>
          <t>BBS</t>
        </is>
      </c>
    </row>
    <row r="106">
      <c r="A106" s="13" t="n">
        <v>101</v>
      </c>
      <c r="B106" s="13" t="inlineStr">
        <is>
          <t>Beams</t>
        </is>
      </c>
      <c r="C106" s="13" t="inlineStr">
        <is>
          <t>STR-048</t>
        </is>
      </c>
      <c r="D106" s="13" t="inlineStr">
        <is>
          <t>First floor beams</t>
        </is>
      </c>
      <c r="E106" s="19" t="inlineStr">
        <is>
          <t>2516</t>
        </is>
      </c>
      <c r="F106" s="19" t="n">
        <v>25</v>
      </c>
      <c r="G106" s="19" t="n">
        <v>1</v>
      </c>
      <c r="H106" s="19" t="n">
        <v>3</v>
      </c>
      <c r="I106" s="13">
        <f>G106*H106</f>
        <v>3.0</v>
      </c>
      <c r="J106" s="20">
        <f>9500/1000</f>
        <v>9.5</v>
      </c>
      <c r="K106" s="21">
        <f>I106*J106</f>
        <v>28.5</v>
      </c>
      <c r="L106" s="22">
        <f>F106^2/162</f>
        <v>3.8580246913580245</v>
      </c>
      <c r="M106" s="21">
        <f>K106*L106</f>
        <v>109.9537037037037</v>
      </c>
      <c r="N106" s="22">
        <f>M106/1000</f>
        <v>0.10995370370370369</v>
      </c>
      <c r="O106" s="13" t="inlineStr">
        <is>
          <t>BBS</t>
        </is>
      </c>
    </row>
    <row r="107">
      <c r="A107" s="13" t="n">
        <v>102</v>
      </c>
      <c r="B107" s="13" t="inlineStr">
        <is>
          <t>Beams</t>
        </is>
      </c>
      <c r="C107" s="13" t="inlineStr">
        <is>
          <t>STR-048</t>
        </is>
      </c>
      <c r="D107" s="13" t="inlineStr">
        <is>
          <t>First floor beams</t>
        </is>
      </c>
      <c r="E107" s="19" t="inlineStr">
        <is>
          <t>2517</t>
        </is>
      </c>
      <c r="F107" s="19" t="n">
        <v>25</v>
      </c>
      <c r="G107" s="19" t="n">
        <v>1</v>
      </c>
      <c r="H107" s="19" t="n">
        <v>3</v>
      </c>
      <c r="I107" s="13">
        <f>G107*H107</f>
        <v>3.0</v>
      </c>
      <c r="J107" s="20">
        <f>5850/1000</f>
        <v>5.85</v>
      </c>
      <c r="K107" s="21">
        <f>I107*J107</f>
        <v>17.549999999999997</v>
      </c>
      <c r="L107" s="22">
        <f>F107^2/162</f>
        <v>3.8580246913580245</v>
      </c>
      <c r="M107" s="21">
        <f>K107*L107</f>
        <v>67.70833333333331</v>
      </c>
      <c r="N107" s="22">
        <f>M107/1000</f>
        <v>0.06770833333333331</v>
      </c>
      <c r="O107" s="13" t="inlineStr">
        <is>
          <t>BBS</t>
        </is>
      </c>
    </row>
    <row r="108">
      <c r="A108" s="13" t="n">
        <v>103</v>
      </c>
      <c r="B108" s="13" t="inlineStr">
        <is>
          <t>Beams</t>
        </is>
      </c>
      <c r="C108" s="13" t="inlineStr">
        <is>
          <t>STR-048</t>
        </is>
      </c>
      <c r="D108" s="13" t="inlineStr">
        <is>
          <t>First floor beams</t>
        </is>
      </c>
      <c r="E108" s="19" t="inlineStr">
        <is>
          <t>2518</t>
        </is>
      </c>
      <c r="F108" s="19" t="n">
        <v>25</v>
      </c>
      <c r="G108" s="19" t="n">
        <v>1</v>
      </c>
      <c r="H108" s="19" t="n">
        <v>3</v>
      </c>
      <c r="I108" s="13">
        <f>G108*H108</f>
        <v>3.0</v>
      </c>
      <c r="J108" s="20">
        <f>8000/1000</f>
        <v>8.0</v>
      </c>
      <c r="K108" s="21">
        <f>I108*J108</f>
        <v>24.0</v>
      </c>
      <c r="L108" s="22">
        <f>F108^2/162</f>
        <v>3.8580246913580245</v>
      </c>
      <c r="M108" s="21">
        <f>K108*L108</f>
        <v>92.59259259259258</v>
      </c>
      <c r="N108" s="22">
        <f>M108/1000</f>
        <v>0.09259259259259259</v>
      </c>
      <c r="O108" s="13" t="inlineStr">
        <is>
          <t>BBS</t>
        </is>
      </c>
    </row>
    <row r="109">
      <c r="A109" s="13" t="n">
        <v>104</v>
      </c>
      <c r="B109" s="13" t="inlineStr">
        <is>
          <t>Beams</t>
        </is>
      </c>
      <c r="C109" s="13" t="inlineStr">
        <is>
          <t>STR-048</t>
        </is>
      </c>
      <c r="D109" s="13" t="inlineStr">
        <is>
          <t>First floor beams</t>
        </is>
      </c>
      <c r="E109" s="19" t="inlineStr">
        <is>
          <t>2519</t>
        </is>
      </c>
      <c r="F109" s="19" t="n">
        <v>25</v>
      </c>
      <c r="G109" s="19" t="n">
        <v>1</v>
      </c>
      <c r="H109" s="19" t="n">
        <v>3</v>
      </c>
      <c r="I109" s="13">
        <f>G109*H109</f>
        <v>3.0</v>
      </c>
      <c r="J109" s="20">
        <f>8700/1000</f>
        <v>8.7</v>
      </c>
      <c r="K109" s="21">
        <f>I109*J109</f>
        <v>26.099999999999998</v>
      </c>
      <c r="L109" s="22">
        <f>F109^2/162</f>
        <v>3.8580246913580245</v>
      </c>
      <c r="M109" s="21">
        <f>K109*L109</f>
        <v>100.69444444444443</v>
      </c>
      <c r="N109" s="22">
        <f>M109/1000</f>
        <v>0.10069444444444443</v>
      </c>
      <c r="O109" s="13" t="inlineStr">
        <is>
          <t>BBS</t>
        </is>
      </c>
    </row>
    <row r="110">
      <c r="A110" s="13" t="n">
        <v>105</v>
      </c>
      <c r="B110" s="13" t="inlineStr">
        <is>
          <t>Beams</t>
        </is>
      </c>
      <c r="C110" s="13" t="inlineStr">
        <is>
          <t>STR-048</t>
        </is>
      </c>
      <c r="D110" s="13" t="inlineStr">
        <is>
          <t>First floor beams</t>
        </is>
      </c>
      <c r="E110" s="19" t="inlineStr">
        <is>
          <t>2520</t>
        </is>
      </c>
      <c r="F110" s="19" t="n">
        <v>25</v>
      </c>
      <c r="G110" s="19" t="n">
        <v>1</v>
      </c>
      <c r="H110" s="19" t="n">
        <v>3</v>
      </c>
      <c r="I110" s="13">
        <f>G110*H110</f>
        <v>3.0</v>
      </c>
      <c r="J110" s="20">
        <f>5900/1000</f>
        <v>5.9</v>
      </c>
      <c r="K110" s="21">
        <f>I110*J110</f>
        <v>17.700000000000003</v>
      </c>
      <c r="L110" s="22">
        <f>F110^2/162</f>
        <v>3.8580246913580245</v>
      </c>
      <c r="M110" s="21">
        <f>K110*L110</f>
        <v>68.28703703703704</v>
      </c>
      <c r="N110" s="22">
        <f>M110/1000</f>
        <v>0.06828703703703703</v>
      </c>
      <c r="O110" s="13" t="inlineStr">
        <is>
          <t>BBS</t>
        </is>
      </c>
    </row>
    <row r="111">
      <c r="A111" s="13" t="n">
        <v>106</v>
      </c>
      <c r="B111" s="13" t="inlineStr">
        <is>
          <t>Beams</t>
        </is>
      </c>
      <c r="C111" s="13" t="inlineStr">
        <is>
          <t>STR-048</t>
        </is>
      </c>
      <c r="D111" s="13" t="inlineStr">
        <is>
          <t>First floor beams</t>
        </is>
      </c>
      <c r="E111" s="19" t="inlineStr">
        <is>
          <t>2521</t>
        </is>
      </c>
      <c r="F111" s="19" t="n">
        <v>25</v>
      </c>
      <c r="G111" s="19" t="n">
        <v>1</v>
      </c>
      <c r="H111" s="19" t="n">
        <v>30</v>
      </c>
      <c r="I111" s="13">
        <f>G111*H111</f>
        <v>30.0</v>
      </c>
      <c r="J111" s="20">
        <f>6450/1000</f>
        <v>6.45</v>
      </c>
      <c r="K111" s="21">
        <f>I111*J111</f>
        <v>193.5</v>
      </c>
      <c r="L111" s="22">
        <f>F111^2/162</f>
        <v>3.8580246913580245</v>
      </c>
      <c r="M111" s="21">
        <f>K111*L111</f>
        <v>746.5277777777777</v>
      </c>
      <c r="N111" s="22">
        <f>M111/1000</f>
        <v>0.7465277777777777</v>
      </c>
      <c r="O111" s="13" t="inlineStr">
        <is>
          <t>BBS</t>
        </is>
      </c>
    </row>
    <row r="112">
      <c r="A112" s="13" t="n">
        <v>107</v>
      </c>
      <c r="B112" s="13" t="inlineStr">
        <is>
          <t>Floor Slabs</t>
        </is>
      </c>
      <c r="C112" s="13" t="inlineStr">
        <is>
          <t>STR-049</t>
        </is>
      </c>
      <c r="D112" s="13" t="inlineStr">
        <is>
          <t>First floor slab - bottom</t>
        </is>
      </c>
      <c r="E112" s="19" t="inlineStr">
        <is>
          <t>1201</t>
        </is>
      </c>
      <c r="F112" s="19" t="n">
        <v>12</v>
      </c>
      <c r="G112" s="19" t="n">
        <v>1</v>
      </c>
      <c r="H112" s="19" t="n">
        <v>99</v>
      </c>
      <c r="I112" s="13">
        <f>G112*H112</f>
        <v>99.0</v>
      </c>
      <c r="J112" s="20">
        <f>8550/1000</f>
        <v>8.55</v>
      </c>
      <c r="K112" s="21">
        <f>I112*J112</f>
        <v>846.45</v>
      </c>
      <c r="L112" s="22">
        <f>F112^2/162</f>
        <v>0.8888888888888888</v>
      </c>
      <c r="M112" s="21">
        <f>K112*L112</f>
        <v>752.4</v>
      </c>
      <c r="N112" s="22">
        <f>M112/1000</f>
        <v>0.7524</v>
      </c>
      <c r="O112" s="13" t="inlineStr">
        <is>
          <t>BBS</t>
        </is>
      </c>
    </row>
    <row r="113">
      <c r="A113" s="13" t="n">
        <v>108</v>
      </c>
      <c r="B113" s="13" t="inlineStr">
        <is>
          <t>Floor Slabs</t>
        </is>
      </c>
      <c r="C113" s="13" t="inlineStr">
        <is>
          <t>STR-049</t>
        </is>
      </c>
      <c r="D113" s="13" t="inlineStr">
        <is>
          <t>First floor slab - bottom</t>
        </is>
      </c>
      <c r="E113" s="19" t="inlineStr">
        <is>
          <t>1202</t>
        </is>
      </c>
      <c r="F113" s="19" t="n">
        <v>12</v>
      </c>
      <c r="G113" s="19" t="n">
        <v>1</v>
      </c>
      <c r="H113" s="19" t="n">
        <v>122</v>
      </c>
      <c r="I113" s="13">
        <f>G113*H113</f>
        <v>122.0</v>
      </c>
      <c r="J113" s="20">
        <f>5500/1000</f>
        <v>5.5</v>
      </c>
      <c r="K113" s="21">
        <f>I113*J113</f>
        <v>671.0</v>
      </c>
      <c r="L113" s="22">
        <f>F113^2/162</f>
        <v>0.8888888888888888</v>
      </c>
      <c r="M113" s="21">
        <f>K113*L113</f>
        <v>596.4444444444445</v>
      </c>
      <c r="N113" s="22">
        <f>M113/1000</f>
        <v>0.5964444444444444</v>
      </c>
      <c r="O113" s="13" t="inlineStr">
        <is>
          <t>BBS</t>
        </is>
      </c>
    </row>
    <row r="114">
      <c r="A114" s="13" t="n">
        <v>109</v>
      </c>
      <c r="B114" s="13" t="inlineStr">
        <is>
          <t>Floor Slabs</t>
        </is>
      </c>
      <c r="C114" s="13" t="inlineStr">
        <is>
          <t>STR-049</t>
        </is>
      </c>
      <c r="D114" s="13" t="inlineStr">
        <is>
          <t>First floor slab - bottom</t>
        </is>
      </c>
      <c r="E114" s="19" t="inlineStr">
        <is>
          <t>1203</t>
        </is>
      </c>
      <c r="F114" s="19" t="n">
        <v>12</v>
      </c>
      <c r="G114" s="19" t="n">
        <v>1</v>
      </c>
      <c r="H114" s="19" t="n">
        <v>21</v>
      </c>
      <c r="I114" s="13">
        <f>G114*H114</f>
        <v>21.0</v>
      </c>
      <c r="J114" s="20">
        <f>4250/1000</f>
        <v>4.25</v>
      </c>
      <c r="K114" s="21">
        <f>I114*J114</f>
        <v>89.25</v>
      </c>
      <c r="L114" s="22">
        <f>F114^2/162</f>
        <v>0.8888888888888888</v>
      </c>
      <c r="M114" s="21">
        <f>K114*L114</f>
        <v>79.33333333333333</v>
      </c>
      <c r="N114" s="22">
        <f>M114/1000</f>
        <v>0.07933333333333333</v>
      </c>
      <c r="O114" s="13" t="inlineStr">
        <is>
          <t>BBS</t>
        </is>
      </c>
    </row>
    <row r="115">
      <c r="A115" s="13" t="n">
        <v>110</v>
      </c>
      <c r="B115" s="13" t="inlineStr">
        <is>
          <t>Floor Slabs</t>
        </is>
      </c>
      <c r="C115" s="13" t="inlineStr">
        <is>
          <t>STR-049</t>
        </is>
      </c>
      <c r="D115" s="13" t="inlineStr">
        <is>
          <t>First floor slab - bottom</t>
        </is>
      </c>
      <c r="E115" s="19" t="inlineStr">
        <is>
          <t>1204</t>
        </is>
      </c>
      <c r="F115" s="19" t="n">
        <v>12</v>
      </c>
      <c r="G115" s="19" t="n">
        <v>1</v>
      </c>
      <c r="H115" s="19" t="n">
        <v>54</v>
      </c>
      <c r="I115" s="13">
        <f>G115*H115</f>
        <v>54.0</v>
      </c>
      <c r="J115" s="20">
        <f>5250/1000</f>
        <v>5.25</v>
      </c>
      <c r="K115" s="21">
        <f>I115*J115</f>
        <v>283.5</v>
      </c>
      <c r="L115" s="22">
        <f>F115^2/162</f>
        <v>0.8888888888888888</v>
      </c>
      <c r="M115" s="21">
        <f>K115*L115</f>
        <v>252.0</v>
      </c>
      <c r="N115" s="22">
        <f>M115/1000</f>
        <v>0.252</v>
      </c>
      <c r="O115" s="13" t="inlineStr">
        <is>
          <t>BBS</t>
        </is>
      </c>
    </row>
    <row r="116">
      <c r="A116" s="13" t="n">
        <v>111</v>
      </c>
      <c r="B116" s="13" t="inlineStr">
        <is>
          <t>Floor Slabs</t>
        </is>
      </c>
      <c r="C116" s="13" t="inlineStr">
        <is>
          <t>STR-049</t>
        </is>
      </c>
      <c r="D116" s="13" t="inlineStr">
        <is>
          <t>First floor slab - bottom</t>
        </is>
      </c>
      <c r="E116" s="19" t="inlineStr">
        <is>
          <t>1205</t>
        </is>
      </c>
      <c r="F116" s="19" t="n">
        <v>12</v>
      </c>
      <c r="G116" s="19" t="n">
        <v>1</v>
      </c>
      <c r="H116" s="19" t="n">
        <v>144</v>
      </c>
      <c r="I116" s="13">
        <f>G116*H116</f>
        <v>144.0</v>
      </c>
      <c r="J116" s="20">
        <f>9050/1000</f>
        <v>9.05</v>
      </c>
      <c r="K116" s="21">
        <f>I116*J116</f>
        <v>1303.2</v>
      </c>
      <c r="L116" s="22">
        <f>F116^2/162</f>
        <v>0.8888888888888888</v>
      </c>
      <c r="M116" s="21">
        <f>K116*L116</f>
        <v>1158.3999999999999</v>
      </c>
      <c r="N116" s="22">
        <f>M116/1000</f>
        <v>1.1583999999999999</v>
      </c>
      <c r="O116" s="13" t="inlineStr">
        <is>
          <t>BBS</t>
        </is>
      </c>
    </row>
    <row r="117">
      <c r="A117" s="13" t="n">
        <v>112</v>
      </c>
      <c r="B117" s="13" t="inlineStr">
        <is>
          <t>Floor Slabs</t>
        </is>
      </c>
      <c r="C117" s="13" t="inlineStr">
        <is>
          <t>STR-049</t>
        </is>
      </c>
      <c r="D117" s="13" t="inlineStr">
        <is>
          <t>First floor slab - bottom</t>
        </is>
      </c>
      <c r="E117" s="19" t="inlineStr">
        <is>
          <t>1206</t>
        </is>
      </c>
      <c r="F117" s="19" t="n">
        <v>12</v>
      </c>
      <c r="G117" s="19" t="n">
        <v>1</v>
      </c>
      <c r="H117" s="19" t="n">
        <v>74</v>
      </c>
      <c r="I117" s="13">
        <f>G117*H117</f>
        <v>74.0</v>
      </c>
      <c r="J117" s="20">
        <f>8950/1000</f>
        <v>8.95</v>
      </c>
      <c r="K117" s="21">
        <f>I117*J117</f>
        <v>662.3</v>
      </c>
      <c r="L117" s="22">
        <f>F117^2/162</f>
        <v>0.8888888888888888</v>
      </c>
      <c r="M117" s="21">
        <f>K117*L117</f>
        <v>588.711111111111</v>
      </c>
      <c r="N117" s="22">
        <f>M117/1000</f>
        <v>0.588711111111111</v>
      </c>
      <c r="O117" s="13" t="inlineStr">
        <is>
          <t>BBS</t>
        </is>
      </c>
    </row>
    <row r="118">
      <c r="A118" s="13" t="n">
        <v>113</v>
      </c>
      <c r="B118" s="13" t="inlineStr">
        <is>
          <t>Floor Slabs</t>
        </is>
      </c>
      <c r="C118" s="13" t="inlineStr">
        <is>
          <t>STR-049</t>
        </is>
      </c>
      <c r="D118" s="13" t="inlineStr">
        <is>
          <t>First floor slab - bottom</t>
        </is>
      </c>
      <c r="E118" s="19" t="inlineStr">
        <is>
          <t>1207</t>
        </is>
      </c>
      <c r="F118" s="19" t="n">
        <v>12</v>
      </c>
      <c r="G118" s="19" t="n">
        <v>1</v>
      </c>
      <c r="H118" s="19" t="n">
        <v>93</v>
      </c>
      <c r="I118" s="13">
        <f>G118*H118</f>
        <v>93.0</v>
      </c>
      <c r="J118" s="20">
        <f>8850/1000</f>
        <v>8.85</v>
      </c>
      <c r="K118" s="21">
        <f>I118*J118</f>
        <v>823.05</v>
      </c>
      <c r="L118" s="22">
        <f>F118^2/162</f>
        <v>0.8888888888888888</v>
      </c>
      <c r="M118" s="21">
        <f>K118*L118</f>
        <v>731.5999999999999</v>
      </c>
      <c r="N118" s="22">
        <f>M118/1000</f>
        <v>0.7315999999999999</v>
      </c>
      <c r="O118" s="13" t="inlineStr">
        <is>
          <t>BBS</t>
        </is>
      </c>
    </row>
    <row r="119">
      <c r="A119" s="13" t="n">
        <v>114</v>
      </c>
      <c r="B119" s="13" t="inlineStr">
        <is>
          <t>Floor Slabs</t>
        </is>
      </c>
      <c r="C119" s="13" t="inlineStr">
        <is>
          <t>STR-049</t>
        </is>
      </c>
      <c r="D119" s="13" t="inlineStr">
        <is>
          <t>First floor slab - bottom</t>
        </is>
      </c>
      <c r="E119" s="19" t="inlineStr">
        <is>
          <t>1208</t>
        </is>
      </c>
      <c r="F119" s="19" t="n">
        <v>12</v>
      </c>
      <c r="G119" s="19" t="n">
        <v>1</v>
      </c>
      <c r="H119" s="19" t="n">
        <v>15</v>
      </c>
      <c r="I119" s="13">
        <f>G119*H119</f>
        <v>15.0</v>
      </c>
      <c r="J119" s="20">
        <f>8775/1000</f>
        <v>8.775</v>
      </c>
      <c r="K119" s="21">
        <f>I119*J119</f>
        <v>131.625</v>
      </c>
      <c r="L119" s="22">
        <f>F119^2/162</f>
        <v>0.8888888888888888</v>
      </c>
      <c r="M119" s="21">
        <f>K119*L119</f>
        <v>117.0</v>
      </c>
      <c r="N119" s="22">
        <f>M119/1000</f>
        <v>0.117</v>
      </c>
      <c r="O119" s="13" t="inlineStr">
        <is>
          <t>BBS</t>
        </is>
      </c>
    </row>
    <row r="120">
      <c r="A120" s="13" t="n">
        <v>115</v>
      </c>
      <c r="B120" s="13" t="inlineStr">
        <is>
          <t>Floor Slabs</t>
        </is>
      </c>
      <c r="C120" s="13" t="inlineStr">
        <is>
          <t>STR-049</t>
        </is>
      </c>
      <c r="D120" s="13" t="inlineStr">
        <is>
          <t>First floor slab - bottom</t>
        </is>
      </c>
      <c r="E120" s="19" t="inlineStr">
        <is>
          <t>1209</t>
        </is>
      </c>
      <c r="F120" s="19" t="n">
        <v>12</v>
      </c>
      <c r="G120" s="19" t="n">
        <v>1</v>
      </c>
      <c r="H120" s="19" t="n">
        <v>93</v>
      </c>
      <c r="I120" s="13">
        <f>G120*H120</f>
        <v>93.0</v>
      </c>
      <c r="J120" s="20">
        <f>8700/1000</f>
        <v>8.7</v>
      </c>
      <c r="K120" s="21">
        <f>I120*J120</f>
        <v>809.0999999999999</v>
      </c>
      <c r="L120" s="22">
        <f>F120^2/162</f>
        <v>0.8888888888888888</v>
      </c>
      <c r="M120" s="21">
        <f>K120*L120</f>
        <v>719.1999999999999</v>
      </c>
      <c r="N120" s="22">
        <f>M120/1000</f>
        <v>0.7192</v>
      </c>
      <c r="O120" s="13" t="inlineStr">
        <is>
          <t>BBS</t>
        </is>
      </c>
    </row>
    <row r="121">
      <c r="A121" s="13" t="n">
        <v>116</v>
      </c>
      <c r="B121" s="13" t="inlineStr">
        <is>
          <t>Floor Slabs</t>
        </is>
      </c>
      <c r="C121" s="13" t="inlineStr">
        <is>
          <t>STR-049</t>
        </is>
      </c>
      <c r="D121" s="13" t="inlineStr">
        <is>
          <t>First floor slab - bottom</t>
        </is>
      </c>
      <c r="E121" s="19" t="inlineStr">
        <is>
          <t>1210</t>
        </is>
      </c>
      <c r="F121" s="19" t="n">
        <v>12</v>
      </c>
      <c r="G121" s="19" t="n">
        <v>1</v>
      </c>
      <c r="H121" s="19" t="n">
        <v>122</v>
      </c>
      <c r="I121" s="13">
        <f>G121*H121</f>
        <v>122.0</v>
      </c>
      <c r="J121" s="20">
        <f>6350/1000</f>
        <v>6.35</v>
      </c>
      <c r="K121" s="21">
        <f>I121*J121</f>
        <v>774.6999999999999</v>
      </c>
      <c r="L121" s="22">
        <f>F121^2/162</f>
        <v>0.8888888888888888</v>
      </c>
      <c r="M121" s="21">
        <f>K121*L121</f>
        <v>688.6222222222221</v>
      </c>
      <c r="N121" s="22">
        <f>M121/1000</f>
        <v>0.6886222222222221</v>
      </c>
      <c r="O121" s="13" t="inlineStr">
        <is>
          <t>BBS</t>
        </is>
      </c>
    </row>
    <row r="122">
      <c r="A122" s="13" t="n">
        <v>117</v>
      </c>
      <c r="B122" s="13" t="inlineStr">
        <is>
          <t>Floor Slabs</t>
        </is>
      </c>
      <c r="C122" s="13" t="inlineStr">
        <is>
          <t>STR-049</t>
        </is>
      </c>
      <c r="D122" s="13" t="inlineStr">
        <is>
          <t>First floor slab - bottom</t>
        </is>
      </c>
      <c r="E122" s="19" t="inlineStr">
        <is>
          <t>1211</t>
        </is>
      </c>
      <c r="F122" s="19" t="n">
        <v>12</v>
      </c>
      <c r="G122" s="19" t="n">
        <v>1</v>
      </c>
      <c r="H122" s="19" t="n">
        <v>13</v>
      </c>
      <c r="I122" s="13">
        <f>G122*H122</f>
        <v>13.0</v>
      </c>
      <c r="J122" s="20">
        <f>6600/1000</f>
        <v>6.6</v>
      </c>
      <c r="K122" s="21">
        <f>I122*J122</f>
        <v>85.8</v>
      </c>
      <c r="L122" s="22">
        <f>F122^2/162</f>
        <v>0.8888888888888888</v>
      </c>
      <c r="M122" s="21">
        <f>K122*L122</f>
        <v>76.26666666666667</v>
      </c>
      <c r="N122" s="22">
        <f>M122/1000</f>
        <v>0.07626666666666666</v>
      </c>
      <c r="O122" s="13" t="inlineStr">
        <is>
          <t>BBS</t>
        </is>
      </c>
    </row>
    <row r="123">
      <c r="A123" s="13" t="n">
        <v>118</v>
      </c>
      <c r="B123" s="13" t="inlineStr">
        <is>
          <t>Floor Slabs</t>
        </is>
      </c>
      <c r="C123" s="13" t="inlineStr">
        <is>
          <t>STR-049</t>
        </is>
      </c>
      <c r="D123" s="13" t="inlineStr">
        <is>
          <t>First floor slab - bottom</t>
        </is>
      </c>
      <c r="E123" s="19" t="inlineStr">
        <is>
          <t>1212</t>
        </is>
      </c>
      <c r="F123" s="19" t="n">
        <v>12</v>
      </c>
      <c r="G123" s="19" t="n">
        <v>1</v>
      </c>
      <c r="H123" s="19" t="n">
        <v>154</v>
      </c>
      <c r="I123" s="13">
        <f>G123*H123</f>
        <v>154.0</v>
      </c>
      <c r="J123" s="20">
        <f>12000/1000</f>
        <v>12.0</v>
      </c>
      <c r="K123" s="21">
        <f>I123*J123</f>
        <v>1848.0</v>
      </c>
      <c r="L123" s="22">
        <f>F123^2/162</f>
        <v>0.8888888888888888</v>
      </c>
      <c r="M123" s="21">
        <f>K123*L123</f>
        <v>1642.6666666666665</v>
      </c>
      <c r="N123" s="22">
        <f>M123/1000</f>
        <v>1.6426666666666665</v>
      </c>
      <c r="O123" s="13" t="inlineStr">
        <is>
          <t>BBS</t>
        </is>
      </c>
    </row>
    <row r="124">
      <c r="A124" s="13" t="n">
        <v>119</v>
      </c>
      <c r="B124" s="13" t="inlineStr">
        <is>
          <t>Floor Slabs</t>
        </is>
      </c>
      <c r="C124" s="13" t="inlineStr">
        <is>
          <t>STR-049</t>
        </is>
      </c>
      <c r="D124" s="13" t="inlineStr">
        <is>
          <t>First floor slab - bottom</t>
        </is>
      </c>
      <c r="E124" s="19" t="inlineStr">
        <is>
          <t>1213</t>
        </is>
      </c>
      <c r="F124" s="19" t="n">
        <v>12</v>
      </c>
      <c r="G124" s="19" t="n">
        <v>1</v>
      </c>
      <c r="H124" s="19" t="n">
        <v>73</v>
      </c>
      <c r="I124" s="13">
        <f>G124*H124</f>
        <v>73.0</v>
      </c>
      <c r="J124" s="20">
        <f>8100/1000</f>
        <v>8.1</v>
      </c>
      <c r="K124" s="21">
        <f>I124*J124</f>
        <v>591.3</v>
      </c>
      <c r="L124" s="22">
        <f>F124^2/162</f>
        <v>0.8888888888888888</v>
      </c>
      <c r="M124" s="21">
        <f>K124*L124</f>
        <v>525.5999999999999</v>
      </c>
      <c r="N124" s="22">
        <f>M124/1000</f>
        <v>0.5256</v>
      </c>
      <c r="O124" s="13" t="inlineStr">
        <is>
          <t>BBS</t>
        </is>
      </c>
    </row>
    <row r="125">
      <c r="A125" s="13" t="n">
        <v>120</v>
      </c>
      <c r="B125" s="13" t="inlineStr">
        <is>
          <t>Floor Slabs</t>
        </is>
      </c>
      <c r="C125" s="13" t="inlineStr">
        <is>
          <t>STR-049</t>
        </is>
      </c>
      <c r="D125" s="13" t="inlineStr">
        <is>
          <t>First floor slab - bottom</t>
        </is>
      </c>
      <c r="E125" s="19" t="inlineStr">
        <is>
          <t>1214</t>
        </is>
      </c>
      <c r="F125" s="19" t="n">
        <v>12</v>
      </c>
      <c r="G125" s="19" t="n">
        <v>1</v>
      </c>
      <c r="H125" s="19" t="n">
        <v>13</v>
      </c>
      <c r="I125" s="13">
        <f>G125*H125</f>
        <v>13.0</v>
      </c>
      <c r="J125" s="20">
        <f>4200/1000</f>
        <v>4.2</v>
      </c>
      <c r="K125" s="21">
        <f>I125*J125</f>
        <v>54.6</v>
      </c>
      <c r="L125" s="22">
        <f>F125^2/162</f>
        <v>0.8888888888888888</v>
      </c>
      <c r="M125" s="21">
        <f>K125*L125</f>
        <v>48.53333333333333</v>
      </c>
      <c r="N125" s="22">
        <f>M125/1000</f>
        <v>0.04853333333333333</v>
      </c>
      <c r="O125" s="13" t="inlineStr">
        <is>
          <t>BBS</t>
        </is>
      </c>
    </row>
    <row r="126">
      <c r="A126" s="13" t="n">
        <v>121</v>
      </c>
      <c r="B126" s="13" t="inlineStr">
        <is>
          <t>Floor Slabs</t>
        </is>
      </c>
      <c r="C126" s="13" t="inlineStr">
        <is>
          <t>STR-049</t>
        </is>
      </c>
      <c r="D126" s="13" t="inlineStr">
        <is>
          <t>First floor slab - bottom</t>
        </is>
      </c>
      <c r="E126" s="19" t="inlineStr">
        <is>
          <t>1215</t>
        </is>
      </c>
      <c r="F126" s="19" t="n">
        <v>12</v>
      </c>
      <c r="G126" s="19" t="n">
        <v>1</v>
      </c>
      <c r="H126" s="19" t="n">
        <v>74</v>
      </c>
      <c r="I126" s="13">
        <f>G126*H126</f>
        <v>74.0</v>
      </c>
      <c r="J126" s="20">
        <f>12000/1000</f>
        <v>12.0</v>
      </c>
      <c r="K126" s="21">
        <f>I126*J126</f>
        <v>888.0</v>
      </c>
      <c r="L126" s="22">
        <f>F126^2/162</f>
        <v>0.8888888888888888</v>
      </c>
      <c r="M126" s="21">
        <f>K126*L126</f>
        <v>789.3333333333333</v>
      </c>
      <c r="N126" s="22">
        <f>M126/1000</f>
        <v>0.7893333333333332</v>
      </c>
      <c r="O126" s="13" t="inlineStr">
        <is>
          <t>BBS</t>
        </is>
      </c>
    </row>
    <row r="127">
      <c r="A127" s="13" t="n">
        <v>122</v>
      </c>
      <c r="B127" s="13" t="inlineStr">
        <is>
          <t>Floor Slabs</t>
        </is>
      </c>
      <c r="C127" s="13" t="inlineStr">
        <is>
          <t>STR-049</t>
        </is>
      </c>
      <c r="D127" s="13" t="inlineStr">
        <is>
          <t>First floor slab - bottom</t>
        </is>
      </c>
      <c r="E127" s="19" t="inlineStr">
        <is>
          <t>1216</t>
        </is>
      </c>
      <c r="F127" s="19" t="n">
        <v>12</v>
      </c>
      <c r="G127" s="19" t="n">
        <v>1</v>
      </c>
      <c r="H127" s="19" t="n">
        <v>37</v>
      </c>
      <c r="I127" s="13">
        <f>G127*H127</f>
        <v>37.0</v>
      </c>
      <c r="J127" s="20">
        <f>5550/1000</f>
        <v>5.55</v>
      </c>
      <c r="K127" s="21">
        <f>I127*J127</f>
        <v>205.35</v>
      </c>
      <c r="L127" s="22">
        <f>F127^2/162</f>
        <v>0.8888888888888888</v>
      </c>
      <c r="M127" s="21">
        <f>K127*L127</f>
        <v>182.53333333333333</v>
      </c>
      <c r="N127" s="22">
        <f>M127/1000</f>
        <v>0.18253333333333333</v>
      </c>
      <c r="O127" s="13" t="inlineStr">
        <is>
          <t>BBS</t>
        </is>
      </c>
    </row>
    <row r="128">
      <c r="A128" s="13" t="n">
        <v>123</v>
      </c>
      <c r="B128" s="13" t="inlineStr">
        <is>
          <t>Floor Slabs</t>
        </is>
      </c>
      <c r="C128" s="13" t="inlineStr">
        <is>
          <t>STR-049</t>
        </is>
      </c>
      <c r="D128" s="13" t="inlineStr">
        <is>
          <t>First floor slab - bottom</t>
        </is>
      </c>
      <c r="E128" s="19" t="inlineStr">
        <is>
          <t>1217</t>
        </is>
      </c>
      <c r="F128" s="19" t="n">
        <v>12</v>
      </c>
      <c r="G128" s="19" t="n">
        <v>1</v>
      </c>
      <c r="H128" s="19" t="n">
        <v>44</v>
      </c>
      <c r="I128" s="13">
        <f>G128*H128</f>
        <v>44.0</v>
      </c>
      <c r="J128" s="20">
        <f>11750/1000</f>
        <v>11.75</v>
      </c>
      <c r="K128" s="21">
        <f>I128*J128</f>
        <v>517.0</v>
      </c>
      <c r="L128" s="22">
        <f>F128^2/162</f>
        <v>0.8888888888888888</v>
      </c>
      <c r="M128" s="21">
        <f>K128*L128</f>
        <v>459.55555555555554</v>
      </c>
      <c r="N128" s="22">
        <f>M128/1000</f>
        <v>0.45955555555555555</v>
      </c>
      <c r="O128" s="13" t="inlineStr">
        <is>
          <t>BBS</t>
        </is>
      </c>
    </row>
    <row r="129">
      <c r="A129" s="13" t="n">
        <v>124</v>
      </c>
      <c r="B129" s="13" t="inlineStr">
        <is>
          <t>Floor Slabs</t>
        </is>
      </c>
      <c r="C129" s="13" t="inlineStr">
        <is>
          <t>STR-049</t>
        </is>
      </c>
      <c r="D129" s="13" t="inlineStr">
        <is>
          <t>First floor slab - bottom</t>
        </is>
      </c>
      <c r="E129" s="19" t="inlineStr">
        <is>
          <t>1218</t>
        </is>
      </c>
      <c r="F129" s="19" t="n">
        <v>12</v>
      </c>
      <c r="G129" s="19" t="n">
        <v>1</v>
      </c>
      <c r="H129" s="19" t="n">
        <v>75</v>
      </c>
      <c r="I129" s="13">
        <f>G129*H129</f>
        <v>75.0</v>
      </c>
      <c r="J129" s="20">
        <f>11500/1000</f>
        <v>11.5</v>
      </c>
      <c r="K129" s="21">
        <f>I129*J129</f>
        <v>862.5</v>
      </c>
      <c r="L129" s="22">
        <f>F129^2/162</f>
        <v>0.8888888888888888</v>
      </c>
      <c r="M129" s="21">
        <f>K129*L129</f>
        <v>766.6666666666666</v>
      </c>
      <c r="N129" s="22">
        <f>M129/1000</f>
        <v>0.7666666666666666</v>
      </c>
      <c r="O129" s="13" t="inlineStr">
        <is>
          <t>BBS</t>
        </is>
      </c>
    </row>
    <row r="130">
      <c r="A130" s="13" t="n">
        <v>125</v>
      </c>
      <c r="B130" s="13" t="inlineStr">
        <is>
          <t>Floor Slabs</t>
        </is>
      </c>
      <c r="C130" s="13" t="inlineStr">
        <is>
          <t>STR-049</t>
        </is>
      </c>
      <c r="D130" s="13" t="inlineStr">
        <is>
          <t>First floor slab - bottom</t>
        </is>
      </c>
      <c r="E130" s="19" t="inlineStr">
        <is>
          <t>1601</t>
        </is>
      </c>
      <c r="F130" s="19" t="n">
        <v>16</v>
      </c>
      <c r="G130" s="19" t="n">
        <v>1</v>
      </c>
      <c r="H130" s="19" t="n">
        <v>95</v>
      </c>
      <c r="I130" s="13">
        <f>G130*H130</f>
        <v>95.0</v>
      </c>
      <c r="J130" s="20">
        <f>8375/1000</f>
        <v>8.375</v>
      </c>
      <c r="K130" s="21">
        <f>I130*J130</f>
        <v>795.625</v>
      </c>
      <c r="L130" s="22">
        <f>F130^2/162</f>
        <v>1.5802469135802468</v>
      </c>
      <c r="M130" s="21">
        <f>K130*L130</f>
        <v>1257.2839506172838</v>
      </c>
      <c r="N130" s="22">
        <f>M130/1000</f>
        <v>1.257283950617284</v>
      </c>
      <c r="O130" s="13" t="inlineStr">
        <is>
          <t>BBS</t>
        </is>
      </c>
    </row>
    <row r="131">
      <c r="A131" s="13" t="n">
        <v>126</v>
      </c>
      <c r="B131" s="13" t="inlineStr">
        <is>
          <t>Floor Slabs</t>
        </is>
      </c>
      <c r="C131" s="13" t="inlineStr">
        <is>
          <t>STR-049</t>
        </is>
      </c>
      <c r="D131" s="13" t="inlineStr">
        <is>
          <t>First floor slab - bottom</t>
        </is>
      </c>
      <c r="E131" s="19" t="inlineStr">
        <is>
          <t>1602</t>
        </is>
      </c>
      <c r="F131" s="19" t="n">
        <v>16</v>
      </c>
      <c r="G131" s="19" t="n">
        <v>1</v>
      </c>
      <c r="H131" s="19" t="n">
        <v>95</v>
      </c>
      <c r="I131" s="13">
        <f>G131*H131</f>
        <v>95.0</v>
      </c>
      <c r="J131" s="20">
        <f>8275/1000</f>
        <v>8.275</v>
      </c>
      <c r="K131" s="21">
        <f>I131*J131</f>
        <v>786.125</v>
      </c>
      <c r="L131" s="22">
        <f>F131^2/162</f>
        <v>1.5802469135802468</v>
      </c>
      <c r="M131" s="21">
        <f>K131*L131</f>
        <v>1242.2716049382716</v>
      </c>
      <c r="N131" s="22">
        <f>M131/1000</f>
        <v>1.2422716049382716</v>
      </c>
      <c r="O131" s="13" t="inlineStr">
        <is>
          <t>BBS</t>
        </is>
      </c>
    </row>
    <row r="132">
      <c r="A132" s="13" t="n">
        <v>127</v>
      </c>
      <c r="B132" s="13" t="inlineStr">
        <is>
          <t>Floor Slabs</t>
        </is>
      </c>
      <c r="C132" s="13" t="inlineStr">
        <is>
          <t>STR-050</t>
        </is>
      </c>
      <c r="D132" s="13" t="inlineStr">
        <is>
          <t>First floor slab - top</t>
        </is>
      </c>
      <c r="E132" s="19" t="inlineStr">
        <is>
          <t>1223</t>
        </is>
      </c>
      <c r="F132" s="19" t="n">
        <v>12</v>
      </c>
      <c r="G132" s="19" t="n">
        <v>1</v>
      </c>
      <c r="H132" s="19" t="n">
        <v>126</v>
      </c>
      <c r="I132" s="13">
        <f>G132*H132</f>
        <v>126.0</v>
      </c>
      <c r="J132" s="20">
        <f>8275/1000</f>
        <v>8.275</v>
      </c>
      <c r="K132" s="21">
        <f>I132*J132</f>
        <v>1042.65</v>
      </c>
      <c r="L132" s="22">
        <f>F132^2/162</f>
        <v>0.8888888888888888</v>
      </c>
      <c r="M132" s="21">
        <f>K132*L132</f>
        <v>926.8000000000001</v>
      </c>
      <c r="N132" s="22">
        <f>M132/1000</f>
        <v>0.9268000000000001</v>
      </c>
      <c r="O132" s="13" t="inlineStr">
        <is>
          <t>BBS</t>
        </is>
      </c>
    </row>
    <row r="133">
      <c r="A133" s="13" t="n">
        <v>128</v>
      </c>
      <c r="B133" s="13" t="inlineStr">
        <is>
          <t>Floor Slabs</t>
        </is>
      </c>
      <c r="C133" s="13" t="inlineStr">
        <is>
          <t>STR-050</t>
        </is>
      </c>
      <c r="D133" s="13" t="inlineStr">
        <is>
          <t>First floor slab - top</t>
        </is>
      </c>
      <c r="E133" s="19" t="inlineStr">
        <is>
          <t>1224</t>
        </is>
      </c>
      <c r="F133" s="19" t="n">
        <v>12</v>
      </c>
      <c r="G133" s="19" t="n">
        <v>1</v>
      </c>
      <c r="H133" s="19" t="n">
        <v>106</v>
      </c>
      <c r="I133" s="13">
        <f>G133*H133</f>
        <v>106.0</v>
      </c>
      <c r="J133" s="20">
        <f>11000/1000</f>
        <v>11.0</v>
      </c>
      <c r="K133" s="21">
        <f>I133*J133</f>
        <v>1166.0</v>
      </c>
      <c r="L133" s="22">
        <f>F133^2/162</f>
        <v>0.8888888888888888</v>
      </c>
      <c r="M133" s="21">
        <f>K133*L133</f>
        <v>1036.4444444444443</v>
      </c>
      <c r="N133" s="22">
        <f>M133/1000</f>
        <v>1.0364444444444443</v>
      </c>
      <c r="O133" s="13" t="inlineStr">
        <is>
          <t>BBS</t>
        </is>
      </c>
    </row>
    <row r="134">
      <c r="A134" s="13" t="n">
        <v>129</v>
      </c>
      <c r="B134" s="13" t="inlineStr">
        <is>
          <t>Floor Slabs</t>
        </is>
      </c>
      <c r="C134" s="13" t="inlineStr">
        <is>
          <t>STR-050</t>
        </is>
      </c>
      <c r="D134" s="13" t="inlineStr">
        <is>
          <t>First floor slab - top</t>
        </is>
      </c>
      <c r="E134" s="19" t="inlineStr">
        <is>
          <t>1225</t>
        </is>
      </c>
      <c r="F134" s="19" t="n">
        <v>12</v>
      </c>
      <c r="G134" s="19" t="n">
        <v>1</v>
      </c>
      <c r="H134" s="19" t="n">
        <v>62</v>
      </c>
      <c r="I134" s="13">
        <f>G134*H134</f>
        <v>62.0</v>
      </c>
      <c r="J134" s="20">
        <f>9800/1000</f>
        <v>9.8</v>
      </c>
      <c r="K134" s="21">
        <f>I134*J134</f>
        <v>607.6</v>
      </c>
      <c r="L134" s="22">
        <f>F134^2/162</f>
        <v>0.8888888888888888</v>
      </c>
      <c r="M134" s="21">
        <f>K134*L134</f>
        <v>540.0888888888888</v>
      </c>
      <c r="N134" s="22">
        <f>M134/1000</f>
        <v>0.5400888888888888</v>
      </c>
      <c r="O134" s="13" t="inlineStr">
        <is>
          <t>BBS</t>
        </is>
      </c>
    </row>
    <row r="135">
      <c r="A135" s="13" t="n">
        <v>130</v>
      </c>
      <c r="B135" s="13" t="inlineStr">
        <is>
          <t>Floor Slabs</t>
        </is>
      </c>
      <c r="C135" s="13" t="inlineStr">
        <is>
          <t>STR-050</t>
        </is>
      </c>
      <c r="D135" s="13" t="inlineStr">
        <is>
          <t>First floor slab - top</t>
        </is>
      </c>
      <c r="E135" s="19" t="inlineStr">
        <is>
          <t>1226</t>
        </is>
      </c>
      <c r="F135" s="19" t="n">
        <v>12</v>
      </c>
      <c r="G135" s="19" t="n">
        <v>1</v>
      </c>
      <c r="H135" s="19" t="n">
        <v>106</v>
      </c>
      <c r="I135" s="13">
        <f>G135*H135</f>
        <v>106.0</v>
      </c>
      <c r="J135" s="20">
        <f>8000/1000</f>
        <v>8.0</v>
      </c>
      <c r="K135" s="21">
        <f>I135*J135</f>
        <v>848.0</v>
      </c>
      <c r="L135" s="22">
        <f>F135^2/162</f>
        <v>0.8888888888888888</v>
      </c>
      <c r="M135" s="21">
        <f>K135*L135</f>
        <v>753.7777777777777</v>
      </c>
      <c r="N135" s="22">
        <f>M135/1000</f>
        <v>0.7537777777777778</v>
      </c>
      <c r="O135" s="13" t="inlineStr">
        <is>
          <t>BBS</t>
        </is>
      </c>
    </row>
    <row r="136">
      <c r="A136" s="13" t="n">
        <v>131</v>
      </c>
      <c r="B136" s="13" t="inlineStr">
        <is>
          <t>Floor Slabs</t>
        </is>
      </c>
      <c r="C136" s="13" t="inlineStr">
        <is>
          <t>STR-050</t>
        </is>
      </c>
      <c r="D136" s="13" t="inlineStr">
        <is>
          <t>First floor slab - top</t>
        </is>
      </c>
      <c r="E136" s="19" t="inlineStr">
        <is>
          <t>1227</t>
        </is>
      </c>
      <c r="F136" s="19" t="n">
        <v>12</v>
      </c>
      <c r="G136" s="19" t="n">
        <v>1</v>
      </c>
      <c r="H136" s="19" t="n">
        <v>106</v>
      </c>
      <c r="I136" s="13">
        <f>G136*H136</f>
        <v>106.0</v>
      </c>
      <c r="J136" s="20">
        <f>8800/1000</f>
        <v>8.8</v>
      </c>
      <c r="K136" s="21">
        <f>I136*J136</f>
        <v>932.8000000000001</v>
      </c>
      <c r="L136" s="22">
        <f>F136^2/162</f>
        <v>0.8888888888888888</v>
      </c>
      <c r="M136" s="21">
        <f>K136*L136</f>
        <v>829.1555555555556</v>
      </c>
      <c r="N136" s="22">
        <f>M136/1000</f>
        <v>0.8291555555555555</v>
      </c>
      <c r="O136" s="13" t="inlineStr">
        <is>
          <t>BBS</t>
        </is>
      </c>
    </row>
    <row r="137">
      <c r="A137" s="13" t="n">
        <v>132</v>
      </c>
      <c r="B137" s="13" t="inlineStr">
        <is>
          <t>Floor Slabs</t>
        </is>
      </c>
      <c r="C137" s="13" t="inlineStr">
        <is>
          <t>STR-050</t>
        </is>
      </c>
      <c r="D137" s="13" t="inlineStr">
        <is>
          <t>First floor slab - top</t>
        </is>
      </c>
      <c r="E137" s="19" t="inlineStr">
        <is>
          <t>1228</t>
        </is>
      </c>
      <c r="F137" s="19" t="n">
        <v>12</v>
      </c>
      <c r="G137" s="19" t="n">
        <v>1</v>
      </c>
      <c r="H137" s="19" t="n">
        <v>13</v>
      </c>
      <c r="I137" s="13">
        <f>G137*H137</f>
        <v>13.0</v>
      </c>
      <c r="J137" s="20">
        <f>3225/1000</f>
        <v>3.225</v>
      </c>
      <c r="K137" s="21">
        <f>I137*J137</f>
        <v>41.925000000000004</v>
      </c>
      <c r="L137" s="22">
        <f>F137^2/162</f>
        <v>0.8888888888888888</v>
      </c>
      <c r="M137" s="21">
        <f>K137*L137</f>
        <v>37.266666666666666</v>
      </c>
      <c r="N137" s="22">
        <f>M137/1000</f>
        <v>0.03726666666666666</v>
      </c>
      <c r="O137" s="13" t="inlineStr">
        <is>
          <t>BBS</t>
        </is>
      </c>
    </row>
    <row r="138">
      <c r="A138" s="13" t="n">
        <v>133</v>
      </c>
      <c r="B138" s="13" t="inlineStr">
        <is>
          <t>Floor Slabs</t>
        </is>
      </c>
      <c r="C138" s="13" t="inlineStr">
        <is>
          <t>STR-050</t>
        </is>
      </c>
      <c r="D138" s="13" t="inlineStr">
        <is>
          <t>First floor slab - top</t>
        </is>
      </c>
      <c r="E138" s="19" t="inlineStr">
        <is>
          <t>1229</t>
        </is>
      </c>
      <c r="F138" s="19" t="n">
        <v>12</v>
      </c>
      <c r="G138" s="19" t="n">
        <v>1</v>
      </c>
      <c r="H138" s="19" t="n">
        <v>21</v>
      </c>
      <c r="I138" s="13">
        <f>G138*H138</f>
        <v>21.0</v>
      </c>
      <c r="J138" s="20">
        <f>8650/1000</f>
        <v>8.65</v>
      </c>
      <c r="K138" s="21">
        <f>I138*J138</f>
        <v>181.65</v>
      </c>
      <c r="L138" s="22">
        <f>F138^2/162</f>
        <v>0.8888888888888888</v>
      </c>
      <c r="M138" s="21">
        <f>K138*L138</f>
        <v>161.46666666666667</v>
      </c>
      <c r="N138" s="22">
        <f>M138/1000</f>
        <v>0.16146666666666668</v>
      </c>
      <c r="O138" s="13" t="inlineStr">
        <is>
          <t>BBS</t>
        </is>
      </c>
    </row>
    <row r="139">
      <c r="A139" s="13" t="n">
        <v>134</v>
      </c>
      <c r="B139" s="13" t="inlineStr">
        <is>
          <t>Floor Slabs</t>
        </is>
      </c>
      <c r="C139" s="13" t="inlineStr">
        <is>
          <t>STR-050</t>
        </is>
      </c>
      <c r="D139" s="13" t="inlineStr">
        <is>
          <t>First floor slab - top</t>
        </is>
      </c>
      <c r="E139" s="19" t="inlineStr">
        <is>
          <t>1230</t>
        </is>
      </c>
      <c r="F139" s="19" t="n">
        <v>12</v>
      </c>
      <c r="G139" s="19" t="n">
        <v>1</v>
      </c>
      <c r="H139" s="19" t="n">
        <v>47</v>
      </c>
      <c r="I139" s="13">
        <f>G139*H139</f>
        <v>47.0</v>
      </c>
      <c r="J139" s="20">
        <f>9400/1000</f>
        <v>9.4</v>
      </c>
      <c r="K139" s="21">
        <f>I139*J139</f>
        <v>441.8</v>
      </c>
      <c r="L139" s="22">
        <f>F139^2/162</f>
        <v>0.8888888888888888</v>
      </c>
      <c r="M139" s="21">
        <f>K139*L139</f>
        <v>392.7111111111111</v>
      </c>
      <c r="N139" s="22">
        <f>M139/1000</f>
        <v>0.3927111111111111</v>
      </c>
      <c r="O139" s="13" t="inlineStr">
        <is>
          <t>BBS</t>
        </is>
      </c>
    </row>
    <row r="140">
      <c r="A140" s="13" t="n">
        <v>135</v>
      </c>
      <c r="B140" s="13" t="inlineStr">
        <is>
          <t>Floor Slabs</t>
        </is>
      </c>
      <c r="C140" s="13" t="inlineStr">
        <is>
          <t>STR-050</t>
        </is>
      </c>
      <c r="D140" s="13" t="inlineStr">
        <is>
          <t>First floor slab - top</t>
        </is>
      </c>
      <c r="E140" s="19" t="inlineStr">
        <is>
          <t>1231</t>
        </is>
      </c>
      <c r="F140" s="19" t="n">
        <v>12</v>
      </c>
      <c r="G140" s="19" t="n">
        <v>1</v>
      </c>
      <c r="H140" s="19" t="n">
        <v>106</v>
      </c>
      <c r="I140" s="13">
        <f>G140*H140</f>
        <v>106.0</v>
      </c>
      <c r="J140" s="20">
        <f>8650/1000</f>
        <v>8.65</v>
      </c>
      <c r="K140" s="21">
        <f>I140*J140</f>
        <v>916.9000000000001</v>
      </c>
      <c r="L140" s="22">
        <f>F140^2/162</f>
        <v>0.8888888888888888</v>
      </c>
      <c r="M140" s="21">
        <f>K140*L140</f>
        <v>815.0222222222222</v>
      </c>
      <c r="N140" s="22">
        <f>M140/1000</f>
        <v>0.8150222222222222</v>
      </c>
      <c r="O140" s="13" t="inlineStr">
        <is>
          <t>BBS</t>
        </is>
      </c>
    </row>
    <row r="141">
      <c r="A141" s="13" t="n">
        <v>136</v>
      </c>
      <c r="B141" s="13" t="inlineStr">
        <is>
          <t>Floor Slabs</t>
        </is>
      </c>
      <c r="C141" s="13" t="inlineStr">
        <is>
          <t>STR-050</t>
        </is>
      </c>
      <c r="D141" s="13" t="inlineStr">
        <is>
          <t>First floor slab - top</t>
        </is>
      </c>
      <c r="E141" s="19" t="inlineStr">
        <is>
          <t>1232</t>
        </is>
      </c>
      <c r="F141" s="19" t="n">
        <v>12</v>
      </c>
      <c r="G141" s="19" t="n">
        <v>1</v>
      </c>
      <c r="H141" s="19" t="n">
        <v>106</v>
      </c>
      <c r="I141" s="13">
        <f>G141*H141</f>
        <v>106.0</v>
      </c>
      <c r="J141" s="20">
        <f>4600/1000</f>
        <v>4.6</v>
      </c>
      <c r="K141" s="21">
        <f>I141*J141</f>
        <v>487.59999999999997</v>
      </c>
      <c r="L141" s="22">
        <f>F141^2/162</f>
        <v>0.8888888888888888</v>
      </c>
      <c r="M141" s="21">
        <f>K141*L141</f>
        <v>433.42222222222216</v>
      </c>
      <c r="N141" s="22">
        <f>M141/1000</f>
        <v>0.43342222222222215</v>
      </c>
      <c r="O141" s="13" t="inlineStr">
        <is>
          <t>BBS</t>
        </is>
      </c>
    </row>
    <row r="142">
      <c r="A142" s="13" t="n">
        <v>137</v>
      </c>
      <c r="B142" s="13" t="inlineStr">
        <is>
          <t>Floor Slabs</t>
        </is>
      </c>
      <c r="C142" s="13" t="inlineStr">
        <is>
          <t>STR-050</t>
        </is>
      </c>
      <c r="D142" s="13" t="inlineStr">
        <is>
          <t>First floor slab - top</t>
        </is>
      </c>
      <c r="E142" s="19" t="inlineStr">
        <is>
          <t>1233</t>
        </is>
      </c>
      <c r="F142" s="19" t="n">
        <v>12</v>
      </c>
      <c r="G142" s="19" t="n">
        <v>1</v>
      </c>
      <c r="H142" s="19" t="n">
        <v>95</v>
      </c>
      <c r="I142" s="13">
        <f>G142*H142</f>
        <v>95.0</v>
      </c>
      <c r="J142" s="20">
        <f>8375/1000</f>
        <v>8.375</v>
      </c>
      <c r="K142" s="21">
        <f>I142*J142</f>
        <v>795.625</v>
      </c>
      <c r="L142" s="22">
        <f>F142^2/162</f>
        <v>0.8888888888888888</v>
      </c>
      <c r="M142" s="21">
        <f>K142*L142</f>
        <v>707.2222222222222</v>
      </c>
      <c r="N142" s="22">
        <f>M142/1000</f>
        <v>0.7072222222222222</v>
      </c>
      <c r="O142" s="13" t="inlineStr">
        <is>
          <t>BBS</t>
        </is>
      </c>
    </row>
    <row r="143">
      <c r="A143" s="13" t="n">
        <v>138</v>
      </c>
      <c r="B143" s="13" t="inlineStr">
        <is>
          <t>Floor Slabs</t>
        </is>
      </c>
      <c r="C143" s="13" t="inlineStr">
        <is>
          <t>STR-050</t>
        </is>
      </c>
      <c r="D143" s="13" t="inlineStr">
        <is>
          <t>First floor slab - top</t>
        </is>
      </c>
      <c r="E143" s="19" t="inlineStr">
        <is>
          <t>1234</t>
        </is>
      </c>
      <c r="F143" s="19" t="n">
        <v>12</v>
      </c>
      <c r="G143" s="19" t="n">
        <v>1</v>
      </c>
      <c r="H143" s="19" t="n">
        <v>162</v>
      </c>
      <c r="I143" s="13">
        <f>G143*H143</f>
        <v>162.0</v>
      </c>
      <c r="J143" s="20">
        <f>10150/1000</f>
        <v>10.15</v>
      </c>
      <c r="K143" s="21">
        <f>I143*J143</f>
        <v>1644.3</v>
      </c>
      <c r="L143" s="22">
        <f>F143^2/162</f>
        <v>0.8888888888888888</v>
      </c>
      <c r="M143" s="21">
        <f>K143*L143</f>
        <v>1461.6</v>
      </c>
      <c r="N143" s="22">
        <f>M143/1000</f>
        <v>1.4616</v>
      </c>
      <c r="O143" s="13" t="inlineStr">
        <is>
          <t>BBS</t>
        </is>
      </c>
    </row>
    <row r="144">
      <c r="A144" s="13" t="n">
        <v>139</v>
      </c>
      <c r="B144" s="13" t="inlineStr">
        <is>
          <t>Floor Slabs</t>
        </is>
      </c>
      <c r="C144" s="13" t="inlineStr">
        <is>
          <t>STR-050</t>
        </is>
      </c>
      <c r="D144" s="13" t="inlineStr">
        <is>
          <t>First floor slab - top</t>
        </is>
      </c>
      <c r="E144" s="19" t="inlineStr">
        <is>
          <t>1235</t>
        </is>
      </c>
      <c r="F144" s="19" t="n">
        <v>12</v>
      </c>
      <c r="G144" s="19" t="n">
        <v>1</v>
      </c>
      <c r="H144" s="19" t="n">
        <v>36</v>
      </c>
      <c r="I144" s="13">
        <f>G144*H144</f>
        <v>36.0</v>
      </c>
      <c r="J144" s="20">
        <f>3750/1000</f>
        <v>3.75</v>
      </c>
      <c r="K144" s="21">
        <f>I144*J144</f>
        <v>135.0</v>
      </c>
      <c r="L144" s="22">
        <f>F144^2/162</f>
        <v>0.8888888888888888</v>
      </c>
      <c r="M144" s="21">
        <f>K144*L144</f>
        <v>120.0</v>
      </c>
      <c r="N144" s="22">
        <f>M144/1000</f>
        <v>0.12</v>
      </c>
      <c r="O144" s="13" t="inlineStr">
        <is>
          <t>BBS</t>
        </is>
      </c>
    </row>
    <row r="145">
      <c r="A145" s="13" t="n">
        <v>140</v>
      </c>
      <c r="B145" s="13" t="inlineStr">
        <is>
          <t>Floor Slabs</t>
        </is>
      </c>
      <c r="C145" s="13" t="inlineStr">
        <is>
          <t>STR-050</t>
        </is>
      </c>
      <c r="D145" s="13" t="inlineStr">
        <is>
          <t>First floor slab - top</t>
        </is>
      </c>
      <c r="E145" s="19" t="inlineStr">
        <is>
          <t>1236</t>
        </is>
      </c>
      <c r="F145" s="19" t="n">
        <v>12</v>
      </c>
      <c r="G145" s="19" t="n">
        <v>1</v>
      </c>
      <c r="H145" s="19" t="n">
        <v>74</v>
      </c>
      <c r="I145" s="13">
        <f>G145*H145</f>
        <v>74.0</v>
      </c>
      <c r="J145" s="20">
        <f>9350/1000</f>
        <v>9.35</v>
      </c>
      <c r="K145" s="21">
        <f>I145*J145</f>
        <v>691.9</v>
      </c>
      <c r="L145" s="22">
        <f>F145^2/162</f>
        <v>0.8888888888888888</v>
      </c>
      <c r="M145" s="21">
        <f>K145*L145</f>
        <v>615.0222222222221</v>
      </c>
      <c r="N145" s="22">
        <f>M145/1000</f>
        <v>0.6150222222222221</v>
      </c>
      <c r="O145" s="13" t="inlineStr">
        <is>
          <t>BBS</t>
        </is>
      </c>
    </row>
    <row r="146">
      <c r="A146" s="13" t="n">
        <v>141</v>
      </c>
      <c r="B146" s="13" t="inlineStr">
        <is>
          <t>Floor Slabs</t>
        </is>
      </c>
      <c r="C146" s="13" t="inlineStr">
        <is>
          <t>STR-050</t>
        </is>
      </c>
      <c r="D146" s="13" t="inlineStr">
        <is>
          <t>First floor slab - top</t>
        </is>
      </c>
      <c r="E146" s="19" t="inlineStr">
        <is>
          <t>1237</t>
        </is>
      </c>
      <c r="F146" s="19" t="n">
        <v>12</v>
      </c>
      <c r="G146" s="19" t="n">
        <v>1</v>
      </c>
      <c r="H146" s="19" t="n">
        <v>23</v>
      </c>
      <c r="I146" s="13">
        <f>G146*H146</f>
        <v>23.0</v>
      </c>
      <c r="J146" s="20">
        <f>12000/1000</f>
        <v>12.0</v>
      </c>
      <c r="K146" s="21">
        <f>I146*J146</f>
        <v>276.0</v>
      </c>
      <c r="L146" s="22">
        <f>F146^2/162</f>
        <v>0.8888888888888888</v>
      </c>
      <c r="M146" s="21">
        <f>K146*L146</f>
        <v>245.33333333333331</v>
      </c>
      <c r="N146" s="22">
        <f>M146/1000</f>
        <v>0.24533333333333332</v>
      </c>
      <c r="O146" s="13" t="inlineStr">
        <is>
          <t>BBS</t>
        </is>
      </c>
    </row>
    <row r="147">
      <c r="A147" s="13" t="n">
        <v>142</v>
      </c>
      <c r="B147" s="13" t="inlineStr">
        <is>
          <t>Floor Slabs</t>
        </is>
      </c>
      <c r="C147" s="13" t="inlineStr">
        <is>
          <t>STR-050</t>
        </is>
      </c>
      <c r="D147" s="13" t="inlineStr">
        <is>
          <t>First floor slab - top</t>
        </is>
      </c>
      <c r="E147" s="19" t="inlineStr">
        <is>
          <t>1238</t>
        </is>
      </c>
      <c r="F147" s="19" t="n">
        <v>12</v>
      </c>
      <c r="G147" s="19" t="n">
        <v>1</v>
      </c>
      <c r="H147" s="19" t="n">
        <v>74</v>
      </c>
      <c r="I147" s="13">
        <f>G147*H147</f>
        <v>74.0</v>
      </c>
      <c r="J147" s="20">
        <f>10850/1000</f>
        <v>10.85</v>
      </c>
      <c r="K147" s="21">
        <f>I147*J147</f>
        <v>802.9</v>
      </c>
      <c r="L147" s="22">
        <f>F147^2/162</f>
        <v>0.8888888888888888</v>
      </c>
      <c r="M147" s="21">
        <f>K147*L147</f>
        <v>713.6888888888889</v>
      </c>
      <c r="N147" s="22">
        <f>M147/1000</f>
        <v>0.7136888888888888</v>
      </c>
      <c r="O147" s="13" t="inlineStr">
        <is>
          <t>BBS</t>
        </is>
      </c>
    </row>
    <row r="148">
      <c r="A148" s="13" t="n">
        <v>143</v>
      </c>
      <c r="B148" s="13" t="inlineStr">
        <is>
          <t>Floor Slabs</t>
        </is>
      </c>
      <c r="C148" s="13" t="inlineStr">
        <is>
          <t>STR-050</t>
        </is>
      </c>
      <c r="D148" s="13" t="inlineStr">
        <is>
          <t>First floor slab - top</t>
        </is>
      </c>
      <c r="E148" s="19" t="inlineStr">
        <is>
          <t>1239</t>
        </is>
      </c>
      <c r="F148" s="19" t="n">
        <v>12</v>
      </c>
      <c r="G148" s="19" t="n">
        <v>1</v>
      </c>
      <c r="H148" s="19" t="n">
        <v>357</v>
      </c>
      <c r="I148" s="13">
        <f>G148*H148</f>
        <v>357.0</v>
      </c>
      <c r="J148" s="20">
        <f>8800/1000</f>
        <v>8.8</v>
      </c>
      <c r="K148" s="21">
        <f>I148*J148</f>
        <v>3141.6000000000004</v>
      </c>
      <c r="L148" s="22">
        <f>F148^2/162</f>
        <v>0.8888888888888888</v>
      </c>
      <c r="M148" s="21">
        <f>K148*L148</f>
        <v>2792.5333333333333</v>
      </c>
      <c r="N148" s="22">
        <f>M148/1000</f>
        <v>2.792533333333333</v>
      </c>
      <c r="O148" s="13" t="inlineStr">
        <is>
          <t>BBS</t>
        </is>
      </c>
    </row>
    <row r="149">
      <c r="A149" s="13" t="n">
        <v>144</v>
      </c>
      <c r="B149" s="13" t="inlineStr">
        <is>
          <t>Floor Slabs</t>
        </is>
      </c>
      <c r="C149" s="13" t="inlineStr">
        <is>
          <t>STR-050</t>
        </is>
      </c>
      <c r="D149" s="13" t="inlineStr">
        <is>
          <t>First floor slab - top</t>
        </is>
      </c>
      <c r="E149" s="19" t="inlineStr">
        <is>
          <t>1240</t>
        </is>
      </c>
      <c r="F149" s="19" t="n">
        <v>12</v>
      </c>
      <c r="G149" s="19" t="n">
        <v>1</v>
      </c>
      <c r="H149" s="19" t="n">
        <v>212</v>
      </c>
      <c r="I149" s="13">
        <f>G149*H149</f>
        <v>212.0</v>
      </c>
      <c r="J149" s="20">
        <f>11200/1000</f>
        <v>11.2</v>
      </c>
      <c r="K149" s="21">
        <f>I149*J149</f>
        <v>2374.3999999999996</v>
      </c>
      <c r="L149" s="22">
        <f>F149^2/162</f>
        <v>0.8888888888888888</v>
      </c>
      <c r="M149" s="21">
        <f>K149*L149</f>
        <v>2110.5777777777776</v>
      </c>
      <c r="N149" s="22">
        <f>M149/1000</f>
        <v>2.1105777777777774</v>
      </c>
      <c r="O149" s="13" t="inlineStr">
        <is>
          <t>BBS</t>
        </is>
      </c>
    </row>
    <row r="150">
      <c r="A150" s="13" t="n">
        <v>145</v>
      </c>
      <c r="B150" s="13" t="inlineStr">
        <is>
          <t>Floor Slabs</t>
        </is>
      </c>
      <c r="C150" s="13" t="inlineStr">
        <is>
          <t>STR-050</t>
        </is>
      </c>
      <c r="D150" s="13" t="inlineStr">
        <is>
          <t>First floor slab - top</t>
        </is>
      </c>
      <c r="E150" s="19" t="inlineStr">
        <is>
          <t>1241</t>
        </is>
      </c>
      <c r="F150" s="19" t="n">
        <v>12</v>
      </c>
      <c r="G150" s="19" t="n">
        <v>1</v>
      </c>
      <c r="H150" s="19" t="n">
        <v>7</v>
      </c>
      <c r="I150" s="13">
        <f>G150*H150</f>
        <v>7.0</v>
      </c>
      <c r="J150" s="20">
        <f>8500/1000</f>
        <v>8.5</v>
      </c>
      <c r="K150" s="21">
        <f>I150*J150</f>
        <v>59.5</v>
      </c>
      <c r="L150" s="22">
        <f>F150^2/162</f>
        <v>0.8888888888888888</v>
      </c>
      <c r="M150" s="21">
        <f>K150*L150</f>
        <v>52.888888888888886</v>
      </c>
      <c r="N150" s="22">
        <f>M150/1000</f>
        <v>0.05288888888888889</v>
      </c>
      <c r="O150" s="13" t="inlineStr">
        <is>
          <t>BBS</t>
        </is>
      </c>
    </row>
    <row r="151">
      <c r="A151" s="13" t="n">
        <v>146</v>
      </c>
      <c r="B151" s="13" t="inlineStr">
        <is>
          <t>Floor Slabs</t>
        </is>
      </c>
      <c r="C151" s="13" t="inlineStr">
        <is>
          <t>STR-050</t>
        </is>
      </c>
      <c r="D151" s="13" t="inlineStr">
        <is>
          <t>First floor slab - top</t>
        </is>
      </c>
      <c r="E151" s="19" t="inlineStr">
        <is>
          <t>1242</t>
        </is>
      </c>
      <c r="F151" s="19" t="n">
        <v>12</v>
      </c>
      <c r="G151" s="19" t="n">
        <v>1</v>
      </c>
      <c r="H151" s="19" t="n">
        <v>73</v>
      </c>
      <c r="I151" s="13">
        <f>G151*H151</f>
        <v>73.0</v>
      </c>
      <c r="J151" s="20">
        <f>9350/1000</f>
        <v>9.35</v>
      </c>
      <c r="K151" s="21">
        <f>I151*J151</f>
        <v>682.55</v>
      </c>
      <c r="L151" s="22">
        <f>F151^2/162</f>
        <v>0.8888888888888888</v>
      </c>
      <c r="M151" s="21">
        <f>K151*L151</f>
        <v>606.711111111111</v>
      </c>
      <c r="N151" s="22">
        <f>M151/1000</f>
        <v>0.606711111111111</v>
      </c>
      <c r="O151" s="13" t="inlineStr">
        <is>
          <t>BBS</t>
        </is>
      </c>
    </row>
    <row r="152">
      <c r="A152" s="13" t="n">
        <v>147</v>
      </c>
      <c r="B152" s="13" t="inlineStr">
        <is>
          <t>Floor Slabs</t>
        </is>
      </c>
      <c r="C152" s="13" t="inlineStr">
        <is>
          <t>STR-050</t>
        </is>
      </c>
      <c r="D152" s="13" t="inlineStr">
        <is>
          <t>First floor slab - top</t>
        </is>
      </c>
      <c r="E152" s="19" t="inlineStr">
        <is>
          <t>1243</t>
        </is>
      </c>
      <c r="F152" s="19" t="n">
        <v>12</v>
      </c>
      <c r="G152" s="19" t="n">
        <v>1</v>
      </c>
      <c r="H152" s="19" t="n">
        <v>13</v>
      </c>
      <c r="I152" s="13">
        <f>G152*H152</f>
        <v>13.0</v>
      </c>
      <c r="J152" s="20">
        <f>10700/1000</f>
        <v>10.7</v>
      </c>
      <c r="K152" s="21">
        <f>I152*J152</f>
        <v>139.1</v>
      </c>
      <c r="L152" s="22">
        <f>F152^2/162</f>
        <v>0.8888888888888888</v>
      </c>
      <c r="M152" s="21">
        <f>K152*L152</f>
        <v>123.64444444444443</v>
      </c>
      <c r="N152" s="22">
        <f>M152/1000</f>
        <v>0.12364444444444443</v>
      </c>
      <c r="O152" s="13" t="inlineStr">
        <is>
          <t>BBS</t>
        </is>
      </c>
    </row>
    <row r="153">
      <c r="A153" s="13" t="n">
        <v>148</v>
      </c>
      <c r="B153" s="13" t="inlineStr">
        <is>
          <t>Floor Slabs</t>
        </is>
      </c>
      <c r="C153" s="13" t="inlineStr">
        <is>
          <t>STR-050</t>
        </is>
      </c>
      <c r="D153" s="13" t="inlineStr">
        <is>
          <t>First floor slab - top</t>
        </is>
      </c>
      <c r="E153" s="19" t="inlineStr">
        <is>
          <t>1244</t>
        </is>
      </c>
      <c r="F153" s="19" t="n">
        <v>12</v>
      </c>
      <c r="G153" s="19" t="n">
        <v>1</v>
      </c>
      <c r="H153" s="19" t="n">
        <v>73</v>
      </c>
      <c r="I153" s="13">
        <f>G153*H153</f>
        <v>73.0</v>
      </c>
      <c r="J153" s="20">
        <f>10850/1000</f>
        <v>10.85</v>
      </c>
      <c r="K153" s="21">
        <f>I153*J153</f>
        <v>792.05</v>
      </c>
      <c r="L153" s="22">
        <f>F153^2/162</f>
        <v>0.8888888888888888</v>
      </c>
      <c r="M153" s="21">
        <f>K153*L153</f>
        <v>704.0444444444444</v>
      </c>
      <c r="N153" s="22">
        <f>M153/1000</f>
        <v>0.7040444444444444</v>
      </c>
      <c r="O153" s="13" t="inlineStr">
        <is>
          <t>BBS</t>
        </is>
      </c>
    </row>
    <row r="154">
      <c r="A154" s="13" t="n">
        <v>149</v>
      </c>
      <c r="B154" s="13" t="inlineStr">
        <is>
          <t>Floor Slabs</t>
        </is>
      </c>
      <c r="C154" s="13" t="inlineStr">
        <is>
          <t>STR-051</t>
        </is>
      </c>
      <c r="D154" s="13" t="inlineStr">
        <is>
          <t>First floor slab - additional top</t>
        </is>
      </c>
      <c r="E154" s="19" t="inlineStr">
        <is>
          <t>1245</t>
        </is>
      </c>
      <c r="F154" s="19" t="n">
        <v>12</v>
      </c>
      <c r="G154" s="19" t="n">
        <v>1</v>
      </c>
      <c r="H154" s="19" t="n">
        <v>390</v>
      </c>
      <c r="I154" s="13">
        <f>G154*H154</f>
        <v>390.0</v>
      </c>
      <c r="J154" s="20">
        <f>3000/1000</f>
        <v>3.0</v>
      </c>
      <c r="K154" s="21">
        <f>I154*J154</f>
        <v>1170.0</v>
      </c>
      <c r="L154" s="22">
        <f>F154^2/162</f>
        <v>0.8888888888888888</v>
      </c>
      <c r="M154" s="21">
        <f>K154*L154</f>
        <v>1040.0</v>
      </c>
      <c r="N154" s="22">
        <f>M154/1000</f>
        <v>1.04</v>
      </c>
      <c r="O154" s="13" t="inlineStr">
        <is>
          <t>BBS</t>
        </is>
      </c>
    </row>
    <row r="155">
      <c r="A155" s="13" t="n">
        <v>150</v>
      </c>
      <c r="B155" s="13" t="inlineStr">
        <is>
          <t>Floor Slabs</t>
        </is>
      </c>
      <c r="C155" s="13" t="inlineStr">
        <is>
          <t>STR-051</t>
        </is>
      </c>
      <c r="D155" s="13" t="inlineStr">
        <is>
          <t>First floor slab - additional top</t>
        </is>
      </c>
      <c r="E155" s="19" t="inlineStr">
        <is>
          <t>1246</t>
        </is>
      </c>
      <c r="F155" s="19" t="n">
        <v>12</v>
      </c>
      <c r="G155" s="19" t="n">
        <v>1</v>
      </c>
      <c r="H155" s="19" t="n">
        <v>98</v>
      </c>
      <c r="I155" s="13">
        <f>G155*H155</f>
        <v>98.0</v>
      </c>
      <c r="J155" s="20">
        <f>6350/1000</f>
        <v>6.35</v>
      </c>
      <c r="K155" s="21">
        <f>I155*J155</f>
        <v>622.3</v>
      </c>
      <c r="L155" s="22">
        <f>F155^2/162</f>
        <v>0.8888888888888888</v>
      </c>
      <c r="M155" s="21">
        <f>K155*L155</f>
        <v>553.1555555555555</v>
      </c>
      <c r="N155" s="22">
        <f>M155/1000</f>
        <v>0.5531555555555554</v>
      </c>
      <c r="O155" s="13" t="inlineStr">
        <is>
          <t>BBS</t>
        </is>
      </c>
    </row>
    <row r="156">
      <c r="A156" s="13" t="n">
        <v>151</v>
      </c>
      <c r="B156" s="13" t="inlineStr">
        <is>
          <t>Floor Slabs</t>
        </is>
      </c>
      <c r="C156" s="13" t="inlineStr">
        <is>
          <t>STR-051</t>
        </is>
      </c>
      <c r="D156" s="13" t="inlineStr">
        <is>
          <t>First floor slab - additional top</t>
        </is>
      </c>
      <c r="E156" s="19" t="inlineStr">
        <is>
          <t>1601</t>
        </is>
      </c>
      <c r="F156" s="19" t="n">
        <v>16</v>
      </c>
      <c r="G156" s="19" t="n">
        <v>1</v>
      </c>
      <c r="H156" s="19" t="n">
        <v>6</v>
      </c>
      <c r="I156" s="13">
        <f>G156*H156</f>
        <v>6.0</v>
      </c>
      <c r="J156" s="20">
        <f>3000/1000</f>
        <v>3.0</v>
      </c>
      <c r="K156" s="21">
        <f>I156*J156</f>
        <v>18.0</v>
      </c>
      <c r="L156" s="22">
        <f>F156^2/162</f>
        <v>1.5802469135802468</v>
      </c>
      <c r="M156" s="21">
        <f>K156*L156</f>
        <v>28.444444444444443</v>
      </c>
      <c r="N156" s="22">
        <f>M156/1000</f>
        <v>0.028444444444444442</v>
      </c>
      <c r="O156" s="13" t="inlineStr">
        <is>
          <t>BBS</t>
        </is>
      </c>
    </row>
    <row r="157">
      <c r="A157" s="13" t="n">
        <v>152</v>
      </c>
      <c r="B157" s="13" t="inlineStr">
        <is>
          <t>Staircases</t>
        </is>
      </c>
      <c r="C157" s="13" t="inlineStr">
        <is>
          <t>STR-021</t>
        </is>
      </c>
      <c r="D157" s="13" t="inlineStr">
        <is>
          <t>Main staircase 1st to 2nd floor</t>
        </is>
      </c>
      <c r="E157" s="19" t="inlineStr">
        <is>
          <t>1201</t>
        </is>
      </c>
      <c r="F157" s="19" t="n">
        <v>12</v>
      </c>
      <c r="G157" s="19" t="n">
        <v>1</v>
      </c>
      <c r="H157" s="19" t="n">
        <v>30</v>
      </c>
      <c r="I157" s="13">
        <f>G157*H157</f>
        <v>30.0</v>
      </c>
      <c r="J157" s="20">
        <f>6200/1000</f>
        <v>6.2</v>
      </c>
      <c r="K157" s="21">
        <f>I157*J157</f>
        <v>186.0</v>
      </c>
      <c r="L157" s="22">
        <f>F157^2/162</f>
        <v>0.8888888888888888</v>
      </c>
      <c r="M157" s="21">
        <f>K157*L157</f>
        <v>165.33333333333331</v>
      </c>
      <c r="N157" s="22">
        <f>M157/1000</f>
        <v>0.1653333333333333</v>
      </c>
      <c r="O157" s="13" t="inlineStr">
        <is>
          <t>BBS</t>
        </is>
      </c>
    </row>
    <row r="158">
      <c r="A158" s="13" t="n">
        <v>153</v>
      </c>
      <c r="B158" s="13" t="inlineStr">
        <is>
          <t>Staircases</t>
        </is>
      </c>
      <c r="C158" s="13" t="inlineStr">
        <is>
          <t>STR-021</t>
        </is>
      </c>
      <c r="D158" s="13" t="inlineStr">
        <is>
          <t>Main staircase 1st to 2nd floor</t>
        </is>
      </c>
      <c r="E158" s="19" t="inlineStr">
        <is>
          <t>1202</t>
        </is>
      </c>
      <c r="F158" s="19" t="n">
        <v>12</v>
      </c>
      <c r="G158" s="19" t="n">
        <v>1</v>
      </c>
      <c r="H158" s="19" t="n">
        <v>80</v>
      </c>
      <c r="I158" s="13">
        <f>G158*H158</f>
        <v>80.0</v>
      </c>
      <c r="J158" s="20">
        <f>2300/1000</f>
        <v>2.3</v>
      </c>
      <c r="K158" s="21">
        <f>I158*J158</f>
        <v>184.0</v>
      </c>
      <c r="L158" s="22">
        <f>F158^2/162</f>
        <v>0.8888888888888888</v>
      </c>
      <c r="M158" s="21">
        <f>K158*L158</f>
        <v>163.55555555555554</v>
      </c>
      <c r="N158" s="22">
        <f>M158/1000</f>
        <v>0.16355555555555554</v>
      </c>
      <c r="O158" s="13" t="inlineStr">
        <is>
          <t>BBS</t>
        </is>
      </c>
    </row>
    <row r="159">
      <c r="A159" s="13" t="n">
        <v>154</v>
      </c>
      <c r="B159" s="13" t="inlineStr">
        <is>
          <t>Staircases</t>
        </is>
      </c>
      <c r="C159" s="13" t="inlineStr">
        <is>
          <t>STR-021</t>
        </is>
      </c>
      <c r="D159" s="13" t="inlineStr">
        <is>
          <t>Main staircase 1st to 2nd floor</t>
        </is>
      </c>
      <c r="E159" s="19" t="inlineStr">
        <is>
          <t>1203</t>
        </is>
      </c>
      <c r="F159" s="19" t="n">
        <v>12</v>
      </c>
      <c r="G159" s="19" t="n">
        <v>1</v>
      </c>
      <c r="H159" s="19" t="n">
        <v>26</v>
      </c>
      <c r="I159" s="13">
        <f>G159*H159</f>
        <v>26.0</v>
      </c>
      <c r="J159" s="20">
        <f>4800/1000</f>
        <v>4.8</v>
      </c>
      <c r="K159" s="21">
        <f>I159*J159</f>
        <v>124.8</v>
      </c>
      <c r="L159" s="22">
        <f>F159^2/162</f>
        <v>0.8888888888888888</v>
      </c>
      <c r="M159" s="21">
        <f>K159*L159</f>
        <v>110.93333333333332</v>
      </c>
      <c r="N159" s="22">
        <f>M159/1000</f>
        <v>0.11093333333333333</v>
      </c>
      <c r="O159" s="13" t="inlineStr">
        <is>
          <t>BBS</t>
        </is>
      </c>
    </row>
    <row r="160">
      <c r="A160" s="13" t="n">
        <v>155</v>
      </c>
      <c r="B160" s="13" t="inlineStr">
        <is>
          <t>Staircases</t>
        </is>
      </c>
      <c r="C160" s="13" t="inlineStr">
        <is>
          <t>STR-021</t>
        </is>
      </c>
      <c r="D160" s="13" t="inlineStr">
        <is>
          <t>Main staircase 1st to 2nd floor</t>
        </is>
      </c>
      <c r="E160" s="19" t="inlineStr">
        <is>
          <t>1601</t>
        </is>
      </c>
      <c r="F160" s="19" t="n">
        <v>16</v>
      </c>
      <c r="G160" s="19" t="n">
        <v>1</v>
      </c>
      <c r="H160" s="19" t="n">
        <v>11</v>
      </c>
      <c r="I160" s="13">
        <f>G160*H160</f>
        <v>11.0</v>
      </c>
      <c r="J160" s="20">
        <f>8450/1000</f>
        <v>8.45</v>
      </c>
      <c r="K160" s="21">
        <f>I160*J160</f>
        <v>92.94999999999999</v>
      </c>
      <c r="L160" s="22">
        <f>F160^2/162</f>
        <v>1.5802469135802468</v>
      </c>
      <c r="M160" s="21">
        <f>K160*L160</f>
        <v>146.88395061728392</v>
      </c>
      <c r="N160" s="22">
        <f>M160/1000</f>
        <v>0.1468839506172839</v>
      </c>
      <c r="O160" s="13" t="inlineStr">
        <is>
          <t>BBS</t>
        </is>
      </c>
    </row>
    <row r="161">
      <c r="A161" s="13" t="n">
        <v>156</v>
      </c>
      <c r="B161" s="13" t="inlineStr">
        <is>
          <t>Staircases</t>
        </is>
      </c>
      <c r="C161" s="13" t="inlineStr">
        <is>
          <t>STR-021</t>
        </is>
      </c>
      <c r="D161" s="13" t="inlineStr">
        <is>
          <t>Main staircase 1st to 2nd floor</t>
        </is>
      </c>
      <c r="E161" s="19" t="inlineStr">
        <is>
          <t>1602</t>
        </is>
      </c>
      <c r="F161" s="19" t="n">
        <v>16</v>
      </c>
      <c r="G161" s="19" t="n">
        <v>1</v>
      </c>
      <c r="H161" s="19" t="n">
        <v>11</v>
      </c>
      <c r="I161" s="13">
        <f>G161*H161</f>
        <v>11.0</v>
      </c>
      <c r="J161" s="20">
        <f>4475/1000</f>
        <v>4.475</v>
      </c>
      <c r="K161" s="21">
        <f>I161*J161</f>
        <v>49.224999999999994</v>
      </c>
      <c r="L161" s="22">
        <f>F161^2/162</f>
        <v>1.5802469135802468</v>
      </c>
      <c r="M161" s="21">
        <f>K161*L161</f>
        <v>77.78765432098764</v>
      </c>
      <c r="N161" s="22">
        <f>M161/1000</f>
        <v>0.07778765432098764</v>
      </c>
      <c r="O161" s="13" t="inlineStr">
        <is>
          <t>BBS</t>
        </is>
      </c>
    </row>
    <row r="162">
      <c r="A162" s="13" t="n">
        <v>157</v>
      </c>
      <c r="B162" s="13" t="inlineStr">
        <is>
          <t>Staircases</t>
        </is>
      </c>
      <c r="C162" s="13" t="inlineStr">
        <is>
          <t>STR-021</t>
        </is>
      </c>
      <c r="D162" s="13" t="inlineStr">
        <is>
          <t>Main staircase 1st to 2nd floor</t>
        </is>
      </c>
      <c r="E162" s="19" t="inlineStr">
        <is>
          <t>1603</t>
        </is>
      </c>
      <c r="F162" s="19" t="n">
        <v>16</v>
      </c>
      <c r="G162" s="19" t="n">
        <v>1</v>
      </c>
      <c r="H162" s="19" t="n">
        <v>11</v>
      </c>
      <c r="I162" s="13">
        <f>G162*H162</f>
        <v>11.0</v>
      </c>
      <c r="J162" s="20">
        <f>2400/1000</f>
        <v>2.4</v>
      </c>
      <c r="K162" s="21">
        <f>I162*J162</f>
        <v>26.4</v>
      </c>
      <c r="L162" s="22">
        <f>F162^2/162</f>
        <v>1.5802469135802468</v>
      </c>
      <c r="M162" s="21">
        <f>K162*L162</f>
        <v>41.718518518518515</v>
      </c>
      <c r="N162" s="22">
        <f>M162/1000</f>
        <v>0.041718518518518516</v>
      </c>
      <c r="O162" s="13" t="inlineStr">
        <is>
          <t>BBS</t>
        </is>
      </c>
    </row>
    <row r="163">
      <c r="A163" s="13" t="n">
        <v>158</v>
      </c>
      <c r="B163" s="13" t="inlineStr">
        <is>
          <t>Staircases</t>
        </is>
      </c>
      <c r="C163" s="13" t="inlineStr">
        <is>
          <t>STR-021</t>
        </is>
      </c>
      <c r="D163" s="13" t="inlineStr">
        <is>
          <t>Main staircase 1st to 2nd floor</t>
        </is>
      </c>
      <c r="E163" s="19" t="inlineStr">
        <is>
          <t>1604</t>
        </is>
      </c>
      <c r="F163" s="19" t="n">
        <v>16</v>
      </c>
      <c r="G163" s="19" t="n">
        <v>1</v>
      </c>
      <c r="H163" s="19" t="n">
        <v>11</v>
      </c>
      <c r="I163" s="13">
        <f>G163*H163</f>
        <v>11.0</v>
      </c>
      <c r="J163" s="20">
        <f>4250/1000</f>
        <v>4.25</v>
      </c>
      <c r="K163" s="21">
        <f>I163*J163</f>
        <v>46.75</v>
      </c>
      <c r="L163" s="22">
        <f>F163^2/162</f>
        <v>1.5802469135802468</v>
      </c>
      <c r="M163" s="21">
        <f>K163*L163</f>
        <v>73.87654320987654</v>
      </c>
      <c r="N163" s="22">
        <f>M163/1000</f>
        <v>0.07387654320987655</v>
      </c>
      <c r="O163" s="13" t="inlineStr">
        <is>
          <t>BBS</t>
        </is>
      </c>
    </row>
    <row r="164">
      <c r="A164" s="13" t="n">
        <v>159</v>
      </c>
      <c r="B164" s="13" t="inlineStr">
        <is>
          <t>Staircases</t>
        </is>
      </c>
      <c r="C164" s="13" t="inlineStr">
        <is>
          <t>STR-021</t>
        </is>
      </c>
      <c r="D164" s="13" t="inlineStr">
        <is>
          <t>Main staircase 1st to 2nd floor</t>
        </is>
      </c>
      <c r="E164" s="19" t="inlineStr">
        <is>
          <t>1605</t>
        </is>
      </c>
      <c r="F164" s="19" t="n">
        <v>16</v>
      </c>
      <c r="G164" s="19" t="n">
        <v>1</v>
      </c>
      <c r="H164" s="19" t="n">
        <v>11</v>
      </c>
      <c r="I164" s="13">
        <f>G164*H164</f>
        <v>11.0</v>
      </c>
      <c r="J164" s="20">
        <f>2100/1000</f>
        <v>2.1</v>
      </c>
      <c r="K164" s="21">
        <f>I164*J164</f>
        <v>23.1</v>
      </c>
      <c r="L164" s="22">
        <f>F164^2/162</f>
        <v>1.5802469135802468</v>
      </c>
      <c r="M164" s="21">
        <f>K164*L164</f>
        <v>36.50370370370371</v>
      </c>
      <c r="N164" s="22">
        <f>M164/1000</f>
        <v>0.036503703703703705</v>
      </c>
      <c r="O164" s="13" t="inlineStr">
        <is>
          <t>BBS</t>
        </is>
      </c>
    </row>
    <row r="165">
      <c r="A165" s="13" t="n">
        <v>160</v>
      </c>
      <c r="B165" s="13" t="inlineStr">
        <is>
          <t>Staircases</t>
        </is>
      </c>
      <c r="C165" s="13" t="inlineStr">
        <is>
          <t>STR-021</t>
        </is>
      </c>
      <c r="D165" s="13" t="inlineStr">
        <is>
          <t>Main staircase 1st to 2nd floor</t>
        </is>
      </c>
      <c r="E165" s="19" t="inlineStr">
        <is>
          <t>1606</t>
        </is>
      </c>
      <c r="F165" s="19" t="n">
        <v>16</v>
      </c>
      <c r="G165" s="19" t="n">
        <v>1</v>
      </c>
      <c r="H165" s="19" t="n">
        <v>11</v>
      </c>
      <c r="I165" s="13">
        <f>G165*H165</f>
        <v>11.0</v>
      </c>
      <c r="J165" s="20">
        <f>6950/1000</f>
        <v>6.95</v>
      </c>
      <c r="K165" s="21">
        <f>I165*J165</f>
        <v>76.45</v>
      </c>
      <c r="L165" s="22">
        <f>F165^2/162</f>
        <v>1.5802469135802468</v>
      </c>
      <c r="M165" s="21">
        <f>K165*L165</f>
        <v>120.80987654320987</v>
      </c>
      <c r="N165" s="22">
        <f>M165/1000</f>
        <v>0.12080987654320986</v>
      </c>
      <c r="O165" s="13" t="inlineStr">
        <is>
          <t>BBS</t>
        </is>
      </c>
    </row>
    <row r="166">
      <c r="A166" s="13" t="n">
        <v>161</v>
      </c>
      <c r="B166" s="13" t="inlineStr">
        <is>
          <t>Staircases</t>
        </is>
      </c>
      <c r="C166" s="13" t="inlineStr">
        <is>
          <t>STR-021</t>
        </is>
      </c>
      <c r="D166" s="13" t="inlineStr">
        <is>
          <t>Main staircase 1st to 2nd floor</t>
        </is>
      </c>
      <c r="E166" s="19" t="inlineStr">
        <is>
          <t>1607</t>
        </is>
      </c>
      <c r="F166" s="19" t="n">
        <v>16</v>
      </c>
      <c r="G166" s="19" t="n">
        <v>1</v>
      </c>
      <c r="H166" s="19" t="n">
        <v>11</v>
      </c>
      <c r="I166" s="13">
        <f>G166*H166</f>
        <v>11.0</v>
      </c>
      <c r="J166" s="20">
        <f>3300/1000</f>
        <v>3.3</v>
      </c>
      <c r="K166" s="21">
        <f>I166*J166</f>
        <v>36.3</v>
      </c>
      <c r="L166" s="22">
        <f>F166^2/162</f>
        <v>1.5802469135802468</v>
      </c>
      <c r="M166" s="21">
        <f>K166*L166</f>
        <v>57.36296296296295</v>
      </c>
      <c r="N166" s="22">
        <f>M166/1000</f>
        <v>0.057362962962962956</v>
      </c>
      <c r="O166" s="13" t="inlineStr">
        <is>
          <t>BBS</t>
        </is>
      </c>
    </row>
    <row r="167">
      <c r="A167" s="13" t="n">
        <v>162</v>
      </c>
      <c r="B167" s="13" t="inlineStr">
        <is>
          <t>Staircases</t>
        </is>
      </c>
      <c r="C167" s="13" t="inlineStr">
        <is>
          <t>STR-021</t>
        </is>
      </c>
      <c r="D167" s="13" t="inlineStr">
        <is>
          <t>Main staircase 1st to 2nd floor</t>
        </is>
      </c>
      <c r="E167" s="19" t="inlineStr">
        <is>
          <t>1608</t>
        </is>
      </c>
      <c r="F167" s="19" t="n">
        <v>16</v>
      </c>
      <c r="G167" s="19" t="n">
        <v>1</v>
      </c>
      <c r="H167" s="19" t="n">
        <v>11</v>
      </c>
      <c r="I167" s="13">
        <f>G167*H167</f>
        <v>11.0</v>
      </c>
      <c r="J167" s="20">
        <f>1200/1000</f>
        <v>1.2</v>
      </c>
      <c r="K167" s="21">
        <f>I167*J167</f>
        <v>13.2</v>
      </c>
      <c r="L167" s="22">
        <f>F167^2/162</f>
        <v>1.5802469135802468</v>
      </c>
      <c r="M167" s="21">
        <f>K167*L167</f>
        <v>20.859259259259257</v>
      </c>
      <c r="N167" s="22">
        <f>M167/1000</f>
        <v>0.020859259259259258</v>
      </c>
      <c r="O167" s="13" t="inlineStr">
        <is>
          <t>BBS</t>
        </is>
      </c>
    </row>
    <row r="168">
      <c r="A168" s="13" t="n">
        <v>163</v>
      </c>
      <c r="B168" s="13" t="inlineStr">
        <is>
          <t>Staircases</t>
        </is>
      </c>
      <c r="C168" s="13" t="inlineStr">
        <is>
          <t>STR-021</t>
        </is>
      </c>
      <c r="D168" s="13" t="inlineStr">
        <is>
          <t>Main staircase 1st to 2nd floor</t>
        </is>
      </c>
      <c r="E168" s="19" t="inlineStr">
        <is>
          <t>1609</t>
        </is>
      </c>
      <c r="F168" s="19" t="n">
        <v>16</v>
      </c>
      <c r="G168" s="19" t="n">
        <v>1</v>
      </c>
      <c r="H168" s="19" t="n">
        <v>11</v>
      </c>
      <c r="I168" s="13">
        <f>G168*H168</f>
        <v>11.0</v>
      </c>
      <c r="J168" s="20">
        <f>6225/1000</f>
        <v>6.225</v>
      </c>
      <c r="K168" s="21">
        <f>I168*J168</f>
        <v>68.475</v>
      </c>
      <c r="L168" s="22">
        <f>F168^2/162</f>
        <v>1.5802469135802468</v>
      </c>
      <c r="M168" s="21">
        <f>K168*L168</f>
        <v>108.20740740740739</v>
      </c>
      <c r="N168" s="22">
        <f>M168/1000</f>
        <v>0.10820740740740739</v>
      </c>
      <c r="O168" s="13" t="inlineStr">
        <is>
          <t>BBS</t>
        </is>
      </c>
    </row>
    <row r="169">
      <c r="A169" s="13" t="n">
        <v>164</v>
      </c>
      <c r="B169" s="13" t="inlineStr">
        <is>
          <t>Staircases</t>
        </is>
      </c>
      <c r="C169" s="13" t="inlineStr">
        <is>
          <t>STR-021</t>
        </is>
      </c>
      <c r="D169" s="13" t="inlineStr">
        <is>
          <t>Main staircase 1st to 2nd floor</t>
        </is>
      </c>
      <c r="E169" s="19" t="inlineStr">
        <is>
          <t>1610</t>
        </is>
      </c>
      <c r="F169" s="19" t="n">
        <v>16</v>
      </c>
      <c r="G169" s="19" t="n">
        <v>1</v>
      </c>
      <c r="H169" s="19" t="n">
        <v>11</v>
      </c>
      <c r="I169" s="13">
        <f>G169*H169</f>
        <v>11.0</v>
      </c>
      <c r="J169" s="20">
        <f>3225/1000</f>
        <v>3.225</v>
      </c>
      <c r="K169" s="21">
        <f>I169*J169</f>
        <v>35.475</v>
      </c>
      <c r="L169" s="22">
        <f>F169^2/162</f>
        <v>1.5802469135802468</v>
      </c>
      <c r="M169" s="21">
        <f>K169*L169</f>
        <v>56.05925925925926</v>
      </c>
      <c r="N169" s="22">
        <f>M169/1000</f>
        <v>0.05605925925925926</v>
      </c>
      <c r="O169" s="13" t="inlineStr">
        <is>
          <t>BBS</t>
        </is>
      </c>
    </row>
    <row r="171">
      <c r="D171" s="10" t="inlineStr">
        <is>
          <t>SUMMARY - FIRST FLOOR: ELEMENT BY BAR SIZE (TONNES)</t>
        </is>
      </c>
    </row>
    <row r="172">
      <c r="D172" s="23" t="inlineStr">
        <is>
          <t>Element</t>
        </is>
      </c>
      <c r="E172" s="24" t="n">
        <v>10</v>
      </c>
      <c r="F172" s="24" t="n">
        <v>12</v>
      </c>
      <c r="G172" s="24" t="n">
        <v>16</v>
      </c>
      <c r="H172" s="24" t="n">
        <v>20</v>
      </c>
      <c r="I172" s="24" t="n">
        <v>25</v>
      </c>
      <c r="J172" s="23" t="inlineStr">
        <is>
          <t>Total (t)</t>
        </is>
      </c>
    </row>
    <row r="173">
      <c r="D173" s="13" t="inlineStr">
        <is>
          <t>Raft Foundation</t>
        </is>
      </c>
      <c r="E173" s="25">
        <f>SUMIFS($N$6:$N$169,$B$6:$B$169,$D173,$F$6:$F$169,E$172)</f>
        <v>0.0</v>
      </c>
      <c r="F173" s="25">
        <f>SUMIFS($N$6:$N$169,$B$6:$B$169,$D173,$F$6:$F$169,F$172)</f>
        <v>0.0</v>
      </c>
      <c r="G173" s="25">
        <f>SUMIFS($N$6:$N$169,$B$6:$B$169,$D173,$F$6:$F$169,G$172)</f>
        <v>0.0</v>
      </c>
      <c r="H173" s="25">
        <f>SUMIFS($N$6:$N$169,$B$6:$B$169,$D173,$F$6:$F$169,H$172)</f>
        <v>0.0</v>
      </c>
      <c r="I173" s="25">
        <f>SUMIFS($N$6:$N$169,$B$6:$B$169,$D173,$F$6:$F$169,I$172)</f>
        <v>0.0</v>
      </c>
      <c r="J173" s="17">
        <f>SUM(E173:I173)</f>
        <v>0.0</v>
      </c>
    </row>
    <row r="174">
      <c r="D174" s="13" t="inlineStr">
        <is>
          <t>Columns</t>
        </is>
      </c>
      <c r="E174" s="25">
        <f>SUMIFS($N$6:$N$169,$B$6:$B$169,$D174,$F$6:$F$169,E$172)</f>
        <v>2.716540740740741</v>
      </c>
      <c r="F174" s="25">
        <f>SUMIFS($N$6:$N$169,$B$6:$B$169,$D174,$F$6:$F$169,F$172)</f>
        <v>0.0</v>
      </c>
      <c r="G174" s="25">
        <f>SUMIFS($N$6:$N$169,$B$6:$B$169,$D174,$F$6:$F$169,G$172)</f>
        <v>0.0</v>
      </c>
      <c r="H174" s="25">
        <f>SUMIFS($N$6:$N$169,$B$6:$B$169,$D174,$F$6:$F$169,H$172)</f>
        <v>0.46222222222222215</v>
      </c>
      <c r="I174" s="25">
        <f>SUMIFS($N$6:$N$169,$B$6:$B$169,$D174,$F$6:$F$169,I$172)</f>
        <v>4.634259259259259</v>
      </c>
      <c r="J174" s="17">
        <f>SUM(E174:I174)</f>
        <v>7.813022222222221</v>
      </c>
    </row>
    <row r="175">
      <c r="D175" s="13" t="inlineStr">
        <is>
          <t>Shear Walls</t>
        </is>
      </c>
      <c r="E175" s="25">
        <f>SUMIFS($N$6:$N$169,$B$6:$B$169,$D175,$F$6:$F$169,E$172)</f>
        <v>0.52</v>
      </c>
      <c r="F175" s="25">
        <f>SUMIFS($N$6:$N$169,$B$6:$B$169,$D175,$F$6:$F$169,F$172)</f>
        <v>0.6988800000000001</v>
      </c>
      <c r="G175" s="25">
        <f>SUMIFS($N$6:$N$169,$B$6:$B$169,$D175,$F$6:$F$169,G$172)</f>
        <v>0.0</v>
      </c>
      <c r="H175" s="25">
        <f>SUMIFS($N$6:$N$169,$B$6:$B$169,$D175,$F$6:$F$169,H$172)</f>
        <v>0.0</v>
      </c>
      <c r="I175" s="25">
        <f>SUMIFS($N$6:$N$169,$B$6:$B$169,$D175,$F$6:$F$169,I$172)</f>
        <v>4.539351851851852</v>
      </c>
      <c r="J175" s="17">
        <f>SUM(E175:I175)</f>
        <v>5.758231851851852</v>
      </c>
    </row>
    <row r="176">
      <c r="D176" s="13" t="inlineStr">
        <is>
          <t>Lift Walls</t>
        </is>
      </c>
      <c r="E176" s="25">
        <f>SUMIFS($N$6:$N$169,$B$6:$B$169,$D176,$F$6:$F$169,E$172)</f>
        <v>0.52</v>
      </c>
      <c r="F176" s="25">
        <f>SUMIFS($N$6:$N$169,$B$6:$B$169,$D176,$F$6:$F$169,F$172)</f>
        <v>0.69248</v>
      </c>
      <c r="G176" s="25">
        <f>SUMIFS($N$6:$N$169,$B$6:$B$169,$D176,$F$6:$F$169,G$172)</f>
        <v>0.0</v>
      </c>
      <c r="H176" s="25">
        <f>SUMIFS($N$6:$N$169,$B$6:$B$169,$D176,$F$6:$F$169,H$172)</f>
        <v>0.0</v>
      </c>
      <c r="I176" s="25">
        <f>SUMIFS($N$6:$N$169,$B$6:$B$169,$D176,$F$6:$F$169,I$172)</f>
        <v>4.682098765432099</v>
      </c>
      <c r="J176" s="17">
        <f>SUM(E176:I176)</f>
        <v>5.894578765432099</v>
      </c>
    </row>
    <row r="177">
      <c r="D177" s="13" t="inlineStr">
        <is>
          <t>Retaining / Ramp Walls</t>
        </is>
      </c>
      <c r="E177" s="25">
        <f>SUMIFS($N$6:$N$169,$B$6:$B$169,$D177,$F$6:$F$169,E$172)</f>
        <v>0.0</v>
      </c>
      <c r="F177" s="25">
        <f>SUMIFS($N$6:$N$169,$B$6:$B$169,$D177,$F$6:$F$169,F$172)</f>
        <v>0.0</v>
      </c>
      <c r="G177" s="25">
        <f>SUMIFS($N$6:$N$169,$B$6:$B$169,$D177,$F$6:$F$169,G$172)</f>
        <v>0.0</v>
      </c>
      <c r="H177" s="25">
        <f>SUMIFS($N$6:$N$169,$B$6:$B$169,$D177,$F$6:$F$169,H$172)</f>
        <v>0.0</v>
      </c>
      <c r="I177" s="25">
        <f>SUMIFS($N$6:$N$169,$B$6:$B$169,$D177,$F$6:$F$169,I$172)</f>
        <v>0.0</v>
      </c>
      <c r="J177" s="17">
        <f>SUM(E177:I177)</f>
        <v>0.0</v>
      </c>
    </row>
    <row r="178">
      <c r="D178" s="13" t="inlineStr">
        <is>
          <t>Beams</t>
        </is>
      </c>
      <c r="E178" s="25">
        <f>SUMIFS($N$6:$N$169,$B$6:$B$169,$D178,$F$6:$F$169,E$172)</f>
        <v>0.9772222222222222</v>
      </c>
      <c r="F178" s="25">
        <f>SUMIFS($N$6:$N$169,$B$6:$B$169,$D178,$F$6:$F$169,F$172)</f>
        <v>0.0</v>
      </c>
      <c r="G178" s="25">
        <f>SUMIFS($N$6:$N$169,$B$6:$B$169,$D178,$F$6:$F$169,G$172)</f>
        <v>0.7627851851851852</v>
      </c>
      <c r="H178" s="25">
        <f>SUMIFS($N$6:$N$169,$B$6:$B$169,$D178,$F$6:$F$169,H$172)</f>
        <v>0.7967901234567901</v>
      </c>
      <c r="I178" s="25">
        <f>SUMIFS($N$6:$N$169,$B$6:$B$169,$D178,$F$6:$F$169,I$172)</f>
        <v>2.9732831790123457</v>
      </c>
      <c r="J178" s="17">
        <f>SUM(E178:I178)</f>
        <v>5.510080709876544</v>
      </c>
    </row>
    <row r="179">
      <c r="D179" s="13" t="inlineStr">
        <is>
          <t>Floor Slabs</t>
        </is>
      </c>
      <c r="E179" s="25">
        <f>SUMIFS($N$6:$N$169,$B$6:$B$169,$D179,$F$6:$F$169,E$172)</f>
        <v>0.0</v>
      </c>
      <c r="F179" s="25">
        <f>SUMIFS($N$6:$N$169,$B$6:$B$169,$D179,$F$6:$F$169,F$172)</f>
        <v>27.94744444444444</v>
      </c>
      <c r="G179" s="25">
        <f>SUMIFS($N$6:$N$169,$B$6:$B$169,$D179,$F$6:$F$169,G$172)</f>
        <v>2.5279999999999996</v>
      </c>
      <c r="H179" s="25">
        <f>SUMIFS($N$6:$N$169,$B$6:$B$169,$D179,$F$6:$F$169,H$172)</f>
        <v>0.0</v>
      </c>
      <c r="I179" s="25">
        <f>SUMIFS($N$6:$N$169,$B$6:$B$169,$D179,$F$6:$F$169,I$172)</f>
        <v>0.0</v>
      </c>
      <c r="J179" s="17">
        <f>SUM(E179:I179)</f>
        <v>30.475444444444438</v>
      </c>
    </row>
    <row r="180">
      <c r="D180" s="13" t="inlineStr">
        <is>
          <t>Staircases</t>
        </is>
      </c>
      <c r="E180" s="25">
        <f>SUMIFS($N$6:$N$169,$B$6:$B$169,$D180,$F$6:$F$169,E$172)</f>
        <v>0.0</v>
      </c>
      <c r="F180" s="25">
        <f>SUMIFS($N$6:$N$169,$B$6:$B$169,$D180,$F$6:$F$169,F$172)</f>
        <v>0.43982222222222217</v>
      </c>
      <c r="G180" s="25">
        <f>SUMIFS($N$6:$N$169,$B$6:$B$169,$D180,$F$6:$F$169,G$172)</f>
        <v>0.740069135802469</v>
      </c>
      <c r="H180" s="25">
        <f>SUMIFS($N$6:$N$169,$B$6:$B$169,$D180,$F$6:$F$169,H$172)</f>
        <v>0.0</v>
      </c>
      <c r="I180" s="25">
        <f>SUMIFS($N$6:$N$169,$B$6:$B$169,$D180,$F$6:$F$169,I$172)</f>
        <v>0.0</v>
      </c>
      <c r="J180" s="17">
        <f>SUM(E180:I180)</f>
        <v>1.1798913580246913</v>
      </c>
    </row>
    <row r="181">
      <c r="D181" s="13" t="inlineStr">
        <is>
          <t>Lift Core Roof Slab</t>
        </is>
      </c>
      <c r="E181" s="25">
        <f>SUMIFS($N$6:$N$169,$B$6:$B$169,$D181,$F$6:$F$169,E$172)</f>
        <v>0.0</v>
      </c>
      <c r="F181" s="25">
        <f>SUMIFS($N$6:$N$169,$B$6:$B$169,$D181,$F$6:$F$169,F$172)</f>
        <v>0.0</v>
      </c>
      <c r="G181" s="25">
        <f>SUMIFS($N$6:$N$169,$B$6:$B$169,$D181,$F$6:$F$169,G$172)</f>
        <v>0.0</v>
      </c>
      <c r="H181" s="25">
        <f>SUMIFS($N$6:$N$169,$B$6:$B$169,$D181,$F$6:$F$169,H$172)</f>
        <v>0.0</v>
      </c>
      <c r="I181" s="25">
        <f>SUMIFS($N$6:$N$169,$B$6:$B$169,$D181,$F$6:$F$169,I$172)</f>
        <v>0.0</v>
      </c>
      <c r="J181" s="17">
        <f>SUM(E181:I181)</f>
        <v>0.0</v>
      </c>
    </row>
    <row r="182">
      <c r="D182" s="16" t="inlineStr">
        <is>
          <t>TOTAL - FIRST FLOOR</t>
        </is>
      </c>
      <c r="E182" s="26">
        <f>SUM(E173:E181)</f>
        <v>4.733762962962963</v>
      </c>
      <c r="F182" s="26">
        <f>SUM(F173:F181)</f>
        <v>29.77862666666666</v>
      </c>
      <c r="G182" s="26">
        <f>SUM(G173:G181)</f>
        <v>4.030854320987654</v>
      </c>
      <c r="H182" s="26">
        <f>SUM(H173:H181)</f>
        <v>1.2590123456790123</v>
      </c>
      <c r="I182" s="26">
        <f>SUM(I173:I181)</f>
        <v>16.828993055555554</v>
      </c>
      <c r="J182" s="26">
        <f>SUM(J173:J181)</f>
        <v>56.63124935185184</v>
      </c>
      <c r="K182" s="7" t="inlineStr">
        <is>
          <t>Check vs detail (should be 0):</t>
        </is>
      </c>
      <c r="N182" s="7">
        <f>ROUND(SUM(N6:N169)-J182,6)</f>
        <v>0.0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O14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M2 LEVEL 2B PARKING (+5200)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STR-008</t>
        </is>
      </c>
      <c r="D6" s="13" t="inlineStr">
        <is>
          <t>COL-01D (1 nos) M2 to Mezz - links</t>
        </is>
      </c>
      <c r="E6" s="19" t="inlineStr">
        <is>
          <t>1001</t>
        </is>
      </c>
      <c r="F6" s="19" t="n">
        <v>10</v>
      </c>
      <c r="G6" s="19" t="n">
        <v>1</v>
      </c>
      <c r="H6" s="19" t="n">
        <v>28</v>
      </c>
      <c r="I6" s="13">
        <f>G6*H6</f>
        <v>28.0</v>
      </c>
      <c r="J6" s="20">
        <f>2330/1000</f>
        <v>2.33</v>
      </c>
      <c r="K6" s="21">
        <f>I6*J6</f>
        <v>65.24000000000001</v>
      </c>
      <c r="L6" s="22">
        <f>F6^2/162</f>
        <v>0.6172839506172839</v>
      </c>
      <c r="M6" s="21">
        <f>K6*L6</f>
        <v>40.27160493827161</v>
      </c>
      <c r="N6" s="22">
        <f>M6/1000</f>
        <v>0.04027160493827161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STR-008</t>
        </is>
      </c>
      <c r="D7" s="13" t="inlineStr">
        <is>
          <t>COL-01D (1 nos) M2 to Mezz - links</t>
        </is>
      </c>
      <c r="E7" s="19" t="inlineStr">
        <is>
          <t>1002</t>
        </is>
      </c>
      <c r="F7" s="19" t="n">
        <v>10</v>
      </c>
      <c r="G7" s="19" t="n">
        <v>1</v>
      </c>
      <c r="H7" s="19" t="n">
        <v>56</v>
      </c>
      <c r="I7" s="13">
        <f>G7*H7</f>
        <v>56.0</v>
      </c>
      <c r="J7" s="20">
        <f>1330/1000</f>
        <v>1.33</v>
      </c>
      <c r="K7" s="21">
        <f>I7*J7</f>
        <v>74.48</v>
      </c>
      <c r="L7" s="22">
        <f>F7^2/162</f>
        <v>0.6172839506172839</v>
      </c>
      <c r="M7" s="21">
        <f>K7*L7</f>
        <v>45.97530864197531</v>
      </c>
      <c r="N7" s="22">
        <f>M7/1000</f>
        <v>0.04597530864197531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STR-008</t>
        </is>
      </c>
      <c r="D8" s="13" t="inlineStr">
        <is>
          <t>COL-01D (1 nos) M2 to Mezz - links</t>
        </is>
      </c>
      <c r="E8" s="19" t="inlineStr">
        <is>
          <t>1003</t>
        </is>
      </c>
      <c r="F8" s="19" t="n">
        <v>10</v>
      </c>
      <c r="G8" s="19" t="n">
        <v>1</v>
      </c>
      <c r="H8" s="19" t="n">
        <v>28</v>
      </c>
      <c r="I8" s="13">
        <f>G8*H8</f>
        <v>28.0</v>
      </c>
      <c r="J8" s="20">
        <f>1830/1000</f>
        <v>1.83</v>
      </c>
      <c r="K8" s="21">
        <f>I8*J8</f>
        <v>51.24</v>
      </c>
      <c r="L8" s="22">
        <f>F8^2/162</f>
        <v>0.6172839506172839</v>
      </c>
      <c r="M8" s="21">
        <f>K8*L8</f>
        <v>31.62962962962963</v>
      </c>
      <c r="N8" s="22">
        <f>M8/1000</f>
        <v>0.03162962962962963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STR-008</t>
        </is>
      </c>
      <c r="D9" s="13" t="inlineStr">
        <is>
          <t>COL-01D (1 nos) M2 to Mezz - main bars</t>
        </is>
      </c>
      <c r="E9" s="19" t="inlineStr">
        <is>
          <t>2004</t>
        </is>
      </c>
      <c r="F9" s="19" t="n">
        <v>20</v>
      </c>
      <c r="G9" s="19" t="n">
        <v>1</v>
      </c>
      <c r="H9" s="19" t="n">
        <v>16</v>
      </c>
      <c r="I9" s="13">
        <f>G9*H9</f>
        <v>16.0</v>
      </c>
      <c r="J9" s="20">
        <f>3900/1000</f>
        <v>3.9</v>
      </c>
      <c r="K9" s="21">
        <f>I9*J9</f>
        <v>62.4</v>
      </c>
      <c r="L9" s="22">
        <f>F9^2/162</f>
        <v>2.4691358024691357</v>
      </c>
      <c r="M9" s="21">
        <f>K9*L9</f>
        <v>154.07407407407408</v>
      </c>
      <c r="N9" s="22">
        <f>M9/1000</f>
        <v>0.15407407407407409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STR-011</t>
        </is>
      </c>
      <c r="D10" s="13" t="inlineStr">
        <is>
          <t>COL-02D (15 nos) M2 to Mezz - links</t>
        </is>
      </c>
      <c r="E10" s="19" t="inlineStr">
        <is>
          <t>1004</t>
        </is>
      </c>
      <c r="F10" s="19" t="n">
        <v>10</v>
      </c>
      <c r="G10" s="19" t="n">
        <v>15</v>
      </c>
      <c r="H10" s="19" t="n">
        <v>28</v>
      </c>
      <c r="I10" s="13">
        <f>G10*H10</f>
        <v>420.0</v>
      </c>
      <c r="J10" s="20">
        <f>2910/1000</f>
        <v>2.91</v>
      </c>
      <c r="K10" s="21">
        <f>I10*J10</f>
        <v>1222.2</v>
      </c>
      <c r="L10" s="22">
        <f>F10^2/162</f>
        <v>0.6172839506172839</v>
      </c>
      <c r="M10" s="21">
        <f>K10*L10</f>
        <v>754.4444444444445</v>
      </c>
      <c r="N10" s="22">
        <f>M10/1000</f>
        <v>0.7544444444444445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STR-011</t>
        </is>
      </c>
      <c r="D11" s="13" t="inlineStr">
        <is>
          <t>COL-02D (15 nos) M2 to Mezz - links</t>
        </is>
      </c>
      <c r="E11" s="19" t="inlineStr">
        <is>
          <t>1005</t>
        </is>
      </c>
      <c r="F11" s="19" t="n">
        <v>10</v>
      </c>
      <c r="G11" s="19" t="n">
        <v>15</v>
      </c>
      <c r="H11" s="19">
        <f>3*28</f>
        <v>84.0</v>
      </c>
      <c r="I11" s="13">
        <f>G11*H11</f>
        <v>1260.0</v>
      </c>
      <c r="J11" s="20">
        <f>1008/1000</f>
        <v>1.008</v>
      </c>
      <c r="K11" s="21">
        <f>I11*J11</f>
        <v>1270.08</v>
      </c>
      <c r="L11" s="22">
        <f>F11^2/162</f>
        <v>0.6172839506172839</v>
      </c>
      <c r="M11" s="21">
        <f>K11*L11</f>
        <v>783.9999999999999</v>
      </c>
      <c r="N11" s="22">
        <f>M11/1000</f>
        <v>0.7839999999999999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STR-011</t>
        </is>
      </c>
      <c r="D12" s="13" t="inlineStr">
        <is>
          <t>COL-02D (15 nos) M2 to Mezz - main bars</t>
        </is>
      </c>
      <c r="E12" s="19" t="inlineStr">
        <is>
          <t>2506</t>
        </is>
      </c>
      <c r="F12" s="19" t="n">
        <v>25</v>
      </c>
      <c r="G12" s="19" t="n">
        <v>15</v>
      </c>
      <c r="H12" s="19" t="n">
        <v>18</v>
      </c>
      <c r="I12" s="13">
        <f>G12*H12</f>
        <v>270.0</v>
      </c>
      <c r="J12" s="20">
        <f>3900/1000</f>
        <v>3.9</v>
      </c>
      <c r="K12" s="21">
        <f>I12*J12</f>
        <v>1053.0</v>
      </c>
      <c r="L12" s="22">
        <f>F12^2/162</f>
        <v>3.8580246913580245</v>
      </c>
      <c r="M12" s="21">
        <f>K12*L12</f>
        <v>4062.5</v>
      </c>
      <c r="N12" s="22">
        <f>M12/1000</f>
        <v>4.0625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Shear Walls</t>
        </is>
      </c>
      <c r="C13" s="13" t="inlineStr">
        <is>
          <t>STR-013/014</t>
        </is>
      </c>
      <c r="D13" s="13" t="inlineStr">
        <is>
          <t>Emergency stair core CW-12 (L=7050mm) M2 to Mezz - horizontal Y12@150 NF/FF</t>
        </is>
      </c>
      <c r="E13" s="19" t="inlineStr">
        <is>
          <t>H-Y12</t>
        </is>
      </c>
      <c r="F13" s="19" t="n">
        <v>12</v>
      </c>
      <c r="G13" s="19" t="n">
        <v>1</v>
      </c>
      <c r="H13" s="19">
        <f>2*16</f>
        <v>32.0</v>
      </c>
      <c r="I13" s="13">
        <f>G13*H13</f>
        <v>32.0</v>
      </c>
      <c r="J13" s="20">
        <f>(7050-2*30+40*12)/1000</f>
        <v>7.47</v>
      </c>
      <c r="K13" s="21">
        <f>I13*J13</f>
        <v>239.04</v>
      </c>
      <c r="L13" s="22">
        <f>F13^2/162</f>
        <v>0.8888888888888888</v>
      </c>
      <c r="M13" s="21">
        <f>K13*L13</f>
        <v>212.48</v>
      </c>
      <c r="N13" s="22">
        <f>M13/1000</f>
        <v>0.21248</v>
      </c>
      <c r="O13" s="13" t="inlineStr">
        <is>
          <t>Elevation count / plan length</t>
        </is>
      </c>
    </row>
    <row r="14">
      <c r="A14" s="13" t="n">
        <v>9</v>
      </c>
      <c r="B14" s="13" t="inlineStr">
        <is>
          <t>Shear Walls</t>
        </is>
      </c>
      <c r="C14" s="13" t="inlineStr">
        <is>
          <t>STR-013/014</t>
        </is>
      </c>
      <c r="D14" s="13" t="inlineStr">
        <is>
          <t>Emergency stair core CW-12 M2 to Mezz - vertical Y25@150 NF/FF</t>
        </is>
      </c>
      <c r="E14" s="19" t="inlineStr">
        <is>
          <t>V-Y25</t>
        </is>
      </c>
      <c r="F14" s="19" t="n">
        <v>25</v>
      </c>
      <c r="G14" s="19" t="n">
        <v>1</v>
      </c>
      <c r="H14" s="19">
        <f>2*(ROUNDUP(7050/150,0)+1)</f>
        <v>96.0</v>
      </c>
      <c r="I14" s="13">
        <f>G14*H14</f>
        <v>96.0</v>
      </c>
      <c r="J14" s="20">
        <f>(2700+40*25)/1000</f>
        <v>3.7</v>
      </c>
      <c r="K14" s="21">
        <f>I14*J14</f>
        <v>355.20000000000005</v>
      </c>
      <c r="L14" s="22">
        <f>F14^2/162</f>
        <v>3.8580246913580245</v>
      </c>
      <c r="M14" s="21">
        <f>K14*L14</f>
        <v>1370.3703703703704</v>
      </c>
      <c r="N14" s="22">
        <f>M14/1000</f>
        <v>1.3703703703703705</v>
      </c>
      <c r="O14" s="13" t="inlineStr">
        <is>
          <t>Elevation / plan</t>
        </is>
      </c>
    </row>
    <row r="15">
      <c r="A15" s="13" t="n">
        <v>10</v>
      </c>
      <c r="B15" s="13" t="inlineStr">
        <is>
          <t>Shear Walls</t>
        </is>
      </c>
      <c r="C15" s="13" t="inlineStr">
        <is>
          <t>STR-013/014</t>
        </is>
      </c>
      <c r="D15" s="13" t="inlineStr">
        <is>
          <t>Emergency stair core CW-13 (L=7810mm) M2 to Mezz - horizontal Y12@150 NF/FF</t>
        </is>
      </c>
      <c r="E15" s="19" t="inlineStr">
        <is>
          <t>H-Y12</t>
        </is>
      </c>
      <c r="F15" s="19" t="n">
        <v>12</v>
      </c>
      <c r="G15" s="19" t="n">
        <v>1</v>
      </c>
      <c r="H15" s="19">
        <f>2*16</f>
        <v>32.0</v>
      </c>
      <c r="I15" s="13">
        <f>G15*H15</f>
        <v>32.0</v>
      </c>
      <c r="J15" s="20">
        <f>(7810-2*30+40*12)/1000</f>
        <v>8.23</v>
      </c>
      <c r="K15" s="21">
        <f>I15*J15</f>
        <v>263.36</v>
      </c>
      <c r="L15" s="22">
        <f>F15^2/162</f>
        <v>0.8888888888888888</v>
      </c>
      <c r="M15" s="21">
        <f>K15*L15</f>
        <v>234.09777777777776</v>
      </c>
      <c r="N15" s="22">
        <f>M15/1000</f>
        <v>0.23409777777777777</v>
      </c>
      <c r="O15" s="13" t="inlineStr">
        <is>
          <t>Elevation count / plan length</t>
        </is>
      </c>
    </row>
    <row r="16">
      <c r="A16" s="13" t="n">
        <v>11</v>
      </c>
      <c r="B16" s="13" t="inlineStr">
        <is>
          <t>Shear Walls</t>
        </is>
      </c>
      <c r="C16" s="13" t="inlineStr">
        <is>
          <t>STR-013/014</t>
        </is>
      </c>
      <c r="D16" s="13" t="inlineStr">
        <is>
          <t>Emergency stair core CW-13 M2 to Mezz - vertical Y25@150 NF/FF</t>
        </is>
      </c>
      <c r="E16" s="19" t="inlineStr">
        <is>
          <t>V-Y25</t>
        </is>
      </c>
      <c r="F16" s="19" t="n">
        <v>25</v>
      </c>
      <c r="G16" s="19" t="n">
        <v>1</v>
      </c>
      <c r="H16" s="19">
        <f>2*52</f>
        <v>104.0</v>
      </c>
      <c r="I16" s="13">
        <f>G16*H16</f>
        <v>104.0</v>
      </c>
      <c r="J16" s="20">
        <f>(2700+40*25)/1000</f>
        <v>3.7</v>
      </c>
      <c r="K16" s="21">
        <f>I16*J16</f>
        <v>384.8</v>
      </c>
      <c r="L16" s="22">
        <f>F16^2/162</f>
        <v>3.8580246913580245</v>
      </c>
      <c r="M16" s="21">
        <f>K16*L16</f>
        <v>1484.567901234568</v>
      </c>
      <c r="N16" s="22">
        <f>M16/1000</f>
        <v>1.4845679012345678</v>
      </c>
      <c r="O16" s="13" t="inlineStr">
        <is>
          <t>Elevation / plan</t>
        </is>
      </c>
    </row>
    <row r="17">
      <c r="A17" s="13" t="n">
        <v>12</v>
      </c>
      <c r="B17" s="13" t="inlineStr">
        <is>
          <t>Shear Walls</t>
        </is>
      </c>
      <c r="C17" s="13" t="inlineStr">
        <is>
          <t>STR-013/014</t>
        </is>
      </c>
      <c r="D17" s="13" t="inlineStr">
        <is>
          <t>Emergency stair core CW-14 (L=3450mm) M2 to Mezz - horizontal Y12@150 NF/FF</t>
        </is>
      </c>
      <c r="E17" s="19" t="inlineStr">
        <is>
          <t>H-Y12</t>
        </is>
      </c>
      <c r="F17" s="19" t="n">
        <v>12</v>
      </c>
      <c r="G17" s="19" t="n">
        <v>1</v>
      </c>
      <c r="H17" s="19">
        <f>2*16</f>
        <v>32.0</v>
      </c>
      <c r="I17" s="13">
        <f>G17*H17</f>
        <v>32.0</v>
      </c>
      <c r="J17" s="20">
        <f>(3450-2*30+40*12)/1000</f>
        <v>3.87</v>
      </c>
      <c r="K17" s="21">
        <f>I17*J17</f>
        <v>123.84</v>
      </c>
      <c r="L17" s="22">
        <f>F17^2/162</f>
        <v>0.8888888888888888</v>
      </c>
      <c r="M17" s="21">
        <f>K17*L17</f>
        <v>110.08</v>
      </c>
      <c r="N17" s="22">
        <f>M17/1000</f>
        <v>0.11008</v>
      </c>
      <c r="O17" s="13" t="inlineStr">
        <is>
          <t>Elevation count / plan length</t>
        </is>
      </c>
    </row>
    <row r="18">
      <c r="A18" s="13" t="n">
        <v>13</v>
      </c>
      <c r="B18" s="13" t="inlineStr">
        <is>
          <t>Shear Walls</t>
        </is>
      </c>
      <c r="C18" s="13" t="inlineStr">
        <is>
          <t>STR-013/014</t>
        </is>
      </c>
      <c r="D18" s="13" t="inlineStr">
        <is>
          <t>Emergency stair core CW-14 M2 to Mezz - vertical Y25@150 NF/FF</t>
        </is>
      </c>
      <c r="E18" s="19" t="inlineStr">
        <is>
          <t>V-Y25</t>
        </is>
      </c>
      <c r="F18" s="19" t="n">
        <v>25</v>
      </c>
      <c r="G18" s="19" t="n">
        <v>1</v>
      </c>
      <c r="H18" s="19">
        <f>2*(ROUNDUP(3450/150,0)+1)</f>
        <v>48.0</v>
      </c>
      <c r="I18" s="13">
        <f>G18*H18</f>
        <v>48.0</v>
      </c>
      <c r="J18" s="20">
        <f>(2700+40*25)/1000</f>
        <v>3.7</v>
      </c>
      <c r="K18" s="21">
        <f>I18*J18</f>
        <v>177.60000000000002</v>
      </c>
      <c r="L18" s="22">
        <f>F18^2/162</f>
        <v>3.8580246913580245</v>
      </c>
      <c r="M18" s="21">
        <f>K18*L18</f>
        <v>685.1851851851852</v>
      </c>
      <c r="N18" s="22">
        <f>M18/1000</f>
        <v>0.6851851851851852</v>
      </c>
      <c r="O18" s="13" t="inlineStr">
        <is>
          <t>Elevation / plan</t>
        </is>
      </c>
    </row>
    <row r="19">
      <c r="A19" s="13" t="n">
        <v>14</v>
      </c>
      <c r="B19" s="13" t="inlineStr">
        <is>
          <t>Shear Walls</t>
        </is>
      </c>
      <c r="C19" s="13" t="inlineStr">
        <is>
          <t>STR-013/014</t>
        </is>
      </c>
      <c r="D19" s="13" t="inlineStr">
        <is>
          <t>Emergency stair core CW-15 (L=2425mm) M2 to Mezz - horizontal Y12@150 NF/FF</t>
        </is>
      </c>
      <c r="E19" s="19" t="inlineStr">
        <is>
          <t>H-Y12</t>
        </is>
      </c>
      <c r="F19" s="19" t="n">
        <v>12</v>
      </c>
      <c r="G19" s="19" t="n">
        <v>1</v>
      </c>
      <c r="H19" s="19">
        <f>2*16</f>
        <v>32.0</v>
      </c>
      <c r="I19" s="13">
        <f>G19*H19</f>
        <v>32.0</v>
      </c>
      <c r="J19" s="20">
        <f>(2425-2*30+40*12)/1000</f>
        <v>2.845</v>
      </c>
      <c r="K19" s="21">
        <f>I19*J19</f>
        <v>91.04</v>
      </c>
      <c r="L19" s="22">
        <f>F19^2/162</f>
        <v>0.8888888888888888</v>
      </c>
      <c r="M19" s="21">
        <f>K19*L19</f>
        <v>80.92444444444445</v>
      </c>
      <c r="N19" s="22">
        <f>M19/1000</f>
        <v>0.08092444444444445</v>
      </c>
      <c r="O19" s="13" t="inlineStr">
        <is>
          <t>Elevation count / plan length</t>
        </is>
      </c>
    </row>
    <row r="20">
      <c r="A20" s="13" t="n">
        <v>15</v>
      </c>
      <c r="B20" s="13" t="inlineStr">
        <is>
          <t>Shear Walls</t>
        </is>
      </c>
      <c r="C20" s="13" t="inlineStr">
        <is>
          <t>STR-013/014</t>
        </is>
      </c>
      <c r="D20" s="13" t="inlineStr">
        <is>
          <t>Emergency stair core CW-15 M2 to Mezz - vertical Y25@150 NF/FF</t>
        </is>
      </c>
      <c r="E20" s="19" t="inlineStr">
        <is>
          <t>V-Y25</t>
        </is>
      </c>
      <c r="F20" s="19" t="n">
        <v>25</v>
      </c>
      <c r="G20" s="19" t="n">
        <v>1</v>
      </c>
      <c r="H20" s="19">
        <f>2*(ROUNDUP(2425/150,0)+1)</f>
        <v>36.0</v>
      </c>
      <c r="I20" s="13">
        <f>G20*H20</f>
        <v>36.0</v>
      </c>
      <c r="J20" s="20">
        <f>(2700+40*25)/1000</f>
        <v>3.7</v>
      </c>
      <c r="K20" s="21">
        <f>I20*J20</f>
        <v>133.20000000000002</v>
      </c>
      <c r="L20" s="22">
        <f>F20^2/162</f>
        <v>3.8580246913580245</v>
      </c>
      <c r="M20" s="21">
        <f>K20*L20</f>
        <v>513.8888888888889</v>
      </c>
      <c r="N20" s="22">
        <f>M20/1000</f>
        <v>0.513888888888889</v>
      </c>
      <c r="O20" s="13" t="inlineStr">
        <is>
          <t>Elevation / plan</t>
        </is>
      </c>
    </row>
    <row r="21">
      <c r="A21" s="13" t="n">
        <v>16</v>
      </c>
      <c r="B21" s="13" t="inlineStr">
        <is>
          <t>Shear Walls</t>
        </is>
      </c>
      <c r="C21" s="13" t="inlineStr">
        <is>
          <t>STR-013/014</t>
        </is>
      </c>
      <c r="D21" s="13" t="inlineStr">
        <is>
          <t>Emergency stair core CW-16 (L=775mm) M2 to Mezz - horizontal Y12@150 NF/FF</t>
        </is>
      </c>
      <c r="E21" s="19" t="inlineStr">
        <is>
          <t>H-Y12</t>
        </is>
      </c>
      <c r="F21" s="19" t="n">
        <v>12</v>
      </c>
      <c r="G21" s="19" t="n">
        <v>1</v>
      </c>
      <c r="H21" s="19">
        <f>2*16</f>
        <v>32.0</v>
      </c>
      <c r="I21" s="13">
        <f>G21*H21</f>
        <v>32.0</v>
      </c>
      <c r="J21" s="20">
        <f>(775-2*30+40*12)/1000</f>
        <v>1.195</v>
      </c>
      <c r="K21" s="21">
        <f>I21*J21</f>
        <v>38.24</v>
      </c>
      <c r="L21" s="22">
        <f>F21^2/162</f>
        <v>0.8888888888888888</v>
      </c>
      <c r="M21" s="21">
        <f>K21*L21</f>
        <v>33.99111111111111</v>
      </c>
      <c r="N21" s="22">
        <f>M21/1000</f>
        <v>0.03399111111111111</v>
      </c>
      <c r="O21" s="13" t="inlineStr">
        <is>
          <t>Elevation count / plan length</t>
        </is>
      </c>
    </row>
    <row r="22">
      <c r="A22" s="13" t="n">
        <v>17</v>
      </c>
      <c r="B22" s="13" t="inlineStr">
        <is>
          <t>Shear Walls</t>
        </is>
      </c>
      <c r="C22" s="13" t="inlineStr">
        <is>
          <t>STR-013/014</t>
        </is>
      </c>
      <c r="D22" s="13" t="inlineStr">
        <is>
          <t>Emergency stair core CW-16 M2 to Mezz - vertical Y25@150 NF/FF</t>
        </is>
      </c>
      <c r="E22" s="19" t="inlineStr">
        <is>
          <t>V-Y25</t>
        </is>
      </c>
      <c r="F22" s="19" t="n">
        <v>25</v>
      </c>
      <c r="G22" s="19" t="n">
        <v>1</v>
      </c>
      <c r="H22" s="19">
        <f>2*(ROUNDUP(775/150,0)+1)</f>
        <v>14.0</v>
      </c>
      <c r="I22" s="13">
        <f>G22*H22</f>
        <v>14.0</v>
      </c>
      <c r="J22" s="20">
        <f>(2700+40*25)/1000</f>
        <v>3.7</v>
      </c>
      <c r="K22" s="21">
        <f>I22*J22</f>
        <v>51.800000000000004</v>
      </c>
      <c r="L22" s="22">
        <f>F22^2/162</f>
        <v>3.8580246913580245</v>
      </c>
      <c r="M22" s="21">
        <f>K22*L22</f>
        <v>199.8456790123457</v>
      </c>
      <c r="N22" s="22">
        <f>M22/1000</f>
        <v>0.1998456790123457</v>
      </c>
      <c r="O22" s="13" t="inlineStr">
        <is>
          <t>Elevation / plan</t>
        </is>
      </c>
    </row>
    <row r="23">
      <c r="A23" s="13" t="n">
        <v>18</v>
      </c>
      <c r="B23" s="13" t="inlineStr">
        <is>
          <t>Shear Walls</t>
        </is>
      </c>
      <c r="C23" s="13" t="inlineStr">
        <is>
          <t>STR-013/014</t>
        </is>
      </c>
      <c r="D23" s="13" t="inlineStr">
        <is>
          <t>Emergency stair core CW-17 (L=360mm) M2 to Mezz - horizontal Y12@150 NF/FF</t>
        </is>
      </c>
      <c r="E23" s="19" t="inlineStr">
        <is>
          <t>H-Y12</t>
        </is>
      </c>
      <c r="F23" s="19" t="n">
        <v>12</v>
      </c>
      <c r="G23" s="19" t="n">
        <v>1</v>
      </c>
      <c r="H23" s="19">
        <f>2*16</f>
        <v>32.0</v>
      </c>
      <c r="I23" s="13">
        <f>G23*H23</f>
        <v>32.0</v>
      </c>
      <c r="J23" s="20">
        <f>(360-2*30+40*12)/1000</f>
        <v>0.78</v>
      </c>
      <c r="K23" s="21">
        <f>I23*J23</f>
        <v>24.96</v>
      </c>
      <c r="L23" s="22">
        <f>F23^2/162</f>
        <v>0.8888888888888888</v>
      </c>
      <c r="M23" s="21">
        <f>K23*L23</f>
        <v>22.186666666666667</v>
      </c>
      <c r="N23" s="22">
        <f>M23/1000</f>
        <v>0.022186666666666667</v>
      </c>
      <c r="O23" s="13" t="inlineStr">
        <is>
          <t>Elevation count / plan length</t>
        </is>
      </c>
    </row>
    <row r="24">
      <c r="A24" s="13" t="n">
        <v>19</v>
      </c>
      <c r="B24" s="13" t="inlineStr">
        <is>
          <t>Shear Walls</t>
        </is>
      </c>
      <c r="C24" s="13" t="inlineStr">
        <is>
          <t>STR-013/014</t>
        </is>
      </c>
      <c r="D24" s="13" t="inlineStr">
        <is>
          <t>Emergency stair core CW-17 M2 to Mezz - vertical Y25@150 NF/FF</t>
        </is>
      </c>
      <c r="E24" s="19" t="inlineStr">
        <is>
          <t>V-Y25</t>
        </is>
      </c>
      <c r="F24" s="19" t="n">
        <v>25</v>
      </c>
      <c r="G24" s="19" t="n">
        <v>1</v>
      </c>
      <c r="H24" s="19">
        <f>2*(ROUNDUP(360/150,0)+1)</f>
        <v>8.0</v>
      </c>
      <c r="I24" s="13">
        <f>G24*H24</f>
        <v>8.0</v>
      </c>
      <c r="J24" s="20">
        <f>(2700+40*25)/1000</f>
        <v>3.7</v>
      </c>
      <c r="K24" s="21">
        <f>I24*J24</f>
        <v>29.6</v>
      </c>
      <c r="L24" s="22">
        <f>F24^2/162</f>
        <v>3.8580246913580245</v>
      </c>
      <c r="M24" s="21">
        <f>K24*L24</f>
        <v>114.19753086419753</v>
      </c>
      <c r="N24" s="22">
        <f>M24/1000</f>
        <v>0.11419753086419754</v>
      </c>
      <c r="O24" s="13" t="inlineStr">
        <is>
          <t>Elevation / plan</t>
        </is>
      </c>
    </row>
    <row r="25">
      <c r="A25" s="13" t="n">
        <v>20</v>
      </c>
      <c r="B25" s="13" t="inlineStr">
        <is>
          <t>Shear Walls</t>
        </is>
      </c>
      <c r="C25" s="13" t="inlineStr">
        <is>
          <t>STR-013/014</t>
        </is>
      </c>
      <c r="D25" s="13" t="inlineStr">
        <is>
          <t>Emergency stair core CW-18 (L=1300mm) M2 to Mezz - horizontal Y12@150 NF/FF</t>
        </is>
      </c>
      <c r="E25" s="19" t="inlineStr">
        <is>
          <t>H-Y12</t>
        </is>
      </c>
      <c r="F25" s="19" t="n">
        <v>12</v>
      </c>
      <c r="G25" s="19" t="n">
        <v>1</v>
      </c>
      <c r="H25" s="19">
        <f>2*16</f>
        <v>32.0</v>
      </c>
      <c r="I25" s="13">
        <f>G25*H25</f>
        <v>32.0</v>
      </c>
      <c r="J25" s="20">
        <f>(1300-2*30+40*12)/1000</f>
        <v>1.72</v>
      </c>
      <c r="K25" s="21">
        <f>I25*J25</f>
        <v>55.04</v>
      </c>
      <c r="L25" s="22">
        <f>F25^2/162</f>
        <v>0.8888888888888888</v>
      </c>
      <c r="M25" s="21">
        <f>K25*L25</f>
        <v>48.92444444444444</v>
      </c>
      <c r="N25" s="22">
        <f>M25/1000</f>
        <v>0.04892444444444444</v>
      </c>
      <c r="O25" s="13" t="inlineStr">
        <is>
          <t>Elevation count / plan length</t>
        </is>
      </c>
    </row>
    <row r="26">
      <c r="A26" s="13" t="n">
        <v>21</v>
      </c>
      <c r="B26" s="13" t="inlineStr">
        <is>
          <t>Shear Walls</t>
        </is>
      </c>
      <c r="C26" s="13" t="inlineStr">
        <is>
          <t>STR-013/014</t>
        </is>
      </c>
      <c r="D26" s="13" t="inlineStr">
        <is>
          <t>Emergency stair core CW-18 M2 to Mezz - vertical Y25@150 NF/FF</t>
        </is>
      </c>
      <c r="E26" s="19" t="inlineStr">
        <is>
          <t>V-Y25</t>
        </is>
      </c>
      <c r="F26" s="19" t="n">
        <v>25</v>
      </c>
      <c r="G26" s="19" t="n">
        <v>1</v>
      </c>
      <c r="H26" s="19">
        <f>2*(ROUNDUP(1300/150,0)+1)</f>
        <v>20.0</v>
      </c>
      <c r="I26" s="13">
        <f>G26*H26</f>
        <v>20.0</v>
      </c>
      <c r="J26" s="20">
        <f>(2700+40*25)/1000</f>
        <v>3.7</v>
      </c>
      <c r="K26" s="21">
        <f>I26*J26</f>
        <v>74.0</v>
      </c>
      <c r="L26" s="22">
        <f>F26^2/162</f>
        <v>3.8580246913580245</v>
      </c>
      <c r="M26" s="21">
        <f>K26*L26</f>
        <v>285.4938271604938</v>
      </c>
      <c r="N26" s="22">
        <f>M26/1000</f>
        <v>0.2854938271604938</v>
      </c>
      <c r="O26" s="13" t="inlineStr">
        <is>
          <t>Elevation / plan</t>
        </is>
      </c>
    </row>
    <row r="27">
      <c r="A27" s="13" t="n">
        <v>22</v>
      </c>
      <c r="B27" s="13" t="inlineStr">
        <is>
          <t>Shear Walls</t>
        </is>
      </c>
      <c r="C27" s="13" t="inlineStr">
        <is>
          <t>STR-013/014</t>
        </is>
      </c>
      <c r="D27" s="13" t="inlineStr">
        <is>
          <t>Emergency stair core CW-19 (L=1100mm) M2 to Mezz - horizontal Y12@150 NF/FF</t>
        </is>
      </c>
      <c r="E27" s="19" t="inlineStr">
        <is>
          <t>H-Y12</t>
        </is>
      </c>
      <c r="F27" s="19" t="n">
        <v>12</v>
      </c>
      <c r="G27" s="19" t="n">
        <v>1</v>
      </c>
      <c r="H27" s="19">
        <f>2*16</f>
        <v>32.0</v>
      </c>
      <c r="I27" s="13">
        <f>G27*H27</f>
        <v>32.0</v>
      </c>
      <c r="J27" s="20">
        <f>(1100-2*30+40*12)/1000</f>
        <v>1.52</v>
      </c>
      <c r="K27" s="21">
        <f>I27*J27</f>
        <v>48.64</v>
      </c>
      <c r="L27" s="22">
        <f>F27^2/162</f>
        <v>0.8888888888888888</v>
      </c>
      <c r="M27" s="21">
        <f>K27*L27</f>
        <v>43.23555555555556</v>
      </c>
      <c r="N27" s="22">
        <f>M27/1000</f>
        <v>0.043235555555555555</v>
      </c>
      <c r="O27" s="13" t="inlineStr">
        <is>
          <t>Elevation count / plan length</t>
        </is>
      </c>
    </row>
    <row r="28">
      <c r="A28" s="13" t="n">
        <v>23</v>
      </c>
      <c r="B28" s="13" t="inlineStr">
        <is>
          <t>Shear Walls</t>
        </is>
      </c>
      <c r="C28" s="13" t="inlineStr">
        <is>
          <t>STR-013/014</t>
        </is>
      </c>
      <c r="D28" s="13" t="inlineStr">
        <is>
          <t>Emergency stair core CW-19 M2 to Mezz - vertical Y25@150 NF/FF</t>
        </is>
      </c>
      <c r="E28" s="19" t="inlineStr">
        <is>
          <t>V-Y25</t>
        </is>
      </c>
      <c r="F28" s="19" t="n">
        <v>25</v>
      </c>
      <c r="G28" s="19" t="n">
        <v>1</v>
      </c>
      <c r="H28" s="19">
        <f>2*(ROUNDUP(1100/150,0)+1)</f>
        <v>18.0</v>
      </c>
      <c r="I28" s="13">
        <f>G28*H28</f>
        <v>18.0</v>
      </c>
      <c r="J28" s="20">
        <f>(2700+40*25)/1000</f>
        <v>3.7</v>
      </c>
      <c r="K28" s="21">
        <f>I28*J28</f>
        <v>66.60000000000001</v>
      </c>
      <c r="L28" s="22">
        <f>F28^2/162</f>
        <v>3.8580246913580245</v>
      </c>
      <c r="M28" s="21">
        <f>K28*L28</f>
        <v>256.94444444444446</v>
      </c>
      <c r="N28" s="22">
        <f>M28/1000</f>
        <v>0.2569444444444445</v>
      </c>
      <c r="O28" s="13" t="inlineStr">
        <is>
          <t>Elevation / plan</t>
        </is>
      </c>
    </row>
    <row r="29">
      <c r="A29" s="13" t="n">
        <v>24</v>
      </c>
      <c r="B29" s="13" t="inlineStr">
        <is>
          <t>Shear Walls</t>
        </is>
      </c>
      <c r="C29" s="13" t="inlineStr">
        <is>
          <t>STR-013/014</t>
        </is>
      </c>
      <c r="D29" s="13" t="inlineStr">
        <is>
          <t>Emergency stair core CW-20 (L=1300mm) M2 to Mezz - horizontal Y12@150 NF/FF</t>
        </is>
      </c>
      <c r="E29" s="19" t="inlineStr">
        <is>
          <t>H-Y12</t>
        </is>
      </c>
      <c r="F29" s="19" t="n">
        <v>12</v>
      </c>
      <c r="G29" s="19" t="n">
        <v>1</v>
      </c>
      <c r="H29" s="19">
        <f>2*16</f>
        <v>32.0</v>
      </c>
      <c r="I29" s="13">
        <f>G29*H29</f>
        <v>32.0</v>
      </c>
      <c r="J29" s="20">
        <f>(1300-2*30+40*12)/1000</f>
        <v>1.72</v>
      </c>
      <c r="K29" s="21">
        <f>I29*J29</f>
        <v>55.04</v>
      </c>
      <c r="L29" s="22">
        <f>F29^2/162</f>
        <v>0.8888888888888888</v>
      </c>
      <c r="M29" s="21">
        <f>K29*L29</f>
        <v>48.92444444444444</v>
      </c>
      <c r="N29" s="22">
        <f>M29/1000</f>
        <v>0.04892444444444444</v>
      </c>
      <c r="O29" s="13" t="inlineStr">
        <is>
          <t>Elevation count / plan length</t>
        </is>
      </c>
    </row>
    <row r="30">
      <c r="A30" s="13" t="n">
        <v>25</v>
      </c>
      <c r="B30" s="13" t="inlineStr">
        <is>
          <t>Shear Walls</t>
        </is>
      </c>
      <c r="C30" s="13" t="inlineStr">
        <is>
          <t>STR-013/014</t>
        </is>
      </c>
      <c r="D30" s="13" t="inlineStr">
        <is>
          <t>Emergency stair core CW-20 M2 to Mezz - vertical Y25@150 NF/FF</t>
        </is>
      </c>
      <c r="E30" s="19" t="inlineStr">
        <is>
          <t>V-Y25</t>
        </is>
      </c>
      <c r="F30" s="19" t="n">
        <v>25</v>
      </c>
      <c r="G30" s="19" t="n">
        <v>1</v>
      </c>
      <c r="H30" s="19">
        <f>2*(ROUNDUP(1300/150,0)+1)</f>
        <v>20.0</v>
      </c>
      <c r="I30" s="13">
        <f>G30*H30</f>
        <v>20.0</v>
      </c>
      <c r="J30" s="20">
        <f>(2700+40*25)/1000</f>
        <v>3.7</v>
      </c>
      <c r="K30" s="21">
        <f>I30*J30</f>
        <v>74.0</v>
      </c>
      <c r="L30" s="22">
        <f>F30^2/162</f>
        <v>3.8580246913580245</v>
      </c>
      <c r="M30" s="21">
        <f>K30*L30</f>
        <v>285.4938271604938</v>
      </c>
      <c r="N30" s="22">
        <f>M30/1000</f>
        <v>0.2854938271604938</v>
      </c>
      <c r="O30" s="13" t="inlineStr">
        <is>
          <t>Elevation / plan</t>
        </is>
      </c>
    </row>
    <row r="31">
      <c r="A31" s="13" t="n">
        <v>26</v>
      </c>
      <c r="B31" s="13" t="inlineStr">
        <is>
          <t>Shear Walls</t>
        </is>
      </c>
      <c r="C31" s="13" t="inlineStr">
        <is>
          <t>STR-013/014</t>
        </is>
      </c>
      <c r="D31" s="13" t="inlineStr">
        <is>
          <t>Emergency stair core confinement links Y10@150 (33 positions on plan) M2 to Mezz</t>
        </is>
      </c>
      <c r="E31" s="19" t="inlineStr">
        <is>
          <t>LNK-Y10</t>
        </is>
      </c>
      <c r="F31" s="19" t="n">
        <v>10</v>
      </c>
      <c r="G31" s="19" t="n">
        <v>1</v>
      </c>
      <c r="H31" s="19">
        <f>33*ROUNDUP(2700/150,0)</f>
        <v>594.0</v>
      </c>
      <c r="I31" s="13">
        <f>G31*H31</f>
        <v>594.0</v>
      </c>
      <c r="J31" s="20">
        <f>1800/1000</f>
        <v>1.8</v>
      </c>
      <c r="K31" s="21">
        <f>I31*J31</f>
        <v>1069.2</v>
      </c>
      <c r="L31" s="22">
        <f>F31^2/162</f>
        <v>0.6172839506172839</v>
      </c>
      <c r="M31" s="21">
        <f>K31*L31</f>
        <v>660.0</v>
      </c>
      <c r="N31" s="22">
        <f>M31/1000</f>
        <v>0.66</v>
      </c>
      <c r="O31" s="13" t="inlineStr">
        <is>
          <t>Assumed link cut length</t>
        </is>
      </c>
    </row>
    <row r="32">
      <c r="A32" s="13" t="n">
        <v>27</v>
      </c>
      <c r="B32" s="13" t="inlineStr">
        <is>
          <t>Beams</t>
        </is>
      </c>
      <c r="C32" s="13" t="inlineStr">
        <is>
          <t>STR-054</t>
        </is>
      </c>
      <c r="D32" s="13" t="inlineStr">
        <is>
          <t>M2 Level beams</t>
        </is>
      </c>
      <c r="E32" s="19" t="inlineStr">
        <is>
          <t>1001</t>
        </is>
      </c>
      <c r="F32" s="19" t="n">
        <v>10</v>
      </c>
      <c r="G32" s="19" t="n">
        <v>1</v>
      </c>
      <c r="H32" s="19" t="n">
        <v>614</v>
      </c>
      <c r="I32" s="13">
        <f>G32*H32</f>
        <v>614.0</v>
      </c>
      <c r="J32" s="20">
        <f>1700/1000</f>
        <v>1.7</v>
      </c>
      <c r="K32" s="21">
        <f>I32*J32</f>
        <v>1043.8</v>
      </c>
      <c r="L32" s="22">
        <f>F32^2/162</f>
        <v>0.6172839506172839</v>
      </c>
      <c r="M32" s="21">
        <f>K32*L32</f>
        <v>644.3209876543209</v>
      </c>
      <c r="N32" s="22">
        <f>M32/1000</f>
        <v>0.6443209876543209</v>
      </c>
      <c r="O32" s="13" t="inlineStr">
        <is>
          <t>BBS</t>
        </is>
      </c>
    </row>
    <row r="33">
      <c r="A33" s="13" t="n">
        <v>28</v>
      </c>
      <c r="B33" s="13" t="inlineStr">
        <is>
          <t>Beams</t>
        </is>
      </c>
      <c r="C33" s="13" t="inlineStr">
        <is>
          <t>STR-054</t>
        </is>
      </c>
      <c r="D33" s="13" t="inlineStr">
        <is>
          <t>M2 Level beams</t>
        </is>
      </c>
      <c r="E33" s="19" t="inlineStr">
        <is>
          <t>1601</t>
        </is>
      </c>
      <c r="F33" s="19" t="n">
        <v>16</v>
      </c>
      <c r="G33" s="19" t="n">
        <v>1</v>
      </c>
      <c r="H33" s="19" t="n">
        <v>6</v>
      </c>
      <c r="I33" s="13">
        <f>G33*H33</f>
        <v>6.0</v>
      </c>
      <c r="J33" s="20">
        <f>12000/1000</f>
        <v>12.0</v>
      </c>
      <c r="K33" s="21">
        <f>I33*J33</f>
        <v>72.0</v>
      </c>
      <c r="L33" s="22">
        <f>F33^2/162</f>
        <v>1.5802469135802468</v>
      </c>
      <c r="M33" s="21">
        <f>K33*L33</f>
        <v>113.77777777777777</v>
      </c>
      <c r="N33" s="22">
        <f>M33/1000</f>
        <v>0.11377777777777777</v>
      </c>
      <c r="O33" s="13" t="inlineStr">
        <is>
          <t>BBS</t>
        </is>
      </c>
    </row>
    <row r="34">
      <c r="A34" s="13" t="n">
        <v>29</v>
      </c>
      <c r="B34" s="13" t="inlineStr">
        <is>
          <t>Beams</t>
        </is>
      </c>
      <c r="C34" s="13" t="inlineStr">
        <is>
          <t>STR-054</t>
        </is>
      </c>
      <c r="D34" s="13" t="inlineStr">
        <is>
          <t>M2 Level beams</t>
        </is>
      </c>
      <c r="E34" s="19" t="inlineStr">
        <is>
          <t>1602</t>
        </is>
      </c>
      <c r="F34" s="19" t="n">
        <v>16</v>
      </c>
      <c r="G34" s="19" t="n">
        <v>1</v>
      </c>
      <c r="H34" s="19" t="n">
        <v>2</v>
      </c>
      <c r="I34" s="13">
        <f>G34*H34</f>
        <v>2.0</v>
      </c>
      <c r="J34" s="20">
        <f>7275/1000</f>
        <v>7.275</v>
      </c>
      <c r="K34" s="21">
        <f>I34*J34</f>
        <v>14.55</v>
      </c>
      <c r="L34" s="22">
        <f>F34^2/162</f>
        <v>1.5802469135802468</v>
      </c>
      <c r="M34" s="21">
        <f>K34*L34</f>
        <v>22.992592592592594</v>
      </c>
      <c r="N34" s="22">
        <f>M34/1000</f>
        <v>0.022992592592592592</v>
      </c>
      <c r="O34" s="13" t="inlineStr">
        <is>
          <t>BBS</t>
        </is>
      </c>
    </row>
    <row r="35">
      <c r="A35" s="13" t="n">
        <v>30</v>
      </c>
      <c r="B35" s="13" t="inlineStr">
        <is>
          <t>Beams</t>
        </is>
      </c>
      <c r="C35" s="13" t="inlineStr">
        <is>
          <t>STR-054</t>
        </is>
      </c>
      <c r="D35" s="13" t="inlineStr">
        <is>
          <t>M2 Level beams</t>
        </is>
      </c>
      <c r="E35" s="19" t="inlineStr">
        <is>
          <t>1603</t>
        </is>
      </c>
      <c r="F35" s="19" t="n">
        <v>16</v>
      </c>
      <c r="G35" s="19" t="n">
        <v>1</v>
      </c>
      <c r="H35" s="19" t="n">
        <v>2</v>
      </c>
      <c r="I35" s="13">
        <f>G35*H35</f>
        <v>2.0</v>
      </c>
      <c r="J35" s="20">
        <f>5150/1000</f>
        <v>5.15</v>
      </c>
      <c r="K35" s="21">
        <f>I35*J35</f>
        <v>10.3</v>
      </c>
      <c r="L35" s="22">
        <f>F35^2/162</f>
        <v>1.5802469135802468</v>
      </c>
      <c r="M35" s="21">
        <f>K35*L35</f>
        <v>16.276543209876543</v>
      </c>
      <c r="N35" s="22">
        <f>M35/1000</f>
        <v>0.016276543209876544</v>
      </c>
      <c r="O35" s="13" t="inlineStr">
        <is>
          <t>BBS</t>
        </is>
      </c>
    </row>
    <row r="36">
      <c r="A36" s="13" t="n">
        <v>31</v>
      </c>
      <c r="B36" s="13" t="inlineStr">
        <is>
          <t>Beams</t>
        </is>
      </c>
      <c r="C36" s="13" t="inlineStr">
        <is>
          <t>STR-054</t>
        </is>
      </c>
      <c r="D36" s="13" t="inlineStr">
        <is>
          <t>M2 Level beams</t>
        </is>
      </c>
      <c r="E36" s="19" t="inlineStr">
        <is>
          <t>1604</t>
        </is>
      </c>
      <c r="F36" s="19" t="n">
        <v>16</v>
      </c>
      <c r="G36" s="19" t="n">
        <v>1</v>
      </c>
      <c r="H36" s="19" t="n">
        <v>3</v>
      </c>
      <c r="I36" s="13">
        <f>G36*H36</f>
        <v>3.0</v>
      </c>
      <c r="J36" s="20">
        <f>8100/1000</f>
        <v>8.1</v>
      </c>
      <c r="K36" s="21">
        <f>I36*J36</f>
        <v>24.299999999999997</v>
      </c>
      <c r="L36" s="22">
        <f>F36^2/162</f>
        <v>1.5802469135802468</v>
      </c>
      <c r="M36" s="21">
        <f>K36*L36</f>
        <v>38.39999999999999</v>
      </c>
      <c r="N36" s="22">
        <f>M36/1000</f>
        <v>0.03839999999999999</v>
      </c>
      <c r="O36" s="13" t="inlineStr">
        <is>
          <t>BBS</t>
        </is>
      </c>
    </row>
    <row r="37">
      <c r="A37" s="13" t="n">
        <v>32</v>
      </c>
      <c r="B37" s="13" t="inlineStr">
        <is>
          <t>Beams</t>
        </is>
      </c>
      <c r="C37" s="13" t="inlineStr">
        <is>
          <t>STR-054</t>
        </is>
      </c>
      <c r="D37" s="13" t="inlineStr">
        <is>
          <t>M2 Level beams</t>
        </is>
      </c>
      <c r="E37" s="19" t="inlineStr">
        <is>
          <t>1605</t>
        </is>
      </c>
      <c r="F37" s="19" t="n">
        <v>16</v>
      </c>
      <c r="G37" s="19" t="n">
        <v>1</v>
      </c>
      <c r="H37" s="19" t="n">
        <v>3</v>
      </c>
      <c r="I37" s="13">
        <f>G37*H37</f>
        <v>3.0</v>
      </c>
      <c r="J37" s="20">
        <f>6400/1000</f>
        <v>6.4</v>
      </c>
      <c r="K37" s="21">
        <f>I37*J37</f>
        <v>19.200000000000003</v>
      </c>
      <c r="L37" s="22">
        <f>F37^2/162</f>
        <v>1.5802469135802468</v>
      </c>
      <c r="M37" s="21">
        <f>K37*L37</f>
        <v>30.340740740740742</v>
      </c>
      <c r="N37" s="22">
        <f>M37/1000</f>
        <v>0.03034074074074074</v>
      </c>
      <c r="O37" s="13" t="inlineStr">
        <is>
          <t>BBS</t>
        </is>
      </c>
    </row>
    <row r="38">
      <c r="A38" s="13" t="n">
        <v>33</v>
      </c>
      <c r="B38" s="13" t="inlineStr">
        <is>
          <t>Beams</t>
        </is>
      </c>
      <c r="C38" s="13" t="inlineStr">
        <is>
          <t>STR-054</t>
        </is>
      </c>
      <c r="D38" s="13" t="inlineStr">
        <is>
          <t>M2 Level beams</t>
        </is>
      </c>
      <c r="E38" s="19" t="inlineStr">
        <is>
          <t>1606</t>
        </is>
      </c>
      <c r="F38" s="19" t="n">
        <v>16</v>
      </c>
      <c r="G38" s="19" t="n">
        <v>1</v>
      </c>
      <c r="H38" s="19" t="n">
        <v>3</v>
      </c>
      <c r="I38" s="13">
        <f>G38*H38</f>
        <v>3.0</v>
      </c>
      <c r="J38" s="20">
        <f>9300/1000</f>
        <v>9.3</v>
      </c>
      <c r="K38" s="21">
        <f>I38*J38</f>
        <v>27.900000000000002</v>
      </c>
      <c r="L38" s="22">
        <f>F38^2/162</f>
        <v>1.5802469135802468</v>
      </c>
      <c r="M38" s="21">
        <f>K38*L38</f>
        <v>44.08888888888889</v>
      </c>
      <c r="N38" s="22">
        <f>M38/1000</f>
        <v>0.044088888888888886</v>
      </c>
      <c r="O38" s="13" t="inlineStr">
        <is>
          <t>BBS</t>
        </is>
      </c>
    </row>
    <row r="39">
      <c r="A39" s="13" t="n">
        <v>34</v>
      </c>
      <c r="B39" s="13" t="inlineStr">
        <is>
          <t>Beams</t>
        </is>
      </c>
      <c r="C39" s="13" t="inlineStr">
        <is>
          <t>STR-054</t>
        </is>
      </c>
      <c r="D39" s="13" t="inlineStr">
        <is>
          <t>M2 Level beams</t>
        </is>
      </c>
      <c r="E39" s="19" t="inlineStr">
        <is>
          <t>1607</t>
        </is>
      </c>
      <c r="F39" s="19" t="n">
        <v>16</v>
      </c>
      <c r="G39" s="19" t="n">
        <v>1</v>
      </c>
      <c r="H39" s="19" t="n">
        <v>4</v>
      </c>
      <c r="I39" s="13">
        <f>G39*H39</f>
        <v>4.0</v>
      </c>
      <c r="J39" s="20">
        <f>6750/1000</f>
        <v>6.75</v>
      </c>
      <c r="K39" s="21">
        <f>I39*J39</f>
        <v>27.0</v>
      </c>
      <c r="L39" s="22">
        <f>F39^2/162</f>
        <v>1.5802469135802468</v>
      </c>
      <c r="M39" s="21">
        <f>K39*L39</f>
        <v>42.666666666666664</v>
      </c>
      <c r="N39" s="22">
        <f>M39/1000</f>
        <v>0.042666666666666665</v>
      </c>
      <c r="O39" s="13" t="inlineStr">
        <is>
          <t>BBS</t>
        </is>
      </c>
    </row>
    <row r="40">
      <c r="A40" s="13" t="n">
        <v>35</v>
      </c>
      <c r="B40" s="13" t="inlineStr">
        <is>
          <t>Beams</t>
        </is>
      </c>
      <c r="C40" s="13" t="inlineStr">
        <is>
          <t>STR-054</t>
        </is>
      </c>
      <c r="D40" s="13" t="inlineStr">
        <is>
          <t>M2 Level beams</t>
        </is>
      </c>
      <c r="E40" s="19" t="inlineStr">
        <is>
          <t>1608</t>
        </is>
      </c>
      <c r="F40" s="19" t="n">
        <v>16</v>
      </c>
      <c r="G40" s="19" t="n">
        <v>1</v>
      </c>
      <c r="H40" s="19" t="n">
        <v>2</v>
      </c>
      <c r="I40" s="13">
        <f>G40*H40</f>
        <v>2.0</v>
      </c>
      <c r="J40" s="20">
        <f>8875/1000</f>
        <v>8.875</v>
      </c>
      <c r="K40" s="21">
        <f>I40*J40</f>
        <v>17.75</v>
      </c>
      <c r="L40" s="22">
        <f>F40^2/162</f>
        <v>1.5802469135802468</v>
      </c>
      <c r="M40" s="21">
        <f>K40*L40</f>
        <v>28.04938271604938</v>
      </c>
      <c r="N40" s="22">
        <f>M40/1000</f>
        <v>0.02804938271604938</v>
      </c>
      <c r="O40" s="13" t="inlineStr">
        <is>
          <t>BBS</t>
        </is>
      </c>
    </row>
    <row r="41">
      <c r="A41" s="13" t="n">
        <v>36</v>
      </c>
      <c r="B41" s="13" t="inlineStr">
        <is>
          <t>Beams</t>
        </is>
      </c>
      <c r="C41" s="13" t="inlineStr">
        <is>
          <t>STR-054</t>
        </is>
      </c>
      <c r="D41" s="13" t="inlineStr">
        <is>
          <t>M2 Level beams</t>
        </is>
      </c>
      <c r="E41" s="19" t="inlineStr">
        <is>
          <t>1609</t>
        </is>
      </c>
      <c r="F41" s="19" t="n">
        <v>16</v>
      </c>
      <c r="G41" s="19" t="n">
        <v>1</v>
      </c>
      <c r="H41" s="19" t="n">
        <v>2</v>
      </c>
      <c r="I41" s="13">
        <f>G41*H41</f>
        <v>2.0</v>
      </c>
      <c r="J41" s="20">
        <f>12000/1000</f>
        <v>12.0</v>
      </c>
      <c r="K41" s="21">
        <f>I41*J41</f>
        <v>24.0</v>
      </c>
      <c r="L41" s="22">
        <f>F41^2/162</f>
        <v>1.5802469135802468</v>
      </c>
      <c r="M41" s="21">
        <f>K41*L41</f>
        <v>37.925925925925924</v>
      </c>
      <c r="N41" s="22">
        <f>M41/1000</f>
        <v>0.037925925925925925</v>
      </c>
      <c r="O41" s="13" t="inlineStr">
        <is>
          <t>BBS</t>
        </is>
      </c>
    </row>
    <row r="42">
      <c r="A42" s="13" t="n">
        <v>37</v>
      </c>
      <c r="B42" s="13" t="inlineStr">
        <is>
          <t>Beams</t>
        </is>
      </c>
      <c r="C42" s="13" t="inlineStr">
        <is>
          <t>STR-054</t>
        </is>
      </c>
      <c r="D42" s="13" t="inlineStr">
        <is>
          <t>M2 Level beams</t>
        </is>
      </c>
      <c r="E42" s="19" t="inlineStr">
        <is>
          <t>1610</t>
        </is>
      </c>
      <c r="F42" s="19" t="n">
        <v>16</v>
      </c>
      <c r="G42" s="19" t="n">
        <v>1</v>
      </c>
      <c r="H42" s="19" t="n">
        <v>6</v>
      </c>
      <c r="I42" s="13">
        <f>G42*H42</f>
        <v>6.0</v>
      </c>
      <c r="J42" s="20">
        <f>7000/1000</f>
        <v>7.0</v>
      </c>
      <c r="K42" s="21">
        <f>I42*J42</f>
        <v>42.0</v>
      </c>
      <c r="L42" s="22">
        <f>F42^2/162</f>
        <v>1.5802469135802468</v>
      </c>
      <c r="M42" s="21">
        <f>K42*L42</f>
        <v>66.37037037037037</v>
      </c>
      <c r="N42" s="22">
        <f>M42/1000</f>
        <v>0.06637037037037037</v>
      </c>
      <c r="O42" s="13" t="inlineStr">
        <is>
          <t>BBS</t>
        </is>
      </c>
    </row>
    <row r="43">
      <c r="A43" s="13" t="n">
        <v>38</v>
      </c>
      <c r="B43" s="13" t="inlineStr">
        <is>
          <t>Beams</t>
        </is>
      </c>
      <c r="C43" s="13" t="inlineStr">
        <is>
          <t>STR-054</t>
        </is>
      </c>
      <c r="D43" s="13" t="inlineStr">
        <is>
          <t>M2 Level beams</t>
        </is>
      </c>
      <c r="E43" s="19" t="inlineStr">
        <is>
          <t>1611</t>
        </is>
      </c>
      <c r="F43" s="19" t="n">
        <v>16</v>
      </c>
      <c r="G43" s="19" t="n">
        <v>1</v>
      </c>
      <c r="H43" s="19" t="n">
        <v>2</v>
      </c>
      <c r="I43" s="13">
        <f>G43*H43</f>
        <v>2.0</v>
      </c>
      <c r="J43" s="20">
        <f>5900/1000</f>
        <v>5.9</v>
      </c>
      <c r="K43" s="21">
        <f>I43*J43</f>
        <v>11.8</v>
      </c>
      <c r="L43" s="22">
        <f>F43^2/162</f>
        <v>1.5802469135802468</v>
      </c>
      <c r="M43" s="21">
        <f>K43*L43</f>
        <v>18.646913580246913</v>
      </c>
      <c r="N43" s="22">
        <f>M43/1000</f>
        <v>0.018646913580246914</v>
      </c>
      <c r="O43" s="13" t="inlineStr">
        <is>
          <t>BBS</t>
        </is>
      </c>
    </row>
    <row r="44">
      <c r="A44" s="13" t="n">
        <v>39</v>
      </c>
      <c r="B44" s="13" t="inlineStr">
        <is>
          <t>Beams</t>
        </is>
      </c>
      <c r="C44" s="13" t="inlineStr">
        <is>
          <t>STR-054</t>
        </is>
      </c>
      <c r="D44" s="13" t="inlineStr">
        <is>
          <t>M2 Level beams</t>
        </is>
      </c>
      <c r="E44" s="19" t="inlineStr">
        <is>
          <t>2001</t>
        </is>
      </c>
      <c r="F44" s="19" t="n">
        <v>20</v>
      </c>
      <c r="G44" s="19" t="n">
        <v>1</v>
      </c>
      <c r="H44" s="19" t="n">
        <v>3</v>
      </c>
      <c r="I44" s="13">
        <f>G44*H44</f>
        <v>3.0</v>
      </c>
      <c r="J44" s="20">
        <f>11100/1000</f>
        <v>11.1</v>
      </c>
      <c r="K44" s="21">
        <f>I44*J44</f>
        <v>33.3</v>
      </c>
      <c r="L44" s="22">
        <f>F44^2/162</f>
        <v>2.4691358024691357</v>
      </c>
      <c r="M44" s="21">
        <f>K44*L44</f>
        <v>82.22222222222221</v>
      </c>
      <c r="N44" s="22">
        <f>M44/1000</f>
        <v>0.08222222222222221</v>
      </c>
      <c r="O44" s="13" t="inlineStr">
        <is>
          <t>BBS</t>
        </is>
      </c>
    </row>
    <row r="45">
      <c r="A45" s="13" t="n">
        <v>40</v>
      </c>
      <c r="B45" s="13" t="inlineStr">
        <is>
          <t>Beams</t>
        </is>
      </c>
      <c r="C45" s="13" t="inlineStr">
        <is>
          <t>STR-054</t>
        </is>
      </c>
      <c r="D45" s="13" t="inlineStr">
        <is>
          <t>M2 Level beams</t>
        </is>
      </c>
      <c r="E45" s="19" t="inlineStr">
        <is>
          <t>2002</t>
        </is>
      </c>
      <c r="F45" s="19" t="n">
        <v>20</v>
      </c>
      <c r="G45" s="19" t="n">
        <v>1</v>
      </c>
      <c r="H45" s="19" t="n">
        <v>3</v>
      </c>
      <c r="I45" s="13">
        <f>G45*H45</f>
        <v>3.0</v>
      </c>
      <c r="J45" s="20">
        <f>9300/1000</f>
        <v>9.3</v>
      </c>
      <c r="K45" s="21">
        <f>I45*J45</f>
        <v>27.900000000000002</v>
      </c>
      <c r="L45" s="22">
        <f>F45^2/162</f>
        <v>2.4691358024691357</v>
      </c>
      <c r="M45" s="21">
        <f>K45*L45</f>
        <v>68.88888888888889</v>
      </c>
      <c r="N45" s="22">
        <f>M45/1000</f>
        <v>0.06888888888888889</v>
      </c>
      <c r="O45" s="13" t="inlineStr">
        <is>
          <t>BBS</t>
        </is>
      </c>
    </row>
    <row r="46">
      <c r="A46" s="13" t="n">
        <v>41</v>
      </c>
      <c r="B46" s="13" t="inlineStr">
        <is>
          <t>Beams</t>
        </is>
      </c>
      <c r="C46" s="13" t="inlineStr">
        <is>
          <t>STR-054</t>
        </is>
      </c>
      <c r="D46" s="13" t="inlineStr">
        <is>
          <t>M2 Level beams</t>
        </is>
      </c>
      <c r="E46" s="19" t="inlineStr">
        <is>
          <t>2003</t>
        </is>
      </c>
      <c r="F46" s="19" t="n">
        <v>20</v>
      </c>
      <c r="G46" s="19" t="n">
        <v>1</v>
      </c>
      <c r="H46" s="19" t="n">
        <v>3</v>
      </c>
      <c r="I46" s="13">
        <f>G46*H46</f>
        <v>3.0</v>
      </c>
      <c r="J46" s="20">
        <f>12000/1000</f>
        <v>12.0</v>
      </c>
      <c r="K46" s="21">
        <f>I46*J46</f>
        <v>36.0</v>
      </c>
      <c r="L46" s="22">
        <f>F46^2/162</f>
        <v>2.4691358024691357</v>
      </c>
      <c r="M46" s="21">
        <f>K46*L46</f>
        <v>88.88888888888889</v>
      </c>
      <c r="N46" s="22">
        <f>M46/1000</f>
        <v>0.08888888888888889</v>
      </c>
      <c r="O46" s="13" t="inlineStr">
        <is>
          <t>BBS</t>
        </is>
      </c>
    </row>
    <row r="47">
      <c r="A47" s="13" t="n">
        <v>42</v>
      </c>
      <c r="B47" s="13" t="inlineStr">
        <is>
          <t>Beams</t>
        </is>
      </c>
      <c r="C47" s="13" t="inlineStr">
        <is>
          <t>STR-054</t>
        </is>
      </c>
      <c r="D47" s="13" t="inlineStr">
        <is>
          <t>M2 Level beams</t>
        </is>
      </c>
      <c r="E47" s="19" t="inlineStr">
        <is>
          <t>2004</t>
        </is>
      </c>
      <c r="F47" s="19" t="n">
        <v>20</v>
      </c>
      <c r="G47" s="19" t="n">
        <v>1</v>
      </c>
      <c r="H47" s="19" t="n">
        <v>3</v>
      </c>
      <c r="I47" s="13">
        <f>G47*H47</f>
        <v>3.0</v>
      </c>
      <c r="J47" s="20">
        <f>7000/1000</f>
        <v>7.0</v>
      </c>
      <c r="K47" s="21">
        <f>I47*J47</f>
        <v>21.0</v>
      </c>
      <c r="L47" s="22">
        <f>F47^2/162</f>
        <v>2.4691358024691357</v>
      </c>
      <c r="M47" s="21">
        <f>K47*L47</f>
        <v>51.85185185185185</v>
      </c>
      <c r="N47" s="22">
        <f>M47/1000</f>
        <v>0.05185185185185185</v>
      </c>
      <c r="O47" s="13" t="inlineStr">
        <is>
          <t>BBS</t>
        </is>
      </c>
    </row>
    <row r="48">
      <c r="A48" s="13" t="n">
        <v>43</v>
      </c>
      <c r="B48" s="13" t="inlineStr">
        <is>
          <t>Beams</t>
        </is>
      </c>
      <c r="C48" s="13" t="inlineStr">
        <is>
          <t>STR-054</t>
        </is>
      </c>
      <c r="D48" s="13" t="inlineStr">
        <is>
          <t>M2 Level beams</t>
        </is>
      </c>
      <c r="E48" s="19" t="inlineStr">
        <is>
          <t>2005</t>
        </is>
      </c>
      <c r="F48" s="19" t="n">
        <v>20</v>
      </c>
      <c r="G48" s="19" t="n">
        <v>1</v>
      </c>
      <c r="H48" s="19" t="n">
        <v>6</v>
      </c>
      <c r="I48" s="13">
        <f>G48*H48</f>
        <v>6.0</v>
      </c>
      <c r="J48" s="20">
        <f>9300/1000</f>
        <v>9.3</v>
      </c>
      <c r="K48" s="21">
        <f>I48*J48</f>
        <v>55.800000000000004</v>
      </c>
      <c r="L48" s="22">
        <f>F48^2/162</f>
        <v>2.4691358024691357</v>
      </c>
      <c r="M48" s="21">
        <f>K48*L48</f>
        <v>137.77777777777777</v>
      </c>
      <c r="N48" s="22">
        <f>M48/1000</f>
        <v>0.13777777777777778</v>
      </c>
      <c r="O48" s="13" t="inlineStr">
        <is>
          <t>BBS</t>
        </is>
      </c>
    </row>
    <row r="49">
      <c r="A49" s="13" t="n">
        <v>44</v>
      </c>
      <c r="B49" s="13" t="inlineStr">
        <is>
          <t>Beams</t>
        </is>
      </c>
      <c r="C49" s="13" t="inlineStr">
        <is>
          <t>STR-054</t>
        </is>
      </c>
      <c r="D49" s="13" t="inlineStr">
        <is>
          <t>M2 Level beams</t>
        </is>
      </c>
      <c r="E49" s="19" t="inlineStr">
        <is>
          <t>2006</t>
        </is>
      </c>
      <c r="F49" s="19" t="n">
        <v>20</v>
      </c>
      <c r="G49" s="19" t="n">
        <v>1</v>
      </c>
      <c r="H49" s="19" t="n">
        <v>3</v>
      </c>
      <c r="I49" s="13">
        <f>G49*H49</f>
        <v>3.0</v>
      </c>
      <c r="J49" s="20">
        <f>9000/1000</f>
        <v>9.0</v>
      </c>
      <c r="K49" s="21">
        <f>I49*J49</f>
        <v>27.0</v>
      </c>
      <c r="L49" s="22">
        <f>F49^2/162</f>
        <v>2.4691358024691357</v>
      </c>
      <c r="M49" s="21">
        <f>K49*L49</f>
        <v>66.66666666666666</v>
      </c>
      <c r="N49" s="22">
        <f>M49/1000</f>
        <v>0.06666666666666665</v>
      </c>
      <c r="O49" s="13" t="inlineStr">
        <is>
          <t>BBS</t>
        </is>
      </c>
    </row>
    <row r="50">
      <c r="A50" s="13" t="n">
        <v>45</v>
      </c>
      <c r="B50" s="13" t="inlineStr">
        <is>
          <t>Beams</t>
        </is>
      </c>
      <c r="C50" s="13" t="inlineStr">
        <is>
          <t>STR-054</t>
        </is>
      </c>
      <c r="D50" s="13" t="inlineStr">
        <is>
          <t>M2 Level beams</t>
        </is>
      </c>
      <c r="E50" s="19" t="inlineStr">
        <is>
          <t>2007</t>
        </is>
      </c>
      <c r="F50" s="19" t="n">
        <v>20</v>
      </c>
      <c r="G50" s="19" t="n">
        <v>1</v>
      </c>
      <c r="H50" s="19" t="n">
        <v>6</v>
      </c>
      <c r="I50" s="13">
        <f>G50*H50</f>
        <v>6.0</v>
      </c>
      <c r="J50" s="20">
        <f>5750/1000</f>
        <v>5.75</v>
      </c>
      <c r="K50" s="21">
        <f>I50*J50</f>
        <v>34.5</v>
      </c>
      <c r="L50" s="22">
        <f>F50^2/162</f>
        <v>2.4691358024691357</v>
      </c>
      <c r="M50" s="21">
        <f>K50*L50</f>
        <v>85.18518518518518</v>
      </c>
      <c r="N50" s="22">
        <f>M50/1000</f>
        <v>0.08518518518518517</v>
      </c>
      <c r="O50" s="13" t="inlineStr">
        <is>
          <t>BBS</t>
        </is>
      </c>
    </row>
    <row r="51">
      <c r="A51" s="13" t="n">
        <v>46</v>
      </c>
      <c r="B51" s="13" t="inlineStr">
        <is>
          <t>Beams</t>
        </is>
      </c>
      <c r="C51" s="13" t="inlineStr">
        <is>
          <t>STR-054</t>
        </is>
      </c>
      <c r="D51" s="13" t="inlineStr">
        <is>
          <t>M2 Level beams</t>
        </is>
      </c>
      <c r="E51" s="19" t="inlineStr">
        <is>
          <t>2008</t>
        </is>
      </c>
      <c r="F51" s="19" t="n">
        <v>20</v>
      </c>
      <c r="G51" s="19" t="n">
        <v>1</v>
      </c>
      <c r="H51" s="19" t="n">
        <v>3</v>
      </c>
      <c r="I51" s="13">
        <f>G51*H51</f>
        <v>3.0</v>
      </c>
      <c r="J51" s="20">
        <f>8200/1000</f>
        <v>8.2</v>
      </c>
      <c r="K51" s="21">
        <f>I51*J51</f>
        <v>24.599999999999998</v>
      </c>
      <c r="L51" s="22">
        <f>F51^2/162</f>
        <v>2.4691358024691357</v>
      </c>
      <c r="M51" s="21">
        <f>K51*L51</f>
        <v>60.74074074074073</v>
      </c>
      <c r="N51" s="22">
        <f>M51/1000</f>
        <v>0.060740740740740734</v>
      </c>
      <c r="O51" s="13" t="inlineStr">
        <is>
          <t>BBS</t>
        </is>
      </c>
    </row>
    <row r="52">
      <c r="A52" s="13" t="n">
        <v>47</v>
      </c>
      <c r="B52" s="13" t="inlineStr">
        <is>
          <t>Beams</t>
        </is>
      </c>
      <c r="C52" s="13" t="inlineStr">
        <is>
          <t>STR-054</t>
        </is>
      </c>
      <c r="D52" s="13" t="inlineStr">
        <is>
          <t>M2 Level beams</t>
        </is>
      </c>
      <c r="E52" s="19" t="inlineStr">
        <is>
          <t>2009</t>
        </is>
      </c>
      <c r="F52" s="19" t="n">
        <v>20</v>
      </c>
      <c r="G52" s="19" t="n">
        <v>1</v>
      </c>
      <c r="H52" s="19" t="n">
        <v>3</v>
      </c>
      <c r="I52" s="13">
        <f>G52*H52</f>
        <v>3.0</v>
      </c>
      <c r="J52" s="20">
        <f>6500/1000</f>
        <v>6.5</v>
      </c>
      <c r="K52" s="21">
        <f>I52*J52</f>
        <v>19.5</v>
      </c>
      <c r="L52" s="22">
        <f>F52^2/162</f>
        <v>2.4691358024691357</v>
      </c>
      <c r="M52" s="21">
        <f>K52*L52</f>
        <v>48.148148148148145</v>
      </c>
      <c r="N52" s="22">
        <f>M52/1000</f>
        <v>0.04814814814814815</v>
      </c>
      <c r="O52" s="13" t="inlineStr">
        <is>
          <t>BBS</t>
        </is>
      </c>
    </row>
    <row r="53">
      <c r="A53" s="13" t="n">
        <v>48</v>
      </c>
      <c r="B53" s="13" t="inlineStr">
        <is>
          <t>Beams</t>
        </is>
      </c>
      <c r="C53" s="13" t="inlineStr">
        <is>
          <t>STR-054</t>
        </is>
      </c>
      <c r="D53" s="13" t="inlineStr">
        <is>
          <t>M2 Level beams</t>
        </is>
      </c>
      <c r="E53" s="19" t="inlineStr">
        <is>
          <t>2010</t>
        </is>
      </c>
      <c r="F53" s="19" t="n">
        <v>20</v>
      </c>
      <c r="G53" s="19" t="n">
        <v>1</v>
      </c>
      <c r="H53" s="19" t="n">
        <v>3</v>
      </c>
      <c r="I53" s="13">
        <f>G53*H53</f>
        <v>3.0</v>
      </c>
      <c r="J53" s="20">
        <f>5700/1000</f>
        <v>5.7</v>
      </c>
      <c r="K53" s="21">
        <f>I53*J53</f>
        <v>17.1</v>
      </c>
      <c r="L53" s="22">
        <f>F53^2/162</f>
        <v>2.4691358024691357</v>
      </c>
      <c r="M53" s="21">
        <f>K53*L53</f>
        <v>42.22222222222222</v>
      </c>
      <c r="N53" s="22">
        <f>M53/1000</f>
        <v>0.042222222222222223</v>
      </c>
      <c r="O53" s="13" t="inlineStr">
        <is>
          <t>BBS</t>
        </is>
      </c>
    </row>
    <row r="54">
      <c r="A54" s="13" t="n">
        <v>49</v>
      </c>
      <c r="B54" s="13" t="inlineStr">
        <is>
          <t>Beams</t>
        </is>
      </c>
      <c r="C54" s="13" t="inlineStr">
        <is>
          <t>STR-054</t>
        </is>
      </c>
      <c r="D54" s="13" t="inlineStr">
        <is>
          <t>M2 Level beams</t>
        </is>
      </c>
      <c r="E54" s="19" t="inlineStr">
        <is>
          <t>2011</t>
        </is>
      </c>
      <c r="F54" s="19" t="n">
        <v>20</v>
      </c>
      <c r="G54" s="19" t="n">
        <v>1</v>
      </c>
      <c r="H54" s="19" t="n">
        <v>3</v>
      </c>
      <c r="I54" s="13">
        <f>G54*H54</f>
        <v>3.0</v>
      </c>
      <c r="J54" s="20">
        <f>9400/1000</f>
        <v>9.4</v>
      </c>
      <c r="K54" s="21">
        <f>I54*J54</f>
        <v>28.200000000000003</v>
      </c>
      <c r="L54" s="22">
        <f>F54^2/162</f>
        <v>2.4691358024691357</v>
      </c>
      <c r="M54" s="21">
        <f>K54*L54</f>
        <v>69.62962962962963</v>
      </c>
      <c r="N54" s="22">
        <f>M54/1000</f>
        <v>0.06962962962962964</v>
      </c>
      <c r="O54" s="13" t="inlineStr">
        <is>
          <t>BBS</t>
        </is>
      </c>
    </row>
    <row r="55">
      <c r="A55" s="13" t="n">
        <v>50</v>
      </c>
      <c r="B55" s="13" t="inlineStr">
        <is>
          <t>Beams</t>
        </is>
      </c>
      <c r="C55" s="13" t="inlineStr">
        <is>
          <t>STR-054</t>
        </is>
      </c>
      <c r="D55" s="13" t="inlineStr">
        <is>
          <t>M2 Level beams</t>
        </is>
      </c>
      <c r="E55" s="19" t="inlineStr">
        <is>
          <t>2501</t>
        </is>
      </c>
      <c r="F55" s="19" t="n">
        <v>25</v>
      </c>
      <c r="G55" s="19" t="n">
        <v>1</v>
      </c>
      <c r="H55" s="19" t="n">
        <v>3</v>
      </c>
      <c r="I55" s="13">
        <f>G55*H55</f>
        <v>3.0</v>
      </c>
      <c r="J55" s="20">
        <f>11200/1000</f>
        <v>11.2</v>
      </c>
      <c r="K55" s="21">
        <f>I55*J55</f>
        <v>33.599999999999994</v>
      </c>
      <c r="L55" s="22">
        <f>F55^2/162</f>
        <v>3.8580246913580245</v>
      </c>
      <c r="M55" s="21">
        <f>K55*L55</f>
        <v>129.6296296296296</v>
      </c>
      <c r="N55" s="22">
        <f>M55/1000</f>
        <v>0.1296296296296296</v>
      </c>
      <c r="O55" s="13" t="inlineStr">
        <is>
          <t>BBS</t>
        </is>
      </c>
    </row>
    <row r="56">
      <c r="A56" s="13" t="n">
        <v>51</v>
      </c>
      <c r="B56" s="13" t="inlineStr">
        <is>
          <t>Beams</t>
        </is>
      </c>
      <c r="C56" s="13" t="inlineStr">
        <is>
          <t>STR-054</t>
        </is>
      </c>
      <c r="D56" s="13" t="inlineStr">
        <is>
          <t>M2 Level beams</t>
        </is>
      </c>
      <c r="E56" s="19" t="inlineStr">
        <is>
          <t>2502</t>
        </is>
      </c>
      <c r="F56" s="19" t="n">
        <v>25</v>
      </c>
      <c r="G56" s="19" t="n">
        <v>1</v>
      </c>
      <c r="H56" s="19" t="n">
        <v>3</v>
      </c>
      <c r="I56" s="13">
        <f>G56*H56</f>
        <v>3.0</v>
      </c>
      <c r="J56" s="20">
        <f>9400/1000</f>
        <v>9.4</v>
      </c>
      <c r="K56" s="21">
        <f>I56*J56</f>
        <v>28.200000000000003</v>
      </c>
      <c r="L56" s="22">
        <f>F56^2/162</f>
        <v>3.8580246913580245</v>
      </c>
      <c r="M56" s="21">
        <f>K56*L56</f>
        <v>108.7962962962963</v>
      </c>
      <c r="N56" s="22">
        <f>M56/1000</f>
        <v>0.10879629629629631</v>
      </c>
      <c r="O56" s="13" t="inlineStr">
        <is>
          <t>BBS</t>
        </is>
      </c>
    </row>
    <row r="57">
      <c r="A57" s="13" t="n">
        <v>52</v>
      </c>
      <c r="B57" s="13" t="inlineStr">
        <is>
          <t>Beams</t>
        </is>
      </c>
      <c r="C57" s="13" t="inlineStr">
        <is>
          <t>STR-054</t>
        </is>
      </c>
      <c r="D57" s="13" t="inlineStr">
        <is>
          <t>M2 Level beams</t>
        </is>
      </c>
      <c r="E57" s="19" t="inlineStr">
        <is>
          <t>2503</t>
        </is>
      </c>
      <c r="F57" s="19" t="n">
        <v>25</v>
      </c>
      <c r="G57" s="19" t="n">
        <v>1</v>
      </c>
      <c r="H57" s="19" t="n">
        <v>3</v>
      </c>
      <c r="I57" s="13">
        <f>G57*H57</f>
        <v>3.0</v>
      </c>
      <c r="J57" s="20">
        <f>12000/1000</f>
        <v>12.0</v>
      </c>
      <c r="K57" s="21">
        <f>I57*J57</f>
        <v>36.0</v>
      </c>
      <c r="L57" s="22">
        <f>F57^2/162</f>
        <v>3.8580246913580245</v>
      </c>
      <c r="M57" s="21">
        <f>K57*L57</f>
        <v>138.88888888888889</v>
      </c>
      <c r="N57" s="22">
        <f>M57/1000</f>
        <v>0.1388888888888889</v>
      </c>
      <c r="O57" s="13" t="inlineStr">
        <is>
          <t>BBS</t>
        </is>
      </c>
    </row>
    <row r="58">
      <c r="A58" s="13" t="n">
        <v>53</v>
      </c>
      <c r="B58" s="13" t="inlineStr">
        <is>
          <t>Beams</t>
        </is>
      </c>
      <c r="C58" s="13" t="inlineStr">
        <is>
          <t>STR-054</t>
        </is>
      </c>
      <c r="D58" s="13" t="inlineStr">
        <is>
          <t>M2 Level beams</t>
        </is>
      </c>
      <c r="E58" s="19" t="inlineStr">
        <is>
          <t>2504</t>
        </is>
      </c>
      <c r="F58" s="19" t="n">
        <v>25</v>
      </c>
      <c r="G58" s="19" t="n">
        <v>1</v>
      </c>
      <c r="H58" s="19" t="n">
        <v>3</v>
      </c>
      <c r="I58" s="13">
        <f>G58*H58</f>
        <v>3.0</v>
      </c>
      <c r="J58" s="20">
        <f>7100/1000</f>
        <v>7.1</v>
      </c>
      <c r="K58" s="21">
        <f>I58*J58</f>
        <v>21.299999999999997</v>
      </c>
      <c r="L58" s="22">
        <f>F58^2/162</f>
        <v>3.8580246913580245</v>
      </c>
      <c r="M58" s="21">
        <f>K58*L58</f>
        <v>82.17592592592591</v>
      </c>
      <c r="N58" s="22">
        <f>M58/1000</f>
        <v>0.08217592592592592</v>
      </c>
      <c r="O58" s="13" t="inlineStr">
        <is>
          <t>BBS</t>
        </is>
      </c>
    </row>
    <row r="59">
      <c r="A59" s="13" t="n">
        <v>54</v>
      </c>
      <c r="B59" s="13" t="inlineStr">
        <is>
          <t>Beams</t>
        </is>
      </c>
      <c r="C59" s="13" t="inlineStr">
        <is>
          <t>STR-054</t>
        </is>
      </c>
      <c r="D59" s="13" t="inlineStr">
        <is>
          <t>M2 Level beams</t>
        </is>
      </c>
      <c r="E59" s="19" t="inlineStr">
        <is>
          <t>2505</t>
        </is>
      </c>
      <c r="F59" s="19" t="n">
        <v>25</v>
      </c>
      <c r="G59" s="19" t="n">
        <v>1</v>
      </c>
      <c r="H59" s="19" t="n">
        <v>6</v>
      </c>
      <c r="I59" s="13">
        <f>G59*H59</f>
        <v>6.0</v>
      </c>
      <c r="J59" s="20">
        <f>9300/1000</f>
        <v>9.3</v>
      </c>
      <c r="K59" s="21">
        <f>I59*J59</f>
        <v>55.800000000000004</v>
      </c>
      <c r="L59" s="22">
        <f>F59^2/162</f>
        <v>3.8580246913580245</v>
      </c>
      <c r="M59" s="21">
        <f>K59*L59</f>
        <v>215.27777777777777</v>
      </c>
      <c r="N59" s="22">
        <f>M59/1000</f>
        <v>0.21527777777777776</v>
      </c>
      <c r="O59" s="13" t="inlineStr">
        <is>
          <t>BBS</t>
        </is>
      </c>
    </row>
    <row r="60">
      <c r="A60" s="13" t="n">
        <v>55</v>
      </c>
      <c r="B60" s="13" t="inlineStr">
        <is>
          <t>Beams</t>
        </is>
      </c>
      <c r="C60" s="13" t="inlineStr">
        <is>
          <t>STR-054</t>
        </is>
      </c>
      <c r="D60" s="13" t="inlineStr">
        <is>
          <t>M2 Level beams</t>
        </is>
      </c>
      <c r="E60" s="19" t="inlineStr">
        <is>
          <t>2506</t>
        </is>
      </c>
      <c r="F60" s="19" t="n">
        <v>25</v>
      </c>
      <c r="G60" s="19" t="n">
        <v>1</v>
      </c>
      <c r="H60" s="19" t="n">
        <v>3</v>
      </c>
      <c r="I60" s="13">
        <f>G60*H60</f>
        <v>3.0</v>
      </c>
      <c r="J60" s="20">
        <f>9100/1000</f>
        <v>9.1</v>
      </c>
      <c r="K60" s="21">
        <f>I60*J60</f>
        <v>27.299999999999997</v>
      </c>
      <c r="L60" s="22">
        <f>F60^2/162</f>
        <v>3.8580246913580245</v>
      </c>
      <c r="M60" s="21">
        <f>K60*L60</f>
        <v>105.32407407407406</v>
      </c>
      <c r="N60" s="22">
        <f>M60/1000</f>
        <v>0.10532407407407406</v>
      </c>
      <c r="O60" s="13" t="inlineStr">
        <is>
          <t>BBS</t>
        </is>
      </c>
    </row>
    <row r="61">
      <c r="A61" s="13" t="n">
        <v>56</v>
      </c>
      <c r="B61" s="13" t="inlineStr">
        <is>
          <t>Beams</t>
        </is>
      </c>
      <c r="C61" s="13" t="inlineStr">
        <is>
          <t>STR-054</t>
        </is>
      </c>
      <c r="D61" s="13" t="inlineStr">
        <is>
          <t>M2 Level beams</t>
        </is>
      </c>
      <c r="E61" s="19" t="inlineStr">
        <is>
          <t>2507</t>
        </is>
      </c>
      <c r="F61" s="19" t="n">
        <v>25</v>
      </c>
      <c r="G61" s="19" t="n">
        <v>1</v>
      </c>
      <c r="H61" s="19" t="n">
        <v>3</v>
      </c>
      <c r="I61" s="13">
        <f>G61*H61</f>
        <v>3.0</v>
      </c>
      <c r="J61" s="20">
        <f>10675/1000</f>
        <v>10.675</v>
      </c>
      <c r="K61" s="21">
        <f>I61*J61</f>
        <v>32.025000000000006</v>
      </c>
      <c r="L61" s="22">
        <f>F61^2/162</f>
        <v>3.8580246913580245</v>
      </c>
      <c r="M61" s="21">
        <f>K61*L61</f>
        <v>123.55324074074076</v>
      </c>
      <c r="N61" s="22">
        <f>M61/1000</f>
        <v>0.12355324074074076</v>
      </c>
      <c r="O61" s="13" t="inlineStr">
        <is>
          <t>BBS</t>
        </is>
      </c>
    </row>
    <row r="62">
      <c r="A62" s="13" t="n">
        <v>57</v>
      </c>
      <c r="B62" s="13" t="inlineStr">
        <is>
          <t>Beams</t>
        </is>
      </c>
      <c r="C62" s="13" t="inlineStr">
        <is>
          <t>STR-054</t>
        </is>
      </c>
      <c r="D62" s="13" t="inlineStr">
        <is>
          <t>M2 Level beams</t>
        </is>
      </c>
      <c r="E62" s="19" t="inlineStr">
        <is>
          <t>2508</t>
        </is>
      </c>
      <c r="F62" s="19" t="n">
        <v>25</v>
      </c>
      <c r="G62" s="19" t="n">
        <v>1</v>
      </c>
      <c r="H62" s="19" t="n">
        <v>3</v>
      </c>
      <c r="I62" s="13">
        <f>G62*H62</f>
        <v>3.0</v>
      </c>
      <c r="J62" s="20">
        <f>9300/1000</f>
        <v>9.3</v>
      </c>
      <c r="K62" s="21">
        <f>I62*J62</f>
        <v>27.900000000000002</v>
      </c>
      <c r="L62" s="22">
        <f>F62^2/162</f>
        <v>3.8580246913580245</v>
      </c>
      <c r="M62" s="21">
        <f>K62*L62</f>
        <v>107.63888888888889</v>
      </c>
      <c r="N62" s="22">
        <f>M62/1000</f>
        <v>0.10763888888888888</v>
      </c>
      <c r="O62" s="13" t="inlineStr">
        <is>
          <t>BBS</t>
        </is>
      </c>
    </row>
    <row r="63">
      <c r="A63" s="13" t="n">
        <v>58</v>
      </c>
      <c r="B63" s="13" t="inlineStr">
        <is>
          <t>Beams</t>
        </is>
      </c>
      <c r="C63" s="13" t="inlineStr">
        <is>
          <t>STR-054</t>
        </is>
      </c>
      <c r="D63" s="13" t="inlineStr">
        <is>
          <t>M2 Level beams</t>
        </is>
      </c>
      <c r="E63" s="19" t="inlineStr">
        <is>
          <t>2509</t>
        </is>
      </c>
      <c r="F63" s="19" t="n">
        <v>25</v>
      </c>
      <c r="G63" s="19" t="n">
        <v>1</v>
      </c>
      <c r="H63" s="19" t="n">
        <v>3</v>
      </c>
      <c r="I63" s="13">
        <f>G63*H63</f>
        <v>3.0</v>
      </c>
      <c r="J63" s="20">
        <f>8925/1000</f>
        <v>8.925</v>
      </c>
      <c r="K63" s="21">
        <f>I63*J63</f>
        <v>26.775000000000002</v>
      </c>
      <c r="L63" s="22">
        <f>F63^2/162</f>
        <v>3.8580246913580245</v>
      </c>
      <c r="M63" s="21">
        <f>K63*L63</f>
        <v>103.29861111111111</v>
      </c>
      <c r="N63" s="22">
        <f>M63/1000</f>
        <v>0.10329861111111112</v>
      </c>
      <c r="O63" s="13" t="inlineStr">
        <is>
          <t>BBS</t>
        </is>
      </c>
    </row>
    <row r="64">
      <c r="A64" s="13" t="n">
        <v>59</v>
      </c>
      <c r="B64" s="13" t="inlineStr">
        <is>
          <t>Beams</t>
        </is>
      </c>
      <c r="C64" s="13" t="inlineStr">
        <is>
          <t>STR-054</t>
        </is>
      </c>
      <c r="D64" s="13" t="inlineStr">
        <is>
          <t>M2 Level beams</t>
        </is>
      </c>
      <c r="E64" s="19" t="inlineStr">
        <is>
          <t>2510</t>
        </is>
      </c>
      <c r="F64" s="19" t="n">
        <v>25</v>
      </c>
      <c r="G64" s="19" t="n">
        <v>1</v>
      </c>
      <c r="H64" s="19" t="n">
        <v>3</v>
      </c>
      <c r="I64" s="13">
        <f>G64*H64</f>
        <v>3.0</v>
      </c>
      <c r="J64" s="20">
        <f>6650/1000</f>
        <v>6.65</v>
      </c>
      <c r="K64" s="21">
        <f>I64*J64</f>
        <v>19.950000000000003</v>
      </c>
      <c r="L64" s="22">
        <f>F64^2/162</f>
        <v>3.8580246913580245</v>
      </c>
      <c r="M64" s="21">
        <f>K64*L64</f>
        <v>76.9675925925926</v>
      </c>
      <c r="N64" s="22">
        <f>M64/1000</f>
        <v>0.0769675925925926</v>
      </c>
      <c r="O64" s="13" t="inlineStr">
        <is>
          <t>BBS</t>
        </is>
      </c>
    </row>
    <row r="65">
      <c r="A65" s="13" t="n">
        <v>60</v>
      </c>
      <c r="B65" s="13" t="inlineStr">
        <is>
          <t>Beams</t>
        </is>
      </c>
      <c r="C65" s="13" t="inlineStr">
        <is>
          <t>STR-054</t>
        </is>
      </c>
      <c r="D65" s="13" t="inlineStr">
        <is>
          <t>M2 Level beams</t>
        </is>
      </c>
      <c r="E65" s="19" t="inlineStr">
        <is>
          <t>2511</t>
        </is>
      </c>
      <c r="F65" s="19" t="n">
        <v>25</v>
      </c>
      <c r="G65" s="19" t="n">
        <v>1</v>
      </c>
      <c r="H65" s="19" t="n">
        <v>3</v>
      </c>
      <c r="I65" s="13">
        <f>G65*H65</f>
        <v>3.0</v>
      </c>
      <c r="J65" s="20">
        <f>7950/1000</f>
        <v>7.95</v>
      </c>
      <c r="K65" s="21">
        <f>I65*J65</f>
        <v>23.85</v>
      </c>
      <c r="L65" s="22">
        <f>F65^2/162</f>
        <v>3.8580246913580245</v>
      </c>
      <c r="M65" s="21">
        <f>K65*L65</f>
        <v>92.01388888888889</v>
      </c>
      <c r="N65" s="22">
        <f>M65/1000</f>
        <v>0.09201388888888888</v>
      </c>
      <c r="O65" s="13" t="inlineStr">
        <is>
          <t>BBS</t>
        </is>
      </c>
    </row>
    <row r="66">
      <c r="A66" s="13" t="n">
        <v>61</v>
      </c>
      <c r="B66" s="13" t="inlineStr">
        <is>
          <t>Beams</t>
        </is>
      </c>
      <c r="C66" s="13" t="inlineStr">
        <is>
          <t>STR-054</t>
        </is>
      </c>
      <c r="D66" s="13" t="inlineStr">
        <is>
          <t>M2 Level beams</t>
        </is>
      </c>
      <c r="E66" s="19" t="inlineStr">
        <is>
          <t>2512</t>
        </is>
      </c>
      <c r="F66" s="19" t="n">
        <v>25</v>
      </c>
      <c r="G66" s="19" t="n">
        <v>1</v>
      </c>
      <c r="H66" s="19" t="n">
        <v>3</v>
      </c>
      <c r="I66" s="13">
        <f>G66*H66</f>
        <v>3.0</v>
      </c>
      <c r="J66" s="20">
        <f>9900/1000</f>
        <v>9.9</v>
      </c>
      <c r="K66" s="21">
        <f>I66*J66</f>
        <v>29.700000000000003</v>
      </c>
      <c r="L66" s="22">
        <f>F66^2/162</f>
        <v>3.8580246913580245</v>
      </c>
      <c r="M66" s="21">
        <f>K66*L66</f>
        <v>114.58333333333334</v>
      </c>
      <c r="N66" s="22">
        <f>M66/1000</f>
        <v>0.11458333333333334</v>
      </c>
      <c r="O66" s="13" t="inlineStr">
        <is>
          <t>BBS</t>
        </is>
      </c>
    </row>
    <row r="67">
      <c r="A67" s="13" t="n">
        <v>62</v>
      </c>
      <c r="B67" s="13" t="inlineStr">
        <is>
          <t>Beams</t>
        </is>
      </c>
      <c r="C67" s="13" t="inlineStr">
        <is>
          <t>STR-054</t>
        </is>
      </c>
      <c r="D67" s="13" t="inlineStr">
        <is>
          <t>M2 Level beams</t>
        </is>
      </c>
      <c r="E67" s="19" t="inlineStr">
        <is>
          <t>2513</t>
        </is>
      </c>
      <c r="F67" s="19" t="n">
        <v>25</v>
      </c>
      <c r="G67" s="19" t="n">
        <v>1</v>
      </c>
      <c r="H67" s="19" t="n">
        <v>3</v>
      </c>
      <c r="I67" s="13">
        <f>G67*H67</f>
        <v>3.0</v>
      </c>
      <c r="J67" s="20">
        <f>4450/1000</f>
        <v>4.45</v>
      </c>
      <c r="K67" s="21">
        <f>I67*J67</f>
        <v>13.350000000000001</v>
      </c>
      <c r="L67" s="22">
        <f>F67^2/162</f>
        <v>3.8580246913580245</v>
      </c>
      <c r="M67" s="21">
        <f>K67*L67</f>
        <v>51.50462962962963</v>
      </c>
      <c r="N67" s="22">
        <f>M67/1000</f>
        <v>0.051504629629629636</v>
      </c>
      <c r="O67" s="13" t="inlineStr">
        <is>
          <t>BBS</t>
        </is>
      </c>
    </row>
    <row r="68">
      <c r="A68" s="13" t="n">
        <v>63</v>
      </c>
      <c r="B68" s="13" t="inlineStr">
        <is>
          <t>Beams</t>
        </is>
      </c>
      <c r="C68" s="13" t="inlineStr">
        <is>
          <t>STR-054</t>
        </is>
      </c>
      <c r="D68" s="13" t="inlineStr">
        <is>
          <t>M2 Level beams</t>
        </is>
      </c>
      <c r="E68" s="19" t="inlineStr">
        <is>
          <t>2514</t>
        </is>
      </c>
      <c r="F68" s="19" t="n">
        <v>25</v>
      </c>
      <c r="G68" s="19" t="n">
        <v>1</v>
      </c>
      <c r="H68" s="19" t="n">
        <v>3</v>
      </c>
      <c r="I68" s="13">
        <f>G68*H68</f>
        <v>3.0</v>
      </c>
      <c r="J68" s="20">
        <f>6750/1000</f>
        <v>6.75</v>
      </c>
      <c r="K68" s="21">
        <f>I68*J68</f>
        <v>20.25</v>
      </c>
      <c r="L68" s="22">
        <f>F68^2/162</f>
        <v>3.8580246913580245</v>
      </c>
      <c r="M68" s="21">
        <f>K68*L68</f>
        <v>78.125</v>
      </c>
      <c r="N68" s="22">
        <f>M68/1000</f>
        <v>0.078125</v>
      </c>
      <c r="O68" s="13" t="inlineStr">
        <is>
          <t>BBS</t>
        </is>
      </c>
    </row>
    <row r="69">
      <c r="A69" s="13" t="n">
        <v>64</v>
      </c>
      <c r="B69" s="13" t="inlineStr">
        <is>
          <t>Beams</t>
        </is>
      </c>
      <c r="C69" s="13" t="inlineStr">
        <is>
          <t>STR-054</t>
        </is>
      </c>
      <c r="D69" s="13" t="inlineStr">
        <is>
          <t>M2 Level beams</t>
        </is>
      </c>
      <c r="E69" s="19" t="inlineStr">
        <is>
          <t>2515</t>
        </is>
      </c>
      <c r="F69" s="19" t="n">
        <v>25</v>
      </c>
      <c r="G69" s="19" t="n">
        <v>1</v>
      </c>
      <c r="H69" s="19" t="n">
        <v>3</v>
      </c>
      <c r="I69" s="13">
        <f>G69*H69</f>
        <v>3.0</v>
      </c>
      <c r="J69" s="20">
        <f>8325/1000</f>
        <v>8.325</v>
      </c>
      <c r="K69" s="21">
        <f>I69*J69</f>
        <v>24.974999999999998</v>
      </c>
      <c r="L69" s="22">
        <f>F69^2/162</f>
        <v>3.8580246913580245</v>
      </c>
      <c r="M69" s="21">
        <f>K69*L69</f>
        <v>96.35416666666666</v>
      </c>
      <c r="N69" s="22">
        <f>M69/1000</f>
        <v>0.09635416666666666</v>
      </c>
      <c r="O69" s="13" t="inlineStr">
        <is>
          <t>BBS</t>
        </is>
      </c>
    </row>
    <row r="70">
      <c r="A70" s="13" t="n">
        <v>65</v>
      </c>
      <c r="B70" s="13" t="inlineStr">
        <is>
          <t>Floor Slabs</t>
        </is>
      </c>
      <c r="C70" s="13" t="inlineStr">
        <is>
          <t>STR-055</t>
        </is>
      </c>
      <c r="D70" s="13" t="inlineStr">
        <is>
          <t>M2 slab - bottom</t>
        </is>
      </c>
      <c r="E70" s="19" t="inlineStr">
        <is>
          <t>1201</t>
        </is>
      </c>
      <c r="F70" s="19" t="n">
        <v>12</v>
      </c>
      <c r="G70" s="19" t="n">
        <v>1</v>
      </c>
      <c r="H70" s="19" t="n">
        <v>99</v>
      </c>
      <c r="I70" s="13">
        <f>G70*H70</f>
        <v>99.0</v>
      </c>
      <c r="J70" s="20">
        <f>8550/1000</f>
        <v>8.55</v>
      </c>
      <c r="K70" s="21">
        <f>I70*J70</f>
        <v>846.45</v>
      </c>
      <c r="L70" s="22">
        <f>F70^2/162</f>
        <v>0.8888888888888888</v>
      </c>
      <c r="M70" s="21">
        <f>K70*L70</f>
        <v>752.4</v>
      </c>
      <c r="N70" s="22">
        <f>M70/1000</f>
        <v>0.7524</v>
      </c>
      <c r="O70" s="13" t="inlineStr">
        <is>
          <t>BBS</t>
        </is>
      </c>
    </row>
    <row r="71">
      <c r="A71" s="13" t="n">
        <v>66</v>
      </c>
      <c r="B71" s="13" t="inlineStr">
        <is>
          <t>Floor Slabs</t>
        </is>
      </c>
      <c r="C71" s="13" t="inlineStr">
        <is>
          <t>STR-055</t>
        </is>
      </c>
      <c r="D71" s="13" t="inlineStr">
        <is>
          <t>M2 slab - bottom</t>
        </is>
      </c>
      <c r="E71" s="19" t="inlineStr">
        <is>
          <t>1202</t>
        </is>
      </c>
      <c r="F71" s="19" t="n">
        <v>12</v>
      </c>
      <c r="G71" s="19" t="n">
        <v>1</v>
      </c>
      <c r="H71" s="19" t="n">
        <v>122</v>
      </c>
      <c r="I71" s="13">
        <f>G71*H71</f>
        <v>122.0</v>
      </c>
      <c r="J71" s="20">
        <f>5500/1000</f>
        <v>5.5</v>
      </c>
      <c r="K71" s="21">
        <f>I71*J71</f>
        <v>671.0</v>
      </c>
      <c r="L71" s="22">
        <f>F71^2/162</f>
        <v>0.8888888888888888</v>
      </c>
      <c r="M71" s="21">
        <f>K71*L71</f>
        <v>596.4444444444445</v>
      </c>
      <c r="N71" s="22">
        <f>M71/1000</f>
        <v>0.5964444444444444</v>
      </c>
      <c r="O71" s="13" t="inlineStr">
        <is>
          <t>BBS</t>
        </is>
      </c>
    </row>
    <row r="72">
      <c r="A72" s="13" t="n">
        <v>67</v>
      </c>
      <c r="B72" s="13" t="inlineStr">
        <is>
          <t>Floor Slabs</t>
        </is>
      </c>
      <c r="C72" s="13" t="inlineStr">
        <is>
          <t>STR-055</t>
        </is>
      </c>
      <c r="D72" s="13" t="inlineStr">
        <is>
          <t>M2 slab - bottom</t>
        </is>
      </c>
      <c r="E72" s="19" t="inlineStr">
        <is>
          <t>1203</t>
        </is>
      </c>
      <c r="F72" s="19" t="n">
        <v>12</v>
      </c>
      <c r="G72" s="19" t="n">
        <v>1</v>
      </c>
      <c r="H72" s="19" t="n">
        <v>21</v>
      </c>
      <c r="I72" s="13">
        <f>G72*H72</f>
        <v>21.0</v>
      </c>
      <c r="J72" s="20">
        <f>4250/1000</f>
        <v>4.25</v>
      </c>
      <c r="K72" s="21">
        <f>I72*J72</f>
        <v>89.25</v>
      </c>
      <c r="L72" s="22">
        <f>F72^2/162</f>
        <v>0.8888888888888888</v>
      </c>
      <c r="M72" s="21">
        <f>K72*L72</f>
        <v>79.33333333333333</v>
      </c>
      <c r="N72" s="22">
        <f>M72/1000</f>
        <v>0.07933333333333333</v>
      </c>
      <c r="O72" s="13" t="inlineStr">
        <is>
          <t>BBS</t>
        </is>
      </c>
    </row>
    <row r="73">
      <c r="A73" s="13" t="n">
        <v>68</v>
      </c>
      <c r="B73" s="13" t="inlineStr">
        <is>
          <t>Floor Slabs</t>
        </is>
      </c>
      <c r="C73" s="13" t="inlineStr">
        <is>
          <t>STR-055</t>
        </is>
      </c>
      <c r="D73" s="13" t="inlineStr">
        <is>
          <t>M2 slab - bottom</t>
        </is>
      </c>
      <c r="E73" s="19" t="inlineStr">
        <is>
          <t>1204</t>
        </is>
      </c>
      <c r="F73" s="19" t="n">
        <v>12</v>
      </c>
      <c r="G73" s="19" t="n">
        <v>1</v>
      </c>
      <c r="H73" s="19" t="n">
        <v>54</v>
      </c>
      <c r="I73" s="13">
        <f>G73*H73</f>
        <v>54.0</v>
      </c>
      <c r="J73" s="20">
        <f>5250/1000</f>
        <v>5.25</v>
      </c>
      <c r="K73" s="21">
        <f>I73*J73</f>
        <v>283.5</v>
      </c>
      <c r="L73" s="22">
        <f>F73^2/162</f>
        <v>0.8888888888888888</v>
      </c>
      <c r="M73" s="21">
        <f>K73*L73</f>
        <v>252.0</v>
      </c>
      <c r="N73" s="22">
        <f>M73/1000</f>
        <v>0.252</v>
      </c>
      <c r="O73" s="13" t="inlineStr">
        <is>
          <t>BBS</t>
        </is>
      </c>
    </row>
    <row r="74">
      <c r="A74" s="13" t="n">
        <v>69</v>
      </c>
      <c r="B74" s="13" t="inlineStr">
        <is>
          <t>Floor Slabs</t>
        </is>
      </c>
      <c r="C74" s="13" t="inlineStr">
        <is>
          <t>STR-055</t>
        </is>
      </c>
      <c r="D74" s="13" t="inlineStr">
        <is>
          <t>M2 slab - bottom</t>
        </is>
      </c>
      <c r="E74" s="19" t="inlineStr">
        <is>
          <t>1205</t>
        </is>
      </c>
      <c r="F74" s="19" t="n">
        <v>12</v>
      </c>
      <c r="G74" s="19" t="n">
        <v>1</v>
      </c>
      <c r="H74" s="19" t="n">
        <v>144</v>
      </c>
      <c r="I74" s="13">
        <f>G74*H74</f>
        <v>144.0</v>
      </c>
      <c r="J74" s="20">
        <f>9050/1000</f>
        <v>9.05</v>
      </c>
      <c r="K74" s="21">
        <f>I74*J74</f>
        <v>1303.2</v>
      </c>
      <c r="L74" s="22">
        <f>F74^2/162</f>
        <v>0.8888888888888888</v>
      </c>
      <c r="M74" s="21">
        <f>K74*L74</f>
        <v>1158.3999999999999</v>
      </c>
      <c r="N74" s="22">
        <f>M74/1000</f>
        <v>1.1583999999999999</v>
      </c>
      <c r="O74" s="13" t="inlineStr">
        <is>
          <t>BBS</t>
        </is>
      </c>
    </row>
    <row r="75">
      <c r="A75" s="13" t="n">
        <v>70</v>
      </c>
      <c r="B75" s="13" t="inlineStr">
        <is>
          <t>Floor Slabs</t>
        </is>
      </c>
      <c r="C75" s="13" t="inlineStr">
        <is>
          <t>STR-055</t>
        </is>
      </c>
      <c r="D75" s="13" t="inlineStr">
        <is>
          <t>M2 slab - bottom</t>
        </is>
      </c>
      <c r="E75" s="19" t="inlineStr">
        <is>
          <t>1206</t>
        </is>
      </c>
      <c r="F75" s="19" t="n">
        <v>12</v>
      </c>
      <c r="G75" s="19" t="n">
        <v>1</v>
      </c>
      <c r="H75" s="19" t="n">
        <v>74</v>
      </c>
      <c r="I75" s="13">
        <f>G75*H75</f>
        <v>74.0</v>
      </c>
      <c r="J75" s="20">
        <f>8950/1000</f>
        <v>8.95</v>
      </c>
      <c r="K75" s="21">
        <f>I75*J75</f>
        <v>662.3</v>
      </c>
      <c r="L75" s="22">
        <f>F75^2/162</f>
        <v>0.8888888888888888</v>
      </c>
      <c r="M75" s="21">
        <f>K75*L75</f>
        <v>588.711111111111</v>
      </c>
      <c r="N75" s="22">
        <f>M75/1000</f>
        <v>0.588711111111111</v>
      </c>
      <c r="O75" s="13" t="inlineStr">
        <is>
          <t>BBS</t>
        </is>
      </c>
    </row>
    <row r="76">
      <c r="A76" s="13" t="n">
        <v>71</v>
      </c>
      <c r="B76" s="13" t="inlineStr">
        <is>
          <t>Floor Slabs</t>
        </is>
      </c>
      <c r="C76" s="13" t="inlineStr">
        <is>
          <t>STR-055</t>
        </is>
      </c>
      <c r="D76" s="13" t="inlineStr">
        <is>
          <t>M2 slab - bottom</t>
        </is>
      </c>
      <c r="E76" s="19" t="inlineStr">
        <is>
          <t>1207</t>
        </is>
      </c>
      <c r="F76" s="19" t="n">
        <v>12</v>
      </c>
      <c r="G76" s="19" t="n">
        <v>1</v>
      </c>
      <c r="H76" s="19" t="n">
        <v>93</v>
      </c>
      <c r="I76" s="13">
        <f>G76*H76</f>
        <v>93.0</v>
      </c>
      <c r="J76" s="20">
        <f>8850/1000</f>
        <v>8.85</v>
      </c>
      <c r="K76" s="21">
        <f>I76*J76</f>
        <v>823.05</v>
      </c>
      <c r="L76" s="22">
        <f>F76^2/162</f>
        <v>0.8888888888888888</v>
      </c>
      <c r="M76" s="21">
        <f>K76*L76</f>
        <v>731.5999999999999</v>
      </c>
      <c r="N76" s="22">
        <f>M76/1000</f>
        <v>0.7315999999999999</v>
      </c>
      <c r="O76" s="13" t="inlineStr">
        <is>
          <t>BBS</t>
        </is>
      </c>
    </row>
    <row r="77">
      <c r="A77" s="13" t="n">
        <v>72</v>
      </c>
      <c r="B77" s="13" t="inlineStr">
        <is>
          <t>Floor Slabs</t>
        </is>
      </c>
      <c r="C77" s="13" t="inlineStr">
        <is>
          <t>STR-055</t>
        </is>
      </c>
      <c r="D77" s="13" t="inlineStr">
        <is>
          <t>M2 slab - bottom</t>
        </is>
      </c>
      <c r="E77" s="19" t="inlineStr">
        <is>
          <t>1208</t>
        </is>
      </c>
      <c r="F77" s="19" t="n">
        <v>12</v>
      </c>
      <c r="G77" s="19" t="n">
        <v>1</v>
      </c>
      <c r="H77" s="19" t="n">
        <v>15</v>
      </c>
      <c r="I77" s="13">
        <f>G77*H77</f>
        <v>15.0</v>
      </c>
      <c r="J77" s="20">
        <f>8775/1000</f>
        <v>8.775</v>
      </c>
      <c r="K77" s="21">
        <f>I77*J77</f>
        <v>131.625</v>
      </c>
      <c r="L77" s="22">
        <f>F77^2/162</f>
        <v>0.8888888888888888</v>
      </c>
      <c r="M77" s="21">
        <f>K77*L77</f>
        <v>117.0</v>
      </c>
      <c r="N77" s="22">
        <f>M77/1000</f>
        <v>0.117</v>
      </c>
      <c r="O77" s="13" t="inlineStr">
        <is>
          <t>BBS</t>
        </is>
      </c>
    </row>
    <row r="78">
      <c r="A78" s="13" t="n">
        <v>73</v>
      </c>
      <c r="B78" s="13" t="inlineStr">
        <is>
          <t>Floor Slabs</t>
        </is>
      </c>
      <c r="C78" s="13" t="inlineStr">
        <is>
          <t>STR-055</t>
        </is>
      </c>
      <c r="D78" s="13" t="inlineStr">
        <is>
          <t>M2 slab - bottom</t>
        </is>
      </c>
      <c r="E78" s="19" t="inlineStr">
        <is>
          <t>1209</t>
        </is>
      </c>
      <c r="F78" s="19" t="n">
        <v>12</v>
      </c>
      <c r="G78" s="19" t="n">
        <v>1</v>
      </c>
      <c r="H78" s="19" t="n">
        <v>93</v>
      </c>
      <c r="I78" s="13">
        <f>G78*H78</f>
        <v>93.0</v>
      </c>
      <c r="J78" s="20">
        <f>8700/1000</f>
        <v>8.7</v>
      </c>
      <c r="K78" s="21">
        <f>I78*J78</f>
        <v>809.0999999999999</v>
      </c>
      <c r="L78" s="22">
        <f>F78^2/162</f>
        <v>0.8888888888888888</v>
      </c>
      <c r="M78" s="21">
        <f>K78*L78</f>
        <v>719.1999999999999</v>
      </c>
      <c r="N78" s="22">
        <f>M78/1000</f>
        <v>0.7192</v>
      </c>
      <c r="O78" s="13" t="inlineStr">
        <is>
          <t>BBS</t>
        </is>
      </c>
    </row>
    <row r="79">
      <c r="A79" s="13" t="n">
        <v>74</v>
      </c>
      <c r="B79" s="13" t="inlineStr">
        <is>
          <t>Floor Slabs</t>
        </is>
      </c>
      <c r="C79" s="13" t="inlineStr">
        <is>
          <t>STR-055</t>
        </is>
      </c>
      <c r="D79" s="13" t="inlineStr">
        <is>
          <t>M2 slab - bottom</t>
        </is>
      </c>
      <c r="E79" s="19" t="inlineStr">
        <is>
          <t>1210</t>
        </is>
      </c>
      <c r="F79" s="19" t="n">
        <v>12</v>
      </c>
      <c r="G79" s="19" t="n">
        <v>1</v>
      </c>
      <c r="H79" s="19" t="n">
        <v>122</v>
      </c>
      <c r="I79" s="13">
        <f>G79*H79</f>
        <v>122.0</v>
      </c>
      <c r="J79" s="20">
        <f>6350/1000</f>
        <v>6.35</v>
      </c>
      <c r="K79" s="21">
        <f>I79*J79</f>
        <v>774.6999999999999</v>
      </c>
      <c r="L79" s="22">
        <f>F79^2/162</f>
        <v>0.8888888888888888</v>
      </c>
      <c r="M79" s="21">
        <f>K79*L79</f>
        <v>688.6222222222221</v>
      </c>
      <c r="N79" s="22">
        <f>M79/1000</f>
        <v>0.6886222222222221</v>
      </c>
      <c r="O79" s="13" t="inlineStr">
        <is>
          <t>BBS</t>
        </is>
      </c>
    </row>
    <row r="80">
      <c r="A80" s="13" t="n">
        <v>75</v>
      </c>
      <c r="B80" s="13" t="inlineStr">
        <is>
          <t>Floor Slabs</t>
        </is>
      </c>
      <c r="C80" s="13" t="inlineStr">
        <is>
          <t>STR-055</t>
        </is>
      </c>
      <c r="D80" s="13" t="inlineStr">
        <is>
          <t>M2 slab - bottom</t>
        </is>
      </c>
      <c r="E80" s="19" t="inlineStr">
        <is>
          <t>1211</t>
        </is>
      </c>
      <c r="F80" s="19" t="n">
        <v>12</v>
      </c>
      <c r="G80" s="19" t="n">
        <v>1</v>
      </c>
      <c r="H80" s="19" t="n">
        <v>13</v>
      </c>
      <c r="I80" s="13">
        <f>G80*H80</f>
        <v>13.0</v>
      </c>
      <c r="J80" s="20">
        <f>6600/1000</f>
        <v>6.6</v>
      </c>
      <c r="K80" s="21">
        <f>I80*J80</f>
        <v>85.8</v>
      </c>
      <c r="L80" s="22">
        <f>F80^2/162</f>
        <v>0.8888888888888888</v>
      </c>
      <c r="M80" s="21">
        <f>K80*L80</f>
        <v>76.26666666666667</v>
      </c>
      <c r="N80" s="22">
        <f>M80/1000</f>
        <v>0.07626666666666666</v>
      </c>
      <c r="O80" s="13" t="inlineStr">
        <is>
          <t>BBS</t>
        </is>
      </c>
    </row>
    <row r="81">
      <c r="A81" s="13" t="n">
        <v>76</v>
      </c>
      <c r="B81" s="13" t="inlineStr">
        <is>
          <t>Floor Slabs</t>
        </is>
      </c>
      <c r="C81" s="13" t="inlineStr">
        <is>
          <t>STR-055</t>
        </is>
      </c>
      <c r="D81" s="13" t="inlineStr">
        <is>
          <t>M2 slab - bottom</t>
        </is>
      </c>
      <c r="E81" s="19" t="inlineStr">
        <is>
          <t>1212</t>
        </is>
      </c>
      <c r="F81" s="19" t="n">
        <v>12</v>
      </c>
      <c r="G81" s="19" t="n">
        <v>1</v>
      </c>
      <c r="H81" s="19" t="n">
        <v>154</v>
      </c>
      <c r="I81" s="13">
        <f>G81*H81</f>
        <v>154.0</v>
      </c>
      <c r="J81" s="20">
        <f>12000/1000</f>
        <v>12.0</v>
      </c>
      <c r="K81" s="21">
        <f>I81*J81</f>
        <v>1848.0</v>
      </c>
      <c r="L81" s="22">
        <f>F81^2/162</f>
        <v>0.8888888888888888</v>
      </c>
      <c r="M81" s="21">
        <f>K81*L81</f>
        <v>1642.6666666666665</v>
      </c>
      <c r="N81" s="22">
        <f>M81/1000</f>
        <v>1.6426666666666665</v>
      </c>
      <c r="O81" s="13" t="inlineStr">
        <is>
          <t>BBS</t>
        </is>
      </c>
    </row>
    <row r="82">
      <c r="A82" s="13" t="n">
        <v>77</v>
      </c>
      <c r="B82" s="13" t="inlineStr">
        <is>
          <t>Floor Slabs</t>
        </is>
      </c>
      <c r="C82" s="13" t="inlineStr">
        <is>
          <t>STR-055</t>
        </is>
      </c>
      <c r="D82" s="13" t="inlineStr">
        <is>
          <t>M2 slab - bottom</t>
        </is>
      </c>
      <c r="E82" s="19" t="inlineStr">
        <is>
          <t>1213</t>
        </is>
      </c>
      <c r="F82" s="19" t="n">
        <v>12</v>
      </c>
      <c r="G82" s="19" t="n">
        <v>1</v>
      </c>
      <c r="H82" s="19" t="n">
        <v>73</v>
      </c>
      <c r="I82" s="13">
        <f>G82*H82</f>
        <v>73.0</v>
      </c>
      <c r="J82" s="20">
        <f>8100/1000</f>
        <v>8.1</v>
      </c>
      <c r="K82" s="21">
        <f>I82*J82</f>
        <v>591.3</v>
      </c>
      <c r="L82" s="22">
        <f>F82^2/162</f>
        <v>0.8888888888888888</v>
      </c>
      <c r="M82" s="21">
        <f>K82*L82</f>
        <v>525.5999999999999</v>
      </c>
      <c r="N82" s="22">
        <f>M82/1000</f>
        <v>0.5256</v>
      </c>
      <c r="O82" s="13" t="inlineStr">
        <is>
          <t>BBS</t>
        </is>
      </c>
    </row>
    <row r="83">
      <c r="A83" s="13" t="n">
        <v>78</v>
      </c>
      <c r="B83" s="13" t="inlineStr">
        <is>
          <t>Floor Slabs</t>
        </is>
      </c>
      <c r="C83" s="13" t="inlineStr">
        <is>
          <t>STR-055</t>
        </is>
      </c>
      <c r="D83" s="13" t="inlineStr">
        <is>
          <t>M2 slab - bottom</t>
        </is>
      </c>
      <c r="E83" s="19" t="inlineStr">
        <is>
          <t>1214</t>
        </is>
      </c>
      <c r="F83" s="19" t="n">
        <v>12</v>
      </c>
      <c r="G83" s="19" t="n">
        <v>1</v>
      </c>
      <c r="H83" s="19" t="n">
        <v>13</v>
      </c>
      <c r="I83" s="13">
        <f>G83*H83</f>
        <v>13.0</v>
      </c>
      <c r="J83" s="20">
        <f>4200/1000</f>
        <v>4.2</v>
      </c>
      <c r="K83" s="21">
        <f>I83*J83</f>
        <v>54.6</v>
      </c>
      <c r="L83" s="22">
        <f>F83^2/162</f>
        <v>0.8888888888888888</v>
      </c>
      <c r="M83" s="21">
        <f>K83*L83</f>
        <v>48.53333333333333</v>
      </c>
      <c r="N83" s="22">
        <f>M83/1000</f>
        <v>0.04853333333333333</v>
      </c>
      <c r="O83" s="13" t="inlineStr">
        <is>
          <t>BBS</t>
        </is>
      </c>
    </row>
    <row r="84">
      <c r="A84" s="13" t="n">
        <v>79</v>
      </c>
      <c r="B84" s="13" t="inlineStr">
        <is>
          <t>Floor Slabs</t>
        </is>
      </c>
      <c r="C84" s="13" t="inlineStr">
        <is>
          <t>STR-055</t>
        </is>
      </c>
      <c r="D84" s="13" t="inlineStr">
        <is>
          <t>M2 slab - bottom</t>
        </is>
      </c>
      <c r="E84" s="19" t="inlineStr">
        <is>
          <t>1215</t>
        </is>
      </c>
      <c r="F84" s="19" t="n">
        <v>12</v>
      </c>
      <c r="G84" s="19" t="n">
        <v>1</v>
      </c>
      <c r="H84" s="19" t="n">
        <v>153</v>
      </c>
      <c r="I84" s="13">
        <f>G84*H84</f>
        <v>153.0</v>
      </c>
      <c r="J84" s="20">
        <f>12000/1000</f>
        <v>12.0</v>
      </c>
      <c r="K84" s="21">
        <f>I84*J84</f>
        <v>1836.0</v>
      </c>
      <c r="L84" s="22">
        <f>F84^2/162</f>
        <v>0.8888888888888888</v>
      </c>
      <c r="M84" s="21">
        <f>K84*L84</f>
        <v>1632.0</v>
      </c>
      <c r="N84" s="22">
        <f>M84/1000</f>
        <v>1.632</v>
      </c>
      <c r="O84" s="13" t="inlineStr">
        <is>
          <t>BBS</t>
        </is>
      </c>
    </row>
    <row r="85">
      <c r="A85" s="13" t="n">
        <v>80</v>
      </c>
      <c r="B85" s="13" t="inlineStr">
        <is>
          <t>Floor Slabs</t>
        </is>
      </c>
      <c r="C85" s="13" t="inlineStr">
        <is>
          <t>STR-055</t>
        </is>
      </c>
      <c r="D85" s="13" t="inlineStr">
        <is>
          <t>M2 slab - bottom</t>
        </is>
      </c>
      <c r="E85" s="19" t="inlineStr">
        <is>
          <t>1216</t>
        </is>
      </c>
      <c r="F85" s="19" t="n">
        <v>12</v>
      </c>
      <c r="G85" s="19" t="n">
        <v>1</v>
      </c>
      <c r="H85" s="19" t="n">
        <v>37</v>
      </c>
      <c r="I85" s="13">
        <f>G85*H85</f>
        <v>37.0</v>
      </c>
      <c r="J85" s="20">
        <f>5550/1000</f>
        <v>5.55</v>
      </c>
      <c r="K85" s="21">
        <f>I85*J85</f>
        <v>205.35</v>
      </c>
      <c r="L85" s="22">
        <f>F85^2/162</f>
        <v>0.8888888888888888</v>
      </c>
      <c r="M85" s="21">
        <f>K85*L85</f>
        <v>182.53333333333333</v>
      </c>
      <c r="N85" s="22">
        <f>M85/1000</f>
        <v>0.18253333333333333</v>
      </c>
      <c r="O85" s="13" t="inlineStr">
        <is>
          <t>BBS</t>
        </is>
      </c>
    </row>
    <row r="86">
      <c r="A86" s="13" t="n">
        <v>81</v>
      </c>
      <c r="B86" s="13" t="inlineStr">
        <is>
          <t>Floor Slabs</t>
        </is>
      </c>
      <c r="C86" s="13" t="inlineStr">
        <is>
          <t>STR-055</t>
        </is>
      </c>
      <c r="D86" s="13" t="inlineStr">
        <is>
          <t>M2 slab - bottom</t>
        </is>
      </c>
      <c r="E86" s="19" t="inlineStr">
        <is>
          <t>1217</t>
        </is>
      </c>
      <c r="F86" s="19" t="n">
        <v>12</v>
      </c>
      <c r="G86" s="19" t="n">
        <v>1</v>
      </c>
      <c r="H86" s="19" t="n">
        <v>44</v>
      </c>
      <c r="I86" s="13">
        <f>G86*H86</f>
        <v>44.0</v>
      </c>
      <c r="J86" s="20">
        <f>11750/1000</f>
        <v>11.75</v>
      </c>
      <c r="K86" s="21">
        <f>I86*J86</f>
        <v>517.0</v>
      </c>
      <c r="L86" s="22">
        <f>F86^2/162</f>
        <v>0.8888888888888888</v>
      </c>
      <c r="M86" s="21">
        <f>K86*L86</f>
        <v>459.55555555555554</v>
      </c>
      <c r="N86" s="22">
        <f>M86/1000</f>
        <v>0.45955555555555555</v>
      </c>
      <c r="O86" s="13" t="inlineStr">
        <is>
          <t>BBS</t>
        </is>
      </c>
    </row>
    <row r="87">
      <c r="A87" s="13" t="n">
        <v>82</v>
      </c>
      <c r="B87" s="13" t="inlineStr">
        <is>
          <t>Floor Slabs</t>
        </is>
      </c>
      <c r="C87" s="13" t="inlineStr">
        <is>
          <t>STR-055</t>
        </is>
      </c>
      <c r="D87" s="13" t="inlineStr">
        <is>
          <t>M2 slab - bottom</t>
        </is>
      </c>
      <c r="E87" s="19" t="inlineStr">
        <is>
          <t>1218</t>
        </is>
      </c>
      <c r="F87" s="19" t="n">
        <v>12</v>
      </c>
      <c r="G87" s="19" t="n">
        <v>1</v>
      </c>
      <c r="H87" s="19" t="n">
        <v>75</v>
      </c>
      <c r="I87" s="13">
        <f>G87*H87</f>
        <v>75.0</v>
      </c>
      <c r="J87" s="20">
        <f>11500/1000</f>
        <v>11.5</v>
      </c>
      <c r="K87" s="21">
        <f>I87*J87</f>
        <v>862.5</v>
      </c>
      <c r="L87" s="22">
        <f>F87^2/162</f>
        <v>0.8888888888888888</v>
      </c>
      <c r="M87" s="21">
        <f>K87*L87</f>
        <v>766.6666666666666</v>
      </c>
      <c r="N87" s="22">
        <f>M87/1000</f>
        <v>0.7666666666666666</v>
      </c>
      <c r="O87" s="13" t="inlineStr">
        <is>
          <t>BBS</t>
        </is>
      </c>
    </row>
    <row r="88">
      <c r="A88" s="13" t="n">
        <v>83</v>
      </c>
      <c r="B88" s="13" t="inlineStr">
        <is>
          <t>Floor Slabs</t>
        </is>
      </c>
      <c r="C88" s="13" t="inlineStr">
        <is>
          <t>STR-055</t>
        </is>
      </c>
      <c r="D88" s="13" t="inlineStr">
        <is>
          <t>M2 slab - bottom</t>
        </is>
      </c>
      <c r="E88" s="19" t="inlineStr">
        <is>
          <t>1601</t>
        </is>
      </c>
      <c r="F88" s="19" t="n">
        <v>16</v>
      </c>
      <c r="G88" s="19" t="n">
        <v>1</v>
      </c>
      <c r="H88" s="19" t="n">
        <v>95</v>
      </c>
      <c r="I88" s="13">
        <f>G88*H88</f>
        <v>95.0</v>
      </c>
      <c r="J88" s="20">
        <f>8375/1000</f>
        <v>8.375</v>
      </c>
      <c r="K88" s="21">
        <f>I88*J88</f>
        <v>795.625</v>
      </c>
      <c r="L88" s="22">
        <f>F88^2/162</f>
        <v>1.5802469135802468</v>
      </c>
      <c r="M88" s="21">
        <f>K88*L88</f>
        <v>1257.2839506172838</v>
      </c>
      <c r="N88" s="22">
        <f>M88/1000</f>
        <v>1.257283950617284</v>
      </c>
      <c r="O88" s="13" t="inlineStr">
        <is>
          <t>BBS</t>
        </is>
      </c>
    </row>
    <row r="89">
      <c r="A89" s="13" t="n">
        <v>84</v>
      </c>
      <c r="B89" s="13" t="inlineStr">
        <is>
          <t>Floor Slabs</t>
        </is>
      </c>
      <c r="C89" s="13" t="inlineStr">
        <is>
          <t>STR-055</t>
        </is>
      </c>
      <c r="D89" s="13" t="inlineStr">
        <is>
          <t>M2 slab - bottom</t>
        </is>
      </c>
      <c r="E89" s="19" t="inlineStr">
        <is>
          <t>1602</t>
        </is>
      </c>
      <c r="F89" s="19" t="n">
        <v>16</v>
      </c>
      <c r="G89" s="19" t="n">
        <v>1</v>
      </c>
      <c r="H89" s="19" t="n">
        <v>95</v>
      </c>
      <c r="I89" s="13">
        <f>G89*H89</f>
        <v>95.0</v>
      </c>
      <c r="J89" s="20">
        <f>8275/1000</f>
        <v>8.275</v>
      </c>
      <c r="K89" s="21">
        <f>I89*J89</f>
        <v>786.125</v>
      </c>
      <c r="L89" s="22">
        <f>F89^2/162</f>
        <v>1.5802469135802468</v>
      </c>
      <c r="M89" s="21">
        <f>K89*L89</f>
        <v>1242.2716049382716</v>
      </c>
      <c r="N89" s="22">
        <f>M89/1000</f>
        <v>1.2422716049382716</v>
      </c>
      <c r="O89" s="13" t="inlineStr">
        <is>
          <t>BBS</t>
        </is>
      </c>
    </row>
    <row r="90">
      <c r="A90" s="13" t="n">
        <v>85</v>
      </c>
      <c r="B90" s="13" t="inlineStr">
        <is>
          <t>Floor Slabs</t>
        </is>
      </c>
      <c r="C90" s="13" t="inlineStr">
        <is>
          <t>STR-056</t>
        </is>
      </c>
      <c r="D90" s="13" t="inlineStr">
        <is>
          <t>M2 slab - top</t>
        </is>
      </c>
      <c r="E90" s="19" t="inlineStr">
        <is>
          <t>1219</t>
        </is>
      </c>
      <c r="F90" s="19" t="n">
        <v>12</v>
      </c>
      <c r="G90" s="19" t="n">
        <v>1</v>
      </c>
      <c r="H90" s="19" t="n">
        <v>60</v>
      </c>
      <c r="I90" s="13">
        <f>G90*H90</f>
        <v>60.0</v>
      </c>
      <c r="J90" s="20">
        <f>10350/1000</f>
        <v>10.35</v>
      </c>
      <c r="K90" s="21">
        <f>I90*J90</f>
        <v>621.0</v>
      </c>
      <c r="L90" s="22">
        <f>F90^2/162</f>
        <v>0.8888888888888888</v>
      </c>
      <c r="M90" s="21">
        <f>K90*L90</f>
        <v>552.0</v>
      </c>
      <c r="N90" s="22">
        <f>M90/1000</f>
        <v>0.552</v>
      </c>
      <c r="O90" s="13" t="inlineStr">
        <is>
          <t>BBS</t>
        </is>
      </c>
    </row>
    <row r="91">
      <c r="A91" s="13" t="n">
        <v>86</v>
      </c>
      <c r="B91" s="13" t="inlineStr">
        <is>
          <t>Floor Slabs</t>
        </is>
      </c>
      <c r="C91" s="13" t="inlineStr">
        <is>
          <t>STR-056</t>
        </is>
      </c>
      <c r="D91" s="13" t="inlineStr">
        <is>
          <t>M2 slab - top</t>
        </is>
      </c>
      <c r="E91" s="19" t="inlineStr">
        <is>
          <t>1220</t>
        </is>
      </c>
      <c r="F91" s="19" t="n">
        <v>12</v>
      </c>
      <c r="G91" s="19" t="n">
        <v>1</v>
      </c>
      <c r="H91" s="19" t="n">
        <v>32</v>
      </c>
      <c r="I91" s="13">
        <f>G91*H91</f>
        <v>32.0</v>
      </c>
      <c r="J91" s="20">
        <f>5550/1000</f>
        <v>5.55</v>
      </c>
      <c r="K91" s="21">
        <f>I91*J91</f>
        <v>177.6</v>
      </c>
      <c r="L91" s="22">
        <f>F91^2/162</f>
        <v>0.8888888888888888</v>
      </c>
      <c r="M91" s="21">
        <f>K91*L91</f>
        <v>157.86666666666665</v>
      </c>
      <c r="N91" s="22">
        <f>M91/1000</f>
        <v>0.15786666666666666</v>
      </c>
      <c r="O91" s="13" t="inlineStr">
        <is>
          <t>BBS</t>
        </is>
      </c>
    </row>
    <row r="92">
      <c r="A92" s="13" t="n">
        <v>87</v>
      </c>
      <c r="B92" s="13" t="inlineStr">
        <is>
          <t>Floor Slabs</t>
        </is>
      </c>
      <c r="C92" s="13" t="inlineStr">
        <is>
          <t>STR-056</t>
        </is>
      </c>
      <c r="D92" s="13" t="inlineStr">
        <is>
          <t>M2 slab - top</t>
        </is>
      </c>
      <c r="E92" s="19" t="inlineStr">
        <is>
          <t>1221</t>
        </is>
      </c>
      <c r="F92" s="19" t="n">
        <v>12</v>
      </c>
      <c r="G92" s="19" t="n">
        <v>1</v>
      </c>
      <c r="H92" s="19" t="n">
        <v>16</v>
      </c>
      <c r="I92" s="13">
        <f>G92*H92</f>
        <v>16.0</v>
      </c>
      <c r="J92" s="20">
        <f>8250/1000</f>
        <v>8.25</v>
      </c>
      <c r="K92" s="21">
        <f>I92*J92</f>
        <v>132.0</v>
      </c>
      <c r="L92" s="22">
        <f>F92^2/162</f>
        <v>0.8888888888888888</v>
      </c>
      <c r="M92" s="21">
        <f>K92*L92</f>
        <v>117.33333333333333</v>
      </c>
      <c r="N92" s="22">
        <f>M92/1000</f>
        <v>0.11733333333333333</v>
      </c>
      <c r="O92" s="13" t="inlineStr">
        <is>
          <t>BBS</t>
        </is>
      </c>
    </row>
    <row r="93">
      <c r="A93" s="13" t="n">
        <v>88</v>
      </c>
      <c r="B93" s="13" t="inlineStr">
        <is>
          <t>Floor Slabs</t>
        </is>
      </c>
      <c r="C93" s="13" t="inlineStr">
        <is>
          <t>STR-056</t>
        </is>
      </c>
      <c r="D93" s="13" t="inlineStr">
        <is>
          <t>M2 slab - top</t>
        </is>
      </c>
      <c r="E93" s="19" t="inlineStr">
        <is>
          <t>1222</t>
        </is>
      </c>
      <c r="F93" s="19" t="n">
        <v>12</v>
      </c>
      <c r="G93" s="19" t="n">
        <v>1</v>
      </c>
      <c r="H93" s="19" t="n">
        <v>57</v>
      </c>
      <c r="I93" s="13">
        <f>G93*H93</f>
        <v>57.0</v>
      </c>
      <c r="J93" s="20">
        <f>9750/1000</f>
        <v>9.75</v>
      </c>
      <c r="K93" s="21">
        <f>I93*J93</f>
        <v>555.75</v>
      </c>
      <c r="L93" s="22">
        <f>F93^2/162</f>
        <v>0.8888888888888888</v>
      </c>
      <c r="M93" s="21">
        <f>K93*L93</f>
        <v>494.0</v>
      </c>
      <c r="N93" s="22">
        <f>M93/1000</f>
        <v>0.494</v>
      </c>
      <c r="O93" s="13" t="inlineStr">
        <is>
          <t>BBS</t>
        </is>
      </c>
    </row>
    <row r="94">
      <c r="A94" s="13" t="n">
        <v>89</v>
      </c>
      <c r="B94" s="13" t="inlineStr">
        <is>
          <t>Floor Slabs</t>
        </is>
      </c>
      <c r="C94" s="13" t="inlineStr">
        <is>
          <t>STR-056</t>
        </is>
      </c>
      <c r="D94" s="13" t="inlineStr">
        <is>
          <t>M2 slab - top</t>
        </is>
      </c>
      <c r="E94" s="19" t="inlineStr">
        <is>
          <t>1223</t>
        </is>
      </c>
      <c r="F94" s="19" t="n">
        <v>12</v>
      </c>
      <c r="G94" s="19" t="n">
        <v>1</v>
      </c>
      <c r="H94" s="19" t="n">
        <v>92</v>
      </c>
      <c r="I94" s="13">
        <f>G94*H94</f>
        <v>92.0</v>
      </c>
      <c r="J94" s="20">
        <f>8000/1000</f>
        <v>8.0</v>
      </c>
      <c r="K94" s="21">
        <f>I94*J94</f>
        <v>736.0</v>
      </c>
      <c r="L94" s="22">
        <f>F94^2/162</f>
        <v>0.8888888888888888</v>
      </c>
      <c r="M94" s="21">
        <f>K94*L94</f>
        <v>654.2222222222222</v>
      </c>
      <c r="N94" s="22">
        <f>M94/1000</f>
        <v>0.6542222222222221</v>
      </c>
      <c r="O94" s="13" t="inlineStr">
        <is>
          <t>BBS</t>
        </is>
      </c>
    </row>
    <row r="95">
      <c r="A95" s="13" t="n">
        <v>90</v>
      </c>
      <c r="B95" s="13" t="inlineStr">
        <is>
          <t>Floor Slabs</t>
        </is>
      </c>
      <c r="C95" s="13" t="inlineStr">
        <is>
          <t>STR-056</t>
        </is>
      </c>
      <c r="D95" s="13" t="inlineStr">
        <is>
          <t>M2 slab - top</t>
        </is>
      </c>
      <c r="E95" s="19" t="inlineStr">
        <is>
          <t>1224</t>
        </is>
      </c>
      <c r="F95" s="19" t="n">
        <v>12</v>
      </c>
      <c r="G95" s="19" t="n">
        <v>1</v>
      </c>
      <c r="H95" s="19" t="n">
        <v>45</v>
      </c>
      <c r="I95" s="13">
        <f>G95*H95</f>
        <v>45.0</v>
      </c>
      <c r="J95" s="20">
        <f>4700/1000</f>
        <v>4.7</v>
      </c>
      <c r="K95" s="21">
        <f>I95*J95</f>
        <v>211.5</v>
      </c>
      <c r="L95" s="22">
        <f>F95^2/162</f>
        <v>0.8888888888888888</v>
      </c>
      <c r="M95" s="21">
        <f>K95*L95</f>
        <v>188.0</v>
      </c>
      <c r="N95" s="22">
        <f>M95/1000</f>
        <v>0.188</v>
      </c>
      <c r="O95" s="13" t="inlineStr">
        <is>
          <t>BBS</t>
        </is>
      </c>
    </row>
    <row r="96">
      <c r="A96" s="13" t="n">
        <v>91</v>
      </c>
      <c r="B96" s="13" t="inlineStr">
        <is>
          <t>Floor Slabs</t>
        </is>
      </c>
      <c r="C96" s="13" t="inlineStr">
        <is>
          <t>STR-056</t>
        </is>
      </c>
      <c r="D96" s="13" t="inlineStr">
        <is>
          <t>M2 slab - top</t>
        </is>
      </c>
      <c r="E96" s="19" t="inlineStr">
        <is>
          <t>1225</t>
        </is>
      </c>
      <c r="F96" s="19" t="n">
        <v>12</v>
      </c>
      <c r="G96" s="19" t="n">
        <v>1</v>
      </c>
      <c r="H96" s="19" t="n">
        <v>108</v>
      </c>
      <c r="I96" s="13">
        <f>G96*H96</f>
        <v>108.0</v>
      </c>
      <c r="J96" s="20">
        <f>8800/1000</f>
        <v>8.8</v>
      </c>
      <c r="K96" s="21">
        <f>I96*J96</f>
        <v>950.4000000000001</v>
      </c>
      <c r="L96" s="22">
        <f>F96^2/162</f>
        <v>0.8888888888888888</v>
      </c>
      <c r="M96" s="21">
        <f>K96*L96</f>
        <v>844.8000000000001</v>
      </c>
      <c r="N96" s="22">
        <f>M96/1000</f>
        <v>0.8448000000000001</v>
      </c>
      <c r="O96" s="13" t="inlineStr">
        <is>
          <t>BBS</t>
        </is>
      </c>
    </row>
    <row r="97">
      <c r="A97" s="13" t="n">
        <v>92</v>
      </c>
      <c r="B97" s="13" t="inlineStr">
        <is>
          <t>Floor Slabs</t>
        </is>
      </c>
      <c r="C97" s="13" t="inlineStr">
        <is>
          <t>STR-056</t>
        </is>
      </c>
      <c r="D97" s="13" t="inlineStr">
        <is>
          <t>M2 slab - top</t>
        </is>
      </c>
      <c r="E97" s="19" t="inlineStr">
        <is>
          <t>1226</t>
        </is>
      </c>
      <c r="F97" s="19" t="n">
        <v>12</v>
      </c>
      <c r="G97" s="19" t="n">
        <v>1</v>
      </c>
      <c r="H97" s="19" t="n">
        <v>12</v>
      </c>
      <c r="I97" s="13">
        <f>G97*H97</f>
        <v>12.0</v>
      </c>
      <c r="J97" s="20">
        <f>8700/1000</f>
        <v>8.7</v>
      </c>
      <c r="K97" s="21">
        <f>I97*J97</f>
        <v>104.39999999999999</v>
      </c>
      <c r="L97" s="22">
        <f>F97^2/162</f>
        <v>0.8888888888888888</v>
      </c>
      <c r="M97" s="21">
        <f>K97*L97</f>
        <v>92.79999999999998</v>
      </c>
      <c r="N97" s="22">
        <f>M97/1000</f>
        <v>0.09279999999999998</v>
      </c>
      <c r="O97" s="13" t="inlineStr">
        <is>
          <t>BBS</t>
        </is>
      </c>
    </row>
    <row r="98">
      <c r="A98" s="13" t="n">
        <v>93</v>
      </c>
      <c r="B98" s="13" t="inlineStr">
        <is>
          <t>Floor Slabs</t>
        </is>
      </c>
      <c r="C98" s="13" t="inlineStr">
        <is>
          <t>STR-056</t>
        </is>
      </c>
      <c r="D98" s="13" t="inlineStr">
        <is>
          <t>M2 slab - top</t>
        </is>
      </c>
      <c r="E98" s="19" t="inlineStr">
        <is>
          <t>1227</t>
        </is>
      </c>
      <c r="F98" s="19" t="n">
        <v>12</v>
      </c>
      <c r="G98" s="19" t="n">
        <v>1</v>
      </c>
      <c r="H98" s="19" t="n">
        <v>15</v>
      </c>
      <c r="I98" s="13">
        <f>G98*H98</f>
        <v>15.0</v>
      </c>
      <c r="J98" s="20">
        <f>4800/1000</f>
        <v>4.8</v>
      </c>
      <c r="K98" s="21">
        <f>I98*J98</f>
        <v>72.0</v>
      </c>
      <c r="L98" s="22">
        <f>F98^2/162</f>
        <v>0.8888888888888888</v>
      </c>
      <c r="M98" s="21">
        <f>K98*L98</f>
        <v>64.0</v>
      </c>
      <c r="N98" s="22">
        <f>M98/1000</f>
        <v>0.064</v>
      </c>
      <c r="O98" s="13" t="inlineStr">
        <is>
          <t>BBS</t>
        </is>
      </c>
    </row>
    <row r="99">
      <c r="A99" s="13" t="n">
        <v>94</v>
      </c>
      <c r="B99" s="13" t="inlineStr">
        <is>
          <t>Floor Slabs</t>
        </is>
      </c>
      <c r="C99" s="13" t="inlineStr">
        <is>
          <t>STR-056</t>
        </is>
      </c>
      <c r="D99" s="13" t="inlineStr">
        <is>
          <t>M2 slab - top</t>
        </is>
      </c>
      <c r="E99" s="19" t="inlineStr">
        <is>
          <t>1228</t>
        </is>
      </c>
      <c r="F99" s="19" t="n">
        <v>12</v>
      </c>
      <c r="G99" s="19" t="n">
        <v>1</v>
      </c>
      <c r="H99" s="19" t="n">
        <v>93</v>
      </c>
      <c r="I99" s="13">
        <f>G99*H99</f>
        <v>93.0</v>
      </c>
      <c r="J99" s="20">
        <f>8650/1000</f>
        <v>8.65</v>
      </c>
      <c r="K99" s="21">
        <f>I99*J99</f>
        <v>804.45</v>
      </c>
      <c r="L99" s="22">
        <f>F99^2/162</f>
        <v>0.8888888888888888</v>
      </c>
      <c r="M99" s="21">
        <f>K99*L99</f>
        <v>715.0666666666667</v>
      </c>
      <c r="N99" s="22">
        <f>M99/1000</f>
        <v>0.7150666666666667</v>
      </c>
      <c r="O99" s="13" t="inlineStr">
        <is>
          <t>BBS</t>
        </is>
      </c>
    </row>
    <row r="100">
      <c r="A100" s="13" t="n">
        <v>95</v>
      </c>
      <c r="B100" s="13" t="inlineStr">
        <is>
          <t>Floor Slabs</t>
        </is>
      </c>
      <c r="C100" s="13" t="inlineStr">
        <is>
          <t>STR-056</t>
        </is>
      </c>
      <c r="D100" s="13" t="inlineStr">
        <is>
          <t>M2 slab - top</t>
        </is>
      </c>
      <c r="E100" s="19" t="inlineStr">
        <is>
          <t>1229</t>
        </is>
      </c>
      <c r="F100" s="19" t="n">
        <v>12</v>
      </c>
      <c r="G100" s="19" t="n">
        <v>1</v>
      </c>
      <c r="H100" s="19" t="n">
        <v>93</v>
      </c>
      <c r="I100" s="13">
        <f>G100*H100</f>
        <v>93.0</v>
      </c>
      <c r="J100" s="20">
        <f>4550/1000</f>
        <v>4.55</v>
      </c>
      <c r="K100" s="21">
        <f>I100*J100</f>
        <v>423.15</v>
      </c>
      <c r="L100" s="22">
        <f>F100^2/162</f>
        <v>0.8888888888888888</v>
      </c>
      <c r="M100" s="21">
        <f>K100*L100</f>
        <v>376.13333333333327</v>
      </c>
      <c r="N100" s="22">
        <f>M100/1000</f>
        <v>0.37613333333333326</v>
      </c>
      <c r="O100" s="13" t="inlineStr">
        <is>
          <t>BBS</t>
        </is>
      </c>
    </row>
    <row r="101">
      <c r="A101" s="13" t="n">
        <v>96</v>
      </c>
      <c r="B101" s="13" t="inlineStr">
        <is>
          <t>Floor Slabs</t>
        </is>
      </c>
      <c r="C101" s="13" t="inlineStr">
        <is>
          <t>STR-056</t>
        </is>
      </c>
      <c r="D101" s="13" t="inlineStr">
        <is>
          <t>M2 slab - top</t>
        </is>
      </c>
      <c r="E101" s="19" t="inlineStr">
        <is>
          <t>1230</t>
        </is>
      </c>
      <c r="F101" s="19" t="n">
        <v>12</v>
      </c>
      <c r="G101" s="19" t="n">
        <v>1</v>
      </c>
      <c r="H101" s="19" t="n">
        <v>75</v>
      </c>
      <c r="I101" s="13">
        <f>G101*H101</f>
        <v>75.0</v>
      </c>
      <c r="J101" s="20">
        <f>10150/1000</f>
        <v>10.15</v>
      </c>
      <c r="K101" s="21">
        <f>I101*J101</f>
        <v>761.25</v>
      </c>
      <c r="L101" s="22">
        <f>F101^2/162</f>
        <v>0.8888888888888888</v>
      </c>
      <c r="M101" s="21">
        <f>K101*L101</f>
        <v>676.6666666666666</v>
      </c>
      <c r="N101" s="22">
        <f>M101/1000</f>
        <v>0.6766666666666666</v>
      </c>
      <c r="O101" s="13" t="inlineStr">
        <is>
          <t>BBS</t>
        </is>
      </c>
    </row>
    <row r="102">
      <c r="A102" s="13" t="n">
        <v>97</v>
      </c>
      <c r="B102" s="13" t="inlineStr">
        <is>
          <t>Floor Slabs</t>
        </is>
      </c>
      <c r="C102" s="13" t="inlineStr">
        <is>
          <t>STR-056</t>
        </is>
      </c>
      <c r="D102" s="13" t="inlineStr">
        <is>
          <t>M2 slab - top</t>
        </is>
      </c>
      <c r="E102" s="19" t="inlineStr">
        <is>
          <t>1231</t>
        </is>
      </c>
      <c r="F102" s="19" t="n">
        <v>12</v>
      </c>
      <c r="G102" s="19" t="n">
        <v>1</v>
      </c>
      <c r="H102" s="19" t="n">
        <v>122</v>
      </c>
      <c r="I102" s="13">
        <f>G102*H102</f>
        <v>122.0</v>
      </c>
      <c r="J102" s="20">
        <f>8950/1000</f>
        <v>8.95</v>
      </c>
      <c r="K102" s="21">
        <f>I102*J102</f>
        <v>1091.8999999999999</v>
      </c>
      <c r="L102" s="22">
        <f>F102^2/162</f>
        <v>0.8888888888888888</v>
      </c>
      <c r="M102" s="21">
        <f>K102*L102</f>
        <v>970.5777777777776</v>
      </c>
      <c r="N102" s="22">
        <f>M102/1000</f>
        <v>0.9705777777777775</v>
      </c>
      <c r="O102" s="13" t="inlineStr">
        <is>
          <t>BBS</t>
        </is>
      </c>
    </row>
    <row r="103">
      <c r="A103" s="13" t="n">
        <v>98</v>
      </c>
      <c r="B103" s="13" t="inlineStr">
        <is>
          <t>Floor Slabs</t>
        </is>
      </c>
      <c r="C103" s="13" t="inlineStr">
        <is>
          <t>STR-056</t>
        </is>
      </c>
      <c r="D103" s="13" t="inlineStr">
        <is>
          <t>M2 slab - top</t>
        </is>
      </c>
      <c r="E103" s="19" t="inlineStr">
        <is>
          <t>1232</t>
        </is>
      </c>
      <c r="F103" s="19" t="n">
        <v>12</v>
      </c>
      <c r="G103" s="19" t="n">
        <v>1</v>
      </c>
      <c r="H103" s="19" t="n">
        <v>75</v>
      </c>
      <c r="I103" s="13">
        <f>G103*H103</f>
        <v>75.0</v>
      </c>
      <c r="J103" s="20">
        <f>9200/1000</f>
        <v>9.2</v>
      </c>
      <c r="K103" s="21">
        <f>I103*J103</f>
        <v>690.0</v>
      </c>
      <c r="L103" s="22">
        <f>F103^2/162</f>
        <v>0.8888888888888888</v>
      </c>
      <c r="M103" s="21">
        <f>K103*L103</f>
        <v>613.3333333333333</v>
      </c>
      <c r="N103" s="22">
        <f>M103/1000</f>
        <v>0.6133333333333333</v>
      </c>
      <c r="O103" s="13" t="inlineStr">
        <is>
          <t>BBS</t>
        </is>
      </c>
    </row>
    <row r="104">
      <c r="A104" s="13" t="n">
        <v>99</v>
      </c>
      <c r="B104" s="13" t="inlineStr">
        <is>
          <t>Floor Slabs</t>
        </is>
      </c>
      <c r="C104" s="13" t="inlineStr">
        <is>
          <t>STR-056</t>
        </is>
      </c>
      <c r="D104" s="13" t="inlineStr">
        <is>
          <t>M2 slab - top</t>
        </is>
      </c>
      <c r="E104" s="19" t="inlineStr">
        <is>
          <t>1233</t>
        </is>
      </c>
      <c r="F104" s="19" t="n">
        <v>12</v>
      </c>
      <c r="G104" s="19" t="n">
        <v>1</v>
      </c>
      <c r="H104" s="19" t="n">
        <v>37</v>
      </c>
      <c r="I104" s="13">
        <f>G104*H104</f>
        <v>37.0</v>
      </c>
      <c r="J104" s="20">
        <f>5000/1000</f>
        <v>5.0</v>
      </c>
      <c r="K104" s="21">
        <f>I104*J104</f>
        <v>185.0</v>
      </c>
      <c r="L104" s="22">
        <f>F104^2/162</f>
        <v>0.8888888888888888</v>
      </c>
      <c r="M104" s="21">
        <f>K104*L104</f>
        <v>164.44444444444443</v>
      </c>
      <c r="N104" s="22">
        <f>M104/1000</f>
        <v>0.16444444444444442</v>
      </c>
      <c r="O104" s="13" t="inlineStr">
        <is>
          <t>BBS</t>
        </is>
      </c>
    </row>
    <row r="105">
      <c r="A105" s="13" t="n">
        <v>100</v>
      </c>
      <c r="B105" s="13" t="inlineStr">
        <is>
          <t>Floor Slabs</t>
        </is>
      </c>
      <c r="C105" s="13" t="inlineStr">
        <is>
          <t>STR-056</t>
        </is>
      </c>
      <c r="D105" s="13" t="inlineStr">
        <is>
          <t>M2 slab - top</t>
        </is>
      </c>
      <c r="E105" s="19" t="inlineStr">
        <is>
          <t>1234</t>
        </is>
      </c>
      <c r="F105" s="19" t="n">
        <v>12</v>
      </c>
      <c r="G105" s="19" t="n">
        <v>1</v>
      </c>
      <c r="H105" s="19" t="n">
        <v>86</v>
      </c>
      <c r="I105" s="13">
        <f>G105*H105</f>
        <v>86.0</v>
      </c>
      <c r="J105" s="20">
        <f>6400/1000</f>
        <v>6.4</v>
      </c>
      <c r="K105" s="21">
        <f>I105*J105</f>
        <v>550.4</v>
      </c>
      <c r="L105" s="22">
        <f>F105^2/162</f>
        <v>0.8888888888888888</v>
      </c>
      <c r="M105" s="21">
        <f>K105*L105</f>
        <v>489.2444444444444</v>
      </c>
      <c r="N105" s="22">
        <f>M105/1000</f>
        <v>0.4892444444444444</v>
      </c>
      <c r="O105" s="13" t="inlineStr">
        <is>
          <t>BBS</t>
        </is>
      </c>
    </row>
    <row r="106">
      <c r="A106" s="13" t="n">
        <v>101</v>
      </c>
      <c r="B106" s="13" t="inlineStr">
        <is>
          <t>Floor Slabs</t>
        </is>
      </c>
      <c r="C106" s="13" t="inlineStr">
        <is>
          <t>STR-056</t>
        </is>
      </c>
      <c r="D106" s="13" t="inlineStr">
        <is>
          <t>M2 slab - top</t>
        </is>
      </c>
      <c r="E106" s="19" t="inlineStr">
        <is>
          <t>1235</t>
        </is>
      </c>
      <c r="F106" s="19" t="n">
        <v>12</v>
      </c>
      <c r="G106" s="19" t="n">
        <v>1</v>
      </c>
      <c r="H106" s="19" t="n">
        <v>13</v>
      </c>
      <c r="I106" s="13">
        <f>G106*H106</f>
        <v>13.0</v>
      </c>
      <c r="J106" s="20">
        <f>4200/1000</f>
        <v>4.2</v>
      </c>
      <c r="K106" s="21">
        <f>I106*J106</f>
        <v>54.6</v>
      </c>
      <c r="L106" s="22">
        <f>F106^2/162</f>
        <v>0.8888888888888888</v>
      </c>
      <c r="M106" s="21">
        <f>K106*L106</f>
        <v>48.53333333333333</v>
      </c>
      <c r="N106" s="22">
        <f>M106/1000</f>
        <v>0.04853333333333333</v>
      </c>
      <c r="O106" s="13" t="inlineStr">
        <is>
          <t>BBS</t>
        </is>
      </c>
    </row>
    <row r="107">
      <c r="A107" s="13" t="n">
        <v>102</v>
      </c>
      <c r="B107" s="13" t="inlineStr">
        <is>
          <t>Floor Slabs</t>
        </is>
      </c>
      <c r="C107" s="13" t="inlineStr">
        <is>
          <t>STR-056</t>
        </is>
      </c>
      <c r="D107" s="13" t="inlineStr">
        <is>
          <t>M2 slab - top</t>
        </is>
      </c>
      <c r="E107" s="19" t="inlineStr">
        <is>
          <t>1236</t>
        </is>
      </c>
      <c r="F107" s="19" t="n">
        <v>12</v>
      </c>
      <c r="G107" s="19" t="n">
        <v>1</v>
      </c>
      <c r="H107" s="19" t="n">
        <v>74</v>
      </c>
      <c r="I107" s="13">
        <f>G107*H107</f>
        <v>74.0</v>
      </c>
      <c r="J107" s="20">
        <f>10850/1000</f>
        <v>10.85</v>
      </c>
      <c r="K107" s="21">
        <f>I107*J107</f>
        <v>802.9</v>
      </c>
      <c r="L107" s="22">
        <f>F107^2/162</f>
        <v>0.8888888888888888</v>
      </c>
      <c r="M107" s="21">
        <f>K107*L107</f>
        <v>713.6888888888889</v>
      </c>
      <c r="N107" s="22">
        <f>M107/1000</f>
        <v>0.7136888888888888</v>
      </c>
      <c r="O107" s="13" t="inlineStr">
        <is>
          <t>BBS</t>
        </is>
      </c>
    </row>
    <row r="108">
      <c r="A108" s="13" t="n">
        <v>103</v>
      </c>
      <c r="B108" s="13" t="inlineStr">
        <is>
          <t>Floor Slabs</t>
        </is>
      </c>
      <c r="C108" s="13" t="inlineStr">
        <is>
          <t>STR-056</t>
        </is>
      </c>
      <c r="D108" s="13" t="inlineStr">
        <is>
          <t>M2 slab - top</t>
        </is>
      </c>
      <c r="E108" s="19" t="inlineStr">
        <is>
          <t>1237</t>
        </is>
      </c>
      <c r="F108" s="19" t="n">
        <v>12</v>
      </c>
      <c r="G108" s="19" t="n">
        <v>1</v>
      </c>
      <c r="H108" s="19" t="n">
        <v>74</v>
      </c>
      <c r="I108" s="13">
        <f>G108*H108</f>
        <v>74.0</v>
      </c>
      <c r="J108" s="20">
        <f>9350/1000</f>
        <v>9.35</v>
      </c>
      <c r="K108" s="21">
        <f>I108*J108</f>
        <v>691.9</v>
      </c>
      <c r="L108" s="22">
        <f>F108^2/162</f>
        <v>0.8888888888888888</v>
      </c>
      <c r="M108" s="21">
        <f>K108*L108</f>
        <v>615.0222222222221</v>
      </c>
      <c r="N108" s="22">
        <f>M108/1000</f>
        <v>0.6150222222222221</v>
      </c>
      <c r="O108" s="13" t="inlineStr">
        <is>
          <t>BBS</t>
        </is>
      </c>
    </row>
    <row r="109">
      <c r="A109" s="13" t="n">
        <v>104</v>
      </c>
      <c r="B109" s="13" t="inlineStr">
        <is>
          <t>Floor Slabs</t>
        </is>
      </c>
      <c r="C109" s="13" t="inlineStr">
        <is>
          <t>STR-056</t>
        </is>
      </c>
      <c r="D109" s="13" t="inlineStr">
        <is>
          <t>M2 slab - top</t>
        </is>
      </c>
      <c r="E109" s="19" t="inlineStr">
        <is>
          <t>1238</t>
        </is>
      </c>
      <c r="F109" s="19" t="n">
        <v>12</v>
      </c>
      <c r="G109" s="19" t="n">
        <v>1</v>
      </c>
      <c r="H109" s="19" t="n">
        <v>237</v>
      </c>
      <c r="I109" s="13">
        <f>G109*H109</f>
        <v>237.0</v>
      </c>
      <c r="J109" s="20">
        <f>10700/1000</f>
        <v>10.7</v>
      </c>
      <c r="K109" s="21">
        <f>I109*J109</f>
        <v>2535.8999999999996</v>
      </c>
      <c r="L109" s="22">
        <f>F109^2/162</f>
        <v>0.8888888888888888</v>
      </c>
      <c r="M109" s="21">
        <f>K109*L109</f>
        <v>2254.1333333333328</v>
      </c>
      <c r="N109" s="22">
        <f>M109/1000</f>
        <v>2.254133333333333</v>
      </c>
      <c r="O109" s="13" t="inlineStr">
        <is>
          <t>BBS</t>
        </is>
      </c>
    </row>
    <row r="110">
      <c r="A110" s="13" t="n">
        <v>105</v>
      </c>
      <c r="B110" s="13" t="inlineStr">
        <is>
          <t>Floor Slabs</t>
        </is>
      </c>
      <c r="C110" s="13" t="inlineStr">
        <is>
          <t>STR-056</t>
        </is>
      </c>
      <c r="D110" s="13" t="inlineStr">
        <is>
          <t>M2 slab - top</t>
        </is>
      </c>
      <c r="E110" s="19" t="inlineStr">
        <is>
          <t>1239</t>
        </is>
      </c>
      <c r="F110" s="19" t="n">
        <v>12</v>
      </c>
      <c r="G110" s="19" t="n">
        <v>1</v>
      </c>
      <c r="H110" s="19" t="n">
        <v>44</v>
      </c>
      <c r="I110" s="13">
        <f>G110*H110</f>
        <v>44.0</v>
      </c>
      <c r="J110" s="20">
        <f>11750/1000</f>
        <v>11.75</v>
      </c>
      <c r="K110" s="21">
        <f>I110*J110</f>
        <v>517.0</v>
      </c>
      <c r="L110" s="22">
        <f>F110^2/162</f>
        <v>0.8888888888888888</v>
      </c>
      <c r="M110" s="21">
        <f>K110*L110</f>
        <v>459.55555555555554</v>
      </c>
      <c r="N110" s="22">
        <f>M110/1000</f>
        <v>0.45955555555555555</v>
      </c>
      <c r="O110" s="13" t="inlineStr">
        <is>
          <t>BBS</t>
        </is>
      </c>
    </row>
    <row r="111">
      <c r="A111" s="13" t="n">
        <v>106</v>
      </c>
      <c r="B111" s="13" t="inlineStr">
        <is>
          <t>Floor Slabs</t>
        </is>
      </c>
      <c r="C111" s="13" t="inlineStr">
        <is>
          <t>STR-056</t>
        </is>
      </c>
      <c r="D111" s="13" t="inlineStr">
        <is>
          <t>M2 slab - top</t>
        </is>
      </c>
      <c r="E111" s="19" t="inlineStr">
        <is>
          <t>1602</t>
        </is>
      </c>
      <c r="F111" s="19" t="n">
        <v>16</v>
      </c>
      <c r="G111" s="19" t="n">
        <v>1</v>
      </c>
      <c r="H111" s="19" t="n">
        <v>95</v>
      </c>
      <c r="I111" s="13">
        <f>G111*H111</f>
        <v>95.0</v>
      </c>
      <c r="J111" s="20">
        <f>8275/1000</f>
        <v>8.275</v>
      </c>
      <c r="K111" s="21">
        <f>I111*J111</f>
        <v>786.125</v>
      </c>
      <c r="L111" s="22">
        <f>F111^2/162</f>
        <v>1.5802469135802468</v>
      </c>
      <c r="M111" s="21">
        <f>K111*L111</f>
        <v>1242.2716049382716</v>
      </c>
      <c r="N111" s="22">
        <f>M111/1000</f>
        <v>1.2422716049382716</v>
      </c>
      <c r="O111" s="13" t="inlineStr">
        <is>
          <t>BBS</t>
        </is>
      </c>
    </row>
    <row r="112">
      <c r="A112" s="13" t="n">
        <v>107</v>
      </c>
      <c r="B112" s="13" t="inlineStr">
        <is>
          <t>Floor Slabs</t>
        </is>
      </c>
      <c r="C112" s="13" t="inlineStr">
        <is>
          <t>STR-057</t>
        </is>
      </c>
      <c r="D112" s="13" t="inlineStr">
        <is>
          <t>M2 slab - additional top</t>
        </is>
      </c>
      <c r="E112" s="19" t="inlineStr">
        <is>
          <t>1240</t>
        </is>
      </c>
      <c r="F112" s="19" t="n">
        <v>12</v>
      </c>
      <c r="G112" s="19" t="n">
        <v>1</v>
      </c>
      <c r="H112" s="19" t="n">
        <v>207</v>
      </c>
      <c r="I112" s="13">
        <f>G112*H112</f>
        <v>207.0</v>
      </c>
      <c r="J112" s="20">
        <f>3000/1000</f>
        <v>3.0</v>
      </c>
      <c r="K112" s="21">
        <f>I112*J112</f>
        <v>621.0</v>
      </c>
      <c r="L112" s="22">
        <f>F112^2/162</f>
        <v>0.8888888888888888</v>
      </c>
      <c r="M112" s="21">
        <f>K112*L112</f>
        <v>552.0</v>
      </c>
      <c r="N112" s="22">
        <f>M112/1000</f>
        <v>0.552</v>
      </c>
      <c r="O112" s="13" t="inlineStr">
        <is>
          <t>BBS</t>
        </is>
      </c>
    </row>
    <row r="113">
      <c r="A113" s="13" t="n">
        <v>108</v>
      </c>
      <c r="B113" s="13" t="inlineStr">
        <is>
          <t>Floor Slabs</t>
        </is>
      </c>
      <c r="C113" s="13" t="inlineStr">
        <is>
          <t>STR-057</t>
        </is>
      </c>
      <c r="D113" s="13" t="inlineStr">
        <is>
          <t>M2 slab - additional top</t>
        </is>
      </c>
      <c r="E113" s="19" t="inlineStr">
        <is>
          <t>1241</t>
        </is>
      </c>
      <c r="F113" s="19" t="n">
        <v>12</v>
      </c>
      <c r="G113" s="19" t="n">
        <v>1</v>
      </c>
      <c r="H113" s="19" t="n">
        <v>90</v>
      </c>
      <c r="I113" s="13">
        <f>G113*H113</f>
        <v>90.0</v>
      </c>
      <c r="J113" s="20">
        <f>4900/1000</f>
        <v>4.9</v>
      </c>
      <c r="K113" s="21">
        <f>I113*J113</f>
        <v>441.00000000000006</v>
      </c>
      <c r="L113" s="22">
        <f>F113^2/162</f>
        <v>0.8888888888888888</v>
      </c>
      <c r="M113" s="21">
        <f>K113*L113</f>
        <v>392.00000000000006</v>
      </c>
      <c r="N113" s="22">
        <f>M113/1000</f>
        <v>0.39200000000000007</v>
      </c>
      <c r="O113" s="13" t="inlineStr">
        <is>
          <t>BBS</t>
        </is>
      </c>
    </row>
    <row r="114">
      <c r="A114" s="13" t="n">
        <v>109</v>
      </c>
      <c r="B114" s="13" t="inlineStr">
        <is>
          <t>Floor Slabs</t>
        </is>
      </c>
      <c r="C114" s="13" t="inlineStr">
        <is>
          <t>STR-057</t>
        </is>
      </c>
      <c r="D114" s="13" t="inlineStr">
        <is>
          <t>M2 slab - additional top</t>
        </is>
      </c>
      <c r="E114" s="19" t="inlineStr">
        <is>
          <t>1242</t>
        </is>
      </c>
      <c r="F114" s="19" t="n">
        <v>12</v>
      </c>
      <c r="G114" s="19" t="n">
        <v>1</v>
      </c>
      <c r="H114" s="19" t="n">
        <v>98</v>
      </c>
      <c r="I114" s="13">
        <f>G114*H114</f>
        <v>98.0</v>
      </c>
      <c r="J114" s="20">
        <f>6350/1000</f>
        <v>6.35</v>
      </c>
      <c r="K114" s="21">
        <f>I114*J114</f>
        <v>622.3</v>
      </c>
      <c r="L114" s="22">
        <f>F114^2/162</f>
        <v>0.8888888888888888</v>
      </c>
      <c r="M114" s="21">
        <f>K114*L114</f>
        <v>553.1555555555555</v>
      </c>
      <c r="N114" s="22">
        <f>M114/1000</f>
        <v>0.5531555555555554</v>
      </c>
      <c r="O114" s="13" t="inlineStr">
        <is>
          <t>BBS</t>
        </is>
      </c>
    </row>
    <row r="115">
      <c r="A115" s="13" t="n">
        <v>110</v>
      </c>
      <c r="B115" s="13" t="inlineStr">
        <is>
          <t>Staircases</t>
        </is>
      </c>
      <c r="C115" s="13" t="inlineStr">
        <is>
          <t>STR-033</t>
        </is>
      </c>
      <c r="D115" s="13" t="inlineStr">
        <is>
          <t>Emergency staircase typical flight (M1 to 3rd, one storey)</t>
        </is>
      </c>
      <c r="E115" s="19" t="inlineStr">
        <is>
          <t>1201</t>
        </is>
      </c>
      <c r="F115" s="19" t="n">
        <v>12</v>
      </c>
      <c r="G115" s="19" t="n">
        <v>1</v>
      </c>
      <c r="H115" s="19" t="n">
        <v>30</v>
      </c>
      <c r="I115" s="13">
        <f>G115*H115</f>
        <v>30.0</v>
      </c>
      <c r="J115" s="20">
        <f>6200/1000</f>
        <v>6.2</v>
      </c>
      <c r="K115" s="21">
        <f>I115*J115</f>
        <v>186.0</v>
      </c>
      <c r="L115" s="22">
        <f>F115^2/162</f>
        <v>0.8888888888888888</v>
      </c>
      <c r="M115" s="21">
        <f>K115*L115</f>
        <v>165.33333333333331</v>
      </c>
      <c r="N115" s="22">
        <f>M115/1000</f>
        <v>0.1653333333333333</v>
      </c>
      <c r="O115" s="13" t="inlineStr">
        <is>
          <t>BBS</t>
        </is>
      </c>
    </row>
    <row r="116">
      <c r="A116" s="13" t="n">
        <v>111</v>
      </c>
      <c r="B116" s="13" t="inlineStr">
        <is>
          <t>Staircases</t>
        </is>
      </c>
      <c r="C116" s="13" t="inlineStr">
        <is>
          <t>STR-033</t>
        </is>
      </c>
      <c r="D116" s="13" t="inlineStr">
        <is>
          <t>Emergency staircase typical flight (M1 to 3rd, one storey)</t>
        </is>
      </c>
      <c r="E116" s="19" t="inlineStr">
        <is>
          <t>1202</t>
        </is>
      </c>
      <c r="F116" s="19" t="n">
        <v>12</v>
      </c>
      <c r="G116" s="19" t="n">
        <v>1</v>
      </c>
      <c r="H116" s="19" t="n">
        <v>80</v>
      </c>
      <c r="I116" s="13">
        <f>G116*H116</f>
        <v>80.0</v>
      </c>
      <c r="J116" s="20">
        <f>2300/1000</f>
        <v>2.3</v>
      </c>
      <c r="K116" s="21">
        <f>I116*J116</f>
        <v>184.0</v>
      </c>
      <c r="L116" s="22">
        <f>F116^2/162</f>
        <v>0.8888888888888888</v>
      </c>
      <c r="M116" s="21">
        <f>K116*L116</f>
        <v>163.55555555555554</v>
      </c>
      <c r="N116" s="22">
        <f>M116/1000</f>
        <v>0.16355555555555554</v>
      </c>
      <c r="O116" s="13" t="inlineStr">
        <is>
          <t>BBS</t>
        </is>
      </c>
    </row>
    <row r="117">
      <c r="A117" s="13" t="n">
        <v>112</v>
      </c>
      <c r="B117" s="13" t="inlineStr">
        <is>
          <t>Staircases</t>
        </is>
      </c>
      <c r="C117" s="13" t="inlineStr">
        <is>
          <t>STR-033</t>
        </is>
      </c>
      <c r="D117" s="13" t="inlineStr">
        <is>
          <t>Emergency staircase typical flight (M1 to 3rd, one storey)</t>
        </is>
      </c>
      <c r="E117" s="19" t="inlineStr">
        <is>
          <t>1203</t>
        </is>
      </c>
      <c r="F117" s="19" t="n">
        <v>12</v>
      </c>
      <c r="G117" s="19" t="n">
        <v>1</v>
      </c>
      <c r="H117" s="19" t="n">
        <v>26</v>
      </c>
      <c r="I117" s="13">
        <f>G117*H117</f>
        <v>26.0</v>
      </c>
      <c r="J117" s="20">
        <f>4800/1000</f>
        <v>4.8</v>
      </c>
      <c r="K117" s="21">
        <f>I117*J117</f>
        <v>124.8</v>
      </c>
      <c r="L117" s="22">
        <f>F117^2/162</f>
        <v>0.8888888888888888</v>
      </c>
      <c r="M117" s="21">
        <f>K117*L117</f>
        <v>110.93333333333332</v>
      </c>
      <c r="N117" s="22">
        <f>M117/1000</f>
        <v>0.11093333333333333</v>
      </c>
      <c r="O117" s="13" t="inlineStr">
        <is>
          <t>BBS</t>
        </is>
      </c>
    </row>
    <row r="118">
      <c r="A118" s="13" t="n">
        <v>113</v>
      </c>
      <c r="B118" s="13" t="inlineStr">
        <is>
          <t>Staircases</t>
        </is>
      </c>
      <c r="C118" s="13" t="inlineStr">
        <is>
          <t>STR-033</t>
        </is>
      </c>
      <c r="D118" s="13" t="inlineStr">
        <is>
          <t>Emergency staircase typical flight (M1 to 3rd, one storey)</t>
        </is>
      </c>
      <c r="E118" s="19" t="inlineStr">
        <is>
          <t>1601</t>
        </is>
      </c>
      <c r="F118" s="19" t="n">
        <v>16</v>
      </c>
      <c r="G118" s="19" t="n">
        <v>1</v>
      </c>
      <c r="H118" s="19" t="n">
        <v>11</v>
      </c>
      <c r="I118" s="13">
        <f>G118*H118</f>
        <v>11.0</v>
      </c>
      <c r="J118" s="20">
        <f>8175/1000</f>
        <v>8.175</v>
      </c>
      <c r="K118" s="21">
        <f>I118*J118</f>
        <v>89.92500000000001</v>
      </c>
      <c r="L118" s="22">
        <f>F118^2/162</f>
        <v>1.5802469135802468</v>
      </c>
      <c r="M118" s="21">
        <f>K118*L118</f>
        <v>142.1037037037037</v>
      </c>
      <c r="N118" s="22">
        <f>M118/1000</f>
        <v>0.1421037037037037</v>
      </c>
      <c r="O118" s="13" t="inlineStr">
        <is>
          <t>BBS</t>
        </is>
      </c>
    </row>
    <row r="119">
      <c r="A119" s="13" t="n">
        <v>114</v>
      </c>
      <c r="B119" s="13" t="inlineStr">
        <is>
          <t>Staircases</t>
        </is>
      </c>
      <c r="C119" s="13" t="inlineStr">
        <is>
          <t>STR-033</t>
        </is>
      </c>
      <c r="D119" s="13" t="inlineStr">
        <is>
          <t>Emergency staircase typical flight (M1 to 3rd, one storey)</t>
        </is>
      </c>
      <c r="E119" s="19" t="inlineStr">
        <is>
          <t>1602</t>
        </is>
      </c>
      <c r="F119" s="19" t="n">
        <v>16</v>
      </c>
      <c r="G119" s="19" t="n">
        <v>1</v>
      </c>
      <c r="H119" s="19" t="n">
        <v>11</v>
      </c>
      <c r="I119" s="13">
        <f>G119*H119</f>
        <v>11.0</v>
      </c>
      <c r="J119" s="20">
        <f>2650/1000</f>
        <v>2.65</v>
      </c>
      <c r="K119" s="21">
        <f>I119*J119</f>
        <v>29.15</v>
      </c>
      <c r="L119" s="22">
        <f>F119^2/162</f>
        <v>1.5802469135802468</v>
      </c>
      <c r="M119" s="21">
        <f>K119*L119</f>
        <v>46.06419753086419</v>
      </c>
      <c r="N119" s="22">
        <f>M119/1000</f>
        <v>0.046064197530864194</v>
      </c>
      <c r="O119" s="13" t="inlineStr">
        <is>
          <t>BBS</t>
        </is>
      </c>
    </row>
    <row r="120">
      <c r="A120" s="13" t="n">
        <v>115</v>
      </c>
      <c r="B120" s="13" t="inlineStr">
        <is>
          <t>Staircases</t>
        </is>
      </c>
      <c r="C120" s="13" t="inlineStr">
        <is>
          <t>STR-033</t>
        </is>
      </c>
      <c r="D120" s="13" t="inlineStr">
        <is>
          <t>Emergency staircase typical flight (M1 to 3rd, one storey)</t>
        </is>
      </c>
      <c r="E120" s="19" t="inlineStr">
        <is>
          <t>1603</t>
        </is>
      </c>
      <c r="F120" s="19" t="n">
        <v>16</v>
      </c>
      <c r="G120" s="19" t="n">
        <v>1</v>
      </c>
      <c r="H120" s="19" t="n">
        <v>11</v>
      </c>
      <c r="I120" s="13">
        <f>G120*H120</f>
        <v>11.0</v>
      </c>
      <c r="J120" s="20">
        <f>2400/1000</f>
        <v>2.4</v>
      </c>
      <c r="K120" s="21">
        <f>I120*J120</f>
        <v>26.4</v>
      </c>
      <c r="L120" s="22">
        <f>F120^2/162</f>
        <v>1.5802469135802468</v>
      </c>
      <c r="M120" s="21">
        <f>K120*L120</f>
        <v>41.718518518518515</v>
      </c>
      <c r="N120" s="22">
        <f>M120/1000</f>
        <v>0.041718518518518516</v>
      </c>
      <c r="O120" s="13" t="inlineStr">
        <is>
          <t>BBS</t>
        </is>
      </c>
    </row>
    <row r="121">
      <c r="A121" s="13" t="n">
        <v>116</v>
      </c>
      <c r="B121" s="13" t="inlineStr">
        <is>
          <t>Staircases</t>
        </is>
      </c>
      <c r="C121" s="13" t="inlineStr">
        <is>
          <t>STR-033</t>
        </is>
      </c>
      <c r="D121" s="13" t="inlineStr">
        <is>
          <t>Emergency staircase typical flight (M1 to 3rd, one storey)</t>
        </is>
      </c>
      <c r="E121" s="19" t="inlineStr">
        <is>
          <t>1604</t>
        </is>
      </c>
      <c r="F121" s="19" t="n">
        <v>16</v>
      </c>
      <c r="G121" s="19" t="n">
        <v>1</v>
      </c>
      <c r="H121" s="19" t="n">
        <v>11</v>
      </c>
      <c r="I121" s="13">
        <f>G121*H121</f>
        <v>11.0</v>
      </c>
      <c r="J121" s="20">
        <f>4300/1000</f>
        <v>4.3</v>
      </c>
      <c r="K121" s="21">
        <f>I121*J121</f>
        <v>47.3</v>
      </c>
      <c r="L121" s="22">
        <f>F121^2/162</f>
        <v>1.5802469135802468</v>
      </c>
      <c r="M121" s="21">
        <f>K121*L121</f>
        <v>74.74567901234568</v>
      </c>
      <c r="N121" s="22">
        <f>M121/1000</f>
        <v>0.07474567901234568</v>
      </c>
      <c r="O121" s="13" t="inlineStr">
        <is>
          <t>BBS</t>
        </is>
      </c>
    </row>
    <row r="122">
      <c r="A122" s="13" t="n">
        <v>117</v>
      </c>
      <c r="B122" s="13" t="inlineStr">
        <is>
          <t>Staircases</t>
        </is>
      </c>
      <c r="C122" s="13" t="inlineStr">
        <is>
          <t>STR-033</t>
        </is>
      </c>
      <c r="D122" s="13" t="inlineStr">
        <is>
          <t>Emergency staircase typical flight (M1 to 3rd, one storey)</t>
        </is>
      </c>
      <c r="E122" s="19" t="inlineStr">
        <is>
          <t>1605</t>
        </is>
      </c>
      <c r="F122" s="19" t="n">
        <v>16</v>
      </c>
      <c r="G122" s="19" t="n">
        <v>1</v>
      </c>
      <c r="H122" s="19" t="n">
        <v>11</v>
      </c>
      <c r="I122" s="13">
        <f>G122*H122</f>
        <v>11.0</v>
      </c>
      <c r="J122" s="20">
        <f>2100/1000</f>
        <v>2.1</v>
      </c>
      <c r="K122" s="21">
        <f>I122*J122</f>
        <v>23.1</v>
      </c>
      <c r="L122" s="22">
        <f>F122^2/162</f>
        <v>1.5802469135802468</v>
      </c>
      <c r="M122" s="21">
        <f>K122*L122</f>
        <v>36.50370370370371</v>
      </c>
      <c r="N122" s="22">
        <f>M122/1000</f>
        <v>0.036503703703703705</v>
      </c>
      <c r="O122" s="13" t="inlineStr">
        <is>
          <t>BBS</t>
        </is>
      </c>
    </row>
    <row r="123">
      <c r="A123" s="13" t="n">
        <v>118</v>
      </c>
      <c r="B123" s="13" t="inlineStr">
        <is>
          <t>Staircases</t>
        </is>
      </c>
      <c r="C123" s="13" t="inlineStr">
        <is>
          <t>STR-033</t>
        </is>
      </c>
      <c r="D123" s="13" t="inlineStr">
        <is>
          <t>Emergency staircase typical flight (M1 to 3rd, one storey)</t>
        </is>
      </c>
      <c r="E123" s="19" t="inlineStr">
        <is>
          <t>1606</t>
        </is>
      </c>
      <c r="F123" s="19" t="n">
        <v>16</v>
      </c>
      <c r="G123" s="19" t="n">
        <v>1</v>
      </c>
      <c r="H123" s="19" t="n">
        <v>11</v>
      </c>
      <c r="I123" s="13">
        <f>G123*H123</f>
        <v>11.0</v>
      </c>
      <c r="J123" s="20">
        <f>6900/1000</f>
        <v>6.9</v>
      </c>
      <c r="K123" s="21">
        <f>I123*J123</f>
        <v>75.9</v>
      </c>
      <c r="L123" s="22">
        <f>F123^2/162</f>
        <v>1.5802469135802468</v>
      </c>
      <c r="M123" s="21">
        <f>K123*L123</f>
        <v>119.94074074074074</v>
      </c>
      <c r="N123" s="22">
        <f>M123/1000</f>
        <v>0.11994074074074074</v>
      </c>
      <c r="O123" s="13" t="inlineStr">
        <is>
          <t>BBS</t>
        </is>
      </c>
    </row>
    <row r="124">
      <c r="A124" s="13" t="n">
        <v>119</v>
      </c>
      <c r="B124" s="13" t="inlineStr">
        <is>
          <t>Staircases</t>
        </is>
      </c>
      <c r="C124" s="13" t="inlineStr">
        <is>
          <t>STR-033</t>
        </is>
      </c>
      <c r="D124" s="13" t="inlineStr">
        <is>
          <t>Emergency staircase typical flight (M1 to 3rd, one storey)</t>
        </is>
      </c>
      <c r="E124" s="19" t="inlineStr">
        <is>
          <t>1607</t>
        </is>
      </c>
      <c r="F124" s="19" t="n">
        <v>16</v>
      </c>
      <c r="G124" s="19" t="n">
        <v>1</v>
      </c>
      <c r="H124" s="19" t="n">
        <v>11</v>
      </c>
      <c r="I124" s="13">
        <f>G124*H124</f>
        <v>11.0</v>
      </c>
      <c r="J124" s="20">
        <f>4800/1000</f>
        <v>4.8</v>
      </c>
      <c r="K124" s="21">
        <f>I124*J124</f>
        <v>52.8</v>
      </c>
      <c r="L124" s="22">
        <f>F124^2/162</f>
        <v>1.5802469135802468</v>
      </c>
      <c r="M124" s="21">
        <f>K124*L124</f>
        <v>83.43703703703703</v>
      </c>
      <c r="N124" s="22">
        <f>M124/1000</f>
        <v>0.08343703703703703</v>
      </c>
      <c r="O124" s="13" t="inlineStr">
        <is>
          <t>BBS</t>
        </is>
      </c>
    </row>
    <row r="125">
      <c r="A125" s="13" t="n">
        <v>120</v>
      </c>
      <c r="B125" s="13" t="inlineStr">
        <is>
          <t>Staircases</t>
        </is>
      </c>
      <c r="C125" s="13" t="inlineStr">
        <is>
          <t>STR-033</t>
        </is>
      </c>
      <c r="D125" s="13" t="inlineStr">
        <is>
          <t>Emergency staircase typical flight (M1 to 3rd, one storey)</t>
        </is>
      </c>
      <c r="E125" s="19" t="inlineStr">
        <is>
          <t>1608</t>
        </is>
      </c>
      <c r="F125" s="19" t="n">
        <v>16</v>
      </c>
      <c r="G125" s="19" t="n">
        <v>1</v>
      </c>
      <c r="H125" s="19" t="n">
        <v>11</v>
      </c>
      <c r="I125" s="13">
        <f>G125*H125</f>
        <v>11.0</v>
      </c>
      <c r="J125" s="20">
        <f>3400/1000</f>
        <v>3.4</v>
      </c>
      <c r="K125" s="21">
        <f>I125*J125</f>
        <v>37.4</v>
      </c>
      <c r="L125" s="22">
        <f>F125^2/162</f>
        <v>1.5802469135802468</v>
      </c>
      <c r="M125" s="21">
        <f>K125*L125</f>
        <v>59.10123456790123</v>
      </c>
      <c r="N125" s="22">
        <f>M125/1000</f>
        <v>0.05910123456790123</v>
      </c>
      <c r="O125" s="13" t="inlineStr">
        <is>
          <t>BBS</t>
        </is>
      </c>
    </row>
    <row r="126">
      <c r="A126" s="13" t="n">
        <v>121</v>
      </c>
      <c r="B126" s="13" t="inlineStr">
        <is>
          <t>Staircases</t>
        </is>
      </c>
      <c r="C126" s="13" t="inlineStr">
        <is>
          <t>STR-033</t>
        </is>
      </c>
      <c r="D126" s="13" t="inlineStr">
        <is>
          <t>Emergency staircase typical flight (M1 to 3rd, one storey)</t>
        </is>
      </c>
      <c r="E126" s="19" t="inlineStr">
        <is>
          <t>1609</t>
        </is>
      </c>
      <c r="F126" s="19" t="n">
        <v>16</v>
      </c>
      <c r="G126" s="19" t="n">
        <v>1</v>
      </c>
      <c r="H126" s="19" t="n">
        <v>11</v>
      </c>
      <c r="I126" s="13">
        <f>G126*H126</f>
        <v>11.0</v>
      </c>
      <c r="J126" s="20">
        <f>3200/1000</f>
        <v>3.2</v>
      </c>
      <c r="K126" s="21">
        <f>I126*J126</f>
        <v>35.2</v>
      </c>
      <c r="L126" s="22">
        <f>F126^2/162</f>
        <v>1.5802469135802468</v>
      </c>
      <c r="M126" s="21">
        <f>K126*L126</f>
        <v>55.62469135802469</v>
      </c>
      <c r="N126" s="22">
        <f>M126/1000</f>
        <v>0.05562469135802469</v>
      </c>
      <c r="O126" s="13" t="inlineStr">
        <is>
          <t>BBS</t>
        </is>
      </c>
    </row>
    <row r="127">
      <c r="A127" s="13" t="n">
        <v>122</v>
      </c>
      <c r="B127" s="13" t="inlineStr">
        <is>
          <t>Staircases</t>
        </is>
      </c>
      <c r="C127" s="13" t="inlineStr">
        <is>
          <t>STR-033</t>
        </is>
      </c>
      <c r="D127" s="13" t="inlineStr">
        <is>
          <t>Emergency staircase typical flight (M1 to 3rd, one storey)</t>
        </is>
      </c>
      <c r="E127" s="19" t="inlineStr">
        <is>
          <t>1610</t>
        </is>
      </c>
      <c r="F127" s="19" t="n">
        <v>16</v>
      </c>
      <c r="G127" s="19" t="n">
        <v>1</v>
      </c>
      <c r="H127" s="19" t="n">
        <v>11</v>
      </c>
      <c r="I127" s="13">
        <f>G127*H127</f>
        <v>11.0</v>
      </c>
      <c r="J127" s="20">
        <f>2000/1000</f>
        <v>2.0</v>
      </c>
      <c r="K127" s="21">
        <f>I127*J127</f>
        <v>22.0</v>
      </c>
      <c r="L127" s="22">
        <f>F127^2/162</f>
        <v>1.5802469135802468</v>
      </c>
      <c r="M127" s="21">
        <f>K127*L127</f>
        <v>34.76543209876543</v>
      </c>
      <c r="N127" s="22">
        <f>M127/1000</f>
        <v>0.03476543209876543</v>
      </c>
      <c r="O127" s="13" t="inlineStr">
        <is>
          <t>BBS</t>
        </is>
      </c>
    </row>
    <row r="129">
      <c r="D129" s="10" t="inlineStr">
        <is>
          <t>SUMMARY - M2 LEVEL: ELEMENT BY BAR SIZE (TONNES)</t>
        </is>
      </c>
    </row>
    <row r="130">
      <c r="D130" s="23" t="inlineStr">
        <is>
          <t>Element</t>
        </is>
      </c>
      <c r="E130" s="24" t="n">
        <v>10</v>
      </c>
      <c r="F130" s="24" t="n">
        <v>12</v>
      </c>
      <c r="G130" s="24" t="n">
        <v>16</v>
      </c>
      <c r="H130" s="24" t="n">
        <v>20</v>
      </c>
      <c r="I130" s="24" t="n">
        <v>25</v>
      </c>
      <c r="J130" s="23" t="inlineStr">
        <is>
          <t>Total (t)</t>
        </is>
      </c>
    </row>
    <row r="131">
      <c r="D131" s="13" t="inlineStr">
        <is>
          <t>Raft Foundation</t>
        </is>
      </c>
      <c r="E131" s="25">
        <f>SUMIFS($N$6:$N$127,$B$6:$B$127,$D131,$F$6:$F$127,E$130)</f>
        <v>0.0</v>
      </c>
      <c r="F131" s="25">
        <f>SUMIFS($N$6:$N$127,$B$6:$B$127,$D131,$F$6:$F$127,F$130)</f>
        <v>0.0</v>
      </c>
      <c r="G131" s="25">
        <f>SUMIFS($N$6:$N$127,$B$6:$B$127,$D131,$F$6:$F$127,G$130)</f>
        <v>0.0</v>
      </c>
      <c r="H131" s="25">
        <f>SUMIFS($N$6:$N$127,$B$6:$B$127,$D131,$F$6:$F$127,H$130)</f>
        <v>0.0</v>
      </c>
      <c r="I131" s="25">
        <f>SUMIFS($N$6:$N$127,$B$6:$B$127,$D131,$F$6:$F$127,I$130)</f>
        <v>0.0</v>
      </c>
      <c r="J131" s="17">
        <f>SUM(E131:I131)</f>
        <v>0.0</v>
      </c>
    </row>
    <row r="132">
      <c r="D132" s="13" t="inlineStr">
        <is>
          <t>Columns</t>
        </is>
      </c>
      <c r="E132" s="25">
        <f>SUMIFS($N$6:$N$127,$B$6:$B$127,$D132,$F$6:$F$127,E$130)</f>
        <v>1.656320987654321</v>
      </c>
      <c r="F132" s="25">
        <f>SUMIFS($N$6:$N$127,$B$6:$B$127,$D132,$F$6:$F$127,F$130)</f>
        <v>0.0</v>
      </c>
      <c r="G132" s="25">
        <f>SUMIFS($N$6:$N$127,$B$6:$B$127,$D132,$F$6:$F$127,G$130)</f>
        <v>0.0</v>
      </c>
      <c r="H132" s="25">
        <f>SUMIFS($N$6:$N$127,$B$6:$B$127,$D132,$F$6:$F$127,H$130)</f>
        <v>0.15407407407407409</v>
      </c>
      <c r="I132" s="25">
        <f>SUMIFS($N$6:$N$127,$B$6:$B$127,$D132,$F$6:$F$127,I$130)</f>
        <v>4.0625</v>
      </c>
      <c r="J132" s="17">
        <f>SUM(E132:I132)</f>
        <v>5.872895061728395</v>
      </c>
    </row>
    <row r="133">
      <c r="D133" s="13" t="inlineStr">
        <is>
          <t>Shear Walls</t>
        </is>
      </c>
      <c r="E133" s="25">
        <f>SUMIFS($N$6:$N$127,$B$6:$B$127,$D133,$F$6:$F$127,E$130)</f>
        <v>0.66</v>
      </c>
      <c r="F133" s="25">
        <f>SUMIFS($N$6:$N$127,$B$6:$B$127,$D133,$F$6:$F$127,F$130)</f>
        <v>0.8348444444444444</v>
      </c>
      <c r="G133" s="25">
        <f>SUMIFS($N$6:$N$127,$B$6:$B$127,$D133,$F$6:$F$127,G$130)</f>
        <v>0.0</v>
      </c>
      <c r="H133" s="25">
        <f>SUMIFS($N$6:$N$127,$B$6:$B$127,$D133,$F$6:$F$127,H$130)</f>
        <v>0.0</v>
      </c>
      <c r="I133" s="25">
        <f>SUMIFS($N$6:$N$127,$B$6:$B$127,$D133,$F$6:$F$127,I$130)</f>
        <v>5.195987654320988</v>
      </c>
      <c r="J133" s="17">
        <f>SUM(E133:I133)</f>
        <v>6.690832098765433</v>
      </c>
    </row>
    <row r="134">
      <c r="D134" s="13" t="inlineStr">
        <is>
          <t>Lift Walls</t>
        </is>
      </c>
      <c r="E134" s="25">
        <f>SUMIFS($N$6:$N$127,$B$6:$B$127,$D134,$F$6:$F$127,E$130)</f>
        <v>0.0</v>
      </c>
      <c r="F134" s="25">
        <f>SUMIFS($N$6:$N$127,$B$6:$B$127,$D134,$F$6:$F$127,F$130)</f>
        <v>0.0</v>
      </c>
      <c r="G134" s="25">
        <f>SUMIFS($N$6:$N$127,$B$6:$B$127,$D134,$F$6:$F$127,G$130)</f>
        <v>0.0</v>
      </c>
      <c r="H134" s="25">
        <f>SUMIFS($N$6:$N$127,$B$6:$B$127,$D134,$F$6:$F$127,H$130)</f>
        <v>0.0</v>
      </c>
      <c r="I134" s="25">
        <f>SUMIFS($N$6:$N$127,$B$6:$B$127,$D134,$F$6:$F$127,I$130)</f>
        <v>0.0</v>
      </c>
      <c r="J134" s="17">
        <f>SUM(E134:I134)</f>
        <v>0.0</v>
      </c>
    </row>
    <row r="135">
      <c r="D135" s="13" t="inlineStr">
        <is>
          <t>Retaining / Ramp Walls</t>
        </is>
      </c>
      <c r="E135" s="25">
        <f>SUMIFS($N$6:$N$127,$B$6:$B$127,$D135,$F$6:$F$127,E$130)</f>
        <v>0.0</v>
      </c>
      <c r="F135" s="25">
        <f>SUMIFS($N$6:$N$127,$B$6:$B$127,$D135,$F$6:$F$127,F$130)</f>
        <v>0.0</v>
      </c>
      <c r="G135" s="25">
        <f>SUMIFS($N$6:$N$127,$B$6:$B$127,$D135,$F$6:$F$127,G$130)</f>
        <v>0.0</v>
      </c>
      <c r="H135" s="25">
        <f>SUMIFS($N$6:$N$127,$B$6:$B$127,$D135,$F$6:$F$127,H$130)</f>
        <v>0.0</v>
      </c>
      <c r="I135" s="25">
        <f>SUMIFS($N$6:$N$127,$B$6:$B$127,$D135,$F$6:$F$127,I$130)</f>
        <v>0.0</v>
      </c>
      <c r="J135" s="17">
        <f>SUM(E135:I135)</f>
        <v>0.0</v>
      </c>
    </row>
    <row r="136">
      <c r="D136" s="13" t="inlineStr">
        <is>
          <t>Beams</t>
        </is>
      </c>
      <c r="E136" s="25">
        <f>SUMIFS($N$6:$N$127,$B$6:$B$127,$D136,$F$6:$F$127,E$130)</f>
        <v>0.6443209876543209</v>
      </c>
      <c r="F136" s="25">
        <f>SUMIFS($N$6:$N$127,$B$6:$B$127,$D136,$F$6:$F$127,F$130)</f>
        <v>0.0</v>
      </c>
      <c r="G136" s="25">
        <f>SUMIFS($N$6:$N$127,$B$6:$B$127,$D136,$F$6:$F$127,G$130)</f>
        <v>0.4595358024691357</v>
      </c>
      <c r="H136" s="25">
        <f>SUMIFS($N$6:$N$127,$B$6:$B$127,$D136,$F$6:$F$127,H$130)</f>
        <v>0.8022222222222222</v>
      </c>
      <c r="I136" s="25">
        <f>SUMIFS($N$6:$N$127,$B$6:$B$127,$D136,$F$6:$F$127,I$130)</f>
        <v>1.6241319444444442</v>
      </c>
      <c r="J136" s="17">
        <f>SUM(E136:I136)</f>
        <v>3.530210956790123</v>
      </c>
    </row>
    <row r="137">
      <c r="D137" s="13" t="inlineStr">
        <is>
          <t>Floor Slabs</t>
        </is>
      </c>
      <c r="E137" s="25">
        <f>SUMIFS($N$6:$N$127,$B$6:$B$127,$D137,$F$6:$F$127,E$130)</f>
        <v>0.0</v>
      </c>
      <c r="F137" s="25">
        <f>SUMIFS($N$6:$N$127,$B$6:$B$127,$D137,$F$6:$F$127,F$130)</f>
        <v>23.77611111111111</v>
      </c>
      <c r="G137" s="25">
        <f>SUMIFS($N$6:$N$127,$B$6:$B$127,$D137,$F$6:$F$127,G$130)</f>
        <v>3.741827160493827</v>
      </c>
      <c r="H137" s="25">
        <f>SUMIFS($N$6:$N$127,$B$6:$B$127,$D137,$F$6:$F$127,H$130)</f>
        <v>0.0</v>
      </c>
      <c r="I137" s="25">
        <f>SUMIFS($N$6:$N$127,$B$6:$B$127,$D137,$F$6:$F$127,I$130)</f>
        <v>0.0</v>
      </c>
      <c r="J137" s="17">
        <f>SUM(E137:I137)</f>
        <v>27.517938271604937</v>
      </c>
    </row>
    <row r="138">
      <c r="D138" s="13" t="inlineStr">
        <is>
          <t>Staircases</t>
        </is>
      </c>
      <c r="E138" s="25">
        <f>SUMIFS($N$6:$N$127,$B$6:$B$127,$D138,$F$6:$F$127,E$130)</f>
        <v>0.0</v>
      </c>
      <c r="F138" s="25">
        <f>SUMIFS($N$6:$N$127,$B$6:$B$127,$D138,$F$6:$F$127,F$130)</f>
        <v>0.43982222222222217</v>
      </c>
      <c r="G138" s="25">
        <f>SUMIFS($N$6:$N$127,$B$6:$B$127,$D138,$F$6:$F$127,G$130)</f>
        <v>0.694004938271605</v>
      </c>
      <c r="H138" s="25">
        <f>SUMIFS($N$6:$N$127,$B$6:$B$127,$D138,$F$6:$F$127,H$130)</f>
        <v>0.0</v>
      </c>
      <c r="I138" s="25">
        <f>SUMIFS($N$6:$N$127,$B$6:$B$127,$D138,$F$6:$F$127,I$130)</f>
        <v>0.0</v>
      </c>
      <c r="J138" s="17">
        <f>SUM(E138:I138)</f>
        <v>1.1338271604938273</v>
      </c>
    </row>
    <row r="139">
      <c r="D139" s="13" t="inlineStr">
        <is>
          <t>Lift Core Roof Slab</t>
        </is>
      </c>
      <c r="E139" s="25">
        <f>SUMIFS($N$6:$N$127,$B$6:$B$127,$D139,$F$6:$F$127,E$130)</f>
        <v>0.0</v>
      </c>
      <c r="F139" s="25">
        <f>SUMIFS($N$6:$N$127,$B$6:$B$127,$D139,$F$6:$F$127,F$130)</f>
        <v>0.0</v>
      </c>
      <c r="G139" s="25">
        <f>SUMIFS($N$6:$N$127,$B$6:$B$127,$D139,$F$6:$F$127,G$130)</f>
        <v>0.0</v>
      </c>
      <c r="H139" s="25">
        <f>SUMIFS($N$6:$N$127,$B$6:$B$127,$D139,$F$6:$F$127,H$130)</f>
        <v>0.0</v>
      </c>
      <c r="I139" s="25">
        <f>SUMIFS($N$6:$N$127,$B$6:$B$127,$D139,$F$6:$F$127,I$130)</f>
        <v>0.0</v>
      </c>
      <c r="J139" s="17">
        <f>SUM(E139:I139)</f>
        <v>0.0</v>
      </c>
    </row>
    <row r="140">
      <c r="D140" s="16" t="inlineStr">
        <is>
          <t>TOTAL - M2 LEVEL</t>
        </is>
      </c>
      <c r="E140" s="26">
        <f>SUM(E131:E139)</f>
        <v>2.960641975308642</v>
      </c>
      <c r="F140" s="26">
        <f>SUM(F131:F139)</f>
        <v>25.05077777777778</v>
      </c>
      <c r="G140" s="26">
        <f>SUM(G131:G139)</f>
        <v>4.895367901234567</v>
      </c>
      <c r="H140" s="26">
        <f>SUM(H131:H139)</f>
        <v>0.9562962962962962</v>
      </c>
      <c r="I140" s="26">
        <f>SUM(I131:I139)</f>
        <v>10.882619598765432</v>
      </c>
      <c r="J140" s="26">
        <f>SUM(J131:J139)</f>
        <v>44.74570354938271</v>
      </c>
      <c r="K140" s="7" t="inlineStr">
        <is>
          <t>Check vs detail (should be 0):</t>
        </is>
      </c>
      <c r="N140" s="7">
        <f>ROUND(SUM(N6:N127)-J140,6)</f>
        <v>0.0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O18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SECOND FLOOR LEVEL 3A PARKING (+6850)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STR-007</t>
        </is>
      </c>
      <c r="D6" s="13" t="inlineStr">
        <is>
          <t>COL-01A (5 nos) 2nd to 3rd - links</t>
        </is>
      </c>
      <c r="E6" s="19" t="inlineStr">
        <is>
          <t>1001</t>
        </is>
      </c>
      <c r="F6" s="19" t="n">
        <v>10</v>
      </c>
      <c r="G6" s="19" t="n">
        <v>5</v>
      </c>
      <c r="H6" s="19" t="n">
        <v>35</v>
      </c>
      <c r="I6" s="13">
        <f>G6*H6</f>
        <v>175.0</v>
      </c>
      <c r="J6" s="20">
        <f>2330/1000</f>
        <v>2.33</v>
      </c>
      <c r="K6" s="21">
        <f>I6*J6</f>
        <v>407.75</v>
      </c>
      <c r="L6" s="22">
        <f>F6^2/162</f>
        <v>0.6172839506172839</v>
      </c>
      <c r="M6" s="21">
        <f>K6*L6</f>
        <v>251.69753086419752</v>
      </c>
      <c r="N6" s="22">
        <f>M6/1000</f>
        <v>0.2516975308641975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STR-007</t>
        </is>
      </c>
      <c r="D7" s="13" t="inlineStr">
        <is>
          <t>COL-01A (5 nos) 2nd to 3rd - links</t>
        </is>
      </c>
      <c r="E7" s="19" t="inlineStr">
        <is>
          <t>1002</t>
        </is>
      </c>
      <c r="F7" s="19" t="n">
        <v>10</v>
      </c>
      <c r="G7" s="19" t="n">
        <v>5</v>
      </c>
      <c r="H7" s="19" t="n">
        <v>70</v>
      </c>
      <c r="I7" s="13">
        <f>G7*H7</f>
        <v>350.0</v>
      </c>
      <c r="J7" s="20">
        <f>1330/1000</f>
        <v>1.33</v>
      </c>
      <c r="K7" s="21">
        <f>I7*J7</f>
        <v>465.5</v>
      </c>
      <c r="L7" s="22">
        <f>F7^2/162</f>
        <v>0.6172839506172839</v>
      </c>
      <c r="M7" s="21">
        <f>K7*L7</f>
        <v>287.34567901234567</v>
      </c>
      <c r="N7" s="22">
        <f>M7/1000</f>
        <v>0.28734567901234565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STR-007</t>
        </is>
      </c>
      <c r="D8" s="13" t="inlineStr">
        <is>
          <t>COL-01A (5 nos) 2nd to 3rd - links</t>
        </is>
      </c>
      <c r="E8" s="19" t="inlineStr">
        <is>
          <t>1003</t>
        </is>
      </c>
      <c r="F8" s="19" t="n">
        <v>10</v>
      </c>
      <c r="G8" s="19" t="n">
        <v>5</v>
      </c>
      <c r="H8" s="19" t="n">
        <v>35</v>
      </c>
      <c r="I8" s="13">
        <f>G8*H8</f>
        <v>175.0</v>
      </c>
      <c r="J8" s="20">
        <f>1830/1000</f>
        <v>1.83</v>
      </c>
      <c r="K8" s="21">
        <f>I8*J8</f>
        <v>320.25</v>
      </c>
      <c r="L8" s="22">
        <f>F8^2/162</f>
        <v>0.6172839506172839</v>
      </c>
      <c r="M8" s="21">
        <f>K8*L8</f>
        <v>197.68518518518516</v>
      </c>
      <c r="N8" s="22">
        <f>M8/1000</f>
        <v>0.19768518518518516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STR-007</t>
        </is>
      </c>
      <c r="D9" s="13" t="inlineStr">
        <is>
          <t>COL-01A (5 nos) 2nd to 3rd - main bars</t>
        </is>
      </c>
      <c r="E9" s="19" t="inlineStr">
        <is>
          <t>2504</t>
        </is>
      </c>
      <c r="F9" s="19" t="n">
        <v>25</v>
      </c>
      <c r="G9" s="19" t="n">
        <v>5</v>
      </c>
      <c r="H9" s="19" t="n">
        <v>16</v>
      </c>
      <c r="I9" s="13">
        <f>G9*H9</f>
        <v>80.0</v>
      </c>
      <c r="J9" s="20">
        <f>5250/1000</f>
        <v>5.25</v>
      </c>
      <c r="K9" s="21">
        <f>I9*J9</f>
        <v>420.0</v>
      </c>
      <c r="L9" s="22">
        <f>F9^2/162</f>
        <v>3.8580246913580245</v>
      </c>
      <c r="M9" s="21">
        <f>K9*L9</f>
        <v>1620.3703703703702</v>
      </c>
      <c r="N9" s="22">
        <f>M9/1000</f>
        <v>1.6203703703703702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STR-007</t>
        </is>
      </c>
      <c r="D10" s="13" t="inlineStr">
        <is>
          <t>COL-01B (1 nos) 2nd to 3rd - links</t>
        </is>
      </c>
      <c r="E10" s="19" t="inlineStr">
        <is>
          <t>1001</t>
        </is>
      </c>
      <c r="F10" s="19" t="n">
        <v>10</v>
      </c>
      <c r="G10" s="19" t="n">
        <v>1</v>
      </c>
      <c r="H10" s="19" t="n">
        <v>35</v>
      </c>
      <c r="I10" s="13">
        <f>G10*H10</f>
        <v>35.0</v>
      </c>
      <c r="J10" s="20">
        <f>2330/1000</f>
        <v>2.33</v>
      </c>
      <c r="K10" s="21">
        <f>I10*J10</f>
        <v>81.55</v>
      </c>
      <c r="L10" s="22">
        <f>F10^2/162</f>
        <v>0.6172839506172839</v>
      </c>
      <c r="M10" s="21">
        <f>K10*L10</f>
        <v>50.3395061728395</v>
      </c>
      <c r="N10" s="22">
        <f>M10/1000</f>
        <v>0.0503395061728395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STR-007</t>
        </is>
      </c>
      <c r="D11" s="13" t="inlineStr">
        <is>
          <t>COL-01B (1 nos) 2nd to 3rd - links</t>
        </is>
      </c>
      <c r="E11" s="19" t="inlineStr">
        <is>
          <t>1002</t>
        </is>
      </c>
      <c r="F11" s="19" t="n">
        <v>10</v>
      </c>
      <c r="G11" s="19" t="n">
        <v>1</v>
      </c>
      <c r="H11" s="19" t="n">
        <v>70</v>
      </c>
      <c r="I11" s="13">
        <f>G11*H11</f>
        <v>70.0</v>
      </c>
      <c r="J11" s="20">
        <f>1330/1000</f>
        <v>1.33</v>
      </c>
      <c r="K11" s="21">
        <f>I11*J11</f>
        <v>93.10000000000001</v>
      </c>
      <c r="L11" s="22">
        <f>F11^2/162</f>
        <v>0.6172839506172839</v>
      </c>
      <c r="M11" s="21">
        <f>K11*L11</f>
        <v>57.46913580246914</v>
      </c>
      <c r="N11" s="22">
        <f>M11/1000</f>
        <v>0.05746913580246914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STR-007</t>
        </is>
      </c>
      <c r="D12" s="13" t="inlineStr">
        <is>
          <t>COL-01B (1 nos) 2nd to 3rd - links</t>
        </is>
      </c>
      <c r="E12" s="19" t="inlineStr">
        <is>
          <t>1003</t>
        </is>
      </c>
      <c r="F12" s="19" t="n">
        <v>10</v>
      </c>
      <c r="G12" s="19" t="n">
        <v>1</v>
      </c>
      <c r="H12" s="19" t="n">
        <v>35</v>
      </c>
      <c r="I12" s="13">
        <f>G12*H12</f>
        <v>35.0</v>
      </c>
      <c r="J12" s="20">
        <f>1830/1000</f>
        <v>1.83</v>
      </c>
      <c r="K12" s="21">
        <f>I12*J12</f>
        <v>64.05</v>
      </c>
      <c r="L12" s="22">
        <f>F12^2/162</f>
        <v>0.6172839506172839</v>
      </c>
      <c r="M12" s="21">
        <f>K12*L12</f>
        <v>39.53703703703703</v>
      </c>
      <c r="N12" s="22">
        <f>M12/1000</f>
        <v>0.03953703703703703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Columns</t>
        </is>
      </c>
      <c r="C13" s="13" t="inlineStr">
        <is>
          <t>STR-007</t>
        </is>
      </c>
      <c r="D13" s="13" t="inlineStr">
        <is>
          <t>COL-01B (1 nos) 2nd to 3rd - main bars</t>
        </is>
      </c>
      <c r="E13" s="19" t="inlineStr">
        <is>
          <t>2504</t>
        </is>
      </c>
      <c r="F13" s="19" t="n">
        <v>25</v>
      </c>
      <c r="G13" s="19" t="n">
        <v>1</v>
      </c>
      <c r="H13" s="19" t="n">
        <v>16</v>
      </c>
      <c r="I13" s="13">
        <f>G13*H13</f>
        <v>16.0</v>
      </c>
      <c r="J13" s="20">
        <f>5250/1000</f>
        <v>5.25</v>
      </c>
      <c r="K13" s="21">
        <f>I13*J13</f>
        <v>84.0</v>
      </c>
      <c r="L13" s="22">
        <f>F13^2/162</f>
        <v>3.8580246913580245</v>
      </c>
      <c r="M13" s="21">
        <f>K13*L13</f>
        <v>324.0740740740741</v>
      </c>
      <c r="N13" s="22">
        <f>M13/1000</f>
        <v>0.32407407407407407</v>
      </c>
      <c r="O13" s="13" t="inlineStr">
        <is>
          <t>Elevation + BBS length</t>
        </is>
      </c>
    </row>
    <row r="14">
      <c r="A14" s="13" t="n">
        <v>9</v>
      </c>
      <c r="B14" s="13" t="inlineStr">
        <is>
          <t>Columns</t>
        </is>
      </c>
      <c r="C14" s="13" t="inlineStr">
        <is>
          <t>STR-008</t>
        </is>
      </c>
      <c r="D14" s="13" t="inlineStr">
        <is>
          <t>COL-01C (2 nos) 2nd to 3rd - links</t>
        </is>
      </c>
      <c r="E14" s="19" t="inlineStr">
        <is>
          <t>1001</t>
        </is>
      </c>
      <c r="F14" s="19" t="n">
        <v>10</v>
      </c>
      <c r="G14" s="19" t="n">
        <v>2</v>
      </c>
      <c r="H14" s="19" t="n">
        <v>35</v>
      </c>
      <c r="I14" s="13">
        <f>G14*H14</f>
        <v>70.0</v>
      </c>
      <c r="J14" s="20">
        <f>2330/1000</f>
        <v>2.33</v>
      </c>
      <c r="K14" s="21">
        <f>I14*J14</f>
        <v>163.1</v>
      </c>
      <c r="L14" s="22">
        <f>F14^2/162</f>
        <v>0.6172839506172839</v>
      </c>
      <c r="M14" s="21">
        <f>K14*L14</f>
        <v>100.679012345679</v>
      </c>
      <c r="N14" s="22">
        <f>M14/1000</f>
        <v>0.100679012345679</v>
      </c>
      <c r="O14" s="13" t="inlineStr">
        <is>
          <t>Elevation + BBS length</t>
        </is>
      </c>
    </row>
    <row r="15">
      <c r="A15" s="13" t="n">
        <v>10</v>
      </c>
      <c r="B15" s="13" t="inlineStr">
        <is>
          <t>Columns</t>
        </is>
      </c>
      <c r="C15" s="13" t="inlineStr">
        <is>
          <t>STR-008</t>
        </is>
      </c>
      <c r="D15" s="13" t="inlineStr">
        <is>
          <t>COL-01C (2 nos) 2nd to 3rd - links</t>
        </is>
      </c>
      <c r="E15" s="19" t="inlineStr">
        <is>
          <t>1002</t>
        </is>
      </c>
      <c r="F15" s="19" t="n">
        <v>10</v>
      </c>
      <c r="G15" s="19" t="n">
        <v>2</v>
      </c>
      <c r="H15" s="19" t="n">
        <v>70</v>
      </c>
      <c r="I15" s="13">
        <f>G15*H15</f>
        <v>140.0</v>
      </c>
      <c r="J15" s="20">
        <f>1330/1000</f>
        <v>1.33</v>
      </c>
      <c r="K15" s="21">
        <f>I15*J15</f>
        <v>186.20000000000002</v>
      </c>
      <c r="L15" s="22">
        <f>F15^2/162</f>
        <v>0.6172839506172839</v>
      </c>
      <c r="M15" s="21">
        <f>K15*L15</f>
        <v>114.93827160493828</v>
      </c>
      <c r="N15" s="22">
        <f>M15/1000</f>
        <v>0.11493827160493827</v>
      </c>
      <c r="O15" s="13" t="inlineStr">
        <is>
          <t>Elevation + BBS length</t>
        </is>
      </c>
    </row>
    <row r="16">
      <c r="A16" s="13" t="n">
        <v>11</v>
      </c>
      <c r="B16" s="13" t="inlineStr">
        <is>
          <t>Columns</t>
        </is>
      </c>
      <c r="C16" s="13" t="inlineStr">
        <is>
          <t>STR-008</t>
        </is>
      </c>
      <c r="D16" s="13" t="inlineStr">
        <is>
          <t>COL-01C (2 nos) 2nd to 3rd - links</t>
        </is>
      </c>
      <c r="E16" s="19" t="inlineStr">
        <is>
          <t>1003</t>
        </is>
      </c>
      <c r="F16" s="19" t="n">
        <v>10</v>
      </c>
      <c r="G16" s="19" t="n">
        <v>2</v>
      </c>
      <c r="H16" s="19" t="n">
        <v>35</v>
      </c>
      <c r="I16" s="13">
        <f>G16*H16</f>
        <v>70.0</v>
      </c>
      <c r="J16" s="20">
        <f>1830/1000</f>
        <v>1.83</v>
      </c>
      <c r="K16" s="21">
        <f>I16*J16</f>
        <v>128.1</v>
      </c>
      <c r="L16" s="22">
        <f>F16^2/162</f>
        <v>0.6172839506172839</v>
      </c>
      <c r="M16" s="21">
        <f>K16*L16</f>
        <v>79.07407407407406</v>
      </c>
      <c r="N16" s="22">
        <f>M16/1000</f>
        <v>0.07907407407407406</v>
      </c>
      <c r="O16" s="13" t="inlineStr">
        <is>
          <t>Elevation + BBS length</t>
        </is>
      </c>
    </row>
    <row r="17">
      <c r="A17" s="13" t="n">
        <v>12</v>
      </c>
      <c r="B17" s="13" t="inlineStr">
        <is>
          <t>Columns</t>
        </is>
      </c>
      <c r="C17" s="13" t="inlineStr">
        <is>
          <t>STR-008</t>
        </is>
      </c>
      <c r="D17" s="13" t="inlineStr">
        <is>
          <t>COL-01C (2 nos) 2nd to 3rd - main bars</t>
        </is>
      </c>
      <c r="E17" s="19" t="inlineStr">
        <is>
          <t>2504</t>
        </is>
      </c>
      <c r="F17" s="19" t="n">
        <v>25</v>
      </c>
      <c r="G17" s="19" t="n">
        <v>2</v>
      </c>
      <c r="H17" s="19" t="n">
        <v>16</v>
      </c>
      <c r="I17" s="13">
        <f>G17*H17</f>
        <v>32.0</v>
      </c>
      <c r="J17" s="20">
        <f>5250/1000</f>
        <v>5.25</v>
      </c>
      <c r="K17" s="21">
        <f>I17*J17</f>
        <v>168.0</v>
      </c>
      <c r="L17" s="22">
        <f>F17^2/162</f>
        <v>3.8580246913580245</v>
      </c>
      <c r="M17" s="21">
        <f>K17*L17</f>
        <v>648.1481481481482</v>
      </c>
      <c r="N17" s="22">
        <f>M17/1000</f>
        <v>0.6481481481481481</v>
      </c>
      <c r="O17" s="13" t="inlineStr">
        <is>
          <t>Elevation + BBS length</t>
        </is>
      </c>
    </row>
    <row r="18">
      <c r="A18" s="13" t="n">
        <v>13</v>
      </c>
      <c r="B18" s="13" t="inlineStr">
        <is>
          <t>Columns</t>
        </is>
      </c>
      <c r="C18" s="13" t="inlineStr">
        <is>
          <t>STR-010</t>
        </is>
      </c>
      <c r="D18" s="13" t="inlineStr">
        <is>
          <t>COL-02A (3 nos) 2nd to 3rd - links</t>
        </is>
      </c>
      <c r="E18" s="19" t="inlineStr">
        <is>
          <t>1004</t>
        </is>
      </c>
      <c r="F18" s="19" t="n">
        <v>10</v>
      </c>
      <c r="G18" s="19" t="n">
        <v>3</v>
      </c>
      <c r="H18" s="19" t="n">
        <v>35</v>
      </c>
      <c r="I18" s="13">
        <f>G18*H18</f>
        <v>105.0</v>
      </c>
      <c r="J18" s="20">
        <f>2910/1000</f>
        <v>2.91</v>
      </c>
      <c r="K18" s="21">
        <f>I18*J18</f>
        <v>305.55</v>
      </c>
      <c r="L18" s="22">
        <f>F18^2/162</f>
        <v>0.6172839506172839</v>
      </c>
      <c r="M18" s="21">
        <f>K18*L18</f>
        <v>188.61111111111111</v>
      </c>
      <c r="N18" s="22">
        <f>M18/1000</f>
        <v>0.18861111111111112</v>
      </c>
      <c r="O18" s="13" t="inlineStr">
        <is>
          <t>Elevation + BBS length</t>
        </is>
      </c>
    </row>
    <row r="19">
      <c r="A19" s="13" t="n">
        <v>14</v>
      </c>
      <c r="B19" s="13" t="inlineStr">
        <is>
          <t>Columns</t>
        </is>
      </c>
      <c r="C19" s="13" t="inlineStr">
        <is>
          <t>STR-010</t>
        </is>
      </c>
      <c r="D19" s="13" t="inlineStr">
        <is>
          <t>COL-02A (3 nos) 2nd to 3rd - links</t>
        </is>
      </c>
      <c r="E19" s="19" t="inlineStr">
        <is>
          <t>1005</t>
        </is>
      </c>
      <c r="F19" s="19" t="n">
        <v>10</v>
      </c>
      <c r="G19" s="19" t="n">
        <v>3</v>
      </c>
      <c r="H19" s="19">
        <f>5*35</f>
        <v>175.0</v>
      </c>
      <c r="I19" s="13">
        <f>G19*H19</f>
        <v>525.0</v>
      </c>
      <c r="J19" s="20">
        <f>1008/1000</f>
        <v>1.008</v>
      </c>
      <c r="K19" s="21">
        <f>I19*J19</f>
        <v>529.2</v>
      </c>
      <c r="L19" s="22">
        <f>F19^2/162</f>
        <v>0.6172839506172839</v>
      </c>
      <c r="M19" s="21">
        <f>K19*L19</f>
        <v>326.6666666666667</v>
      </c>
      <c r="N19" s="22">
        <f>M19/1000</f>
        <v>0.32666666666666666</v>
      </c>
      <c r="O19" s="13" t="inlineStr">
        <is>
          <t>Elevation + BBS length</t>
        </is>
      </c>
    </row>
    <row r="20">
      <c r="A20" s="13" t="n">
        <v>15</v>
      </c>
      <c r="B20" s="13" t="inlineStr">
        <is>
          <t>Columns</t>
        </is>
      </c>
      <c r="C20" s="13" t="inlineStr">
        <is>
          <t>STR-010</t>
        </is>
      </c>
      <c r="D20" s="13" t="inlineStr">
        <is>
          <t>COL-02A (3 nos) 2nd to 3rd - main bars</t>
        </is>
      </c>
      <c r="E20" s="19" t="inlineStr">
        <is>
          <t>2504</t>
        </is>
      </c>
      <c r="F20" s="19" t="n">
        <v>25</v>
      </c>
      <c r="G20" s="19" t="n">
        <v>3</v>
      </c>
      <c r="H20" s="19" t="n">
        <v>18</v>
      </c>
      <c r="I20" s="13">
        <f>G20*H20</f>
        <v>54.0</v>
      </c>
      <c r="J20" s="20">
        <f>5250/1000</f>
        <v>5.25</v>
      </c>
      <c r="K20" s="21">
        <f>I20*J20</f>
        <v>283.5</v>
      </c>
      <c r="L20" s="22">
        <f>F20^2/162</f>
        <v>3.8580246913580245</v>
      </c>
      <c r="M20" s="21">
        <f>K20*L20</f>
        <v>1093.75</v>
      </c>
      <c r="N20" s="22">
        <f>M20/1000</f>
        <v>1.09375</v>
      </c>
      <c r="O20" s="13" t="inlineStr">
        <is>
          <t>Elevation + BBS length</t>
        </is>
      </c>
    </row>
    <row r="21">
      <c r="A21" s="13" t="n">
        <v>16</v>
      </c>
      <c r="B21" s="13" t="inlineStr">
        <is>
          <t>Columns</t>
        </is>
      </c>
      <c r="C21" s="13" t="inlineStr">
        <is>
          <t>STR-010</t>
        </is>
      </c>
      <c r="D21" s="13" t="inlineStr">
        <is>
          <t>COL-02B (6 nos) 2nd to 3rd - links</t>
        </is>
      </c>
      <c r="E21" s="19" t="inlineStr">
        <is>
          <t>1004</t>
        </is>
      </c>
      <c r="F21" s="19" t="n">
        <v>10</v>
      </c>
      <c r="G21" s="19" t="n">
        <v>6</v>
      </c>
      <c r="H21" s="19" t="n">
        <v>35</v>
      </c>
      <c r="I21" s="13">
        <f>G21*H21</f>
        <v>210.0</v>
      </c>
      <c r="J21" s="20">
        <f>2910/1000</f>
        <v>2.91</v>
      </c>
      <c r="K21" s="21">
        <f>I21*J21</f>
        <v>611.1</v>
      </c>
      <c r="L21" s="22">
        <f>F21^2/162</f>
        <v>0.6172839506172839</v>
      </c>
      <c r="M21" s="21">
        <f>K21*L21</f>
        <v>377.22222222222223</v>
      </c>
      <c r="N21" s="22">
        <f>M21/1000</f>
        <v>0.37722222222222224</v>
      </c>
      <c r="O21" s="13" t="inlineStr">
        <is>
          <t>Elevation + BBS length</t>
        </is>
      </c>
    </row>
    <row r="22">
      <c r="A22" s="13" t="n">
        <v>17</v>
      </c>
      <c r="B22" s="13" t="inlineStr">
        <is>
          <t>Columns</t>
        </is>
      </c>
      <c r="C22" s="13" t="inlineStr">
        <is>
          <t>STR-010</t>
        </is>
      </c>
      <c r="D22" s="13" t="inlineStr">
        <is>
          <t>COL-02B (6 nos) 2nd to 3rd - links</t>
        </is>
      </c>
      <c r="E22" s="19" t="inlineStr">
        <is>
          <t>1005</t>
        </is>
      </c>
      <c r="F22" s="19" t="n">
        <v>10</v>
      </c>
      <c r="G22" s="19" t="n">
        <v>6</v>
      </c>
      <c r="H22" s="19">
        <f>5*35</f>
        <v>175.0</v>
      </c>
      <c r="I22" s="13">
        <f>G22*H22</f>
        <v>1050.0</v>
      </c>
      <c r="J22" s="20">
        <f>1008/1000</f>
        <v>1.008</v>
      </c>
      <c r="K22" s="21">
        <f>I22*J22</f>
        <v>1058.4</v>
      </c>
      <c r="L22" s="22">
        <f>F22^2/162</f>
        <v>0.6172839506172839</v>
      </c>
      <c r="M22" s="21">
        <f>K22*L22</f>
        <v>653.3333333333334</v>
      </c>
      <c r="N22" s="22">
        <f>M22/1000</f>
        <v>0.6533333333333333</v>
      </c>
      <c r="O22" s="13" t="inlineStr">
        <is>
          <t>Elevation + BBS length</t>
        </is>
      </c>
    </row>
    <row r="23">
      <c r="A23" s="13" t="n">
        <v>18</v>
      </c>
      <c r="B23" s="13" t="inlineStr">
        <is>
          <t>Columns</t>
        </is>
      </c>
      <c r="C23" s="13" t="inlineStr">
        <is>
          <t>STR-010</t>
        </is>
      </c>
      <c r="D23" s="13" t="inlineStr">
        <is>
          <t>COL-02B (6 nos) 2nd to 3rd - main bars</t>
        </is>
      </c>
      <c r="E23" s="19" t="inlineStr">
        <is>
          <t>2504</t>
        </is>
      </c>
      <c r="F23" s="19" t="n">
        <v>25</v>
      </c>
      <c r="G23" s="19" t="n">
        <v>6</v>
      </c>
      <c r="H23" s="19" t="n">
        <v>18</v>
      </c>
      <c r="I23" s="13">
        <f>G23*H23</f>
        <v>108.0</v>
      </c>
      <c r="J23" s="20">
        <f>5250/1000</f>
        <v>5.25</v>
      </c>
      <c r="K23" s="21">
        <f>I23*J23</f>
        <v>567.0</v>
      </c>
      <c r="L23" s="22">
        <f>F23^2/162</f>
        <v>3.8580246913580245</v>
      </c>
      <c r="M23" s="21">
        <f>K23*L23</f>
        <v>2187.5</v>
      </c>
      <c r="N23" s="22">
        <f>M23/1000</f>
        <v>2.1875</v>
      </c>
      <c r="O23" s="13" t="inlineStr">
        <is>
          <t>Elevation + BBS length</t>
        </is>
      </c>
    </row>
    <row r="24">
      <c r="A24" s="13" t="n">
        <v>19</v>
      </c>
      <c r="B24" s="13" t="inlineStr">
        <is>
          <t>Columns</t>
        </is>
      </c>
      <c r="C24" s="13" t="inlineStr">
        <is>
          <t>STR-011</t>
        </is>
      </c>
      <c r="D24" s="13" t="inlineStr">
        <is>
          <t>COL-02C (1 nos) 2nd to 3rd - links</t>
        </is>
      </c>
      <c r="E24" s="19" t="inlineStr">
        <is>
          <t>1004</t>
        </is>
      </c>
      <c r="F24" s="19" t="n">
        <v>10</v>
      </c>
      <c r="G24" s="19" t="n">
        <v>1</v>
      </c>
      <c r="H24" s="19" t="n">
        <v>35</v>
      </c>
      <c r="I24" s="13">
        <f>G24*H24</f>
        <v>35.0</v>
      </c>
      <c r="J24" s="20">
        <f>2910/1000</f>
        <v>2.91</v>
      </c>
      <c r="K24" s="21">
        <f>I24*J24</f>
        <v>101.85000000000001</v>
      </c>
      <c r="L24" s="22">
        <f>F24^2/162</f>
        <v>0.6172839506172839</v>
      </c>
      <c r="M24" s="21">
        <f>K24*L24</f>
        <v>62.870370370370374</v>
      </c>
      <c r="N24" s="22">
        <f>M24/1000</f>
        <v>0.06287037037037037</v>
      </c>
      <c r="O24" s="13" t="inlineStr">
        <is>
          <t>Elevation + BBS length</t>
        </is>
      </c>
    </row>
    <row r="25">
      <c r="A25" s="13" t="n">
        <v>20</v>
      </c>
      <c r="B25" s="13" t="inlineStr">
        <is>
          <t>Columns</t>
        </is>
      </c>
      <c r="C25" s="13" t="inlineStr">
        <is>
          <t>STR-011</t>
        </is>
      </c>
      <c r="D25" s="13" t="inlineStr">
        <is>
          <t>COL-02C (1 nos) 2nd to 3rd - links</t>
        </is>
      </c>
      <c r="E25" s="19" t="inlineStr">
        <is>
          <t>1005</t>
        </is>
      </c>
      <c r="F25" s="19" t="n">
        <v>10</v>
      </c>
      <c r="G25" s="19" t="n">
        <v>1</v>
      </c>
      <c r="H25" s="19">
        <f>3*35</f>
        <v>105.0</v>
      </c>
      <c r="I25" s="13">
        <f>G25*H25</f>
        <v>105.0</v>
      </c>
      <c r="J25" s="20">
        <f>1008/1000</f>
        <v>1.008</v>
      </c>
      <c r="K25" s="21">
        <f>I25*J25</f>
        <v>105.84</v>
      </c>
      <c r="L25" s="22">
        <f>F25^2/162</f>
        <v>0.6172839506172839</v>
      </c>
      <c r="M25" s="21">
        <f>K25*L25</f>
        <v>65.33333333333333</v>
      </c>
      <c r="N25" s="22">
        <f>M25/1000</f>
        <v>0.06533333333333333</v>
      </c>
      <c r="O25" s="13" t="inlineStr">
        <is>
          <t>Elevation + BBS length</t>
        </is>
      </c>
    </row>
    <row r="26">
      <c r="A26" s="13" t="n">
        <v>21</v>
      </c>
      <c r="B26" s="13" t="inlineStr">
        <is>
          <t>Columns</t>
        </is>
      </c>
      <c r="C26" s="13" t="inlineStr">
        <is>
          <t>STR-011</t>
        </is>
      </c>
      <c r="D26" s="13" t="inlineStr">
        <is>
          <t>COL-02C (1 nos) 2nd to 3rd - main bars</t>
        </is>
      </c>
      <c r="E26" s="19" t="inlineStr">
        <is>
          <t>2504</t>
        </is>
      </c>
      <c r="F26" s="19" t="n">
        <v>25</v>
      </c>
      <c r="G26" s="19" t="n">
        <v>1</v>
      </c>
      <c r="H26" s="19" t="n">
        <v>18</v>
      </c>
      <c r="I26" s="13">
        <f>G26*H26</f>
        <v>18.0</v>
      </c>
      <c r="J26" s="20">
        <f>5250/1000</f>
        <v>5.25</v>
      </c>
      <c r="K26" s="21">
        <f>I26*J26</f>
        <v>94.5</v>
      </c>
      <c r="L26" s="22">
        <f>F26^2/162</f>
        <v>3.8580246913580245</v>
      </c>
      <c r="M26" s="21">
        <f>K26*L26</f>
        <v>364.5833333333333</v>
      </c>
      <c r="N26" s="22">
        <f>M26/1000</f>
        <v>0.3645833333333333</v>
      </c>
      <c r="O26" s="13" t="inlineStr">
        <is>
          <t>Elevation + BBS length</t>
        </is>
      </c>
    </row>
    <row r="27">
      <c r="A27" s="13" t="n">
        <v>22</v>
      </c>
      <c r="B27" s="13" t="inlineStr">
        <is>
          <t>Columns</t>
        </is>
      </c>
      <c r="C27" s="13" t="inlineStr">
        <is>
          <t>STR-012</t>
        </is>
      </c>
      <c r="D27" s="13" t="inlineStr">
        <is>
          <t>SWC-01A (1 nos) 2nd to 3rd - links</t>
        </is>
      </c>
      <c r="E27" s="19" t="inlineStr">
        <is>
          <t>1001</t>
        </is>
      </c>
      <c r="F27" s="19" t="n">
        <v>10</v>
      </c>
      <c r="G27" s="19" t="n">
        <v>1</v>
      </c>
      <c r="H27" s="19" t="n">
        <v>35</v>
      </c>
      <c r="I27" s="13">
        <f>G27*H27</f>
        <v>35.0</v>
      </c>
      <c r="J27" s="20">
        <f>5930/1000</f>
        <v>5.93</v>
      </c>
      <c r="K27" s="21">
        <f>I27*J27</f>
        <v>207.54999999999998</v>
      </c>
      <c r="L27" s="22">
        <f>F27^2/162</f>
        <v>0.6172839506172839</v>
      </c>
      <c r="M27" s="21">
        <f>K27*L27</f>
        <v>128.11728395061726</v>
      </c>
      <c r="N27" s="22">
        <f>M27/1000</f>
        <v>0.12811728395061725</v>
      </c>
      <c r="O27" s="13" t="inlineStr">
        <is>
          <t>Elevation + BBS length</t>
        </is>
      </c>
    </row>
    <row r="28">
      <c r="A28" s="13" t="n">
        <v>23</v>
      </c>
      <c r="B28" s="13" t="inlineStr">
        <is>
          <t>Columns</t>
        </is>
      </c>
      <c r="C28" s="13" t="inlineStr">
        <is>
          <t>STR-012</t>
        </is>
      </c>
      <c r="D28" s="13" t="inlineStr">
        <is>
          <t>SWC-01A (1 nos) 2nd to 3rd - links</t>
        </is>
      </c>
      <c r="E28" s="19" t="inlineStr">
        <is>
          <t>1002</t>
        </is>
      </c>
      <c r="F28" s="19" t="n">
        <v>10</v>
      </c>
      <c r="G28" s="19" t="n">
        <v>1</v>
      </c>
      <c r="H28" s="19" t="n">
        <v>35</v>
      </c>
      <c r="I28" s="13">
        <f>G28*H28</f>
        <v>35.0</v>
      </c>
      <c r="J28" s="20">
        <f>2480/1000</f>
        <v>2.48</v>
      </c>
      <c r="K28" s="21">
        <f>I28*J28</f>
        <v>86.8</v>
      </c>
      <c r="L28" s="22">
        <f>F28^2/162</f>
        <v>0.6172839506172839</v>
      </c>
      <c r="M28" s="21">
        <f>K28*L28</f>
        <v>53.58024691358024</v>
      </c>
      <c r="N28" s="22">
        <f>M28/1000</f>
        <v>0.05358024691358024</v>
      </c>
      <c r="O28" s="13" t="inlineStr">
        <is>
          <t>Elevation + BBS length</t>
        </is>
      </c>
    </row>
    <row r="29">
      <c r="A29" s="13" t="n">
        <v>24</v>
      </c>
      <c r="B29" s="13" t="inlineStr">
        <is>
          <t>Columns</t>
        </is>
      </c>
      <c r="C29" s="13" t="inlineStr">
        <is>
          <t>STR-012</t>
        </is>
      </c>
      <c r="D29" s="13" t="inlineStr">
        <is>
          <t>SWC-01A (1 nos) 2nd to 3rd - links</t>
        </is>
      </c>
      <c r="E29" s="19" t="inlineStr">
        <is>
          <t>1003</t>
        </is>
      </c>
      <c r="F29" s="19" t="n">
        <v>10</v>
      </c>
      <c r="G29" s="19" t="n">
        <v>1</v>
      </c>
      <c r="H29" s="19">
        <f>7*35</f>
        <v>245.0</v>
      </c>
      <c r="I29" s="13">
        <f>G29*H29</f>
        <v>245.0</v>
      </c>
      <c r="J29" s="20">
        <f>910/1000</f>
        <v>0.91</v>
      </c>
      <c r="K29" s="21">
        <f>I29*J29</f>
        <v>222.95000000000002</v>
      </c>
      <c r="L29" s="22">
        <f>F29^2/162</f>
        <v>0.6172839506172839</v>
      </c>
      <c r="M29" s="21">
        <f>K29*L29</f>
        <v>137.62345679012347</v>
      </c>
      <c r="N29" s="22">
        <f>M29/1000</f>
        <v>0.13762345679012347</v>
      </c>
      <c r="O29" s="13" t="inlineStr">
        <is>
          <t>Elevation + BBS length</t>
        </is>
      </c>
    </row>
    <row r="30">
      <c r="A30" s="13" t="n">
        <v>25</v>
      </c>
      <c r="B30" s="13" t="inlineStr">
        <is>
          <t>Columns</t>
        </is>
      </c>
      <c r="C30" s="13" t="inlineStr">
        <is>
          <t>STR-012</t>
        </is>
      </c>
      <c r="D30" s="13" t="inlineStr">
        <is>
          <t>SWC-01A (1 nos) 2nd to 3rd - links</t>
        </is>
      </c>
      <c r="E30" s="19" t="inlineStr">
        <is>
          <t>1004</t>
        </is>
      </c>
      <c r="F30" s="19" t="n">
        <v>10</v>
      </c>
      <c r="G30" s="19" t="n">
        <v>1</v>
      </c>
      <c r="H30" s="19">
        <f>4*35</f>
        <v>140.0</v>
      </c>
      <c r="I30" s="13">
        <f>G30*H30</f>
        <v>140.0</v>
      </c>
      <c r="J30" s="20">
        <f>770/1000</f>
        <v>0.77</v>
      </c>
      <c r="K30" s="21">
        <f>I30*J30</f>
        <v>107.8</v>
      </c>
      <c r="L30" s="22">
        <f>F30^2/162</f>
        <v>0.6172839506172839</v>
      </c>
      <c r="M30" s="21">
        <f>K30*L30</f>
        <v>66.5432098765432</v>
      </c>
      <c r="N30" s="22">
        <f>M30/1000</f>
        <v>0.0665432098765432</v>
      </c>
      <c r="O30" s="13" t="inlineStr">
        <is>
          <t>Elevation + BBS length</t>
        </is>
      </c>
    </row>
    <row r="31">
      <c r="A31" s="13" t="n">
        <v>26</v>
      </c>
      <c r="B31" s="13" t="inlineStr">
        <is>
          <t>Columns</t>
        </is>
      </c>
      <c r="C31" s="13" t="inlineStr">
        <is>
          <t>STR-012</t>
        </is>
      </c>
      <c r="D31" s="13" t="inlineStr">
        <is>
          <t>SWC-01A (1 nos) 2nd to 3rd - main bars</t>
        </is>
      </c>
      <c r="E31" s="19" t="inlineStr">
        <is>
          <t>2010</t>
        </is>
      </c>
      <c r="F31" s="19" t="n">
        <v>20</v>
      </c>
      <c r="G31" s="19" t="n">
        <v>1</v>
      </c>
      <c r="H31" s="19" t="n">
        <v>48</v>
      </c>
      <c r="I31" s="13">
        <f>G31*H31</f>
        <v>48.0</v>
      </c>
      <c r="J31" s="20">
        <f>5250/1000</f>
        <v>5.25</v>
      </c>
      <c r="K31" s="21">
        <f>I31*J31</f>
        <v>252.0</v>
      </c>
      <c r="L31" s="22">
        <f>F31^2/162</f>
        <v>2.4691358024691357</v>
      </c>
      <c r="M31" s="21">
        <f>K31*L31</f>
        <v>622.2222222222222</v>
      </c>
      <c r="N31" s="22">
        <f>M31/1000</f>
        <v>0.6222222222222221</v>
      </c>
      <c r="O31" s="13" t="inlineStr">
        <is>
          <t>Elevation + BBS length</t>
        </is>
      </c>
    </row>
    <row r="32">
      <c r="A32" s="13" t="n">
        <v>27</v>
      </c>
      <c r="B32" s="13" t="inlineStr">
        <is>
          <t>Shear Walls</t>
        </is>
      </c>
      <c r="C32" s="13" t="inlineStr">
        <is>
          <t>STR-015/016</t>
        </is>
      </c>
      <c r="D32" s="13" t="inlineStr">
        <is>
          <t>Main core CW-01 (L=3600mm) 2nd to 3rd - horizontal Y12@150 NF/FF</t>
        </is>
      </c>
      <c r="E32" s="19" t="inlineStr">
        <is>
          <t>H-Y12</t>
        </is>
      </c>
      <c r="F32" s="19" t="n">
        <v>12</v>
      </c>
      <c r="G32" s="19" t="n">
        <v>1</v>
      </c>
      <c r="H32" s="19">
        <f>2*25</f>
        <v>50.0</v>
      </c>
      <c r="I32" s="13">
        <f>G32*H32</f>
        <v>50.0</v>
      </c>
      <c r="J32" s="20">
        <f>(3600-2*30+40*12)/1000</f>
        <v>4.02</v>
      </c>
      <c r="K32" s="21">
        <f>I32*J32</f>
        <v>200.99999999999997</v>
      </c>
      <c r="L32" s="22">
        <f>F32^2/162</f>
        <v>0.8888888888888888</v>
      </c>
      <c r="M32" s="21">
        <f>K32*L32</f>
        <v>178.66666666666663</v>
      </c>
      <c r="N32" s="22">
        <f>M32/1000</f>
        <v>0.17866666666666664</v>
      </c>
      <c r="O32" s="13" t="inlineStr">
        <is>
          <t>Elevation count / plan length</t>
        </is>
      </c>
    </row>
    <row r="33">
      <c r="A33" s="13" t="n">
        <v>28</v>
      </c>
      <c r="B33" s="13" t="inlineStr">
        <is>
          <t>Shear Walls</t>
        </is>
      </c>
      <c r="C33" s="13" t="inlineStr">
        <is>
          <t>STR-015/016</t>
        </is>
      </c>
      <c r="D33" s="13" t="inlineStr">
        <is>
          <t>Main core CW-01 2nd to 3rd - vertical Y25@150 NF/FF</t>
        </is>
      </c>
      <c r="E33" s="19" t="inlineStr">
        <is>
          <t>V-Y25</t>
        </is>
      </c>
      <c r="F33" s="19" t="n">
        <v>25</v>
      </c>
      <c r="G33" s="19" t="n">
        <v>1</v>
      </c>
      <c r="H33" s="19">
        <f>2*29</f>
        <v>58.0</v>
      </c>
      <c r="I33" s="13">
        <f>G33*H33</f>
        <v>58.0</v>
      </c>
      <c r="J33" s="20">
        <f>(4050+40*25)/1000</f>
        <v>5.05</v>
      </c>
      <c r="K33" s="21">
        <f>I33*J33</f>
        <v>292.9</v>
      </c>
      <c r="L33" s="22">
        <f>F33^2/162</f>
        <v>3.8580246913580245</v>
      </c>
      <c r="M33" s="21">
        <f>K33*L33</f>
        <v>1130.0154320987654</v>
      </c>
      <c r="N33" s="22">
        <f>M33/1000</f>
        <v>1.1300154320987654</v>
      </c>
      <c r="O33" s="13" t="inlineStr">
        <is>
          <t>Elevation / plan</t>
        </is>
      </c>
    </row>
    <row r="34">
      <c r="A34" s="13" t="n">
        <v>29</v>
      </c>
      <c r="B34" s="13" t="inlineStr">
        <is>
          <t>Shear Walls</t>
        </is>
      </c>
      <c r="C34" s="13" t="inlineStr">
        <is>
          <t>STR-015/016</t>
        </is>
      </c>
      <c r="D34" s="13" t="inlineStr">
        <is>
          <t>Main core CW-05 (L=7250mm) 2nd to 3rd - horizontal Y12@150 NF/FF</t>
        </is>
      </c>
      <c r="E34" s="19" t="inlineStr">
        <is>
          <t>H-Y12</t>
        </is>
      </c>
      <c r="F34" s="19" t="n">
        <v>12</v>
      </c>
      <c r="G34" s="19" t="n">
        <v>1</v>
      </c>
      <c r="H34" s="19">
        <f>2*25</f>
        <v>50.0</v>
      </c>
      <c r="I34" s="13">
        <f>G34*H34</f>
        <v>50.0</v>
      </c>
      <c r="J34" s="20">
        <f>(7250-2*30+40*12)/1000</f>
        <v>7.67</v>
      </c>
      <c r="K34" s="21">
        <f>I34*J34</f>
        <v>383.5</v>
      </c>
      <c r="L34" s="22">
        <f>F34^2/162</f>
        <v>0.8888888888888888</v>
      </c>
      <c r="M34" s="21">
        <f>K34*L34</f>
        <v>340.88888888888886</v>
      </c>
      <c r="N34" s="22">
        <f>M34/1000</f>
        <v>0.34088888888888885</v>
      </c>
      <c r="O34" s="13" t="inlineStr">
        <is>
          <t>Elevation count / plan length</t>
        </is>
      </c>
    </row>
    <row r="35">
      <c r="A35" s="13" t="n">
        <v>30</v>
      </c>
      <c r="B35" s="13" t="inlineStr">
        <is>
          <t>Shear Walls</t>
        </is>
      </c>
      <c r="C35" s="13" t="inlineStr">
        <is>
          <t>STR-015/016</t>
        </is>
      </c>
      <c r="D35" s="13" t="inlineStr">
        <is>
          <t>Main core CW-05 2nd to 3rd - vertical Y25@150 NF/FF</t>
        </is>
      </c>
      <c r="E35" s="19" t="inlineStr">
        <is>
          <t>V-Y25</t>
        </is>
      </c>
      <c r="F35" s="19" t="n">
        <v>25</v>
      </c>
      <c r="G35" s="19" t="n">
        <v>1</v>
      </c>
      <c r="H35" s="19">
        <f>2*(ROUNDUP(7250/150,0)+1)</f>
        <v>100.0</v>
      </c>
      <c r="I35" s="13">
        <f>G35*H35</f>
        <v>100.0</v>
      </c>
      <c r="J35" s="20">
        <f>(4050+40*25)/1000</f>
        <v>5.05</v>
      </c>
      <c r="K35" s="21">
        <f>I35*J35</f>
        <v>505.0</v>
      </c>
      <c r="L35" s="22">
        <f>F35^2/162</f>
        <v>3.8580246913580245</v>
      </c>
      <c r="M35" s="21">
        <f>K35*L35</f>
        <v>1948.3024691358023</v>
      </c>
      <c r="N35" s="22">
        <f>M35/1000</f>
        <v>1.9483024691358024</v>
      </c>
      <c r="O35" s="13" t="inlineStr">
        <is>
          <t>Elevation / plan</t>
        </is>
      </c>
    </row>
    <row r="36">
      <c r="A36" s="13" t="n">
        <v>31</v>
      </c>
      <c r="B36" s="13" t="inlineStr">
        <is>
          <t>Shear Walls</t>
        </is>
      </c>
      <c r="C36" s="13" t="inlineStr">
        <is>
          <t>STR-015/016</t>
        </is>
      </c>
      <c r="D36" s="13" t="inlineStr">
        <is>
          <t>Main core CW-07 (stair section) (L=7250mm) 2nd to 3rd - horizontal Y12@150 NF/FF</t>
        </is>
      </c>
      <c r="E36" s="19" t="inlineStr">
        <is>
          <t>H-Y12</t>
        </is>
      </c>
      <c r="F36" s="19" t="n">
        <v>12</v>
      </c>
      <c r="G36" s="19" t="n">
        <v>1</v>
      </c>
      <c r="H36" s="19">
        <f>2*25</f>
        <v>50.0</v>
      </c>
      <c r="I36" s="13">
        <f>G36*H36</f>
        <v>50.0</v>
      </c>
      <c r="J36" s="20">
        <f>(7250-2*30+40*12)/1000</f>
        <v>7.67</v>
      </c>
      <c r="K36" s="21">
        <f>I36*J36</f>
        <v>383.5</v>
      </c>
      <c r="L36" s="22">
        <f>F36^2/162</f>
        <v>0.8888888888888888</v>
      </c>
      <c r="M36" s="21">
        <f>K36*L36</f>
        <v>340.88888888888886</v>
      </c>
      <c r="N36" s="22">
        <f>M36/1000</f>
        <v>0.34088888888888885</v>
      </c>
      <c r="O36" s="13" t="inlineStr">
        <is>
          <t>Elevation count / plan length</t>
        </is>
      </c>
    </row>
    <row r="37">
      <c r="A37" s="13" t="n">
        <v>32</v>
      </c>
      <c r="B37" s="13" t="inlineStr">
        <is>
          <t>Shear Walls</t>
        </is>
      </c>
      <c r="C37" s="13" t="inlineStr">
        <is>
          <t>STR-015/016</t>
        </is>
      </c>
      <c r="D37" s="13" t="inlineStr">
        <is>
          <t>Main core CW-07 (stair section) 2nd to 3rd - vertical Y25@150 NF/FF</t>
        </is>
      </c>
      <c r="E37" s="19" t="inlineStr">
        <is>
          <t>V-Y25</t>
        </is>
      </c>
      <c r="F37" s="19" t="n">
        <v>25</v>
      </c>
      <c r="G37" s="19" t="n">
        <v>1</v>
      </c>
      <c r="H37" s="19">
        <f>2*(ROUNDUP(7250/150,0)+1)</f>
        <v>100.0</v>
      </c>
      <c r="I37" s="13">
        <f>G37*H37</f>
        <v>100.0</v>
      </c>
      <c r="J37" s="20">
        <f>(4050+40*25)/1000</f>
        <v>5.05</v>
      </c>
      <c r="K37" s="21">
        <f>I37*J37</f>
        <v>505.0</v>
      </c>
      <c r="L37" s="22">
        <f>F37^2/162</f>
        <v>3.8580246913580245</v>
      </c>
      <c r="M37" s="21">
        <f>K37*L37</f>
        <v>1948.3024691358023</v>
      </c>
      <c r="N37" s="22">
        <f>M37/1000</f>
        <v>1.9483024691358024</v>
      </c>
      <c r="O37" s="13" t="inlineStr">
        <is>
          <t>Elevation / plan</t>
        </is>
      </c>
    </row>
    <row r="38">
      <c r="A38" s="13" t="n">
        <v>33</v>
      </c>
      <c r="B38" s="13" t="inlineStr">
        <is>
          <t>Shear Walls</t>
        </is>
      </c>
      <c r="C38" s="13" t="inlineStr">
        <is>
          <t>STR-015/016</t>
        </is>
      </c>
      <c r="D38" s="13" t="inlineStr">
        <is>
          <t>Main core CW-09 (L=1150mm) 2nd to 3rd - horizontal Y12@150 NF/FF</t>
        </is>
      </c>
      <c r="E38" s="19" t="inlineStr">
        <is>
          <t>H-Y12</t>
        </is>
      </c>
      <c r="F38" s="19" t="n">
        <v>12</v>
      </c>
      <c r="G38" s="19" t="n">
        <v>1</v>
      </c>
      <c r="H38" s="19">
        <f>2*25</f>
        <v>50.0</v>
      </c>
      <c r="I38" s="13">
        <f>G38*H38</f>
        <v>50.0</v>
      </c>
      <c r="J38" s="20">
        <f>(1150-2*30+40*12)/1000</f>
        <v>1.57</v>
      </c>
      <c r="K38" s="21">
        <f>I38*J38</f>
        <v>78.5</v>
      </c>
      <c r="L38" s="22">
        <f>F38^2/162</f>
        <v>0.8888888888888888</v>
      </c>
      <c r="M38" s="21">
        <f>K38*L38</f>
        <v>69.77777777777777</v>
      </c>
      <c r="N38" s="22">
        <f>M38/1000</f>
        <v>0.06977777777777777</v>
      </c>
      <c r="O38" s="13" t="inlineStr">
        <is>
          <t>Elevation count / plan length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STR-015/016</t>
        </is>
      </c>
      <c r="D39" s="13" t="inlineStr">
        <is>
          <t>Main core CW-09 2nd to 3rd - vertical Y25@150 NF/FF</t>
        </is>
      </c>
      <c r="E39" s="19" t="inlineStr">
        <is>
          <t>V-Y25</t>
        </is>
      </c>
      <c r="F39" s="19" t="n">
        <v>25</v>
      </c>
      <c r="G39" s="19" t="n">
        <v>1</v>
      </c>
      <c r="H39" s="19">
        <f>2*(ROUNDUP(1150/150,0)+1)</f>
        <v>18.0</v>
      </c>
      <c r="I39" s="13">
        <f>G39*H39</f>
        <v>18.0</v>
      </c>
      <c r="J39" s="20">
        <f>(4050+40*25)/1000</f>
        <v>5.05</v>
      </c>
      <c r="K39" s="21">
        <f>I39*J39</f>
        <v>90.89999999999999</v>
      </c>
      <c r="L39" s="22">
        <f>F39^2/162</f>
        <v>3.8580246913580245</v>
      </c>
      <c r="M39" s="21">
        <f>K39*L39</f>
        <v>350.6944444444444</v>
      </c>
      <c r="N39" s="22">
        <f>M39/1000</f>
        <v>0.3506944444444444</v>
      </c>
      <c r="O39" s="13" t="inlineStr">
        <is>
          <t>Elevation / plan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STR-015/016</t>
        </is>
      </c>
      <c r="D40" s="13" t="inlineStr">
        <is>
          <t>Main core CW-10 (L=1150mm) 2nd to 3rd - horizontal Y12@150 NF/FF</t>
        </is>
      </c>
      <c r="E40" s="19" t="inlineStr">
        <is>
          <t>H-Y12</t>
        </is>
      </c>
      <c r="F40" s="19" t="n">
        <v>12</v>
      </c>
      <c r="G40" s="19" t="n">
        <v>1</v>
      </c>
      <c r="H40" s="19">
        <f>2*25</f>
        <v>50.0</v>
      </c>
      <c r="I40" s="13">
        <f>G40*H40</f>
        <v>50.0</v>
      </c>
      <c r="J40" s="20">
        <f>(1150-2*30+40*12)/1000</f>
        <v>1.57</v>
      </c>
      <c r="K40" s="21">
        <f>I40*J40</f>
        <v>78.5</v>
      </c>
      <c r="L40" s="22">
        <f>F40^2/162</f>
        <v>0.8888888888888888</v>
      </c>
      <c r="M40" s="21">
        <f>K40*L40</f>
        <v>69.77777777777777</v>
      </c>
      <c r="N40" s="22">
        <f>M40/1000</f>
        <v>0.06977777777777777</v>
      </c>
      <c r="O40" s="13" t="inlineStr">
        <is>
          <t>Elevation count / plan length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STR-015/016</t>
        </is>
      </c>
      <c r="D41" s="13" t="inlineStr">
        <is>
          <t>Main core CW-10 2nd to 3rd - vertical Y25@150 NF/FF</t>
        </is>
      </c>
      <c r="E41" s="19" t="inlineStr">
        <is>
          <t>V-Y25</t>
        </is>
      </c>
      <c r="F41" s="19" t="n">
        <v>25</v>
      </c>
      <c r="G41" s="19" t="n">
        <v>1</v>
      </c>
      <c r="H41" s="19">
        <f>2*(ROUNDUP(1150/150,0)+1)</f>
        <v>18.0</v>
      </c>
      <c r="I41" s="13">
        <f>G41*H41</f>
        <v>18.0</v>
      </c>
      <c r="J41" s="20">
        <f>(4050+40*25)/1000</f>
        <v>5.05</v>
      </c>
      <c r="K41" s="21">
        <f>I41*J41</f>
        <v>90.89999999999999</v>
      </c>
      <c r="L41" s="22">
        <f>F41^2/162</f>
        <v>3.8580246913580245</v>
      </c>
      <c r="M41" s="21">
        <f>K41*L41</f>
        <v>350.6944444444444</v>
      </c>
      <c r="N41" s="22">
        <f>M41/1000</f>
        <v>0.3506944444444444</v>
      </c>
      <c r="O41" s="13" t="inlineStr">
        <is>
          <t>Elevation / plan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STR-015/016</t>
        </is>
      </c>
      <c r="D42" s="13" t="inlineStr">
        <is>
          <t>Main core CW-11 (L=1650mm) 2nd to 3rd - horizontal Y12@150 NF/FF</t>
        </is>
      </c>
      <c r="E42" s="19" t="inlineStr">
        <is>
          <t>H-Y12</t>
        </is>
      </c>
      <c r="F42" s="19" t="n">
        <v>12</v>
      </c>
      <c r="G42" s="19" t="n">
        <v>1</v>
      </c>
      <c r="H42" s="19">
        <f>2*25</f>
        <v>50.0</v>
      </c>
      <c r="I42" s="13">
        <f>G42*H42</f>
        <v>50.0</v>
      </c>
      <c r="J42" s="20">
        <f>(1650-2*30+40*12)/1000</f>
        <v>2.07</v>
      </c>
      <c r="K42" s="21">
        <f>I42*J42</f>
        <v>103.49999999999999</v>
      </c>
      <c r="L42" s="22">
        <f>F42^2/162</f>
        <v>0.8888888888888888</v>
      </c>
      <c r="M42" s="21">
        <f>K42*L42</f>
        <v>91.99999999999999</v>
      </c>
      <c r="N42" s="22">
        <f>M42/1000</f>
        <v>0.09199999999999998</v>
      </c>
      <c r="O42" s="13" t="inlineStr">
        <is>
          <t>Elevation count / plan length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STR-015/016</t>
        </is>
      </c>
      <c r="D43" s="13" t="inlineStr">
        <is>
          <t>Main core CW-11 2nd to 3rd - vertical Y25@150 NF/FF</t>
        </is>
      </c>
      <c r="E43" s="19" t="inlineStr">
        <is>
          <t>V-Y25</t>
        </is>
      </c>
      <c r="F43" s="19" t="n">
        <v>25</v>
      </c>
      <c r="G43" s="19" t="n">
        <v>1</v>
      </c>
      <c r="H43" s="19">
        <f>2*(ROUNDUP(1650/150,0)+1)</f>
        <v>24.0</v>
      </c>
      <c r="I43" s="13">
        <f>G43*H43</f>
        <v>24.0</v>
      </c>
      <c r="J43" s="20">
        <f>(4050+40*25)/1000</f>
        <v>5.05</v>
      </c>
      <c r="K43" s="21">
        <f>I43*J43</f>
        <v>121.19999999999999</v>
      </c>
      <c r="L43" s="22">
        <f>F43^2/162</f>
        <v>3.8580246913580245</v>
      </c>
      <c r="M43" s="21">
        <f>K43*L43</f>
        <v>467.59259259259255</v>
      </c>
      <c r="N43" s="22">
        <f>M43/1000</f>
        <v>0.46759259259259256</v>
      </c>
      <c r="O43" s="13" t="inlineStr">
        <is>
          <t>Elevation / plan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STR-015/016</t>
        </is>
      </c>
      <c r="D44" s="13" t="inlineStr">
        <is>
          <t>Main core confinement links Y10@150 (26 positions on plan) 2nd to 3rd</t>
        </is>
      </c>
      <c r="E44" s="19" t="inlineStr">
        <is>
          <t>LNK-Y10</t>
        </is>
      </c>
      <c r="F44" s="19" t="n">
        <v>10</v>
      </c>
      <c r="G44" s="19" t="n">
        <v>1</v>
      </c>
      <c r="H44" s="19">
        <f>26*ROUNDUP(4050/150,0)</f>
        <v>702.0</v>
      </c>
      <c r="I44" s="13">
        <f>G44*H44</f>
        <v>702.0</v>
      </c>
      <c r="J44" s="20">
        <f>1800/1000</f>
        <v>1.8</v>
      </c>
      <c r="K44" s="21">
        <f>I44*J44</f>
        <v>1263.6000000000001</v>
      </c>
      <c r="L44" s="22">
        <f>F44^2/162</f>
        <v>0.6172839506172839</v>
      </c>
      <c r="M44" s="21">
        <f>K44*L44</f>
        <v>780.0</v>
      </c>
      <c r="N44" s="22">
        <f>M44/1000</f>
        <v>0.78</v>
      </c>
      <c r="O44" s="13" t="inlineStr">
        <is>
          <t>Assumed link cut length</t>
        </is>
      </c>
    </row>
    <row r="45">
      <c r="A45" s="13" t="n">
        <v>40</v>
      </c>
      <c r="B45" s="13" t="inlineStr">
        <is>
          <t>Lift Walls</t>
        </is>
      </c>
      <c r="C45" s="13" t="inlineStr">
        <is>
          <t>STR-015/017</t>
        </is>
      </c>
      <c r="D45" s="13" t="inlineStr">
        <is>
          <t>Main core (lift shafts) CW-02 (L=3600mm) 2nd to 3rd - horizontal Y12@150 NF/FF</t>
        </is>
      </c>
      <c r="E45" s="19" t="inlineStr">
        <is>
          <t>H-Y12</t>
        </is>
      </c>
      <c r="F45" s="19" t="n">
        <v>12</v>
      </c>
      <c r="G45" s="19" t="n">
        <v>1</v>
      </c>
      <c r="H45" s="19">
        <f>2*25</f>
        <v>50.0</v>
      </c>
      <c r="I45" s="13">
        <f>G45*H45</f>
        <v>50.0</v>
      </c>
      <c r="J45" s="20">
        <f>(3600-2*30+40*12)/1000</f>
        <v>4.02</v>
      </c>
      <c r="K45" s="21">
        <f>I45*J45</f>
        <v>200.99999999999997</v>
      </c>
      <c r="L45" s="22">
        <f>F45^2/162</f>
        <v>0.8888888888888888</v>
      </c>
      <c r="M45" s="21">
        <f>K45*L45</f>
        <v>178.66666666666663</v>
      </c>
      <c r="N45" s="22">
        <f>M45/1000</f>
        <v>0.17866666666666664</v>
      </c>
      <c r="O45" s="13" t="inlineStr">
        <is>
          <t>Elevation count / plan length</t>
        </is>
      </c>
    </row>
    <row r="46">
      <c r="A46" s="13" t="n">
        <v>41</v>
      </c>
      <c r="B46" s="13" t="inlineStr">
        <is>
          <t>Lift Walls</t>
        </is>
      </c>
      <c r="C46" s="13" t="inlineStr">
        <is>
          <t>STR-015/017</t>
        </is>
      </c>
      <c r="D46" s="13" t="inlineStr">
        <is>
          <t>Main core (lift shafts) CW-02 2nd to 3rd - vertical Y25@150 NF/FF</t>
        </is>
      </c>
      <c r="E46" s="19" t="inlineStr">
        <is>
          <t>V-Y25</t>
        </is>
      </c>
      <c r="F46" s="19" t="n">
        <v>25</v>
      </c>
      <c r="G46" s="19" t="n">
        <v>1</v>
      </c>
      <c r="H46" s="19">
        <f>2*29</f>
        <v>58.0</v>
      </c>
      <c r="I46" s="13">
        <f>G46*H46</f>
        <v>58.0</v>
      </c>
      <c r="J46" s="20">
        <f>(4050+40*25)/1000</f>
        <v>5.05</v>
      </c>
      <c r="K46" s="21">
        <f>I46*J46</f>
        <v>292.9</v>
      </c>
      <c r="L46" s="22">
        <f>F46^2/162</f>
        <v>3.8580246913580245</v>
      </c>
      <c r="M46" s="21">
        <f>K46*L46</f>
        <v>1130.0154320987654</v>
      </c>
      <c r="N46" s="22">
        <f>M46/1000</f>
        <v>1.1300154320987654</v>
      </c>
      <c r="O46" s="13" t="inlineStr">
        <is>
          <t>Elevation / plan</t>
        </is>
      </c>
    </row>
    <row r="47">
      <c r="A47" s="13" t="n">
        <v>42</v>
      </c>
      <c r="B47" s="13" t="inlineStr">
        <is>
          <t>Lift Walls</t>
        </is>
      </c>
      <c r="C47" s="13" t="inlineStr">
        <is>
          <t>STR-015/017</t>
        </is>
      </c>
      <c r="D47" s="13" t="inlineStr">
        <is>
          <t>Main core (lift shafts) CW-03 (L=3600mm) 2nd to 3rd - horizontal Y12@150 NF/FF</t>
        </is>
      </c>
      <c r="E47" s="19" t="inlineStr">
        <is>
          <t>H-Y12</t>
        </is>
      </c>
      <c r="F47" s="19" t="n">
        <v>12</v>
      </c>
      <c r="G47" s="19" t="n">
        <v>1</v>
      </c>
      <c r="H47" s="19">
        <f>2*25</f>
        <v>50.0</v>
      </c>
      <c r="I47" s="13">
        <f>G47*H47</f>
        <v>50.0</v>
      </c>
      <c r="J47" s="20">
        <f>(3600-2*30+40*12)/1000</f>
        <v>4.02</v>
      </c>
      <c r="K47" s="21">
        <f>I47*J47</f>
        <v>200.99999999999997</v>
      </c>
      <c r="L47" s="22">
        <f>F47^2/162</f>
        <v>0.8888888888888888</v>
      </c>
      <c r="M47" s="21">
        <f>K47*L47</f>
        <v>178.66666666666663</v>
      </c>
      <c r="N47" s="22">
        <f>M47/1000</f>
        <v>0.17866666666666664</v>
      </c>
      <c r="O47" s="13" t="inlineStr">
        <is>
          <t>Elevation count / plan length</t>
        </is>
      </c>
    </row>
    <row r="48">
      <c r="A48" s="13" t="n">
        <v>43</v>
      </c>
      <c r="B48" s="13" t="inlineStr">
        <is>
          <t>Lift Walls</t>
        </is>
      </c>
      <c r="C48" s="13" t="inlineStr">
        <is>
          <t>STR-015/017</t>
        </is>
      </c>
      <c r="D48" s="13" t="inlineStr">
        <is>
          <t>Main core (lift shafts) CW-03 2nd to 3rd - vertical Y25@150 NF/FF</t>
        </is>
      </c>
      <c r="E48" s="19" t="inlineStr">
        <is>
          <t>V-Y25</t>
        </is>
      </c>
      <c r="F48" s="19" t="n">
        <v>25</v>
      </c>
      <c r="G48" s="19" t="n">
        <v>1</v>
      </c>
      <c r="H48" s="19">
        <f>2*29</f>
        <v>58.0</v>
      </c>
      <c r="I48" s="13">
        <f>G48*H48</f>
        <v>58.0</v>
      </c>
      <c r="J48" s="20">
        <f>(4050+40*25)/1000</f>
        <v>5.05</v>
      </c>
      <c r="K48" s="21">
        <f>I48*J48</f>
        <v>292.9</v>
      </c>
      <c r="L48" s="22">
        <f>F48^2/162</f>
        <v>3.8580246913580245</v>
      </c>
      <c r="M48" s="21">
        <f>K48*L48</f>
        <v>1130.0154320987654</v>
      </c>
      <c r="N48" s="22">
        <f>M48/1000</f>
        <v>1.1300154320987654</v>
      </c>
      <c r="O48" s="13" t="inlineStr">
        <is>
          <t>Elevation / plan</t>
        </is>
      </c>
    </row>
    <row r="49">
      <c r="A49" s="13" t="n">
        <v>44</v>
      </c>
      <c r="B49" s="13" t="inlineStr">
        <is>
          <t>Lift Walls</t>
        </is>
      </c>
      <c r="C49" s="13" t="inlineStr">
        <is>
          <t>STR-015/017</t>
        </is>
      </c>
      <c r="D49" s="13" t="inlineStr">
        <is>
          <t>Main core (lift shafts) CW-04 (L=3600mm) 2nd to 3rd - horizontal Y12@150 NF/FF</t>
        </is>
      </c>
      <c r="E49" s="19" t="inlineStr">
        <is>
          <t>H-Y12</t>
        </is>
      </c>
      <c r="F49" s="19" t="n">
        <v>12</v>
      </c>
      <c r="G49" s="19" t="n">
        <v>1</v>
      </c>
      <c r="H49" s="19">
        <f>2*25</f>
        <v>50.0</v>
      </c>
      <c r="I49" s="13">
        <f>G49*H49</f>
        <v>50.0</v>
      </c>
      <c r="J49" s="20">
        <f>(3600-2*30+40*12)/1000</f>
        <v>4.02</v>
      </c>
      <c r="K49" s="21">
        <f>I49*J49</f>
        <v>200.99999999999997</v>
      </c>
      <c r="L49" s="22">
        <f>F49^2/162</f>
        <v>0.8888888888888888</v>
      </c>
      <c r="M49" s="21">
        <f>K49*L49</f>
        <v>178.66666666666663</v>
      </c>
      <c r="N49" s="22">
        <f>M49/1000</f>
        <v>0.17866666666666664</v>
      </c>
      <c r="O49" s="13" t="inlineStr">
        <is>
          <t>Elevation count / plan length</t>
        </is>
      </c>
    </row>
    <row r="50">
      <c r="A50" s="13" t="n">
        <v>45</v>
      </c>
      <c r="B50" s="13" t="inlineStr">
        <is>
          <t>Lift Walls</t>
        </is>
      </c>
      <c r="C50" s="13" t="inlineStr">
        <is>
          <t>STR-015/017</t>
        </is>
      </c>
      <c r="D50" s="13" t="inlineStr">
        <is>
          <t>Main core (lift shafts) CW-04 2nd to 3rd - vertical Y25@150 NF/FF</t>
        </is>
      </c>
      <c r="E50" s="19" t="inlineStr">
        <is>
          <t>V-Y25</t>
        </is>
      </c>
      <c r="F50" s="19" t="n">
        <v>25</v>
      </c>
      <c r="G50" s="19" t="n">
        <v>1</v>
      </c>
      <c r="H50" s="19">
        <f>2*29</f>
        <v>58.0</v>
      </c>
      <c r="I50" s="13">
        <f>G50*H50</f>
        <v>58.0</v>
      </c>
      <c r="J50" s="20">
        <f>(4050+40*25)/1000</f>
        <v>5.05</v>
      </c>
      <c r="K50" s="21">
        <f>I50*J50</f>
        <v>292.9</v>
      </c>
      <c r="L50" s="22">
        <f>F50^2/162</f>
        <v>3.8580246913580245</v>
      </c>
      <c r="M50" s="21">
        <f>K50*L50</f>
        <v>1130.0154320987654</v>
      </c>
      <c r="N50" s="22">
        <f>M50/1000</f>
        <v>1.1300154320987654</v>
      </c>
      <c r="O50" s="13" t="inlineStr">
        <is>
          <t>Elevation / plan</t>
        </is>
      </c>
    </row>
    <row r="51">
      <c r="A51" s="13" t="n">
        <v>46</v>
      </c>
      <c r="B51" s="13" t="inlineStr">
        <is>
          <t>Lift Walls</t>
        </is>
      </c>
      <c r="C51" s="13" t="inlineStr">
        <is>
          <t>STR-015/017</t>
        </is>
      </c>
      <c r="D51" s="13" t="inlineStr">
        <is>
          <t>Main core (lift shafts) CW-06 (L=2025mm) 2nd to 3rd - horizontal Y12@150 NF/FF</t>
        </is>
      </c>
      <c r="E51" s="19" t="inlineStr">
        <is>
          <t>H-Y12</t>
        </is>
      </c>
      <c r="F51" s="19" t="n">
        <v>12</v>
      </c>
      <c r="G51" s="19" t="n">
        <v>1</v>
      </c>
      <c r="H51" s="19">
        <f>2*25</f>
        <v>50.0</v>
      </c>
      <c r="I51" s="13">
        <f>G51*H51</f>
        <v>50.0</v>
      </c>
      <c r="J51" s="20">
        <f>(2025-2*30+40*12)/1000</f>
        <v>2.445</v>
      </c>
      <c r="K51" s="21">
        <f>I51*J51</f>
        <v>122.24999999999999</v>
      </c>
      <c r="L51" s="22">
        <f>F51^2/162</f>
        <v>0.8888888888888888</v>
      </c>
      <c r="M51" s="21">
        <f>K51*L51</f>
        <v>108.66666666666664</v>
      </c>
      <c r="N51" s="22">
        <f>M51/1000</f>
        <v>0.10866666666666665</v>
      </c>
      <c r="O51" s="13" t="inlineStr">
        <is>
          <t>Elevation count / plan length</t>
        </is>
      </c>
    </row>
    <row r="52">
      <c r="A52" s="13" t="n">
        <v>47</v>
      </c>
      <c r="B52" s="13" t="inlineStr">
        <is>
          <t>Lift Walls</t>
        </is>
      </c>
      <c r="C52" s="13" t="inlineStr">
        <is>
          <t>STR-015/017</t>
        </is>
      </c>
      <c r="D52" s="13" t="inlineStr">
        <is>
          <t>Main core (lift shafts) CW-06 2nd to 3rd - vertical Y25@150 NF/FF</t>
        </is>
      </c>
      <c r="E52" s="19" t="inlineStr">
        <is>
          <t>V-Y25</t>
        </is>
      </c>
      <c r="F52" s="19" t="n">
        <v>25</v>
      </c>
      <c r="G52" s="19" t="n">
        <v>1</v>
      </c>
      <c r="H52" s="19">
        <f>2*(ROUNDUP(2025/150,0)+1)</f>
        <v>30.0</v>
      </c>
      <c r="I52" s="13">
        <f>G52*H52</f>
        <v>30.0</v>
      </c>
      <c r="J52" s="20">
        <f>(4050+40*25)/1000</f>
        <v>5.05</v>
      </c>
      <c r="K52" s="21">
        <f>I52*J52</f>
        <v>151.5</v>
      </c>
      <c r="L52" s="22">
        <f>F52^2/162</f>
        <v>3.8580246913580245</v>
      </c>
      <c r="M52" s="21">
        <f>K52*L52</f>
        <v>584.4907407407408</v>
      </c>
      <c r="N52" s="22">
        <f>M52/1000</f>
        <v>0.5844907407407408</v>
      </c>
      <c r="O52" s="13" t="inlineStr">
        <is>
          <t>Elevation / plan</t>
        </is>
      </c>
    </row>
    <row r="53">
      <c r="A53" s="13" t="n">
        <v>48</v>
      </c>
      <c r="B53" s="13" t="inlineStr">
        <is>
          <t>Lift Walls</t>
        </is>
      </c>
      <c r="C53" s="13" t="inlineStr">
        <is>
          <t>STR-015/017</t>
        </is>
      </c>
      <c r="D53" s="13" t="inlineStr">
        <is>
          <t>Main core (lift shafts) CW-08 (L=4500mm) 2nd to 3rd - horizontal Y12@150 NF/FF</t>
        </is>
      </c>
      <c r="E53" s="19" t="inlineStr">
        <is>
          <t>H-Y12</t>
        </is>
      </c>
      <c r="F53" s="19" t="n">
        <v>12</v>
      </c>
      <c r="G53" s="19" t="n">
        <v>1</v>
      </c>
      <c r="H53" s="19">
        <f>2*25</f>
        <v>50.0</v>
      </c>
      <c r="I53" s="13">
        <f>G53*H53</f>
        <v>50.0</v>
      </c>
      <c r="J53" s="20">
        <f>(4500-2*30+40*12)/1000</f>
        <v>4.92</v>
      </c>
      <c r="K53" s="21">
        <f>I53*J53</f>
        <v>246.0</v>
      </c>
      <c r="L53" s="22">
        <f>F53^2/162</f>
        <v>0.8888888888888888</v>
      </c>
      <c r="M53" s="21">
        <f>K53*L53</f>
        <v>218.66666666666666</v>
      </c>
      <c r="N53" s="22">
        <f>M53/1000</f>
        <v>0.21866666666666665</v>
      </c>
      <c r="O53" s="13" t="inlineStr">
        <is>
          <t>Elevation count / plan length</t>
        </is>
      </c>
    </row>
    <row r="54">
      <c r="A54" s="13" t="n">
        <v>49</v>
      </c>
      <c r="B54" s="13" t="inlineStr">
        <is>
          <t>Lift Walls</t>
        </is>
      </c>
      <c r="C54" s="13" t="inlineStr">
        <is>
          <t>STR-015/017</t>
        </is>
      </c>
      <c r="D54" s="13" t="inlineStr">
        <is>
          <t>Main core (lift shafts) CW-08 2nd to 3rd - vertical Y25@150 NF/FF</t>
        </is>
      </c>
      <c r="E54" s="19" t="inlineStr">
        <is>
          <t>V-Y25</t>
        </is>
      </c>
      <c r="F54" s="19" t="n">
        <v>25</v>
      </c>
      <c r="G54" s="19" t="n">
        <v>1</v>
      </c>
      <c r="H54" s="19">
        <f>2*(ROUNDUP(4500/150,0)+1)</f>
        <v>62.0</v>
      </c>
      <c r="I54" s="13">
        <f>G54*H54</f>
        <v>62.0</v>
      </c>
      <c r="J54" s="20">
        <f>(4050+40*25)/1000</f>
        <v>5.05</v>
      </c>
      <c r="K54" s="21">
        <f>I54*J54</f>
        <v>313.09999999999997</v>
      </c>
      <c r="L54" s="22">
        <f>F54^2/162</f>
        <v>3.8580246913580245</v>
      </c>
      <c r="M54" s="21">
        <f>K54*L54</f>
        <v>1207.9475308641972</v>
      </c>
      <c r="N54" s="22">
        <f>M54/1000</f>
        <v>1.2079475308641971</v>
      </c>
      <c r="O54" s="13" t="inlineStr">
        <is>
          <t>Elevation / plan</t>
        </is>
      </c>
    </row>
    <row r="55">
      <c r="A55" s="13" t="n">
        <v>50</v>
      </c>
      <c r="B55" s="13" t="inlineStr">
        <is>
          <t>Lift Walls</t>
        </is>
      </c>
      <c r="C55" s="13" t="inlineStr">
        <is>
          <t>STR-015/017</t>
        </is>
      </c>
      <c r="D55" s="13" t="inlineStr">
        <is>
          <t>Main core (lift shafts) CW-07 (lift section) (L=4500mm) 2nd to 3rd - horizontal Y12@150 NF/FF</t>
        </is>
      </c>
      <c r="E55" s="19" t="inlineStr">
        <is>
          <t>H-Y12</t>
        </is>
      </c>
      <c r="F55" s="19" t="n">
        <v>12</v>
      </c>
      <c r="G55" s="19" t="n">
        <v>1</v>
      </c>
      <c r="H55" s="19">
        <f>2*25</f>
        <v>50.0</v>
      </c>
      <c r="I55" s="13">
        <f>G55*H55</f>
        <v>50.0</v>
      </c>
      <c r="J55" s="20">
        <f>(4500-2*30+40*12)/1000</f>
        <v>4.92</v>
      </c>
      <c r="K55" s="21">
        <f>I55*J55</f>
        <v>246.0</v>
      </c>
      <c r="L55" s="22">
        <f>F55^2/162</f>
        <v>0.8888888888888888</v>
      </c>
      <c r="M55" s="21">
        <f>K55*L55</f>
        <v>218.66666666666666</v>
      </c>
      <c r="N55" s="22">
        <f>M55/1000</f>
        <v>0.21866666666666665</v>
      </c>
      <c r="O55" s="13" t="inlineStr">
        <is>
          <t>Elevation count / plan length</t>
        </is>
      </c>
    </row>
    <row r="56">
      <c r="A56" s="13" t="n">
        <v>51</v>
      </c>
      <c r="B56" s="13" t="inlineStr">
        <is>
          <t>Lift Walls</t>
        </is>
      </c>
      <c r="C56" s="13" t="inlineStr">
        <is>
          <t>STR-015/017</t>
        </is>
      </c>
      <c r="D56" s="13" t="inlineStr">
        <is>
          <t>Main core (lift shafts) CW-07 (lift section) 2nd to 3rd - vertical Y25@150 NF/FF</t>
        </is>
      </c>
      <c r="E56" s="19" t="inlineStr">
        <is>
          <t>V-Y25</t>
        </is>
      </c>
      <c r="F56" s="19" t="n">
        <v>25</v>
      </c>
      <c r="G56" s="19" t="n">
        <v>1</v>
      </c>
      <c r="H56" s="19">
        <f>2*(ROUNDUP(4500/150,0)+1)</f>
        <v>62.0</v>
      </c>
      <c r="I56" s="13">
        <f>G56*H56</f>
        <v>62.0</v>
      </c>
      <c r="J56" s="20">
        <f>(4050+40*25)/1000</f>
        <v>5.05</v>
      </c>
      <c r="K56" s="21">
        <f>I56*J56</f>
        <v>313.09999999999997</v>
      </c>
      <c r="L56" s="22">
        <f>F56^2/162</f>
        <v>3.8580246913580245</v>
      </c>
      <c r="M56" s="21">
        <f>K56*L56</f>
        <v>1207.9475308641972</v>
      </c>
      <c r="N56" s="22">
        <f>M56/1000</f>
        <v>1.2079475308641971</v>
      </c>
      <c r="O56" s="13" t="inlineStr">
        <is>
          <t>Elevation / plan</t>
        </is>
      </c>
    </row>
    <row r="57">
      <c r="A57" s="13" t="n">
        <v>52</v>
      </c>
      <c r="B57" s="13" t="inlineStr">
        <is>
          <t>Lift Walls</t>
        </is>
      </c>
      <c r="C57" s="13" t="inlineStr">
        <is>
          <t>STR-015/017</t>
        </is>
      </c>
      <c r="D57" s="13" t="inlineStr">
        <is>
          <t>Main core (lift shafts) confinement links Y10@150 (26 positions on plan) 2nd to 3rd</t>
        </is>
      </c>
      <c r="E57" s="19" t="inlineStr">
        <is>
          <t>LNK-Y10</t>
        </is>
      </c>
      <c r="F57" s="19" t="n">
        <v>10</v>
      </c>
      <c r="G57" s="19" t="n">
        <v>1</v>
      </c>
      <c r="H57" s="19">
        <f>26*ROUNDUP(4050/150,0)</f>
        <v>702.0</v>
      </c>
      <c r="I57" s="13">
        <f>G57*H57</f>
        <v>702.0</v>
      </c>
      <c r="J57" s="20">
        <f>1800/1000</f>
        <v>1.8</v>
      </c>
      <c r="K57" s="21">
        <f>I57*J57</f>
        <v>1263.6000000000001</v>
      </c>
      <c r="L57" s="22">
        <f>F57^2/162</f>
        <v>0.6172839506172839</v>
      </c>
      <c r="M57" s="21">
        <f>K57*L57</f>
        <v>780.0</v>
      </c>
      <c r="N57" s="22">
        <f>M57/1000</f>
        <v>0.78</v>
      </c>
      <c r="O57" s="13" t="inlineStr">
        <is>
          <t>Assumed link cut length</t>
        </is>
      </c>
    </row>
    <row r="58">
      <c r="A58" s="13" t="n">
        <v>53</v>
      </c>
      <c r="B58" s="13" t="inlineStr">
        <is>
          <t>Beams</t>
        </is>
      </c>
      <c r="C58" s="13" t="inlineStr">
        <is>
          <t>STR-060</t>
        </is>
      </c>
      <c r="D58" s="13" t="inlineStr">
        <is>
          <t>Second floor beams</t>
        </is>
      </c>
      <c r="E58" s="19" t="inlineStr">
        <is>
          <t>1001</t>
        </is>
      </c>
      <c r="F58" s="19" t="n">
        <v>10</v>
      </c>
      <c r="G58" s="19" t="n">
        <v>1</v>
      </c>
      <c r="H58" s="19" t="n">
        <v>621</v>
      </c>
      <c r="I58" s="13">
        <f>G58*H58</f>
        <v>621.0</v>
      </c>
      <c r="J58" s="20">
        <f>1700/1000</f>
        <v>1.7</v>
      </c>
      <c r="K58" s="21">
        <f>I58*J58</f>
        <v>1055.7</v>
      </c>
      <c r="L58" s="22">
        <f>F58^2/162</f>
        <v>0.6172839506172839</v>
      </c>
      <c r="M58" s="21">
        <f>K58*L58</f>
        <v>651.6666666666666</v>
      </c>
      <c r="N58" s="22">
        <f>M58/1000</f>
        <v>0.6516666666666666</v>
      </c>
      <c r="O58" s="13" t="inlineStr">
        <is>
          <t>BBS</t>
        </is>
      </c>
    </row>
    <row r="59">
      <c r="A59" s="13" t="n">
        <v>54</v>
      </c>
      <c r="B59" s="13" t="inlineStr">
        <is>
          <t>Beams</t>
        </is>
      </c>
      <c r="C59" s="13" t="inlineStr">
        <is>
          <t>STR-060</t>
        </is>
      </c>
      <c r="D59" s="13" t="inlineStr">
        <is>
          <t>Second floor beams</t>
        </is>
      </c>
      <c r="E59" s="19" t="inlineStr">
        <is>
          <t>1002</t>
        </is>
      </c>
      <c r="F59" s="19" t="n">
        <v>10</v>
      </c>
      <c r="G59" s="19" t="n">
        <v>1</v>
      </c>
      <c r="H59" s="19" t="n">
        <v>270</v>
      </c>
      <c r="I59" s="13">
        <f>G59*H59</f>
        <v>270.0</v>
      </c>
      <c r="J59" s="20">
        <f>1500/1000</f>
        <v>1.5</v>
      </c>
      <c r="K59" s="21">
        <f>I59*J59</f>
        <v>405.0</v>
      </c>
      <c r="L59" s="22">
        <f>F59^2/162</f>
        <v>0.6172839506172839</v>
      </c>
      <c r="M59" s="21">
        <f>K59*L59</f>
        <v>250.0</v>
      </c>
      <c r="N59" s="22">
        <f>M59/1000</f>
        <v>0.25</v>
      </c>
      <c r="O59" s="13" t="inlineStr">
        <is>
          <t>BBS</t>
        </is>
      </c>
    </row>
    <row r="60">
      <c r="A60" s="13" t="n">
        <v>55</v>
      </c>
      <c r="B60" s="13" t="inlineStr">
        <is>
          <t>Beams</t>
        </is>
      </c>
      <c r="C60" s="13" t="inlineStr">
        <is>
          <t>STR-060</t>
        </is>
      </c>
      <c r="D60" s="13" t="inlineStr">
        <is>
          <t>Second floor beams</t>
        </is>
      </c>
      <c r="E60" s="19" t="inlineStr">
        <is>
          <t>1601</t>
        </is>
      </c>
      <c r="F60" s="19" t="n">
        <v>16</v>
      </c>
      <c r="G60" s="19" t="n">
        <v>1</v>
      </c>
      <c r="H60" s="19" t="n">
        <v>3</v>
      </c>
      <c r="I60" s="13">
        <f>G60*H60</f>
        <v>3.0</v>
      </c>
      <c r="J60" s="20">
        <f>9750/1000</f>
        <v>9.75</v>
      </c>
      <c r="K60" s="21">
        <f>I60*J60</f>
        <v>29.25</v>
      </c>
      <c r="L60" s="22">
        <f>F60^2/162</f>
        <v>1.5802469135802468</v>
      </c>
      <c r="M60" s="21">
        <f>K60*L60</f>
        <v>46.22222222222222</v>
      </c>
      <c r="N60" s="22">
        <f>M60/1000</f>
        <v>0.04622222222222222</v>
      </c>
      <c r="O60" s="13" t="inlineStr">
        <is>
          <t>BBS</t>
        </is>
      </c>
    </row>
    <row r="61">
      <c r="A61" s="13" t="n">
        <v>56</v>
      </c>
      <c r="B61" s="13" t="inlineStr">
        <is>
          <t>Beams</t>
        </is>
      </c>
      <c r="C61" s="13" t="inlineStr">
        <is>
          <t>STR-060</t>
        </is>
      </c>
      <c r="D61" s="13" t="inlineStr">
        <is>
          <t>Second floor beams</t>
        </is>
      </c>
      <c r="E61" s="19" t="inlineStr">
        <is>
          <t>1602</t>
        </is>
      </c>
      <c r="F61" s="19" t="n">
        <v>16</v>
      </c>
      <c r="G61" s="19" t="n">
        <v>1</v>
      </c>
      <c r="H61" s="19" t="n">
        <v>3</v>
      </c>
      <c r="I61" s="13">
        <f>G61*H61</f>
        <v>3.0</v>
      </c>
      <c r="J61" s="20">
        <f>5850/1000</f>
        <v>5.85</v>
      </c>
      <c r="K61" s="21">
        <f>I61*J61</f>
        <v>17.549999999999997</v>
      </c>
      <c r="L61" s="22">
        <f>F61^2/162</f>
        <v>1.5802469135802468</v>
      </c>
      <c r="M61" s="21">
        <f>K61*L61</f>
        <v>27.733333333333327</v>
      </c>
      <c r="N61" s="22">
        <f>M61/1000</f>
        <v>0.02773333333333333</v>
      </c>
      <c r="O61" s="13" t="inlineStr">
        <is>
          <t>BBS</t>
        </is>
      </c>
    </row>
    <row r="62">
      <c r="A62" s="13" t="n">
        <v>57</v>
      </c>
      <c r="B62" s="13" t="inlineStr">
        <is>
          <t>Beams</t>
        </is>
      </c>
      <c r="C62" s="13" t="inlineStr">
        <is>
          <t>STR-060</t>
        </is>
      </c>
      <c r="D62" s="13" t="inlineStr">
        <is>
          <t>Second floor beams</t>
        </is>
      </c>
      <c r="E62" s="19" t="inlineStr">
        <is>
          <t>1603</t>
        </is>
      </c>
      <c r="F62" s="19" t="n">
        <v>16</v>
      </c>
      <c r="G62" s="19" t="n">
        <v>1</v>
      </c>
      <c r="H62" s="19" t="n">
        <v>6</v>
      </c>
      <c r="I62" s="13">
        <f>G62*H62</f>
        <v>6.0</v>
      </c>
      <c r="J62" s="20">
        <f>9300/1000</f>
        <v>9.3</v>
      </c>
      <c r="K62" s="21">
        <f>I62*J62</f>
        <v>55.800000000000004</v>
      </c>
      <c r="L62" s="22">
        <f>F62^2/162</f>
        <v>1.5802469135802468</v>
      </c>
      <c r="M62" s="21">
        <f>K62*L62</f>
        <v>88.17777777777778</v>
      </c>
      <c r="N62" s="22">
        <f>M62/1000</f>
        <v>0.08817777777777777</v>
      </c>
      <c r="O62" s="13" t="inlineStr">
        <is>
          <t>BBS</t>
        </is>
      </c>
    </row>
    <row r="63">
      <c r="A63" s="13" t="n">
        <v>58</v>
      </c>
      <c r="B63" s="13" t="inlineStr">
        <is>
          <t>Beams</t>
        </is>
      </c>
      <c r="C63" s="13" t="inlineStr">
        <is>
          <t>STR-060</t>
        </is>
      </c>
      <c r="D63" s="13" t="inlineStr">
        <is>
          <t>Second floor beams</t>
        </is>
      </c>
      <c r="E63" s="19" t="inlineStr">
        <is>
          <t>1604</t>
        </is>
      </c>
      <c r="F63" s="19" t="n">
        <v>16</v>
      </c>
      <c r="G63" s="19" t="n">
        <v>1</v>
      </c>
      <c r="H63" s="19" t="n">
        <v>3</v>
      </c>
      <c r="I63" s="13">
        <f>G63*H63</f>
        <v>3.0</v>
      </c>
      <c r="J63" s="20">
        <f>9000/1000</f>
        <v>9.0</v>
      </c>
      <c r="K63" s="21">
        <f>I63*J63</f>
        <v>27.0</v>
      </c>
      <c r="L63" s="22">
        <f>F63^2/162</f>
        <v>1.5802469135802468</v>
      </c>
      <c r="M63" s="21">
        <f>K63*L63</f>
        <v>42.666666666666664</v>
      </c>
      <c r="N63" s="22">
        <f>M63/1000</f>
        <v>0.042666666666666665</v>
      </c>
      <c r="O63" s="13" t="inlineStr">
        <is>
          <t>BBS</t>
        </is>
      </c>
    </row>
    <row r="64">
      <c r="A64" s="13" t="n">
        <v>59</v>
      </c>
      <c r="B64" s="13" t="inlineStr">
        <is>
          <t>Beams</t>
        </is>
      </c>
      <c r="C64" s="13" t="inlineStr">
        <is>
          <t>STR-060</t>
        </is>
      </c>
      <c r="D64" s="13" t="inlineStr">
        <is>
          <t>Second floor beams</t>
        </is>
      </c>
      <c r="E64" s="19" t="inlineStr">
        <is>
          <t>1605</t>
        </is>
      </c>
      <c r="F64" s="19" t="n">
        <v>16</v>
      </c>
      <c r="G64" s="19" t="n">
        <v>1</v>
      </c>
      <c r="H64" s="19" t="n">
        <v>2</v>
      </c>
      <c r="I64" s="13">
        <f>G64*H64</f>
        <v>2.0</v>
      </c>
      <c r="J64" s="20">
        <f>11000/1000</f>
        <v>11.0</v>
      </c>
      <c r="K64" s="21">
        <f>I64*J64</f>
        <v>22.0</v>
      </c>
      <c r="L64" s="22">
        <f>F64^2/162</f>
        <v>1.5802469135802468</v>
      </c>
      <c r="M64" s="21">
        <f>K64*L64</f>
        <v>34.76543209876543</v>
      </c>
      <c r="N64" s="22">
        <f>M64/1000</f>
        <v>0.03476543209876543</v>
      </c>
      <c r="O64" s="13" t="inlineStr">
        <is>
          <t>BBS</t>
        </is>
      </c>
    </row>
    <row r="65">
      <c r="A65" s="13" t="n">
        <v>60</v>
      </c>
      <c r="B65" s="13" t="inlineStr">
        <is>
          <t>Beams</t>
        </is>
      </c>
      <c r="C65" s="13" t="inlineStr">
        <is>
          <t>STR-060</t>
        </is>
      </c>
      <c r="D65" s="13" t="inlineStr">
        <is>
          <t>Second floor beams</t>
        </is>
      </c>
      <c r="E65" s="19" t="inlineStr">
        <is>
          <t>1606</t>
        </is>
      </c>
      <c r="F65" s="19" t="n">
        <v>16</v>
      </c>
      <c r="G65" s="19" t="n">
        <v>1</v>
      </c>
      <c r="H65" s="19" t="n">
        <v>2</v>
      </c>
      <c r="I65" s="13">
        <f>G65*H65</f>
        <v>2.0</v>
      </c>
      <c r="J65" s="20">
        <f>8800/1000</f>
        <v>8.8</v>
      </c>
      <c r="K65" s="21">
        <f>I65*J65</f>
        <v>17.6</v>
      </c>
      <c r="L65" s="22">
        <f>F65^2/162</f>
        <v>1.5802469135802468</v>
      </c>
      <c r="M65" s="21">
        <f>K65*L65</f>
        <v>27.812345679012346</v>
      </c>
      <c r="N65" s="22">
        <f>M65/1000</f>
        <v>0.027812345679012345</v>
      </c>
      <c r="O65" s="13" t="inlineStr">
        <is>
          <t>BBS</t>
        </is>
      </c>
    </row>
    <row r="66">
      <c r="A66" s="13" t="n">
        <v>61</v>
      </c>
      <c r="B66" s="13" t="inlineStr">
        <is>
          <t>Beams</t>
        </is>
      </c>
      <c r="C66" s="13" t="inlineStr">
        <is>
          <t>STR-060</t>
        </is>
      </c>
      <c r="D66" s="13" t="inlineStr">
        <is>
          <t>Second floor beams</t>
        </is>
      </c>
      <c r="E66" s="19" t="inlineStr">
        <is>
          <t>1607</t>
        </is>
      </c>
      <c r="F66" s="19" t="n">
        <v>16</v>
      </c>
      <c r="G66" s="19" t="n">
        <v>1</v>
      </c>
      <c r="H66" s="19" t="n">
        <v>8</v>
      </c>
      <c r="I66" s="13">
        <f>G66*H66</f>
        <v>8.0</v>
      </c>
      <c r="J66" s="20">
        <f>12000/1000</f>
        <v>12.0</v>
      </c>
      <c r="K66" s="21">
        <f>I66*J66</f>
        <v>96.0</v>
      </c>
      <c r="L66" s="22">
        <f>F66^2/162</f>
        <v>1.5802469135802468</v>
      </c>
      <c r="M66" s="21">
        <f>K66*L66</f>
        <v>151.7037037037037</v>
      </c>
      <c r="N66" s="22">
        <f>M66/1000</f>
        <v>0.1517037037037037</v>
      </c>
      <c r="O66" s="13" t="inlineStr">
        <is>
          <t>BBS</t>
        </is>
      </c>
    </row>
    <row r="67">
      <c r="A67" s="13" t="n">
        <v>62</v>
      </c>
      <c r="B67" s="13" t="inlineStr">
        <is>
          <t>Beams</t>
        </is>
      </c>
      <c r="C67" s="13" t="inlineStr">
        <is>
          <t>STR-060</t>
        </is>
      </c>
      <c r="D67" s="13" t="inlineStr">
        <is>
          <t>Second floor beams</t>
        </is>
      </c>
      <c r="E67" s="19" t="inlineStr">
        <is>
          <t>1608</t>
        </is>
      </c>
      <c r="F67" s="19" t="n">
        <v>16</v>
      </c>
      <c r="G67" s="19" t="n">
        <v>1</v>
      </c>
      <c r="H67" s="19" t="n">
        <v>4</v>
      </c>
      <c r="I67" s="13">
        <f>G67*H67</f>
        <v>4.0</v>
      </c>
      <c r="J67" s="20">
        <f>7400/1000</f>
        <v>7.4</v>
      </c>
      <c r="K67" s="21">
        <f>I67*J67</f>
        <v>29.6</v>
      </c>
      <c r="L67" s="22">
        <f>F67^2/162</f>
        <v>1.5802469135802468</v>
      </c>
      <c r="M67" s="21">
        <f>K67*L67</f>
        <v>46.77530864197531</v>
      </c>
      <c r="N67" s="22">
        <f>M67/1000</f>
        <v>0.04677530864197531</v>
      </c>
      <c r="O67" s="13" t="inlineStr">
        <is>
          <t>BBS</t>
        </is>
      </c>
    </row>
    <row r="68">
      <c r="A68" s="13" t="n">
        <v>63</v>
      </c>
      <c r="B68" s="13" t="inlineStr">
        <is>
          <t>Beams</t>
        </is>
      </c>
      <c r="C68" s="13" t="inlineStr">
        <is>
          <t>STR-060</t>
        </is>
      </c>
      <c r="D68" s="13" t="inlineStr">
        <is>
          <t>Second floor beams</t>
        </is>
      </c>
      <c r="E68" s="19" t="inlineStr">
        <is>
          <t>1609</t>
        </is>
      </c>
      <c r="F68" s="19" t="n">
        <v>16</v>
      </c>
      <c r="G68" s="19" t="n">
        <v>1</v>
      </c>
      <c r="H68" s="19" t="n">
        <v>3</v>
      </c>
      <c r="I68" s="13">
        <f>G68*H68</f>
        <v>3.0</v>
      </c>
      <c r="J68" s="20">
        <f>9200/1000</f>
        <v>9.2</v>
      </c>
      <c r="K68" s="21">
        <f>I68*J68</f>
        <v>27.599999999999998</v>
      </c>
      <c r="L68" s="22">
        <f>F68^2/162</f>
        <v>1.5802469135802468</v>
      </c>
      <c r="M68" s="21">
        <f>K68*L68</f>
        <v>43.61481481481481</v>
      </c>
      <c r="N68" s="22">
        <f>M68/1000</f>
        <v>0.04361481481481481</v>
      </c>
      <c r="O68" s="13" t="inlineStr">
        <is>
          <t>BBS</t>
        </is>
      </c>
    </row>
    <row r="69">
      <c r="A69" s="13" t="n">
        <v>64</v>
      </c>
      <c r="B69" s="13" t="inlineStr">
        <is>
          <t>Beams</t>
        </is>
      </c>
      <c r="C69" s="13" t="inlineStr">
        <is>
          <t>STR-060</t>
        </is>
      </c>
      <c r="D69" s="13" t="inlineStr">
        <is>
          <t>Second floor beams</t>
        </is>
      </c>
      <c r="E69" s="19" t="inlineStr">
        <is>
          <t>1610</t>
        </is>
      </c>
      <c r="F69" s="19" t="n">
        <v>16</v>
      </c>
      <c r="G69" s="19" t="n">
        <v>1</v>
      </c>
      <c r="H69" s="19" t="n">
        <v>4</v>
      </c>
      <c r="I69" s="13">
        <f>G69*H69</f>
        <v>4.0</v>
      </c>
      <c r="J69" s="20">
        <f>6775/1000</f>
        <v>6.775</v>
      </c>
      <c r="K69" s="21">
        <f>I69*J69</f>
        <v>27.1</v>
      </c>
      <c r="L69" s="22">
        <f>F69^2/162</f>
        <v>1.5802469135802468</v>
      </c>
      <c r="M69" s="21">
        <f>K69*L69</f>
        <v>42.824691358024694</v>
      </c>
      <c r="N69" s="22">
        <f>M69/1000</f>
        <v>0.04282469135802469</v>
      </c>
      <c r="O69" s="13" t="inlineStr">
        <is>
          <t>BBS</t>
        </is>
      </c>
    </row>
    <row r="70">
      <c r="A70" s="13" t="n">
        <v>65</v>
      </c>
      <c r="B70" s="13" t="inlineStr">
        <is>
          <t>Beams</t>
        </is>
      </c>
      <c r="C70" s="13" t="inlineStr">
        <is>
          <t>STR-060</t>
        </is>
      </c>
      <c r="D70" s="13" t="inlineStr">
        <is>
          <t>Second floor beams</t>
        </is>
      </c>
      <c r="E70" s="19" t="inlineStr">
        <is>
          <t>1611</t>
        </is>
      </c>
      <c r="F70" s="19" t="n">
        <v>16</v>
      </c>
      <c r="G70" s="19" t="n">
        <v>1</v>
      </c>
      <c r="H70" s="19" t="n">
        <v>3</v>
      </c>
      <c r="I70" s="13">
        <f>G70*H70</f>
        <v>3.0</v>
      </c>
      <c r="J70" s="20">
        <f>4600/1000</f>
        <v>4.6</v>
      </c>
      <c r="K70" s="21">
        <f>I70*J70</f>
        <v>13.799999999999999</v>
      </c>
      <c r="L70" s="22">
        <f>F70^2/162</f>
        <v>1.5802469135802468</v>
      </c>
      <c r="M70" s="21">
        <f>K70*L70</f>
        <v>21.807407407407403</v>
      </c>
      <c r="N70" s="22">
        <f>M70/1000</f>
        <v>0.021807407407407404</v>
      </c>
      <c r="O70" s="13" t="inlineStr">
        <is>
          <t>BBS</t>
        </is>
      </c>
    </row>
    <row r="71">
      <c r="A71" s="13" t="n">
        <v>66</v>
      </c>
      <c r="B71" s="13" t="inlineStr">
        <is>
          <t>Beams</t>
        </is>
      </c>
      <c r="C71" s="13" t="inlineStr">
        <is>
          <t>STR-060</t>
        </is>
      </c>
      <c r="D71" s="13" t="inlineStr">
        <is>
          <t>Second floor beams</t>
        </is>
      </c>
      <c r="E71" s="19" t="inlineStr">
        <is>
          <t>1612</t>
        </is>
      </c>
      <c r="F71" s="19" t="n">
        <v>16</v>
      </c>
      <c r="G71" s="19" t="n">
        <v>1</v>
      </c>
      <c r="H71" s="19" t="n">
        <v>2</v>
      </c>
      <c r="I71" s="13">
        <f>G71*H71</f>
        <v>2.0</v>
      </c>
      <c r="J71" s="20">
        <f>4000/1000</f>
        <v>4.0</v>
      </c>
      <c r="K71" s="21">
        <f>I71*J71</f>
        <v>8.0</v>
      </c>
      <c r="L71" s="22">
        <f>F71^2/162</f>
        <v>1.5802469135802468</v>
      </c>
      <c r="M71" s="21">
        <f>K71*L71</f>
        <v>12.641975308641975</v>
      </c>
      <c r="N71" s="22">
        <f>M71/1000</f>
        <v>0.012641975308641975</v>
      </c>
      <c r="O71" s="13" t="inlineStr">
        <is>
          <t>BBS</t>
        </is>
      </c>
    </row>
    <row r="72">
      <c r="A72" s="13" t="n">
        <v>67</v>
      </c>
      <c r="B72" s="13" t="inlineStr">
        <is>
          <t>Beams</t>
        </is>
      </c>
      <c r="C72" s="13" t="inlineStr">
        <is>
          <t>STR-060</t>
        </is>
      </c>
      <c r="D72" s="13" t="inlineStr">
        <is>
          <t>Second floor beams</t>
        </is>
      </c>
      <c r="E72" s="19" t="inlineStr">
        <is>
          <t>1613</t>
        </is>
      </c>
      <c r="F72" s="19" t="n">
        <v>16</v>
      </c>
      <c r="G72" s="19" t="n">
        <v>1</v>
      </c>
      <c r="H72" s="19" t="n">
        <v>2</v>
      </c>
      <c r="I72" s="13">
        <f>G72*H72</f>
        <v>2.0</v>
      </c>
      <c r="J72" s="20">
        <f>11500/1000</f>
        <v>11.5</v>
      </c>
      <c r="K72" s="21">
        <f>I72*J72</f>
        <v>23.0</v>
      </c>
      <c r="L72" s="22">
        <f>F72^2/162</f>
        <v>1.5802469135802468</v>
      </c>
      <c r="M72" s="21">
        <f>K72*L72</f>
        <v>36.34567901234568</v>
      </c>
      <c r="N72" s="22">
        <f>M72/1000</f>
        <v>0.03634567901234568</v>
      </c>
      <c r="O72" s="13" t="inlineStr">
        <is>
          <t>BBS</t>
        </is>
      </c>
    </row>
    <row r="73">
      <c r="A73" s="13" t="n">
        <v>68</v>
      </c>
      <c r="B73" s="13" t="inlineStr">
        <is>
          <t>Beams</t>
        </is>
      </c>
      <c r="C73" s="13" t="inlineStr">
        <is>
          <t>STR-060</t>
        </is>
      </c>
      <c r="D73" s="13" t="inlineStr">
        <is>
          <t>Second floor beams</t>
        </is>
      </c>
      <c r="E73" s="19" t="inlineStr">
        <is>
          <t>1614</t>
        </is>
      </c>
      <c r="F73" s="19" t="n">
        <v>16</v>
      </c>
      <c r="G73" s="19" t="n">
        <v>1</v>
      </c>
      <c r="H73" s="19" t="n">
        <v>2</v>
      </c>
      <c r="I73" s="13">
        <f>G73*H73</f>
        <v>2.0</v>
      </c>
      <c r="J73" s="20">
        <f>11850/1000</f>
        <v>11.85</v>
      </c>
      <c r="K73" s="21">
        <f>I73*J73</f>
        <v>23.7</v>
      </c>
      <c r="L73" s="22">
        <f>F73^2/162</f>
        <v>1.5802469135802468</v>
      </c>
      <c r="M73" s="21">
        <f>K73*L73</f>
        <v>37.45185185185185</v>
      </c>
      <c r="N73" s="22">
        <f>M73/1000</f>
        <v>0.03745185185185185</v>
      </c>
      <c r="O73" s="13" t="inlineStr">
        <is>
          <t>BBS</t>
        </is>
      </c>
    </row>
    <row r="74">
      <c r="A74" s="13" t="n">
        <v>69</v>
      </c>
      <c r="B74" s="13" t="inlineStr">
        <is>
          <t>Beams</t>
        </is>
      </c>
      <c r="C74" s="13" t="inlineStr">
        <is>
          <t>STR-060</t>
        </is>
      </c>
      <c r="D74" s="13" t="inlineStr">
        <is>
          <t>Second floor beams</t>
        </is>
      </c>
      <c r="E74" s="19" t="inlineStr">
        <is>
          <t>1615</t>
        </is>
      </c>
      <c r="F74" s="19" t="n">
        <v>16</v>
      </c>
      <c r="G74" s="19" t="n">
        <v>1</v>
      </c>
      <c r="H74" s="19" t="n">
        <v>12</v>
      </c>
      <c r="I74" s="13">
        <f>G74*H74</f>
        <v>12.0</v>
      </c>
      <c r="J74" s="20">
        <f>3350/1000</f>
        <v>3.35</v>
      </c>
      <c r="K74" s="21">
        <f>I74*J74</f>
        <v>40.2</v>
      </c>
      <c r="L74" s="22">
        <f>F74^2/162</f>
        <v>1.5802469135802468</v>
      </c>
      <c r="M74" s="21">
        <f>K74*L74</f>
        <v>63.525925925925925</v>
      </c>
      <c r="N74" s="22">
        <f>M74/1000</f>
        <v>0.06352592592592593</v>
      </c>
      <c r="O74" s="13" t="inlineStr">
        <is>
          <t>BBS</t>
        </is>
      </c>
    </row>
    <row r="75">
      <c r="A75" s="13" t="n">
        <v>70</v>
      </c>
      <c r="B75" s="13" t="inlineStr">
        <is>
          <t>Beams</t>
        </is>
      </c>
      <c r="C75" s="13" t="inlineStr">
        <is>
          <t>STR-060</t>
        </is>
      </c>
      <c r="D75" s="13" t="inlineStr">
        <is>
          <t>Second floor beams</t>
        </is>
      </c>
      <c r="E75" s="19" t="inlineStr">
        <is>
          <t>1616</t>
        </is>
      </c>
      <c r="F75" s="19" t="n">
        <v>16</v>
      </c>
      <c r="G75" s="19" t="n">
        <v>1</v>
      </c>
      <c r="H75" s="19" t="n">
        <v>4</v>
      </c>
      <c r="I75" s="13">
        <f>G75*H75</f>
        <v>4.0</v>
      </c>
      <c r="J75" s="20">
        <f>2450/1000</f>
        <v>2.45</v>
      </c>
      <c r="K75" s="21">
        <f>I75*J75</f>
        <v>9.8</v>
      </c>
      <c r="L75" s="22">
        <f>F75^2/162</f>
        <v>1.5802469135802468</v>
      </c>
      <c r="M75" s="21">
        <f>K75*L75</f>
        <v>15.48641975308642</v>
      </c>
      <c r="N75" s="22">
        <f>M75/1000</f>
        <v>0.01548641975308642</v>
      </c>
      <c r="O75" s="13" t="inlineStr">
        <is>
          <t>BBS</t>
        </is>
      </c>
    </row>
    <row r="76">
      <c r="A76" s="13" t="n">
        <v>71</v>
      </c>
      <c r="B76" s="13" t="inlineStr">
        <is>
          <t>Beams</t>
        </is>
      </c>
      <c r="C76" s="13" t="inlineStr">
        <is>
          <t>STR-060</t>
        </is>
      </c>
      <c r="D76" s="13" t="inlineStr">
        <is>
          <t>Second floor beams</t>
        </is>
      </c>
      <c r="E76" s="19" t="inlineStr">
        <is>
          <t>2001</t>
        </is>
      </c>
      <c r="F76" s="19" t="n">
        <v>20</v>
      </c>
      <c r="G76" s="19" t="n">
        <v>1</v>
      </c>
      <c r="H76" s="19" t="n">
        <v>2</v>
      </c>
      <c r="I76" s="13">
        <f>G76*H76</f>
        <v>2.0</v>
      </c>
      <c r="J76" s="20">
        <f>11750/1000</f>
        <v>11.75</v>
      </c>
      <c r="K76" s="21">
        <f>I76*J76</f>
        <v>23.5</v>
      </c>
      <c r="L76" s="22">
        <f>F76^2/162</f>
        <v>2.4691358024691357</v>
      </c>
      <c r="M76" s="21">
        <f>K76*L76</f>
        <v>58.02469135802469</v>
      </c>
      <c r="N76" s="22">
        <f>M76/1000</f>
        <v>0.05802469135802469</v>
      </c>
      <c r="O76" s="13" t="inlineStr">
        <is>
          <t>BBS</t>
        </is>
      </c>
    </row>
    <row r="77">
      <c r="A77" s="13" t="n">
        <v>72</v>
      </c>
      <c r="B77" s="13" t="inlineStr">
        <is>
          <t>Beams</t>
        </is>
      </c>
      <c r="C77" s="13" t="inlineStr">
        <is>
          <t>STR-060</t>
        </is>
      </c>
      <c r="D77" s="13" t="inlineStr">
        <is>
          <t>Second floor beams</t>
        </is>
      </c>
      <c r="E77" s="19" t="inlineStr">
        <is>
          <t>2002</t>
        </is>
      </c>
      <c r="F77" s="19" t="n">
        <v>20</v>
      </c>
      <c r="G77" s="19" t="n">
        <v>1</v>
      </c>
      <c r="H77" s="19" t="n">
        <v>2</v>
      </c>
      <c r="I77" s="13">
        <f>G77*H77</f>
        <v>2.0</v>
      </c>
      <c r="J77" s="20">
        <f>7300/1000</f>
        <v>7.3</v>
      </c>
      <c r="K77" s="21">
        <f>I77*J77</f>
        <v>14.6</v>
      </c>
      <c r="L77" s="22">
        <f>F77^2/162</f>
        <v>2.4691358024691357</v>
      </c>
      <c r="M77" s="21">
        <f>K77*L77</f>
        <v>36.04938271604938</v>
      </c>
      <c r="N77" s="22">
        <f>M77/1000</f>
        <v>0.03604938271604938</v>
      </c>
      <c r="O77" s="13" t="inlineStr">
        <is>
          <t>BBS</t>
        </is>
      </c>
    </row>
    <row r="78">
      <c r="A78" s="13" t="n">
        <v>73</v>
      </c>
      <c r="B78" s="13" t="inlineStr">
        <is>
          <t>Beams</t>
        </is>
      </c>
      <c r="C78" s="13" t="inlineStr">
        <is>
          <t>STR-060</t>
        </is>
      </c>
      <c r="D78" s="13" t="inlineStr">
        <is>
          <t>Second floor beams</t>
        </is>
      </c>
      <c r="E78" s="19" t="inlineStr">
        <is>
          <t>2003</t>
        </is>
      </c>
      <c r="F78" s="19" t="n">
        <v>20</v>
      </c>
      <c r="G78" s="19" t="n">
        <v>1</v>
      </c>
      <c r="H78" s="19" t="n">
        <v>2</v>
      </c>
      <c r="I78" s="13">
        <f>G78*H78</f>
        <v>2.0</v>
      </c>
      <c r="J78" s="20">
        <f>9400/1000</f>
        <v>9.4</v>
      </c>
      <c r="K78" s="21">
        <f>I78*J78</f>
        <v>18.8</v>
      </c>
      <c r="L78" s="22">
        <f>F78^2/162</f>
        <v>2.4691358024691357</v>
      </c>
      <c r="M78" s="21">
        <f>K78*L78</f>
        <v>46.41975308641975</v>
      </c>
      <c r="N78" s="22">
        <f>M78/1000</f>
        <v>0.046419753086419754</v>
      </c>
      <c r="O78" s="13" t="inlineStr">
        <is>
          <t>BBS</t>
        </is>
      </c>
    </row>
    <row r="79">
      <c r="A79" s="13" t="n">
        <v>74</v>
      </c>
      <c r="B79" s="13" t="inlineStr">
        <is>
          <t>Beams</t>
        </is>
      </c>
      <c r="C79" s="13" t="inlineStr">
        <is>
          <t>STR-060</t>
        </is>
      </c>
      <c r="D79" s="13" t="inlineStr">
        <is>
          <t>Second floor beams</t>
        </is>
      </c>
      <c r="E79" s="19" t="inlineStr">
        <is>
          <t>2004</t>
        </is>
      </c>
      <c r="F79" s="19" t="n">
        <v>20</v>
      </c>
      <c r="G79" s="19" t="n">
        <v>1</v>
      </c>
      <c r="H79" s="19" t="n">
        <v>2</v>
      </c>
      <c r="I79" s="13">
        <f>G79*H79</f>
        <v>2.0</v>
      </c>
      <c r="J79" s="20">
        <f>11900/1000</f>
        <v>11.9</v>
      </c>
      <c r="K79" s="21">
        <f>I79*J79</f>
        <v>23.8</v>
      </c>
      <c r="L79" s="22">
        <f>F79^2/162</f>
        <v>2.4691358024691357</v>
      </c>
      <c r="M79" s="21">
        <f>K79*L79</f>
        <v>58.76543209876543</v>
      </c>
      <c r="N79" s="22">
        <f>M79/1000</f>
        <v>0.05876543209876543</v>
      </c>
      <c r="O79" s="13" t="inlineStr">
        <is>
          <t>BBS</t>
        </is>
      </c>
    </row>
    <row r="80">
      <c r="A80" s="13" t="n">
        <v>75</v>
      </c>
      <c r="B80" s="13" t="inlineStr">
        <is>
          <t>Beams</t>
        </is>
      </c>
      <c r="C80" s="13" t="inlineStr">
        <is>
          <t>STR-060</t>
        </is>
      </c>
      <c r="D80" s="13" t="inlineStr">
        <is>
          <t>Second floor beams</t>
        </is>
      </c>
      <c r="E80" s="19" t="inlineStr">
        <is>
          <t>2005</t>
        </is>
      </c>
      <c r="F80" s="19" t="n">
        <v>20</v>
      </c>
      <c r="G80" s="19" t="n">
        <v>1</v>
      </c>
      <c r="H80" s="19" t="n">
        <v>2</v>
      </c>
      <c r="I80" s="13">
        <f>G80*H80</f>
        <v>2.0</v>
      </c>
      <c r="J80" s="20">
        <f>9550/1000</f>
        <v>9.55</v>
      </c>
      <c r="K80" s="21">
        <f>I80*J80</f>
        <v>19.1</v>
      </c>
      <c r="L80" s="22">
        <f>F80^2/162</f>
        <v>2.4691358024691357</v>
      </c>
      <c r="M80" s="21">
        <f>K80*L80</f>
        <v>47.160493827160494</v>
      </c>
      <c r="N80" s="22">
        <f>M80/1000</f>
        <v>0.04716049382716049</v>
      </c>
      <c r="O80" s="13" t="inlineStr">
        <is>
          <t>BBS</t>
        </is>
      </c>
    </row>
    <row r="81">
      <c r="A81" s="13" t="n">
        <v>76</v>
      </c>
      <c r="B81" s="13" t="inlineStr">
        <is>
          <t>Beams</t>
        </is>
      </c>
      <c r="C81" s="13" t="inlineStr">
        <is>
          <t>STR-060</t>
        </is>
      </c>
      <c r="D81" s="13" t="inlineStr">
        <is>
          <t>Second floor beams</t>
        </is>
      </c>
      <c r="E81" s="19" t="inlineStr">
        <is>
          <t>2006</t>
        </is>
      </c>
      <c r="F81" s="19" t="n">
        <v>20</v>
      </c>
      <c r="G81" s="19" t="n">
        <v>1</v>
      </c>
      <c r="H81" s="19" t="n">
        <v>2</v>
      </c>
      <c r="I81" s="13">
        <f>G81*H81</f>
        <v>2.0</v>
      </c>
      <c r="J81" s="20">
        <f>5900/1000</f>
        <v>5.9</v>
      </c>
      <c r="K81" s="21">
        <f>I81*J81</f>
        <v>11.8</v>
      </c>
      <c r="L81" s="22">
        <f>F81^2/162</f>
        <v>2.4691358024691357</v>
      </c>
      <c r="M81" s="21">
        <f>K81*L81</f>
        <v>29.135802469135804</v>
      </c>
      <c r="N81" s="22">
        <f>M81/1000</f>
        <v>0.029135802469135805</v>
      </c>
      <c r="O81" s="13" t="inlineStr">
        <is>
          <t>BBS</t>
        </is>
      </c>
    </row>
    <row r="82">
      <c r="A82" s="13" t="n">
        <v>77</v>
      </c>
      <c r="B82" s="13" t="inlineStr">
        <is>
          <t>Beams</t>
        </is>
      </c>
      <c r="C82" s="13" t="inlineStr">
        <is>
          <t>STR-060</t>
        </is>
      </c>
      <c r="D82" s="13" t="inlineStr">
        <is>
          <t>Second floor beams</t>
        </is>
      </c>
      <c r="E82" s="19" t="inlineStr">
        <is>
          <t>2007</t>
        </is>
      </c>
      <c r="F82" s="19" t="n">
        <v>20</v>
      </c>
      <c r="G82" s="19" t="n">
        <v>1</v>
      </c>
      <c r="H82" s="19" t="n">
        <v>4</v>
      </c>
      <c r="I82" s="13">
        <f>G82*H82</f>
        <v>4.0</v>
      </c>
      <c r="J82" s="20">
        <f>9300/1000</f>
        <v>9.3</v>
      </c>
      <c r="K82" s="21">
        <f>I82*J82</f>
        <v>37.2</v>
      </c>
      <c r="L82" s="22">
        <f>F82^2/162</f>
        <v>2.4691358024691357</v>
      </c>
      <c r="M82" s="21">
        <f>K82*L82</f>
        <v>91.85185185185185</v>
      </c>
      <c r="N82" s="22">
        <f>M82/1000</f>
        <v>0.09185185185185185</v>
      </c>
      <c r="O82" s="13" t="inlineStr">
        <is>
          <t>BBS</t>
        </is>
      </c>
    </row>
    <row r="83">
      <c r="A83" s="13" t="n">
        <v>78</v>
      </c>
      <c r="B83" s="13" t="inlineStr">
        <is>
          <t>Beams</t>
        </is>
      </c>
      <c r="C83" s="13" t="inlineStr">
        <is>
          <t>STR-060</t>
        </is>
      </c>
      <c r="D83" s="13" t="inlineStr">
        <is>
          <t>Second floor beams</t>
        </is>
      </c>
      <c r="E83" s="19" t="inlineStr">
        <is>
          <t>2008</t>
        </is>
      </c>
      <c r="F83" s="19" t="n">
        <v>20</v>
      </c>
      <c r="G83" s="19" t="n">
        <v>1</v>
      </c>
      <c r="H83" s="19" t="n">
        <v>2</v>
      </c>
      <c r="I83" s="13">
        <f>G83*H83</f>
        <v>2.0</v>
      </c>
      <c r="J83" s="20">
        <f>9100/1000</f>
        <v>9.1</v>
      </c>
      <c r="K83" s="21">
        <f>I83*J83</f>
        <v>18.2</v>
      </c>
      <c r="L83" s="22">
        <f>F83^2/162</f>
        <v>2.4691358024691357</v>
      </c>
      <c r="M83" s="21">
        <f>K83*L83</f>
        <v>44.938271604938265</v>
      </c>
      <c r="N83" s="22">
        <f>M83/1000</f>
        <v>0.04493827160493827</v>
      </c>
      <c r="O83" s="13" t="inlineStr">
        <is>
          <t>BBS</t>
        </is>
      </c>
    </row>
    <row r="84">
      <c r="A84" s="13" t="n">
        <v>79</v>
      </c>
      <c r="B84" s="13" t="inlineStr">
        <is>
          <t>Beams</t>
        </is>
      </c>
      <c r="C84" s="13" t="inlineStr">
        <is>
          <t>STR-060</t>
        </is>
      </c>
      <c r="D84" s="13" t="inlineStr">
        <is>
          <t>Second floor beams</t>
        </is>
      </c>
      <c r="E84" s="19" t="inlineStr">
        <is>
          <t>2009</t>
        </is>
      </c>
      <c r="F84" s="19" t="n">
        <v>20</v>
      </c>
      <c r="G84" s="19" t="n">
        <v>1</v>
      </c>
      <c r="H84" s="19" t="n">
        <v>3</v>
      </c>
      <c r="I84" s="13">
        <f>G84*H84</f>
        <v>3.0</v>
      </c>
      <c r="J84" s="20">
        <f>8200/1000</f>
        <v>8.2</v>
      </c>
      <c r="K84" s="21">
        <f>I84*J84</f>
        <v>24.599999999999998</v>
      </c>
      <c r="L84" s="22">
        <f>F84^2/162</f>
        <v>2.4691358024691357</v>
      </c>
      <c r="M84" s="21">
        <f>K84*L84</f>
        <v>60.74074074074073</v>
      </c>
      <c r="N84" s="22">
        <f>M84/1000</f>
        <v>0.060740740740740734</v>
      </c>
      <c r="O84" s="13" t="inlineStr">
        <is>
          <t>BBS</t>
        </is>
      </c>
    </row>
    <row r="85">
      <c r="A85" s="13" t="n">
        <v>80</v>
      </c>
      <c r="B85" s="13" t="inlineStr">
        <is>
          <t>Beams</t>
        </is>
      </c>
      <c r="C85" s="13" t="inlineStr">
        <is>
          <t>STR-060</t>
        </is>
      </c>
      <c r="D85" s="13" t="inlineStr">
        <is>
          <t>Second floor beams</t>
        </is>
      </c>
      <c r="E85" s="19" t="inlineStr">
        <is>
          <t>2010</t>
        </is>
      </c>
      <c r="F85" s="19" t="n">
        <v>20</v>
      </c>
      <c r="G85" s="19" t="n">
        <v>1</v>
      </c>
      <c r="H85" s="19" t="n">
        <v>3</v>
      </c>
      <c r="I85" s="13">
        <f>G85*H85</f>
        <v>3.0</v>
      </c>
      <c r="J85" s="20">
        <f>6550/1000</f>
        <v>6.55</v>
      </c>
      <c r="K85" s="21">
        <f>I85*J85</f>
        <v>19.65</v>
      </c>
      <c r="L85" s="22">
        <f>F85^2/162</f>
        <v>2.4691358024691357</v>
      </c>
      <c r="M85" s="21">
        <f>K85*L85</f>
        <v>48.51851851851851</v>
      </c>
      <c r="N85" s="22">
        <f>M85/1000</f>
        <v>0.04851851851851851</v>
      </c>
      <c r="O85" s="13" t="inlineStr">
        <is>
          <t>BBS</t>
        </is>
      </c>
    </row>
    <row r="86">
      <c r="A86" s="13" t="n">
        <v>81</v>
      </c>
      <c r="B86" s="13" t="inlineStr">
        <is>
          <t>Beams</t>
        </is>
      </c>
      <c r="C86" s="13" t="inlineStr">
        <is>
          <t>STR-060</t>
        </is>
      </c>
      <c r="D86" s="13" t="inlineStr">
        <is>
          <t>Second floor beams</t>
        </is>
      </c>
      <c r="E86" s="19" t="inlineStr">
        <is>
          <t>2011</t>
        </is>
      </c>
      <c r="F86" s="19" t="n">
        <v>20</v>
      </c>
      <c r="G86" s="19" t="n">
        <v>1</v>
      </c>
      <c r="H86" s="19" t="n">
        <v>3</v>
      </c>
      <c r="I86" s="13">
        <f>G86*H86</f>
        <v>3.0</v>
      </c>
      <c r="J86" s="20">
        <f>8200/1000</f>
        <v>8.2</v>
      </c>
      <c r="K86" s="21">
        <f>I86*J86</f>
        <v>24.599999999999998</v>
      </c>
      <c r="L86" s="22">
        <f>F86^2/162</f>
        <v>2.4691358024691357</v>
      </c>
      <c r="M86" s="21">
        <f>K86*L86</f>
        <v>60.74074074074073</v>
      </c>
      <c r="N86" s="22">
        <f>M86/1000</f>
        <v>0.060740740740740734</v>
      </c>
      <c r="O86" s="13" t="inlineStr">
        <is>
          <t>BBS</t>
        </is>
      </c>
    </row>
    <row r="87">
      <c r="A87" s="13" t="n">
        <v>82</v>
      </c>
      <c r="B87" s="13" t="inlineStr">
        <is>
          <t>Beams</t>
        </is>
      </c>
      <c r="C87" s="13" t="inlineStr">
        <is>
          <t>STR-060</t>
        </is>
      </c>
      <c r="D87" s="13" t="inlineStr">
        <is>
          <t>Second floor beams</t>
        </is>
      </c>
      <c r="E87" s="19" t="inlineStr">
        <is>
          <t>2012</t>
        </is>
      </c>
      <c r="F87" s="19" t="n">
        <v>20</v>
      </c>
      <c r="G87" s="19" t="n">
        <v>1</v>
      </c>
      <c r="H87" s="19" t="n">
        <v>3</v>
      </c>
      <c r="I87" s="13">
        <f>G87*H87</f>
        <v>3.0</v>
      </c>
      <c r="J87" s="20">
        <f>9250/1000</f>
        <v>9.25</v>
      </c>
      <c r="K87" s="21">
        <f>I87*J87</f>
        <v>27.75</v>
      </c>
      <c r="L87" s="22">
        <f>F87^2/162</f>
        <v>2.4691358024691357</v>
      </c>
      <c r="M87" s="21">
        <f>K87*L87</f>
        <v>68.51851851851852</v>
      </c>
      <c r="N87" s="22">
        <f>M87/1000</f>
        <v>0.06851851851851852</v>
      </c>
      <c r="O87" s="13" t="inlineStr">
        <is>
          <t>BBS</t>
        </is>
      </c>
    </row>
    <row r="88">
      <c r="A88" s="13" t="n">
        <v>83</v>
      </c>
      <c r="B88" s="13" t="inlineStr">
        <is>
          <t>Beams</t>
        </is>
      </c>
      <c r="C88" s="13" t="inlineStr">
        <is>
          <t>STR-060</t>
        </is>
      </c>
      <c r="D88" s="13" t="inlineStr">
        <is>
          <t>Second floor beams</t>
        </is>
      </c>
      <c r="E88" s="19" t="inlineStr">
        <is>
          <t>2013</t>
        </is>
      </c>
      <c r="F88" s="19" t="n">
        <v>20</v>
      </c>
      <c r="G88" s="19" t="n">
        <v>1</v>
      </c>
      <c r="H88" s="19" t="n">
        <v>3</v>
      </c>
      <c r="I88" s="13">
        <f>G88*H88</f>
        <v>3.0</v>
      </c>
      <c r="J88" s="20">
        <f>5700/1000</f>
        <v>5.7</v>
      </c>
      <c r="K88" s="21">
        <f>I88*J88</f>
        <v>17.1</v>
      </c>
      <c r="L88" s="22">
        <f>F88^2/162</f>
        <v>2.4691358024691357</v>
      </c>
      <c r="M88" s="21">
        <f>K88*L88</f>
        <v>42.22222222222222</v>
      </c>
      <c r="N88" s="22">
        <f>M88/1000</f>
        <v>0.042222222222222223</v>
      </c>
      <c r="O88" s="13" t="inlineStr">
        <is>
          <t>BBS</t>
        </is>
      </c>
    </row>
    <row r="89">
      <c r="A89" s="13" t="n">
        <v>84</v>
      </c>
      <c r="B89" s="13" t="inlineStr">
        <is>
          <t>Beams</t>
        </is>
      </c>
      <c r="C89" s="13" t="inlineStr">
        <is>
          <t>STR-060</t>
        </is>
      </c>
      <c r="D89" s="13" t="inlineStr">
        <is>
          <t>Second floor beams</t>
        </is>
      </c>
      <c r="E89" s="19" t="inlineStr">
        <is>
          <t>2014</t>
        </is>
      </c>
      <c r="F89" s="19" t="n">
        <v>20</v>
      </c>
      <c r="G89" s="19" t="n">
        <v>1</v>
      </c>
      <c r="H89" s="19" t="n">
        <v>3</v>
      </c>
      <c r="I89" s="13">
        <f>G89*H89</f>
        <v>3.0</v>
      </c>
      <c r="J89" s="20">
        <f>9400/1000</f>
        <v>9.4</v>
      </c>
      <c r="K89" s="21">
        <f>I89*J89</f>
        <v>28.200000000000003</v>
      </c>
      <c r="L89" s="22">
        <f>F89^2/162</f>
        <v>2.4691358024691357</v>
      </c>
      <c r="M89" s="21">
        <f>K89*L89</f>
        <v>69.62962962962963</v>
      </c>
      <c r="N89" s="22">
        <f>M89/1000</f>
        <v>0.06962962962962964</v>
      </c>
      <c r="O89" s="13" t="inlineStr">
        <is>
          <t>BBS</t>
        </is>
      </c>
    </row>
    <row r="90">
      <c r="A90" s="13" t="n">
        <v>85</v>
      </c>
      <c r="B90" s="13" t="inlineStr">
        <is>
          <t>Beams</t>
        </is>
      </c>
      <c r="C90" s="13" t="inlineStr">
        <is>
          <t>STR-060</t>
        </is>
      </c>
      <c r="D90" s="13" t="inlineStr">
        <is>
          <t>Second floor beams</t>
        </is>
      </c>
      <c r="E90" s="19" t="inlineStr">
        <is>
          <t>2015</t>
        </is>
      </c>
      <c r="F90" s="19" t="n">
        <v>20</v>
      </c>
      <c r="G90" s="19" t="n">
        <v>1</v>
      </c>
      <c r="H90" s="19" t="n">
        <v>3</v>
      </c>
      <c r="I90" s="13">
        <f>G90*H90</f>
        <v>3.0</v>
      </c>
      <c r="J90" s="20">
        <f>4600/1000</f>
        <v>4.6</v>
      </c>
      <c r="K90" s="21">
        <f>I90*J90</f>
        <v>13.799999999999999</v>
      </c>
      <c r="L90" s="22">
        <f>F90^2/162</f>
        <v>2.4691358024691357</v>
      </c>
      <c r="M90" s="21">
        <f>K90*L90</f>
        <v>34.07407407407407</v>
      </c>
      <c r="N90" s="22">
        <f>M90/1000</f>
        <v>0.03407407407407407</v>
      </c>
      <c r="O90" s="13" t="inlineStr">
        <is>
          <t>BBS</t>
        </is>
      </c>
    </row>
    <row r="91">
      <c r="A91" s="13" t="n">
        <v>86</v>
      </c>
      <c r="B91" s="13" t="inlineStr">
        <is>
          <t>Beams</t>
        </is>
      </c>
      <c r="C91" s="13" t="inlineStr">
        <is>
          <t>STR-060</t>
        </is>
      </c>
      <c r="D91" s="13" t="inlineStr">
        <is>
          <t>Second floor beams</t>
        </is>
      </c>
      <c r="E91" s="19" t="inlineStr">
        <is>
          <t>2501</t>
        </is>
      </c>
      <c r="F91" s="19" t="n">
        <v>25</v>
      </c>
      <c r="G91" s="19" t="n">
        <v>1</v>
      </c>
      <c r="H91" s="19" t="n">
        <v>3</v>
      </c>
      <c r="I91" s="13">
        <f>G91*H91</f>
        <v>3.0</v>
      </c>
      <c r="J91" s="20">
        <f>11200/1000</f>
        <v>11.2</v>
      </c>
      <c r="K91" s="21">
        <f>I91*J91</f>
        <v>33.599999999999994</v>
      </c>
      <c r="L91" s="22">
        <f>F91^2/162</f>
        <v>3.8580246913580245</v>
      </c>
      <c r="M91" s="21">
        <f>K91*L91</f>
        <v>129.6296296296296</v>
      </c>
      <c r="N91" s="22">
        <f>M91/1000</f>
        <v>0.1296296296296296</v>
      </c>
      <c r="O91" s="13" t="inlineStr">
        <is>
          <t>BBS</t>
        </is>
      </c>
    </row>
    <row r="92">
      <c r="A92" s="13" t="n">
        <v>87</v>
      </c>
      <c r="B92" s="13" t="inlineStr">
        <is>
          <t>Beams</t>
        </is>
      </c>
      <c r="C92" s="13" t="inlineStr">
        <is>
          <t>STR-060</t>
        </is>
      </c>
      <c r="D92" s="13" t="inlineStr">
        <is>
          <t>Second floor beams</t>
        </is>
      </c>
      <c r="E92" s="19" t="inlineStr">
        <is>
          <t>2502</t>
        </is>
      </c>
      <c r="F92" s="19" t="n">
        <v>25</v>
      </c>
      <c r="G92" s="19" t="n">
        <v>1</v>
      </c>
      <c r="H92" s="19" t="n">
        <v>3</v>
      </c>
      <c r="I92" s="13">
        <f>G92*H92</f>
        <v>3.0</v>
      </c>
      <c r="J92" s="20">
        <f>9400/1000</f>
        <v>9.4</v>
      </c>
      <c r="K92" s="21">
        <f>I92*J92</f>
        <v>28.200000000000003</v>
      </c>
      <c r="L92" s="22">
        <f>F92^2/162</f>
        <v>3.8580246913580245</v>
      </c>
      <c r="M92" s="21">
        <f>K92*L92</f>
        <v>108.7962962962963</v>
      </c>
      <c r="N92" s="22">
        <f>M92/1000</f>
        <v>0.10879629629629631</v>
      </c>
      <c r="O92" s="13" t="inlineStr">
        <is>
          <t>BBS</t>
        </is>
      </c>
    </row>
    <row r="93">
      <c r="A93" s="13" t="n">
        <v>88</v>
      </c>
      <c r="B93" s="13" t="inlineStr">
        <is>
          <t>Beams</t>
        </is>
      </c>
      <c r="C93" s="13" t="inlineStr">
        <is>
          <t>STR-060</t>
        </is>
      </c>
      <c r="D93" s="13" t="inlineStr">
        <is>
          <t>Second floor beams</t>
        </is>
      </c>
      <c r="E93" s="19" t="inlineStr">
        <is>
          <t>2503</t>
        </is>
      </c>
      <c r="F93" s="19" t="n">
        <v>25</v>
      </c>
      <c r="G93" s="19" t="n">
        <v>1</v>
      </c>
      <c r="H93" s="19" t="n">
        <v>3</v>
      </c>
      <c r="I93" s="13">
        <f>G93*H93</f>
        <v>3.0</v>
      </c>
      <c r="J93" s="20">
        <f>12000/1000</f>
        <v>12.0</v>
      </c>
      <c r="K93" s="21">
        <f>I93*J93</f>
        <v>36.0</v>
      </c>
      <c r="L93" s="22">
        <f>F93^2/162</f>
        <v>3.8580246913580245</v>
      </c>
      <c r="M93" s="21">
        <f>K93*L93</f>
        <v>138.88888888888889</v>
      </c>
      <c r="N93" s="22">
        <f>M93/1000</f>
        <v>0.1388888888888889</v>
      </c>
      <c r="O93" s="13" t="inlineStr">
        <is>
          <t>BBS</t>
        </is>
      </c>
    </row>
    <row r="94">
      <c r="A94" s="13" t="n">
        <v>89</v>
      </c>
      <c r="B94" s="13" t="inlineStr">
        <is>
          <t>Beams</t>
        </is>
      </c>
      <c r="C94" s="13" t="inlineStr">
        <is>
          <t>STR-060</t>
        </is>
      </c>
      <c r="D94" s="13" t="inlineStr">
        <is>
          <t>Second floor beams</t>
        </is>
      </c>
      <c r="E94" s="19" t="inlineStr">
        <is>
          <t>2504</t>
        </is>
      </c>
      <c r="F94" s="19" t="n">
        <v>25</v>
      </c>
      <c r="G94" s="19" t="n">
        <v>1</v>
      </c>
      <c r="H94" s="19" t="n">
        <v>3</v>
      </c>
      <c r="I94" s="13">
        <f>G94*H94</f>
        <v>3.0</v>
      </c>
      <c r="J94" s="20">
        <f>7100/1000</f>
        <v>7.1</v>
      </c>
      <c r="K94" s="21">
        <f>I94*J94</f>
        <v>21.299999999999997</v>
      </c>
      <c r="L94" s="22">
        <f>F94^2/162</f>
        <v>3.8580246913580245</v>
      </c>
      <c r="M94" s="21">
        <f>K94*L94</f>
        <v>82.17592592592591</v>
      </c>
      <c r="N94" s="22">
        <f>M94/1000</f>
        <v>0.08217592592592592</v>
      </c>
      <c r="O94" s="13" t="inlineStr">
        <is>
          <t>BBS</t>
        </is>
      </c>
    </row>
    <row r="95">
      <c r="A95" s="13" t="n">
        <v>90</v>
      </c>
      <c r="B95" s="13" t="inlineStr">
        <is>
          <t>Beams</t>
        </is>
      </c>
      <c r="C95" s="13" t="inlineStr">
        <is>
          <t>STR-060</t>
        </is>
      </c>
      <c r="D95" s="13" t="inlineStr">
        <is>
          <t>Second floor beams</t>
        </is>
      </c>
      <c r="E95" s="19" t="inlineStr">
        <is>
          <t>2505</t>
        </is>
      </c>
      <c r="F95" s="19" t="n">
        <v>25</v>
      </c>
      <c r="G95" s="19" t="n">
        <v>1</v>
      </c>
      <c r="H95" s="19" t="n">
        <v>6</v>
      </c>
      <c r="I95" s="13">
        <f>G95*H95</f>
        <v>6.0</v>
      </c>
      <c r="J95" s="20">
        <f>9300/1000</f>
        <v>9.3</v>
      </c>
      <c r="K95" s="21">
        <f>I95*J95</f>
        <v>55.800000000000004</v>
      </c>
      <c r="L95" s="22">
        <f>F95^2/162</f>
        <v>3.8580246913580245</v>
      </c>
      <c r="M95" s="21">
        <f>K95*L95</f>
        <v>215.27777777777777</v>
      </c>
      <c r="N95" s="22">
        <f>M95/1000</f>
        <v>0.21527777777777776</v>
      </c>
      <c r="O95" s="13" t="inlineStr">
        <is>
          <t>BBS</t>
        </is>
      </c>
    </row>
    <row r="96">
      <c r="A96" s="13" t="n">
        <v>91</v>
      </c>
      <c r="B96" s="13" t="inlineStr">
        <is>
          <t>Beams</t>
        </is>
      </c>
      <c r="C96" s="13" t="inlineStr">
        <is>
          <t>STR-060</t>
        </is>
      </c>
      <c r="D96" s="13" t="inlineStr">
        <is>
          <t>Second floor beams</t>
        </is>
      </c>
      <c r="E96" s="19" t="inlineStr">
        <is>
          <t>2506</t>
        </is>
      </c>
      <c r="F96" s="19" t="n">
        <v>25</v>
      </c>
      <c r="G96" s="19" t="n">
        <v>1</v>
      </c>
      <c r="H96" s="19" t="n">
        <v>3</v>
      </c>
      <c r="I96" s="13">
        <f>G96*H96</f>
        <v>3.0</v>
      </c>
      <c r="J96" s="20">
        <f>9000/1000</f>
        <v>9.0</v>
      </c>
      <c r="K96" s="21">
        <f>I96*J96</f>
        <v>27.0</v>
      </c>
      <c r="L96" s="22">
        <f>F96^2/162</f>
        <v>3.8580246913580245</v>
      </c>
      <c r="M96" s="21">
        <f>K96*L96</f>
        <v>104.16666666666666</v>
      </c>
      <c r="N96" s="22">
        <f>M96/1000</f>
        <v>0.10416666666666666</v>
      </c>
      <c r="O96" s="13" t="inlineStr">
        <is>
          <t>BBS</t>
        </is>
      </c>
    </row>
    <row r="97">
      <c r="A97" s="13" t="n">
        <v>92</v>
      </c>
      <c r="B97" s="13" t="inlineStr">
        <is>
          <t>Beams</t>
        </is>
      </c>
      <c r="C97" s="13" t="inlineStr">
        <is>
          <t>STR-060</t>
        </is>
      </c>
      <c r="D97" s="13" t="inlineStr">
        <is>
          <t>Second floor beams</t>
        </is>
      </c>
      <c r="E97" s="19" t="inlineStr">
        <is>
          <t>2507</t>
        </is>
      </c>
      <c r="F97" s="19" t="n">
        <v>25</v>
      </c>
      <c r="G97" s="19" t="n">
        <v>1</v>
      </c>
      <c r="H97" s="19" t="n">
        <v>3</v>
      </c>
      <c r="I97" s="13">
        <f>G97*H97</f>
        <v>3.0</v>
      </c>
      <c r="J97" s="20">
        <f>9850/1000</f>
        <v>9.85</v>
      </c>
      <c r="K97" s="21">
        <f>I97*J97</f>
        <v>29.549999999999997</v>
      </c>
      <c r="L97" s="22">
        <f>F97^2/162</f>
        <v>3.8580246913580245</v>
      </c>
      <c r="M97" s="21">
        <f>K97*L97</f>
        <v>114.00462962962962</v>
      </c>
      <c r="N97" s="22">
        <f>M97/1000</f>
        <v>0.11400462962962962</v>
      </c>
      <c r="O97" s="13" t="inlineStr">
        <is>
          <t>BBS</t>
        </is>
      </c>
    </row>
    <row r="98">
      <c r="A98" s="13" t="n">
        <v>93</v>
      </c>
      <c r="B98" s="13" t="inlineStr">
        <is>
          <t>Beams</t>
        </is>
      </c>
      <c r="C98" s="13" t="inlineStr">
        <is>
          <t>STR-060</t>
        </is>
      </c>
      <c r="D98" s="13" t="inlineStr">
        <is>
          <t>Second floor beams</t>
        </is>
      </c>
      <c r="E98" s="19" t="inlineStr">
        <is>
          <t>2508</t>
        </is>
      </c>
      <c r="F98" s="19" t="n">
        <v>25</v>
      </c>
      <c r="G98" s="19" t="n">
        <v>1</v>
      </c>
      <c r="H98" s="19" t="n">
        <v>3</v>
      </c>
      <c r="I98" s="13">
        <f>G98*H98</f>
        <v>3.0</v>
      </c>
      <c r="J98" s="20">
        <f>5850/1000</f>
        <v>5.85</v>
      </c>
      <c r="K98" s="21">
        <f>I98*J98</f>
        <v>17.549999999999997</v>
      </c>
      <c r="L98" s="22">
        <f>F98^2/162</f>
        <v>3.8580246913580245</v>
      </c>
      <c r="M98" s="21">
        <f>K98*L98</f>
        <v>67.70833333333331</v>
      </c>
      <c r="N98" s="22">
        <f>M98/1000</f>
        <v>0.06770833333333331</v>
      </c>
      <c r="O98" s="13" t="inlineStr">
        <is>
          <t>BBS</t>
        </is>
      </c>
    </row>
    <row r="99">
      <c r="A99" s="13" t="n">
        <v>94</v>
      </c>
      <c r="B99" s="13" t="inlineStr">
        <is>
          <t>Beams</t>
        </is>
      </c>
      <c r="C99" s="13" t="inlineStr">
        <is>
          <t>STR-060</t>
        </is>
      </c>
      <c r="D99" s="13" t="inlineStr">
        <is>
          <t>Second floor beams</t>
        </is>
      </c>
      <c r="E99" s="19" t="inlineStr">
        <is>
          <t>2509</t>
        </is>
      </c>
      <c r="F99" s="19" t="n">
        <v>25</v>
      </c>
      <c r="G99" s="19" t="n">
        <v>1</v>
      </c>
      <c r="H99" s="19" t="n">
        <v>3</v>
      </c>
      <c r="I99" s="13">
        <f>G99*H99</f>
        <v>3.0</v>
      </c>
      <c r="J99" s="20">
        <f>9300/1000</f>
        <v>9.3</v>
      </c>
      <c r="K99" s="21">
        <f>I99*J99</f>
        <v>27.900000000000002</v>
      </c>
      <c r="L99" s="22">
        <f>F99^2/162</f>
        <v>3.8580246913580245</v>
      </c>
      <c r="M99" s="21">
        <f>K99*L99</f>
        <v>107.63888888888889</v>
      </c>
      <c r="N99" s="22">
        <f>M99/1000</f>
        <v>0.10763888888888888</v>
      </c>
      <c r="O99" s="13" t="inlineStr">
        <is>
          <t>BBS</t>
        </is>
      </c>
    </row>
    <row r="100">
      <c r="A100" s="13" t="n">
        <v>95</v>
      </c>
      <c r="B100" s="13" t="inlineStr">
        <is>
          <t>Beams</t>
        </is>
      </c>
      <c r="C100" s="13" t="inlineStr">
        <is>
          <t>STR-060</t>
        </is>
      </c>
      <c r="D100" s="13" t="inlineStr">
        <is>
          <t>Second floor beams</t>
        </is>
      </c>
      <c r="E100" s="19" t="inlineStr">
        <is>
          <t>2510</t>
        </is>
      </c>
      <c r="F100" s="19" t="n">
        <v>25</v>
      </c>
      <c r="G100" s="19" t="n">
        <v>1</v>
      </c>
      <c r="H100" s="19" t="n">
        <v>3</v>
      </c>
      <c r="I100" s="13">
        <f>G100*H100</f>
        <v>3.0</v>
      </c>
      <c r="J100" s="20">
        <f>9100/1000</f>
        <v>9.1</v>
      </c>
      <c r="K100" s="21">
        <f>I100*J100</f>
        <v>27.299999999999997</v>
      </c>
      <c r="L100" s="22">
        <f>F100^2/162</f>
        <v>3.8580246913580245</v>
      </c>
      <c r="M100" s="21">
        <f>K100*L100</f>
        <v>105.32407407407406</v>
      </c>
      <c r="N100" s="22">
        <f>M100/1000</f>
        <v>0.10532407407407406</v>
      </c>
      <c r="O100" s="13" t="inlineStr">
        <is>
          <t>BBS</t>
        </is>
      </c>
    </row>
    <row r="101">
      <c r="A101" s="13" t="n">
        <v>96</v>
      </c>
      <c r="B101" s="13" t="inlineStr">
        <is>
          <t>Beams</t>
        </is>
      </c>
      <c r="C101" s="13" t="inlineStr">
        <is>
          <t>STR-060</t>
        </is>
      </c>
      <c r="D101" s="13" t="inlineStr">
        <is>
          <t>Second floor beams</t>
        </is>
      </c>
      <c r="E101" s="19" t="inlineStr">
        <is>
          <t>2511</t>
        </is>
      </c>
      <c r="F101" s="19" t="n">
        <v>25</v>
      </c>
      <c r="G101" s="19" t="n">
        <v>1</v>
      </c>
      <c r="H101" s="19" t="n">
        <v>3</v>
      </c>
      <c r="I101" s="13">
        <f>G101*H101</f>
        <v>3.0</v>
      </c>
      <c r="J101" s="20">
        <f>10475/1000</f>
        <v>10.475</v>
      </c>
      <c r="K101" s="21">
        <f>I101*J101</f>
        <v>31.424999999999997</v>
      </c>
      <c r="L101" s="22">
        <f>F101^2/162</f>
        <v>3.8580246913580245</v>
      </c>
      <c r="M101" s="21">
        <f>K101*L101</f>
        <v>121.23842592592591</v>
      </c>
      <c r="N101" s="22">
        <f>M101/1000</f>
        <v>0.12123842592592592</v>
      </c>
      <c r="O101" s="13" t="inlineStr">
        <is>
          <t>BBS</t>
        </is>
      </c>
    </row>
    <row r="102">
      <c r="A102" s="13" t="n">
        <v>97</v>
      </c>
      <c r="B102" s="13" t="inlineStr">
        <is>
          <t>Beams</t>
        </is>
      </c>
      <c r="C102" s="13" t="inlineStr">
        <is>
          <t>STR-060</t>
        </is>
      </c>
      <c r="D102" s="13" t="inlineStr">
        <is>
          <t>Second floor beams</t>
        </is>
      </c>
      <c r="E102" s="19" t="inlineStr">
        <is>
          <t>2512</t>
        </is>
      </c>
      <c r="F102" s="19" t="n">
        <v>25</v>
      </c>
      <c r="G102" s="19" t="n">
        <v>1</v>
      </c>
      <c r="H102" s="19" t="n">
        <v>3</v>
      </c>
      <c r="I102" s="13">
        <f>G102*H102</f>
        <v>3.0</v>
      </c>
      <c r="J102" s="20">
        <f>4800/1000</f>
        <v>4.8</v>
      </c>
      <c r="K102" s="21">
        <f>I102*J102</f>
        <v>14.399999999999999</v>
      </c>
      <c r="L102" s="22">
        <f>F102^2/162</f>
        <v>3.8580246913580245</v>
      </c>
      <c r="M102" s="21">
        <f>K102*L102</f>
        <v>55.55555555555555</v>
      </c>
      <c r="N102" s="22">
        <f>M102/1000</f>
        <v>0.05555555555555555</v>
      </c>
      <c r="O102" s="13" t="inlineStr">
        <is>
          <t>BBS</t>
        </is>
      </c>
    </row>
    <row r="103">
      <c r="A103" s="13" t="n">
        <v>98</v>
      </c>
      <c r="B103" s="13" t="inlineStr">
        <is>
          <t>Beams</t>
        </is>
      </c>
      <c r="C103" s="13" t="inlineStr">
        <is>
          <t>STR-060</t>
        </is>
      </c>
      <c r="D103" s="13" t="inlineStr">
        <is>
          <t>Second floor beams</t>
        </is>
      </c>
      <c r="E103" s="19" t="inlineStr">
        <is>
          <t>2513</t>
        </is>
      </c>
      <c r="F103" s="19" t="n">
        <v>25</v>
      </c>
      <c r="G103" s="19" t="n">
        <v>1</v>
      </c>
      <c r="H103" s="19" t="n">
        <v>3</v>
      </c>
      <c r="I103" s="13">
        <f>G103*H103</f>
        <v>3.0</v>
      </c>
      <c r="J103" s="20">
        <f>10750/1000</f>
        <v>10.75</v>
      </c>
      <c r="K103" s="21">
        <f>I103*J103</f>
        <v>32.25</v>
      </c>
      <c r="L103" s="22">
        <f>F103^2/162</f>
        <v>3.8580246913580245</v>
      </c>
      <c r="M103" s="21">
        <f>K103*L103</f>
        <v>124.42129629629629</v>
      </c>
      <c r="N103" s="22">
        <f>M103/1000</f>
        <v>0.1244212962962963</v>
      </c>
      <c r="O103" s="13" t="inlineStr">
        <is>
          <t>BBS</t>
        </is>
      </c>
    </row>
    <row r="104">
      <c r="A104" s="13" t="n">
        <v>99</v>
      </c>
      <c r="B104" s="13" t="inlineStr">
        <is>
          <t>Beams</t>
        </is>
      </c>
      <c r="C104" s="13" t="inlineStr">
        <is>
          <t>STR-060</t>
        </is>
      </c>
      <c r="D104" s="13" t="inlineStr">
        <is>
          <t>Second floor beams</t>
        </is>
      </c>
      <c r="E104" s="19" t="inlineStr">
        <is>
          <t>2514</t>
        </is>
      </c>
      <c r="F104" s="19" t="n">
        <v>25</v>
      </c>
      <c r="G104" s="19" t="n">
        <v>1</v>
      </c>
      <c r="H104" s="19" t="n">
        <v>3</v>
      </c>
      <c r="I104" s="13">
        <f>G104*H104</f>
        <v>3.0</v>
      </c>
      <c r="J104" s="20">
        <f>8400/1000</f>
        <v>8.4</v>
      </c>
      <c r="K104" s="21">
        <f>I104*J104</f>
        <v>25.200000000000003</v>
      </c>
      <c r="L104" s="22">
        <f>F104^2/162</f>
        <v>3.8580246913580245</v>
      </c>
      <c r="M104" s="21">
        <f>K104*L104</f>
        <v>97.22222222222223</v>
      </c>
      <c r="N104" s="22">
        <f>M104/1000</f>
        <v>0.09722222222222222</v>
      </c>
      <c r="O104" s="13" t="inlineStr">
        <is>
          <t>BBS</t>
        </is>
      </c>
    </row>
    <row r="105">
      <c r="A105" s="13" t="n">
        <v>100</v>
      </c>
      <c r="B105" s="13" t="inlineStr">
        <is>
          <t>Beams</t>
        </is>
      </c>
      <c r="C105" s="13" t="inlineStr">
        <is>
          <t>STR-060</t>
        </is>
      </c>
      <c r="D105" s="13" t="inlineStr">
        <is>
          <t>Second floor beams</t>
        </is>
      </c>
      <c r="E105" s="19" t="inlineStr">
        <is>
          <t>2515</t>
        </is>
      </c>
      <c r="F105" s="19" t="n">
        <v>25</v>
      </c>
      <c r="G105" s="19" t="n">
        <v>1</v>
      </c>
      <c r="H105" s="19" t="n">
        <v>3</v>
      </c>
      <c r="I105" s="13">
        <f>G105*H105</f>
        <v>3.0</v>
      </c>
      <c r="J105" s="20">
        <f>10100/1000</f>
        <v>10.1</v>
      </c>
      <c r="K105" s="21">
        <f>I105*J105</f>
        <v>30.299999999999997</v>
      </c>
      <c r="L105" s="22">
        <f>F105^2/162</f>
        <v>3.8580246913580245</v>
      </c>
      <c r="M105" s="21">
        <f>K105*L105</f>
        <v>116.89814814814814</v>
      </c>
      <c r="N105" s="22">
        <f>M105/1000</f>
        <v>0.11689814814814814</v>
      </c>
      <c r="O105" s="13" t="inlineStr">
        <is>
          <t>BBS</t>
        </is>
      </c>
    </row>
    <row r="106">
      <c r="A106" s="13" t="n">
        <v>101</v>
      </c>
      <c r="B106" s="13" t="inlineStr">
        <is>
          <t>Beams</t>
        </is>
      </c>
      <c r="C106" s="13" t="inlineStr">
        <is>
          <t>STR-060</t>
        </is>
      </c>
      <c r="D106" s="13" t="inlineStr">
        <is>
          <t>Second floor beams</t>
        </is>
      </c>
      <c r="E106" s="19" t="inlineStr">
        <is>
          <t>2516</t>
        </is>
      </c>
      <c r="F106" s="19" t="n">
        <v>25</v>
      </c>
      <c r="G106" s="19" t="n">
        <v>1</v>
      </c>
      <c r="H106" s="19" t="n">
        <v>3</v>
      </c>
      <c r="I106" s="13">
        <f>G106*H106</f>
        <v>3.0</v>
      </c>
      <c r="J106" s="20">
        <f>9500/1000</f>
        <v>9.5</v>
      </c>
      <c r="K106" s="21">
        <f>I106*J106</f>
        <v>28.5</v>
      </c>
      <c r="L106" s="22">
        <f>F106^2/162</f>
        <v>3.8580246913580245</v>
      </c>
      <c r="M106" s="21">
        <f>K106*L106</f>
        <v>109.9537037037037</v>
      </c>
      <c r="N106" s="22">
        <f>M106/1000</f>
        <v>0.10995370370370369</v>
      </c>
      <c r="O106" s="13" t="inlineStr">
        <is>
          <t>BBS</t>
        </is>
      </c>
    </row>
    <row r="107">
      <c r="A107" s="13" t="n">
        <v>102</v>
      </c>
      <c r="B107" s="13" t="inlineStr">
        <is>
          <t>Beams</t>
        </is>
      </c>
      <c r="C107" s="13" t="inlineStr">
        <is>
          <t>STR-060</t>
        </is>
      </c>
      <c r="D107" s="13" t="inlineStr">
        <is>
          <t>Second floor beams</t>
        </is>
      </c>
      <c r="E107" s="19" t="inlineStr">
        <is>
          <t>2517</t>
        </is>
      </c>
      <c r="F107" s="19" t="n">
        <v>25</v>
      </c>
      <c r="G107" s="19" t="n">
        <v>1</v>
      </c>
      <c r="H107" s="19" t="n">
        <v>3</v>
      </c>
      <c r="I107" s="13">
        <f>G107*H107</f>
        <v>3.0</v>
      </c>
      <c r="J107" s="20">
        <f>5850/1000</f>
        <v>5.85</v>
      </c>
      <c r="K107" s="21">
        <f>I107*J107</f>
        <v>17.549999999999997</v>
      </c>
      <c r="L107" s="22">
        <f>F107^2/162</f>
        <v>3.8580246913580245</v>
      </c>
      <c r="M107" s="21">
        <f>K107*L107</f>
        <v>67.70833333333331</v>
      </c>
      <c r="N107" s="22">
        <f>M107/1000</f>
        <v>0.06770833333333331</v>
      </c>
      <c r="O107" s="13" t="inlineStr">
        <is>
          <t>BBS</t>
        </is>
      </c>
    </row>
    <row r="108">
      <c r="A108" s="13" t="n">
        <v>103</v>
      </c>
      <c r="B108" s="13" t="inlineStr">
        <is>
          <t>Beams</t>
        </is>
      </c>
      <c r="C108" s="13" t="inlineStr">
        <is>
          <t>STR-060</t>
        </is>
      </c>
      <c r="D108" s="13" t="inlineStr">
        <is>
          <t>Second floor beams</t>
        </is>
      </c>
      <c r="E108" s="19" t="inlineStr">
        <is>
          <t>2518</t>
        </is>
      </c>
      <c r="F108" s="19" t="n">
        <v>25</v>
      </c>
      <c r="G108" s="19" t="n">
        <v>1</v>
      </c>
      <c r="H108" s="19" t="n">
        <v>3</v>
      </c>
      <c r="I108" s="13">
        <f>G108*H108</f>
        <v>3.0</v>
      </c>
      <c r="J108" s="20">
        <f>8000/1000</f>
        <v>8.0</v>
      </c>
      <c r="K108" s="21">
        <f>I108*J108</f>
        <v>24.0</v>
      </c>
      <c r="L108" s="22">
        <f>F108^2/162</f>
        <v>3.8580246913580245</v>
      </c>
      <c r="M108" s="21">
        <f>K108*L108</f>
        <v>92.59259259259258</v>
      </c>
      <c r="N108" s="22">
        <f>M108/1000</f>
        <v>0.09259259259259259</v>
      </c>
      <c r="O108" s="13" t="inlineStr">
        <is>
          <t>BBS</t>
        </is>
      </c>
    </row>
    <row r="109">
      <c r="A109" s="13" t="n">
        <v>104</v>
      </c>
      <c r="B109" s="13" t="inlineStr">
        <is>
          <t>Beams</t>
        </is>
      </c>
      <c r="C109" s="13" t="inlineStr">
        <is>
          <t>STR-060</t>
        </is>
      </c>
      <c r="D109" s="13" t="inlineStr">
        <is>
          <t>Second floor beams</t>
        </is>
      </c>
      <c r="E109" s="19" t="inlineStr">
        <is>
          <t>2519</t>
        </is>
      </c>
      <c r="F109" s="19" t="n">
        <v>25</v>
      </c>
      <c r="G109" s="19" t="n">
        <v>1</v>
      </c>
      <c r="H109" s="19" t="n">
        <v>3</v>
      </c>
      <c r="I109" s="13">
        <f>G109*H109</f>
        <v>3.0</v>
      </c>
      <c r="J109" s="20">
        <f>8700/1000</f>
        <v>8.7</v>
      </c>
      <c r="K109" s="21">
        <f>I109*J109</f>
        <v>26.099999999999998</v>
      </c>
      <c r="L109" s="22">
        <f>F109^2/162</f>
        <v>3.8580246913580245</v>
      </c>
      <c r="M109" s="21">
        <f>K109*L109</f>
        <v>100.69444444444443</v>
      </c>
      <c r="N109" s="22">
        <f>M109/1000</f>
        <v>0.10069444444444443</v>
      </c>
      <c r="O109" s="13" t="inlineStr">
        <is>
          <t>BBS</t>
        </is>
      </c>
    </row>
    <row r="110">
      <c r="A110" s="13" t="n">
        <v>105</v>
      </c>
      <c r="B110" s="13" t="inlineStr">
        <is>
          <t>Beams</t>
        </is>
      </c>
      <c r="C110" s="13" t="inlineStr">
        <is>
          <t>STR-060</t>
        </is>
      </c>
      <c r="D110" s="13" t="inlineStr">
        <is>
          <t>Second floor beams</t>
        </is>
      </c>
      <c r="E110" s="19" t="inlineStr">
        <is>
          <t>2520</t>
        </is>
      </c>
      <c r="F110" s="19" t="n">
        <v>25</v>
      </c>
      <c r="G110" s="19" t="n">
        <v>1</v>
      </c>
      <c r="H110" s="19" t="n">
        <v>3</v>
      </c>
      <c r="I110" s="13">
        <f>G110*H110</f>
        <v>3.0</v>
      </c>
      <c r="J110" s="20">
        <f>5900/1000</f>
        <v>5.9</v>
      </c>
      <c r="K110" s="21">
        <f>I110*J110</f>
        <v>17.700000000000003</v>
      </c>
      <c r="L110" s="22">
        <f>F110^2/162</f>
        <v>3.8580246913580245</v>
      </c>
      <c r="M110" s="21">
        <f>K110*L110</f>
        <v>68.28703703703704</v>
      </c>
      <c r="N110" s="22">
        <f>M110/1000</f>
        <v>0.06828703703703703</v>
      </c>
      <c r="O110" s="13" t="inlineStr">
        <is>
          <t>BBS</t>
        </is>
      </c>
    </row>
    <row r="111">
      <c r="A111" s="13" t="n">
        <v>106</v>
      </c>
      <c r="B111" s="13" t="inlineStr">
        <is>
          <t>Beams</t>
        </is>
      </c>
      <c r="C111" s="13" t="inlineStr">
        <is>
          <t>STR-060</t>
        </is>
      </c>
      <c r="D111" s="13" t="inlineStr">
        <is>
          <t>Second floor beams</t>
        </is>
      </c>
      <c r="E111" s="19" t="inlineStr">
        <is>
          <t>2521</t>
        </is>
      </c>
      <c r="F111" s="19" t="n">
        <v>25</v>
      </c>
      <c r="G111" s="19" t="n">
        <v>1</v>
      </c>
      <c r="H111" s="19" t="n">
        <v>12</v>
      </c>
      <c r="I111" s="13">
        <f>G111*H111</f>
        <v>12.0</v>
      </c>
      <c r="J111" s="20">
        <f>6450/1000</f>
        <v>6.45</v>
      </c>
      <c r="K111" s="21">
        <f>I111*J111</f>
        <v>77.4</v>
      </c>
      <c r="L111" s="22">
        <f>F111^2/162</f>
        <v>3.8580246913580245</v>
      </c>
      <c r="M111" s="21">
        <f>K111*L111</f>
        <v>298.61111111111114</v>
      </c>
      <c r="N111" s="22">
        <f>M111/1000</f>
        <v>0.29861111111111116</v>
      </c>
      <c r="O111" s="13" t="inlineStr">
        <is>
          <t>BBS</t>
        </is>
      </c>
    </row>
    <row r="112">
      <c r="A112" s="13" t="n">
        <v>107</v>
      </c>
      <c r="B112" s="13" t="inlineStr">
        <is>
          <t>Floor Slabs</t>
        </is>
      </c>
      <c r="C112" s="13" t="inlineStr">
        <is>
          <t>STR-061</t>
        </is>
      </c>
      <c r="D112" s="13" t="inlineStr">
        <is>
          <t>Second floor slab - bottom</t>
        </is>
      </c>
      <c r="E112" s="19" t="inlineStr">
        <is>
          <t>1201</t>
        </is>
      </c>
      <c r="F112" s="19" t="n">
        <v>12</v>
      </c>
      <c r="G112" s="19" t="n">
        <v>1</v>
      </c>
      <c r="H112" s="19" t="n">
        <v>114</v>
      </c>
      <c r="I112" s="13">
        <f>G112*H112</f>
        <v>114.0</v>
      </c>
      <c r="J112" s="20">
        <f>8250/1000</f>
        <v>8.25</v>
      </c>
      <c r="K112" s="21">
        <f>I112*J112</f>
        <v>940.5</v>
      </c>
      <c r="L112" s="22">
        <f>F112^2/162</f>
        <v>0.8888888888888888</v>
      </c>
      <c r="M112" s="21">
        <f>K112*L112</f>
        <v>836.0</v>
      </c>
      <c r="N112" s="22">
        <f>M112/1000</f>
        <v>0.836</v>
      </c>
      <c r="O112" s="13" t="inlineStr">
        <is>
          <t>BBS</t>
        </is>
      </c>
    </row>
    <row r="113">
      <c r="A113" s="13" t="n">
        <v>108</v>
      </c>
      <c r="B113" s="13" t="inlineStr">
        <is>
          <t>Floor Slabs</t>
        </is>
      </c>
      <c r="C113" s="13" t="inlineStr">
        <is>
          <t>STR-061</t>
        </is>
      </c>
      <c r="D113" s="13" t="inlineStr">
        <is>
          <t>Second floor slab - bottom</t>
        </is>
      </c>
      <c r="E113" s="19" t="inlineStr">
        <is>
          <t>1202</t>
        </is>
      </c>
      <c r="F113" s="19" t="n">
        <v>12</v>
      </c>
      <c r="G113" s="19" t="n">
        <v>1</v>
      </c>
      <c r="H113" s="19" t="n">
        <v>141</v>
      </c>
      <c r="I113" s="13">
        <f>G113*H113</f>
        <v>141.0</v>
      </c>
      <c r="J113" s="20">
        <f>9250/1000</f>
        <v>9.25</v>
      </c>
      <c r="K113" s="21">
        <f>I113*J113</f>
        <v>1304.25</v>
      </c>
      <c r="L113" s="22">
        <f>F113^2/162</f>
        <v>0.8888888888888888</v>
      </c>
      <c r="M113" s="21">
        <f>K113*L113</f>
        <v>1159.3333333333333</v>
      </c>
      <c r="N113" s="22">
        <f>M113/1000</f>
        <v>1.1593333333333333</v>
      </c>
      <c r="O113" s="13" t="inlineStr">
        <is>
          <t>BBS</t>
        </is>
      </c>
    </row>
    <row r="114">
      <c r="A114" s="13" t="n">
        <v>109</v>
      </c>
      <c r="B114" s="13" t="inlineStr">
        <is>
          <t>Floor Slabs</t>
        </is>
      </c>
      <c r="C114" s="13" t="inlineStr">
        <is>
          <t>STR-061</t>
        </is>
      </c>
      <c r="D114" s="13" t="inlineStr">
        <is>
          <t>Second floor slab - bottom</t>
        </is>
      </c>
      <c r="E114" s="19" t="inlineStr">
        <is>
          <t>1203</t>
        </is>
      </c>
      <c r="F114" s="19" t="n">
        <v>12</v>
      </c>
      <c r="G114" s="19" t="n">
        <v>1</v>
      </c>
      <c r="H114" s="19" t="n">
        <v>141</v>
      </c>
      <c r="I114" s="13">
        <f>G114*H114</f>
        <v>141.0</v>
      </c>
      <c r="J114" s="20">
        <f>5500/1000</f>
        <v>5.5</v>
      </c>
      <c r="K114" s="21">
        <f>I114*J114</f>
        <v>775.5</v>
      </c>
      <c r="L114" s="22">
        <f>F114^2/162</f>
        <v>0.8888888888888888</v>
      </c>
      <c r="M114" s="21">
        <f>K114*L114</f>
        <v>689.3333333333333</v>
      </c>
      <c r="N114" s="22">
        <f>M114/1000</f>
        <v>0.6893333333333332</v>
      </c>
      <c r="O114" s="13" t="inlineStr">
        <is>
          <t>BBS</t>
        </is>
      </c>
    </row>
    <row r="115">
      <c r="A115" s="13" t="n">
        <v>110</v>
      </c>
      <c r="B115" s="13" t="inlineStr">
        <is>
          <t>Floor Slabs</t>
        </is>
      </c>
      <c r="C115" s="13" t="inlineStr">
        <is>
          <t>STR-061</t>
        </is>
      </c>
      <c r="D115" s="13" t="inlineStr">
        <is>
          <t>Second floor slab - bottom</t>
        </is>
      </c>
      <c r="E115" s="19" t="inlineStr">
        <is>
          <t>1204</t>
        </is>
      </c>
      <c r="F115" s="19" t="n">
        <v>12</v>
      </c>
      <c r="G115" s="19" t="n">
        <v>1</v>
      </c>
      <c r="H115" s="19" t="n">
        <v>62</v>
      </c>
      <c r="I115" s="13">
        <f>G115*H115</f>
        <v>62.0</v>
      </c>
      <c r="J115" s="20">
        <f>5250/1000</f>
        <v>5.25</v>
      </c>
      <c r="K115" s="21">
        <f>I115*J115</f>
        <v>325.5</v>
      </c>
      <c r="L115" s="22">
        <f>F115^2/162</f>
        <v>0.8888888888888888</v>
      </c>
      <c r="M115" s="21">
        <f>K115*L115</f>
        <v>289.3333333333333</v>
      </c>
      <c r="N115" s="22">
        <f>M115/1000</f>
        <v>0.28933333333333333</v>
      </c>
      <c r="O115" s="13" t="inlineStr">
        <is>
          <t>BBS</t>
        </is>
      </c>
    </row>
    <row r="116">
      <c r="A116" s="13" t="n">
        <v>111</v>
      </c>
      <c r="B116" s="13" t="inlineStr">
        <is>
          <t>Floor Slabs</t>
        </is>
      </c>
      <c r="C116" s="13" t="inlineStr">
        <is>
          <t>STR-061</t>
        </is>
      </c>
      <c r="D116" s="13" t="inlineStr">
        <is>
          <t>Second floor slab - bottom</t>
        </is>
      </c>
      <c r="E116" s="19" t="inlineStr">
        <is>
          <t>1205</t>
        </is>
      </c>
      <c r="F116" s="19" t="n">
        <v>12</v>
      </c>
      <c r="G116" s="19" t="n">
        <v>1</v>
      </c>
      <c r="H116" s="19" t="n">
        <v>224</v>
      </c>
      <c r="I116" s="13">
        <f>G116*H116</f>
        <v>224.0</v>
      </c>
      <c r="J116" s="20">
        <f>9050/1000</f>
        <v>9.05</v>
      </c>
      <c r="K116" s="21">
        <f>I116*J116</f>
        <v>2027.2000000000003</v>
      </c>
      <c r="L116" s="22">
        <f>F116^2/162</f>
        <v>0.8888888888888888</v>
      </c>
      <c r="M116" s="21">
        <f>K116*L116</f>
        <v>1801.9555555555557</v>
      </c>
      <c r="N116" s="22">
        <f>M116/1000</f>
        <v>1.8019555555555558</v>
      </c>
      <c r="O116" s="13" t="inlineStr">
        <is>
          <t>BBS</t>
        </is>
      </c>
    </row>
    <row r="117">
      <c r="A117" s="13" t="n">
        <v>112</v>
      </c>
      <c r="B117" s="13" t="inlineStr">
        <is>
          <t>Floor Slabs</t>
        </is>
      </c>
      <c r="C117" s="13" t="inlineStr">
        <is>
          <t>STR-061</t>
        </is>
      </c>
      <c r="D117" s="13" t="inlineStr">
        <is>
          <t>Second floor slab - bottom</t>
        </is>
      </c>
      <c r="E117" s="19" t="inlineStr">
        <is>
          <t>1206</t>
        </is>
      </c>
      <c r="F117" s="19" t="n">
        <v>12</v>
      </c>
      <c r="G117" s="19" t="n">
        <v>1</v>
      </c>
      <c r="H117" s="19" t="n">
        <v>13</v>
      </c>
      <c r="I117" s="13">
        <f>G117*H117</f>
        <v>13.0</v>
      </c>
      <c r="J117" s="20">
        <f>3275/1000</f>
        <v>3.275</v>
      </c>
      <c r="K117" s="21">
        <f>I117*J117</f>
        <v>42.574999999999996</v>
      </c>
      <c r="L117" s="22">
        <f>F117^2/162</f>
        <v>0.8888888888888888</v>
      </c>
      <c r="M117" s="21">
        <f>K117*L117</f>
        <v>37.84444444444444</v>
      </c>
      <c r="N117" s="22">
        <f>M117/1000</f>
        <v>0.037844444444444444</v>
      </c>
      <c r="O117" s="13" t="inlineStr">
        <is>
          <t>BBS</t>
        </is>
      </c>
    </row>
    <row r="118">
      <c r="A118" s="13" t="n">
        <v>113</v>
      </c>
      <c r="B118" s="13" t="inlineStr">
        <is>
          <t>Floor Slabs</t>
        </is>
      </c>
      <c r="C118" s="13" t="inlineStr">
        <is>
          <t>STR-061</t>
        </is>
      </c>
      <c r="D118" s="13" t="inlineStr">
        <is>
          <t>Second floor slab - bottom</t>
        </is>
      </c>
      <c r="E118" s="19" t="inlineStr">
        <is>
          <t>1207</t>
        </is>
      </c>
      <c r="F118" s="19" t="n">
        <v>12</v>
      </c>
      <c r="G118" s="19" t="n">
        <v>1</v>
      </c>
      <c r="H118" s="19" t="n">
        <v>21</v>
      </c>
      <c r="I118" s="13">
        <f>G118*H118</f>
        <v>21.0</v>
      </c>
      <c r="J118" s="20">
        <f>4775/1000</f>
        <v>4.775</v>
      </c>
      <c r="K118" s="21">
        <f>I118*J118</f>
        <v>100.275</v>
      </c>
      <c r="L118" s="22">
        <f>F118^2/162</f>
        <v>0.8888888888888888</v>
      </c>
      <c r="M118" s="21">
        <f>K118*L118</f>
        <v>89.13333333333334</v>
      </c>
      <c r="N118" s="22">
        <f>M118/1000</f>
        <v>0.08913333333333334</v>
      </c>
      <c r="O118" s="13" t="inlineStr">
        <is>
          <t>BBS</t>
        </is>
      </c>
    </row>
    <row r="119">
      <c r="A119" s="13" t="n">
        <v>114</v>
      </c>
      <c r="B119" s="13" t="inlineStr">
        <is>
          <t>Floor Slabs</t>
        </is>
      </c>
      <c r="C119" s="13" t="inlineStr">
        <is>
          <t>STR-061</t>
        </is>
      </c>
      <c r="D119" s="13" t="inlineStr">
        <is>
          <t>Second floor slab - bottom</t>
        </is>
      </c>
      <c r="E119" s="19" t="inlineStr">
        <is>
          <t>1208</t>
        </is>
      </c>
      <c r="F119" s="19" t="n">
        <v>12</v>
      </c>
      <c r="G119" s="19" t="n">
        <v>1</v>
      </c>
      <c r="H119" s="19" t="n">
        <v>47</v>
      </c>
      <c r="I119" s="13">
        <f>G119*H119</f>
        <v>47.0</v>
      </c>
      <c r="J119" s="20">
        <f>5500/1000</f>
        <v>5.5</v>
      </c>
      <c r="K119" s="21">
        <f>I119*J119</f>
        <v>258.5</v>
      </c>
      <c r="L119" s="22">
        <f>F119^2/162</f>
        <v>0.8888888888888888</v>
      </c>
      <c r="M119" s="21">
        <f>K119*L119</f>
        <v>229.77777777777777</v>
      </c>
      <c r="N119" s="22">
        <f>M119/1000</f>
        <v>0.22977777777777778</v>
      </c>
      <c r="O119" s="13" t="inlineStr">
        <is>
          <t>BBS</t>
        </is>
      </c>
    </row>
    <row r="120">
      <c r="A120" s="13" t="n">
        <v>115</v>
      </c>
      <c r="B120" s="13" t="inlineStr">
        <is>
          <t>Floor Slabs</t>
        </is>
      </c>
      <c r="C120" s="13" t="inlineStr">
        <is>
          <t>STR-061</t>
        </is>
      </c>
      <c r="D120" s="13" t="inlineStr">
        <is>
          <t>Second floor slab - bottom</t>
        </is>
      </c>
      <c r="E120" s="19" t="inlineStr">
        <is>
          <t>1209</t>
        </is>
      </c>
      <c r="F120" s="19" t="n">
        <v>12</v>
      </c>
      <c r="G120" s="19" t="n">
        <v>1</v>
      </c>
      <c r="H120" s="19" t="n">
        <v>105</v>
      </c>
      <c r="I120" s="13">
        <f>G120*H120</f>
        <v>105.0</v>
      </c>
      <c r="J120" s="20">
        <f>8850/1000</f>
        <v>8.85</v>
      </c>
      <c r="K120" s="21">
        <f>I120*J120</f>
        <v>929.25</v>
      </c>
      <c r="L120" s="22">
        <f>F120^2/162</f>
        <v>0.8888888888888888</v>
      </c>
      <c r="M120" s="21">
        <f>K120*L120</f>
        <v>826.0</v>
      </c>
      <c r="N120" s="22">
        <f>M120/1000</f>
        <v>0.826</v>
      </c>
      <c r="O120" s="13" t="inlineStr">
        <is>
          <t>BBS</t>
        </is>
      </c>
    </row>
    <row r="121">
      <c r="A121" s="13" t="n">
        <v>116</v>
      </c>
      <c r="B121" s="13" t="inlineStr">
        <is>
          <t>Floor Slabs</t>
        </is>
      </c>
      <c r="C121" s="13" t="inlineStr">
        <is>
          <t>STR-061</t>
        </is>
      </c>
      <c r="D121" s="13" t="inlineStr">
        <is>
          <t>Second floor slab - bottom</t>
        </is>
      </c>
      <c r="E121" s="19" t="inlineStr">
        <is>
          <t>1210</t>
        </is>
      </c>
      <c r="F121" s="19" t="n">
        <v>12</v>
      </c>
      <c r="G121" s="19" t="n">
        <v>1</v>
      </c>
      <c r="H121" s="19" t="n">
        <v>140</v>
      </c>
      <c r="I121" s="13">
        <f>G121*H121</f>
        <v>140.0</v>
      </c>
      <c r="J121" s="20">
        <f>8550/1000</f>
        <v>8.55</v>
      </c>
      <c r="K121" s="21">
        <f>I121*J121</f>
        <v>1197.0</v>
      </c>
      <c r="L121" s="22">
        <f>F121^2/162</f>
        <v>0.8888888888888888</v>
      </c>
      <c r="M121" s="21">
        <f>K121*L121</f>
        <v>1064.0</v>
      </c>
      <c r="N121" s="22">
        <f>M121/1000</f>
        <v>1.064</v>
      </c>
      <c r="O121" s="13" t="inlineStr">
        <is>
          <t>BBS</t>
        </is>
      </c>
    </row>
    <row r="122">
      <c r="A122" s="13" t="n">
        <v>117</v>
      </c>
      <c r="B122" s="13" t="inlineStr">
        <is>
          <t>Floor Slabs</t>
        </is>
      </c>
      <c r="C122" s="13" t="inlineStr">
        <is>
          <t>STR-061</t>
        </is>
      </c>
      <c r="D122" s="13" t="inlineStr">
        <is>
          <t>Second floor slab - bottom</t>
        </is>
      </c>
      <c r="E122" s="19" t="inlineStr">
        <is>
          <t>1211</t>
        </is>
      </c>
      <c r="F122" s="19" t="n">
        <v>12</v>
      </c>
      <c r="G122" s="19" t="n">
        <v>1</v>
      </c>
      <c r="H122" s="19" t="n">
        <v>126</v>
      </c>
      <c r="I122" s="13">
        <f>G122*H122</f>
        <v>126.0</v>
      </c>
      <c r="J122" s="20">
        <f>8275/1000</f>
        <v>8.275</v>
      </c>
      <c r="K122" s="21">
        <f>I122*J122</f>
        <v>1042.65</v>
      </c>
      <c r="L122" s="22">
        <f>F122^2/162</f>
        <v>0.8888888888888888</v>
      </c>
      <c r="M122" s="21">
        <f>K122*L122</f>
        <v>926.8000000000001</v>
      </c>
      <c r="N122" s="22">
        <f>M122/1000</f>
        <v>0.9268000000000001</v>
      </c>
      <c r="O122" s="13" t="inlineStr">
        <is>
          <t>BBS</t>
        </is>
      </c>
    </row>
    <row r="123">
      <c r="A123" s="13" t="n">
        <v>118</v>
      </c>
      <c r="B123" s="13" t="inlineStr">
        <is>
          <t>Floor Slabs</t>
        </is>
      </c>
      <c r="C123" s="13" t="inlineStr">
        <is>
          <t>STR-061</t>
        </is>
      </c>
      <c r="D123" s="13" t="inlineStr">
        <is>
          <t>Second floor slab - bottom</t>
        </is>
      </c>
      <c r="E123" s="19" t="inlineStr">
        <is>
          <t>1212</t>
        </is>
      </c>
      <c r="F123" s="19" t="n">
        <v>12</v>
      </c>
      <c r="G123" s="19" t="n">
        <v>1</v>
      </c>
      <c r="H123" s="19" t="n">
        <v>82</v>
      </c>
      <c r="I123" s="13">
        <f>G123*H123</f>
        <v>82.0</v>
      </c>
      <c r="J123" s="20">
        <f>11300/1000</f>
        <v>11.3</v>
      </c>
      <c r="K123" s="21">
        <f>I123*J123</f>
        <v>926.6</v>
      </c>
      <c r="L123" s="22">
        <f>F123^2/162</f>
        <v>0.8888888888888888</v>
      </c>
      <c r="M123" s="21">
        <f>K123*L123</f>
        <v>823.6444444444444</v>
      </c>
      <c r="N123" s="22">
        <f>M123/1000</f>
        <v>0.8236444444444444</v>
      </c>
      <c r="O123" s="13" t="inlineStr">
        <is>
          <t>BBS</t>
        </is>
      </c>
    </row>
    <row r="124">
      <c r="A124" s="13" t="n">
        <v>119</v>
      </c>
      <c r="B124" s="13" t="inlineStr">
        <is>
          <t>Floor Slabs</t>
        </is>
      </c>
      <c r="C124" s="13" t="inlineStr">
        <is>
          <t>STR-061</t>
        </is>
      </c>
      <c r="D124" s="13" t="inlineStr">
        <is>
          <t>Second floor slab - bottom</t>
        </is>
      </c>
      <c r="E124" s="19" t="inlineStr">
        <is>
          <t>1213</t>
        </is>
      </c>
      <c r="F124" s="19" t="n">
        <v>12</v>
      </c>
      <c r="G124" s="19" t="n">
        <v>1</v>
      </c>
      <c r="H124" s="19" t="n">
        <v>36</v>
      </c>
      <c r="I124" s="13">
        <f>G124*H124</f>
        <v>36.0</v>
      </c>
      <c r="J124" s="20">
        <f>10250/1000</f>
        <v>10.25</v>
      </c>
      <c r="K124" s="21">
        <f>I124*J124</f>
        <v>369.0</v>
      </c>
      <c r="L124" s="22">
        <f>F124^2/162</f>
        <v>0.8888888888888888</v>
      </c>
      <c r="M124" s="21">
        <f>K124*L124</f>
        <v>328.0</v>
      </c>
      <c r="N124" s="22">
        <f>M124/1000</f>
        <v>0.328</v>
      </c>
      <c r="O124" s="13" t="inlineStr">
        <is>
          <t>BBS</t>
        </is>
      </c>
    </row>
    <row r="125">
      <c r="A125" s="13" t="n">
        <v>120</v>
      </c>
      <c r="B125" s="13" t="inlineStr">
        <is>
          <t>Floor Slabs</t>
        </is>
      </c>
      <c r="C125" s="13" t="inlineStr">
        <is>
          <t>STR-061</t>
        </is>
      </c>
      <c r="D125" s="13" t="inlineStr">
        <is>
          <t>Second floor slab - bottom</t>
        </is>
      </c>
      <c r="E125" s="19" t="inlineStr">
        <is>
          <t>1214</t>
        </is>
      </c>
      <c r="F125" s="19" t="n">
        <v>12</v>
      </c>
      <c r="G125" s="19" t="n">
        <v>1</v>
      </c>
      <c r="H125" s="19" t="n">
        <v>158</v>
      </c>
      <c r="I125" s="13">
        <f>G125*H125</f>
        <v>158.0</v>
      </c>
      <c r="J125" s="20">
        <f>11000/1000</f>
        <v>11.0</v>
      </c>
      <c r="K125" s="21">
        <f>I125*J125</f>
        <v>1738.0</v>
      </c>
      <c r="L125" s="22">
        <f>F125^2/162</f>
        <v>0.8888888888888888</v>
      </c>
      <c r="M125" s="21">
        <f>K125*L125</f>
        <v>1544.888888888889</v>
      </c>
      <c r="N125" s="22">
        <f>M125/1000</f>
        <v>1.544888888888889</v>
      </c>
      <c r="O125" s="13" t="inlineStr">
        <is>
          <t>BBS</t>
        </is>
      </c>
    </row>
    <row r="126">
      <c r="A126" s="13" t="n">
        <v>121</v>
      </c>
      <c r="B126" s="13" t="inlineStr">
        <is>
          <t>Floor Slabs</t>
        </is>
      </c>
      <c r="C126" s="13" t="inlineStr">
        <is>
          <t>STR-061</t>
        </is>
      </c>
      <c r="D126" s="13" t="inlineStr">
        <is>
          <t>Second floor slab - bottom</t>
        </is>
      </c>
      <c r="E126" s="19" t="inlineStr">
        <is>
          <t>1215</t>
        </is>
      </c>
      <c r="F126" s="19" t="n">
        <v>12</v>
      </c>
      <c r="G126" s="19" t="n">
        <v>1</v>
      </c>
      <c r="H126" s="19" t="n">
        <v>23</v>
      </c>
      <c r="I126" s="13">
        <f>G126*H126</f>
        <v>23.0</v>
      </c>
      <c r="J126" s="20">
        <f>8300/1000</f>
        <v>8.3</v>
      </c>
      <c r="K126" s="21">
        <f>I126*J126</f>
        <v>190.9</v>
      </c>
      <c r="L126" s="22">
        <f>F126^2/162</f>
        <v>0.8888888888888888</v>
      </c>
      <c r="M126" s="21">
        <f>K126*L126</f>
        <v>169.6888888888889</v>
      </c>
      <c r="N126" s="22">
        <f>M126/1000</f>
        <v>0.1696888888888889</v>
      </c>
      <c r="O126" s="13" t="inlineStr">
        <is>
          <t>BBS</t>
        </is>
      </c>
    </row>
    <row r="127">
      <c r="A127" s="13" t="n">
        <v>122</v>
      </c>
      <c r="B127" s="13" t="inlineStr">
        <is>
          <t>Floor Slabs</t>
        </is>
      </c>
      <c r="C127" s="13" t="inlineStr">
        <is>
          <t>STR-061</t>
        </is>
      </c>
      <c r="D127" s="13" t="inlineStr">
        <is>
          <t>Second floor slab - bottom</t>
        </is>
      </c>
      <c r="E127" s="19" t="inlineStr">
        <is>
          <t>1216</t>
        </is>
      </c>
      <c r="F127" s="19" t="n">
        <v>12</v>
      </c>
      <c r="G127" s="19" t="n">
        <v>1</v>
      </c>
      <c r="H127" s="19" t="n">
        <v>122</v>
      </c>
      <c r="I127" s="13">
        <f>G127*H127</f>
        <v>122.0</v>
      </c>
      <c r="J127" s="20">
        <f>6400/1000</f>
        <v>6.4</v>
      </c>
      <c r="K127" s="21">
        <f>I127*J127</f>
        <v>780.8000000000001</v>
      </c>
      <c r="L127" s="22">
        <f>F127^2/162</f>
        <v>0.8888888888888888</v>
      </c>
      <c r="M127" s="21">
        <f>K127*L127</f>
        <v>694.0444444444445</v>
      </c>
      <c r="N127" s="22">
        <f>M127/1000</f>
        <v>0.6940444444444445</v>
      </c>
      <c r="O127" s="13" t="inlineStr">
        <is>
          <t>BBS</t>
        </is>
      </c>
    </row>
    <row r="128">
      <c r="A128" s="13" t="n">
        <v>123</v>
      </c>
      <c r="B128" s="13" t="inlineStr">
        <is>
          <t>Floor Slabs</t>
        </is>
      </c>
      <c r="C128" s="13" t="inlineStr">
        <is>
          <t>STR-061</t>
        </is>
      </c>
      <c r="D128" s="13" t="inlineStr">
        <is>
          <t>Second floor slab - bottom</t>
        </is>
      </c>
      <c r="E128" s="19" t="inlineStr">
        <is>
          <t>1217</t>
        </is>
      </c>
      <c r="F128" s="19" t="n">
        <v>12</v>
      </c>
      <c r="G128" s="19" t="n">
        <v>1</v>
      </c>
      <c r="H128" s="19" t="n">
        <v>74</v>
      </c>
      <c r="I128" s="13">
        <f>G128*H128</f>
        <v>74.0</v>
      </c>
      <c r="J128" s="20">
        <f>12000/1000</f>
        <v>12.0</v>
      </c>
      <c r="K128" s="21">
        <f>I128*J128</f>
        <v>888.0</v>
      </c>
      <c r="L128" s="22">
        <f>F128^2/162</f>
        <v>0.8888888888888888</v>
      </c>
      <c r="M128" s="21">
        <f>K128*L128</f>
        <v>789.3333333333333</v>
      </c>
      <c r="N128" s="22">
        <f>M128/1000</f>
        <v>0.7893333333333332</v>
      </c>
      <c r="O128" s="13" t="inlineStr">
        <is>
          <t>BBS</t>
        </is>
      </c>
    </row>
    <row r="129">
      <c r="A129" s="13" t="n">
        <v>124</v>
      </c>
      <c r="B129" s="13" t="inlineStr">
        <is>
          <t>Floor Slabs</t>
        </is>
      </c>
      <c r="C129" s="13" t="inlineStr">
        <is>
          <t>STR-061</t>
        </is>
      </c>
      <c r="D129" s="13" t="inlineStr">
        <is>
          <t>Second floor slab - bottom</t>
        </is>
      </c>
      <c r="E129" s="19" t="inlineStr">
        <is>
          <t>1218</t>
        </is>
      </c>
      <c r="F129" s="19" t="n">
        <v>12</v>
      </c>
      <c r="G129" s="19" t="n">
        <v>1</v>
      </c>
      <c r="H129" s="19" t="n">
        <v>351</v>
      </c>
      <c r="I129" s="13">
        <f>G129*H129</f>
        <v>351.0</v>
      </c>
      <c r="J129" s="20">
        <f>11750/1000</f>
        <v>11.75</v>
      </c>
      <c r="K129" s="21">
        <f>I129*J129</f>
        <v>4124.25</v>
      </c>
      <c r="L129" s="22">
        <f>F129^2/162</f>
        <v>0.8888888888888888</v>
      </c>
      <c r="M129" s="21">
        <f>K129*L129</f>
        <v>3666.0</v>
      </c>
      <c r="N129" s="22">
        <f>M129/1000</f>
        <v>3.666</v>
      </c>
      <c r="O129" s="13" t="inlineStr">
        <is>
          <t>BBS</t>
        </is>
      </c>
    </row>
    <row r="130">
      <c r="A130" s="13" t="n">
        <v>125</v>
      </c>
      <c r="B130" s="13" t="inlineStr">
        <is>
          <t>Floor Slabs</t>
        </is>
      </c>
      <c r="C130" s="13" t="inlineStr">
        <is>
          <t>STR-061</t>
        </is>
      </c>
      <c r="D130" s="13" t="inlineStr">
        <is>
          <t>Second floor slab - bottom</t>
        </is>
      </c>
      <c r="E130" s="19" t="inlineStr">
        <is>
          <t>1219</t>
        </is>
      </c>
      <c r="F130" s="19" t="n">
        <v>12</v>
      </c>
      <c r="G130" s="19" t="n">
        <v>1</v>
      </c>
      <c r="H130" s="19" t="n">
        <v>75</v>
      </c>
      <c r="I130" s="13">
        <f>G130*H130</f>
        <v>75.0</v>
      </c>
      <c r="J130" s="20">
        <f>11475/1000</f>
        <v>11.475</v>
      </c>
      <c r="K130" s="21">
        <f>I130*J130</f>
        <v>860.625</v>
      </c>
      <c r="L130" s="22">
        <f>F130^2/162</f>
        <v>0.8888888888888888</v>
      </c>
      <c r="M130" s="21">
        <f>K130*L130</f>
        <v>765.0</v>
      </c>
      <c r="N130" s="22">
        <f>M130/1000</f>
        <v>0.765</v>
      </c>
      <c r="O130" s="13" t="inlineStr">
        <is>
          <t>BBS</t>
        </is>
      </c>
    </row>
    <row r="131">
      <c r="A131" s="13" t="n">
        <v>126</v>
      </c>
      <c r="B131" s="13" t="inlineStr">
        <is>
          <t>Floor Slabs</t>
        </is>
      </c>
      <c r="C131" s="13" t="inlineStr">
        <is>
          <t>STR-061</t>
        </is>
      </c>
      <c r="D131" s="13" t="inlineStr">
        <is>
          <t>Second floor slab - bottom</t>
        </is>
      </c>
      <c r="E131" s="19" t="inlineStr">
        <is>
          <t>1220</t>
        </is>
      </c>
      <c r="F131" s="19" t="n">
        <v>12</v>
      </c>
      <c r="G131" s="19" t="n">
        <v>1</v>
      </c>
      <c r="H131" s="19" t="n">
        <v>7</v>
      </c>
      <c r="I131" s="13">
        <f>G131*H131</f>
        <v>7.0</v>
      </c>
      <c r="J131" s="20">
        <f>6350/1000</f>
        <v>6.35</v>
      </c>
      <c r="K131" s="21">
        <f>I131*J131</f>
        <v>44.449999999999996</v>
      </c>
      <c r="L131" s="22">
        <f>F131^2/162</f>
        <v>0.8888888888888888</v>
      </c>
      <c r="M131" s="21">
        <f>K131*L131</f>
        <v>39.511111111111106</v>
      </c>
      <c r="N131" s="22">
        <f>M131/1000</f>
        <v>0.03951111111111111</v>
      </c>
      <c r="O131" s="13" t="inlineStr">
        <is>
          <t>BBS</t>
        </is>
      </c>
    </row>
    <row r="132">
      <c r="A132" s="13" t="n">
        <v>127</v>
      </c>
      <c r="B132" s="13" t="inlineStr">
        <is>
          <t>Floor Slabs</t>
        </is>
      </c>
      <c r="C132" s="13" t="inlineStr">
        <is>
          <t>STR-061</t>
        </is>
      </c>
      <c r="D132" s="13" t="inlineStr">
        <is>
          <t>Second floor slab - bottom</t>
        </is>
      </c>
      <c r="E132" s="19" t="inlineStr">
        <is>
          <t>1221</t>
        </is>
      </c>
      <c r="F132" s="19" t="n">
        <v>12</v>
      </c>
      <c r="G132" s="19" t="n">
        <v>1</v>
      </c>
      <c r="H132" s="19" t="n">
        <v>13</v>
      </c>
      <c r="I132" s="13">
        <f>G132*H132</f>
        <v>13.0</v>
      </c>
      <c r="J132" s="20">
        <f>12000/1000</f>
        <v>12.0</v>
      </c>
      <c r="K132" s="21">
        <f>I132*J132</f>
        <v>156.0</v>
      </c>
      <c r="L132" s="22">
        <f>F132^2/162</f>
        <v>0.8888888888888888</v>
      </c>
      <c r="M132" s="21">
        <f>K132*L132</f>
        <v>138.66666666666666</v>
      </c>
      <c r="N132" s="22">
        <f>M132/1000</f>
        <v>0.13866666666666666</v>
      </c>
      <c r="O132" s="13" t="inlineStr">
        <is>
          <t>BBS</t>
        </is>
      </c>
    </row>
    <row r="133">
      <c r="A133" s="13" t="n">
        <v>128</v>
      </c>
      <c r="B133" s="13" t="inlineStr">
        <is>
          <t>Floor Slabs</t>
        </is>
      </c>
      <c r="C133" s="13" t="inlineStr">
        <is>
          <t>STR-061</t>
        </is>
      </c>
      <c r="D133" s="13" t="inlineStr">
        <is>
          <t>Second floor slab - bottom</t>
        </is>
      </c>
      <c r="E133" s="19" t="inlineStr">
        <is>
          <t>1222</t>
        </is>
      </c>
      <c r="F133" s="19" t="n">
        <v>12</v>
      </c>
      <c r="G133" s="19" t="n">
        <v>1</v>
      </c>
      <c r="H133" s="19" t="n">
        <v>73</v>
      </c>
      <c r="I133" s="13">
        <f>G133*H133</f>
        <v>73.0</v>
      </c>
      <c r="J133" s="20">
        <f>6875/1000</f>
        <v>6.875</v>
      </c>
      <c r="K133" s="21">
        <f>I133*J133</f>
        <v>501.875</v>
      </c>
      <c r="L133" s="22">
        <f>F133^2/162</f>
        <v>0.8888888888888888</v>
      </c>
      <c r="M133" s="21">
        <f>K133*L133</f>
        <v>446.1111111111111</v>
      </c>
      <c r="N133" s="22">
        <f>M133/1000</f>
        <v>0.44611111111111107</v>
      </c>
      <c r="O133" s="13" t="inlineStr">
        <is>
          <t>BBS</t>
        </is>
      </c>
    </row>
    <row r="134">
      <c r="A134" s="13" t="n">
        <v>129</v>
      </c>
      <c r="B134" s="13" t="inlineStr">
        <is>
          <t>Floor Slabs</t>
        </is>
      </c>
      <c r="C134" s="13" t="inlineStr">
        <is>
          <t>STR-062</t>
        </is>
      </c>
      <c r="D134" s="13" t="inlineStr">
        <is>
          <t>Second floor slab - top</t>
        </is>
      </c>
      <c r="E134" s="19" t="inlineStr">
        <is>
          <t>1223</t>
        </is>
      </c>
      <c r="F134" s="19" t="n">
        <v>12</v>
      </c>
      <c r="G134" s="19" t="n">
        <v>1</v>
      </c>
      <c r="H134" s="19" t="n">
        <v>126</v>
      </c>
      <c r="I134" s="13">
        <f>G134*H134</f>
        <v>126.0</v>
      </c>
      <c r="J134" s="20">
        <f>8275/1000</f>
        <v>8.275</v>
      </c>
      <c r="K134" s="21">
        <f>I134*J134</f>
        <v>1042.65</v>
      </c>
      <c r="L134" s="22">
        <f>F134^2/162</f>
        <v>0.8888888888888888</v>
      </c>
      <c r="M134" s="21">
        <f>K134*L134</f>
        <v>926.8000000000001</v>
      </c>
      <c r="N134" s="22">
        <f>M134/1000</f>
        <v>0.9268000000000001</v>
      </c>
      <c r="O134" s="13" t="inlineStr">
        <is>
          <t>BBS</t>
        </is>
      </c>
    </row>
    <row r="135">
      <c r="A135" s="13" t="n">
        <v>130</v>
      </c>
      <c r="B135" s="13" t="inlineStr">
        <is>
          <t>Floor Slabs</t>
        </is>
      </c>
      <c r="C135" s="13" t="inlineStr">
        <is>
          <t>STR-062</t>
        </is>
      </c>
      <c r="D135" s="13" t="inlineStr">
        <is>
          <t>Second floor slab - top</t>
        </is>
      </c>
      <c r="E135" s="19" t="inlineStr">
        <is>
          <t>1224</t>
        </is>
      </c>
      <c r="F135" s="19" t="n">
        <v>12</v>
      </c>
      <c r="G135" s="19" t="n">
        <v>1</v>
      </c>
      <c r="H135" s="19" t="n">
        <v>106</v>
      </c>
      <c r="I135" s="13">
        <f>G135*H135</f>
        <v>106.0</v>
      </c>
      <c r="J135" s="20">
        <f>11000/1000</f>
        <v>11.0</v>
      </c>
      <c r="K135" s="21">
        <f>I135*J135</f>
        <v>1166.0</v>
      </c>
      <c r="L135" s="22">
        <f>F135^2/162</f>
        <v>0.8888888888888888</v>
      </c>
      <c r="M135" s="21">
        <f>K135*L135</f>
        <v>1036.4444444444443</v>
      </c>
      <c r="N135" s="22">
        <f>M135/1000</f>
        <v>1.0364444444444443</v>
      </c>
      <c r="O135" s="13" t="inlineStr">
        <is>
          <t>BBS</t>
        </is>
      </c>
    </row>
    <row r="136">
      <c r="A136" s="13" t="n">
        <v>131</v>
      </c>
      <c r="B136" s="13" t="inlineStr">
        <is>
          <t>Floor Slabs</t>
        </is>
      </c>
      <c r="C136" s="13" t="inlineStr">
        <is>
          <t>STR-062</t>
        </is>
      </c>
      <c r="D136" s="13" t="inlineStr">
        <is>
          <t>Second floor slab - top</t>
        </is>
      </c>
      <c r="E136" s="19" t="inlineStr">
        <is>
          <t>1225</t>
        </is>
      </c>
      <c r="F136" s="19" t="n">
        <v>12</v>
      </c>
      <c r="G136" s="19" t="n">
        <v>1</v>
      </c>
      <c r="H136" s="19" t="n">
        <v>62</v>
      </c>
      <c r="I136" s="13">
        <f>G136*H136</f>
        <v>62.0</v>
      </c>
      <c r="J136" s="20">
        <f>9800/1000</f>
        <v>9.8</v>
      </c>
      <c r="K136" s="21">
        <f>I136*J136</f>
        <v>607.6</v>
      </c>
      <c r="L136" s="22">
        <f>F136^2/162</f>
        <v>0.8888888888888888</v>
      </c>
      <c r="M136" s="21">
        <f>K136*L136</f>
        <v>540.0888888888888</v>
      </c>
      <c r="N136" s="22">
        <f>M136/1000</f>
        <v>0.5400888888888888</v>
      </c>
      <c r="O136" s="13" t="inlineStr">
        <is>
          <t>BBS</t>
        </is>
      </c>
    </row>
    <row r="137">
      <c r="A137" s="13" t="n">
        <v>132</v>
      </c>
      <c r="B137" s="13" t="inlineStr">
        <is>
          <t>Floor Slabs</t>
        </is>
      </c>
      <c r="C137" s="13" t="inlineStr">
        <is>
          <t>STR-062</t>
        </is>
      </c>
      <c r="D137" s="13" t="inlineStr">
        <is>
          <t>Second floor slab - top</t>
        </is>
      </c>
      <c r="E137" s="19" t="inlineStr">
        <is>
          <t>1226</t>
        </is>
      </c>
      <c r="F137" s="19" t="n">
        <v>12</v>
      </c>
      <c r="G137" s="19" t="n">
        <v>1</v>
      </c>
      <c r="H137" s="19" t="n">
        <v>106</v>
      </c>
      <c r="I137" s="13">
        <f>G137*H137</f>
        <v>106.0</v>
      </c>
      <c r="J137" s="20">
        <f>8000/1000</f>
        <v>8.0</v>
      </c>
      <c r="K137" s="21">
        <f>I137*J137</f>
        <v>848.0</v>
      </c>
      <c r="L137" s="22">
        <f>F137^2/162</f>
        <v>0.8888888888888888</v>
      </c>
      <c r="M137" s="21">
        <f>K137*L137</f>
        <v>753.7777777777777</v>
      </c>
      <c r="N137" s="22">
        <f>M137/1000</f>
        <v>0.7537777777777778</v>
      </c>
      <c r="O137" s="13" t="inlineStr">
        <is>
          <t>BBS</t>
        </is>
      </c>
    </row>
    <row r="138">
      <c r="A138" s="13" t="n">
        <v>133</v>
      </c>
      <c r="B138" s="13" t="inlineStr">
        <is>
          <t>Floor Slabs</t>
        </is>
      </c>
      <c r="C138" s="13" t="inlineStr">
        <is>
          <t>STR-062</t>
        </is>
      </c>
      <c r="D138" s="13" t="inlineStr">
        <is>
          <t>Second floor slab - top</t>
        </is>
      </c>
      <c r="E138" s="19" t="inlineStr">
        <is>
          <t>1227</t>
        </is>
      </c>
      <c r="F138" s="19" t="n">
        <v>12</v>
      </c>
      <c r="G138" s="19" t="n">
        <v>1</v>
      </c>
      <c r="H138" s="19" t="n">
        <v>106</v>
      </c>
      <c r="I138" s="13">
        <f>G138*H138</f>
        <v>106.0</v>
      </c>
      <c r="J138" s="20">
        <f>8800/1000</f>
        <v>8.8</v>
      </c>
      <c r="K138" s="21">
        <f>I138*J138</f>
        <v>932.8000000000001</v>
      </c>
      <c r="L138" s="22">
        <f>F138^2/162</f>
        <v>0.8888888888888888</v>
      </c>
      <c r="M138" s="21">
        <f>K138*L138</f>
        <v>829.1555555555556</v>
      </c>
      <c r="N138" s="22">
        <f>M138/1000</f>
        <v>0.8291555555555555</v>
      </c>
      <c r="O138" s="13" t="inlineStr">
        <is>
          <t>BBS</t>
        </is>
      </c>
    </row>
    <row r="139">
      <c r="A139" s="13" t="n">
        <v>134</v>
      </c>
      <c r="B139" s="13" t="inlineStr">
        <is>
          <t>Floor Slabs</t>
        </is>
      </c>
      <c r="C139" s="13" t="inlineStr">
        <is>
          <t>STR-062</t>
        </is>
      </c>
      <c r="D139" s="13" t="inlineStr">
        <is>
          <t>Second floor slab - top</t>
        </is>
      </c>
      <c r="E139" s="19" t="inlineStr">
        <is>
          <t>1228</t>
        </is>
      </c>
      <c r="F139" s="19" t="n">
        <v>12</v>
      </c>
      <c r="G139" s="19" t="n">
        <v>1</v>
      </c>
      <c r="H139" s="19" t="n">
        <v>13</v>
      </c>
      <c r="I139" s="13">
        <f>G139*H139</f>
        <v>13.0</v>
      </c>
      <c r="J139" s="20">
        <f>3225/1000</f>
        <v>3.225</v>
      </c>
      <c r="K139" s="21">
        <f>I139*J139</f>
        <v>41.925000000000004</v>
      </c>
      <c r="L139" s="22">
        <f>F139^2/162</f>
        <v>0.8888888888888888</v>
      </c>
      <c r="M139" s="21">
        <f>K139*L139</f>
        <v>37.266666666666666</v>
      </c>
      <c r="N139" s="22">
        <f>M139/1000</f>
        <v>0.03726666666666666</v>
      </c>
      <c r="O139" s="13" t="inlineStr">
        <is>
          <t>BBS</t>
        </is>
      </c>
    </row>
    <row r="140">
      <c r="A140" s="13" t="n">
        <v>135</v>
      </c>
      <c r="B140" s="13" t="inlineStr">
        <is>
          <t>Floor Slabs</t>
        </is>
      </c>
      <c r="C140" s="13" t="inlineStr">
        <is>
          <t>STR-062</t>
        </is>
      </c>
      <c r="D140" s="13" t="inlineStr">
        <is>
          <t>Second floor slab - top</t>
        </is>
      </c>
      <c r="E140" s="19" t="inlineStr">
        <is>
          <t>1229</t>
        </is>
      </c>
      <c r="F140" s="19" t="n">
        <v>12</v>
      </c>
      <c r="G140" s="19" t="n">
        <v>1</v>
      </c>
      <c r="H140" s="19" t="n">
        <v>21</v>
      </c>
      <c r="I140" s="13">
        <f>G140*H140</f>
        <v>21.0</v>
      </c>
      <c r="J140" s="20">
        <f>8650/1000</f>
        <v>8.65</v>
      </c>
      <c r="K140" s="21">
        <f>I140*J140</f>
        <v>181.65</v>
      </c>
      <c r="L140" s="22">
        <f>F140^2/162</f>
        <v>0.8888888888888888</v>
      </c>
      <c r="M140" s="21">
        <f>K140*L140</f>
        <v>161.46666666666667</v>
      </c>
      <c r="N140" s="22">
        <f>M140/1000</f>
        <v>0.16146666666666668</v>
      </c>
      <c r="O140" s="13" t="inlineStr">
        <is>
          <t>BBS</t>
        </is>
      </c>
    </row>
    <row r="141">
      <c r="A141" s="13" t="n">
        <v>136</v>
      </c>
      <c r="B141" s="13" t="inlineStr">
        <is>
          <t>Floor Slabs</t>
        </is>
      </c>
      <c r="C141" s="13" t="inlineStr">
        <is>
          <t>STR-062</t>
        </is>
      </c>
      <c r="D141" s="13" t="inlineStr">
        <is>
          <t>Second floor slab - top</t>
        </is>
      </c>
      <c r="E141" s="19" t="inlineStr">
        <is>
          <t>1230</t>
        </is>
      </c>
      <c r="F141" s="19" t="n">
        <v>12</v>
      </c>
      <c r="G141" s="19" t="n">
        <v>1</v>
      </c>
      <c r="H141" s="19" t="n">
        <v>47</v>
      </c>
      <c r="I141" s="13">
        <f>G141*H141</f>
        <v>47.0</v>
      </c>
      <c r="J141" s="20">
        <f>9400/1000</f>
        <v>9.4</v>
      </c>
      <c r="K141" s="21">
        <f>I141*J141</f>
        <v>441.8</v>
      </c>
      <c r="L141" s="22">
        <f>F141^2/162</f>
        <v>0.8888888888888888</v>
      </c>
      <c r="M141" s="21">
        <f>K141*L141</f>
        <v>392.7111111111111</v>
      </c>
      <c r="N141" s="22">
        <f>M141/1000</f>
        <v>0.3927111111111111</v>
      </c>
      <c r="O141" s="13" t="inlineStr">
        <is>
          <t>BBS</t>
        </is>
      </c>
    </row>
    <row r="142">
      <c r="A142" s="13" t="n">
        <v>137</v>
      </c>
      <c r="B142" s="13" t="inlineStr">
        <is>
          <t>Floor Slabs</t>
        </is>
      </c>
      <c r="C142" s="13" t="inlineStr">
        <is>
          <t>STR-062</t>
        </is>
      </c>
      <c r="D142" s="13" t="inlineStr">
        <is>
          <t>Second floor slab - top</t>
        </is>
      </c>
      <c r="E142" s="19" t="inlineStr">
        <is>
          <t>1231</t>
        </is>
      </c>
      <c r="F142" s="19" t="n">
        <v>12</v>
      </c>
      <c r="G142" s="19" t="n">
        <v>1</v>
      </c>
      <c r="H142" s="19" t="n">
        <v>106</v>
      </c>
      <c r="I142" s="13">
        <f>G142*H142</f>
        <v>106.0</v>
      </c>
      <c r="J142" s="20">
        <f>8650/1000</f>
        <v>8.65</v>
      </c>
      <c r="K142" s="21">
        <f>I142*J142</f>
        <v>916.9000000000001</v>
      </c>
      <c r="L142" s="22">
        <f>F142^2/162</f>
        <v>0.8888888888888888</v>
      </c>
      <c r="M142" s="21">
        <f>K142*L142</f>
        <v>815.0222222222222</v>
      </c>
      <c r="N142" s="22">
        <f>M142/1000</f>
        <v>0.8150222222222222</v>
      </c>
      <c r="O142" s="13" t="inlineStr">
        <is>
          <t>BBS</t>
        </is>
      </c>
    </row>
    <row r="143">
      <c r="A143" s="13" t="n">
        <v>138</v>
      </c>
      <c r="B143" s="13" t="inlineStr">
        <is>
          <t>Floor Slabs</t>
        </is>
      </c>
      <c r="C143" s="13" t="inlineStr">
        <is>
          <t>STR-062</t>
        </is>
      </c>
      <c r="D143" s="13" t="inlineStr">
        <is>
          <t>Second floor slab - top</t>
        </is>
      </c>
      <c r="E143" s="19" t="inlineStr">
        <is>
          <t>1232</t>
        </is>
      </c>
      <c r="F143" s="19" t="n">
        <v>12</v>
      </c>
      <c r="G143" s="19" t="n">
        <v>1</v>
      </c>
      <c r="H143" s="19" t="n">
        <v>106</v>
      </c>
      <c r="I143" s="13">
        <f>G143*H143</f>
        <v>106.0</v>
      </c>
      <c r="J143" s="20">
        <f>4600/1000</f>
        <v>4.6</v>
      </c>
      <c r="K143" s="21">
        <f>I143*J143</f>
        <v>487.59999999999997</v>
      </c>
      <c r="L143" s="22">
        <f>F143^2/162</f>
        <v>0.8888888888888888</v>
      </c>
      <c r="M143" s="21">
        <f>K143*L143</f>
        <v>433.42222222222216</v>
      </c>
      <c r="N143" s="22">
        <f>M143/1000</f>
        <v>0.43342222222222215</v>
      </c>
      <c r="O143" s="13" t="inlineStr">
        <is>
          <t>BBS</t>
        </is>
      </c>
    </row>
    <row r="144">
      <c r="A144" s="13" t="n">
        <v>139</v>
      </c>
      <c r="B144" s="13" t="inlineStr">
        <is>
          <t>Floor Slabs</t>
        </is>
      </c>
      <c r="C144" s="13" t="inlineStr">
        <is>
          <t>STR-062</t>
        </is>
      </c>
      <c r="D144" s="13" t="inlineStr">
        <is>
          <t>Second floor slab - top</t>
        </is>
      </c>
      <c r="E144" s="19" t="inlineStr">
        <is>
          <t>1233</t>
        </is>
      </c>
      <c r="F144" s="19" t="n">
        <v>12</v>
      </c>
      <c r="G144" s="19" t="n">
        <v>1</v>
      </c>
      <c r="H144" s="19" t="n">
        <v>95</v>
      </c>
      <c r="I144" s="13">
        <f>G144*H144</f>
        <v>95.0</v>
      </c>
      <c r="J144" s="20">
        <f>8375/1000</f>
        <v>8.375</v>
      </c>
      <c r="K144" s="21">
        <f>I144*J144</f>
        <v>795.625</v>
      </c>
      <c r="L144" s="22">
        <f>F144^2/162</f>
        <v>0.8888888888888888</v>
      </c>
      <c r="M144" s="21">
        <f>K144*L144</f>
        <v>707.2222222222222</v>
      </c>
      <c r="N144" s="22">
        <f>M144/1000</f>
        <v>0.7072222222222222</v>
      </c>
      <c r="O144" s="13" t="inlineStr">
        <is>
          <t>BBS</t>
        </is>
      </c>
    </row>
    <row r="145">
      <c r="A145" s="13" t="n">
        <v>140</v>
      </c>
      <c r="B145" s="13" t="inlineStr">
        <is>
          <t>Floor Slabs</t>
        </is>
      </c>
      <c r="C145" s="13" t="inlineStr">
        <is>
          <t>STR-062</t>
        </is>
      </c>
      <c r="D145" s="13" t="inlineStr">
        <is>
          <t>Second floor slab - top</t>
        </is>
      </c>
      <c r="E145" s="19" t="inlineStr">
        <is>
          <t>1234</t>
        </is>
      </c>
      <c r="F145" s="19" t="n">
        <v>12</v>
      </c>
      <c r="G145" s="19" t="n">
        <v>1</v>
      </c>
      <c r="H145" s="19" t="n">
        <v>162</v>
      </c>
      <c r="I145" s="13">
        <f>G145*H145</f>
        <v>162.0</v>
      </c>
      <c r="J145" s="20">
        <f>10150/1000</f>
        <v>10.15</v>
      </c>
      <c r="K145" s="21">
        <f>I145*J145</f>
        <v>1644.3</v>
      </c>
      <c r="L145" s="22">
        <f>F145^2/162</f>
        <v>0.8888888888888888</v>
      </c>
      <c r="M145" s="21">
        <f>K145*L145</f>
        <v>1461.6</v>
      </c>
      <c r="N145" s="22">
        <f>M145/1000</f>
        <v>1.4616</v>
      </c>
      <c r="O145" s="13" t="inlineStr">
        <is>
          <t>BBS</t>
        </is>
      </c>
    </row>
    <row r="146">
      <c r="A146" s="13" t="n">
        <v>141</v>
      </c>
      <c r="B146" s="13" t="inlineStr">
        <is>
          <t>Floor Slabs</t>
        </is>
      </c>
      <c r="C146" s="13" t="inlineStr">
        <is>
          <t>STR-062</t>
        </is>
      </c>
      <c r="D146" s="13" t="inlineStr">
        <is>
          <t>Second floor slab - top</t>
        </is>
      </c>
      <c r="E146" s="19" t="inlineStr">
        <is>
          <t>1235</t>
        </is>
      </c>
      <c r="F146" s="19" t="n">
        <v>12</v>
      </c>
      <c r="G146" s="19" t="n">
        <v>1</v>
      </c>
      <c r="H146" s="19" t="n">
        <v>36</v>
      </c>
      <c r="I146" s="13">
        <f>G146*H146</f>
        <v>36.0</v>
      </c>
      <c r="J146" s="20">
        <f>3750/1000</f>
        <v>3.75</v>
      </c>
      <c r="K146" s="21">
        <f>I146*J146</f>
        <v>135.0</v>
      </c>
      <c r="L146" s="22">
        <f>F146^2/162</f>
        <v>0.8888888888888888</v>
      </c>
      <c r="M146" s="21">
        <f>K146*L146</f>
        <v>120.0</v>
      </c>
      <c r="N146" s="22">
        <f>M146/1000</f>
        <v>0.12</v>
      </c>
      <c r="O146" s="13" t="inlineStr">
        <is>
          <t>BBS</t>
        </is>
      </c>
    </row>
    <row r="147">
      <c r="A147" s="13" t="n">
        <v>142</v>
      </c>
      <c r="B147" s="13" t="inlineStr">
        <is>
          <t>Floor Slabs</t>
        </is>
      </c>
      <c r="C147" s="13" t="inlineStr">
        <is>
          <t>STR-062</t>
        </is>
      </c>
      <c r="D147" s="13" t="inlineStr">
        <is>
          <t>Second floor slab - top</t>
        </is>
      </c>
      <c r="E147" s="19" t="inlineStr">
        <is>
          <t>1236</t>
        </is>
      </c>
      <c r="F147" s="19" t="n">
        <v>12</v>
      </c>
      <c r="G147" s="19" t="n">
        <v>1</v>
      </c>
      <c r="H147" s="19" t="n">
        <v>74</v>
      </c>
      <c r="I147" s="13">
        <f>G147*H147</f>
        <v>74.0</v>
      </c>
      <c r="J147" s="20">
        <f>9350/1000</f>
        <v>9.35</v>
      </c>
      <c r="K147" s="21">
        <f>I147*J147</f>
        <v>691.9</v>
      </c>
      <c r="L147" s="22">
        <f>F147^2/162</f>
        <v>0.8888888888888888</v>
      </c>
      <c r="M147" s="21">
        <f>K147*L147</f>
        <v>615.0222222222221</v>
      </c>
      <c r="N147" s="22">
        <f>M147/1000</f>
        <v>0.6150222222222221</v>
      </c>
      <c r="O147" s="13" t="inlineStr">
        <is>
          <t>BBS</t>
        </is>
      </c>
    </row>
    <row r="148">
      <c r="A148" s="13" t="n">
        <v>143</v>
      </c>
      <c r="B148" s="13" t="inlineStr">
        <is>
          <t>Floor Slabs</t>
        </is>
      </c>
      <c r="C148" s="13" t="inlineStr">
        <is>
          <t>STR-062</t>
        </is>
      </c>
      <c r="D148" s="13" t="inlineStr">
        <is>
          <t>Second floor slab - top</t>
        </is>
      </c>
      <c r="E148" s="19" t="inlineStr">
        <is>
          <t>1237</t>
        </is>
      </c>
      <c r="F148" s="19" t="n">
        <v>12</v>
      </c>
      <c r="G148" s="19" t="n">
        <v>1</v>
      </c>
      <c r="H148" s="19" t="n">
        <v>23</v>
      </c>
      <c r="I148" s="13">
        <f>G148*H148</f>
        <v>23.0</v>
      </c>
      <c r="J148" s="20">
        <f>12000/1000</f>
        <v>12.0</v>
      </c>
      <c r="K148" s="21">
        <f>I148*J148</f>
        <v>276.0</v>
      </c>
      <c r="L148" s="22">
        <f>F148^2/162</f>
        <v>0.8888888888888888</v>
      </c>
      <c r="M148" s="21">
        <f>K148*L148</f>
        <v>245.33333333333331</v>
      </c>
      <c r="N148" s="22">
        <f>M148/1000</f>
        <v>0.24533333333333332</v>
      </c>
      <c r="O148" s="13" t="inlineStr">
        <is>
          <t>BBS</t>
        </is>
      </c>
    </row>
    <row r="149">
      <c r="A149" s="13" t="n">
        <v>144</v>
      </c>
      <c r="B149" s="13" t="inlineStr">
        <is>
          <t>Floor Slabs</t>
        </is>
      </c>
      <c r="C149" s="13" t="inlineStr">
        <is>
          <t>STR-062</t>
        </is>
      </c>
      <c r="D149" s="13" t="inlineStr">
        <is>
          <t>Second floor slab - top</t>
        </is>
      </c>
      <c r="E149" s="19" t="inlineStr">
        <is>
          <t>1238</t>
        </is>
      </c>
      <c r="F149" s="19" t="n">
        <v>12</v>
      </c>
      <c r="G149" s="19" t="n">
        <v>1</v>
      </c>
      <c r="H149" s="19" t="n">
        <v>74</v>
      </c>
      <c r="I149" s="13">
        <f>G149*H149</f>
        <v>74.0</v>
      </c>
      <c r="J149" s="20">
        <f>10850/1000</f>
        <v>10.85</v>
      </c>
      <c r="K149" s="21">
        <f>I149*J149</f>
        <v>802.9</v>
      </c>
      <c r="L149" s="22">
        <f>F149^2/162</f>
        <v>0.8888888888888888</v>
      </c>
      <c r="M149" s="21">
        <f>K149*L149</f>
        <v>713.6888888888889</v>
      </c>
      <c r="N149" s="22">
        <f>M149/1000</f>
        <v>0.7136888888888888</v>
      </c>
      <c r="O149" s="13" t="inlineStr">
        <is>
          <t>BBS</t>
        </is>
      </c>
    </row>
    <row r="150">
      <c r="A150" s="13" t="n">
        <v>145</v>
      </c>
      <c r="B150" s="13" t="inlineStr">
        <is>
          <t>Floor Slabs</t>
        </is>
      </c>
      <c r="C150" s="13" t="inlineStr">
        <is>
          <t>STR-062</t>
        </is>
      </c>
      <c r="D150" s="13" t="inlineStr">
        <is>
          <t>Second floor slab - top</t>
        </is>
      </c>
      <c r="E150" s="19" t="inlineStr">
        <is>
          <t>1239</t>
        </is>
      </c>
      <c r="F150" s="19" t="n">
        <v>12</v>
      </c>
      <c r="G150" s="19" t="n">
        <v>1</v>
      </c>
      <c r="H150" s="19" t="n">
        <v>357</v>
      </c>
      <c r="I150" s="13">
        <f>G150*H150</f>
        <v>357.0</v>
      </c>
      <c r="J150" s="20">
        <f>8800/1000</f>
        <v>8.8</v>
      </c>
      <c r="K150" s="21">
        <f>I150*J150</f>
        <v>3141.6000000000004</v>
      </c>
      <c r="L150" s="22">
        <f>F150^2/162</f>
        <v>0.8888888888888888</v>
      </c>
      <c r="M150" s="21">
        <f>K150*L150</f>
        <v>2792.5333333333333</v>
      </c>
      <c r="N150" s="22">
        <f>M150/1000</f>
        <v>2.792533333333333</v>
      </c>
      <c r="O150" s="13" t="inlineStr">
        <is>
          <t>BBS</t>
        </is>
      </c>
    </row>
    <row r="151">
      <c r="A151" s="13" t="n">
        <v>146</v>
      </c>
      <c r="B151" s="13" t="inlineStr">
        <is>
          <t>Floor Slabs</t>
        </is>
      </c>
      <c r="C151" s="13" t="inlineStr">
        <is>
          <t>STR-062</t>
        </is>
      </c>
      <c r="D151" s="13" t="inlineStr">
        <is>
          <t>Second floor slab - top</t>
        </is>
      </c>
      <c r="E151" s="19" t="inlineStr">
        <is>
          <t>1240</t>
        </is>
      </c>
      <c r="F151" s="19" t="n">
        <v>12</v>
      </c>
      <c r="G151" s="19" t="n">
        <v>1</v>
      </c>
      <c r="H151" s="19" t="n">
        <v>212</v>
      </c>
      <c r="I151" s="13">
        <f>G151*H151</f>
        <v>212.0</v>
      </c>
      <c r="J151" s="20">
        <f>11200/1000</f>
        <v>11.2</v>
      </c>
      <c r="K151" s="21">
        <f>I151*J151</f>
        <v>2374.3999999999996</v>
      </c>
      <c r="L151" s="22">
        <f>F151^2/162</f>
        <v>0.8888888888888888</v>
      </c>
      <c r="M151" s="21">
        <f>K151*L151</f>
        <v>2110.5777777777776</v>
      </c>
      <c r="N151" s="22">
        <f>M151/1000</f>
        <v>2.1105777777777774</v>
      </c>
      <c r="O151" s="13" t="inlineStr">
        <is>
          <t>BBS</t>
        </is>
      </c>
    </row>
    <row r="152">
      <c r="A152" s="13" t="n">
        <v>147</v>
      </c>
      <c r="B152" s="13" t="inlineStr">
        <is>
          <t>Floor Slabs</t>
        </is>
      </c>
      <c r="C152" s="13" t="inlineStr">
        <is>
          <t>STR-062</t>
        </is>
      </c>
      <c r="D152" s="13" t="inlineStr">
        <is>
          <t>Second floor slab - top</t>
        </is>
      </c>
      <c r="E152" s="19" t="inlineStr">
        <is>
          <t>1241</t>
        </is>
      </c>
      <c r="F152" s="19" t="n">
        <v>12</v>
      </c>
      <c r="G152" s="19" t="n">
        <v>1</v>
      </c>
      <c r="H152" s="19" t="n">
        <v>7</v>
      </c>
      <c r="I152" s="13">
        <f>G152*H152</f>
        <v>7.0</v>
      </c>
      <c r="J152" s="20">
        <f>8500/1000</f>
        <v>8.5</v>
      </c>
      <c r="K152" s="21">
        <f>I152*J152</f>
        <v>59.5</v>
      </c>
      <c r="L152" s="22">
        <f>F152^2/162</f>
        <v>0.8888888888888888</v>
      </c>
      <c r="M152" s="21">
        <f>K152*L152</f>
        <v>52.888888888888886</v>
      </c>
      <c r="N152" s="22">
        <f>M152/1000</f>
        <v>0.05288888888888889</v>
      </c>
      <c r="O152" s="13" t="inlineStr">
        <is>
          <t>BBS</t>
        </is>
      </c>
    </row>
    <row r="153">
      <c r="A153" s="13" t="n">
        <v>148</v>
      </c>
      <c r="B153" s="13" t="inlineStr">
        <is>
          <t>Floor Slabs</t>
        </is>
      </c>
      <c r="C153" s="13" t="inlineStr">
        <is>
          <t>STR-062</t>
        </is>
      </c>
      <c r="D153" s="13" t="inlineStr">
        <is>
          <t>Second floor slab - top</t>
        </is>
      </c>
      <c r="E153" s="19" t="inlineStr">
        <is>
          <t>1242</t>
        </is>
      </c>
      <c r="F153" s="19" t="n">
        <v>12</v>
      </c>
      <c r="G153" s="19" t="n">
        <v>1</v>
      </c>
      <c r="H153" s="19" t="n">
        <v>73</v>
      </c>
      <c r="I153" s="13">
        <f>G153*H153</f>
        <v>73.0</v>
      </c>
      <c r="J153" s="20">
        <f>9350/1000</f>
        <v>9.35</v>
      </c>
      <c r="K153" s="21">
        <f>I153*J153</f>
        <v>682.55</v>
      </c>
      <c r="L153" s="22">
        <f>F153^2/162</f>
        <v>0.8888888888888888</v>
      </c>
      <c r="M153" s="21">
        <f>K153*L153</f>
        <v>606.711111111111</v>
      </c>
      <c r="N153" s="22">
        <f>M153/1000</f>
        <v>0.606711111111111</v>
      </c>
      <c r="O153" s="13" t="inlineStr">
        <is>
          <t>BBS</t>
        </is>
      </c>
    </row>
    <row r="154">
      <c r="A154" s="13" t="n">
        <v>149</v>
      </c>
      <c r="B154" s="13" t="inlineStr">
        <is>
          <t>Floor Slabs</t>
        </is>
      </c>
      <c r="C154" s="13" t="inlineStr">
        <is>
          <t>STR-062</t>
        </is>
      </c>
      <c r="D154" s="13" t="inlineStr">
        <is>
          <t>Second floor slab - top</t>
        </is>
      </c>
      <c r="E154" s="19" t="inlineStr">
        <is>
          <t>1243</t>
        </is>
      </c>
      <c r="F154" s="19" t="n">
        <v>12</v>
      </c>
      <c r="G154" s="19" t="n">
        <v>1</v>
      </c>
      <c r="H154" s="19" t="n">
        <v>13</v>
      </c>
      <c r="I154" s="13">
        <f>G154*H154</f>
        <v>13.0</v>
      </c>
      <c r="J154" s="20">
        <f>10700/1000</f>
        <v>10.7</v>
      </c>
      <c r="K154" s="21">
        <f>I154*J154</f>
        <v>139.1</v>
      </c>
      <c r="L154" s="22">
        <f>F154^2/162</f>
        <v>0.8888888888888888</v>
      </c>
      <c r="M154" s="21">
        <f>K154*L154</f>
        <v>123.64444444444443</v>
      </c>
      <c r="N154" s="22">
        <f>M154/1000</f>
        <v>0.12364444444444443</v>
      </c>
      <c r="O154" s="13" t="inlineStr">
        <is>
          <t>BBS</t>
        </is>
      </c>
    </row>
    <row r="155">
      <c r="A155" s="13" t="n">
        <v>150</v>
      </c>
      <c r="B155" s="13" t="inlineStr">
        <is>
          <t>Floor Slabs</t>
        </is>
      </c>
      <c r="C155" s="13" t="inlineStr">
        <is>
          <t>STR-062</t>
        </is>
      </c>
      <c r="D155" s="13" t="inlineStr">
        <is>
          <t>Second floor slab - top</t>
        </is>
      </c>
      <c r="E155" s="19" t="inlineStr">
        <is>
          <t>1244</t>
        </is>
      </c>
      <c r="F155" s="19" t="n">
        <v>12</v>
      </c>
      <c r="G155" s="19" t="n">
        <v>1</v>
      </c>
      <c r="H155" s="19" t="n">
        <v>73</v>
      </c>
      <c r="I155" s="13">
        <f>G155*H155</f>
        <v>73.0</v>
      </c>
      <c r="J155" s="20">
        <f>10850/1000</f>
        <v>10.85</v>
      </c>
      <c r="K155" s="21">
        <f>I155*J155</f>
        <v>792.05</v>
      </c>
      <c r="L155" s="22">
        <f>F155^2/162</f>
        <v>0.8888888888888888</v>
      </c>
      <c r="M155" s="21">
        <f>K155*L155</f>
        <v>704.0444444444444</v>
      </c>
      <c r="N155" s="22">
        <f>M155/1000</f>
        <v>0.7040444444444444</v>
      </c>
      <c r="O155" s="13" t="inlineStr">
        <is>
          <t>BBS</t>
        </is>
      </c>
    </row>
    <row r="156">
      <c r="A156" s="13" t="n">
        <v>151</v>
      </c>
      <c r="B156" s="13" t="inlineStr">
        <is>
          <t>Floor Slabs</t>
        </is>
      </c>
      <c r="C156" s="13" t="inlineStr">
        <is>
          <t>STR-063</t>
        </is>
      </c>
      <c r="D156" s="13" t="inlineStr">
        <is>
          <t>Second floor slab - additional top</t>
        </is>
      </c>
      <c r="E156" s="19" t="inlineStr">
        <is>
          <t>1245</t>
        </is>
      </c>
      <c r="F156" s="19" t="n">
        <v>12</v>
      </c>
      <c r="G156" s="19" t="n">
        <v>1</v>
      </c>
      <c r="H156" s="19" t="n">
        <v>390</v>
      </c>
      <c r="I156" s="13">
        <f>G156*H156</f>
        <v>390.0</v>
      </c>
      <c r="J156" s="20">
        <f>3000/1000</f>
        <v>3.0</v>
      </c>
      <c r="K156" s="21">
        <f>I156*J156</f>
        <v>1170.0</v>
      </c>
      <c r="L156" s="22">
        <f>F156^2/162</f>
        <v>0.8888888888888888</v>
      </c>
      <c r="M156" s="21">
        <f>K156*L156</f>
        <v>1040.0</v>
      </c>
      <c r="N156" s="22">
        <f>M156/1000</f>
        <v>1.04</v>
      </c>
      <c r="O156" s="13" t="inlineStr">
        <is>
          <t>BBS</t>
        </is>
      </c>
    </row>
    <row r="157">
      <c r="A157" s="13" t="n">
        <v>152</v>
      </c>
      <c r="B157" s="13" t="inlineStr">
        <is>
          <t>Floor Slabs</t>
        </is>
      </c>
      <c r="C157" s="13" t="inlineStr">
        <is>
          <t>STR-063</t>
        </is>
      </c>
      <c r="D157" s="13" t="inlineStr">
        <is>
          <t>Second floor slab - additional top</t>
        </is>
      </c>
      <c r="E157" s="19" t="inlineStr">
        <is>
          <t>1246</t>
        </is>
      </c>
      <c r="F157" s="19" t="n">
        <v>12</v>
      </c>
      <c r="G157" s="19" t="n">
        <v>1</v>
      </c>
      <c r="H157" s="19" t="n">
        <v>98</v>
      </c>
      <c r="I157" s="13">
        <f>G157*H157</f>
        <v>98.0</v>
      </c>
      <c r="J157" s="20">
        <f>6350/1000</f>
        <v>6.35</v>
      </c>
      <c r="K157" s="21">
        <f>I157*J157</f>
        <v>622.3</v>
      </c>
      <c r="L157" s="22">
        <f>F157^2/162</f>
        <v>0.8888888888888888</v>
      </c>
      <c r="M157" s="21">
        <f>K157*L157</f>
        <v>553.1555555555555</v>
      </c>
      <c r="N157" s="22">
        <f>M157/1000</f>
        <v>0.5531555555555554</v>
      </c>
      <c r="O157" s="13" t="inlineStr">
        <is>
          <t>BBS</t>
        </is>
      </c>
    </row>
    <row r="158">
      <c r="A158" s="13" t="n">
        <v>153</v>
      </c>
      <c r="B158" s="13" t="inlineStr">
        <is>
          <t>Floor Slabs</t>
        </is>
      </c>
      <c r="C158" s="13" t="inlineStr">
        <is>
          <t>STR-063</t>
        </is>
      </c>
      <c r="D158" s="13" t="inlineStr">
        <is>
          <t>Second floor slab - additional top</t>
        </is>
      </c>
      <c r="E158" s="19" t="inlineStr">
        <is>
          <t>1601</t>
        </is>
      </c>
      <c r="F158" s="19" t="n">
        <v>16</v>
      </c>
      <c r="G158" s="19" t="n">
        <v>1</v>
      </c>
      <c r="H158" s="19" t="n">
        <v>6</v>
      </c>
      <c r="I158" s="13">
        <f>G158*H158</f>
        <v>6.0</v>
      </c>
      <c r="J158" s="20">
        <f>3000/1000</f>
        <v>3.0</v>
      </c>
      <c r="K158" s="21">
        <f>I158*J158</f>
        <v>18.0</v>
      </c>
      <c r="L158" s="22">
        <f>F158^2/162</f>
        <v>1.5802469135802468</v>
      </c>
      <c r="M158" s="21">
        <f>K158*L158</f>
        <v>28.444444444444443</v>
      </c>
      <c r="N158" s="22">
        <f>M158/1000</f>
        <v>0.028444444444444442</v>
      </c>
      <c r="O158" s="13" t="inlineStr">
        <is>
          <t>BBS</t>
        </is>
      </c>
    </row>
    <row r="159">
      <c r="A159" s="13" t="n">
        <v>154</v>
      </c>
      <c r="B159" s="13" t="inlineStr">
        <is>
          <t>Staircases</t>
        </is>
      </c>
      <c r="C159" s="13" t="inlineStr">
        <is>
          <t>STR-023</t>
        </is>
      </c>
      <c r="D159" s="13" t="inlineStr">
        <is>
          <t>Main staircase 2nd to 3rd floor</t>
        </is>
      </c>
      <c r="E159" s="19" t="inlineStr">
        <is>
          <t>1201</t>
        </is>
      </c>
      <c r="F159" s="19" t="n">
        <v>12</v>
      </c>
      <c r="G159" s="19" t="n">
        <v>1</v>
      </c>
      <c r="H159" s="19" t="n">
        <v>30</v>
      </c>
      <c r="I159" s="13">
        <f>G159*H159</f>
        <v>30.0</v>
      </c>
      <c r="J159" s="20">
        <f>6200/1000</f>
        <v>6.2</v>
      </c>
      <c r="K159" s="21">
        <f>I159*J159</f>
        <v>186.0</v>
      </c>
      <c r="L159" s="22">
        <f>F159^2/162</f>
        <v>0.8888888888888888</v>
      </c>
      <c r="M159" s="21">
        <f>K159*L159</f>
        <v>165.33333333333331</v>
      </c>
      <c r="N159" s="22">
        <f>M159/1000</f>
        <v>0.1653333333333333</v>
      </c>
      <c r="O159" s="13" t="inlineStr">
        <is>
          <t>BBS</t>
        </is>
      </c>
    </row>
    <row r="160">
      <c r="A160" s="13" t="n">
        <v>155</v>
      </c>
      <c r="B160" s="13" t="inlineStr">
        <is>
          <t>Staircases</t>
        </is>
      </c>
      <c r="C160" s="13" t="inlineStr">
        <is>
          <t>STR-023</t>
        </is>
      </c>
      <c r="D160" s="13" t="inlineStr">
        <is>
          <t>Main staircase 2nd to 3rd floor</t>
        </is>
      </c>
      <c r="E160" s="19" t="inlineStr">
        <is>
          <t>1202</t>
        </is>
      </c>
      <c r="F160" s="19" t="n">
        <v>12</v>
      </c>
      <c r="G160" s="19" t="n">
        <v>1</v>
      </c>
      <c r="H160" s="19" t="n">
        <v>80</v>
      </c>
      <c r="I160" s="13">
        <f>G160*H160</f>
        <v>80.0</v>
      </c>
      <c r="J160" s="20">
        <f>2300/1000</f>
        <v>2.3</v>
      </c>
      <c r="K160" s="21">
        <f>I160*J160</f>
        <v>184.0</v>
      </c>
      <c r="L160" s="22">
        <f>F160^2/162</f>
        <v>0.8888888888888888</v>
      </c>
      <c r="M160" s="21">
        <f>K160*L160</f>
        <v>163.55555555555554</v>
      </c>
      <c r="N160" s="22">
        <f>M160/1000</f>
        <v>0.16355555555555554</v>
      </c>
      <c r="O160" s="13" t="inlineStr">
        <is>
          <t>BBS</t>
        </is>
      </c>
    </row>
    <row r="161">
      <c r="A161" s="13" t="n">
        <v>156</v>
      </c>
      <c r="B161" s="13" t="inlineStr">
        <is>
          <t>Staircases</t>
        </is>
      </c>
      <c r="C161" s="13" t="inlineStr">
        <is>
          <t>STR-023</t>
        </is>
      </c>
      <c r="D161" s="13" t="inlineStr">
        <is>
          <t>Main staircase 2nd to 3rd floor</t>
        </is>
      </c>
      <c r="E161" s="19" t="inlineStr">
        <is>
          <t>1203</t>
        </is>
      </c>
      <c r="F161" s="19" t="n">
        <v>12</v>
      </c>
      <c r="G161" s="19" t="n">
        <v>1</v>
      </c>
      <c r="H161" s="19" t="n">
        <v>26</v>
      </c>
      <c r="I161" s="13">
        <f>G161*H161</f>
        <v>26.0</v>
      </c>
      <c r="J161" s="20">
        <f>4800/1000</f>
        <v>4.8</v>
      </c>
      <c r="K161" s="21">
        <f>I161*J161</f>
        <v>124.8</v>
      </c>
      <c r="L161" s="22">
        <f>F161^2/162</f>
        <v>0.8888888888888888</v>
      </c>
      <c r="M161" s="21">
        <f>K161*L161</f>
        <v>110.93333333333332</v>
      </c>
      <c r="N161" s="22">
        <f>M161/1000</f>
        <v>0.11093333333333333</v>
      </c>
      <c r="O161" s="13" t="inlineStr">
        <is>
          <t>BBS</t>
        </is>
      </c>
    </row>
    <row r="162">
      <c r="A162" s="13" t="n">
        <v>157</v>
      </c>
      <c r="B162" s="13" t="inlineStr">
        <is>
          <t>Staircases</t>
        </is>
      </c>
      <c r="C162" s="13" t="inlineStr">
        <is>
          <t>STR-023</t>
        </is>
      </c>
      <c r="D162" s="13" t="inlineStr">
        <is>
          <t>Main staircase 2nd to 3rd floor</t>
        </is>
      </c>
      <c r="E162" s="19" t="inlineStr">
        <is>
          <t>1601</t>
        </is>
      </c>
      <c r="F162" s="19" t="n">
        <v>16</v>
      </c>
      <c r="G162" s="19" t="n">
        <v>1</v>
      </c>
      <c r="H162" s="19" t="n">
        <v>11</v>
      </c>
      <c r="I162" s="13">
        <f>G162*H162</f>
        <v>11.0</v>
      </c>
      <c r="J162" s="20">
        <f>8450/1000</f>
        <v>8.45</v>
      </c>
      <c r="K162" s="21">
        <f>I162*J162</f>
        <v>92.94999999999999</v>
      </c>
      <c r="L162" s="22">
        <f>F162^2/162</f>
        <v>1.5802469135802468</v>
      </c>
      <c r="M162" s="21">
        <f>K162*L162</f>
        <v>146.88395061728392</v>
      </c>
      <c r="N162" s="22">
        <f>M162/1000</f>
        <v>0.1468839506172839</v>
      </c>
      <c r="O162" s="13" t="inlineStr">
        <is>
          <t>BBS</t>
        </is>
      </c>
    </row>
    <row r="163">
      <c r="A163" s="13" t="n">
        <v>158</v>
      </c>
      <c r="B163" s="13" t="inlineStr">
        <is>
          <t>Staircases</t>
        </is>
      </c>
      <c r="C163" s="13" t="inlineStr">
        <is>
          <t>STR-023</t>
        </is>
      </c>
      <c r="D163" s="13" t="inlineStr">
        <is>
          <t>Main staircase 2nd to 3rd floor</t>
        </is>
      </c>
      <c r="E163" s="19" t="inlineStr">
        <is>
          <t>1602</t>
        </is>
      </c>
      <c r="F163" s="19" t="n">
        <v>16</v>
      </c>
      <c r="G163" s="19" t="n">
        <v>1</v>
      </c>
      <c r="H163" s="19" t="n">
        <v>11</v>
      </c>
      <c r="I163" s="13">
        <f>G163*H163</f>
        <v>11.0</v>
      </c>
      <c r="J163" s="20">
        <f>4475/1000</f>
        <v>4.475</v>
      </c>
      <c r="K163" s="21">
        <f>I163*J163</f>
        <v>49.224999999999994</v>
      </c>
      <c r="L163" s="22">
        <f>F163^2/162</f>
        <v>1.5802469135802468</v>
      </c>
      <c r="M163" s="21">
        <f>K163*L163</f>
        <v>77.78765432098764</v>
      </c>
      <c r="N163" s="22">
        <f>M163/1000</f>
        <v>0.07778765432098764</v>
      </c>
      <c r="O163" s="13" t="inlineStr">
        <is>
          <t>BBS</t>
        </is>
      </c>
    </row>
    <row r="164">
      <c r="A164" s="13" t="n">
        <v>159</v>
      </c>
      <c r="B164" s="13" t="inlineStr">
        <is>
          <t>Staircases</t>
        </is>
      </c>
      <c r="C164" s="13" t="inlineStr">
        <is>
          <t>STR-023</t>
        </is>
      </c>
      <c r="D164" s="13" t="inlineStr">
        <is>
          <t>Main staircase 2nd to 3rd floor</t>
        </is>
      </c>
      <c r="E164" s="19" t="inlineStr">
        <is>
          <t>1603</t>
        </is>
      </c>
      <c r="F164" s="19" t="n">
        <v>16</v>
      </c>
      <c r="G164" s="19" t="n">
        <v>1</v>
      </c>
      <c r="H164" s="19" t="n">
        <v>11</v>
      </c>
      <c r="I164" s="13">
        <f>G164*H164</f>
        <v>11.0</v>
      </c>
      <c r="J164" s="20">
        <f>2400/1000</f>
        <v>2.4</v>
      </c>
      <c r="K164" s="21">
        <f>I164*J164</f>
        <v>26.4</v>
      </c>
      <c r="L164" s="22">
        <f>F164^2/162</f>
        <v>1.5802469135802468</v>
      </c>
      <c r="M164" s="21">
        <f>K164*L164</f>
        <v>41.718518518518515</v>
      </c>
      <c r="N164" s="22">
        <f>M164/1000</f>
        <v>0.041718518518518516</v>
      </c>
      <c r="O164" s="13" t="inlineStr">
        <is>
          <t>BBS</t>
        </is>
      </c>
    </row>
    <row r="165">
      <c r="A165" s="13" t="n">
        <v>160</v>
      </c>
      <c r="B165" s="13" t="inlineStr">
        <is>
          <t>Staircases</t>
        </is>
      </c>
      <c r="C165" s="13" t="inlineStr">
        <is>
          <t>STR-023</t>
        </is>
      </c>
      <c r="D165" s="13" t="inlineStr">
        <is>
          <t>Main staircase 2nd to 3rd floor</t>
        </is>
      </c>
      <c r="E165" s="19" t="inlineStr">
        <is>
          <t>1604</t>
        </is>
      </c>
      <c r="F165" s="19" t="n">
        <v>16</v>
      </c>
      <c r="G165" s="19" t="n">
        <v>1</v>
      </c>
      <c r="H165" s="19" t="n">
        <v>11</v>
      </c>
      <c r="I165" s="13">
        <f>G165*H165</f>
        <v>11.0</v>
      </c>
      <c r="J165" s="20">
        <f>4250/1000</f>
        <v>4.25</v>
      </c>
      <c r="K165" s="21">
        <f>I165*J165</f>
        <v>46.75</v>
      </c>
      <c r="L165" s="22">
        <f>F165^2/162</f>
        <v>1.5802469135802468</v>
      </c>
      <c r="M165" s="21">
        <f>K165*L165</f>
        <v>73.87654320987654</v>
      </c>
      <c r="N165" s="22">
        <f>M165/1000</f>
        <v>0.07387654320987655</v>
      </c>
      <c r="O165" s="13" t="inlineStr">
        <is>
          <t>BBS</t>
        </is>
      </c>
    </row>
    <row r="166">
      <c r="A166" s="13" t="n">
        <v>161</v>
      </c>
      <c r="B166" s="13" t="inlineStr">
        <is>
          <t>Staircases</t>
        </is>
      </c>
      <c r="C166" s="13" t="inlineStr">
        <is>
          <t>STR-023</t>
        </is>
      </c>
      <c r="D166" s="13" t="inlineStr">
        <is>
          <t>Main staircase 2nd to 3rd floor</t>
        </is>
      </c>
      <c r="E166" s="19" t="inlineStr">
        <is>
          <t>1605</t>
        </is>
      </c>
      <c r="F166" s="19" t="n">
        <v>16</v>
      </c>
      <c r="G166" s="19" t="n">
        <v>1</v>
      </c>
      <c r="H166" s="19" t="n">
        <v>11</v>
      </c>
      <c r="I166" s="13">
        <f>G166*H166</f>
        <v>11.0</v>
      </c>
      <c r="J166" s="20">
        <f>2100/1000</f>
        <v>2.1</v>
      </c>
      <c r="K166" s="21">
        <f>I166*J166</f>
        <v>23.1</v>
      </c>
      <c r="L166" s="22">
        <f>F166^2/162</f>
        <v>1.5802469135802468</v>
      </c>
      <c r="M166" s="21">
        <f>K166*L166</f>
        <v>36.50370370370371</v>
      </c>
      <c r="N166" s="22">
        <f>M166/1000</f>
        <v>0.036503703703703705</v>
      </c>
      <c r="O166" s="13" t="inlineStr">
        <is>
          <t>BBS</t>
        </is>
      </c>
    </row>
    <row r="167">
      <c r="A167" s="13" t="n">
        <v>162</v>
      </c>
      <c r="B167" s="13" t="inlineStr">
        <is>
          <t>Staircases</t>
        </is>
      </c>
      <c r="C167" s="13" t="inlineStr">
        <is>
          <t>STR-023</t>
        </is>
      </c>
      <c r="D167" s="13" t="inlineStr">
        <is>
          <t>Main staircase 2nd to 3rd floor</t>
        </is>
      </c>
      <c r="E167" s="19" t="inlineStr">
        <is>
          <t>1606</t>
        </is>
      </c>
      <c r="F167" s="19" t="n">
        <v>16</v>
      </c>
      <c r="G167" s="19" t="n">
        <v>1</v>
      </c>
      <c r="H167" s="19" t="n">
        <v>11</v>
      </c>
      <c r="I167" s="13">
        <f>G167*H167</f>
        <v>11.0</v>
      </c>
      <c r="J167" s="20">
        <f>6950/1000</f>
        <v>6.95</v>
      </c>
      <c r="K167" s="21">
        <f>I167*J167</f>
        <v>76.45</v>
      </c>
      <c r="L167" s="22">
        <f>F167^2/162</f>
        <v>1.5802469135802468</v>
      </c>
      <c r="M167" s="21">
        <f>K167*L167</f>
        <v>120.80987654320987</v>
      </c>
      <c r="N167" s="22">
        <f>M167/1000</f>
        <v>0.12080987654320986</v>
      </c>
      <c r="O167" s="13" t="inlineStr">
        <is>
          <t>BBS</t>
        </is>
      </c>
    </row>
    <row r="168">
      <c r="A168" s="13" t="n">
        <v>163</v>
      </c>
      <c r="B168" s="13" t="inlineStr">
        <is>
          <t>Staircases</t>
        </is>
      </c>
      <c r="C168" s="13" t="inlineStr">
        <is>
          <t>STR-023</t>
        </is>
      </c>
      <c r="D168" s="13" t="inlineStr">
        <is>
          <t>Main staircase 2nd to 3rd floor</t>
        </is>
      </c>
      <c r="E168" s="19" t="inlineStr">
        <is>
          <t>1607</t>
        </is>
      </c>
      <c r="F168" s="19" t="n">
        <v>16</v>
      </c>
      <c r="G168" s="19" t="n">
        <v>1</v>
      </c>
      <c r="H168" s="19" t="n">
        <v>11</v>
      </c>
      <c r="I168" s="13">
        <f>G168*H168</f>
        <v>11.0</v>
      </c>
      <c r="J168" s="20">
        <f>3300/1000</f>
        <v>3.3</v>
      </c>
      <c r="K168" s="21">
        <f>I168*J168</f>
        <v>36.3</v>
      </c>
      <c r="L168" s="22">
        <f>F168^2/162</f>
        <v>1.5802469135802468</v>
      </c>
      <c r="M168" s="21">
        <f>K168*L168</f>
        <v>57.36296296296295</v>
      </c>
      <c r="N168" s="22">
        <f>M168/1000</f>
        <v>0.057362962962962956</v>
      </c>
      <c r="O168" s="13" t="inlineStr">
        <is>
          <t>BBS</t>
        </is>
      </c>
    </row>
    <row r="169">
      <c r="A169" s="13" t="n">
        <v>164</v>
      </c>
      <c r="B169" s="13" t="inlineStr">
        <is>
          <t>Staircases</t>
        </is>
      </c>
      <c r="C169" s="13" t="inlineStr">
        <is>
          <t>STR-023</t>
        </is>
      </c>
      <c r="D169" s="13" t="inlineStr">
        <is>
          <t>Main staircase 2nd to 3rd floor</t>
        </is>
      </c>
      <c r="E169" s="19" t="inlineStr">
        <is>
          <t>1608</t>
        </is>
      </c>
      <c r="F169" s="19" t="n">
        <v>16</v>
      </c>
      <c r="G169" s="19" t="n">
        <v>1</v>
      </c>
      <c r="H169" s="19" t="n">
        <v>11</v>
      </c>
      <c r="I169" s="13">
        <f>G169*H169</f>
        <v>11.0</v>
      </c>
      <c r="J169" s="20">
        <f>1200/1000</f>
        <v>1.2</v>
      </c>
      <c r="K169" s="21">
        <f>I169*J169</f>
        <v>13.2</v>
      </c>
      <c r="L169" s="22">
        <f>F169^2/162</f>
        <v>1.5802469135802468</v>
      </c>
      <c r="M169" s="21">
        <f>K169*L169</f>
        <v>20.859259259259257</v>
      </c>
      <c r="N169" s="22">
        <f>M169/1000</f>
        <v>0.020859259259259258</v>
      </c>
      <c r="O169" s="13" t="inlineStr">
        <is>
          <t>BBS</t>
        </is>
      </c>
    </row>
    <row r="170">
      <c r="A170" s="13" t="n">
        <v>165</v>
      </c>
      <c r="B170" s="13" t="inlineStr">
        <is>
          <t>Staircases</t>
        </is>
      </c>
      <c r="C170" s="13" t="inlineStr">
        <is>
          <t>STR-023</t>
        </is>
      </c>
      <c r="D170" s="13" t="inlineStr">
        <is>
          <t>Main staircase 2nd to 3rd floor</t>
        </is>
      </c>
      <c r="E170" s="19" t="inlineStr">
        <is>
          <t>1609</t>
        </is>
      </c>
      <c r="F170" s="19" t="n">
        <v>16</v>
      </c>
      <c r="G170" s="19" t="n">
        <v>1</v>
      </c>
      <c r="H170" s="19" t="n">
        <v>11</v>
      </c>
      <c r="I170" s="13">
        <f>G170*H170</f>
        <v>11.0</v>
      </c>
      <c r="J170" s="20">
        <f>6225/1000</f>
        <v>6.225</v>
      </c>
      <c r="K170" s="21">
        <f>I170*J170</f>
        <v>68.475</v>
      </c>
      <c r="L170" s="22">
        <f>F170^2/162</f>
        <v>1.5802469135802468</v>
      </c>
      <c r="M170" s="21">
        <f>K170*L170</f>
        <v>108.20740740740739</v>
      </c>
      <c r="N170" s="22">
        <f>M170/1000</f>
        <v>0.10820740740740739</v>
      </c>
      <c r="O170" s="13" t="inlineStr">
        <is>
          <t>BBS</t>
        </is>
      </c>
    </row>
    <row r="171">
      <c r="A171" s="13" t="n">
        <v>166</v>
      </c>
      <c r="B171" s="13" t="inlineStr">
        <is>
          <t>Staircases</t>
        </is>
      </c>
      <c r="C171" s="13" t="inlineStr">
        <is>
          <t>STR-023</t>
        </is>
      </c>
      <c r="D171" s="13" t="inlineStr">
        <is>
          <t>Main staircase 2nd to 3rd floor</t>
        </is>
      </c>
      <c r="E171" s="19" t="inlineStr">
        <is>
          <t>1610</t>
        </is>
      </c>
      <c r="F171" s="19" t="n">
        <v>16</v>
      </c>
      <c r="G171" s="19" t="n">
        <v>1</v>
      </c>
      <c r="H171" s="19" t="n">
        <v>11</v>
      </c>
      <c r="I171" s="13">
        <f>G171*H171</f>
        <v>11.0</v>
      </c>
      <c r="J171" s="20">
        <f>3225/1000</f>
        <v>3.225</v>
      </c>
      <c r="K171" s="21">
        <f>I171*J171</f>
        <v>35.475</v>
      </c>
      <c r="L171" s="22">
        <f>F171^2/162</f>
        <v>1.5802469135802468</v>
      </c>
      <c r="M171" s="21">
        <f>K171*L171</f>
        <v>56.05925925925926</v>
      </c>
      <c r="N171" s="22">
        <f>M171/1000</f>
        <v>0.05605925925925926</v>
      </c>
      <c r="O171" s="13" t="inlineStr">
        <is>
          <t>BBS</t>
        </is>
      </c>
    </row>
    <row r="173">
      <c r="D173" s="10" t="inlineStr">
        <is>
          <t>SUMMARY - SECOND FLOOR: ELEMENT BY BAR SIZE (TONNES)</t>
        </is>
      </c>
    </row>
    <row r="174">
      <c r="D174" s="23" t="inlineStr">
        <is>
          <t>Element</t>
        </is>
      </c>
      <c r="E174" s="24" t="n">
        <v>10</v>
      </c>
      <c r="F174" s="24" t="n">
        <v>12</v>
      </c>
      <c r="G174" s="24" t="n">
        <v>16</v>
      </c>
      <c r="H174" s="24" t="n">
        <v>20</v>
      </c>
      <c r="I174" s="24" t="n">
        <v>25</v>
      </c>
      <c r="J174" s="23" t="inlineStr">
        <is>
          <t>Total (t)</t>
        </is>
      </c>
    </row>
    <row r="175">
      <c r="D175" s="13" t="inlineStr">
        <is>
          <t>Raft Foundation</t>
        </is>
      </c>
      <c r="E175" s="25">
        <f>SUMIFS($N$6:$N$171,$B$6:$B$171,$D175,$F$6:$F$171,E$174)</f>
        <v>0.0</v>
      </c>
      <c r="F175" s="25">
        <f>SUMIFS($N$6:$N$171,$B$6:$B$171,$D175,$F$6:$F$171,F$174)</f>
        <v>0.0</v>
      </c>
      <c r="G175" s="25">
        <f>SUMIFS($N$6:$N$171,$B$6:$B$171,$D175,$F$6:$F$171,G$174)</f>
        <v>0.0</v>
      </c>
      <c r="H175" s="25">
        <f>SUMIFS($N$6:$N$171,$B$6:$B$171,$D175,$F$6:$F$171,H$174)</f>
        <v>0.0</v>
      </c>
      <c r="I175" s="25">
        <f>SUMIFS($N$6:$N$171,$B$6:$B$171,$D175,$F$6:$F$171,I$174)</f>
        <v>0.0</v>
      </c>
      <c r="J175" s="17">
        <f>SUM(E175:I175)</f>
        <v>0.0</v>
      </c>
    </row>
    <row r="176">
      <c r="D176" s="13" t="inlineStr">
        <is>
          <t>Columns</t>
        </is>
      </c>
      <c r="E176" s="25">
        <f>SUMIFS($N$6:$N$171,$B$6:$B$171,$D176,$F$6:$F$171,E$174)</f>
        <v>3.238666666666667</v>
      </c>
      <c r="F176" s="25">
        <f>SUMIFS($N$6:$N$171,$B$6:$B$171,$D176,$F$6:$F$171,F$174)</f>
        <v>0.0</v>
      </c>
      <c r="G176" s="25">
        <f>SUMIFS($N$6:$N$171,$B$6:$B$171,$D176,$F$6:$F$171,G$174)</f>
        <v>0.0</v>
      </c>
      <c r="H176" s="25">
        <f>SUMIFS($N$6:$N$171,$B$6:$B$171,$D176,$F$6:$F$171,H$174)</f>
        <v>0.6222222222222221</v>
      </c>
      <c r="I176" s="25">
        <f>SUMIFS($N$6:$N$171,$B$6:$B$171,$D176,$F$6:$F$171,I$174)</f>
        <v>6.238425925925926</v>
      </c>
      <c r="J176" s="17">
        <f>SUM(E176:I176)</f>
        <v>10.099314814814814</v>
      </c>
    </row>
    <row r="177">
      <c r="D177" s="13" t="inlineStr">
        <is>
          <t>Shear Walls</t>
        </is>
      </c>
      <c r="E177" s="25">
        <f>SUMIFS($N$6:$N$171,$B$6:$B$171,$D177,$F$6:$F$171,E$174)</f>
        <v>0.78</v>
      </c>
      <c r="F177" s="25">
        <f>SUMIFS($N$6:$N$171,$B$6:$B$171,$D177,$F$6:$F$171,F$174)</f>
        <v>1.0919999999999999</v>
      </c>
      <c r="G177" s="25">
        <f>SUMIFS($N$6:$N$171,$B$6:$B$171,$D177,$F$6:$F$171,G$174)</f>
        <v>0.0</v>
      </c>
      <c r="H177" s="25">
        <f>SUMIFS($N$6:$N$171,$B$6:$B$171,$D177,$F$6:$F$171,H$174)</f>
        <v>0.0</v>
      </c>
      <c r="I177" s="25">
        <f>SUMIFS($N$6:$N$171,$B$6:$B$171,$D177,$F$6:$F$171,I$174)</f>
        <v>6.195601851851852</v>
      </c>
      <c r="J177" s="17">
        <f>SUM(E177:I177)</f>
        <v>8.067601851851851</v>
      </c>
    </row>
    <row r="178">
      <c r="D178" s="13" t="inlineStr">
        <is>
          <t>Lift Walls</t>
        </is>
      </c>
      <c r="E178" s="25">
        <f>SUMIFS($N$6:$N$171,$B$6:$B$171,$D178,$F$6:$F$171,E$174)</f>
        <v>0.78</v>
      </c>
      <c r="F178" s="25">
        <f>SUMIFS($N$6:$N$171,$B$6:$B$171,$D178,$F$6:$F$171,F$174)</f>
        <v>1.0819999999999999</v>
      </c>
      <c r="G178" s="25">
        <f>SUMIFS($N$6:$N$171,$B$6:$B$171,$D178,$F$6:$F$171,G$174)</f>
        <v>0.0</v>
      </c>
      <c r="H178" s="25">
        <f>SUMIFS($N$6:$N$171,$B$6:$B$171,$D178,$F$6:$F$171,H$174)</f>
        <v>0.0</v>
      </c>
      <c r="I178" s="25">
        <f>SUMIFS($N$6:$N$171,$B$6:$B$171,$D178,$F$6:$F$171,I$174)</f>
        <v>6.390432098765431</v>
      </c>
      <c r="J178" s="17">
        <f>SUM(E178:I178)</f>
        <v>8.25243209876543</v>
      </c>
    </row>
    <row r="179">
      <c r="D179" s="13" t="inlineStr">
        <is>
          <t>Retaining / Ramp Walls</t>
        </is>
      </c>
      <c r="E179" s="25">
        <f>SUMIFS($N$6:$N$171,$B$6:$B$171,$D179,$F$6:$F$171,E$174)</f>
        <v>0.0</v>
      </c>
      <c r="F179" s="25">
        <f>SUMIFS($N$6:$N$171,$B$6:$B$171,$D179,$F$6:$F$171,F$174)</f>
        <v>0.0</v>
      </c>
      <c r="G179" s="25">
        <f>SUMIFS($N$6:$N$171,$B$6:$B$171,$D179,$F$6:$F$171,G$174)</f>
        <v>0.0</v>
      </c>
      <c r="H179" s="25">
        <f>SUMIFS($N$6:$N$171,$B$6:$B$171,$D179,$F$6:$F$171,H$174)</f>
        <v>0.0</v>
      </c>
      <c r="I179" s="25">
        <f>SUMIFS($N$6:$N$171,$B$6:$B$171,$D179,$F$6:$F$171,I$174)</f>
        <v>0.0</v>
      </c>
      <c r="J179" s="17">
        <f>SUM(E179:I179)</f>
        <v>0.0</v>
      </c>
    </row>
    <row r="180">
      <c r="D180" s="13" t="inlineStr">
        <is>
          <t>Beams</t>
        </is>
      </c>
      <c r="E180" s="25">
        <f>SUMIFS($N$6:$N$171,$B$6:$B$171,$D180,$F$6:$F$171,E$174)</f>
        <v>0.9016666666666666</v>
      </c>
      <c r="F180" s="25">
        <f>SUMIFS($N$6:$N$171,$B$6:$B$171,$D180,$F$6:$F$171,F$174)</f>
        <v>0.0</v>
      </c>
      <c r="G180" s="25">
        <f>SUMIFS($N$6:$N$171,$B$6:$B$171,$D180,$F$6:$F$171,G$174)</f>
        <v>0.7395555555555555</v>
      </c>
      <c r="H180" s="25">
        <f>SUMIFS($N$6:$N$171,$B$6:$B$171,$D180,$F$6:$F$171,H$174)</f>
        <v>0.7967901234567901</v>
      </c>
      <c r="I180" s="25">
        <f>SUMIFS($N$6:$N$171,$B$6:$B$171,$D180,$F$6:$F$171,I$174)</f>
        <v>2.4267939814814814</v>
      </c>
      <c r="J180" s="17">
        <f>SUM(E180:I180)</f>
        <v>4.864806327160494</v>
      </c>
    </row>
    <row r="181">
      <c r="D181" s="13" t="inlineStr">
        <is>
          <t>Floor Slabs</t>
        </is>
      </c>
      <c r="E181" s="25">
        <f>SUMIFS($N$6:$N$171,$B$6:$B$171,$D181,$F$6:$F$171,E$174)</f>
        <v>0.0</v>
      </c>
      <c r="F181" s="25">
        <f>SUMIFS($N$6:$N$171,$B$6:$B$171,$D181,$F$6:$F$171,F$174)</f>
        <v>35.12697777777777</v>
      </c>
      <c r="G181" s="25">
        <f>SUMIFS($N$6:$N$171,$B$6:$B$171,$D181,$F$6:$F$171,G$174)</f>
        <v>0.028444444444444442</v>
      </c>
      <c r="H181" s="25">
        <f>SUMIFS($N$6:$N$171,$B$6:$B$171,$D181,$F$6:$F$171,H$174)</f>
        <v>0.0</v>
      </c>
      <c r="I181" s="25">
        <f>SUMIFS($N$6:$N$171,$B$6:$B$171,$D181,$F$6:$F$171,I$174)</f>
        <v>0.0</v>
      </c>
      <c r="J181" s="17">
        <f>SUM(E181:I181)</f>
        <v>35.155422222222214</v>
      </c>
    </row>
    <row r="182">
      <c r="D182" s="13" t="inlineStr">
        <is>
          <t>Staircases</t>
        </is>
      </c>
      <c r="E182" s="25">
        <f>SUMIFS($N$6:$N$171,$B$6:$B$171,$D182,$F$6:$F$171,E$174)</f>
        <v>0.0</v>
      </c>
      <c r="F182" s="25">
        <f>SUMIFS($N$6:$N$171,$B$6:$B$171,$D182,$F$6:$F$171,F$174)</f>
        <v>0.43982222222222217</v>
      </c>
      <c r="G182" s="25">
        <f>SUMIFS($N$6:$N$171,$B$6:$B$171,$D182,$F$6:$F$171,G$174)</f>
        <v>0.740069135802469</v>
      </c>
      <c r="H182" s="25">
        <f>SUMIFS($N$6:$N$171,$B$6:$B$171,$D182,$F$6:$F$171,H$174)</f>
        <v>0.0</v>
      </c>
      <c r="I182" s="25">
        <f>SUMIFS($N$6:$N$171,$B$6:$B$171,$D182,$F$6:$F$171,I$174)</f>
        <v>0.0</v>
      </c>
      <c r="J182" s="17">
        <f>SUM(E182:I182)</f>
        <v>1.1798913580246913</v>
      </c>
    </row>
    <row r="183">
      <c r="D183" s="13" t="inlineStr">
        <is>
          <t>Lift Core Roof Slab</t>
        </is>
      </c>
      <c r="E183" s="25">
        <f>SUMIFS($N$6:$N$171,$B$6:$B$171,$D183,$F$6:$F$171,E$174)</f>
        <v>0.0</v>
      </c>
      <c r="F183" s="25">
        <f>SUMIFS($N$6:$N$171,$B$6:$B$171,$D183,$F$6:$F$171,F$174)</f>
        <v>0.0</v>
      </c>
      <c r="G183" s="25">
        <f>SUMIFS($N$6:$N$171,$B$6:$B$171,$D183,$F$6:$F$171,G$174)</f>
        <v>0.0</v>
      </c>
      <c r="H183" s="25">
        <f>SUMIFS($N$6:$N$171,$B$6:$B$171,$D183,$F$6:$F$171,H$174)</f>
        <v>0.0</v>
      </c>
      <c r="I183" s="25">
        <f>SUMIFS($N$6:$N$171,$B$6:$B$171,$D183,$F$6:$F$171,I$174)</f>
        <v>0.0</v>
      </c>
      <c r="J183" s="17">
        <f>SUM(E183:I183)</f>
        <v>0.0</v>
      </c>
    </row>
    <row r="184">
      <c r="D184" s="16" t="inlineStr">
        <is>
          <t>TOTAL - SECOND FLOOR</t>
        </is>
      </c>
      <c r="E184" s="26">
        <f>SUM(E175:E183)</f>
        <v>5.700333333333334</v>
      </c>
      <c r="F184" s="26">
        <f>SUM(F175:F183)</f>
        <v>37.740799999999986</v>
      </c>
      <c r="G184" s="26">
        <f>SUM(G175:G183)</f>
        <v>1.5080691358024692</v>
      </c>
      <c r="H184" s="26">
        <f>SUM(H175:H183)</f>
        <v>1.4190123456790122</v>
      </c>
      <c r="I184" s="26">
        <f>SUM(I175:I183)</f>
        <v>21.25125385802469</v>
      </c>
      <c r="J184" s="26">
        <f>SUM(J175:J183)</f>
        <v>67.61946867283949</v>
      </c>
      <c r="K184" s="7" t="inlineStr">
        <is>
          <t>Check vs detail (should be 0):</t>
        </is>
      </c>
      <c r="N184" s="7">
        <f>ROUND(SUM(N6:N171)-J184,6)</f>
        <v>0.0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O13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MEZZANINE FLOOR 3B PARKING (+7900)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STR-008</t>
        </is>
      </c>
      <c r="D6" s="13" t="inlineStr">
        <is>
          <t>COL-01D (1 nos) Mezz to 3rd - links</t>
        </is>
      </c>
      <c r="E6" s="19" t="inlineStr">
        <is>
          <t>1001</t>
        </is>
      </c>
      <c r="F6" s="19" t="n">
        <v>10</v>
      </c>
      <c r="G6" s="19" t="n">
        <v>1</v>
      </c>
      <c r="H6" s="19" t="n">
        <v>28</v>
      </c>
      <c r="I6" s="13">
        <f>G6*H6</f>
        <v>28.0</v>
      </c>
      <c r="J6" s="20">
        <f>2330/1000</f>
        <v>2.33</v>
      </c>
      <c r="K6" s="21">
        <f>I6*J6</f>
        <v>65.24000000000001</v>
      </c>
      <c r="L6" s="22">
        <f>F6^2/162</f>
        <v>0.6172839506172839</v>
      </c>
      <c r="M6" s="21">
        <f>K6*L6</f>
        <v>40.27160493827161</v>
      </c>
      <c r="N6" s="22">
        <f>M6/1000</f>
        <v>0.04027160493827161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STR-008</t>
        </is>
      </c>
      <c r="D7" s="13" t="inlineStr">
        <is>
          <t>COL-01D (1 nos) Mezz to 3rd - links</t>
        </is>
      </c>
      <c r="E7" s="19" t="inlineStr">
        <is>
          <t>1002</t>
        </is>
      </c>
      <c r="F7" s="19" t="n">
        <v>10</v>
      </c>
      <c r="G7" s="19" t="n">
        <v>1</v>
      </c>
      <c r="H7" s="19" t="n">
        <v>56</v>
      </c>
      <c r="I7" s="13">
        <f>G7*H7</f>
        <v>56.0</v>
      </c>
      <c r="J7" s="20">
        <f>1330/1000</f>
        <v>1.33</v>
      </c>
      <c r="K7" s="21">
        <f>I7*J7</f>
        <v>74.48</v>
      </c>
      <c r="L7" s="22">
        <f>F7^2/162</f>
        <v>0.6172839506172839</v>
      </c>
      <c r="M7" s="21">
        <f>K7*L7</f>
        <v>45.97530864197531</v>
      </c>
      <c r="N7" s="22">
        <f>M7/1000</f>
        <v>0.04597530864197531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STR-008</t>
        </is>
      </c>
      <c r="D8" s="13" t="inlineStr">
        <is>
          <t>COL-01D (1 nos) Mezz to 3rd - links</t>
        </is>
      </c>
      <c r="E8" s="19" t="inlineStr">
        <is>
          <t>1003</t>
        </is>
      </c>
      <c r="F8" s="19" t="n">
        <v>10</v>
      </c>
      <c r="G8" s="19" t="n">
        <v>1</v>
      </c>
      <c r="H8" s="19" t="n">
        <v>28</v>
      </c>
      <c r="I8" s="13">
        <f>G8*H8</f>
        <v>28.0</v>
      </c>
      <c r="J8" s="20">
        <f>1830/1000</f>
        <v>1.83</v>
      </c>
      <c r="K8" s="21">
        <f>I8*J8</f>
        <v>51.24</v>
      </c>
      <c r="L8" s="22">
        <f>F8^2/162</f>
        <v>0.6172839506172839</v>
      </c>
      <c r="M8" s="21">
        <f>K8*L8</f>
        <v>31.62962962962963</v>
      </c>
      <c r="N8" s="22">
        <f>M8/1000</f>
        <v>0.03162962962962963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STR-008</t>
        </is>
      </c>
      <c r="D9" s="13" t="inlineStr">
        <is>
          <t>COL-01D (1 nos) Mezz to 3rd - main bars</t>
        </is>
      </c>
      <c r="E9" s="19" t="inlineStr">
        <is>
          <t>2005</t>
        </is>
      </c>
      <c r="F9" s="19" t="n">
        <v>20</v>
      </c>
      <c r="G9" s="19" t="n">
        <v>1</v>
      </c>
      <c r="H9" s="19" t="n">
        <v>16</v>
      </c>
      <c r="I9" s="13">
        <f>G9*H9</f>
        <v>16.0</v>
      </c>
      <c r="J9" s="20">
        <f>4200/1000</f>
        <v>4.2</v>
      </c>
      <c r="K9" s="21">
        <f>I9*J9</f>
        <v>67.2</v>
      </c>
      <c r="L9" s="22">
        <f>F9^2/162</f>
        <v>2.4691358024691357</v>
      </c>
      <c r="M9" s="21">
        <f>K9*L9</f>
        <v>165.92592592592592</v>
      </c>
      <c r="N9" s="22">
        <f>M9/1000</f>
        <v>0.16592592592592592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STR-011</t>
        </is>
      </c>
      <c r="D10" s="13" t="inlineStr">
        <is>
          <t>COL-02D (15 nos) Mezz to 3rd - links</t>
        </is>
      </c>
      <c r="E10" s="19" t="inlineStr">
        <is>
          <t>1004</t>
        </is>
      </c>
      <c r="F10" s="19" t="n">
        <v>10</v>
      </c>
      <c r="G10" s="19" t="n">
        <v>15</v>
      </c>
      <c r="H10" s="19" t="n">
        <v>28</v>
      </c>
      <c r="I10" s="13">
        <f>G10*H10</f>
        <v>420.0</v>
      </c>
      <c r="J10" s="20">
        <f>2910/1000</f>
        <v>2.91</v>
      </c>
      <c r="K10" s="21">
        <f>I10*J10</f>
        <v>1222.2</v>
      </c>
      <c r="L10" s="22">
        <f>F10^2/162</f>
        <v>0.6172839506172839</v>
      </c>
      <c r="M10" s="21">
        <f>K10*L10</f>
        <v>754.4444444444445</v>
      </c>
      <c r="N10" s="22">
        <f>M10/1000</f>
        <v>0.7544444444444445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STR-011</t>
        </is>
      </c>
      <c r="D11" s="13" t="inlineStr">
        <is>
          <t>COL-02D (15 nos) Mezz to 3rd - links</t>
        </is>
      </c>
      <c r="E11" s="19" t="inlineStr">
        <is>
          <t>1005</t>
        </is>
      </c>
      <c r="F11" s="19" t="n">
        <v>10</v>
      </c>
      <c r="G11" s="19" t="n">
        <v>15</v>
      </c>
      <c r="H11" s="19">
        <f>3*28</f>
        <v>84.0</v>
      </c>
      <c r="I11" s="13">
        <f>G11*H11</f>
        <v>1260.0</v>
      </c>
      <c r="J11" s="20">
        <f>1008/1000</f>
        <v>1.008</v>
      </c>
      <c r="K11" s="21">
        <f>I11*J11</f>
        <v>1270.08</v>
      </c>
      <c r="L11" s="22">
        <f>F11^2/162</f>
        <v>0.6172839506172839</v>
      </c>
      <c r="M11" s="21">
        <f>K11*L11</f>
        <v>783.9999999999999</v>
      </c>
      <c r="N11" s="22">
        <f>M11/1000</f>
        <v>0.7839999999999999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STR-011</t>
        </is>
      </c>
      <c r="D12" s="13" t="inlineStr">
        <is>
          <t>COL-02D (15 nos) Mezz to 3rd - main bars</t>
        </is>
      </c>
      <c r="E12" s="19" t="inlineStr">
        <is>
          <t>2001</t>
        </is>
      </c>
      <c r="F12" s="19" t="n">
        <v>20</v>
      </c>
      <c r="G12" s="19" t="n">
        <v>15</v>
      </c>
      <c r="H12" s="19" t="n">
        <v>18</v>
      </c>
      <c r="I12" s="13">
        <f>G12*H12</f>
        <v>270.0</v>
      </c>
      <c r="J12" s="20">
        <f>4500/1000</f>
        <v>4.5</v>
      </c>
      <c r="K12" s="21">
        <f>I12*J12</f>
        <v>1215.0</v>
      </c>
      <c r="L12" s="22">
        <f>F12^2/162</f>
        <v>2.4691358024691357</v>
      </c>
      <c r="M12" s="21">
        <f>K12*L12</f>
        <v>3000.0</v>
      </c>
      <c r="N12" s="22">
        <f>M12/1000</f>
        <v>3.0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Shear Walls</t>
        </is>
      </c>
      <c r="C13" s="13" t="inlineStr">
        <is>
          <t>STR-013/014</t>
        </is>
      </c>
      <c r="D13" s="13" t="inlineStr">
        <is>
          <t>Emergency stair core CW-12 (L=7050mm) Mezz to 3rd - horizontal Y12@150 NF/FF</t>
        </is>
      </c>
      <c r="E13" s="19" t="inlineStr">
        <is>
          <t>H-Y12</t>
        </is>
      </c>
      <c r="F13" s="19" t="n">
        <v>12</v>
      </c>
      <c r="G13" s="19" t="n">
        <v>1</v>
      </c>
      <c r="H13" s="19">
        <f>2*18</f>
        <v>36.0</v>
      </c>
      <c r="I13" s="13">
        <f>G13*H13</f>
        <v>36.0</v>
      </c>
      <c r="J13" s="20">
        <f>(7050-2*30+40*12)/1000</f>
        <v>7.47</v>
      </c>
      <c r="K13" s="21">
        <f>I13*J13</f>
        <v>268.92</v>
      </c>
      <c r="L13" s="22">
        <f>F13^2/162</f>
        <v>0.8888888888888888</v>
      </c>
      <c r="M13" s="21">
        <f>K13*L13</f>
        <v>239.04</v>
      </c>
      <c r="N13" s="22">
        <f>M13/1000</f>
        <v>0.23904</v>
      </c>
      <c r="O13" s="13" t="inlineStr">
        <is>
          <t>Elevation count / plan length</t>
        </is>
      </c>
    </row>
    <row r="14">
      <c r="A14" s="13" t="n">
        <v>9</v>
      </c>
      <c r="B14" s="13" t="inlineStr">
        <is>
          <t>Shear Walls</t>
        </is>
      </c>
      <c r="C14" s="13" t="inlineStr">
        <is>
          <t>STR-013/014</t>
        </is>
      </c>
      <c r="D14" s="13" t="inlineStr">
        <is>
          <t>Emergency stair core CW-12 Mezz to 3rd - vertical Y25@150 NF/FF</t>
        </is>
      </c>
      <c r="E14" s="19" t="inlineStr">
        <is>
          <t>V-Y25</t>
        </is>
      </c>
      <c r="F14" s="19" t="n">
        <v>25</v>
      </c>
      <c r="G14" s="19" t="n">
        <v>1</v>
      </c>
      <c r="H14" s="19">
        <f>2*(ROUNDUP(7050/150,0)+1)</f>
        <v>96.0</v>
      </c>
      <c r="I14" s="13">
        <f>G14*H14</f>
        <v>96.0</v>
      </c>
      <c r="J14" s="20">
        <f>(3000+40*25)/1000</f>
        <v>4.0</v>
      </c>
      <c r="K14" s="21">
        <f>I14*J14</f>
        <v>384.0</v>
      </c>
      <c r="L14" s="22">
        <f>F14^2/162</f>
        <v>3.8580246913580245</v>
      </c>
      <c r="M14" s="21">
        <f>K14*L14</f>
        <v>1481.4814814814813</v>
      </c>
      <c r="N14" s="22">
        <f>M14/1000</f>
        <v>1.4814814814814814</v>
      </c>
      <c r="O14" s="13" t="inlineStr">
        <is>
          <t>Elevation / plan</t>
        </is>
      </c>
    </row>
    <row r="15">
      <c r="A15" s="13" t="n">
        <v>10</v>
      </c>
      <c r="B15" s="13" t="inlineStr">
        <is>
          <t>Shear Walls</t>
        </is>
      </c>
      <c r="C15" s="13" t="inlineStr">
        <is>
          <t>STR-013/014</t>
        </is>
      </c>
      <c r="D15" s="13" t="inlineStr">
        <is>
          <t>Emergency stair core CW-13 (L=7810mm) Mezz to 3rd - horizontal Y12@150 NF/FF</t>
        </is>
      </c>
      <c r="E15" s="19" t="inlineStr">
        <is>
          <t>H-Y12</t>
        </is>
      </c>
      <c r="F15" s="19" t="n">
        <v>12</v>
      </c>
      <c r="G15" s="19" t="n">
        <v>1</v>
      </c>
      <c r="H15" s="19">
        <f>2*18</f>
        <v>36.0</v>
      </c>
      <c r="I15" s="13">
        <f>G15*H15</f>
        <v>36.0</v>
      </c>
      <c r="J15" s="20">
        <f>(7810-2*30+40*12)/1000</f>
        <v>8.23</v>
      </c>
      <c r="K15" s="21">
        <f>I15*J15</f>
        <v>296.28000000000003</v>
      </c>
      <c r="L15" s="22">
        <f>F15^2/162</f>
        <v>0.8888888888888888</v>
      </c>
      <c r="M15" s="21">
        <f>K15*L15</f>
        <v>263.36</v>
      </c>
      <c r="N15" s="22">
        <f>M15/1000</f>
        <v>0.26336000000000004</v>
      </c>
      <c r="O15" s="13" t="inlineStr">
        <is>
          <t>Elevation count / plan length</t>
        </is>
      </c>
    </row>
    <row r="16">
      <c r="A16" s="13" t="n">
        <v>11</v>
      </c>
      <c r="B16" s="13" t="inlineStr">
        <is>
          <t>Shear Walls</t>
        </is>
      </c>
      <c r="C16" s="13" t="inlineStr">
        <is>
          <t>STR-013/014</t>
        </is>
      </c>
      <c r="D16" s="13" t="inlineStr">
        <is>
          <t>Emergency stair core CW-13 Mezz to 3rd - vertical Y25@150 NF/FF</t>
        </is>
      </c>
      <c r="E16" s="19" t="inlineStr">
        <is>
          <t>V-Y25</t>
        </is>
      </c>
      <c r="F16" s="19" t="n">
        <v>25</v>
      </c>
      <c r="G16" s="19" t="n">
        <v>1</v>
      </c>
      <c r="H16" s="19">
        <f>2*52</f>
        <v>104.0</v>
      </c>
      <c r="I16" s="13">
        <f>G16*H16</f>
        <v>104.0</v>
      </c>
      <c r="J16" s="20">
        <f>(3000+40*25)/1000</f>
        <v>4.0</v>
      </c>
      <c r="K16" s="21">
        <f>I16*J16</f>
        <v>416.0</v>
      </c>
      <c r="L16" s="22">
        <f>F16^2/162</f>
        <v>3.8580246913580245</v>
      </c>
      <c r="M16" s="21">
        <f>K16*L16</f>
        <v>1604.938271604938</v>
      </c>
      <c r="N16" s="22">
        <f>M16/1000</f>
        <v>1.604938271604938</v>
      </c>
      <c r="O16" s="13" t="inlineStr">
        <is>
          <t>Elevation / plan</t>
        </is>
      </c>
    </row>
    <row r="17">
      <c r="A17" s="13" t="n">
        <v>12</v>
      </c>
      <c r="B17" s="13" t="inlineStr">
        <is>
          <t>Shear Walls</t>
        </is>
      </c>
      <c r="C17" s="13" t="inlineStr">
        <is>
          <t>STR-013/014</t>
        </is>
      </c>
      <c r="D17" s="13" t="inlineStr">
        <is>
          <t>Emergency stair core CW-14 (L=3450mm) Mezz to 3rd - horizontal Y12@150 NF/FF</t>
        </is>
      </c>
      <c r="E17" s="19" t="inlineStr">
        <is>
          <t>H-Y12</t>
        </is>
      </c>
      <c r="F17" s="19" t="n">
        <v>12</v>
      </c>
      <c r="G17" s="19" t="n">
        <v>1</v>
      </c>
      <c r="H17" s="19">
        <f>2*18</f>
        <v>36.0</v>
      </c>
      <c r="I17" s="13">
        <f>G17*H17</f>
        <v>36.0</v>
      </c>
      <c r="J17" s="20">
        <f>(3450-2*30+40*12)/1000</f>
        <v>3.87</v>
      </c>
      <c r="K17" s="21">
        <f>I17*J17</f>
        <v>139.32</v>
      </c>
      <c r="L17" s="22">
        <f>F17^2/162</f>
        <v>0.8888888888888888</v>
      </c>
      <c r="M17" s="21">
        <f>K17*L17</f>
        <v>123.83999999999999</v>
      </c>
      <c r="N17" s="22">
        <f>M17/1000</f>
        <v>0.12383999999999999</v>
      </c>
      <c r="O17" s="13" t="inlineStr">
        <is>
          <t>Elevation count / plan length</t>
        </is>
      </c>
    </row>
    <row r="18">
      <c r="A18" s="13" t="n">
        <v>13</v>
      </c>
      <c r="B18" s="13" t="inlineStr">
        <is>
          <t>Shear Walls</t>
        </is>
      </c>
      <c r="C18" s="13" t="inlineStr">
        <is>
          <t>STR-013/014</t>
        </is>
      </c>
      <c r="D18" s="13" t="inlineStr">
        <is>
          <t>Emergency stair core CW-14 Mezz to 3rd - vertical Y25@150 NF/FF</t>
        </is>
      </c>
      <c r="E18" s="19" t="inlineStr">
        <is>
          <t>V-Y25</t>
        </is>
      </c>
      <c r="F18" s="19" t="n">
        <v>25</v>
      </c>
      <c r="G18" s="19" t="n">
        <v>1</v>
      </c>
      <c r="H18" s="19">
        <f>2*(ROUNDUP(3450/150,0)+1)</f>
        <v>48.0</v>
      </c>
      <c r="I18" s="13">
        <f>G18*H18</f>
        <v>48.0</v>
      </c>
      <c r="J18" s="20">
        <f>(3000+40*25)/1000</f>
        <v>4.0</v>
      </c>
      <c r="K18" s="21">
        <f>I18*J18</f>
        <v>192.0</v>
      </c>
      <c r="L18" s="22">
        <f>F18^2/162</f>
        <v>3.8580246913580245</v>
      </c>
      <c r="M18" s="21">
        <f>K18*L18</f>
        <v>740.7407407407406</v>
      </c>
      <c r="N18" s="22">
        <f>M18/1000</f>
        <v>0.7407407407407407</v>
      </c>
      <c r="O18" s="13" t="inlineStr">
        <is>
          <t>Elevation / plan</t>
        </is>
      </c>
    </row>
    <row r="19">
      <c r="A19" s="13" t="n">
        <v>14</v>
      </c>
      <c r="B19" s="13" t="inlineStr">
        <is>
          <t>Shear Walls</t>
        </is>
      </c>
      <c r="C19" s="13" t="inlineStr">
        <is>
          <t>STR-013/014</t>
        </is>
      </c>
      <c r="D19" s="13" t="inlineStr">
        <is>
          <t>Emergency stair core CW-15 (L=2425mm) Mezz to 3rd - horizontal Y12@150 NF/FF</t>
        </is>
      </c>
      <c r="E19" s="19" t="inlineStr">
        <is>
          <t>H-Y12</t>
        </is>
      </c>
      <c r="F19" s="19" t="n">
        <v>12</v>
      </c>
      <c r="G19" s="19" t="n">
        <v>1</v>
      </c>
      <c r="H19" s="19">
        <f>2*18</f>
        <v>36.0</v>
      </c>
      <c r="I19" s="13">
        <f>G19*H19</f>
        <v>36.0</v>
      </c>
      <c r="J19" s="20">
        <f>(2425-2*30+40*12)/1000</f>
        <v>2.845</v>
      </c>
      <c r="K19" s="21">
        <f>I19*J19</f>
        <v>102.42</v>
      </c>
      <c r="L19" s="22">
        <f>F19^2/162</f>
        <v>0.8888888888888888</v>
      </c>
      <c r="M19" s="21">
        <f>K19*L19</f>
        <v>91.03999999999999</v>
      </c>
      <c r="N19" s="22">
        <f>M19/1000</f>
        <v>0.09104</v>
      </c>
      <c r="O19" s="13" t="inlineStr">
        <is>
          <t>Elevation count / plan length</t>
        </is>
      </c>
    </row>
    <row r="20">
      <c r="A20" s="13" t="n">
        <v>15</v>
      </c>
      <c r="B20" s="13" t="inlineStr">
        <is>
          <t>Shear Walls</t>
        </is>
      </c>
      <c r="C20" s="13" t="inlineStr">
        <is>
          <t>STR-013/014</t>
        </is>
      </c>
      <c r="D20" s="13" t="inlineStr">
        <is>
          <t>Emergency stair core CW-15 Mezz to 3rd - vertical Y25@150 NF/FF</t>
        </is>
      </c>
      <c r="E20" s="19" t="inlineStr">
        <is>
          <t>V-Y25</t>
        </is>
      </c>
      <c r="F20" s="19" t="n">
        <v>25</v>
      </c>
      <c r="G20" s="19" t="n">
        <v>1</v>
      </c>
      <c r="H20" s="19">
        <f>2*(ROUNDUP(2425/150,0)+1)</f>
        <v>36.0</v>
      </c>
      <c r="I20" s="13">
        <f>G20*H20</f>
        <v>36.0</v>
      </c>
      <c r="J20" s="20">
        <f>(3000+40*25)/1000</f>
        <v>4.0</v>
      </c>
      <c r="K20" s="21">
        <f>I20*J20</f>
        <v>144.0</v>
      </c>
      <c r="L20" s="22">
        <f>F20^2/162</f>
        <v>3.8580246913580245</v>
      </c>
      <c r="M20" s="21">
        <f>K20*L20</f>
        <v>555.5555555555555</v>
      </c>
      <c r="N20" s="22">
        <f>M20/1000</f>
        <v>0.5555555555555556</v>
      </c>
      <c r="O20" s="13" t="inlineStr">
        <is>
          <t>Elevation / plan</t>
        </is>
      </c>
    </row>
    <row r="21">
      <c r="A21" s="13" t="n">
        <v>16</v>
      </c>
      <c r="B21" s="13" t="inlineStr">
        <is>
          <t>Shear Walls</t>
        </is>
      </c>
      <c r="C21" s="13" t="inlineStr">
        <is>
          <t>STR-013/014</t>
        </is>
      </c>
      <c r="D21" s="13" t="inlineStr">
        <is>
          <t>Emergency stair core CW-16 (L=775mm) Mezz to 3rd - horizontal Y12@150 NF/FF</t>
        </is>
      </c>
      <c r="E21" s="19" t="inlineStr">
        <is>
          <t>H-Y12</t>
        </is>
      </c>
      <c r="F21" s="19" t="n">
        <v>12</v>
      </c>
      <c r="G21" s="19" t="n">
        <v>1</v>
      </c>
      <c r="H21" s="19">
        <f>2*18</f>
        <v>36.0</v>
      </c>
      <c r="I21" s="13">
        <f>G21*H21</f>
        <v>36.0</v>
      </c>
      <c r="J21" s="20">
        <f>(775-2*30+40*12)/1000</f>
        <v>1.195</v>
      </c>
      <c r="K21" s="21">
        <f>I21*J21</f>
        <v>43.02</v>
      </c>
      <c r="L21" s="22">
        <f>F21^2/162</f>
        <v>0.8888888888888888</v>
      </c>
      <c r="M21" s="21">
        <f>K21*L21</f>
        <v>38.24</v>
      </c>
      <c r="N21" s="22">
        <f>M21/1000</f>
        <v>0.03824</v>
      </c>
      <c r="O21" s="13" t="inlineStr">
        <is>
          <t>Elevation count / plan length</t>
        </is>
      </c>
    </row>
    <row r="22">
      <c r="A22" s="13" t="n">
        <v>17</v>
      </c>
      <c r="B22" s="13" t="inlineStr">
        <is>
          <t>Shear Walls</t>
        </is>
      </c>
      <c r="C22" s="13" t="inlineStr">
        <is>
          <t>STR-013/014</t>
        </is>
      </c>
      <c r="D22" s="13" t="inlineStr">
        <is>
          <t>Emergency stair core CW-16 Mezz to 3rd - vertical Y25@150 NF/FF</t>
        </is>
      </c>
      <c r="E22" s="19" t="inlineStr">
        <is>
          <t>V-Y25</t>
        </is>
      </c>
      <c r="F22" s="19" t="n">
        <v>25</v>
      </c>
      <c r="G22" s="19" t="n">
        <v>1</v>
      </c>
      <c r="H22" s="19">
        <f>2*(ROUNDUP(775/150,0)+1)</f>
        <v>14.0</v>
      </c>
      <c r="I22" s="13">
        <f>G22*H22</f>
        <v>14.0</v>
      </c>
      <c r="J22" s="20">
        <f>(3000+40*25)/1000</f>
        <v>4.0</v>
      </c>
      <c r="K22" s="21">
        <f>I22*J22</f>
        <v>56.0</v>
      </c>
      <c r="L22" s="22">
        <f>F22^2/162</f>
        <v>3.8580246913580245</v>
      </c>
      <c r="M22" s="21">
        <f>K22*L22</f>
        <v>216.04938271604937</v>
      </c>
      <c r="N22" s="22">
        <f>M22/1000</f>
        <v>0.21604938271604937</v>
      </c>
      <c r="O22" s="13" t="inlineStr">
        <is>
          <t>Elevation / plan</t>
        </is>
      </c>
    </row>
    <row r="23">
      <c r="A23" s="13" t="n">
        <v>18</v>
      </c>
      <c r="B23" s="13" t="inlineStr">
        <is>
          <t>Shear Walls</t>
        </is>
      </c>
      <c r="C23" s="13" t="inlineStr">
        <is>
          <t>STR-013/014</t>
        </is>
      </c>
      <c r="D23" s="13" t="inlineStr">
        <is>
          <t>Emergency stair core CW-17 (L=360mm) Mezz to 3rd - horizontal Y12@150 NF/FF</t>
        </is>
      </c>
      <c r="E23" s="19" t="inlineStr">
        <is>
          <t>H-Y12</t>
        </is>
      </c>
      <c r="F23" s="19" t="n">
        <v>12</v>
      </c>
      <c r="G23" s="19" t="n">
        <v>1</v>
      </c>
      <c r="H23" s="19">
        <f>2*18</f>
        <v>36.0</v>
      </c>
      <c r="I23" s="13">
        <f>G23*H23</f>
        <v>36.0</v>
      </c>
      <c r="J23" s="20">
        <f>(360-2*30+40*12)/1000</f>
        <v>0.78</v>
      </c>
      <c r="K23" s="21">
        <f>I23*J23</f>
        <v>28.080000000000002</v>
      </c>
      <c r="L23" s="22">
        <f>F23^2/162</f>
        <v>0.8888888888888888</v>
      </c>
      <c r="M23" s="21">
        <f>K23*L23</f>
        <v>24.96</v>
      </c>
      <c r="N23" s="22">
        <f>M23/1000</f>
        <v>0.02496</v>
      </c>
      <c r="O23" s="13" t="inlineStr">
        <is>
          <t>Elevation count / plan length</t>
        </is>
      </c>
    </row>
    <row r="24">
      <c r="A24" s="13" t="n">
        <v>19</v>
      </c>
      <c r="B24" s="13" t="inlineStr">
        <is>
          <t>Shear Walls</t>
        </is>
      </c>
      <c r="C24" s="13" t="inlineStr">
        <is>
          <t>STR-013/014</t>
        </is>
      </c>
      <c r="D24" s="13" t="inlineStr">
        <is>
          <t>Emergency stair core CW-17 Mezz to 3rd - vertical Y25@150 NF/FF</t>
        </is>
      </c>
      <c r="E24" s="19" t="inlineStr">
        <is>
          <t>V-Y25</t>
        </is>
      </c>
      <c r="F24" s="19" t="n">
        <v>25</v>
      </c>
      <c r="G24" s="19" t="n">
        <v>1</v>
      </c>
      <c r="H24" s="19">
        <f>2*(ROUNDUP(360/150,0)+1)</f>
        <v>8.0</v>
      </c>
      <c r="I24" s="13">
        <f>G24*H24</f>
        <v>8.0</v>
      </c>
      <c r="J24" s="20">
        <f>(3000+40*25)/1000</f>
        <v>4.0</v>
      </c>
      <c r="K24" s="21">
        <f>I24*J24</f>
        <v>32.0</v>
      </c>
      <c r="L24" s="22">
        <f>F24^2/162</f>
        <v>3.8580246913580245</v>
      </c>
      <c r="M24" s="21">
        <f>K24*L24</f>
        <v>123.45679012345678</v>
      </c>
      <c r="N24" s="22">
        <f>M24/1000</f>
        <v>0.12345679012345678</v>
      </c>
      <c r="O24" s="13" t="inlineStr">
        <is>
          <t>Elevation / plan</t>
        </is>
      </c>
    </row>
    <row r="25">
      <c r="A25" s="13" t="n">
        <v>20</v>
      </c>
      <c r="B25" s="13" t="inlineStr">
        <is>
          <t>Shear Walls</t>
        </is>
      </c>
      <c r="C25" s="13" t="inlineStr">
        <is>
          <t>STR-013/014</t>
        </is>
      </c>
      <c r="D25" s="13" t="inlineStr">
        <is>
          <t>Emergency stair core CW-18 (L=1300mm) Mezz to 3rd - horizontal Y12@150 NF/FF</t>
        </is>
      </c>
      <c r="E25" s="19" t="inlineStr">
        <is>
          <t>H-Y12</t>
        </is>
      </c>
      <c r="F25" s="19" t="n">
        <v>12</v>
      </c>
      <c r="G25" s="19" t="n">
        <v>1</v>
      </c>
      <c r="H25" s="19">
        <f>2*18</f>
        <v>36.0</v>
      </c>
      <c r="I25" s="13">
        <f>G25*H25</f>
        <v>36.0</v>
      </c>
      <c r="J25" s="20">
        <f>(1300-2*30+40*12)/1000</f>
        <v>1.72</v>
      </c>
      <c r="K25" s="21">
        <f>I25*J25</f>
        <v>61.92</v>
      </c>
      <c r="L25" s="22">
        <f>F25^2/162</f>
        <v>0.8888888888888888</v>
      </c>
      <c r="M25" s="21">
        <f>K25*L25</f>
        <v>55.04</v>
      </c>
      <c r="N25" s="22">
        <f>M25/1000</f>
        <v>0.05504</v>
      </c>
      <c r="O25" s="13" t="inlineStr">
        <is>
          <t>Elevation count / plan length</t>
        </is>
      </c>
    </row>
    <row r="26">
      <c r="A26" s="13" t="n">
        <v>21</v>
      </c>
      <c r="B26" s="13" t="inlineStr">
        <is>
          <t>Shear Walls</t>
        </is>
      </c>
      <c r="C26" s="13" t="inlineStr">
        <is>
          <t>STR-013/014</t>
        </is>
      </c>
      <c r="D26" s="13" t="inlineStr">
        <is>
          <t>Emergency stair core CW-18 Mezz to 3rd - vertical Y25@150 NF/FF</t>
        </is>
      </c>
      <c r="E26" s="19" t="inlineStr">
        <is>
          <t>V-Y25</t>
        </is>
      </c>
      <c r="F26" s="19" t="n">
        <v>25</v>
      </c>
      <c r="G26" s="19" t="n">
        <v>1</v>
      </c>
      <c r="H26" s="19">
        <f>2*(ROUNDUP(1300/150,0)+1)</f>
        <v>20.0</v>
      </c>
      <c r="I26" s="13">
        <f>G26*H26</f>
        <v>20.0</v>
      </c>
      <c r="J26" s="20">
        <f>(3000+40*25)/1000</f>
        <v>4.0</v>
      </c>
      <c r="K26" s="21">
        <f>I26*J26</f>
        <v>80.0</v>
      </c>
      <c r="L26" s="22">
        <f>F26^2/162</f>
        <v>3.8580246913580245</v>
      </c>
      <c r="M26" s="21">
        <f>K26*L26</f>
        <v>308.641975308642</v>
      </c>
      <c r="N26" s="22">
        <f>M26/1000</f>
        <v>0.30864197530864196</v>
      </c>
      <c r="O26" s="13" t="inlineStr">
        <is>
          <t>Elevation / plan</t>
        </is>
      </c>
    </row>
    <row r="27">
      <c r="A27" s="13" t="n">
        <v>22</v>
      </c>
      <c r="B27" s="13" t="inlineStr">
        <is>
          <t>Shear Walls</t>
        </is>
      </c>
      <c r="C27" s="13" t="inlineStr">
        <is>
          <t>STR-013/014</t>
        </is>
      </c>
      <c r="D27" s="13" t="inlineStr">
        <is>
          <t>Emergency stair core CW-19 (L=1100mm) Mezz to 3rd - horizontal Y12@150 NF/FF</t>
        </is>
      </c>
      <c r="E27" s="19" t="inlineStr">
        <is>
          <t>H-Y12</t>
        </is>
      </c>
      <c r="F27" s="19" t="n">
        <v>12</v>
      </c>
      <c r="G27" s="19" t="n">
        <v>1</v>
      </c>
      <c r="H27" s="19">
        <f>2*18</f>
        <v>36.0</v>
      </c>
      <c r="I27" s="13">
        <f>G27*H27</f>
        <v>36.0</v>
      </c>
      <c r="J27" s="20">
        <f>(1100-2*30+40*12)/1000</f>
        <v>1.52</v>
      </c>
      <c r="K27" s="21">
        <f>I27*J27</f>
        <v>54.72</v>
      </c>
      <c r="L27" s="22">
        <f>F27^2/162</f>
        <v>0.8888888888888888</v>
      </c>
      <c r="M27" s="21">
        <f>K27*L27</f>
        <v>48.63999999999999</v>
      </c>
      <c r="N27" s="22">
        <f>M27/1000</f>
        <v>0.048639999999999996</v>
      </c>
      <c r="O27" s="13" t="inlineStr">
        <is>
          <t>Elevation count / plan length</t>
        </is>
      </c>
    </row>
    <row r="28">
      <c r="A28" s="13" t="n">
        <v>23</v>
      </c>
      <c r="B28" s="13" t="inlineStr">
        <is>
          <t>Shear Walls</t>
        </is>
      </c>
      <c r="C28" s="13" t="inlineStr">
        <is>
          <t>STR-013/014</t>
        </is>
      </c>
      <c r="D28" s="13" t="inlineStr">
        <is>
          <t>Emergency stair core CW-19 Mezz to 3rd - vertical Y25@150 NF/FF</t>
        </is>
      </c>
      <c r="E28" s="19" t="inlineStr">
        <is>
          <t>V-Y25</t>
        </is>
      </c>
      <c r="F28" s="19" t="n">
        <v>25</v>
      </c>
      <c r="G28" s="19" t="n">
        <v>1</v>
      </c>
      <c r="H28" s="19">
        <f>2*(ROUNDUP(1100/150,0)+1)</f>
        <v>18.0</v>
      </c>
      <c r="I28" s="13">
        <f>G28*H28</f>
        <v>18.0</v>
      </c>
      <c r="J28" s="20">
        <f>(3000+40*25)/1000</f>
        <v>4.0</v>
      </c>
      <c r="K28" s="21">
        <f>I28*J28</f>
        <v>72.0</v>
      </c>
      <c r="L28" s="22">
        <f>F28^2/162</f>
        <v>3.8580246913580245</v>
      </c>
      <c r="M28" s="21">
        <f>K28*L28</f>
        <v>277.77777777777777</v>
      </c>
      <c r="N28" s="22">
        <f>M28/1000</f>
        <v>0.2777777777777778</v>
      </c>
      <c r="O28" s="13" t="inlineStr">
        <is>
          <t>Elevation / plan</t>
        </is>
      </c>
    </row>
    <row r="29">
      <c r="A29" s="13" t="n">
        <v>24</v>
      </c>
      <c r="B29" s="13" t="inlineStr">
        <is>
          <t>Shear Walls</t>
        </is>
      </c>
      <c r="C29" s="13" t="inlineStr">
        <is>
          <t>STR-013/014</t>
        </is>
      </c>
      <c r="D29" s="13" t="inlineStr">
        <is>
          <t>Emergency stair core CW-20 (L=1300mm) Mezz to 3rd - horizontal Y12@150 NF/FF</t>
        </is>
      </c>
      <c r="E29" s="19" t="inlineStr">
        <is>
          <t>H-Y12</t>
        </is>
      </c>
      <c r="F29" s="19" t="n">
        <v>12</v>
      </c>
      <c r="G29" s="19" t="n">
        <v>1</v>
      </c>
      <c r="H29" s="19">
        <f>2*18</f>
        <v>36.0</v>
      </c>
      <c r="I29" s="13">
        <f>G29*H29</f>
        <v>36.0</v>
      </c>
      <c r="J29" s="20">
        <f>(1300-2*30+40*12)/1000</f>
        <v>1.72</v>
      </c>
      <c r="K29" s="21">
        <f>I29*J29</f>
        <v>61.92</v>
      </c>
      <c r="L29" s="22">
        <f>F29^2/162</f>
        <v>0.8888888888888888</v>
      </c>
      <c r="M29" s="21">
        <f>K29*L29</f>
        <v>55.04</v>
      </c>
      <c r="N29" s="22">
        <f>M29/1000</f>
        <v>0.05504</v>
      </c>
      <c r="O29" s="13" t="inlineStr">
        <is>
          <t>Elevation count / plan length</t>
        </is>
      </c>
    </row>
    <row r="30">
      <c r="A30" s="13" t="n">
        <v>25</v>
      </c>
      <c r="B30" s="13" t="inlineStr">
        <is>
          <t>Shear Walls</t>
        </is>
      </c>
      <c r="C30" s="13" t="inlineStr">
        <is>
          <t>STR-013/014</t>
        </is>
      </c>
      <c r="D30" s="13" t="inlineStr">
        <is>
          <t>Emergency stair core CW-20 Mezz to 3rd - vertical Y25@150 NF/FF</t>
        </is>
      </c>
      <c r="E30" s="19" t="inlineStr">
        <is>
          <t>V-Y25</t>
        </is>
      </c>
      <c r="F30" s="19" t="n">
        <v>25</v>
      </c>
      <c r="G30" s="19" t="n">
        <v>1</v>
      </c>
      <c r="H30" s="19">
        <f>2*(ROUNDUP(1300/150,0)+1)</f>
        <v>20.0</v>
      </c>
      <c r="I30" s="13">
        <f>G30*H30</f>
        <v>20.0</v>
      </c>
      <c r="J30" s="20">
        <f>(3000+40*25)/1000</f>
        <v>4.0</v>
      </c>
      <c r="K30" s="21">
        <f>I30*J30</f>
        <v>80.0</v>
      </c>
      <c r="L30" s="22">
        <f>F30^2/162</f>
        <v>3.8580246913580245</v>
      </c>
      <c r="M30" s="21">
        <f>K30*L30</f>
        <v>308.641975308642</v>
      </c>
      <c r="N30" s="22">
        <f>M30/1000</f>
        <v>0.30864197530864196</v>
      </c>
      <c r="O30" s="13" t="inlineStr">
        <is>
          <t>Elevation / plan</t>
        </is>
      </c>
    </row>
    <row r="31">
      <c r="A31" s="13" t="n">
        <v>26</v>
      </c>
      <c r="B31" s="13" t="inlineStr">
        <is>
          <t>Shear Walls</t>
        </is>
      </c>
      <c r="C31" s="13" t="inlineStr">
        <is>
          <t>STR-013/014</t>
        </is>
      </c>
      <c r="D31" s="13" t="inlineStr">
        <is>
          <t>Emergency stair core confinement links Y10@150 (33 positions on plan) Mezz to 3rd</t>
        </is>
      </c>
      <c r="E31" s="19" t="inlineStr">
        <is>
          <t>LNK-Y10</t>
        </is>
      </c>
      <c r="F31" s="19" t="n">
        <v>10</v>
      </c>
      <c r="G31" s="19" t="n">
        <v>1</v>
      </c>
      <c r="H31" s="19">
        <f>33*ROUNDUP(3000/150,0)</f>
        <v>660.0</v>
      </c>
      <c r="I31" s="13">
        <f>G31*H31</f>
        <v>660.0</v>
      </c>
      <c r="J31" s="20">
        <f>1800/1000</f>
        <v>1.8</v>
      </c>
      <c r="K31" s="21">
        <f>I31*J31</f>
        <v>1188.0</v>
      </c>
      <c r="L31" s="22">
        <f>F31^2/162</f>
        <v>0.6172839506172839</v>
      </c>
      <c r="M31" s="21">
        <f>K31*L31</f>
        <v>733.3333333333333</v>
      </c>
      <c r="N31" s="22">
        <f>M31/1000</f>
        <v>0.7333333333333333</v>
      </c>
      <c r="O31" s="13" t="inlineStr">
        <is>
          <t>Assumed link cut length</t>
        </is>
      </c>
    </row>
    <row r="32">
      <c r="A32" s="13" t="n">
        <v>27</v>
      </c>
      <c r="B32" s="13" t="inlineStr">
        <is>
          <t>Beams</t>
        </is>
      </c>
      <c r="C32" s="13" t="inlineStr">
        <is>
          <t>STR-066</t>
        </is>
      </c>
      <c r="D32" s="13" t="inlineStr">
        <is>
          <t>Mezzanine floor beams</t>
        </is>
      </c>
      <c r="E32" s="19" t="inlineStr">
        <is>
          <t>1001</t>
        </is>
      </c>
      <c r="F32" s="19" t="n">
        <v>10</v>
      </c>
      <c r="G32" s="19" t="n">
        <v>1</v>
      </c>
      <c r="H32" s="19" t="n">
        <v>552</v>
      </c>
      <c r="I32" s="13">
        <f>G32*H32</f>
        <v>552.0</v>
      </c>
      <c r="J32" s="20">
        <f>1700/1000</f>
        <v>1.7</v>
      </c>
      <c r="K32" s="21">
        <f>I32*J32</f>
        <v>938.4</v>
      </c>
      <c r="L32" s="22">
        <f>F32^2/162</f>
        <v>0.6172839506172839</v>
      </c>
      <c r="M32" s="21">
        <f>K32*L32</f>
        <v>579.2592592592592</v>
      </c>
      <c r="N32" s="22">
        <f>M32/1000</f>
        <v>0.5792592592592593</v>
      </c>
      <c r="O32" s="13" t="inlineStr">
        <is>
          <t>BBS</t>
        </is>
      </c>
    </row>
    <row r="33">
      <c r="A33" s="13" t="n">
        <v>28</v>
      </c>
      <c r="B33" s="13" t="inlineStr">
        <is>
          <t>Beams</t>
        </is>
      </c>
      <c r="C33" s="13" t="inlineStr">
        <is>
          <t>STR-066</t>
        </is>
      </c>
      <c r="D33" s="13" t="inlineStr">
        <is>
          <t>Mezzanine floor beams</t>
        </is>
      </c>
      <c r="E33" s="19" t="inlineStr">
        <is>
          <t>1601</t>
        </is>
      </c>
      <c r="F33" s="19" t="n">
        <v>16</v>
      </c>
      <c r="G33" s="19" t="n">
        <v>1</v>
      </c>
      <c r="H33" s="19" t="n">
        <v>4</v>
      </c>
      <c r="I33" s="13">
        <f>G33*H33</f>
        <v>4.0</v>
      </c>
      <c r="J33" s="20">
        <f>12000/1000</f>
        <v>12.0</v>
      </c>
      <c r="K33" s="21">
        <f>I33*J33</f>
        <v>48.0</v>
      </c>
      <c r="L33" s="22">
        <f>F33^2/162</f>
        <v>1.5802469135802468</v>
      </c>
      <c r="M33" s="21">
        <f>K33*L33</f>
        <v>75.85185185185185</v>
      </c>
      <c r="N33" s="22">
        <f>M33/1000</f>
        <v>0.07585185185185185</v>
      </c>
      <c r="O33" s="13" t="inlineStr">
        <is>
          <t>BBS</t>
        </is>
      </c>
    </row>
    <row r="34">
      <c r="A34" s="13" t="n">
        <v>29</v>
      </c>
      <c r="B34" s="13" t="inlineStr">
        <is>
          <t>Beams</t>
        </is>
      </c>
      <c r="C34" s="13" t="inlineStr">
        <is>
          <t>STR-066</t>
        </is>
      </c>
      <c r="D34" s="13" t="inlineStr">
        <is>
          <t>Mezzanine floor beams</t>
        </is>
      </c>
      <c r="E34" s="19" t="inlineStr">
        <is>
          <t>1602</t>
        </is>
      </c>
      <c r="F34" s="19" t="n">
        <v>16</v>
      </c>
      <c r="G34" s="19" t="n">
        <v>1</v>
      </c>
      <c r="H34" s="19" t="n">
        <v>2</v>
      </c>
      <c r="I34" s="13">
        <f>G34*H34</f>
        <v>2.0</v>
      </c>
      <c r="J34" s="20">
        <f>7275/1000</f>
        <v>7.275</v>
      </c>
      <c r="K34" s="21">
        <f>I34*J34</f>
        <v>14.55</v>
      </c>
      <c r="L34" s="22">
        <f>F34^2/162</f>
        <v>1.5802469135802468</v>
      </c>
      <c r="M34" s="21">
        <f>K34*L34</f>
        <v>22.992592592592594</v>
      </c>
      <c r="N34" s="22">
        <f>M34/1000</f>
        <v>0.022992592592592592</v>
      </c>
      <c r="O34" s="13" t="inlineStr">
        <is>
          <t>BBS</t>
        </is>
      </c>
    </row>
    <row r="35">
      <c r="A35" s="13" t="n">
        <v>30</v>
      </c>
      <c r="B35" s="13" t="inlineStr">
        <is>
          <t>Beams</t>
        </is>
      </c>
      <c r="C35" s="13" t="inlineStr">
        <is>
          <t>STR-066</t>
        </is>
      </c>
      <c r="D35" s="13" t="inlineStr">
        <is>
          <t>Mezzanine floor beams</t>
        </is>
      </c>
      <c r="E35" s="19" t="inlineStr">
        <is>
          <t>1603</t>
        </is>
      </c>
      <c r="F35" s="19" t="n">
        <v>16</v>
      </c>
      <c r="G35" s="19" t="n">
        <v>1</v>
      </c>
      <c r="H35" s="19" t="n">
        <v>2</v>
      </c>
      <c r="I35" s="13">
        <f>G35*H35</f>
        <v>2.0</v>
      </c>
      <c r="J35" s="20">
        <f>7975/1000</f>
        <v>7.975</v>
      </c>
      <c r="K35" s="21">
        <f>I35*J35</f>
        <v>15.95</v>
      </c>
      <c r="L35" s="22">
        <f>F35^2/162</f>
        <v>1.5802469135802468</v>
      </c>
      <c r="M35" s="21">
        <f>K35*L35</f>
        <v>25.204938271604934</v>
      </c>
      <c r="N35" s="22">
        <f>M35/1000</f>
        <v>0.025204938271604936</v>
      </c>
      <c r="O35" s="13" t="inlineStr">
        <is>
          <t>BBS</t>
        </is>
      </c>
    </row>
    <row r="36">
      <c r="A36" s="13" t="n">
        <v>31</v>
      </c>
      <c r="B36" s="13" t="inlineStr">
        <is>
          <t>Beams</t>
        </is>
      </c>
      <c r="C36" s="13" t="inlineStr">
        <is>
          <t>STR-066</t>
        </is>
      </c>
      <c r="D36" s="13" t="inlineStr">
        <is>
          <t>Mezzanine floor beams</t>
        </is>
      </c>
      <c r="E36" s="19" t="inlineStr">
        <is>
          <t>1604</t>
        </is>
      </c>
      <c r="F36" s="19" t="n">
        <v>16</v>
      </c>
      <c r="G36" s="19" t="n">
        <v>1</v>
      </c>
      <c r="H36" s="19" t="n">
        <v>3</v>
      </c>
      <c r="I36" s="13">
        <f>G36*H36</f>
        <v>3.0</v>
      </c>
      <c r="J36" s="20">
        <f>5150/1000</f>
        <v>5.15</v>
      </c>
      <c r="K36" s="21">
        <f>I36*J36</f>
        <v>15.450000000000001</v>
      </c>
      <c r="L36" s="22">
        <f>F36^2/162</f>
        <v>1.5802469135802468</v>
      </c>
      <c r="M36" s="21">
        <f>K36*L36</f>
        <v>24.414814814814815</v>
      </c>
      <c r="N36" s="22">
        <f>M36/1000</f>
        <v>0.024414814814814813</v>
      </c>
      <c r="O36" s="13" t="inlineStr">
        <is>
          <t>BBS</t>
        </is>
      </c>
    </row>
    <row r="37">
      <c r="A37" s="13" t="n">
        <v>32</v>
      </c>
      <c r="B37" s="13" t="inlineStr">
        <is>
          <t>Beams</t>
        </is>
      </c>
      <c r="C37" s="13" t="inlineStr">
        <is>
          <t>STR-066</t>
        </is>
      </c>
      <c r="D37" s="13" t="inlineStr">
        <is>
          <t>Mezzanine floor beams</t>
        </is>
      </c>
      <c r="E37" s="19" t="inlineStr">
        <is>
          <t>1605</t>
        </is>
      </c>
      <c r="F37" s="19" t="n">
        <v>16</v>
      </c>
      <c r="G37" s="19" t="n">
        <v>1</v>
      </c>
      <c r="H37" s="19" t="n">
        <v>4</v>
      </c>
      <c r="I37" s="13">
        <f>G37*H37</f>
        <v>4.0</v>
      </c>
      <c r="J37" s="20">
        <f>9300/1000</f>
        <v>9.3</v>
      </c>
      <c r="K37" s="21">
        <f>I37*J37</f>
        <v>37.2</v>
      </c>
      <c r="L37" s="22">
        <f>F37^2/162</f>
        <v>1.5802469135802468</v>
      </c>
      <c r="M37" s="21">
        <f>K37*L37</f>
        <v>58.785185185185185</v>
      </c>
      <c r="N37" s="22">
        <f>M37/1000</f>
        <v>0.05878518518518518</v>
      </c>
      <c r="O37" s="13" t="inlineStr">
        <is>
          <t>BBS</t>
        </is>
      </c>
    </row>
    <row r="38">
      <c r="A38" s="13" t="n">
        <v>33</v>
      </c>
      <c r="B38" s="13" t="inlineStr">
        <is>
          <t>Beams</t>
        </is>
      </c>
      <c r="C38" s="13" t="inlineStr">
        <is>
          <t>STR-066</t>
        </is>
      </c>
      <c r="D38" s="13" t="inlineStr">
        <is>
          <t>Mezzanine floor beams</t>
        </is>
      </c>
      <c r="E38" s="19" t="inlineStr">
        <is>
          <t>1606</t>
        </is>
      </c>
      <c r="F38" s="19" t="n">
        <v>16</v>
      </c>
      <c r="G38" s="19" t="n">
        <v>1</v>
      </c>
      <c r="H38" s="19" t="n">
        <v>2</v>
      </c>
      <c r="I38" s="13">
        <f>G38*H38</f>
        <v>2.0</v>
      </c>
      <c r="J38" s="20">
        <f>6800/1000</f>
        <v>6.8</v>
      </c>
      <c r="K38" s="21">
        <f>I38*J38</f>
        <v>13.6</v>
      </c>
      <c r="L38" s="22">
        <f>F38^2/162</f>
        <v>1.5802469135802468</v>
      </c>
      <c r="M38" s="21">
        <f>K38*L38</f>
        <v>21.491358024691355</v>
      </c>
      <c r="N38" s="22">
        <f>M38/1000</f>
        <v>0.021491358024691355</v>
      </c>
      <c r="O38" s="13" t="inlineStr">
        <is>
          <t>BBS</t>
        </is>
      </c>
    </row>
    <row r="39">
      <c r="A39" s="13" t="n">
        <v>34</v>
      </c>
      <c r="B39" s="13" t="inlineStr">
        <is>
          <t>Beams</t>
        </is>
      </c>
      <c r="C39" s="13" t="inlineStr">
        <is>
          <t>STR-066</t>
        </is>
      </c>
      <c r="D39" s="13" t="inlineStr">
        <is>
          <t>Mezzanine floor beams</t>
        </is>
      </c>
      <c r="E39" s="19" t="inlineStr">
        <is>
          <t>1607</t>
        </is>
      </c>
      <c r="F39" s="19" t="n">
        <v>16</v>
      </c>
      <c r="G39" s="19" t="n">
        <v>1</v>
      </c>
      <c r="H39" s="19" t="n">
        <v>4</v>
      </c>
      <c r="I39" s="13">
        <f>G39*H39</f>
        <v>4.0</v>
      </c>
      <c r="J39" s="20">
        <f>8750/1000</f>
        <v>8.75</v>
      </c>
      <c r="K39" s="21">
        <f>I39*J39</f>
        <v>35.0</v>
      </c>
      <c r="L39" s="22">
        <f>F39^2/162</f>
        <v>1.5802469135802468</v>
      </c>
      <c r="M39" s="21">
        <f>K39*L39</f>
        <v>55.30864197530864</v>
      </c>
      <c r="N39" s="22">
        <f>M39/1000</f>
        <v>0.05530864197530864</v>
      </c>
      <c r="O39" s="13" t="inlineStr">
        <is>
          <t>BBS</t>
        </is>
      </c>
    </row>
    <row r="40">
      <c r="A40" s="13" t="n">
        <v>35</v>
      </c>
      <c r="B40" s="13" t="inlineStr">
        <is>
          <t>Beams</t>
        </is>
      </c>
      <c r="C40" s="13" t="inlineStr">
        <is>
          <t>STR-066</t>
        </is>
      </c>
      <c r="D40" s="13" t="inlineStr">
        <is>
          <t>Mezzanine floor beams</t>
        </is>
      </c>
      <c r="E40" s="19" t="inlineStr">
        <is>
          <t>1608</t>
        </is>
      </c>
      <c r="F40" s="19" t="n">
        <v>16</v>
      </c>
      <c r="G40" s="19" t="n">
        <v>1</v>
      </c>
      <c r="H40" s="19" t="n">
        <v>6</v>
      </c>
      <c r="I40" s="13">
        <f>G40*H40</f>
        <v>6.0</v>
      </c>
      <c r="J40" s="20">
        <f>5900/1000</f>
        <v>5.9</v>
      </c>
      <c r="K40" s="21">
        <f>I40*J40</f>
        <v>35.400000000000006</v>
      </c>
      <c r="L40" s="22">
        <f>F40^2/162</f>
        <v>1.5802469135802468</v>
      </c>
      <c r="M40" s="21">
        <f>K40*L40</f>
        <v>55.94074074074074</v>
      </c>
      <c r="N40" s="22">
        <f>M40/1000</f>
        <v>0.05594074074074074</v>
      </c>
      <c r="O40" s="13" t="inlineStr">
        <is>
          <t>BBS</t>
        </is>
      </c>
    </row>
    <row r="41">
      <c r="A41" s="13" t="n">
        <v>36</v>
      </c>
      <c r="B41" s="13" t="inlineStr">
        <is>
          <t>Beams</t>
        </is>
      </c>
      <c r="C41" s="13" t="inlineStr">
        <is>
          <t>STR-066</t>
        </is>
      </c>
      <c r="D41" s="13" t="inlineStr">
        <is>
          <t>Mezzanine floor beams</t>
        </is>
      </c>
      <c r="E41" s="19" t="inlineStr">
        <is>
          <t>1609</t>
        </is>
      </c>
      <c r="F41" s="19" t="n">
        <v>16</v>
      </c>
      <c r="G41" s="19" t="n">
        <v>1</v>
      </c>
      <c r="H41" s="19" t="n">
        <v>6</v>
      </c>
      <c r="I41" s="13">
        <f>G41*H41</f>
        <v>6.0</v>
      </c>
      <c r="J41" s="20">
        <f>7000/1000</f>
        <v>7.0</v>
      </c>
      <c r="K41" s="21">
        <f>I41*J41</f>
        <v>42.0</v>
      </c>
      <c r="L41" s="22">
        <f>F41^2/162</f>
        <v>1.5802469135802468</v>
      </c>
      <c r="M41" s="21">
        <f>K41*L41</f>
        <v>66.37037037037037</v>
      </c>
      <c r="N41" s="22">
        <f>M41/1000</f>
        <v>0.06637037037037037</v>
      </c>
      <c r="O41" s="13" t="inlineStr">
        <is>
          <t>BBS</t>
        </is>
      </c>
    </row>
    <row r="42">
      <c r="A42" s="13" t="n">
        <v>37</v>
      </c>
      <c r="B42" s="13" t="inlineStr">
        <is>
          <t>Beams</t>
        </is>
      </c>
      <c r="C42" s="13" t="inlineStr">
        <is>
          <t>STR-066</t>
        </is>
      </c>
      <c r="D42" s="13" t="inlineStr">
        <is>
          <t>Mezzanine floor beams</t>
        </is>
      </c>
      <c r="E42" s="19" t="inlineStr">
        <is>
          <t>2001</t>
        </is>
      </c>
      <c r="F42" s="19" t="n">
        <v>20</v>
      </c>
      <c r="G42" s="19" t="n">
        <v>1</v>
      </c>
      <c r="H42" s="19" t="n">
        <v>3</v>
      </c>
      <c r="I42" s="13">
        <f>G42*H42</f>
        <v>3.0</v>
      </c>
      <c r="J42" s="20">
        <f>11100/1000</f>
        <v>11.1</v>
      </c>
      <c r="K42" s="21">
        <f>I42*J42</f>
        <v>33.3</v>
      </c>
      <c r="L42" s="22">
        <f>F42^2/162</f>
        <v>2.4691358024691357</v>
      </c>
      <c r="M42" s="21">
        <f>K42*L42</f>
        <v>82.22222222222221</v>
      </c>
      <c r="N42" s="22">
        <f>M42/1000</f>
        <v>0.08222222222222221</v>
      </c>
      <c r="O42" s="13" t="inlineStr">
        <is>
          <t>BBS</t>
        </is>
      </c>
    </row>
    <row r="43">
      <c r="A43" s="13" t="n">
        <v>38</v>
      </c>
      <c r="B43" s="13" t="inlineStr">
        <is>
          <t>Beams</t>
        </is>
      </c>
      <c r="C43" s="13" t="inlineStr">
        <is>
          <t>STR-066</t>
        </is>
      </c>
      <c r="D43" s="13" t="inlineStr">
        <is>
          <t>Mezzanine floor beams</t>
        </is>
      </c>
      <c r="E43" s="19" t="inlineStr">
        <is>
          <t>2002</t>
        </is>
      </c>
      <c r="F43" s="19" t="n">
        <v>20</v>
      </c>
      <c r="G43" s="19" t="n">
        <v>1</v>
      </c>
      <c r="H43" s="19" t="n">
        <v>3</v>
      </c>
      <c r="I43" s="13">
        <f>G43*H43</f>
        <v>3.0</v>
      </c>
      <c r="J43" s="20">
        <f>9300/1000</f>
        <v>9.3</v>
      </c>
      <c r="K43" s="21">
        <f>I43*J43</f>
        <v>27.900000000000002</v>
      </c>
      <c r="L43" s="22">
        <f>F43^2/162</f>
        <v>2.4691358024691357</v>
      </c>
      <c r="M43" s="21">
        <f>K43*L43</f>
        <v>68.88888888888889</v>
      </c>
      <c r="N43" s="22">
        <f>M43/1000</f>
        <v>0.06888888888888889</v>
      </c>
      <c r="O43" s="13" t="inlineStr">
        <is>
          <t>BBS</t>
        </is>
      </c>
    </row>
    <row r="44">
      <c r="A44" s="13" t="n">
        <v>39</v>
      </c>
      <c r="B44" s="13" t="inlineStr">
        <is>
          <t>Beams</t>
        </is>
      </c>
      <c r="C44" s="13" t="inlineStr">
        <is>
          <t>STR-066</t>
        </is>
      </c>
      <c r="D44" s="13" t="inlineStr">
        <is>
          <t>Mezzanine floor beams</t>
        </is>
      </c>
      <c r="E44" s="19" t="inlineStr">
        <is>
          <t>2003</t>
        </is>
      </c>
      <c r="F44" s="19" t="n">
        <v>20</v>
      </c>
      <c r="G44" s="19" t="n">
        <v>1</v>
      </c>
      <c r="H44" s="19" t="n">
        <v>3</v>
      </c>
      <c r="I44" s="13">
        <f>G44*H44</f>
        <v>3.0</v>
      </c>
      <c r="J44" s="20">
        <f>12000/1000</f>
        <v>12.0</v>
      </c>
      <c r="K44" s="21">
        <f>I44*J44</f>
        <v>36.0</v>
      </c>
      <c r="L44" s="22">
        <f>F44^2/162</f>
        <v>2.4691358024691357</v>
      </c>
      <c r="M44" s="21">
        <f>K44*L44</f>
        <v>88.88888888888889</v>
      </c>
      <c r="N44" s="22">
        <f>M44/1000</f>
        <v>0.08888888888888889</v>
      </c>
      <c r="O44" s="13" t="inlineStr">
        <is>
          <t>BBS</t>
        </is>
      </c>
    </row>
    <row r="45">
      <c r="A45" s="13" t="n">
        <v>40</v>
      </c>
      <c r="B45" s="13" t="inlineStr">
        <is>
          <t>Beams</t>
        </is>
      </c>
      <c r="C45" s="13" t="inlineStr">
        <is>
          <t>STR-066</t>
        </is>
      </c>
      <c r="D45" s="13" t="inlineStr">
        <is>
          <t>Mezzanine floor beams</t>
        </is>
      </c>
      <c r="E45" s="19" t="inlineStr">
        <is>
          <t>2004</t>
        </is>
      </c>
      <c r="F45" s="19" t="n">
        <v>20</v>
      </c>
      <c r="G45" s="19" t="n">
        <v>1</v>
      </c>
      <c r="H45" s="19" t="n">
        <v>3</v>
      </c>
      <c r="I45" s="13">
        <f>G45*H45</f>
        <v>3.0</v>
      </c>
      <c r="J45" s="20">
        <f>7000/1000</f>
        <v>7.0</v>
      </c>
      <c r="K45" s="21">
        <f>I45*J45</f>
        <v>21.0</v>
      </c>
      <c r="L45" s="22">
        <f>F45^2/162</f>
        <v>2.4691358024691357</v>
      </c>
      <c r="M45" s="21">
        <f>K45*L45</f>
        <v>51.85185185185185</v>
      </c>
      <c r="N45" s="22">
        <f>M45/1000</f>
        <v>0.05185185185185185</v>
      </c>
      <c r="O45" s="13" t="inlineStr">
        <is>
          <t>BBS</t>
        </is>
      </c>
    </row>
    <row r="46">
      <c r="A46" s="13" t="n">
        <v>41</v>
      </c>
      <c r="B46" s="13" t="inlineStr">
        <is>
          <t>Beams</t>
        </is>
      </c>
      <c r="C46" s="13" t="inlineStr">
        <is>
          <t>STR-066</t>
        </is>
      </c>
      <c r="D46" s="13" t="inlineStr">
        <is>
          <t>Mezzanine floor beams</t>
        </is>
      </c>
      <c r="E46" s="19" t="inlineStr">
        <is>
          <t>2005</t>
        </is>
      </c>
      <c r="F46" s="19" t="n">
        <v>20</v>
      </c>
      <c r="G46" s="19" t="n">
        <v>1</v>
      </c>
      <c r="H46" s="19" t="n">
        <v>6</v>
      </c>
      <c r="I46" s="13">
        <f>G46*H46</f>
        <v>6.0</v>
      </c>
      <c r="J46" s="20">
        <f>9300/1000</f>
        <v>9.3</v>
      </c>
      <c r="K46" s="21">
        <f>I46*J46</f>
        <v>55.800000000000004</v>
      </c>
      <c r="L46" s="22">
        <f>F46^2/162</f>
        <v>2.4691358024691357</v>
      </c>
      <c r="M46" s="21">
        <f>K46*L46</f>
        <v>137.77777777777777</v>
      </c>
      <c r="N46" s="22">
        <f>M46/1000</f>
        <v>0.13777777777777778</v>
      </c>
      <c r="O46" s="13" t="inlineStr">
        <is>
          <t>BBS</t>
        </is>
      </c>
    </row>
    <row r="47">
      <c r="A47" s="13" t="n">
        <v>42</v>
      </c>
      <c r="B47" s="13" t="inlineStr">
        <is>
          <t>Beams</t>
        </is>
      </c>
      <c r="C47" s="13" t="inlineStr">
        <is>
          <t>STR-066</t>
        </is>
      </c>
      <c r="D47" s="13" t="inlineStr">
        <is>
          <t>Mezzanine floor beams</t>
        </is>
      </c>
      <c r="E47" s="19" t="inlineStr">
        <is>
          <t>2006</t>
        </is>
      </c>
      <c r="F47" s="19" t="n">
        <v>20</v>
      </c>
      <c r="G47" s="19" t="n">
        <v>1</v>
      </c>
      <c r="H47" s="19" t="n">
        <v>3</v>
      </c>
      <c r="I47" s="13">
        <f>G47*H47</f>
        <v>3.0</v>
      </c>
      <c r="J47" s="20">
        <f>9000/1000</f>
        <v>9.0</v>
      </c>
      <c r="K47" s="21">
        <f>I47*J47</f>
        <v>27.0</v>
      </c>
      <c r="L47" s="22">
        <f>F47^2/162</f>
        <v>2.4691358024691357</v>
      </c>
      <c r="M47" s="21">
        <f>K47*L47</f>
        <v>66.66666666666666</v>
      </c>
      <c r="N47" s="22">
        <f>M47/1000</f>
        <v>0.06666666666666665</v>
      </c>
      <c r="O47" s="13" t="inlineStr">
        <is>
          <t>BBS</t>
        </is>
      </c>
    </row>
    <row r="48">
      <c r="A48" s="13" t="n">
        <v>43</v>
      </c>
      <c r="B48" s="13" t="inlineStr">
        <is>
          <t>Beams</t>
        </is>
      </c>
      <c r="C48" s="13" t="inlineStr">
        <is>
          <t>STR-066</t>
        </is>
      </c>
      <c r="D48" s="13" t="inlineStr">
        <is>
          <t>Mezzanine floor beams</t>
        </is>
      </c>
      <c r="E48" s="19" t="inlineStr">
        <is>
          <t>2007</t>
        </is>
      </c>
      <c r="F48" s="19" t="n">
        <v>20</v>
      </c>
      <c r="G48" s="19" t="n">
        <v>1</v>
      </c>
      <c r="H48" s="19" t="n">
        <v>3</v>
      </c>
      <c r="I48" s="13">
        <f>G48*H48</f>
        <v>3.0</v>
      </c>
      <c r="J48" s="20">
        <f>5750/1000</f>
        <v>5.75</v>
      </c>
      <c r="K48" s="21">
        <f>I48*J48</f>
        <v>17.25</v>
      </c>
      <c r="L48" s="22">
        <f>F48^2/162</f>
        <v>2.4691358024691357</v>
      </c>
      <c r="M48" s="21">
        <f>K48*L48</f>
        <v>42.59259259259259</v>
      </c>
      <c r="N48" s="22">
        <f>M48/1000</f>
        <v>0.042592592592592585</v>
      </c>
      <c r="O48" s="13" t="inlineStr">
        <is>
          <t>BBS</t>
        </is>
      </c>
    </row>
    <row r="49">
      <c r="A49" s="13" t="n">
        <v>44</v>
      </c>
      <c r="B49" s="13" t="inlineStr">
        <is>
          <t>Beams</t>
        </is>
      </c>
      <c r="C49" s="13" t="inlineStr">
        <is>
          <t>STR-066</t>
        </is>
      </c>
      <c r="D49" s="13" t="inlineStr">
        <is>
          <t>Mezzanine floor beams</t>
        </is>
      </c>
      <c r="E49" s="19" t="inlineStr">
        <is>
          <t>2008</t>
        </is>
      </c>
      <c r="F49" s="19" t="n">
        <v>20</v>
      </c>
      <c r="G49" s="19" t="n">
        <v>1</v>
      </c>
      <c r="H49" s="19" t="n">
        <v>3</v>
      </c>
      <c r="I49" s="13">
        <f>G49*H49</f>
        <v>3.0</v>
      </c>
      <c r="J49" s="20">
        <f>5750/1000</f>
        <v>5.75</v>
      </c>
      <c r="K49" s="21">
        <f>I49*J49</f>
        <v>17.25</v>
      </c>
      <c r="L49" s="22">
        <f>F49^2/162</f>
        <v>2.4691358024691357</v>
      </c>
      <c r="M49" s="21">
        <f>K49*L49</f>
        <v>42.59259259259259</v>
      </c>
      <c r="N49" s="22">
        <f>M49/1000</f>
        <v>0.042592592592592585</v>
      </c>
      <c r="O49" s="13" t="inlineStr">
        <is>
          <t>BBS</t>
        </is>
      </c>
    </row>
    <row r="50">
      <c r="A50" s="13" t="n">
        <v>45</v>
      </c>
      <c r="B50" s="13" t="inlineStr">
        <is>
          <t>Beams</t>
        </is>
      </c>
      <c r="C50" s="13" t="inlineStr">
        <is>
          <t>STR-066</t>
        </is>
      </c>
      <c r="D50" s="13" t="inlineStr">
        <is>
          <t>Mezzanine floor beams</t>
        </is>
      </c>
      <c r="E50" s="19" t="inlineStr">
        <is>
          <t>2009</t>
        </is>
      </c>
      <c r="F50" s="19" t="n">
        <v>20</v>
      </c>
      <c r="G50" s="19" t="n">
        <v>1</v>
      </c>
      <c r="H50" s="19" t="n">
        <v>3</v>
      </c>
      <c r="I50" s="13">
        <f>G50*H50</f>
        <v>3.0</v>
      </c>
      <c r="J50" s="20">
        <f>8200/1000</f>
        <v>8.2</v>
      </c>
      <c r="K50" s="21">
        <f>I50*J50</f>
        <v>24.599999999999998</v>
      </c>
      <c r="L50" s="22">
        <f>F50^2/162</f>
        <v>2.4691358024691357</v>
      </c>
      <c r="M50" s="21">
        <f>K50*L50</f>
        <v>60.74074074074073</v>
      </c>
      <c r="N50" s="22">
        <f>M50/1000</f>
        <v>0.060740740740740734</v>
      </c>
      <c r="O50" s="13" t="inlineStr">
        <is>
          <t>BBS</t>
        </is>
      </c>
    </row>
    <row r="51">
      <c r="A51" s="13" t="n">
        <v>46</v>
      </c>
      <c r="B51" s="13" t="inlineStr">
        <is>
          <t>Beams</t>
        </is>
      </c>
      <c r="C51" s="13" t="inlineStr">
        <is>
          <t>STR-066</t>
        </is>
      </c>
      <c r="D51" s="13" t="inlineStr">
        <is>
          <t>Mezzanine floor beams</t>
        </is>
      </c>
      <c r="E51" s="19" t="inlineStr">
        <is>
          <t>2010</t>
        </is>
      </c>
      <c r="F51" s="19" t="n">
        <v>20</v>
      </c>
      <c r="G51" s="19" t="n">
        <v>1</v>
      </c>
      <c r="H51" s="19" t="n">
        <v>3</v>
      </c>
      <c r="I51" s="13">
        <f>G51*H51</f>
        <v>3.0</v>
      </c>
      <c r="J51" s="20">
        <f>6550/1000</f>
        <v>6.55</v>
      </c>
      <c r="K51" s="21">
        <f>I51*J51</f>
        <v>19.65</v>
      </c>
      <c r="L51" s="22">
        <f>F51^2/162</f>
        <v>2.4691358024691357</v>
      </c>
      <c r="M51" s="21">
        <f>K51*L51</f>
        <v>48.51851851851851</v>
      </c>
      <c r="N51" s="22">
        <f>M51/1000</f>
        <v>0.04851851851851851</v>
      </c>
      <c r="O51" s="13" t="inlineStr">
        <is>
          <t>BBS</t>
        </is>
      </c>
    </row>
    <row r="52">
      <c r="A52" s="13" t="n">
        <v>47</v>
      </c>
      <c r="B52" s="13" t="inlineStr">
        <is>
          <t>Beams</t>
        </is>
      </c>
      <c r="C52" s="13" t="inlineStr">
        <is>
          <t>STR-066</t>
        </is>
      </c>
      <c r="D52" s="13" t="inlineStr">
        <is>
          <t>Mezzanine floor beams</t>
        </is>
      </c>
      <c r="E52" s="19" t="inlineStr">
        <is>
          <t>2011</t>
        </is>
      </c>
      <c r="F52" s="19" t="n">
        <v>20</v>
      </c>
      <c r="G52" s="19" t="n">
        <v>1</v>
      </c>
      <c r="H52" s="19" t="n">
        <v>3</v>
      </c>
      <c r="I52" s="13">
        <f>G52*H52</f>
        <v>3.0</v>
      </c>
      <c r="J52" s="20">
        <f>8200/1000</f>
        <v>8.2</v>
      </c>
      <c r="K52" s="21">
        <f>I52*J52</f>
        <v>24.599999999999998</v>
      </c>
      <c r="L52" s="22">
        <f>F52^2/162</f>
        <v>2.4691358024691357</v>
      </c>
      <c r="M52" s="21">
        <f>K52*L52</f>
        <v>60.74074074074073</v>
      </c>
      <c r="N52" s="22">
        <f>M52/1000</f>
        <v>0.060740740740740734</v>
      </c>
      <c r="O52" s="13" t="inlineStr">
        <is>
          <t>BBS</t>
        </is>
      </c>
    </row>
    <row r="53">
      <c r="A53" s="13" t="n">
        <v>48</v>
      </c>
      <c r="B53" s="13" t="inlineStr">
        <is>
          <t>Beams</t>
        </is>
      </c>
      <c r="C53" s="13" t="inlineStr">
        <is>
          <t>STR-066</t>
        </is>
      </c>
      <c r="D53" s="13" t="inlineStr">
        <is>
          <t>Mezzanine floor beams</t>
        </is>
      </c>
      <c r="E53" s="19" t="inlineStr">
        <is>
          <t>2012</t>
        </is>
      </c>
      <c r="F53" s="19" t="n">
        <v>20</v>
      </c>
      <c r="G53" s="19" t="n">
        <v>1</v>
      </c>
      <c r="H53" s="19" t="n">
        <v>3</v>
      </c>
      <c r="I53" s="13">
        <f>G53*H53</f>
        <v>3.0</v>
      </c>
      <c r="J53" s="20">
        <f>9250/1000</f>
        <v>9.25</v>
      </c>
      <c r="K53" s="21">
        <f>I53*J53</f>
        <v>27.75</v>
      </c>
      <c r="L53" s="22">
        <f>F53^2/162</f>
        <v>2.4691358024691357</v>
      </c>
      <c r="M53" s="21">
        <f>K53*L53</f>
        <v>68.51851851851852</v>
      </c>
      <c r="N53" s="22">
        <f>M53/1000</f>
        <v>0.06851851851851852</v>
      </c>
      <c r="O53" s="13" t="inlineStr">
        <is>
          <t>BBS</t>
        </is>
      </c>
    </row>
    <row r="54">
      <c r="A54" s="13" t="n">
        <v>49</v>
      </c>
      <c r="B54" s="13" t="inlineStr">
        <is>
          <t>Beams</t>
        </is>
      </c>
      <c r="C54" s="13" t="inlineStr">
        <is>
          <t>STR-066</t>
        </is>
      </c>
      <c r="D54" s="13" t="inlineStr">
        <is>
          <t>Mezzanine floor beams</t>
        </is>
      </c>
      <c r="E54" s="19" t="inlineStr">
        <is>
          <t>2013</t>
        </is>
      </c>
      <c r="F54" s="19" t="n">
        <v>20</v>
      </c>
      <c r="G54" s="19" t="n">
        <v>1</v>
      </c>
      <c r="H54" s="19" t="n">
        <v>3</v>
      </c>
      <c r="I54" s="13">
        <f>G54*H54</f>
        <v>3.0</v>
      </c>
      <c r="J54" s="20">
        <f>5700/1000</f>
        <v>5.7</v>
      </c>
      <c r="K54" s="21">
        <f>I54*J54</f>
        <v>17.1</v>
      </c>
      <c r="L54" s="22">
        <f>F54^2/162</f>
        <v>2.4691358024691357</v>
      </c>
      <c r="M54" s="21">
        <f>K54*L54</f>
        <v>42.22222222222222</v>
      </c>
      <c r="N54" s="22">
        <f>M54/1000</f>
        <v>0.042222222222222223</v>
      </c>
      <c r="O54" s="13" t="inlineStr">
        <is>
          <t>BBS</t>
        </is>
      </c>
    </row>
    <row r="55">
      <c r="A55" s="13" t="n">
        <v>50</v>
      </c>
      <c r="B55" s="13" t="inlineStr">
        <is>
          <t>Beams</t>
        </is>
      </c>
      <c r="C55" s="13" t="inlineStr">
        <is>
          <t>STR-066</t>
        </is>
      </c>
      <c r="D55" s="13" t="inlineStr">
        <is>
          <t>Mezzanine floor beams</t>
        </is>
      </c>
      <c r="E55" s="19" t="inlineStr">
        <is>
          <t>2014</t>
        </is>
      </c>
      <c r="F55" s="19" t="n">
        <v>20</v>
      </c>
      <c r="G55" s="19" t="n">
        <v>1</v>
      </c>
      <c r="H55" s="19" t="n">
        <v>3</v>
      </c>
      <c r="I55" s="13">
        <f>G55*H55</f>
        <v>3.0</v>
      </c>
      <c r="J55" s="20">
        <f>9400/1000</f>
        <v>9.4</v>
      </c>
      <c r="K55" s="21">
        <f>I55*J55</f>
        <v>28.200000000000003</v>
      </c>
      <c r="L55" s="22">
        <f>F55^2/162</f>
        <v>2.4691358024691357</v>
      </c>
      <c r="M55" s="21">
        <f>K55*L55</f>
        <v>69.62962962962963</v>
      </c>
      <c r="N55" s="22">
        <f>M55/1000</f>
        <v>0.06962962962962964</v>
      </c>
      <c r="O55" s="13" t="inlineStr">
        <is>
          <t>BBS</t>
        </is>
      </c>
    </row>
    <row r="56">
      <c r="A56" s="13" t="n">
        <v>51</v>
      </c>
      <c r="B56" s="13" t="inlineStr">
        <is>
          <t>Beams</t>
        </is>
      </c>
      <c r="C56" s="13" t="inlineStr">
        <is>
          <t>STR-066</t>
        </is>
      </c>
      <c r="D56" s="13" t="inlineStr">
        <is>
          <t>Mezzanine floor beams</t>
        </is>
      </c>
      <c r="E56" s="19" t="inlineStr">
        <is>
          <t>2015</t>
        </is>
      </c>
      <c r="F56" s="19" t="n">
        <v>20</v>
      </c>
      <c r="G56" s="19" t="n">
        <v>1</v>
      </c>
      <c r="H56" s="19" t="n">
        <v>6</v>
      </c>
      <c r="I56" s="13">
        <f>G56*H56</f>
        <v>6.0</v>
      </c>
      <c r="J56" s="20">
        <f>9125/1000</f>
        <v>9.125</v>
      </c>
      <c r="K56" s="21">
        <f>I56*J56</f>
        <v>54.75</v>
      </c>
      <c r="L56" s="22">
        <f>F56^2/162</f>
        <v>2.4691358024691357</v>
      </c>
      <c r="M56" s="21">
        <f>K56*L56</f>
        <v>135.1851851851852</v>
      </c>
      <c r="N56" s="22">
        <f>M56/1000</f>
        <v>0.13518518518518519</v>
      </c>
      <c r="O56" s="13" t="inlineStr">
        <is>
          <t>BBS</t>
        </is>
      </c>
    </row>
    <row r="57">
      <c r="A57" s="13" t="n">
        <v>52</v>
      </c>
      <c r="B57" s="13" t="inlineStr">
        <is>
          <t>Beams</t>
        </is>
      </c>
      <c r="C57" s="13" t="inlineStr">
        <is>
          <t>STR-066</t>
        </is>
      </c>
      <c r="D57" s="13" t="inlineStr">
        <is>
          <t>Mezzanine floor beams</t>
        </is>
      </c>
      <c r="E57" s="19" t="inlineStr">
        <is>
          <t>2016</t>
        </is>
      </c>
      <c r="F57" s="19" t="n">
        <v>20</v>
      </c>
      <c r="G57" s="19" t="n">
        <v>1</v>
      </c>
      <c r="H57" s="19" t="n">
        <v>6</v>
      </c>
      <c r="I57" s="13">
        <f>G57*H57</f>
        <v>6.0</v>
      </c>
      <c r="J57" s="20">
        <f>7000/1000</f>
        <v>7.0</v>
      </c>
      <c r="K57" s="21">
        <f>I57*J57</f>
        <v>42.0</v>
      </c>
      <c r="L57" s="22">
        <f>F57^2/162</f>
        <v>2.4691358024691357</v>
      </c>
      <c r="M57" s="21">
        <f>K57*L57</f>
        <v>103.7037037037037</v>
      </c>
      <c r="N57" s="22">
        <f>M57/1000</f>
        <v>0.1037037037037037</v>
      </c>
      <c r="O57" s="13" t="inlineStr">
        <is>
          <t>BBS</t>
        </is>
      </c>
    </row>
    <row r="58">
      <c r="A58" s="13" t="n">
        <v>53</v>
      </c>
      <c r="B58" s="13" t="inlineStr">
        <is>
          <t>Beams</t>
        </is>
      </c>
      <c r="C58" s="13" t="inlineStr">
        <is>
          <t>STR-066</t>
        </is>
      </c>
      <c r="D58" s="13" t="inlineStr">
        <is>
          <t>Mezzanine floor beams</t>
        </is>
      </c>
      <c r="E58" s="19" t="inlineStr">
        <is>
          <t>2501</t>
        </is>
      </c>
      <c r="F58" s="19" t="n">
        <v>25</v>
      </c>
      <c r="G58" s="19" t="n">
        <v>1</v>
      </c>
      <c r="H58" s="19" t="n">
        <v>3</v>
      </c>
      <c r="I58" s="13">
        <f>G58*H58</f>
        <v>3.0</v>
      </c>
      <c r="J58" s="20">
        <f>11200/1000</f>
        <v>11.2</v>
      </c>
      <c r="K58" s="21">
        <f>I58*J58</f>
        <v>33.599999999999994</v>
      </c>
      <c r="L58" s="22">
        <f>F58^2/162</f>
        <v>3.8580246913580245</v>
      </c>
      <c r="M58" s="21">
        <f>K58*L58</f>
        <v>129.6296296296296</v>
      </c>
      <c r="N58" s="22">
        <f>M58/1000</f>
        <v>0.1296296296296296</v>
      </c>
      <c r="O58" s="13" t="inlineStr">
        <is>
          <t>BBS</t>
        </is>
      </c>
    </row>
    <row r="59">
      <c r="A59" s="13" t="n">
        <v>54</v>
      </c>
      <c r="B59" s="13" t="inlineStr">
        <is>
          <t>Beams</t>
        </is>
      </c>
      <c r="C59" s="13" t="inlineStr">
        <is>
          <t>STR-066</t>
        </is>
      </c>
      <c r="D59" s="13" t="inlineStr">
        <is>
          <t>Mezzanine floor beams</t>
        </is>
      </c>
      <c r="E59" s="19" t="inlineStr">
        <is>
          <t>2502</t>
        </is>
      </c>
      <c r="F59" s="19" t="n">
        <v>25</v>
      </c>
      <c r="G59" s="19" t="n">
        <v>1</v>
      </c>
      <c r="H59" s="19" t="n">
        <v>3</v>
      </c>
      <c r="I59" s="13">
        <f>G59*H59</f>
        <v>3.0</v>
      </c>
      <c r="J59" s="20">
        <f>9400/1000</f>
        <v>9.4</v>
      </c>
      <c r="K59" s="21">
        <f>I59*J59</f>
        <v>28.200000000000003</v>
      </c>
      <c r="L59" s="22">
        <f>F59^2/162</f>
        <v>3.8580246913580245</v>
      </c>
      <c r="M59" s="21">
        <f>K59*L59</f>
        <v>108.7962962962963</v>
      </c>
      <c r="N59" s="22">
        <f>M59/1000</f>
        <v>0.10879629629629631</v>
      </c>
      <c r="O59" s="13" t="inlineStr">
        <is>
          <t>BBS</t>
        </is>
      </c>
    </row>
    <row r="60">
      <c r="A60" s="13" t="n">
        <v>55</v>
      </c>
      <c r="B60" s="13" t="inlineStr">
        <is>
          <t>Beams</t>
        </is>
      </c>
      <c r="C60" s="13" t="inlineStr">
        <is>
          <t>STR-066</t>
        </is>
      </c>
      <c r="D60" s="13" t="inlineStr">
        <is>
          <t>Mezzanine floor beams</t>
        </is>
      </c>
      <c r="E60" s="19" t="inlineStr">
        <is>
          <t>2503</t>
        </is>
      </c>
      <c r="F60" s="19" t="n">
        <v>25</v>
      </c>
      <c r="G60" s="19" t="n">
        <v>1</v>
      </c>
      <c r="H60" s="19" t="n">
        <v>3</v>
      </c>
      <c r="I60" s="13">
        <f>G60*H60</f>
        <v>3.0</v>
      </c>
      <c r="J60" s="20">
        <f>12000/1000</f>
        <v>12.0</v>
      </c>
      <c r="K60" s="21">
        <f>I60*J60</f>
        <v>36.0</v>
      </c>
      <c r="L60" s="22">
        <f>F60^2/162</f>
        <v>3.8580246913580245</v>
      </c>
      <c r="M60" s="21">
        <f>K60*L60</f>
        <v>138.88888888888889</v>
      </c>
      <c r="N60" s="22">
        <f>M60/1000</f>
        <v>0.1388888888888889</v>
      </c>
      <c r="O60" s="13" t="inlineStr">
        <is>
          <t>BBS</t>
        </is>
      </c>
    </row>
    <row r="61">
      <c r="A61" s="13" t="n">
        <v>56</v>
      </c>
      <c r="B61" s="13" t="inlineStr">
        <is>
          <t>Beams</t>
        </is>
      </c>
      <c r="C61" s="13" t="inlineStr">
        <is>
          <t>STR-066</t>
        </is>
      </c>
      <c r="D61" s="13" t="inlineStr">
        <is>
          <t>Mezzanine floor beams</t>
        </is>
      </c>
      <c r="E61" s="19" t="inlineStr">
        <is>
          <t>2504</t>
        </is>
      </c>
      <c r="F61" s="19" t="n">
        <v>25</v>
      </c>
      <c r="G61" s="19" t="n">
        <v>1</v>
      </c>
      <c r="H61" s="19" t="n">
        <v>3</v>
      </c>
      <c r="I61" s="13">
        <f>G61*H61</f>
        <v>3.0</v>
      </c>
      <c r="J61" s="20">
        <f>7100/1000</f>
        <v>7.1</v>
      </c>
      <c r="K61" s="21">
        <f>I61*J61</f>
        <v>21.299999999999997</v>
      </c>
      <c r="L61" s="22">
        <f>F61^2/162</f>
        <v>3.8580246913580245</v>
      </c>
      <c r="M61" s="21">
        <f>K61*L61</f>
        <v>82.17592592592591</v>
      </c>
      <c r="N61" s="22">
        <f>M61/1000</f>
        <v>0.08217592592592592</v>
      </c>
      <c r="O61" s="13" t="inlineStr">
        <is>
          <t>BBS</t>
        </is>
      </c>
    </row>
    <row r="62">
      <c r="A62" s="13" t="n">
        <v>57</v>
      </c>
      <c r="B62" s="13" t="inlineStr">
        <is>
          <t>Beams</t>
        </is>
      </c>
      <c r="C62" s="13" t="inlineStr">
        <is>
          <t>STR-066</t>
        </is>
      </c>
      <c r="D62" s="13" t="inlineStr">
        <is>
          <t>Mezzanine floor beams</t>
        </is>
      </c>
      <c r="E62" s="19" t="inlineStr">
        <is>
          <t>2505</t>
        </is>
      </c>
      <c r="F62" s="19" t="n">
        <v>25</v>
      </c>
      <c r="G62" s="19" t="n">
        <v>1</v>
      </c>
      <c r="H62" s="19" t="n">
        <v>6</v>
      </c>
      <c r="I62" s="13">
        <f>G62*H62</f>
        <v>6.0</v>
      </c>
      <c r="J62" s="20">
        <f>9300/1000</f>
        <v>9.3</v>
      </c>
      <c r="K62" s="21">
        <f>I62*J62</f>
        <v>55.800000000000004</v>
      </c>
      <c r="L62" s="22">
        <f>F62^2/162</f>
        <v>3.8580246913580245</v>
      </c>
      <c r="M62" s="21">
        <f>K62*L62</f>
        <v>215.27777777777777</v>
      </c>
      <c r="N62" s="22">
        <f>M62/1000</f>
        <v>0.21527777777777776</v>
      </c>
      <c r="O62" s="13" t="inlineStr">
        <is>
          <t>BBS</t>
        </is>
      </c>
    </row>
    <row r="63">
      <c r="A63" s="13" t="n">
        <v>58</v>
      </c>
      <c r="B63" s="13" t="inlineStr">
        <is>
          <t>Beams</t>
        </is>
      </c>
      <c r="C63" s="13" t="inlineStr">
        <is>
          <t>STR-066</t>
        </is>
      </c>
      <c r="D63" s="13" t="inlineStr">
        <is>
          <t>Mezzanine floor beams</t>
        </is>
      </c>
      <c r="E63" s="19" t="inlineStr">
        <is>
          <t>2506</t>
        </is>
      </c>
      <c r="F63" s="19" t="n">
        <v>25</v>
      </c>
      <c r="G63" s="19" t="n">
        <v>1</v>
      </c>
      <c r="H63" s="19" t="n">
        <v>3</v>
      </c>
      <c r="I63" s="13">
        <f>G63*H63</f>
        <v>3.0</v>
      </c>
      <c r="J63" s="20">
        <f>9100/1000</f>
        <v>9.1</v>
      </c>
      <c r="K63" s="21">
        <f>I63*J63</f>
        <v>27.299999999999997</v>
      </c>
      <c r="L63" s="22">
        <f>F63^2/162</f>
        <v>3.8580246913580245</v>
      </c>
      <c r="M63" s="21">
        <f>K63*L63</f>
        <v>105.32407407407406</v>
      </c>
      <c r="N63" s="22">
        <f>M63/1000</f>
        <v>0.10532407407407406</v>
      </c>
      <c r="O63" s="13" t="inlineStr">
        <is>
          <t>BBS</t>
        </is>
      </c>
    </row>
    <row r="64">
      <c r="A64" s="13" t="n">
        <v>59</v>
      </c>
      <c r="B64" s="13" t="inlineStr">
        <is>
          <t>Beams</t>
        </is>
      </c>
      <c r="C64" s="13" t="inlineStr">
        <is>
          <t>STR-066</t>
        </is>
      </c>
      <c r="D64" s="13" t="inlineStr">
        <is>
          <t>Mezzanine floor beams</t>
        </is>
      </c>
      <c r="E64" s="19" t="inlineStr">
        <is>
          <t>2507</t>
        </is>
      </c>
      <c r="F64" s="19" t="n">
        <v>25</v>
      </c>
      <c r="G64" s="19" t="n">
        <v>1</v>
      </c>
      <c r="H64" s="19" t="n">
        <v>3</v>
      </c>
      <c r="I64" s="13">
        <f>G64*H64</f>
        <v>3.0</v>
      </c>
      <c r="J64" s="20">
        <f>9075/1000</f>
        <v>9.075</v>
      </c>
      <c r="K64" s="21">
        <f>I64*J64</f>
        <v>27.224999999999998</v>
      </c>
      <c r="L64" s="22">
        <f>F64^2/162</f>
        <v>3.8580246913580245</v>
      </c>
      <c r="M64" s="21">
        <f>K64*L64</f>
        <v>105.03472222222221</v>
      </c>
      <c r="N64" s="22">
        <f>M64/1000</f>
        <v>0.10503472222222221</v>
      </c>
      <c r="O64" s="13" t="inlineStr">
        <is>
          <t>BBS</t>
        </is>
      </c>
    </row>
    <row r="65">
      <c r="A65" s="13" t="n">
        <v>60</v>
      </c>
      <c r="B65" s="13" t="inlineStr">
        <is>
          <t>Floor Slabs</t>
        </is>
      </c>
      <c r="C65" s="13" t="inlineStr">
        <is>
          <t>STR-067</t>
        </is>
      </c>
      <c r="D65" s="13" t="inlineStr">
        <is>
          <t>Mezzanine slab - bottom</t>
        </is>
      </c>
      <c r="E65" s="19" t="inlineStr">
        <is>
          <t>1201</t>
        </is>
      </c>
      <c r="F65" s="19" t="n">
        <v>12</v>
      </c>
      <c r="G65" s="19" t="n">
        <v>1</v>
      </c>
      <c r="H65" s="19" t="n">
        <v>389</v>
      </c>
      <c r="I65" s="13">
        <f>G65*H65</f>
        <v>389.0</v>
      </c>
      <c r="J65" s="20">
        <f>8600/1000</f>
        <v>8.6</v>
      </c>
      <c r="K65" s="21">
        <f>I65*J65</f>
        <v>3345.3999999999996</v>
      </c>
      <c r="L65" s="22">
        <f>F65^2/162</f>
        <v>0.8888888888888888</v>
      </c>
      <c r="M65" s="21">
        <f>K65*L65</f>
        <v>2973.6888888888884</v>
      </c>
      <c r="N65" s="22">
        <f>M65/1000</f>
        <v>2.9736888888888884</v>
      </c>
      <c r="O65" s="13" t="inlineStr">
        <is>
          <t>BBS</t>
        </is>
      </c>
    </row>
    <row r="66">
      <c r="A66" s="13" t="n">
        <v>61</v>
      </c>
      <c r="B66" s="13" t="inlineStr">
        <is>
          <t>Floor Slabs</t>
        </is>
      </c>
      <c r="C66" s="13" t="inlineStr">
        <is>
          <t>STR-067</t>
        </is>
      </c>
      <c r="D66" s="13" t="inlineStr">
        <is>
          <t>Mezzanine slab - bottom</t>
        </is>
      </c>
      <c r="E66" s="19" t="inlineStr">
        <is>
          <t>1202</t>
        </is>
      </c>
      <c r="F66" s="19" t="n">
        <v>12</v>
      </c>
      <c r="G66" s="19" t="n">
        <v>1</v>
      </c>
      <c r="H66" s="19" t="n">
        <v>432</v>
      </c>
      <c r="I66" s="13">
        <f>G66*H66</f>
        <v>432.0</v>
      </c>
      <c r="J66" s="20">
        <f>5500/1000</f>
        <v>5.5</v>
      </c>
      <c r="K66" s="21">
        <f>I66*J66</f>
        <v>2376.0</v>
      </c>
      <c r="L66" s="22">
        <f>F66^2/162</f>
        <v>0.8888888888888888</v>
      </c>
      <c r="M66" s="21">
        <f>K66*L66</f>
        <v>2112.0</v>
      </c>
      <c r="N66" s="22">
        <f>M66/1000</f>
        <v>2.112</v>
      </c>
      <c r="O66" s="13" t="inlineStr">
        <is>
          <t>BBS</t>
        </is>
      </c>
    </row>
    <row r="67">
      <c r="A67" s="13" t="n">
        <v>62</v>
      </c>
      <c r="B67" s="13" t="inlineStr">
        <is>
          <t>Floor Slabs</t>
        </is>
      </c>
      <c r="C67" s="13" t="inlineStr">
        <is>
          <t>STR-067</t>
        </is>
      </c>
      <c r="D67" s="13" t="inlineStr">
        <is>
          <t>Mezzanine slab - bottom</t>
        </is>
      </c>
      <c r="E67" s="19" t="inlineStr">
        <is>
          <t>1203</t>
        </is>
      </c>
      <c r="F67" s="19" t="n">
        <v>12</v>
      </c>
      <c r="G67" s="19" t="n">
        <v>1</v>
      </c>
      <c r="H67" s="19" t="n">
        <v>16</v>
      </c>
      <c r="I67" s="13">
        <f>G67*H67</f>
        <v>16.0</v>
      </c>
      <c r="J67" s="20">
        <f>4450/1000</f>
        <v>4.45</v>
      </c>
      <c r="K67" s="21">
        <f>I67*J67</f>
        <v>71.2</v>
      </c>
      <c r="L67" s="22">
        <f>F67^2/162</f>
        <v>0.8888888888888888</v>
      </c>
      <c r="M67" s="21">
        <f>K67*L67</f>
        <v>63.28888888888889</v>
      </c>
      <c r="N67" s="22">
        <f>M67/1000</f>
        <v>0.0632888888888889</v>
      </c>
      <c r="O67" s="13" t="inlineStr">
        <is>
          <t>BBS</t>
        </is>
      </c>
    </row>
    <row r="68">
      <c r="A68" s="13" t="n">
        <v>63</v>
      </c>
      <c r="B68" s="13" t="inlineStr">
        <is>
          <t>Floor Slabs</t>
        </is>
      </c>
      <c r="C68" s="13" t="inlineStr">
        <is>
          <t>STR-067</t>
        </is>
      </c>
      <c r="D68" s="13" t="inlineStr">
        <is>
          <t>Mezzanine slab - bottom</t>
        </is>
      </c>
      <c r="E68" s="19" t="inlineStr">
        <is>
          <t>1204</t>
        </is>
      </c>
      <c r="F68" s="19" t="n">
        <v>12</v>
      </c>
      <c r="G68" s="19" t="n">
        <v>1</v>
      </c>
      <c r="H68" s="19" t="n">
        <v>454</v>
      </c>
      <c r="I68" s="13">
        <f>G68*H68</f>
        <v>454.0</v>
      </c>
      <c r="J68" s="20">
        <f>5250/1000</f>
        <v>5.25</v>
      </c>
      <c r="K68" s="21">
        <f>I68*J68</f>
        <v>2383.5</v>
      </c>
      <c r="L68" s="22">
        <f>F68^2/162</f>
        <v>0.8888888888888888</v>
      </c>
      <c r="M68" s="21">
        <f>K68*L68</f>
        <v>2118.6666666666665</v>
      </c>
      <c r="N68" s="22">
        <f>M68/1000</f>
        <v>2.1186666666666665</v>
      </c>
      <c r="O68" s="13" t="inlineStr">
        <is>
          <t>BBS</t>
        </is>
      </c>
    </row>
    <row r="69">
      <c r="A69" s="13" t="n">
        <v>64</v>
      </c>
      <c r="B69" s="13" t="inlineStr">
        <is>
          <t>Floor Slabs</t>
        </is>
      </c>
      <c r="C69" s="13" t="inlineStr">
        <is>
          <t>STR-067</t>
        </is>
      </c>
      <c r="D69" s="13" t="inlineStr">
        <is>
          <t>Mezzanine slab - bottom</t>
        </is>
      </c>
      <c r="E69" s="19" t="inlineStr">
        <is>
          <t>1205</t>
        </is>
      </c>
      <c r="F69" s="19" t="n">
        <v>12</v>
      </c>
      <c r="G69" s="19" t="n">
        <v>1</v>
      </c>
      <c r="H69" s="19" t="n">
        <v>16</v>
      </c>
      <c r="I69" s="13">
        <f>G69*H69</f>
        <v>16.0</v>
      </c>
      <c r="J69" s="20">
        <f>9050/1000</f>
        <v>9.05</v>
      </c>
      <c r="K69" s="21">
        <f>I69*J69</f>
        <v>144.8</v>
      </c>
      <c r="L69" s="22">
        <f>F69^2/162</f>
        <v>0.8888888888888888</v>
      </c>
      <c r="M69" s="21">
        <f>K69*L69</f>
        <v>128.7111111111111</v>
      </c>
      <c r="N69" s="22">
        <f>M69/1000</f>
        <v>0.1287111111111111</v>
      </c>
      <c r="O69" s="13" t="inlineStr">
        <is>
          <t>BBS</t>
        </is>
      </c>
    </row>
    <row r="70">
      <c r="A70" s="13" t="n">
        <v>65</v>
      </c>
      <c r="B70" s="13" t="inlineStr">
        <is>
          <t>Floor Slabs</t>
        </is>
      </c>
      <c r="C70" s="13" t="inlineStr">
        <is>
          <t>STR-067</t>
        </is>
      </c>
      <c r="D70" s="13" t="inlineStr">
        <is>
          <t>Mezzanine slab - bottom</t>
        </is>
      </c>
      <c r="E70" s="19" t="inlineStr">
        <is>
          <t>1206</t>
        </is>
      </c>
      <c r="F70" s="19" t="n">
        <v>12</v>
      </c>
      <c r="G70" s="19" t="n">
        <v>1</v>
      </c>
      <c r="H70" s="19" t="n">
        <v>58</v>
      </c>
      <c r="I70" s="13">
        <f>G70*H70</f>
        <v>58.0</v>
      </c>
      <c r="J70" s="20">
        <f>8950/1000</f>
        <v>8.95</v>
      </c>
      <c r="K70" s="21">
        <f>I70*J70</f>
        <v>519.0999999999999</v>
      </c>
      <c r="L70" s="22">
        <f>F70^2/162</f>
        <v>0.8888888888888888</v>
      </c>
      <c r="M70" s="21">
        <f>K70*L70</f>
        <v>461.4222222222221</v>
      </c>
      <c r="N70" s="22">
        <f>M70/1000</f>
        <v>0.4614222222222221</v>
      </c>
      <c r="O70" s="13" t="inlineStr">
        <is>
          <t>BBS</t>
        </is>
      </c>
    </row>
    <row r="71">
      <c r="A71" s="13" t="n">
        <v>66</v>
      </c>
      <c r="B71" s="13" t="inlineStr">
        <is>
          <t>Floor Slabs</t>
        </is>
      </c>
      <c r="C71" s="13" t="inlineStr">
        <is>
          <t>STR-067</t>
        </is>
      </c>
      <c r="D71" s="13" t="inlineStr">
        <is>
          <t>Mezzanine slab - bottom</t>
        </is>
      </c>
      <c r="E71" s="19" t="inlineStr">
        <is>
          <t>1207</t>
        </is>
      </c>
      <c r="F71" s="19" t="n">
        <v>12</v>
      </c>
      <c r="G71" s="19" t="n">
        <v>1</v>
      </c>
      <c r="H71" s="19" t="n">
        <v>47</v>
      </c>
      <c r="I71" s="13">
        <f>G71*H71</f>
        <v>47.0</v>
      </c>
      <c r="J71" s="20">
        <f>8850/1000</f>
        <v>8.85</v>
      </c>
      <c r="K71" s="21">
        <f>I71*J71</f>
        <v>415.95</v>
      </c>
      <c r="L71" s="22">
        <f>F71^2/162</f>
        <v>0.8888888888888888</v>
      </c>
      <c r="M71" s="21">
        <f>K71*L71</f>
        <v>369.7333333333333</v>
      </c>
      <c r="N71" s="22">
        <f>M71/1000</f>
        <v>0.3697333333333333</v>
      </c>
      <c r="O71" s="13" t="inlineStr">
        <is>
          <t>BBS</t>
        </is>
      </c>
    </row>
    <row r="72">
      <c r="A72" s="13" t="n">
        <v>67</v>
      </c>
      <c r="B72" s="13" t="inlineStr">
        <is>
          <t>Floor Slabs</t>
        </is>
      </c>
      <c r="C72" s="13" t="inlineStr">
        <is>
          <t>STR-067</t>
        </is>
      </c>
      <c r="D72" s="13" t="inlineStr">
        <is>
          <t>Mezzanine slab - bottom</t>
        </is>
      </c>
      <c r="E72" s="19" t="inlineStr">
        <is>
          <t>1208</t>
        </is>
      </c>
      <c r="F72" s="19" t="n">
        <v>12</v>
      </c>
      <c r="G72" s="19" t="n">
        <v>1</v>
      </c>
      <c r="H72" s="19" t="n">
        <v>269</v>
      </c>
      <c r="I72" s="13">
        <f>G72*H72</f>
        <v>269.0</v>
      </c>
      <c r="J72" s="20">
        <f>8900/1000</f>
        <v>8.9</v>
      </c>
      <c r="K72" s="21">
        <f>I72*J72</f>
        <v>2394.1</v>
      </c>
      <c r="L72" s="22">
        <f>F72^2/162</f>
        <v>0.8888888888888888</v>
      </c>
      <c r="M72" s="21">
        <f>K72*L72</f>
        <v>2128.0888888888885</v>
      </c>
      <c r="N72" s="22">
        <f>M72/1000</f>
        <v>2.1280888888888887</v>
      </c>
      <c r="O72" s="13" t="inlineStr">
        <is>
          <t>BBS</t>
        </is>
      </c>
    </row>
    <row r="73">
      <c r="A73" s="13" t="n">
        <v>68</v>
      </c>
      <c r="B73" s="13" t="inlineStr">
        <is>
          <t>Floor Slabs</t>
        </is>
      </c>
      <c r="C73" s="13" t="inlineStr">
        <is>
          <t>STR-067</t>
        </is>
      </c>
      <c r="D73" s="13" t="inlineStr">
        <is>
          <t>Mezzanine slab - bottom</t>
        </is>
      </c>
      <c r="E73" s="19" t="inlineStr">
        <is>
          <t>1209</t>
        </is>
      </c>
      <c r="F73" s="19" t="n">
        <v>12</v>
      </c>
      <c r="G73" s="19" t="n">
        <v>1</v>
      </c>
      <c r="H73" s="19" t="n">
        <v>15</v>
      </c>
      <c r="I73" s="13">
        <f>G73*H73</f>
        <v>15.0</v>
      </c>
      <c r="J73" s="20">
        <f>8650/1000</f>
        <v>8.65</v>
      </c>
      <c r="K73" s="21">
        <f>I73*J73</f>
        <v>129.75</v>
      </c>
      <c r="L73" s="22">
        <f>F73^2/162</f>
        <v>0.8888888888888888</v>
      </c>
      <c r="M73" s="21">
        <f>K73*L73</f>
        <v>115.33333333333333</v>
      </c>
      <c r="N73" s="22">
        <f>M73/1000</f>
        <v>0.11533333333333333</v>
      </c>
      <c r="O73" s="13" t="inlineStr">
        <is>
          <t>BBS</t>
        </is>
      </c>
    </row>
    <row r="74">
      <c r="A74" s="13" t="n">
        <v>69</v>
      </c>
      <c r="B74" s="13" t="inlineStr">
        <is>
          <t>Floor Slabs</t>
        </is>
      </c>
      <c r="C74" s="13" t="inlineStr">
        <is>
          <t>STR-067</t>
        </is>
      </c>
      <c r="D74" s="13" t="inlineStr">
        <is>
          <t>Mezzanine slab - bottom</t>
        </is>
      </c>
      <c r="E74" s="19" t="inlineStr">
        <is>
          <t>1210</t>
        </is>
      </c>
      <c r="F74" s="19" t="n">
        <v>12</v>
      </c>
      <c r="G74" s="19" t="n">
        <v>1</v>
      </c>
      <c r="H74" s="19" t="n">
        <v>7</v>
      </c>
      <c r="I74" s="13">
        <f>G74*H74</f>
        <v>7.0</v>
      </c>
      <c r="J74" s="20">
        <f>8275/1000</f>
        <v>8.275</v>
      </c>
      <c r="K74" s="21">
        <f>I74*J74</f>
        <v>57.925000000000004</v>
      </c>
      <c r="L74" s="22">
        <f>F74^2/162</f>
        <v>0.8888888888888888</v>
      </c>
      <c r="M74" s="21">
        <f>K74*L74</f>
        <v>51.48888888888889</v>
      </c>
      <c r="N74" s="22">
        <f>M74/1000</f>
        <v>0.05148888888888889</v>
      </c>
      <c r="O74" s="13" t="inlineStr">
        <is>
          <t>BBS</t>
        </is>
      </c>
    </row>
    <row r="75">
      <c r="A75" s="13" t="n">
        <v>70</v>
      </c>
      <c r="B75" s="13" t="inlineStr">
        <is>
          <t>Floor Slabs</t>
        </is>
      </c>
      <c r="C75" s="13" t="inlineStr">
        <is>
          <t>STR-067</t>
        </is>
      </c>
      <c r="D75" s="13" t="inlineStr">
        <is>
          <t>Mezzanine slab - bottom</t>
        </is>
      </c>
      <c r="E75" s="19" t="inlineStr">
        <is>
          <t>1211</t>
        </is>
      </c>
      <c r="F75" s="19" t="n">
        <v>12</v>
      </c>
      <c r="G75" s="19" t="n">
        <v>1</v>
      </c>
      <c r="H75" s="19" t="n">
        <v>269</v>
      </c>
      <c r="I75" s="13">
        <f>G75*H75</f>
        <v>269.0</v>
      </c>
      <c r="J75" s="20">
        <f>6350/1000</f>
        <v>6.35</v>
      </c>
      <c r="K75" s="21">
        <f>I75*J75</f>
        <v>1708.1499999999999</v>
      </c>
      <c r="L75" s="22">
        <f>F75^2/162</f>
        <v>0.8888888888888888</v>
      </c>
      <c r="M75" s="21">
        <f>K75*L75</f>
        <v>1518.3555555555554</v>
      </c>
      <c r="N75" s="22">
        <f>M75/1000</f>
        <v>1.5183555555555555</v>
      </c>
      <c r="O75" s="13" t="inlineStr">
        <is>
          <t>BBS</t>
        </is>
      </c>
    </row>
    <row r="76">
      <c r="A76" s="13" t="n">
        <v>71</v>
      </c>
      <c r="B76" s="13" t="inlineStr">
        <is>
          <t>Floor Slabs</t>
        </is>
      </c>
      <c r="C76" s="13" t="inlineStr">
        <is>
          <t>STR-067</t>
        </is>
      </c>
      <c r="D76" s="13" t="inlineStr">
        <is>
          <t>Mezzanine slab - bottom</t>
        </is>
      </c>
      <c r="E76" s="19" t="inlineStr">
        <is>
          <t>1212</t>
        </is>
      </c>
      <c r="F76" s="19" t="n">
        <v>12</v>
      </c>
      <c r="G76" s="19" t="n">
        <v>1</v>
      </c>
      <c r="H76" s="19" t="n">
        <v>163</v>
      </c>
      <c r="I76" s="13">
        <f>G76*H76</f>
        <v>163.0</v>
      </c>
      <c r="J76" s="20">
        <f>12000/1000</f>
        <v>12.0</v>
      </c>
      <c r="K76" s="21">
        <f>I76*J76</f>
        <v>1956.0</v>
      </c>
      <c r="L76" s="22">
        <f>F76^2/162</f>
        <v>0.8888888888888888</v>
      </c>
      <c r="M76" s="21">
        <f>K76*L76</f>
        <v>1738.6666666666665</v>
      </c>
      <c r="N76" s="22">
        <f>M76/1000</f>
        <v>1.7386666666666666</v>
      </c>
      <c r="O76" s="13" t="inlineStr">
        <is>
          <t>BBS</t>
        </is>
      </c>
    </row>
    <row r="77">
      <c r="A77" s="13" t="n">
        <v>72</v>
      </c>
      <c r="B77" s="13" t="inlineStr">
        <is>
          <t>Floor Slabs</t>
        </is>
      </c>
      <c r="C77" s="13" t="inlineStr">
        <is>
          <t>STR-067</t>
        </is>
      </c>
      <c r="D77" s="13" t="inlineStr">
        <is>
          <t>Mezzanine slab - bottom</t>
        </is>
      </c>
      <c r="E77" s="19" t="inlineStr">
        <is>
          <t>1213</t>
        </is>
      </c>
      <c r="F77" s="19" t="n">
        <v>12</v>
      </c>
      <c r="G77" s="19" t="n">
        <v>1</v>
      </c>
      <c r="H77" s="19" t="n">
        <v>36</v>
      </c>
      <c r="I77" s="13">
        <f>G77*H77</f>
        <v>36.0</v>
      </c>
      <c r="J77" s="20">
        <f>6875/1000</f>
        <v>6.875</v>
      </c>
      <c r="K77" s="21">
        <f>I77*J77</f>
        <v>247.5</v>
      </c>
      <c r="L77" s="22">
        <f>F77^2/162</f>
        <v>0.8888888888888888</v>
      </c>
      <c r="M77" s="21">
        <f>K77*L77</f>
        <v>220.0</v>
      </c>
      <c r="N77" s="22">
        <f>M77/1000</f>
        <v>0.22</v>
      </c>
      <c r="O77" s="13" t="inlineStr">
        <is>
          <t>BBS</t>
        </is>
      </c>
    </row>
    <row r="78">
      <c r="A78" s="13" t="n">
        <v>73</v>
      </c>
      <c r="B78" s="13" t="inlineStr">
        <is>
          <t>Floor Slabs</t>
        </is>
      </c>
      <c r="C78" s="13" t="inlineStr">
        <is>
          <t>STR-067</t>
        </is>
      </c>
      <c r="D78" s="13" t="inlineStr">
        <is>
          <t>Mezzanine slab - bottom</t>
        </is>
      </c>
      <c r="E78" s="19" t="inlineStr">
        <is>
          <t>1214</t>
        </is>
      </c>
      <c r="F78" s="19" t="n">
        <v>12</v>
      </c>
      <c r="G78" s="19" t="n">
        <v>1</v>
      </c>
      <c r="H78" s="19" t="n">
        <v>341</v>
      </c>
      <c r="I78" s="13">
        <f>G78*H78</f>
        <v>341.0</v>
      </c>
      <c r="J78" s="20">
        <f>3950/1000</f>
        <v>3.95</v>
      </c>
      <c r="K78" s="21">
        <f>I78*J78</f>
        <v>1346.95</v>
      </c>
      <c r="L78" s="22">
        <f>F78^2/162</f>
        <v>0.8888888888888888</v>
      </c>
      <c r="M78" s="21">
        <f>K78*L78</f>
        <v>1197.2888888888888</v>
      </c>
      <c r="N78" s="22">
        <f>M78/1000</f>
        <v>1.1972888888888888</v>
      </c>
      <c r="O78" s="13" t="inlineStr">
        <is>
          <t>BBS</t>
        </is>
      </c>
    </row>
    <row r="79">
      <c r="A79" s="13" t="n">
        <v>74</v>
      </c>
      <c r="B79" s="13" t="inlineStr">
        <is>
          <t>Floor Slabs</t>
        </is>
      </c>
      <c r="C79" s="13" t="inlineStr">
        <is>
          <t>STR-067</t>
        </is>
      </c>
      <c r="D79" s="13" t="inlineStr">
        <is>
          <t>Mezzanine slab - bottom</t>
        </is>
      </c>
      <c r="E79" s="19" t="inlineStr">
        <is>
          <t>1215</t>
        </is>
      </c>
      <c r="F79" s="19" t="n">
        <v>12</v>
      </c>
      <c r="G79" s="19" t="n">
        <v>1</v>
      </c>
      <c r="H79" s="19" t="n">
        <v>319</v>
      </c>
      <c r="I79" s="13">
        <f>G79*H79</f>
        <v>319.0</v>
      </c>
      <c r="J79" s="20">
        <f>12000/1000</f>
        <v>12.0</v>
      </c>
      <c r="K79" s="21">
        <f>I79*J79</f>
        <v>3828.0</v>
      </c>
      <c r="L79" s="22">
        <f>F79^2/162</f>
        <v>0.8888888888888888</v>
      </c>
      <c r="M79" s="21">
        <f>K79*L79</f>
        <v>3402.6666666666665</v>
      </c>
      <c r="N79" s="22">
        <f>M79/1000</f>
        <v>3.4026666666666667</v>
      </c>
      <c r="O79" s="13" t="inlineStr">
        <is>
          <t>BBS</t>
        </is>
      </c>
    </row>
    <row r="80">
      <c r="A80" s="13" t="n">
        <v>75</v>
      </c>
      <c r="B80" s="13" t="inlineStr">
        <is>
          <t>Floor Slabs</t>
        </is>
      </c>
      <c r="C80" s="13" t="inlineStr">
        <is>
          <t>STR-067</t>
        </is>
      </c>
      <c r="D80" s="13" t="inlineStr">
        <is>
          <t>Mezzanine slab - bottom</t>
        </is>
      </c>
      <c r="E80" s="19" t="inlineStr">
        <is>
          <t>1216</t>
        </is>
      </c>
      <c r="F80" s="19" t="n">
        <v>12</v>
      </c>
      <c r="G80" s="19" t="n">
        <v>1</v>
      </c>
      <c r="H80" s="19" t="n">
        <v>9</v>
      </c>
      <c r="I80" s="13">
        <f>G80*H80</f>
        <v>9.0</v>
      </c>
      <c r="J80" s="20">
        <f>7375/1000</f>
        <v>7.375</v>
      </c>
      <c r="K80" s="21">
        <f>I80*J80</f>
        <v>66.375</v>
      </c>
      <c r="L80" s="22">
        <f>F80^2/162</f>
        <v>0.8888888888888888</v>
      </c>
      <c r="M80" s="21">
        <f>K80*L80</f>
        <v>59.0</v>
      </c>
      <c r="N80" s="22">
        <f>M80/1000</f>
        <v>0.059</v>
      </c>
      <c r="O80" s="13" t="inlineStr">
        <is>
          <t>BBS</t>
        </is>
      </c>
    </row>
    <row r="81">
      <c r="A81" s="13" t="n">
        <v>76</v>
      </c>
      <c r="B81" s="13" t="inlineStr">
        <is>
          <t>Floor Slabs</t>
        </is>
      </c>
      <c r="C81" s="13" t="inlineStr">
        <is>
          <t>STR-067</t>
        </is>
      </c>
      <c r="D81" s="13" t="inlineStr">
        <is>
          <t>Mezzanine slab - bottom</t>
        </is>
      </c>
      <c r="E81" s="19" t="inlineStr">
        <is>
          <t>1217</t>
        </is>
      </c>
      <c r="F81" s="19" t="n">
        <v>12</v>
      </c>
      <c r="G81" s="19" t="n">
        <v>1</v>
      </c>
      <c r="H81" s="19" t="n">
        <v>153</v>
      </c>
      <c r="I81" s="13">
        <f>G81*H81</f>
        <v>153.0</v>
      </c>
      <c r="J81" s="20">
        <f>11750/1000</f>
        <v>11.75</v>
      </c>
      <c r="K81" s="21">
        <f>I81*J81</f>
        <v>1797.75</v>
      </c>
      <c r="L81" s="22">
        <f>F81^2/162</f>
        <v>0.8888888888888888</v>
      </c>
      <c r="M81" s="21">
        <f>K81*L81</f>
        <v>1598.0</v>
      </c>
      <c r="N81" s="22">
        <f>M81/1000</f>
        <v>1.598</v>
      </c>
      <c r="O81" s="13" t="inlineStr">
        <is>
          <t>BBS</t>
        </is>
      </c>
    </row>
    <row r="82">
      <c r="A82" s="13" t="n">
        <v>77</v>
      </c>
      <c r="B82" s="13" t="inlineStr">
        <is>
          <t>Floor Slabs</t>
        </is>
      </c>
      <c r="C82" s="13" t="inlineStr">
        <is>
          <t>STR-067</t>
        </is>
      </c>
      <c r="D82" s="13" t="inlineStr">
        <is>
          <t>Mezzanine slab - bottom</t>
        </is>
      </c>
      <c r="E82" s="19" t="inlineStr">
        <is>
          <t>1218</t>
        </is>
      </c>
      <c r="F82" s="19" t="n">
        <v>12</v>
      </c>
      <c r="G82" s="19" t="n">
        <v>1</v>
      </c>
      <c r="H82" s="19" t="n">
        <v>85</v>
      </c>
      <c r="I82" s="13">
        <f>G82*H82</f>
        <v>85.0</v>
      </c>
      <c r="J82" s="20">
        <f>11475/1000</f>
        <v>11.475</v>
      </c>
      <c r="K82" s="21">
        <f>I82*J82</f>
        <v>975.375</v>
      </c>
      <c r="L82" s="22">
        <f>F82^2/162</f>
        <v>0.8888888888888888</v>
      </c>
      <c r="M82" s="21">
        <f>K82*L82</f>
        <v>867.0</v>
      </c>
      <c r="N82" s="22">
        <f>M82/1000</f>
        <v>0.867</v>
      </c>
      <c r="O82" s="13" t="inlineStr">
        <is>
          <t>BBS</t>
        </is>
      </c>
    </row>
    <row r="83">
      <c r="A83" s="13" t="n">
        <v>78</v>
      </c>
      <c r="B83" s="13" t="inlineStr">
        <is>
          <t>Floor Slabs</t>
        </is>
      </c>
      <c r="C83" s="13" t="inlineStr">
        <is>
          <t>STR-068</t>
        </is>
      </c>
      <c r="D83" s="13" t="inlineStr">
        <is>
          <t>Mezzanine slab - top</t>
        </is>
      </c>
      <c r="E83" s="19" t="inlineStr">
        <is>
          <t>1219</t>
        </is>
      </c>
      <c r="F83" s="19" t="n">
        <v>12</v>
      </c>
      <c r="G83" s="19" t="n">
        <v>1</v>
      </c>
      <c r="H83" s="19" t="n">
        <v>59</v>
      </c>
      <c r="I83" s="13">
        <f>G83*H83</f>
        <v>59.0</v>
      </c>
      <c r="J83" s="20">
        <f>10350/1000</f>
        <v>10.35</v>
      </c>
      <c r="K83" s="21">
        <f>I83*J83</f>
        <v>610.65</v>
      </c>
      <c r="L83" s="22">
        <f>F83^2/162</f>
        <v>0.8888888888888888</v>
      </c>
      <c r="M83" s="21">
        <f>K83*L83</f>
        <v>542.8</v>
      </c>
      <c r="N83" s="22">
        <f>M83/1000</f>
        <v>0.5428</v>
      </c>
      <c r="O83" s="13" t="inlineStr">
        <is>
          <t>BBS</t>
        </is>
      </c>
    </row>
    <row r="84">
      <c r="A84" s="13" t="n">
        <v>79</v>
      </c>
      <c r="B84" s="13" t="inlineStr">
        <is>
          <t>Floor Slabs</t>
        </is>
      </c>
      <c r="C84" s="13" t="inlineStr">
        <is>
          <t>STR-068</t>
        </is>
      </c>
      <c r="D84" s="13" t="inlineStr">
        <is>
          <t>Mezzanine slab - top</t>
        </is>
      </c>
      <c r="E84" s="19" t="inlineStr">
        <is>
          <t>1220</t>
        </is>
      </c>
      <c r="F84" s="19" t="n">
        <v>12</v>
      </c>
      <c r="G84" s="19" t="n">
        <v>1</v>
      </c>
      <c r="H84" s="19" t="n">
        <v>32</v>
      </c>
      <c r="I84" s="13">
        <f>G84*H84</f>
        <v>32.0</v>
      </c>
      <c r="J84" s="20">
        <f>5850/1000</f>
        <v>5.85</v>
      </c>
      <c r="K84" s="21">
        <f>I84*J84</f>
        <v>187.2</v>
      </c>
      <c r="L84" s="22">
        <f>F84^2/162</f>
        <v>0.8888888888888888</v>
      </c>
      <c r="M84" s="21">
        <f>K84*L84</f>
        <v>166.39999999999998</v>
      </c>
      <c r="N84" s="22">
        <f>M84/1000</f>
        <v>0.16639999999999996</v>
      </c>
      <c r="O84" s="13" t="inlineStr">
        <is>
          <t>BBS</t>
        </is>
      </c>
    </row>
    <row r="85">
      <c r="A85" s="13" t="n">
        <v>80</v>
      </c>
      <c r="B85" s="13" t="inlineStr">
        <is>
          <t>Floor Slabs</t>
        </is>
      </c>
      <c r="C85" s="13" t="inlineStr">
        <is>
          <t>STR-068</t>
        </is>
      </c>
      <c r="D85" s="13" t="inlineStr">
        <is>
          <t>Mezzanine slab - top</t>
        </is>
      </c>
      <c r="E85" s="19" t="inlineStr">
        <is>
          <t>1221</t>
        </is>
      </c>
      <c r="F85" s="19" t="n">
        <v>12</v>
      </c>
      <c r="G85" s="19" t="n">
        <v>1</v>
      </c>
      <c r="H85" s="19" t="n">
        <v>16</v>
      </c>
      <c r="I85" s="13">
        <f>G85*H85</f>
        <v>16.0</v>
      </c>
      <c r="J85" s="20">
        <f>8250/1000</f>
        <v>8.25</v>
      </c>
      <c r="K85" s="21">
        <f>I85*J85</f>
        <v>132.0</v>
      </c>
      <c r="L85" s="22">
        <f>F85^2/162</f>
        <v>0.8888888888888888</v>
      </c>
      <c r="M85" s="21">
        <f>K85*L85</f>
        <v>117.33333333333333</v>
      </c>
      <c r="N85" s="22">
        <f>M85/1000</f>
        <v>0.11733333333333333</v>
      </c>
      <c r="O85" s="13" t="inlineStr">
        <is>
          <t>BBS</t>
        </is>
      </c>
    </row>
    <row r="86">
      <c r="A86" s="13" t="n">
        <v>81</v>
      </c>
      <c r="B86" s="13" t="inlineStr">
        <is>
          <t>Floor Slabs</t>
        </is>
      </c>
      <c r="C86" s="13" t="inlineStr">
        <is>
          <t>STR-068</t>
        </is>
      </c>
      <c r="D86" s="13" t="inlineStr">
        <is>
          <t>Mezzanine slab - top</t>
        </is>
      </c>
      <c r="E86" s="19" t="inlineStr">
        <is>
          <t>1222</t>
        </is>
      </c>
      <c r="F86" s="19" t="n">
        <v>12</v>
      </c>
      <c r="G86" s="19" t="n">
        <v>1</v>
      </c>
      <c r="H86" s="19" t="n">
        <v>56</v>
      </c>
      <c r="I86" s="13">
        <f>G86*H86</f>
        <v>56.0</v>
      </c>
      <c r="J86" s="20">
        <f>9750/1000</f>
        <v>9.75</v>
      </c>
      <c r="K86" s="21">
        <f>I86*J86</f>
        <v>546.0</v>
      </c>
      <c r="L86" s="22">
        <f>F86^2/162</f>
        <v>0.8888888888888888</v>
      </c>
      <c r="M86" s="21">
        <f>K86*L86</f>
        <v>485.3333333333333</v>
      </c>
      <c r="N86" s="22">
        <f>M86/1000</f>
        <v>0.48533333333333334</v>
      </c>
      <c r="O86" s="13" t="inlineStr">
        <is>
          <t>BBS</t>
        </is>
      </c>
    </row>
    <row r="87">
      <c r="A87" s="13" t="n">
        <v>82</v>
      </c>
      <c r="B87" s="13" t="inlineStr">
        <is>
          <t>Floor Slabs</t>
        </is>
      </c>
      <c r="C87" s="13" t="inlineStr">
        <is>
          <t>STR-068</t>
        </is>
      </c>
      <c r="D87" s="13" t="inlineStr">
        <is>
          <t>Mezzanine slab - top</t>
        </is>
      </c>
      <c r="E87" s="19" t="inlineStr">
        <is>
          <t>1223</t>
        </is>
      </c>
      <c r="F87" s="19" t="n">
        <v>12</v>
      </c>
      <c r="G87" s="19" t="n">
        <v>1</v>
      </c>
      <c r="H87" s="19" t="n">
        <v>92</v>
      </c>
      <c r="I87" s="13">
        <f>G87*H87</f>
        <v>92.0</v>
      </c>
      <c r="J87" s="20">
        <f>8000/1000</f>
        <v>8.0</v>
      </c>
      <c r="K87" s="21">
        <f>I87*J87</f>
        <v>736.0</v>
      </c>
      <c r="L87" s="22">
        <f>F87^2/162</f>
        <v>0.8888888888888888</v>
      </c>
      <c r="M87" s="21">
        <f>K87*L87</f>
        <v>654.2222222222222</v>
      </c>
      <c r="N87" s="22">
        <f>M87/1000</f>
        <v>0.6542222222222221</v>
      </c>
      <c r="O87" s="13" t="inlineStr">
        <is>
          <t>BBS</t>
        </is>
      </c>
    </row>
    <row r="88">
      <c r="A88" s="13" t="n">
        <v>83</v>
      </c>
      <c r="B88" s="13" t="inlineStr">
        <is>
          <t>Floor Slabs</t>
        </is>
      </c>
      <c r="C88" s="13" t="inlineStr">
        <is>
          <t>STR-068</t>
        </is>
      </c>
      <c r="D88" s="13" t="inlineStr">
        <is>
          <t>Mezzanine slab - top</t>
        </is>
      </c>
      <c r="E88" s="19" t="inlineStr">
        <is>
          <t>1224</t>
        </is>
      </c>
      <c r="F88" s="19" t="n">
        <v>12</v>
      </c>
      <c r="G88" s="19" t="n">
        <v>1</v>
      </c>
      <c r="H88" s="19" t="n">
        <v>56</v>
      </c>
      <c r="I88" s="13">
        <f>G88*H88</f>
        <v>56.0</v>
      </c>
      <c r="J88" s="20">
        <f>4700/1000</f>
        <v>4.7</v>
      </c>
      <c r="K88" s="21">
        <f>I88*J88</f>
        <v>263.2</v>
      </c>
      <c r="L88" s="22">
        <f>F88^2/162</f>
        <v>0.8888888888888888</v>
      </c>
      <c r="M88" s="21">
        <f>K88*L88</f>
        <v>233.95555555555552</v>
      </c>
      <c r="N88" s="22">
        <f>M88/1000</f>
        <v>0.23395555555555553</v>
      </c>
      <c r="O88" s="13" t="inlineStr">
        <is>
          <t>BBS</t>
        </is>
      </c>
    </row>
    <row r="89">
      <c r="A89" s="13" t="n">
        <v>84</v>
      </c>
      <c r="B89" s="13" t="inlineStr">
        <is>
          <t>Floor Slabs</t>
        </is>
      </c>
      <c r="C89" s="13" t="inlineStr">
        <is>
          <t>STR-068</t>
        </is>
      </c>
      <c r="D89" s="13" t="inlineStr">
        <is>
          <t>Mezzanine slab - top</t>
        </is>
      </c>
      <c r="E89" s="19" t="inlineStr">
        <is>
          <t>1225</t>
        </is>
      </c>
      <c r="F89" s="19" t="n">
        <v>12</v>
      </c>
      <c r="G89" s="19" t="n">
        <v>1</v>
      </c>
      <c r="H89" s="19" t="n">
        <v>108</v>
      </c>
      <c r="I89" s="13">
        <f>G89*H89</f>
        <v>108.0</v>
      </c>
      <c r="J89" s="20">
        <f>8800/1000</f>
        <v>8.8</v>
      </c>
      <c r="K89" s="21">
        <f>I89*J89</f>
        <v>950.4000000000001</v>
      </c>
      <c r="L89" s="22">
        <f>F89^2/162</f>
        <v>0.8888888888888888</v>
      </c>
      <c r="M89" s="21">
        <f>K89*L89</f>
        <v>844.8000000000001</v>
      </c>
      <c r="N89" s="22">
        <f>M89/1000</f>
        <v>0.8448000000000001</v>
      </c>
      <c r="O89" s="13" t="inlineStr">
        <is>
          <t>BBS</t>
        </is>
      </c>
    </row>
    <row r="90">
      <c r="A90" s="13" t="n">
        <v>85</v>
      </c>
      <c r="B90" s="13" t="inlineStr">
        <is>
          <t>Floor Slabs</t>
        </is>
      </c>
      <c r="C90" s="13" t="inlineStr">
        <is>
          <t>STR-068</t>
        </is>
      </c>
      <c r="D90" s="13" t="inlineStr">
        <is>
          <t>Mezzanine slab - top</t>
        </is>
      </c>
      <c r="E90" s="19" t="inlineStr">
        <is>
          <t>1226</t>
        </is>
      </c>
      <c r="F90" s="19" t="n">
        <v>12</v>
      </c>
      <c r="G90" s="19" t="n">
        <v>1</v>
      </c>
      <c r="H90" s="19" t="n">
        <v>15</v>
      </c>
      <c r="I90" s="13">
        <f>G90*H90</f>
        <v>15.0</v>
      </c>
      <c r="J90" s="20">
        <f>8700/1000</f>
        <v>8.7</v>
      </c>
      <c r="K90" s="21">
        <f>I90*J90</f>
        <v>130.5</v>
      </c>
      <c r="L90" s="22">
        <f>F90^2/162</f>
        <v>0.8888888888888888</v>
      </c>
      <c r="M90" s="21">
        <f>K90*L90</f>
        <v>116.0</v>
      </c>
      <c r="N90" s="22">
        <f>M90/1000</f>
        <v>0.116</v>
      </c>
      <c r="O90" s="13" t="inlineStr">
        <is>
          <t>BBS</t>
        </is>
      </c>
    </row>
    <row r="91">
      <c r="A91" s="13" t="n">
        <v>86</v>
      </c>
      <c r="B91" s="13" t="inlineStr">
        <is>
          <t>Floor Slabs</t>
        </is>
      </c>
      <c r="C91" s="13" t="inlineStr">
        <is>
          <t>STR-068</t>
        </is>
      </c>
      <c r="D91" s="13" t="inlineStr">
        <is>
          <t>Mezzanine slab - top</t>
        </is>
      </c>
      <c r="E91" s="19" t="inlineStr">
        <is>
          <t>1227</t>
        </is>
      </c>
      <c r="F91" s="19" t="n">
        <v>12</v>
      </c>
      <c r="G91" s="19" t="n">
        <v>1</v>
      </c>
      <c r="H91" s="19" t="n">
        <v>15</v>
      </c>
      <c r="I91" s="13">
        <f>G91*H91</f>
        <v>15.0</v>
      </c>
      <c r="J91" s="20">
        <f>4800/1000</f>
        <v>4.8</v>
      </c>
      <c r="K91" s="21">
        <f>I91*J91</f>
        <v>72.0</v>
      </c>
      <c r="L91" s="22">
        <f>F91^2/162</f>
        <v>0.8888888888888888</v>
      </c>
      <c r="M91" s="21">
        <f>K91*L91</f>
        <v>64.0</v>
      </c>
      <c r="N91" s="22">
        <f>M91/1000</f>
        <v>0.064</v>
      </c>
      <c r="O91" s="13" t="inlineStr">
        <is>
          <t>BBS</t>
        </is>
      </c>
    </row>
    <row r="92">
      <c r="A92" s="13" t="n">
        <v>87</v>
      </c>
      <c r="B92" s="13" t="inlineStr">
        <is>
          <t>Floor Slabs</t>
        </is>
      </c>
      <c r="C92" s="13" t="inlineStr">
        <is>
          <t>STR-068</t>
        </is>
      </c>
      <c r="D92" s="13" t="inlineStr">
        <is>
          <t>Mezzanine slab - top</t>
        </is>
      </c>
      <c r="E92" s="19" t="inlineStr">
        <is>
          <t>1228</t>
        </is>
      </c>
      <c r="F92" s="19" t="n">
        <v>12</v>
      </c>
      <c r="G92" s="19" t="n">
        <v>1</v>
      </c>
      <c r="H92" s="19" t="n">
        <v>93</v>
      </c>
      <c r="I92" s="13">
        <f>G92*H92</f>
        <v>93.0</v>
      </c>
      <c r="J92" s="20">
        <f>8650/1000</f>
        <v>8.65</v>
      </c>
      <c r="K92" s="21">
        <f>I92*J92</f>
        <v>804.45</v>
      </c>
      <c r="L92" s="22">
        <f>F92^2/162</f>
        <v>0.8888888888888888</v>
      </c>
      <c r="M92" s="21">
        <f>K92*L92</f>
        <v>715.0666666666667</v>
      </c>
      <c r="N92" s="22">
        <f>M92/1000</f>
        <v>0.7150666666666667</v>
      </c>
      <c r="O92" s="13" t="inlineStr">
        <is>
          <t>BBS</t>
        </is>
      </c>
    </row>
    <row r="93">
      <c r="A93" s="13" t="n">
        <v>88</v>
      </c>
      <c r="B93" s="13" t="inlineStr">
        <is>
          <t>Floor Slabs</t>
        </is>
      </c>
      <c r="C93" s="13" t="inlineStr">
        <is>
          <t>STR-068</t>
        </is>
      </c>
      <c r="D93" s="13" t="inlineStr">
        <is>
          <t>Mezzanine slab - top</t>
        </is>
      </c>
      <c r="E93" s="19" t="inlineStr">
        <is>
          <t>1229</t>
        </is>
      </c>
      <c r="F93" s="19" t="n">
        <v>12</v>
      </c>
      <c r="G93" s="19" t="n">
        <v>1</v>
      </c>
      <c r="H93" s="19" t="n">
        <v>93</v>
      </c>
      <c r="I93" s="13">
        <f>G93*H93</f>
        <v>93.0</v>
      </c>
      <c r="J93" s="20">
        <f>4650/1000</f>
        <v>4.65</v>
      </c>
      <c r="K93" s="21">
        <f>I93*J93</f>
        <v>432.45000000000005</v>
      </c>
      <c r="L93" s="22">
        <f>F93^2/162</f>
        <v>0.8888888888888888</v>
      </c>
      <c r="M93" s="21">
        <f>K93*L93</f>
        <v>384.40000000000003</v>
      </c>
      <c r="N93" s="22">
        <f>M93/1000</f>
        <v>0.3844</v>
      </c>
      <c r="O93" s="13" t="inlineStr">
        <is>
          <t>BBS</t>
        </is>
      </c>
    </row>
    <row r="94">
      <c r="A94" s="13" t="n">
        <v>89</v>
      </c>
      <c r="B94" s="13" t="inlineStr">
        <is>
          <t>Floor Slabs</t>
        </is>
      </c>
      <c r="C94" s="13" t="inlineStr">
        <is>
          <t>STR-068</t>
        </is>
      </c>
      <c r="D94" s="13" t="inlineStr">
        <is>
          <t>Mezzanine slab - top</t>
        </is>
      </c>
      <c r="E94" s="19" t="inlineStr">
        <is>
          <t>1230</t>
        </is>
      </c>
      <c r="F94" s="19" t="n">
        <v>12</v>
      </c>
      <c r="G94" s="19" t="n">
        <v>1</v>
      </c>
      <c r="H94" s="19" t="n">
        <v>95</v>
      </c>
      <c r="I94" s="13">
        <f>G94*H94</f>
        <v>95.0</v>
      </c>
      <c r="J94" s="20">
        <f>8275/1000</f>
        <v>8.275</v>
      </c>
      <c r="K94" s="21">
        <f>I94*J94</f>
        <v>786.125</v>
      </c>
      <c r="L94" s="22">
        <f>F94^2/162</f>
        <v>0.8888888888888888</v>
      </c>
      <c r="M94" s="21">
        <f>K94*L94</f>
        <v>698.7777777777777</v>
      </c>
      <c r="N94" s="22">
        <f>M94/1000</f>
        <v>0.6987777777777777</v>
      </c>
      <c r="O94" s="13" t="inlineStr">
        <is>
          <t>BBS</t>
        </is>
      </c>
    </row>
    <row r="95">
      <c r="A95" s="13" t="n">
        <v>90</v>
      </c>
      <c r="B95" s="13" t="inlineStr">
        <is>
          <t>Floor Slabs</t>
        </is>
      </c>
      <c r="C95" s="13" t="inlineStr">
        <is>
          <t>STR-068</t>
        </is>
      </c>
      <c r="D95" s="13" t="inlineStr">
        <is>
          <t>Mezzanine slab - top</t>
        </is>
      </c>
      <c r="E95" s="19" t="inlineStr">
        <is>
          <t>1231</t>
        </is>
      </c>
      <c r="F95" s="19" t="n">
        <v>12</v>
      </c>
      <c r="G95" s="19" t="n">
        <v>1</v>
      </c>
      <c r="H95" s="19" t="n">
        <v>162</v>
      </c>
      <c r="I95" s="13">
        <f>G95*H95</f>
        <v>162.0</v>
      </c>
      <c r="J95" s="20">
        <f>9000/1000</f>
        <v>9.0</v>
      </c>
      <c r="K95" s="21">
        <f>I95*J95</f>
        <v>1458.0</v>
      </c>
      <c r="L95" s="22">
        <f>F95^2/162</f>
        <v>0.8888888888888888</v>
      </c>
      <c r="M95" s="21">
        <f>K95*L95</f>
        <v>1296.0</v>
      </c>
      <c r="N95" s="22">
        <f>M95/1000</f>
        <v>1.296</v>
      </c>
      <c r="O95" s="13" t="inlineStr">
        <is>
          <t>BBS</t>
        </is>
      </c>
    </row>
    <row r="96">
      <c r="A96" s="13" t="n">
        <v>91</v>
      </c>
      <c r="B96" s="13" t="inlineStr">
        <is>
          <t>Floor Slabs</t>
        </is>
      </c>
      <c r="C96" s="13" t="inlineStr">
        <is>
          <t>STR-068</t>
        </is>
      </c>
      <c r="D96" s="13" t="inlineStr">
        <is>
          <t>Mezzanine slab - top</t>
        </is>
      </c>
      <c r="E96" s="19" t="inlineStr">
        <is>
          <t>1232</t>
        </is>
      </c>
      <c r="F96" s="19" t="n">
        <v>12</v>
      </c>
      <c r="G96" s="19" t="n">
        <v>1</v>
      </c>
      <c r="H96" s="19" t="n">
        <v>36</v>
      </c>
      <c r="I96" s="13">
        <f>G96*H96</f>
        <v>36.0</v>
      </c>
      <c r="J96" s="20">
        <f>4850/1000</f>
        <v>4.85</v>
      </c>
      <c r="K96" s="21">
        <f>I96*J96</f>
        <v>174.6</v>
      </c>
      <c r="L96" s="22">
        <f>F96^2/162</f>
        <v>0.8888888888888888</v>
      </c>
      <c r="M96" s="21">
        <f>K96*L96</f>
        <v>155.2</v>
      </c>
      <c r="N96" s="22">
        <f>M96/1000</f>
        <v>0.15519999999999998</v>
      </c>
      <c r="O96" s="13" t="inlineStr">
        <is>
          <t>BBS</t>
        </is>
      </c>
    </row>
    <row r="97">
      <c r="A97" s="13" t="n">
        <v>92</v>
      </c>
      <c r="B97" s="13" t="inlineStr">
        <is>
          <t>Floor Slabs</t>
        </is>
      </c>
      <c r="C97" s="13" t="inlineStr">
        <is>
          <t>STR-068</t>
        </is>
      </c>
      <c r="D97" s="13" t="inlineStr">
        <is>
          <t>Mezzanine slab - top</t>
        </is>
      </c>
      <c r="E97" s="19" t="inlineStr">
        <is>
          <t>1233</t>
        </is>
      </c>
      <c r="F97" s="19" t="n">
        <v>12</v>
      </c>
      <c r="G97" s="19" t="n">
        <v>1</v>
      </c>
      <c r="H97" s="19" t="n">
        <v>85</v>
      </c>
      <c r="I97" s="13">
        <f>G97*H97</f>
        <v>85.0</v>
      </c>
      <c r="J97" s="20">
        <f>6875/1000</f>
        <v>6.875</v>
      </c>
      <c r="K97" s="21">
        <f>I97*J97</f>
        <v>584.375</v>
      </c>
      <c r="L97" s="22">
        <f>F97^2/162</f>
        <v>0.8888888888888888</v>
      </c>
      <c r="M97" s="21">
        <f>K97*L97</f>
        <v>519.4444444444445</v>
      </c>
      <c r="N97" s="22">
        <f>M97/1000</f>
        <v>0.5194444444444445</v>
      </c>
      <c r="O97" s="13" t="inlineStr">
        <is>
          <t>BBS</t>
        </is>
      </c>
    </row>
    <row r="98">
      <c r="A98" s="13" t="n">
        <v>93</v>
      </c>
      <c r="B98" s="13" t="inlineStr">
        <is>
          <t>Floor Slabs</t>
        </is>
      </c>
      <c r="C98" s="13" t="inlineStr">
        <is>
          <t>STR-068</t>
        </is>
      </c>
      <c r="D98" s="13" t="inlineStr">
        <is>
          <t>Mezzanine slab - top</t>
        </is>
      </c>
      <c r="E98" s="19" t="inlineStr">
        <is>
          <t>1234</t>
        </is>
      </c>
      <c r="F98" s="19" t="n">
        <v>12</v>
      </c>
      <c r="G98" s="19" t="n">
        <v>1</v>
      </c>
      <c r="H98" s="19" t="n">
        <v>13</v>
      </c>
      <c r="I98" s="13">
        <f>G98*H98</f>
        <v>13.0</v>
      </c>
      <c r="J98" s="20">
        <f>4200/1000</f>
        <v>4.2</v>
      </c>
      <c r="K98" s="21">
        <f>I98*J98</f>
        <v>54.6</v>
      </c>
      <c r="L98" s="22">
        <f>F98^2/162</f>
        <v>0.8888888888888888</v>
      </c>
      <c r="M98" s="21">
        <f>K98*L98</f>
        <v>48.53333333333333</v>
      </c>
      <c r="N98" s="22">
        <f>M98/1000</f>
        <v>0.04853333333333333</v>
      </c>
      <c r="O98" s="13" t="inlineStr">
        <is>
          <t>BBS</t>
        </is>
      </c>
    </row>
    <row r="99">
      <c r="A99" s="13" t="n">
        <v>94</v>
      </c>
      <c r="B99" s="13" t="inlineStr">
        <is>
          <t>Floor Slabs</t>
        </is>
      </c>
      <c r="C99" s="13" t="inlineStr">
        <is>
          <t>STR-068</t>
        </is>
      </c>
      <c r="D99" s="13" t="inlineStr">
        <is>
          <t>Mezzanine slab - top</t>
        </is>
      </c>
      <c r="E99" s="19" t="inlineStr">
        <is>
          <t>1235</t>
        </is>
      </c>
      <c r="F99" s="19" t="n">
        <v>12</v>
      </c>
      <c r="G99" s="19" t="n">
        <v>1</v>
      </c>
      <c r="H99" s="19" t="n">
        <v>73</v>
      </c>
      <c r="I99" s="13">
        <f>G99*H99</f>
        <v>73.0</v>
      </c>
      <c r="J99" s="20">
        <f>10850/1000</f>
        <v>10.85</v>
      </c>
      <c r="K99" s="21">
        <f>I99*J99</f>
        <v>792.05</v>
      </c>
      <c r="L99" s="22">
        <f>F99^2/162</f>
        <v>0.8888888888888888</v>
      </c>
      <c r="M99" s="21">
        <f>K99*L99</f>
        <v>704.0444444444444</v>
      </c>
      <c r="N99" s="22">
        <f>M99/1000</f>
        <v>0.7040444444444444</v>
      </c>
      <c r="O99" s="13" t="inlineStr">
        <is>
          <t>BBS</t>
        </is>
      </c>
    </row>
    <row r="100">
      <c r="A100" s="13" t="n">
        <v>95</v>
      </c>
      <c r="B100" s="13" t="inlineStr">
        <is>
          <t>Floor Slabs</t>
        </is>
      </c>
      <c r="C100" s="13" t="inlineStr">
        <is>
          <t>STR-068</t>
        </is>
      </c>
      <c r="D100" s="13" t="inlineStr">
        <is>
          <t>Mezzanine slab - top</t>
        </is>
      </c>
      <c r="E100" s="19" t="inlineStr">
        <is>
          <t>1236</t>
        </is>
      </c>
      <c r="F100" s="19" t="n">
        <v>12</v>
      </c>
      <c r="G100" s="19" t="n">
        <v>1</v>
      </c>
      <c r="H100" s="19" t="n">
        <v>73</v>
      </c>
      <c r="I100" s="13">
        <f>G100*H100</f>
        <v>73.0</v>
      </c>
      <c r="J100" s="20">
        <f>9350/1000</f>
        <v>9.35</v>
      </c>
      <c r="K100" s="21">
        <f>I100*J100</f>
        <v>682.55</v>
      </c>
      <c r="L100" s="22">
        <f>F100^2/162</f>
        <v>0.8888888888888888</v>
      </c>
      <c r="M100" s="21">
        <f>K100*L100</f>
        <v>606.711111111111</v>
      </c>
      <c r="N100" s="22">
        <f>M100/1000</f>
        <v>0.606711111111111</v>
      </c>
      <c r="O100" s="13" t="inlineStr">
        <is>
          <t>BBS</t>
        </is>
      </c>
    </row>
    <row r="101">
      <c r="A101" s="13" t="n">
        <v>96</v>
      </c>
      <c r="B101" s="13" t="inlineStr">
        <is>
          <t>Floor Slabs</t>
        </is>
      </c>
      <c r="C101" s="13" t="inlineStr">
        <is>
          <t>STR-068</t>
        </is>
      </c>
      <c r="D101" s="13" t="inlineStr">
        <is>
          <t>Mezzanine slab - top</t>
        </is>
      </c>
      <c r="E101" s="19" t="inlineStr">
        <is>
          <t>1237</t>
        </is>
      </c>
      <c r="F101" s="19" t="n">
        <v>12</v>
      </c>
      <c r="G101" s="19" t="n">
        <v>1</v>
      </c>
      <c r="H101" s="19" t="n">
        <v>235</v>
      </c>
      <c r="I101" s="13">
        <f>G101*H101</f>
        <v>235.0</v>
      </c>
      <c r="J101" s="20">
        <f>11300/1000</f>
        <v>11.3</v>
      </c>
      <c r="K101" s="21">
        <f>I101*J101</f>
        <v>2655.5</v>
      </c>
      <c r="L101" s="22">
        <f>F101^2/162</f>
        <v>0.8888888888888888</v>
      </c>
      <c r="M101" s="21">
        <f>K101*L101</f>
        <v>2360.4444444444443</v>
      </c>
      <c r="N101" s="22">
        <f>M101/1000</f>
        <v>2.360444444444444</v>
      </c>
      <c r="O101" s="13" t="inlineStr">
        <is>
          <t>BBS</t>
        </is>
      </c>
    </row>
    <row r="102">
      <c r="A102" s="13" t="n">
        <v>97</v>
      </c>
      <c r="B102" s="13" t="inlineStr">
        <is>
          <t>Floor Slabs</t>
        </is>
      </c>
      <c r="C102" s="13" t="inlineStr">
        <is>
          <t>STR-068</t>
        </is>
      </c>
      <c r="D102" s="13" t="inlineStr">
        <is>
          <t>Mezzanine slab - top</t>
        </is>
      </c>
      <c r="E102" s="19" t="inlineStr">
        <is>
          <t>1238</t>
        </is>
      </c>
      <c r="F102" s="19" t="n">
        <v>12</v>
      </c>
      <c r="G102" s="19" t="n">
        <v>1</v>
      </c>
      <c r="H102" s="19" t="n">
        <v>57</v>
      </c>
      <c r="I102" s="13">
        <f>G102*H102</f>
        <v>57.0</v>
      </c>
      <c r="J102" s="20">
        <f>11750/1000</f>
        <v>11.75</v>
      </c>
      <c r="K102" s="21">
        <f>I102*J102</f>
        <v>669.75</v>
      </c>
      <c r="L102" s="22">
        <f>F102^2/162</f>
        <v>0.8888888888888888</v>
      </c>
      <c r="M102" s="21">
        <f>K102*L102</f>
        <v>595.3333333333333</v>
      </c>
      <c r="N102" s="22">
        <f>M102/1000</f>
        <v>0.5953333333333333</v>
      </c>
      <c r="O102" s="13" t="inlineStr">
        <is>
          <t>BBS</t>
        </is>
      </c>
    </row>
    <row r="103">
      <c r="A103" s="13" t="n">
        <v>98</v>
      </c>
      <c r="B103" s="13" t="inlineStr">
        <is>
          <t>Floor Slabs</t>
        </is>
      </c>
      <c r="C103" s="13" t="inlineStr">
        <is>
          <t>STR-069</t>
        </is>
      </c>
      <c r="D103" s="13" t="inlineStr">
        <is>
          <t>Mezzanine slab - additional top</t>
        </is>
      </c>
      <c r="E103" s="19" t="inlineStr">
        <is>
          <t>1239</t>
        </is>
      </c>
      <c r="F103" s="19" t="n">
        <v>12</v>
      </c>
      <c r="G103" s="19" t="n">
        <v>1</v>
      </c>
      <c r="H103" s="19" t="n">
        <v>207</v>
      </c>
      <c r="I103" s="13">
        <f>G103*H103</f>
        <v>207.0</v>
      </c>
      <c r="J103" s="20">
        <f>3000/1000</f>
        <v>3.0</v>
      </c>
      <c r="K103" s="21">
        <f>I103*J103</f>
        <v>621.0</v>
      </c>
      <c r="L103" s="22">
        <f>F103^2/162</f>
        <v>0.8888888888888888</v>
      </c>
      <c r="M103" s="21">
        <f>K103*L103</f>
        <v>552.0</v>
      </c>
      <c r="N103" s="22">
        <f>M103/1000</f>
        <v>0.552</v>
      </c>
      <c r="O103" s="13" t="inlineStr">
        <is>
          <t>BBS</t>
        </is>
      </c>
    </row>
    <row r="104">
      <c r="A104" s="13" t="n">
        <v>99</v>
      </c>
      <c r="B104" s="13" t="inlineStr">
        <is>
          <t>Floor Slabs</t>
        </is>
      </c>
      <c r="C104" s="13" t="inlineStr">
        <is>
          <t>STR-069</t>
        </is>
      </c>
      <c r="D104" s="13" t="inlineStr">
        <is>
          <t>Mezzanine slab - additional top</t>
        </is>
      </c>
      <c r="E104" s="19" t="inlineStr">
        <is>
          <t>1240</t>
        </is>
      </c>
      <c r="F104" s="19" t="n">
        <v>12</v>
      </c>
      <c r="G104" s="19" t="n">
        <v>1</v>
      </c>
      <c r="H104" s="19" t="n">
        <v>90</v>
      </c>
      <c r="I104" s="13">
        <f>G104*H104</f>
        <v>90.0</v>
      </c>
      <c r="J104" s="20">
        <f>4900/1000</f>
        <v>4.9</v>
      </c>
      <c r="K104" s="21">
        <f>I104*J104</f>
        <v>441.00000000000006</v>
      </c>
      <c r="L104" s="22">
        <f>F104^2/162</f>
        <v>0.8888888888888888</v>
      </c>
      <c r="M104" s="21">
        <f>K104*L104</f>
        <v>392.00000000000006</v>
      </c>
      <c r="N104" s="22">
        <f>M104/1000</f>
        <v>0.39200000000000007</v>
      </c>
      <c r="O104" s="13" t="inlineStr">
        <is>
          <t>BBS</t>
        </is>
      </c>
    </row>
    <row r="105">
      <c r="A105" s="13" t="n">
        <v>100</v>
      </c>
      <c r="B105" s="13" t="inlineStr">
        <is>
          <t>Floor Slabs</t>
        </is>
      </c>
      <c r="C105" s="13" t="inlineStr">
        <is>
          <t>STR-069</t>
        </is>
      </c>
      <c r="D105" s="13" t="inlineStr">
        <is>
          <t>Mezzanine slab - additional top</t>
        </is>
      </c>
      <c r="E105" s="19" t="inlineStr">
        <is>
          <t>1241</t>
        </is>
      </c>
      <c r="F105" s="19" t="n">
        <v>12</v>
      </c>
      <c r="G105" s="19" t="n">
        <v>1</v>
      </c>
      <c r="H105" s="19" t="n">
        <v>98</v>
      </c>
      <c r="I105" s="13">
        <f>G105*H105</f>
        <v>98.0</v>
      </c>
      <c r="J105" s="20">
        <f>6350/1000</f>
        <v>6.35</v>
      </c>
      <c r="K105" s="21">
        <f>I105*J105</f>
        <v>622.3</v>
      </c>
      <c r="L105" s="22">
        <f>F105^2/162</f>
        <v>0.8888888888888888</v>
      </c>
      <c r="M105" s="21">
        <f>K105*L105</f>
        <v>553.1555555555555</v>
      </c>
      <c r="N105" s="22">
        <f>M105/1000</f>
        <v>0.5531555555555554</v>
      </c>
      <c r="O105" s="13" t="inlineStr">
        <is>
          <t>BBS</t>
        </is>
      </c>
    </row>
    <row r="106">
      <c r="A106" s="13" t="n">
        <v>101</v>
      </c>
      <c r="B106" s="13" t="inlineStr">
        <is>
          <t>Staircases</t>
        </is>
      </c>
      <c r="C106" s="13" t="inlineStr">
        <is>
          <t>STR-033</t>
        </is>
      </c>
      <c r="D106" s="13" t="inlineStr">
        <is>
          <t>Emergency staircase typical flight (M1 to 3rd, one storey)</t>
        </is>
      </c>
      <c r="E106" s="19" t="inlineStr">
        <is>
          <t>1201</t>
        </is>
      </c>
      <c r="F106" s="19" t="n">
        <v>12</v>
      </c>
      <c r="G106" s="19" t="n">
        <v>1</v>
      </c>
      <c r="H106" s="19" t="n">
        <v>30</v>
      </c>
      <c r="I106" s="13">
        <f>G106*H106</f>
        <v>30.0</v>
      </c>
      <c r="J106" s="20">
        <f>6200/1000</f>
        <v>6.2</v>
      </c>
      <c r="K106" s="21">
        <f>I106*J106</f>
        <v>186.0</v>
      </c>
      <c r="L106" s="22">
        <f>F106^2/162</f>
        <v>0.8888888888888888</v>
      </c>
      <c r="M106" s="21">
        <f>K106*L106</f>
        <v>165.33333333333331</v>
      </c>
      <c r="N106" s="22">
        <f>M106/1000</f>
        <v>0.1653333333333333</v>
      </c>
      <c r="O106" s="13" t="inlineStr">
        <is>
          <t>BBS</t>
        </is>
      </c>
    </row>
    <row r="107">
      <c r="A107" s="13" t="n">
        <v>102</v>
      </c>
      <c r="B107" s="13" t="inlineStr">
        <is>
          <t>Staircases</t>
        </is>
      </c>
      <c r="C107" s="13" t="inlineStr">
        <is>
          <t>STR-033</t>
        </is>
      </c>
      <c r="D107" s="13" t="inlineStr">
        <is>
          <t>Emergency staircase typical flight (M1 to 3rd, one storey)</t>
        </is>
      </c>
      <c r="E107" s="19" t="inlineStr">
        <is>
          <t>1202</t>
        </is>
      </c>
      <c r="F107" s="19" t="n">
        <v>12</v>
      </c>
      <c r="G107" s="19" t="n">
        <v>1</v>
      </c>
      <c r="H107" s="19" t="n">
        <v>80</v>
      </c>
      <c r="I107" s="13">
        <f>G107*H107</f>
        <v>80.0</v>
      </c>
      <c r="J107" s="20">
        <f>2300/1000</f>
        <v>2.3</v>
      </c>
      <c r="K107" s="21">
        <f>I107*J107</f>
        <v>184.0</v>
      </c>
      <c r="L107" s="22">
        <f>F107^2/162</f>
        <v>0.8888888888888888</v>
      </c>
      <c r="M107" s="21">
        <f>K107*L107</f>
        <v>163.55555555555554</v>
      </c>
      <c r="N107" s="22">
        <f>M107/1000</f>
        <v>0.16355555555555554</v>
      </c>
      <c r="O107" s="13" t="inlineStr">
        <is>
          <t>BBS</t>
        </is>
      </c>
    </row>
    <row r="108">
      <c r="A108" s="13" t="n">
        <v>103</v>
      </c>
      <c r="B108" s="13" t="inlineStr">
        <is>
          <t>Staircases</t>
        </is>
      </c>
      <c r="C108" s="13" t="inlineStr">
        <is>
          <t>STR-033</t>
        </is>
      </c>
      <c r="D108" s="13" t="inlineStr">
        <is>
          <t>Emergency staircase typical flight (M1 to 3rd, one storey)</t>
        </is>
      </c>
      <c r="E108" s="19" t="inlineStr">
        <is>
          <t>1203</t>
        </is>
      </c>
      <c r="F108" s="19" t="n">
        <v>12</v>
      </c>
      <c r="G108" s="19" t="n">
        <v>1</v>
      </c>
      <c r="H108" s="19" t="n">
        <v>26</v>
      </c>
      <c r="I108" s="13">
        <f>G108*H108</f>
        <v>26.0</v>
      </c>
      <c r="J108" s="20">
        <f>4800/1000</f>
        <v>4.8</v>
      </c>
      <c r="K108" s="21">
        <f>I108*J108</f>
        <v>124.8</v>
      </c>
      <c r="L108" s="22">
        <f>F108^2/162</f>
        <v>0.8888888888888888</v>
      </c>
      <c r="M108" s="21">
        <f>K108*L108</f>
        <v>110.93333333333332</v>
      </c>
      <c r="N108" s="22">
        <f>M108/1000</f>
        <v>0.11093333333333333</v>
      </c>
      <c r="O108" s="13" t="inlineStr">
        <is>
          <t>BBS</t>
        </is>
      </c>
    </row>
    <row r="109">
      <c r="A109" s="13" t="n">
        <v>104</v>
      </c>
      <c r="B109" s="13" t="inlineStr">
        <is>
          <t>Staircases</t>
        </is>
      </c>
      <c r="C109" s="13" t="inlineStr">
        <is>
          <t>STR-033</t>
        </is>
      </c>
      <c r="D109" s="13" t="inlineStr">
        <is>
          <t>Emergency staircase typical flight (M1 to 3rd, one storey)</t>
        </is>
      </c>
      <c r="E109" s="19" t="inlineStr">
        <is>
          <t>1601</t>
        </is>
      </c>
      <c r="F109" s="19" t="n">
        <v>16</v>
      </c>
      <c r="G109" s="19" t="n">
        <v>1</v>
      </c>
      <c r="H109" s="19" t="n">
        <v>11</v>
      </c>
      <c r="I109" s="13">
        <f>G109*H109</f>
        <v>11.0</v>
      </c>
      <c r="J109" s="20">
        <f>8175/1000</f>
        <v>8.175</v>
      </c>
      <c r="K109" s="21">
        <f>I109*J109</f>
        <v>89.92500000000001</v>
      </c>
      <c r="L109" s="22">
        <f>F109^2/162</f>
        <v>1.5802469135802468</v>
      </c>
      <c r="M109" s="21">
        <f>K109*L109</f>
        <v>142.1037037037037</v>
      </c>
      <c r="N109" s="22">
        <f>M109/1000</f>
        <v>0.1421037037037037</v>
      </c>
      <c r="O109" s="13" t="inlineStr">
        <is>
          <t>BBS</t>
        </is>
      </c>
    </row>
    <row r="110">
      <c r="A110" s="13" t="n">
        <v>105</v>
      </c>
      <c r="B110" s="13" t="inlineStr">
        <is>
          <t>Staircases</t>
        </is>
      </c>
      <c r="C110" s="13" t="inlineStr">
        <is>
          <t>STR-033</t>
        </is>
      </c>
      <c r="D110" s="13" t="inlineStr">
        <is>
          <t>Emergency staircase typical flight (M1 to 3rd, one storey)</t>
        </is>
      </c>
      <c r="E110" s="19" t="inlineStr">
        <is>
          <t>1602</t>
        </is>
      </c>
      <c r="F110" s="19" t="n">
        <v>16</v>
      </c>
      <c r="G110" s="19" t="n">
        <v>1</v>
      </c>
      <c r="H110" s="19" t="n">
        <v>11</v>
      </c>
      <c r="I110" s="13">
        <f>G110*H110</f>
        <v>11.0</v>
      </c>
      <c r="J110" s="20">
        <f>2650/1000</f>
        <v>2.65</v>
      </c>
      <c r="K110" s="21">
        <f>I110*J110</f>
        <v>29.15</v>
      </c>
      <c r="L110" s="22">
        <f>F110^2/162</f>
        <v>1.5802469135802468</v>
      </c>
      <c r="M110" s="21">
        <f>K110*L110</f>
        <v>46.06419753086419</v>
      </c>
      <c r="N110" s="22">
        <f>M110/1000</f>
        <v>0.046064197530864194</v>
      </c>
      <c r="O110" s="13" t="inlineStr">
        <is>
          <t>BBS</t>
        </is>
      </c>
    </row>
    <row r="111">
      <c r="A111" s="13" t="n">
        <v>106</v>
      </c>
      <c r="B111" s="13" t="inlineStr">
        <is>
          <t>Staircases</t>
        </is>
      </c>
      <c r="C111" s="13" t="inlineStr">
        <is>
          <t>STR-033</t>
        </is>
      </c>
      <c r="D111" s="13" t="inlineStr">
        <is>
          <t>Emergency staircase typical flight (M1 to 3rd, one storey)</t>
        </is>
      </c>
      <c r="E111" s="19" t="inlineStr">
        <is>
          <t>1603</t>
        </is>
      </c>
      <c r="F111" s="19" t="n">
        <v>16</v>
      </c>
      <c r="G111" s="19" t="n">
        <v>1</v>
      </c>
      <c r="H111" s="19" t="n">
        <v>11</v>
      </c>
      <c r="I111" s="13">
        <f>G111*H111</f>
        <v>11.0</v>
      </c>
      <c r="J111" s="20">
        <f>2400/1000</f>
        <v>2.4</v>
      </c>
      <c r="K111" s="21">
        <f>I111*J111</f>
        <v>26.4</v>
      </c>
      <c r="L111" s="22">
        <f>F111^2/162</f>
        <v>1.5802469135802468</v>
      </c>
      <c r="M111" s="21">
        <f>K111*L111</f>
        <v>41.718518518518515</v>
      </c>
      <c r="N111" s="22">
        <f>M111/1000</f>
        <v>0.041718518518518516</v>
      </c>
      <c r="O111" s="13" t="inlineStr">
        <is>
          <t>BBS</t>
        </is>
      </c>
    </row>
    <row r="112">
      <c r="A112" s="13" t="n">
        <v>107</v>
      </c>
      <c r="B112" s="13" t="inlineStr">
        <is>
          <t>Staircases</t>
        </is>
      </c>
      <c r="C112" s="13" t="inlineStr">
        <is>
          <t>STR-033</t>
        </is>
      </c>
      <c r="D112" s="13" t="inlineStr">
        <is>
          <t>Emergency staircase typical flight (M1 to 3rd, one storey)</t>
        </is>
      </c>
      <c r="E112" s="19" t="inlineStr">
        <is>
          <t>1604</t>
        </is>
      </c>
      <c r="F112" s="19" t="n">
        <v>16</v>
      </c>
      <c r="G112" s="19" t="n">
        <v>1</v>
      </c>
      <c r="H112" s="19" t="n">
        <v>11</v>
      </c>
      <c r="I112" s="13">
        <f>G112*H112</f>
        <v>11.0</v>
      </c>
      <c r="J112" s="20">
        <f>4300/1000</f>
        <v>4.3</v>
      </c>
      <c r="K112" s="21">
        <f>I112*J112</f>
        <v>47.3</v>
      </c>
      <c r="L112" s="22">
        <f>F112^2/162</f>
        <v>1.5802469135802468</v>
      </c>
      <c r="M112" s="21">
        <f>K112*L112</f>
        <v>74.74567901234568</v>
      </c>
      <c r="N112" s="22">
        <f>M112/1000</f>
        <v>0.07474567901234568</v>
      </c>
      <c r="O112" s="13" t="inlineStr">
        <is>
          <t>BBS</t>
        </is>
      </c>
    </row>
    <row r="113">
      <c r="A113" s="13" t="n">
        <v>108</v>
      </c>
      <c r="B113" s="13" t="inlineStr">
        <is>
          <t>Staircases</t>
        </is>
      </c>
      <c r="C113" s="13" t="inlineStr">
        <is>
          <t>STR-033</t>
        </is>
      </c>
      <c r="D113" s="13" t="inlineStr">
        <is>
          <t>Emergency staircase typical flight (M1 to 3rd, one storey)</t>
        </is>
      </c>
      <c r="E113" s="19" t="inlineStr">
        <is>
          <t>1605</t>
        </is>
      </c>
      <c r="F113" s="19" t="n">
        <v>16</v>
      </c>
      <c r="G113" s="19" t="n">
        <v>1</v>
      </c>
      <c r="H113" s="19" t="n">
        <v>11</v>
      </c>
      <c r="I113" s="13">
        <f>G113*H113</f>
        <v>11.0</v>
      </c>
      <c r="J113" s="20">
        <f>2100/1000</f>
        <v>2.1</v>
      </c>
      <c r="K113" s="21">
        <f>I113*J113</f>
        <v>23.1</v>
      </c>
      <c r="L113" s="22">
        <f>F113^2/162</f>
        <v>1.5802469135802468</v>
      </c>
      <c r="M113" s="21">
        <f>K113*L113</f>
        <v>36.50370370370371</v>
      </c>
      <c r="N113" s="22">
        <f>M113/1000</f>
        <v>0.036503703703703705</v>
      </c>
      <c r="O113" s="13" t="inlineStr">
        <is>
          <t>BBS</t>
        </is>
      </c>
    </row>
    <row r="114">
      <c r="A114" s="13" t="n">
        <v>109</v>
      </c>
      <c r="B114" s="13" t="inlineStr">
        <is>
          <t>Staircases</t>
        </is>
      </c>
      <c r="C114" s="13" t="inlineStr">
        <is>
          <t>STR-033</t>
        </is>
      </c>
      <c r="D114" s="13" t="inlineStr">
        <is>
          <t>Emergency staircase typical flight (M1 to 3rd, one storey)</t>
        </is>
      </c>
      <c r="E114" s="19" t="inlineStr">
        <is>
          <t>1606</t>
        </is>
      </c>
      <c r="F114" s="19" t="n">
        <v>16</v>
      </c>
      <c r="G114" s="19" t="n">
        <v>1</v>
      </c>
      <c r="H114" s="19" t="n">
        <v>11</v>
      </c>
      <c r="I114" s="13">
        <f>G114*H114</f>
        <v>11.0</v>
      </c>
      <c r="J114" s="20">
        <f>6900/1000</f>
        <v>6.9</v>
      </c>
      <c r="K114" s="21">
        <f>I114*J114</f>
        <v>75.9</v>
      </c>
      <c r="L114" s="22">
        <f>F114^2/162</f>
        <v>1.5802469135802468</v>
      </c>
      <c r="M114" s="21">
        <f>K114*L114</f>
        <v>119.94074074074074</v>
      </c>
      <c r="N114" s="22">
        <f>M114/1000</f>
        <v>0.11994074074074074</v>
      </c>
      <c r="O114" s="13" t="inlineStr">
        <is>
          <t>BBS</t>
        </is>
      </c>
    </row>
    <row r="115">
      <c r="A115" s="13" t="n">
        <v>110</v>
      </c>
      <c r="B115" s="13" t="inlineStr">
        <is>
          <t>Staircases</t>
        </is>
      </c>
      <c r="C115" s="13" t="inlineStr">
        <is>
          <t>STR-033</t>
        </is>
      </c>
      <c r="D115" s="13" t="inlineStr">
        <is>
          <t>Emergency staircase typical flight (M1 to 3rd, one storey)</t>
        </is>
      </c>
      <c r="E115" s="19" t="inlineStr">
        <is>
          <t>1607</t>
        </is>
      </c>
      <c r="F115" s="19" t="n">
        <v>16</v>
      </c>
      <c r="G115" s="19" t="n">
        <v>1</v>
      </c>
      <c r="H115" s="19" t="n">
        <v>11</v>
      </c>
      <c r="I115" s="13">
        <f>G115*H115</f>
        <v>11.0</v>
      </c>
      <c r="J115" s="20">
        <f>4800/1000</f>
        <v>4.8</v>
      </c>
      <c r="K115" s="21">
        <f>I115*J115</f>
        <v>52.8</v>
      </c>
      <c r="L115" s="22">
        <f>F115^2/162</f>
        <v>1.5802469135802468</v>
      </c>
      <c r="M115" s="21">
        <f>K115*L115</f>
        <v>83.43703703703703</v>
      </c>
      <c r="N115" s="22">
        <f>M115/1000</f>
        <v>0.08343703703703703</v>
      </c>
      <c r="O115" s="13" t="inlineStr">
        <is>
          <t>BBS</t>
        </is>
      </c>
    </row>
    <row r="116">
      <c r="A116" s="13" t="n">
        <v>111</v>
      </c>
      <c r="B116" s="13" t="inlineStr">
        <is>
          <t>Staircases</t>
        </is>
      </c>
      <c r="C116" s="13" t="inlineStr">
        <is>
          <t>STR-033</t>
        </is>
      </c>
      <c r="D116" s="13" t="inlineStr">
        <is>
          <t>Emergency staircase typical flight (M1 to 3rd, one storey)</t>
        </is>
      </c>
      <c r="E116" s="19" t="inlineStr">
        <is>
          <t>1608</t>
        </is>
      </c>
      <c r="F116" s="19" t="n">
        <v>16</v>
      </c>
      <c r="G116" s="19" t="n">
        <v>1</v>
      </c>
      <c r="H116" s="19" t="n">
        <v>11</v>
      </c>
      <c r="I116" s="13">
        <f>G116*H116</f>
        <v>11.0</v>
      </c>
      <c r="J116" s="20">
        <f>3400/1000</f>
        <v>3.4</v>
      </c>
      <c r="K116" s="21">
        <f>I116*J116</f>
        <v>37.4</v>
      </c>
      <c r="L116" s="22">
        <f>F116^2/162</f>
        <v>1.5802469135802468</v>
      </c>
      <c r="M116" s="21">
        <f>K116*L116</f>
        <v>59.10123456790123</v>
      </c>
      <c r="N116" s="22">
        <f>M116/1000</f>
        <v>0.05910123456790123</v>
      </c>
      <c r="O116" s="13" t="inlineStr">
        <is>
          <t>BBS</t>
        </is>
      </c>
    </row>
    <row r="117">
      <c r="A117" s="13" t="n">
        <v>112</v>
      </c>
      <c r="B117" s="13" t="inlineStr">
        <is>
          <t>Staircases</t>
        </is>
      </c>
      <c r="C117" s="13" t="inlineStr">
        <is>
          <t>STR-033</t>
        </is>
      </c>
      <c r="D117" s="13" t="inlineStr">
        <is>
          <t>Emergency staircase typical flight (M1 to 3rd, one storey)</t>
        </is>
      </c>
      <c r="E117" s="19" t="inlineStr">
        <is>
          <t>1609</t>
        </is>
      </c>
      <c r="F117" s="19" t="n">
        <v>16</v>
      </c>
      <c r="G117" s="19" t="n">
        <v>1</v>
      </c>
      <c r="H117" s="19" t="n">
        <v>11</v>
      </c>
      <c r="I117" s="13">
        <f>G117*H117</f>
        <v>11.0</v>
      </c>
      <c r="J117" s="20">
        <f>3200/1000</f>
        <v>3.2</v>
      </c>
      <c r="K117" s="21">
        <f>I117*J117</f>
        <v>35.2</v>
      </c>
      <c r="L117" s="22">
        <f>F117^2/162</f>
        <v>1.5802469135802468</v>
      </c>
      <c r="M117" s="21">
        <f>K117*L117</f>
        <v>55.62469135802469</v>
      </c>
      <c r="N117" s="22">
        <f>M117/1000</f>
        <v>0.05562469135802469</v>
      </c>
      <c r="O117" s="13" t="inlineStr">
        <is>
          <t>BBS</t>
        </is>
      </c>
    </row>
    <row r="118">
      <c r="A118" s="13" t="n">
        <v>113</v>
      </c>
      <c r="B118" s="13" t="inlineStr">
        <is>
          <t>Staircases</t>
        </is>
      </c>
      <c r="C118" s="13" t="inlineStr">
        <is>
          <t>STR-033</t>
        </is>
      </c>
      <c r="D118" s="13" t="inlineStr">
        <is>
          <t>Emergency staircase typical flight (M1 to 3rd, one storey)</t>
        </is>
      </c>
      <c r="E118" s="19" t="inlineStr">
        <is>
          <t>1610</t>
        </is>
      </c>
      <c r="F118" s="19" t="n">
        <v>16</v>
      </c>
      <c r="G118" s="19" t="n">
        <v>1</v>
      </c>
      <c r="H118" s="19" t="n">
        <v>11</v>
      </c>
      <c r="I118" s="13">
        <f>G118*H118</f>
        <v>11.0</v>
      </c>
      <c r="J118" s="20">
        <f>2000/1000</f>
        <v>2.0</v>
      </c>
      <c r="K118" s="21">
        <f>I118*J118</f>
        <v>22.0</v>
      </c>
      <c r="L118" s="22">
        <f>F118^2/162</f>
        <v>1.5802469135802468</v>
      </c>
      <c r="M118" s="21">
        <f>K118*L118</f>
        <v>34.76543209876543</v>
      </c>
      <c r="N118" s="22">
        <f>M118/1000</f>
        <v>0.03476543209876543</v>
      </c>
      <c r="O118" s="13" t="inlineStr">
        <is>
          <t>BBS</t>
        </is>
      </c>
    </row>
    <row r="120">
      <c r="D120" s="10" t="inlineStr">
        <is>
          <t>SUMMARY - MEZZANINE FLOOR: ELEMENT BY BAR SIZE (TONNES)</t>
        </is>
      </c>
    </row>
    <row r="121">
      <c r="D121" s="23" t="inlineStr">
        <is>
          <t>Element</t>
        </is>
      </c>
      <c r="E121" s="24" t="n">
        <v>10</v>
      </c>
      <c r="F121" s="24" t="n">
        <v>12</v>
      </c>
      <c r="G121" s="24" t="n">
        <v>16</v>
      </c>
      <c r="H121" s="24" t="n">
        <v>20</v>
      </c>
      <c r="I121" s="24" t="n">
        <v>25</v>
      </c>
      <c r="J121" s="23" t="inlineStr">
        <is>
          <t>Total (t)</t>
        </is>
      </c>
    </row>
    <row r="122">
      <c r="D122" s="13" t="inlineStr">
        <is>
          <t>Raft Foundation</t>
        </is>
      </c>
      <c r="E122" s="25">
        <f>SUMIFS($N$6:$N$118,$B$6:$B$118,$D122,$F$6:$F$118,E$121)</f>
        <v>0.0</v>
      </c>
      <c r="F122" s="25">
        <f>SUMIFS($N$6:$N$118,$B$6:$B$118,$D122,$F$6:$F$118,F$121)</f>
        <v>0.0</v>
      </c>
      <c r="G122" s="25">
        <f>SUMIFS($N$6:$N$118,$B$6:$B$118,$D122,$F$6:$F$118,G$121)</f>
        <v>0.0</v>
      </c>
      <c r="H122" s="25">
        <f>SUMIFS($N$6:$N$118,$B$6:$B$118,$D122,$F$6:$F$118,H$121)</f>
        <v>0.0</v>
      </c>
      <c r="I122" s="25">
        <f>SUMIFS($N$6:$N$118,$B$6:$B$118,$D122,$F$6:$F$118,I$121)</f>
        <v>0.0</v>
      </c>
      <c r="J122" s="17">
        <f>SUM(E122:I122)</f>
        <v>0.0</v>
      </c>
    </row>
    <row r="123">
      <c r="D123" s="13" t="inlineStr">
        <is>
          <t>Columns</t>
        </is>
      </c>
      <c r="E123" s="25">
        <f>SUMIFS($N$6:$N$118,$B$6:$B$118,$D123,$F$6:$F$118,E$121)</f>
        <v>1.656320987654321</v>
      </c>
      <c r="F123" s="25">
        <f>SUMIFS($N$6:$N$118,$B$6:$B$118,$D123,$F$6:$F$118,F$121)</f>
        <v>0.0</v>
      </c>
      <c r="G123" s="25">
        <f>SUMIFS($N$6:$N$118,$B$6:$B$118,$D123,$F$6:$F$118,G$121)</f>
        <v>0.0</v>
      </c>
      <c r="H123" s="25">
        <f>SUMIFS($N$6:$N$118,$B$6:$B$118,$D123,$F$6:$F$118,H$121)</f>
        <v>3.165925925925926</v>
      </c>
      <c r="I123" s="25">
        <f>SUMIFS($N$6:$N$118,$B$6:$B$118,$D123,$F$6:$F$118,I$121)</f>
        <v>0.0</v>
      </c>
      <c r="J123" s="17">
        <f>SUM(E123:I123)</f>
        <v>4.822246913580247</v>
      </c>
    </row>
    <row r="124">
      <c r="D124" s="13" t="inlineStr">
        <is>
          <t>Shear Walls</t>
        </is>
      </c>
      <c r="E124" s="25">
        <f>SUMIFS($N$6:$N$118,$B$6:$B$118,$D124,$F$6:$F$118,E$121)</f>
        <v>0.7333333333333333</v>
      </c>
      <c r="F124" s="25">
        <f>SUMIFS($N$6:$N$118,$B$6:$B$118,$D124,$F$6:$F$118,F$121)</f>
        <v>0.9392</v>
      </c>
      <c r="G124" s="25">
        <f>SUMIFS($N$6:$N$118,$B$6:$B$118,$D124,$F$6:$F$118,G$121)</f>
        <v>0.0</v>
      </c>
      <c r="H124" s="25">
        <f>SUMIFS($N$6:$N$118,$B$6:$B$118,$D124,$F$6:$F$118,H$121)</f>
        <v>0.0</v>
      </c>
      <c r="I124" s="25">
        <f>SUMIFS($N$6:$N$118,$B$6:$B$118,$D124,$F$6:$F$118,I$121)</f>
        <v>5.617283950617282</v>
      </c>
      <c r="J124" s="17">
        <f>SUM(E124:I124)</f>
        <v>7.289817283950615</v>
      </c>
    </row>
    <row r="125">
      <c r="D125" s="13" t="inlineStr">
        <is>
          <t>Lift Walls</t>
        </is>
      </c>
      <c r="E125" s="25">
        <f>SUMIFS($N$6:$N$118,$B$6:$B$118,$D125,$F$6:$F$118,E$121)</f>
        <v>0.0</v>
      </c>
      <c r="F125" s="25">
        <f>SUMIFS($N$6:$N$118,$B$6:$B$118,$D125,$F$6:$F$118,F$121)</f>
        <v>0.0</v>
      </c>
      <c r="G125" s="25">
        <f>SUMIFS($N$6:$N$118,$B$6:$B$118,$D125,$F$6:$F$118,G$121)</f>
        <v>0.0</v>
      </c>
      <c r="H125" s="25">
        <f>SUMIFS($N$6:$N$118,$B$6:$B$118,$D125,$F$6:$F$118,H$121)</f>
        <v>0.0</v>
      </c>
      <c r="I125" s="25">
        <f>SUMIFS($N$6:$N$118,$B$6:$B$118,$D125,$F$6:$F$118,I$121)</f>
        <v>0.0</v>
      </c>
      <c r="J125" s="17">
        <f>SUM(E125:I125)</f>
        <v>0.0</v>
      </c>
    </row>
    <row r="126">
      <c r="D126" s="13" t="inlineStr">
        <is>
          <t>Retaining / Ramp Walls</t>
        </is>
      </c>
      <c r="E126" s="25">
        <f>SUMIFS($N$6:$N$118,$B$6:$B$118,$D126,$F$6:$F$118,E$121)</f>
        <v>0.0</v>
      </c>
      <c r="F126" s="25">
        <f>SUMIFS($N$6:$N$118,$B$6:$B$118,$D126,$F$6:$F$118,F$121)</f>
        <v>0.0</v>
      </c>
      <c r="G126" s="25">
        <f>SUMIFS($N$6:$N$118,$B$6:$B$118,$D126,$F$6:$F$118,G$121)</f>
        <v>0.0</v>
      </c>
      <c r="H126" s="25">
        <f>SUMIFS($N$6:$N$118,$B$6:$B$118,$D126,$F$6:$F$118,H$121)</f>
        <v>0.0</v>
      </c>
      <c r="I126" s="25">
        <f>SUMIFS($N$6:$N$118,$B$6:$B$118,$D126,$F$6:$F$118,I$121)</f>
        <v>0.0</v>
      </c>
      <c r="J126" s="17">
        <f>SUM(E126:I126)</f>
        <v>0.0</v>
      </c>
    </row>
    <row r="127">
      <c r="D127" s="13" t="inlineStr">
        <is>
          <t>Beams</t>
        </is>
      </c>
      <c r="E127" s="25">
        <f>SUMIFS($N$6:$N$118,$B$6:$B$118,$D127,$F$6:$F$118,E$121)</f>
        <v>0.5792592592592593</v>
      </c>
      <c r="F127" s="25">
        <f>SUMIFS($N$6:$N$118,$B$6:$B$118,$D127,$F$6:$F$118,F$121)</f>
        <v>0.0</v>
      </c>
      <c r="G127" s="25">
        <f>SUMIFS($N$6:$N$118,$B$6:$B$118,$D127,$F$6:$F$118,G$121)</f>
        <v>0.4063604938271605</v>
      </c>
      <c r="H127" s="25">
        <f>SUMIFS($N$6:$N$118,$B$6:$B$118,$D127,$F$6:$F$118,H$121)</f>
        <v>1.1707407407407406</v>
      </c>
      <c r="I127" s="25">
        <f>SUMIFS($N$6:$N$118,$B$6:$B$118,$D127,$F$6:$F$118,I$121)</f>
        <v>0.8851273148148148</v>
      </c>
      <c r="J127" s="17">
        <f>SUM(E127:I127)</f>
        <v>3.041487808641975</v>
      </c>
    </row>
    <row r="128">
      <c r="D128" s="13" t="inlineStr">
        <is>
          <t>Floor Slabs</t>
        </is>
      </c>
      <c r="E128" s="25">
        <f>SUMIFS($N$6:$N$118,$B$6:$B$118,$D128,$F$6:$F$118,E$121)</f>
        <v>0.0</v>
      </c>
      <c r="F128" s="25">
        <f>SUMIFS($N$6:$N$118,$B$6:$B$118,$D128,$F$6:$F$118,F$121)</f>
        <v>33.92935555555555</v>
      </c>
      <c r="G128" s="25">
        <f>SUMIFS($N$6:$N$118,$B$6:$B$118,$D128,$F$6:$F$118,G$121)</f>
        <v>0.0</v>
      </c>
      <c r="H128" s="25">
        <f>SUMIFS($N$6:$N$118,$B$6:$B$118,$D128,$F$6:$F$118,H$121)</f>
        <v>0.0</v>
      </c>
      <c r="I128" s="25">
        <f>SUMIFS($N$6:$N$118,$B$6:$B$118,$D128,$F$6:$F$118,I$121)</f>
        <v>0.0</v>
      </c>
      <c r="J128" s="17">
        <f>SUM(E128:I128)</f>
        <v>33.92935555555555</v>
      </c>
    </row>
    <row r="129">
      <c r="D129" s="13" t="inlineStr">
        <is>
          <t>Staircases</t>
        </is>
      </c>
      <c r="E129" s="25">
        <f>SUMIFS($N$6:$N$118,$B$6:$B$118,$D129,$F$6:$F$118,E$121)</f>
        <v>0.0</v>
      </c>
      <c r="F129" s="25">
        <f>SUMIFS($N$6:$N$118,$B$6:$B$118,$D129,$F$6:$F$118,F$121)</f>
        <v>0.43982222222222217</v>
      </c>
      <c r="G129" s="25">
        <f>SUMIFS($N$6:$N$118,$B$6:$B$118,$D129,$F$6:$F$118,G$121)</f>
        <v>0.694004938271605</v>
      </c>
      <c r="H129" s="25">
        <f>SUMIFS($N$6:$N$118,$B$6:$B$118,$D129,$F$6:$F$118,H$121)</f>
        <v>0.0</v>
      </c>
      <c r="I129" s="25">
        <f>SUMIFS($N$6:$N$118,$B$6:$B$118,$D129,$F$6:$F$118,I$121)</f>
        <v>0.0</v>
      </c>
      <c r="J129" s="17">
        <f>SUM(E129:I129)</f>
        <v>1.1338271604938273</v>
      </c>
    </row>
    <row r="130">
      <c r="D130" s="13" t="inlineStr">
        <is>
          <t>Lift Core Roof Slab</t>
        </is>
      </c>
      <c r="E130" s="25">
        <f>SUMIFS($N$6:$N$118,$B$6:$B$118,$D130,$F$6:$F$118,E$121)</f>
        <v>0.0</v>
      </c>
      <c r="F130" s="25">
        <f>SUMIFS($N$6:$N$118,$B$6:$B$118,$D130,$F$6:$F$118,F$121)</f>
        <v>0.0</v>
      </c>
      <c r="G130" s="25">
        <f>SUMIFS($N$6:$N$118,$B$6:$B$118,$D130,$F$6:$F$118,G$121)</f>
        <v>0.0</v>
      </c>
      <c r="H130" s="25">
        <f>SUMIFS($N$6:$N$118,$B$6:$B$118,$D130,$F$6:$F$118,H$121)</f>
        <v>0.0</v>
      </c>
      <c r="I130" s="25">
        <f>SUMIFS($N$6:$N$118,$B$6:$B$118,$D130,$F$6:$F$118,I$121)</f>
        <v>0.0</v>
      </c>
      <c r="J130" s="17">
        <f>SUM(E130:I130)</f>
        <v>0.0</v>
      </c>
    </row>
    <row r="131">
      <c r="D131" s="16" t="inlineStr">
        <is>
          <t>TOTAL - MEZZANINE FLOOR</t>
        </is>
      </c>
      <c r="E131" s="26">
        <f>SUM(E122:E130)</f>
        <v>2.9689135802469138</v>
      </c>
      <c r="F131" s="26">
        <f>SUM(F122:F130)</f>
        <v>35.30837777777777</v>
      </c>
      <c r="G131" s="26">
        <f>SUM(G122:G130)</f>
        <v>1.1003654320987655</v>
      </c>
      <c r="H131" s="26">
        <f>SUM(H122:H130)</f>
        <v>4.336666666666666</v>
      </c>
      <c r="I131" s="26">
        <f>SUM(I122:I130)</f>
        <v>6.502411265432097</v>
      </c>
      <c r="J131" s="26">
        <f>SUM(J122:J130)</f>
        <v>50.21673472222222</v>
      </c>
      <c r="K131" s="7" t="inlineStr">
        <is>
          <t>Check vs detail (should be 0):</t>
        </is>
      </c>
      <c r="N131" s="7">
        <f>ROUND(SUM(N6:N118)-J131,6)</f>
        <v>0.0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O243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THIRD FLOOR (+10900)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STR-007</t>
        </is>
      </c>
      <c r="D6" s="13" t="inlineStr">
        <is>
          <t>COL-01A (5 nos) 3rd to 4th - links</t>
        </is>
      </c>
      <c r="E6" s="19" t="inlineStr">
        <is>
          <t>1001</t>
        </is>
      </c>
      <c r="F6" s="19" t="n">
        <v>10</v>
      </c>
      <c r="G6" s="19" t="n">
        <v>5</v>
      </c>
      <c r="H6" s="19" t="n">
        <v>30</v>
      </c>
      <c r="I6" s="13">
        <f>G6*H6</f>
        <v>150.0</v>
      </c>
      <c r="J6" s="20">
        <f>2330/1000</f>
        <v>2.33</v>
      </c>
      <c r="K6" s="21">
        <f>I6*J6</f>
        <v>349.5</v>
      </c>
      <c r="L6" s="22">
        <f>F6^2/162</f>
        <v>0.6172839506172839</v>
      </c>
      <c r="M6" s="21">
        <f>K6*L6</f>
        <v>215.74074074074073</v>
      </c>
      <c r="N6" s="22">
        <f>M6/1000</f>
        <v>0.21574074074074073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STR-007</t>
        </is>
      </c>
      <c r="D7" s="13" t="inlineStr">
        <is>
          <t>COL-01A (5 nos) 3rd to 4th - links</t>
        </is>
      </c>
      <c r="E7" s="19" t="inlineStr">
        <is>
          <t>1002</t>
        </is>
      </c>
      <c r="F7" s="19" t="n">
        <v>10</v>
      </c>
      <c r="G7" s="19" t="n">
        <v>5</v>
      </c>
      <c r="H7" s="19" t="n">
        <v>60</v>
      </c>
      <c r="I7" s="13">
        <f>G7*H7</f>
        <v>300.0</v>
      </c>
      <c r="J7" s="20">
        <f>1330/1000</f>
        <v>1.33</v>
      </c>
      <c r="K7" s="21">
        <f>I7*J7</f>
        <v>399.0</v>
      </c>
      <c r="L7" s="22">
        <f>F7^2/162</f>
        <v>0.6172839506172839</v>
      </c>
      <c r="M7" s="21">
        <f>K7*L7</f>
        <v>246.29629629629628</v>
      </c>
      <c r="N7" s="22">
        <f>M7/1000</f>
        <v>0.24629629629629626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STR-007</t>
        </is>
      </c>
      <c r="D8" s="13" t="inlineStr">
        <is>
          <t>COL-01A (5 nos) 3rd to 4th - links</t>
        </is>
      </c>
      <c r="E8" s="19" t="inlineStr">
        <is>
          <t>1003</t>
        </is>
      </c>
      <c r="F8" s="19" t="n">
        <v>10</v>
      </c>
      <c r="G8" s="19" t="n">
        <v>5</v>
      </c>
      <c r="H8" s="19" t="n">
        <v>30</v>
      </c>
      <c r="I8" s="13">
        <f>G8*H8</f>
        <v>150.0</v>
      </c>
      <c r="J8" s="20">
        <f>1830/1000</f>
        <v>1.83</v>
      </c>
      <c r="K8" s="21">
        <f>I8*J8</f>
        <v>274.5</v>
      </c>
      <c r="L8" s="22">
        <f>F8^2/162</f>
        <v>0.6172839506172839</v>
      </c>
      <c r="M8" s="21">
        <f>K8*L8</f>
        <v>169.44444444444443</v>
      </c>
      <c r="N8" s="22">
        <f>M8/1000</f>
        <v>0.16944444444444443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STR-007</t>
        </is>
      </c>
      <c r="D9" s="13" t="inlineStr">
        <is>
          <t>COL-01A (5 nos) 3rd to 4th - main bars</t>
        </is>
      </c>
      <c r="E9" s="19" t="inlineStr">
        <is>
          <t>2001</t>
        </is>
      </c>
      <c r="F9" s="19" t="n">
        <v>20</v>
      </c>
      <c r="G9" s="19" t="n">
        <v>5</v>
      </c>
      <c r="H9" s="19" t="n">
        <v>16</v>
      </c>
      <c r="I9" s="13">
        <f>G9*H9</f>
        <v>80.0</v>
      </c>
      <c r="J9" s="20">
        <f>4500/1000</f>
        <v>4.5</v>
      </c>
      <c r="K9" s="21">
        <f>I9*J9</f>
        <v>360.0</v>
      </c>
      <c r="L9" s="22">
        <f>F9^2/162</f>
        <v>2.4691358024691357</v>
      </c>
      <c r="M9" s="21">
        <f>K9*L9</f>
        <v>888.8888888888888</v>
      </c>
      <c r="N9" s="22">
        <f>M9/1000</f>
        <v>0.8888888888888888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STR-007</t>
        </is>
      </c>
      <c r="D10" s="13" t="inlineStr">
        <is>
          <t>COL-01B (1 nos) 3rd to 4th - links</t>
        </is>
      </c>
      <c r="E10" s="19" t="inlineStr">
        <is>
          <t>1001</t>
        </is>
      </c>
      <c r="F10" s="19" t="n">
        <v>10</v>
      </c>
      <c r="G10" s="19" t="n">
        <v>1</v>
      </c>
      <c r="H10" s="19" t="n">
        <v>30</v>
      </c>
      <c r="I10" s="13">
        <f>G10*H10</f>
        <v>30.0</v>
      </c>
      <c r="J10" s="20">
        <f>2330/1000</f>
        <v>2.33</v>
      </c>
      <c r="K10" s="21">
        <f>I10*J10</f>
        <v>69.9</v>
      </c>
      <c r="L10" s="22">
        <f>F10^2/162</f>
        <v>0.6172839506172839</v>
      </c>
      <c r="M10" s="21">
        <f>K10*L10</f>
        <v>43.14814814814815</v>
      </c>
      <c r="N10" s="22">
        <f>M10/1000</f>
        <v>0.04314814814814815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STR-007</t>
        </is>
      </c>
      <c r="D11" s="13" t="inlineStr">
        <is>
          <t>COL-01B (1 nos) 3rd to 4th - links</t>
        </is>
      </c>
      <c r="E11" s="19" t="inlineStr">
        <is>
          <t>1002</t>
        </is>
      </c>
      <c r="F11" s="19" t="n">
        <v>10</v>
      </c>
      <c r="G11" s="19" t="n">
        <v>1</v>
      </c>
      <c r="H11" s="19" t="n">
        <v>60</v>
      </c>
      <c r="I11" s="13">
        <f>G11*H11</f>
        <v>60.0</v>
      </c>
      <c r="J11" s="20">
        <f>1330/1000</f>
        <v>1.33</v>
      </c>
      <c r="K11" s="21">
        <f>I11*J11</f>
        <v>79.80000000000001</v>
      </c>
      <c r="L11" s="22">
        <f>F11^2/162</f>
        <v>0.6172839506172839</v>
      </c>
      <c r="M11" s="21">
        <f>K11*L11</f>
        <v>49.25925925925927</v>
      </c>
      <c r="N11" s="22">
        <f>M11/1000</f>
        <v>0.049259259259259267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STR-007</t>
        </is>
      </c>
      <c r="D12" s="13" t="inlineStr">
        <is>
          <t>COL-01B (1 nos) 3rd to 4th - links</t>
        </is>
      </c>
      <c r="E12" s="19" t="inlineStr">
        <is>
          <t>1003</t>
        </is>
      </c>
      <c r="F12" s="19" t="n">
        <v>10</v>
      </c>
      <c r="G12" s="19" t="n">
        <v>1</v>
      </c>
      <c r="H12" s="19" t="n">
        <v>30</v>
      </c>
      <c r="I12" s="13">
        <f>G12*H12</f>
        <v>30.0</v>
      </c>
      <c r="J12" s="20">
        <f>1830/1000</f>
        <v>1.83</v>
      </c>
      <c r="K12" s="21">
        <f>I12*J12</f>
        <v>54.900000000000006</v>
      </c>
      <c r="L12" s="22">
        <f>F12^2/162</f>
        <v>0.6172839506172839</v>
      </c>
      <c r="M12" s="21">
        <f>K12*L12</f>
        <v>33.88888888888889</v>
      </c>
      <c r="N12" s="22">
        <f>M12/1000</f>
        <v>0.03388888888888889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Columns</t>
        </is>
      </c>
      <c r="C13" s="13" t="inlineStr">
        <is>
          <t>STR-007</t>
        </is>
      </c>
      <c r="D13" s="13" t="inlineStr">
        <is>
          <t>COL-01B (1 nos) 3rd to 4th - main bars</t>
        </is>
      </c>
      <c r="E13" s="19" t="inlineStr">
        <is>
          <t>2001</t>
        </is>
      </c>
      <c r="F13" s="19" t="n">
        <v>20</v>
      </c>
      <c r="G13" s="19" t="n">
        <v>1</v>
      </c>
      <c r="H13" s="19" t="n">
        <v>16</v>
      </c>
      <c r="I13" s="13">
        <f>G13*H13</f>
        <v>16.0</v>
      </c>
      <c r="J13" s="20">
        <f>4500/1000</f>
        <v>4.5</v>
      </c>
      <c r="K13" s="21">
        <f>I13*J13</f>
        <v>72.0</v>
      </c>
      <c r="L13" s="22">
        <f>F13^2/162</f>
        <v>2.4691358024691357</v>
      </c>
      <c r="M13" s="21">
        <f>K13*L13</f>
        <v>177.77777777777777</v>
      </c>
      <c r="N13" s="22">
        <f>M13/1000</f>
        <v>0.17777777777777778</v>
      </c>
      <c r="O13" s="13" t="inlineStr">
        <is>
          <t>Elevation + BBS length</t>
        </is>
      </c>
    </row>
    <row r="14">
      <c r="A14" s="13" t="n">
        <v>9</v>
      </c>
      <c r="B14" s="13" t="inlineStr">
        <is>
          <t>Columns</t>
        </is>
      </c>
      <c r="C14" s="13" t="inlineStr">
        <is>
          <t>STR-008</t>
        </is>
      </c>
      <c r="D14" s="13" t="inlineStr">
        <is>
          <t>COL-01C (2 nos) 3rd to 4th - links</t>
        </is>
      </c>
      <c r="E14" s="19" t="inlineStr">
        <is>
          <t>1001</t>
        </is>
      </c>
      <c r="F14" s="19" t="n">
        <v>10</v>
      </c>
      <c r="G14" s="19" t="n">
        <v>2</v>
      </c>
      <c r="H14" s="19" t="n">
        <v>30</v>
      </c>
      <c r="I14" s="13">
        <f>G14*H14</f>
        <v>60.0</v>
      </c>
      <c r="J14" s="20">
        <f>2330/1000</f>
        <v>2.33</v>
      </c>
      <c r="K14" s="21">
        <f>I14*J14</f>
        <v>139.8</v>
      </c>
      <c r="L14" s="22">
        <f>F14^2/162</f>
        <v>0.6172839506172839</v>
      </c>
      <c r="M14" s="21">
        <f>K14*L14</f>
        <v>86.2962962962963</v>
      </c>
      <c r="N14" s="22">
        <f>M14/1000</f>
        <v>0.0862962962962963</v>
      </c>
      <c r="O14" s="13" t="inlineStr">
        <is>
          <t>Elevation + BBS length</t>
        </is>
      </c>
    </row>
    <row r="15">
      <c r="A15" s="13" t="n">
        <v>10</v>
      </c>
      <c r="B15" s="13" t="inlineStr">
        <is>
          <t>Columns</t>
        </is>
      </c>
      <c r="C15" s="13" t="inlineStr">
        <is>
          <t>STR-008</t>
        </is>
      </c>
      <c r="D15" s="13" t="inlineStr">
        <is>
          <t>COL-01C (2 nos) 3rd to 4th - links</t>
        </is>
      </c>
      <c r="E15" s="19" t="inlineStr">
        <is>
          <t>1002</t>
        </is>
      </c>
      <c r="F15" s="19" t="n">
        <v>10</v>
      </c>
      <c r="G15" s="19" t="n">
        <v>2</v>
      </c>
      <c r="H15" s="19" t="n">
        <v>60</v>
      </c>
      <c r="I15" s="13">
        <f>G15*H15</f>
        <v>120.0</v>
      </c>
      <c r="J15" s="20">
        <f>1330/1000</f>
        <v>1.33</v>
      </c>
      <c r="K15" s="21">
        <f>I15*J15</f>
        <v>159.60000000000002</v>
      </c>
      <c r="L15" s="22">
        <f>F15^2/162</f>
        <v>0.6172839506172839</v>
      </c>
      <c r="M15" s="21">
        <f>K15*L15</f>
        <v>98.51851851851853</v>
      </c>
      <c r="N15" s="22">
        <f>M15/1000</f>
        <v>0.09851851851851853</v>
      </c>
      <c r="O15" s="13" t="inlineStr">
        <is>
          <t>Elevation + BBS length</t>
        </is>
      </c>
    </row>
    <row r="16">
      <c r="A16" s="13" t="n">
        <v>11</v>
      </c>
      <c r="B16" s="13" t="inlineStr">
        <is>
          <t>Columns</t>
        </is>
      </c>
      <c r="C16" s="13" t="inlineStr">
        <is>
          <t>STR-008</t>
        </is>
      </c>
      <c r="D16" s="13" t="inlineStr">
        <is>
          <t>COL-01C (2 nos) 3rd to 4th - links</t>
        </is>
      </c>
      <c r="E16" s="19" t="inlineStr">
        <is>
          <t>1003</t>
        </is>
      </c>
      <c r="F16" s="19" t="n">
        <v>10</v>
      </c>
      <c r="G16" s="19" t="n">
        <v>2</v>
      </c>
      <c r="H16" s="19" t="n">
        <v>30</v>
      </c>
      <c r="I16" s="13">
        <f>G16*H16</f>
        <v>60.0</v>
      </c>
      <c r="J16" s="20">
        <f>1830/1000</f>
        <v>1.83</v>
      </c>
      <c r="K16" s="21">
        <f>I16*J16</f>
        <v>109.80000000000001</v>
      </c>
      <c r="L16" s="22">
        <f>F16^2/162</f>
        <v>0.6172839506172839</v>
      </c>
      <c r="M16" s="21">
        <f>K16*L16</f>
        <v>67.77777777777779</v>
      </c>
      <c r="N16" s="22">
        <f>M16/1000</f>
        <v>0.06777777777777778</v>
      </c>
      <c r="O16" s="13" t="inlineStr">
        <is>
          <t>Elevation + BBS length</t>
        </is>
      </c>
    </row>
    <row r="17">
      <c r="A17" s="13" t="n">
        <v>12</v>
      </c>
      <c r="B17" s="13" t="inlineStr">
        <is>
          <t>Columns</t>
        </is>
      </c>
      <c r="C17" s="13" t="inlineStr">
        <is>
          <t>STR-008</t>
        </is>
      </c>
      <c r="D17" s="13" t="inlineStr">
        <is>
          <t>COL-01C (2 nos) 3rd to 4th - main bars</t>
        </is>
      </c>
      <c r="E17" s="19" t="inlineStr">
        <is>
          <t>2001</t>
        </is>
      </c>
      <c r="F17" s="19" t="n">
        <v>20</v>
      </c>
      <c r="G17" s="19" t="n">
        <v>2</v>
      </c>
      <c r="H17" s="19" t="n">
        <v>16</v>
      </c>
      <c r="I17" s="13">
        <f>G17*H17</f>
        <v>32.0</v>
      </c>
      <c r="J17" s="20">
        <f>4500/1000</f>
        <v>4.5</v>
      </c>
      <c r="K17" s="21">
        <f>I17*J17</f>
        <v>144.0</v>
      </c>
      <c r="L17" s="22">
        <f>F17^2/162</f>
        <v>2.4691358024691357</v>
      </c>
      <c r="M17" s="21">
        <f>K17*L17</f>
        <v>355.55555555555554</v>
      </c>
      <c r="N17" s="22">
        <f>M17/1000</f>
        <v>0.35555555555555557</v>
      </c>
      <c r="O17" s="13" t="inlineStr">
        <is>
          <t>Elevation + BBS length</t>
        </is>
      </c>
    </row>
    <row r="18">
      <c r="A18" s="13" t="n">
        <v>13</v>
      </c>
      <c r="B18" s="13" t="inlineStr">
        <is>
          <t>Columns</t>
        </is>
      </c>
      <c r="C18" s="13" t="inlineStr">
        <is>
          <t>STR-008</t>
        </is>
      </c>
      <c r="D18" s="13" t="inlineStr">
        <is>
          <t>COL-01D (1 nos) 3rd to 4th - links</t>
        </is>
      </c>
      <c r="E18" s="19" t="inlineStr">
        <is>
          <t>1001</t>
        </is>
      </c>
      <c r="F18" s="19" t="n">
        <v>10</v>
      </c>
      <c r="G18" s="19" t="n">
        <v>1</v>
      </c>
      <c r="H18" s="19" t="n">
        <v>30</v>
      </c>
      <c r="I18" s="13">
        <f>G18*H18</f>
        <v>30.0</v>
      </c>
      <c r="J18" s="20">
        <f>2330/1000</f>
        <v>2.33</v>
      </c>
      <c r="K18" s="21">
        <f>I18*J18</f>
        <v>69.9</v>
      </c>
      <c r="L18" s="22">
        <f>F18^2/162</f>
        <v>0.6172839506172839</v>
      </c>
      <c r="M18" s="21">
        <f>K18*L18</f>
        <v>43.14814814814815</v>
      </c>
      <c r="N18" s="22">
        <f>M18/1000</f>
        <v>0.04314814814814815</v>
      </c>
      <c r="O18" s="13" t="inlineStr">
        <is>
          <t>Elevation + BBS length</t>
        </is>
      </c>
    </row>
    <row r="19">
      <c r="A19" s="13" t="n">
        <v>14</v>
      </c>
      <c r="B19" s="13" t="inlineStr">
        <is>
          <t>Columns</t>
        </is>
      </c>
      <c r="C19" s="13" t="inlineStr">
        <is>
          <t>STR-008</t>
        </is>
      </c>
      <c r="D19" s="13" t="inlineStr">
        <is>
          <t>COL-01D (1 nos) 3rd to 4th - links</t>
        </is>
      </c>
      <c r="E19" s="19" t="inlineStr">
        <is>
          <t>1002</t>
        </is>
      </c>
      <c r="F19" s="19" t="n">
        <v>10</v>
      </c>
      <c r="G19" s="19" t="n">
        <v>1</v>
      </c>
      <c r="H19" s="19" t="n">
        <v>60</v>
      </c>
      <c r="I19" s="13">
        <f>G19*H19</f>
        <v>60.0</v>
      </c>
      <c r="J19" s="20">
        <f>1330/1000</f>
        <v>1.33</v>
      </c>
      <c r="K19" s="21">
        <f>I19*J19</f>
        <v>79.80000000000001</v>
      </c>
      <c r="L19" s="22">
        <f>F19^2/162</f>
        <v>0.6172839506172839</v>
      </c>
      <c r="M19" s="21">
        <f>K19*L19</f>
        <v>49.25925925925927</v>
      </c>
      <c r="N19" s="22">
        <f>M19/1000</f>
        <v>0.049259259259259267</v>
      </c>
      <c r="O19" s="13" t="inlineStr">
        <is>
          <t>Elevation + BBS length</t>
        </is>
      </c>
    </row>
    <row r="20">
      <c r="A20" s="13" t="n">
        <v>15</v>
      </c>
      <c r="B20" s="13" t="inlineStr">
        <is>
          <t>Columns</t>
        </is>
      </c>
      <c r="C20" s="13" t="inlineStr">
        <is>
          <t>STR-008</t>
        </is>
      </c>
      <c r="D20" s="13" t="inlineStr">
        <is>
          <t>COL-01D (1 nos) 3rd to 4th - links</t>
        </is>
      </c>
      <c r="E20" s="19" t="inlineStr">
        <is>
          <t>1003</t>
        </is>
      </c>
      <c r="F20" s="19" t="n">
        <v>10</v>
      </c>
      <c r="G20" s="19" t="n">
        <v>1</v>
      </c>
      <c r="H20" s="19" t="n">
        <v>30</v>
      </c>
      <c r="I20" s="13">
        <f>G20*H20</f>
        <v>30.0</v>
      </c>
      <c r="J20" s="20">
        <f>1830/1000</f>
        <v>1.83</v>
      </c>
      <c r="K20" s="21">
        <f>I20*J20</f>
        <v>54.900000000000006</v>
      </c>
      <c r="L20" s="22">
        <f>F20^2/162</f>
        <v>0.6172839506172839</v>
      </c>
      <c r="M20" s="21">
        <f>K20*L20</f>
        <v>33.88888888888889</v>
      </c>
      <c r="N20" s="22">
        <f>M20/1000</f>
        <v>0.03388888888888889</v>
      </c>
      <c r="O20" s="13" t="inlineStr">
        <is>
          <t>Elevation + BBS length</t>
        </is>
      </c>
    </row>
    <row r="21">
      <c r="A21" s="13" t="n">
        <v>16</v>
      </c>
      <c r="B21" s="13" t="inlineStr">
        <is>
          <t>Columns</t>
        </is>
      </c>
      <c r="C21" s="13" t="inlineStr">
        <is>
          <t>STR-008</t>
        </is>
      </c>
      <c r="D21" s="13" t="inlineStr">
        <is>
          <t>COL-01D (1 nos) 3rd to 4th - main bars</t>
        </is>
      </c>
      <c r="E21" s="19" t="inlineStr">
        <is>
          <t>2001</t>
        </is>
      </c>
      <c r="F21" s="19" t="n">
        <v>20</v>
      </c>
      <c r="G21" s="19" t="n">
        <v>1</v>
      </c>
      <c r="H21" s="19" t="n">
        <v>16</v>
      </c>
      <c r="I21" s="13">
        <f>G21*H21</f>
        <v>16.0</v>
      </c>
      <c r="J21" s="20">
        <f>4500/1000</f>
        <v>4.5</v>
      </c>
      <c r="K21" s="21">
        <f>I21*J21</f>
        <v>72.0</v>
      </c>
      <c r="L21" s="22">
        <f>F21^2/162</f>
        <v>2.4691358024691357</v>
      </c>
      <c r="M21" s="21">
        <f>K21*L21</f>
        <v>177.77777777777777</v>
      </c>
      <c r="N21" s="22">
        <f>M21/1000</f>
        <v>0.17777777777777778</v>
      </c>
      <c r="O21" s="13" t="inlineStr">
        <is>
          <t>Elevation + BBS length</t>
        </is>
      </c>
    </row>
    <row r="22">
      <c r="A22" s="13" t="n">
        <v>17</v>
      </c>
      <c r="B22" s="13" t="inlineStr">
        <is>
          <t>Columns</t>
        </is>
      </c>
      <c r="C22" s="13" t="inlineStr">
        <is>
          <t>STR-010</t>
        </is>
      </c>
      <c r="D22" s="13" t="inlineStr">
        <is>
          <t>COL-02A (3 nos) 3rd to 4th - links</t>
        </is>
      </c>
      <c r="E22" s="19" t="inlineStr">
        <is>
          <t>1004</t>
        </is>
      </c>
      <c r="F22" s="19" t="n">
        <v>10</v>
      </c>
      <c r="G22" s="19" t="n">
        <v>3</v>
      </c>
      <c r="H22" s="19" t="n">
        <v>30</v>
      </c>
      <c r="I22" s="13">
        <f>G22*H22</f>
        <v>90.0</v>
      </c>
      <c r="J22" s="20">
        <f>2910/1000</f>
        <v>2.91</v>
      </c>
      <c r="K22" s="21">
        <f>I22*J22</f>
        <v>261.90000000000003</v>
      </c>
      <c r="L22" s="22">
        <f>F22^2/162</f>
        <v>0.6172839506172839</v>
      </c>
      <c r="M22" s="21">
        <f>K22*L22</f>
        <v>161.66666666666669</v>
      </c>
      <c r="N22" s="22">
        <f>M22/1000</f>
        <v>0.16166666666666668</v>
      </c>
      <c r="O22" s="13" t="inlineStr">
        <is>
          <t>Elevation + BBS length</t>
        </is>
      </c>
    </row>
    <row r="23">
      <c r="A23" s="13" t="n">
        <v>18</v>
      </c>
      <c r="B23" s="13" t="inlineStr">
        <is>
          <t>Columns</t>
        </is>
      </c>
      <c r="C23" s="13" t="inlineStr">
        <is>
          <t>STR-010</t>
        </is>
      </c>
      <c r="D23" s="13" t="inlineStr">
        <is>
          <t>COL-02A (3 nos) 3rd to 4th - links</t>
        </is>
      </c>
      <c r="E23" s="19" t="inlineStr">
        <is>
          <t>1005</t>
        </is>
      </c>
      <c r="F23" s="19" t="n">
        <v>10</v>
      </c>
      <c r="G23" s="19" t="n">
        <v>3</v>
      </c>
      <c r="H23" s="19">
        <f>5*30</f>
        <v>150.0</v>
      </c>
      <c r="I23" s="13">
        <f>G23*H23</f>
        <v>450.0</v>
      </c>
      <c r="J23" s="20">
        <f>1008/1000</f>
        <v>1.008</v>
      </c>
      <c r="K23" s="21">
        <f>I23*J23</f>
        <v>453.6</v>
      </c>
      <c r="L23" s="22">
        <f>F23^2/162</f>
        <v>0.6172839506172839</v>
      </c>
      <c r="M23" s="21">
        <f>K23*L23</f>
        <v>280.0</v>
      </c>
      <c r="N23" s="22">
        <f>M23/1000</f>
        <v>0.28</v>
      </c>
      <c r="O23" s="13" t="inlineStr">
        <is>
          <t>Elevation + BBS length</t>
        </is>
      </c>
    </row>
    <row r="24">
      <c r="A24" s="13" t="n">
        <v>19</v>
      </c>
      <c r="B24" s="13" t="inlineStr">
        <is>
          <t>Columns</t>
        </is>
      </c>
      <c r="C24" s="13" t="inlineStr">
        <is>
          <t>STR-010</t>
        </is>
      </c>
      <c r="D24" s="13" t="inlineStr">
        <is>
          <t>COL-02A (3 nos) 3rd to 4th - main bars</t>
        </is>
      </c>
      <c r="E24" s="19" t="inlineStr">
        <is>
          <t>2001</t>
        </is>
      </c>
      <c r="F24" s="19" t="n">
        <v>20</v>
      </c>
      <c r="G24" s="19" t="n">
        <v>3</v>
      </c>
      <c r="H24" s="19" t="n">
        <v>18</v>
      </c>
      <c r="I24" s="13">
        <f>G24*H24</f>
        <v>54.0</v>
      </c>
      <c r="J24" s="20">
        <f>4500/1000</f>
        <v>4.5</v>
      </c>
      <c r="K24" s="21">
        <f>I24*J24</f>
        <v>243.0</v>
      </c>
      <c r="L24" s="22">
        <f>F24^2/162</f>
        <v>2.4691358024691357</v>
      </c>
      <c r="M24" s="21">
        <f>K24*L24</f>
        <v>600.0</v>
      </c>
      <c r="N24" s="22">
        <f>M24/1000</f>
        <v>0.6</v>
      </c>
      <c r="O24" s="13" t="inlineStr">
        <is>
          <t>Elevation + BBS length</t>
        </is>
      </c>
    </row>
    <row r="25">
      <c r="A25" s="13" t="n">
        <v>20</v>
      </c>
      <c r="B25" s="13" t="inlineStr">
        <is>
          <t>Columns</t>
        </is>
      </c>
      <c r="C25" s="13" t="inlineStr">
        <is>
          <t>STR-010</t>
        </is>
      </c>
      <c r="D25" s="13" t="inlineStr">
        <is>
          <t>COL-02B (6 nos) 3rd to 4th - links</t>
        </is>
      </c>
      <c r="E25" s="19" t="inlineStr">
        <is>
          <t>1004</t>
        </is>
      </c>
      <c r="F25" s="19" t="n">
        <v>10</v>
      </c>
      <c r="G25" s="19" t="n">
        <v>6</v>
      </c>
      <c r="H25" s="19" t="n">
        <v>30</v>
      </c>
      <c r="I25" s="13">
        <f>G25*H25</f>
        <v>180.0</v>
      </c>
      <c r="J25" s="20">
        <f>2910/1000</f>
        <v>2.91</v>
      </c>
      <c r="K25" s="21">
        <f>I25*J25</f>
        <v>523.8000000000001</v>
      </c>
      <c r="L25" s="22">
        <f>F25^2/162</f>
        <v>0.6172839506172839</v>
      </c>
      <c r="M25" s="21">
        <f>K25*L25</f>
        <v>323.33333333333337</v>
      </c>
      <c r="N25" s="22">
        <f>M25/1000</f>
        <v>0.32333333333333336</v>
      </c>
      <c r="O25" s="13" t="inlineStr">
        <is>
          <t>Elevation + BBS length</t>
        </is>
      </c>
    </row>
    <row r="26">
      <c r="A26" s="13" t="n">
        <v>21</v>
      </c>
      <c r="B26" s="13" t="inlineStr">
        <is>
          <t>Columns</t>
        </is>
      </c>
      <c r="C26" s="13" t="inlineStr">
        <is>
          <t>STR-010</t>
        </is>
      </c>
      <c r="D26" s="13" t="inlineStr">
        <is>
          <t>COL-02B (6 nos) 3rd to 4th - links</t>
        </is>
      </c>
      <c r="E26" s="19" t="inlineStr">
        <is>
          <t>1005</t>
        </is>
      </c>
      <c r="F26" s="19" t="n">
        <v>10</v>
      </c>
      <c r="G26" s="19" t="n">
        <v>6</v>
      </c>
      <c r="H26" s="19">
        <f>5*30</f>
        <v>150.0</v>
      </c>
      <c r="I26" s="13">
        <f>G26*H26</f>
        <v>900.0</v>
      </c>
      <c r="J26" s="20">
        <f>1008/1000</f>
        <v>1.008</v>
      </c>
      <c r="K26" s="21">
        <f>I26*J26</f>
        <v>907.2</v>
      </c>
      <c r="L26" s="22">
        <f>F26^2/162</f>
        <v>0.6172839506172839</v>
      </c>
      <c r="M26" s="21">
        <f>K26*L26</f>
        <v>560.0</v>
      </c>
      <c r="N26" s="22">
        <f>M26/1000</f>
        <v>0.56</v>
      </c>
      <c r="O26" s="13" t="inlineStr">
        <is>
          <t>Elevation + BBS length</t>
        </is>
      </c>
    </row>
    <row r="27">
      <c r="A27" s="13" t="n">
        <v>22</v>
      </c>
      <c r="B27" s="13" t="inlineStr">
        <is>
          <t>Columns</t>
        </is>
      </c>
      <c r="C27" s="13" t="inlineStr">
        <is>
          <t>STR-010</t>
        </is>
      </c>
      <c r="D27" s="13" t="inlineStr">
        <is>
          <t>COL-02B (6 nos) 3rd to 4th - main bars</t>
        </is>
      </c>
      <c r="E27" s="19" t="inlineStr">
        <is>
          <t>2001</t>
        </is>
      </c>
      <c r="F27" s="19" t="n">
        <v>20</v>
      </c>
      <c r="G27" s="19" t="n">
        <v>6</v>
      </c>
      <c r="H27" s="19" t="n">
        <v>18</v>
      </c>
      <c r="I27" s="13">
        <f>G27*H27</f>
        <v>108.0</v>
      </c>
      <c r="J27" s="20">
        <f>4500/1000</f>
        <v>4.5</v>
      </c>
      <c r="K27" s="21">
        <f>I27*J27</f>
        <v>486.0</v>
      </c>
      <c r="L27" s="22">
        <f>F27^2/162</f>
        <v>2.4691358024691357</v>
      </c>
      <c r="M27" s="21">
        <f>K27*L27</f>
        <v>1200.0</v>
      </c>
      <c r="N27" s="22">
        <f>M27/1000</f>
        <v>1.2</v>
      </c>
      <c r="O27" s="13" t="inlineStr">
        <is>
          <t>Elevation + BBS length</t>
        </is>
      </c>
    </row>
    <row r="28">
      <c r="A28" s="13" t="n">
        <v>23</v>
      </c>
      <c r="B28" s="13" t="inlineStr">
        <is>
          <t>Columns</t>
        </is>
      </c>
      <c r="C28" s="13" t="inlineStr">
        <is>
          <t>STR-011</t>
        </is>
      </c>
      <c r="D28" s="13" t="inlineStr">
        <is>
          <t>COL-02C (1 nos) 3rd to 4th - links</t>
        </is>
      </c>
      <c r="E28" s="19" t="inlineStr">
        <is>
          <t>1004</t>
        </is>
      </c>
      <c r="F28" s="19" t="n">
        <v>10</v>
      </c>
      <c r="G28" s="19" t="n">
        <v>1</v>
      </c>
      <c r="H28" s="19" t="n">
        <v>30</v>
      </c>
      <c r="I28" s="13">
        <f>G28*H28</f>
        <v>30.0</v>
      </c>
      <c r="J28" s="20">
        <f>2910/1000</f>
        <v>2.91</v>
      </c>
      <c r="K28" s="21">
        <f>I28*J28</f>
        <v>87.30000000000001</v>
      </c>
      <c r="L28" s="22">
        <f>F28^2/162</f>
        <v>0.6172839506172839</v>
      </c>
      <c r="M28" s="21">
        <f>K28*L28</f>
        <v>53.88888888888889</v>
      </c>
      <c r="N28" s="22">
        <f>M28/1000</f>
        <v>0.053888888888888896</v>
      </c>
      <c r="O28" s="13" t="inlineStr">
        <is>
          <t>Elevation + BBS length</t>
        </is>
      </c>
    </row>
    <row r="29">
      <c r="A29" s="13" t="n">
        <v>24</v>
      </c>
      <c r="B29" s="13" t="inlineStr">
        <is>
          <t>Columns</t>
        </is>
      </c>
      <c r="C29" s="13" t="inlineStr">
        <is>
          <t>STR-011</t>
        </is>
      </c>
      <c r="D29" s="13" t="inlineStr">
        <is>
          <t>COL-02C (1 nos) 3rd to 4th - links</t>
        </is>
      </c>
      <c r="E29" s="19" t="inlineStr">
        <is>
          <t>1005</t>
        </is>
      </c>
      <c r="F29" s="19" t="n">
        <v>10</v>
      </c>
      <c r="G29" s="19" t="n">
        <v>1</v>
      </c>
      <c r="H29" s="19">
        <f>3*30</f>
        <v>90.0</v>
      </c>
      <c r="I29" s="13">
        <f>G29*H29</f>
        <v>90.0</v>
      </c>
      <c r="J29" s="20">
        <f>1008/1000</f>
        <v>1.008</v>
      </c>
      <c r="K29" s="21">
        <f>I29*J29</f>
        <v>90.72</v>
      </c>
      <c r="L29" s="22">
        <f>F29^2/162</f>
        <v>0.6172839506172839</v>
      </c>
      <c r="M29" s="21">
        <f>K29*L29</f>
        <v>55.99999999999999</v>
      </c>
      <c r="N29" s="22">
        <f>M29/1000</f>
        <v>0.055999999999999994</v>
      </c>
      <c r="O29" s="13" t="inlineStr">
        <is>
          <t>Elevation + BBS length</t>
        </is>
      </c>
    </row>
    <row r="30">
      <c r="A30" s="13" t="n">
        <v>25</v>
      </c>
      <c r="B30" s="13" t="inlineStr">
        <is>
          <t>Columns</t>
        </is>
      </c>
      <c r="C30" s="13" t="inlineStr">
        <is>
          <t>STR-011</t>
        </is>
      </c>
      <c r="D30" s="13" t="inlineStr">
        <is>
          <t>COL-02C (1 nos) 3rd to 4th - main bars</t>
        </is>
      </c>
      <c r="E30" s="19" t="inlineStr">
        <is>
          <t>2001</t>
        </is>
      </c>
      <c r="F30" s="19" t="n">
        <v>20</v>
      </c>
      <c r="G30" s="19" t="n">
        <v>1</v>
      </c>
      <c r="H30" s="19" t="n">
        <v>18</v>
      </c>
      <c r="I30" s="13">
        <f>G30*H30</f>
        <v>18.0</v>
      </c>
      <c r="J30" s="20">
        <f>4500/1000</f>
        <v>4.5</v>
      </c>
      <c r="K30" s="21">
        <f>I30*J30</f>
        <v>81.0</v>
      </c>
      <c r="L30" s="22">
        <f>F30^2/162</f>
        <v>2.4691358024691357</v>
      </c>
      <c r="M30" s="21">
        <f>K30*L30</f>
        <v>200.0</v>
      </c>
      <c r="N30" s="22">
        <f>M30/1000</f>
        <v>0.2</v>
      </c>
      <c r="O30" s="13" t="inlineStr">
        <is>
          <t>Elevation + BBS length</t>
        </is>
      </c>
    </row>
    <row r="31">
      <c r="A31" s="13" t="n">
        <v>26</v>
      </c>
      <c r="B31" s="13" t="inlineStr">
        <is>
          <t>Columns</t>
        </is>
      </c>
      <c r="C31" s="13" t="inlineStr">
        <is>
          <t>STR-011</t>
        </is>
      </c>
      <c r="D31" s="13" t="inlineStr">
        <is>
          <t>COL-02D (15 nos) 3rd to 4th - links</t>
        </is>
      </c>
      <c r="E31" s="19" t="inlineStr">
        <is>
          <t>1004</t>
        </is>
      </c>
      <c r="F31" s="19" t="n">
        <v>10</v>
      </c>
      <c r="G31" s="19" t="n">
        <v>15</v>
      </c>
      <c r="H31" s="19" t="n">
        <v>30</v>
      </c>
      <c r="I31" s="13">
        <f>G31*H31</f>
        <v>450.0</v>
      </c>
      <c r="J31" s="20">
        <f>2910/1000</f>
        <v>2.91</v>
      </c>
      <c r="K31" s="21">
        <f>I31*J31</f>
        <v>1309.5</v>
      </c>
      <c r="L31" s="22">
        <f>F31^2/162</f>
        <v>0.6172839506172839</v>
      </c>
      <c r="M31" s="21">
        <f>K31*L31</f>
        <v>808.3333333333333</v>
      </c>
      <c r="N31" s="22">
        <f>M31/1000</f>
        <v>0.8083333333333332</v>
      </c>
      <c r="O31" s="13" t="inlineStr">
        <is>
          <t>Elevation + BBS length</t>
        </is>
      </c>
    </row>
    <row r="32">
      <c r="A32" s="13" t="n">
        <v>27</v>
      </c>
      <c r="B32" s="13" t="inlineStr">
        <is>
          <t>Columns</t>
        </is>
      </c>
      <c r="C32" s="13" t="inlineStr">
        <is>
          <t>STR-011</t>
        </is>
      </c>
      <c r="D32" s="13" t="inlineStr">
        <is>
          <t>COL-02D (15 nos) 3rd to 4th - links</t>
        </is>
      </c>
      <c r="E32" s="19" t="inlineStr">
        <is>
          <t>1005</t>
        </is>
      </c>
      <c r="F32" s="19" t="n">
        <v>10</v>
      </c>
      <c r="G32" s="19" t="n">
        <v>15</v>
      </c>
      <c r="H32" s="19">
        <f>3*30</f>
        <v>90.0</v>
      </c>
      <c r="I32" s="13">
        <f>G32*H32</f>
        <v>1350.0</v>
      </c>
      <c r="J32" s="20">
        <f>1008/1000</f>
        <v>1.008</v>
      </c>
      <c r="K32" s="21">
        <f>I32*J32</f>
        <v>1360.8</v>
      </c>
      <c r="L32" s="22">
        <f>F32^2/162</f>
        <v>0.6172839506172839</v>
      </c>
      <c r="M32" s="21">
        <f>K32*L32</f>
        <v>839.9999999999999</v>
      </c>
      <c r="N32" s="22">
        <f>M32/1000</f>
        <v>0.8399999999999999</v>
      </c>
      <c r="O32" s="13" t="inlineStr">
        <is>
          <t>Elevation + BBS length</t>
        </is>
      </c>
    </row>
    <row r="33">
      <c r="A33" s="13" t="n">
        <v>28</v>
      </c>
      <c r="B33" s="13" t="inlineStr">
        <is>
          <t>Columns</t>
        </is>
      </c>
      <c r="C33" s="13" t="inlineStr">
        <is>
          <t>STR-011</t>
        </is>
      </c>
      <c r="D33" s="13" t="inlineStr">
        <is>
          <t>COL-02D (15 nos) 3rd to 4th - main bars</t>
        </is>
      </c>
      <c r="E33" s="19" t="inlineStr">
        <is>
          <t>2001</t>
        </is>
      </c>
      <c r="F33" s="19" t="n">
        <v>20</v>
      </c>
      <c r="G33" s="19" t="n">
        <v>15</v>
      </c>
      <c r="H33" s="19" t="n">
        <v>18</v>
      </c>
      <c r="I33" s="13">
        <f>G33*H33</f>
        <v>270.0</v>
      </c>
      <c r="J33" s="20">
        <f>4500/1000</f>
        <v>4.5</v>
      </c>
      <c r="K33" s="21">
        <f>I33*J33</f>
        <v>1215.0</v>
      </c>
      <c r="L33" s="22">
        <f>F33^2/162</f>
        <v>2.4691358024691357</v>
      </c>
      <c r="M33" s="21">
        <f>K33*L33</f>
        <v>3000.0</v>
      </c>
      <c r="N33" s="22">
        <f>M33/1000</f>
        <v>3.0</v>
      </c>
      <c r="O33" s="13" t="inlineStr">
        <is>
          <t>Elevation + BBS length</t>
        </is>
      </c>
    </row>
    <row r="34">
      <c r="A34" s="13" t="n">
        <v>29</v>
      </c>
      <c r="B34" s="13" t="inlineStr">
        <is>
          <t>Columns</t>
        </is>
      </c>
      <c r="C34" s="13" t="inlineStr">
        <is>
          <t>STR-012</t>
        </is>
      </c>
      <c r="D34" s="13" t="inlineStr">
        <is>
          <t>SWC-01A (1 nos) 3rd to 4th - links</t>
        </is>
      </c>
      <c r="E34" s="19" t="inlineStr">
        <is>
          <t>1001</t>
        </is>
      </c>
      <c r="F34" s="19" t="n">
        <v>10</v>
      </c>
      <c r="G34" s="19" t="n">
        <v>1</v>
      </c>
      <c r="H34" s="19" t="n">
        <v>30</v>
      </c>
      <c r="I34" s="13">
        <f>G34*H34</f>
        <v>30.0</v>
      </c>
      <c r="J34" s="20">
        <f>5930/1000</f>
        <v>5.93</v>
      </c>
      <c r="K34" s="21">
        <f>I34*J34</f>
        <v>177.89999999999998</v>
      </c>
      <c r="L34" s="22">
        <f>F34^2/162</f>
        <v>0.6172839506172839</v>
      </c>
      <c r="M34" s="21">
        <f>K34*L34</f>
        <v>109.8148148148148</v>
      </c>
      <c r="N34" s="22">
        <f>M34/1000</f>
        <v>0.1098148148148148</v>
      </c>
      <c r="O34" s="13" t="inlineStr">
        <is>
          <t>Elevation + BBS length</t>
        </is>
      </c>
    </row>
    <row r="35">
      <c r="A35" s="13" t="n">
        <v>30</v>
      </c>
      <c r="B35" s="13" t="inlineStr">
        <is>
          <t>Columns</t>
        </is>
      </c>
      <c r="C35" s="13" t="inlineStr">
        <is>
          <t>STR-012</t>
        </is>
      </c>
      <c r="D35" s="13" t="inlineStr">
        <is>
          <t>SWC-01A (1 nos) 3rd to 4th - links</t>
        </is>
      </c>
      <c r="E35" s="19" t="inlineStr">
        <is>
          <t>1002</t>
        </is>
      </c>
      <c r="F35" s="19" t="n">
        <v>10</v>
      </c>
      <c r="G35" s="19" t="n">
        <v>1</v>
      </c>
      <c r="H35" s="19" t="n">
        <v>30</v>
      </c>
      <c r="I35" s="13">
        <f>G35*H35</f>
        <v>30.0</v>
      </c>
      <c r="J35" s="20">
        <f>2480/1000</f>
        <v>2.48</v>
      </c>
      <c r="K35" s="21">
        <f>I35*J35</f>
        <v>74.4</v>
      </c>
      <c r="L35" s="22">
        <f>F35^2/162</f>
        <v>0.6172839506172839</v>
      </c>
      <c r="M35" s="21">
        <f>K35*L35</f>
        <v>45.925925925925924</v>
      </c>
      <c r="N35" s="22">
        <f>M35/1000</f>
        <v>0.045925925925925926</v>
      </c>
      <c r="O35" s="13" t="inlineStr">
        <is>
          <t>Elevation + BBS length</t>
        </is>
      </c>
    </row>
    <row r="36">
      <c r="A36" s="13" t="n">
        <v>31</v>
      </c>
      <c r="B36" s="13" t="inlineStr">
        <is>
          <t>Columns</t>
        </is>
      </c>
      <c r="C36" s="13" t="inlineStr">
        <is>
          <t>STR-012</t>
        </is>
      </c>
      <c r="D36" s="13" t="inlineStr">
        <is>
          <t>SWC-01A (1 nos) 3rd to 4th - links</t>
        </is>
      </c>
      <c r="E36" s="19" t="inlineStr">
        <is>
          <t>1003</t>
        </is>
      </c>
      <c r="F36" s="19" t="n">
        <v>10</v>
      </c>
      <c r="G36" s="19" t="n">
        <v>1</v>
      </c>
      <c r="H36" s="19">
        <f>7*30</f>
        <v>210.0</v>
      </c>
      <c r="I36" s="13">
        <f>G36*H36</f>
        <v>210.0</v>
      </c>
      <c r="J36" s="20">
        <f>910/1000</f>
        <v>0.91</v>
      </c>
      <c r="K36" s="21">
        <f>I36*J36</f>
        <v>191.1</v>
      </c>
      <c r="L36" s="22">
        <f>F36^2/162</f>
        <v>0.6172839506172839</v>
      </c>
      <c r="M36" s="21">
        <f>K36*L36</f>
        <v>117.96296296296295</v>
      </c>
      <c r="N36" s="22">
        <f>M36/1000</f>
        <v>0.11796296296296295</v>
      </c>
      <c r="O36" s="13" t="inlineStr">
        <is>
          <t>Elevation + BBS length</t>
        </is>
      </c>
    </row>
    <row r="37">
      <c r="A37" s="13" t="n">
        <v>32</v>
      </c>
      <c r="B37" s="13" t="inlineStr">
        <is>
          <t>Columns</t>
        </is>
      </c>
      <c r="C37" s="13" t="inlineStr">
        <is>
          <t>STR-012</t>
        </is>
      </c>
      <c r="D37" s="13" t="inlineStr">
        <is>
          <t>SWC-01A (1 nos) 3rd to 4th - links</t>
        </is>
      </c>
      <c r="E37" s="19" t="inlineStr">
        <is>
          <t>1004</t>
        </is>
      </c>
      <c r="F37" s="19" t="n">
        <v>10</v>
      </c>
      <c r="G37" s="19" t="n">
        <v>1</v>
      </c>
      <c r="H37" s="19">
        <f>4*30</f>
        <v>120.0</v>
      </c>
      <c r="I37" s="13">
        <f>G37*H37</f>
        <v>120.0</v>
      </c>
      <c r="J37" s="20">
        <f>770/1000</f>
        <v>0.77</v>
      </c>
      <c r="K37" s="21">
        <f>I37*J37</f>
        <v>92.4</v>
      </c>
      <c r="L37" s="22">
        <f>F37^2/162</f>
        <v>0.6172839506172839</v>
      </c>
      <c r="M37" s="21">
        <f>K37*L37</f>
        <v>57.03703703703704</v>
      </c>
      <c r="N37" s="22">
        <f>M37/1000</f>
        <v>0.05703703703703704</v>
      </c>
      <c r="O37" s="13" t="inlineStr">
        <is>
          <t>Elevation + BBS length</t>
        </is>
      </c>
    </row>
    <row r="38">
      <c r="A38" s="13" t="n">
        <v>33</v>
      </c>
      <c r="B38" s="13" t="inlineStr">
        <is>
          <t>Columns</t>
        </is>
      </c>
      <c r="C38" s="13" t="inlineStr">
        <is>
          <t>STR-012</t>
        </is>
      </c>
      <c r="D38" s="13" t="inlineStr">
        <is>
          <t>SWC-01A (1 nos) 3rd to 4th - main bars</t>
        </is>
      </c>
      <c r="E38" s="19" t="inlineStr">
        <is>
          <t>2001</t>
        </is>
      </c>
      <c r="F38" s="19" t="n">
        <v>20</v>
      </c>
      <c r="G38" s="19" t="n">
        <v>1</v>
      </c>
      <c r="H38" s="19" t="n">
        <v>48</v>
      </c>
      <c r="I38" s="13">
        <f>G38*H38</f>
        <v>48.0</v>
      </c>
      <c r="J38" s="20">
        <f>4500/1000</f>
        <v>4.5</v>
      </c>
      <c r="K38" s="21">
        <f>I38*J38</f>
        <v>216.0</v>
      </c>
      <c r="L38" s="22">
        <f>F38^2/162</f>
        <v>2.4691358024691357</v>
      </c>
      <c r="M38" s="21">
        <f>K38*L38</f>
        <v>533.3333333333333</v>
      </c>
      <c r="N38" s="22">
        <f>M38/1000</f>
        <v>0.5333333333333332</v>
      </c>
      <c r="O38" s="13" t="inlineStr">
        <is>
          <t>Elevation + BBS length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STR-015/016</t>
        </is>
      </c>
      <c r="D39" s="13" t="inlineStr">
        <is>
          <t>Main core CW-01 (L=3600mm) 3rd to 4th - horizontal Y12@150 NF/FF</t>
        </is>
      </c>
      <c r="E39" s="19" t="inlineStr">
        <is>
          <t>H-Y12</t>
        </is>
      </c>
      <c r="F39" s="19" t="n">
        <v>12</v>
      </c>
      <c r="G39" s="19" t="n">
        <v>1</v>
      </c>
      <c r="H39" s="19">
        <f>2*20</f>
        <v>40.0</v>
      </c>
      <c r="I39" s="13">
        <f>G39*H39</f>
        <v>40.0</v>
      </c>
      <c r="J39" s="20">
        <f>(3600-2*30+40*12)/1000</f>
        <v>4.02</v>
      </c>
      <c r="K39" s="21">
        <f>I39*J39</f>
        <v>160.79999999999998</v>
      </c>
      <c r="L39" s="22">
        <f>F39^2/162</f>
        <v>0.8888888888888888</v>
      </c>
      <c r="M39" s="21">
        <f>K39*L39</f>
        <v>142.9333333333333</v>
      </c>
      <c r="N39" s="22">
        <f>M39/1000</f>
        <v>0.1429333333333333</v>
      </c>
      <c r="O39" s="13" t="inlineStr">
        <is>
          <t>Elevation count / plan length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STR-015/016</t>
        </is>
      </c>
      <c r="D40" s="13" t="inlineStr">
        <is>
          <t>Main core CW-01 3rd to 4th - vertical Y25@150 NF/FF</t>
        </is>
      </c>
      <c r="E40" s="19" t="inlineStr">
        <is>
          <t>V-Y25</t>
        </is>
      </c>
      <c r="F40" s="19" t="n">
        <v>25</v>
      </c>
      <c r="G40" s="19" t="n">
        <v>1</v>
      </c>
      <c r="H40" s="19">
        <f>2*29</f>
        <v>58.0</v>
      </c>
      <c r="I40" s="13">
        <f>G40*H40</f>
        <v>58.0</v>
      </c>
      <c r="J40" s="20">
        <f>(3300+40*25)/1000</f>
        <v>4.3</v>
      </c>
      <c r="K40" s="21">
        <f>I40*J40</f>
        <v>249.39999999999998</v>
      </c>
      <c r="L40" s="22">
        <f>F40^2/162</f>
        <v>3.8580246913580245</v>
      </c>
      <c r="M40" s="21">
        <f>K40*L40</f>
        <v>962.1913580246912</v>
      </c>
      <c r="N40" s="22">
        <f>M40/1000</f>
        <v>0.9621913580246912</v>
      </c>
      <c r="O40" s="13" t="inlineStr">
        <is>
          <t>Elevation / plan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STR-015/016</t>
        </is>
      </c>
      <c r="D41" s="13" t="inlineStr">
        <is>
          <t>Main core CW-05 (L=7250mm) 3rd to 4th - horizontal Y12@150 NF/FF</t>
        </is>
      </c>
      <c r="E41" s="19" t="inlineStr">
        <is>
          <t>H-Y12</t>
        </is>
      </c>
      <c r="F41" s="19" t="n">
        <v>12</v>
      </c>
      <c r="G41" s="19" t="n">
        <v>1</v>
      </c>
      <c r="H41" s="19">
        <f>2*20</f>
        <v>40.0</v>
      </c>
      <c r="I41" s="13">
        <f>G41*H41</f>
        <v>40.0</v>
      </c>
      <c r="J41" s="20">
        <f>(7250-2*30+40*12)/1000</f>
        <v>7.67</v>
      </c>
      <c r="K41" s="21">
        <f>I41*J41</f>
        <v>306.8</v>
      </c>
      <c r="L41" s="22">
        <f>F41^2/162</f>
        <v>0.8888888888888888</v>
      </c>
      <c r="M41" s="21">
        <f>K41*L41</f>
        <v>272.7111111111111</v>
      </c>
      <c r="N41" s="22">
        <f>M41/1000</f>
        <v>0.2727111111111111</v>
      </c>
      <c r="O41" s="13" t="inlineStr">
        <is>
          <t>Elevation count / plan length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STR-015/016</t>
        </is>
      </c>
      <c r="D42" s="13" t="inlineStr">
        <is>
          <t>Main core CW-05 3rd to 4th - vertical Y25@150 NF/FF</t>
        </is>
      </c>
      <c r="E42" s="19" t="inlineStr">
        <is>
          <t>V-Y25</t>
        </is>
      </c>
      <c r="F42" s="19" t="n">
        <v>25</v>
      </c>
      <c r="G42" s="19" t="n">
        <v>1</v>
      </c>
      <c r="H42" s="19">
        <f>2*(ROUNDUP(7250/150,0)+1)</f>
        <v>100.0</v>
      </c>
      <c r="I42" s="13">
        <f>G42*H42</f>
        <v>100.0</v>
      </c>
      <c r="J42" s="20">
        <f>(3300+40*25)/1000</f>
        <v>4.3</v>
      </c>
      <c r="K42" s="21">
        <f>I42*J42</f>
        <v>430.0</v>
      </c>
      <c r="L42" s="22">
        <f>F42^2/162</f>
        <v>3.8580246913580245</v>
      </c>
      <c r="M42" s="21">
        <f>K42*L42</f>
        <v>1658.9506172839506</v>
      </c>
      <c r="N42" s="22">
        <f>M42/1000</f>
        <v>1.6589506172839505</v>
      </c>
      <c r="O42" s="13" t="inlineStr">
        <is>
          <t>Elevation / plan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STR-015/016</t>
        </is>
      </c>
      <c r="D43" s="13" t="inlineStr">
        <is>
          <t>Main core CW-07 (stair section) (L=7250mm) 3rd to 4th - horizontal Y12@150 NF/FF</t>
        </is>
      </c>
      <c r="E43" s="19" t="inlineStr">
        <is>
          <t>H-Y12</t>
        </is>
      </c>
      <c r="F43" s="19" t="n">
        <v>12</v>
      </c>
      <c r="G43" s="19" t="n">
        <v>1</v>
      </c>
      <c r="H43" s="19">
        <f>2*20</f>
        <v>40.0</v>
      </c>
      <c r="I43" s="13">
        <f>G43*H43</f>
        <v>40.0</v>
      </c>
      <c r="J43" s="20">
        <f>(7250-2*30+40*12)/1000</f>
        <v>7.67</v>
      </c>
      <c r="K43" s="21">
        <f>I43*J43</f>
        <v>306.8</v>
      </c>
      <c r="L43" s="22">
        <f>F43^2/162</f>
        <v>0.8888888888888888</v>
      </c>
      <c r="M43" s="21">
        <f>K43*L43</f>
        <v>272.7111111111111</v>
      </c>
      <c r="N43" s="22">
        <f>M43/1000</f>
        <v>0.2727111111111111</v>
      </c>
      <c r="O43" s="13" t="inlineStr">
        <is>
          <t>Elevation count / plan length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STR-015/016</t>
        </is>
      </c>
      <c r="D44" s="13" t="inlineStr">
        <is>
          <t>Main core CW-07 (stair section) 3rd to 4th - vertical Y25@150 NF/FF</t>
        </is>
      </c>
      <c r="E44" s="19" t="inlineStr">
        <is>
          <t>V-Y25</t>
        </is>
      </c>
      <c r="F44" s="19" t="n">
        <v>25</v>
      </c>
      <c r="G44" s="19" t="n">
        <v>1</v>
      </c>
      <c r="H44" s="19">
        <f>2*(ROUNDUP(7250/150,0)+1)</f>
        <v>100.0</v>
      </c>
      <c r="I44" s="13">
        <f>G44*H44</f>
        <v>100.0</v>
      </c>
      <c r="J44" s="20">
        <f>(3300+40*25)/1000</f>
        <v>4.3</v>
      </c>
      <c r="K44" s="21">
        <f>I44*J44</f>
        <v>430.0</v>
      </c>
      <c r="L44" s="22">
        <f>F44^2/162</f>
        <v>3.8580246913580245</v>
      </c>
      <c r="M44" s="21">
        <f>K44*L44</f>
        <v>1658.9506172839506</v>
      </c>
      <c r="N44" s="22">
        <f>M44/1000</f>
        <v>1.6589506172839505</v>
      </c>
      <c r="O44" s="13" t="inlineStr">
        <is>
          <t>Elevation / plan</t>
        </is>
      </c>
    </row>
    <row r="45">
      <c r="A45" s="13" t="n">
        <v>40</v>
      </c>
      <c r="B45" s="13" t="inlineStr">
        <is>
          <t>Shear Walls</t>
        </is>
      </c>
      <c r="C45" s="13" t="inlineStr">
        <is>
          <t>STR-015/016</t>
        </is>
      </c>
      <c r="D45" s="13" t="inlineStr">
        <is>
          <t>Main core CW-09 (L=1150mm) 3rd to 4th - horizontal Y12@150 NF/FF</t>
        </is>
      </c>
      <c r="E45" s="19" t="inlineStr">
        <is>
          <t>H-Y12</t>
        </is>
      </c>
      <c r="F45" s="19" t="n">
        <v>12</v>
      </c>
      <c r="G45" s="19" t="n">
        <v>1</v>
      </c>
      <c r="H45" s="19">
        <f>2*20</f>
        <v>40.0</v>
      </c>
      <c r="I45" s="13">
        <f>G45*H45</f>
        <v>40.0</v>
      </c>
      <c r="J45" s="20">
        <f>(1150-2*30+40*12)/1000</f>
        <v>1.57</v>
      </c>
      <c r="K45" s="21">
        <f>I45*J45</f>
        <v>62.800000000000004</v>
      </c>
      <c r="L45" s="22">
        <f>F45^2/162</f>
        <v>0.8888888888888888</v>
      </c>
      <c r="M45" s="21">
        <f>K45*L45</f>
        <v>55.82222222222222</v>
      </c>
      <c r="N45" s="22">
        <f>M45/1000</f>
        <v>0.055822222222222224</v>
      </c>
      <c r="O45" s="13" t="inlineStr">
        <is>
          <t>Elevation count / plan length</t>
        </is>
      </c>
    </row>
    <row r="46">
      <c r="A46" s="13" t="n">
        <v>41</v>
      </c>
      <c r="B46" s="13" t="inlineStr">
        <is>
          <t>Shear Walls</t>
        </is>
      </c>
      <c r="C46" s="13" t="inlineStr">
        <is>
          <t>STR-015/016</t>
        </is>
      </c>
      <c r="D46" s="13" t="inlineStr">
        <is>
          <t>Main core CW-09 3rd to 4th - vertical Y25@150 NF/FF</t>
        </is>
      </c>
      <c r="E46" s="19" t="inlineStr">
        <is>
          <t>V-Y25</t>
        </is>
      </c>
      <c r="F46" s="19" t="n">
        <v>25</v>
      </c>
      <c r="G46" s="19" t="n">
        <v>1</v>
      </c>
      <c r="H46" s="19">
        <f>2*(ROUNDUP(1150/150,0)+1)</f>
        <v>18.0</v>
      </c>
      <c r="I46" s="13">
        <f>G46*H46</f>
        <v>18.0</v>
      </c>
      <c r="J46" s="20">
        <f>(3300+40*25)/1000</f>
        <v>4.3</v>
      </c>
      <c r="K46" s="21">
        <f>I46*J46</f>
        <v>77.39999999999999</v>
      </c>
      <c r="L46" s="22">
        <f>F46^2/162</f>
        <v>3.8580246913580245</v>
      </c>
      <c r="M46" s="21">
        <f>K46*L46</f>
        <v>298.6111111111111</v>
      </c>
      <c r="N46" s="22">
        <f>M46/1000</f>
        <v>0.2986111111111111</v>
      </c>
      <c r="O46" s="13" t="inlineStr">
        <is>
          <t>Elevation / plan</t>
        </is>
      </c>
    </row>
    <row r="47">
      <c r="A47" s="13" t="n">
        <v>42</v>
      </c>
      <c r="B47" s="13" t="inlineStr">
        <is>
          <t>Shear Walls</t>
        </is>
      </c>
      <c r="C47" s="13" t="inlineStr">
        <is>
          <t>STR-015/016</t>
        </is>
      </c>
      <c r="D47" s="13" t="inlineStr">
        <is>
          <t>Main core CW-10 (L=1150mm) 3rd to 4th - horizontal Y12@150 NF/FF</t>
        </is>
      </c>
      <c r="E47" s="19" t="inlineStr">
        <is>
          <t>H-Y12</t>
        </is>
      </c>
      <c r="F47" s="19" t="n">
        <v>12</v>
      </c>
      <c r="G47" s="19" t="n">
        <v>1</v>
      </c>
      <c r="H47" s="19">
        <f>2*20</f>
        <v>40.0</v>
      </c>
      <c r="I47" s="13">
        <f>G47*H47</f>
        <v>40.0</v>
      </c>
      <c r="J47" s="20">
        <f>(1150-2*30+40*12)/1000</f>
        <v>1.57</v>
      </c>
      <c r="K47" s="21">
        <f>I47*J47</f>
        <v>62.800000000000004</v>
      </c>
      <c r="L47" s="22">
        <f>F47^2/162</f>
        <v>0.8888888888888888</v>
      </c>
      <c r="M47" s="21">
        <f>K47*L47</f>
        <v>55.82222222222222</v>
      </c>
      <c r="N47" s="22">
        <f>M47/1000</f>
        <v>0.055822222222222224</v>
      </c>
      <c r="O47" s="13" t="inlineStr">
        <is>
          <t>Elevation count / plan length</t>
        </is>
      </c>
    </row>
    <row r="48">
      <c r="A48" s="13" t="n">
        <v>43</v>
      </c>
      <c r="B48" s="13" t="inlineStr">
        <is>
          <t>Shear Walls</t>
        </is>
      </c>
      <c r="C48" s="13" t="inlineStr">
        <is>
          <t>STR-015/016</t>
        </is>
      </c>
      <c r="D48" s="13" t="inlineStr">
        <is>
          <t>Main core CW-10 3rd to 4th - vertical Y25@150 NF/FF</t>
        </is>
      </c>
      <c r="E48" s="19" t="inlineStr">
        <is>
          <t>V-Y25</t>
        </is>
      </c>
      <c r="F48" s="19" t="n">
        <v>25</v>
      </c>
      <c r="G48" s="19" t="n">
        <v>1</v>
      </c>
      <c r="H48" s="19">
        <f>2*(ROUNDUP(1150/150,0)+1)</f>
        <v>18.0</v>
      </c>
      <c r="I48" s="13">
        <f>G48*H48</f>
        <v>18.0</v>
      </c>
      <c r="J48" s="20">
        <f>(3300+40*25)/1000</f>
        <v>4.3</v>
      </c>
      <c r="K48" s="21">
        <f>I48*J48</f>
        <v>77.39999999999999</v>
      </c>
      <c r="L48" s="22">
        <f>F48^2/162</f>
        <v>3.8580246913580245</v>
      </c>
      <c r="M48" s="21">
        <f>K48*L48</f>
        <v>298.6111111111111</v>
      </c>
      <c r="N48" s="22">
        <f>M48/1000</f>
        <v>0.2986111111111111</v>
      </c>
      <c r="O48" s="13" t="inlineStr">
        <is>
          <t>Elevation / plan</t>
        </is>
      </c>
    </row>
    <row r="49">
      <c r="A49" s="13" t="n">
        <v>44</v>
      </c>
      <c r="B49" s="13" t="inlineStr">
        <is>
          <t>Shear Walls</t>
        </is>
      </c>
      <c r="C49" s="13" t="inlineStr">
        <is>
          <t>STR-015/016</t>
        </is>
      </c>
      <c r="D49" s="13" t="inlineStr">
        <is>
          <t>Main core CW-11 (L=1650mm) 3rd to 4th - horizontal Y12@150 NF/FF</t>
        </is>
      </c>
      <c r="E49" s="19" t="inlineStr">
        <is>
          <t>H-Y12</t>
        </is>
      </c>
      <c r="F49" s="19" t="n">
        <v>12</v>
      </c>
      <c r="G49" s="19" t="n">
        <v>1</v>
      </c>
      <c r="H49" s="19">
        <f>2*20</f>
        <v>40.0</v>
      </c>
      <c r="I49" s="13">
        <f>G49*H49</f>
        <v>40.0</v>
      </c>
      <c r="J49" s="20">
        <f>(1650-2*30+40*12)/1000</f>
        <v>2.07</v>
      </c>
      <c r="K49" s="21">
        <f>I49*J49</f>
        <v>82.8</v>
      </c>
      <c r="L49" s="22">
        <f>F49^2/162</f>
        <v>0.8888888888888888</v>
      </c>
      <c r="M49" s="21">
        <f>K49*L49</f>
        <v>73.6</v>
      </c>
      <c r="N49" s="22">
        <f>M49/1000</f>
        <v>0.0736</v>
      </c>
      <c r="O49" s="13" t="inlineStr">
        <is>
          <t>Elevation count / plan length</t>
        </is>
      </c>
    </row>
    <row r="50">
      <c r="A50" s="13" t="n">
        <v>45</v>
      </c>
      <c r="B50" s="13" t="inlineStr">
        <is>
          <t>Shear Walls</t>
        </is>
      </c>
      <c r="C50" s="13" t="inlineStr">
        <is>
          <t>STR-015/016</t>
        </is>
      </c>
      <c r="D50" s="13" t="inlineStr">
        <is>
          <t>Main core CW-11 3rd to 4th - vertical Y25@150 NF/FF</t>
        </is>
      </c>
      <c r="E50" s="19" t="inlineStr">
        <is>
          <t>V-Y25</t>
        </is>
      </c>
      <c r="F50" s="19" t="n">
        <v>25</v>
      </c>
      <c r="G50" s="19" t="n">
        <v>1</v>
      </c>
      <c r="H50" s="19">
        <f>2*(ROUNDUP(1650/150,0)+1)</f>
        <v>24.0</v>
      </c>
      <c r="I50" s="13">
        <f>G50*H50</f>
        <v>24.0</v>
      </c>
      <c r="J50" s="20">
        <f>(3300+40*25)/1000</f>
        <v>4.3</v>
      </c>
      <c r="K50" s="21">
        <f>I50*J50</f>
        <v>103.19999999999999</v>
      </c>
      <c r="L50" s="22">
        <f>F50^2/162</f>
        <v>3.8580246913580245</v>
      </c>
      <c r="M50" s="21">
        <f>K50*L50</f>
        <v>398.1481481481481</v>
      </c>
      <c r="N50" s="22">
        <f>M50/1000</f>
        <v>0.3981481481481481</v>
      </c>
      <c r="O50" s="13" t="inlineStr">
        <is>
          <t>Elevation / plan</t>
        </is>
      </c>
    </row>
    <row r="51">
      <c r="A51" s="13" t="n">
        <v>46</v>
      </c>
      <c r="B51" s="13" t="inlineStr">
        <is>
          <t>Shear Walls</t>
        </is>
      </c>
      <c r="C51" s="13" t="inlineStr">
        <is>
          <t>STR-015/016</t>
        </is>
      </c>
      <c r="D51" s="13" t="inlineStr">
        <is>
          <t>Main core confinement links Y10@150 (26 positions on plan) 3rd to 4th</t>
        </is>
      </c>
      <c r="E51" s="19" t="inlineStr">
        <is>
          <t>LNK-Y10</t>
        </is>
      </c>
      <c r="F51" s="19" t="n">
        <v>10</v>
      </c>
      <c r="G51" s="19" t="n">
        <v>1</v>
      </c>
      <c r="H51" s="19">
        <f>26*ROUNDUP(3300/150,0)</f>
        <v>572.0</v>
      </c>
      <c r="I51" s="13">
        <f>G51*H51</f>
        <v>572.0</v>
      </c>
      <c r="J51" s="20">
        <f>1800/1000</f>
        <v>1.8</v>
      </c>
      <c r="K51" s="21">
        <f>I51*J51</f>
        <v>1029.6000000000001</v>
      </c>
      <c r="L51" s="22">
        <f>F51^2/162</f>
        <v>0.6172839506172839</v>
      </c>
      <c r="M51" s="21">
        <f>K51*L51</f>
        <v>635.5555555555557</v>
      </c>
      <c r="N51" s="22">
        <f>M51/1000</f>
        <v>0.6355555555555557</v>
      </c>
      <c r="O51" s="13" t="inlineStr">
        <is>
          <t>Assumed link cut length</t>
        </is>
      </c>
    </row>
    <row r="52">
      <c r="A52" s="13" t="n">
        <v>47</v>
      </c>
      <c r="B52" s="13" t="inlineStr">
        <is>
          <t>Shear Walls</t>
        </is>
      </c>
      <c r="C52" s="13" t="inlineStr">
        <is>
          <t>STR-013/014</t>
        </is>
      </c>
      <c r="D52" s="13" t="inlineStr">
        <is>
          <t>Emergency stair core CW-12 (L=7050mm) 3rd to 4th - horizontal Y12@150 NF/FF</t>
        </is>
      </c>
      <c r="E52" s="19" t="inlineStr">
        <is>
          <t>H-Y12</t>
        </is>
      </c>
      <c r="F52" s="19" t="n">
        <v>12</v>
      </c>
      <c r="G52" s="19" t="n">
        <v>1</v>
      </c>
      <c r="H52" s="19">
        <f>2*20</f>
        <v>40.0</v>
      </c>
      <c r="I52" s="13">
        <f>G52*H52</f>
        <v>40.0</v>
      </c>
      <c r="J52" s="20">
        <f>(7050-2*30+40*12)/1000</f>
        <v>7.47</v>
      </c>
      <c r="K52" s="21">
        <f>I52*J52</f>
        <v>298.8</v>
      </c>
      <c r="L52" s="22">
        <f>F52^2/162</f>
        <v>0.8888888888888888</v>
      </c>
      <c r="M52" s="21">
        <f>K52*L52</f>
        <v>265.6</v>
      </c>
      <c r="N52" s="22">
        <f>M52/1000</f>
        <v>0.2656</v>
      </c>
      <c r="O52" s="13" t="inlineStr">
        <is>
          <t>Elevation count / plan length</t>
        </is>
      </c>
    </row>
    <row r="53">
      <c r="A53" s="13" t="n">
        <v>48</v>
      </c>
      <c r="B53" s="13" t="inlineStr">
        <is>
          <t>Shear Walls</t>
        </is>
      </c>
      <c r="C53" s="13" t="inlineStr">
        <is>
          <t>STR-013/014</t>
        </is>
      </c>
      <c r="D53" s="13" t="inlineStr">
        <is>
          <t>Emergency stair core CW-12 3rd to 4th - vertical Y25@150 NF/FF</t>
        </is>
      </c>
      <c r="E53" s="19" t="inlineStr">
        <is>
          <t>V-Y25</t>
        </is>
      </c>
      <c r="F53" s="19" t="n">
        <v>25</v>
      </c>
      <c r="G53" s="19" t="n">
        <v>1</v>
      </c>
      <c r="H53" s="19">
        <f>2*(ROUNDUP(7050/150,0)+1)</f>
        <v>96.0</v>
      </c>
      <c r="I53" s="13">
        <f>G53*H53</f>
        <v>96.0</v>
      </c>
      <c r="J53" s="20">
        <f>(3300+40*25)/1000</f>
        <v>4.3</v>
      </c>
      <c r="K53" s="21">
        <f>I53*J53</f>
        <v>412.79999999999995</v>
      </c>
      <c r="L53" s="22">
        <f>F53^2/162</f>
        <v>3.8580246913580245</v>
      </c>
      <c r="M53" s="21">
        <f>K53*L53</f>
        <v>1592.5925925925924</v>
      </c>
      <c r="N53" s="22">
        <f>M53/1000</f>
        <v>1.5925925925925923</v>
      </c>
      <c r="O53" s="13" t="inlineStr">
        <is>
          <t>Elevation / plan</t>
        </is>
      </c>
    </row>
    <row r="54">
      <c r="A54" s="13" t="n">
        <v>49</v>
      </c>
      <c r="B54" s="13" t="inlineStr">
        <is>
          <t>Shear Walls</t>
        </is>
      </c>
      <c r="C54" s="13" t="inlineStr">
        <is>
          <t>STR-013/014</t>
        </is>
      </c>
      <c r="D54" s="13" t="inlineStr">
        <is>
          <t>Emergency stair core CW-13 (L=7810mm) 3rd to 4th - horizontal Y12@150 NF/FF</t>
        </is>
      </c>
      <c r="E54" s="19" t="inlineStr">
        <is>
          <t>H-Y12</t>
        </is>
      </c>
      <c r="F54" s="19" t="n">
        <v>12</v>
      </c>
      <c r="G54" s="19" t="n">
        <v>1</v>
      </c>
      <c r="H54" s="19">
        <f>2*20</f>
        <v>40.0</v>
      </c>
      <c r="I54" s="13">
        <f>G54*H54</f>
        <v>40.0</v>
      </c>
      <c r="J54" s="20">
        <f>(7810-2*30+40*12)/1000</f>
        <v>8.23</v>
      </c>
      <c r="K54" s="21">
        <f>I54*J54</f>
        <v>329.20000000000005</v>
      </c>
      <c r="L54" s="22">
        <f>F54^2/162</f>
        <v>0.8888888888888888</v>
      </c>
      <c r="M54" s="21">
        <f>K54*L54</f>
        <v>292.62222222222226</v>
      </c>
      <c r="N54" s="22">
        <f>M54/1000</f>
        <v>0.2926222222222223</v>
      </c>
      <c r="O54" s="13" t="inlineStr">
        <is>
          <t>Elevation count / plan length</t>
        </is>
      </c>
    </row>
    <row r="55">
      <c r="A55" s="13" t="n">
        <v>50</v>
      </c>
      <c r="B55" s="13" t="inlineStr">
        <is>
          <t>Shear Walls</t>
        </is>
      </c>
      <c r="C55" s="13" t="inlineStr">
        <is>
          <t>STR-013/014</t>
        </is>
      </c>
      <c r="D55" s="13" t="inlineStr">
        <is>
          <t>Emergency stair core CW-13 3rd to 4th - vertical Y25@150 NF/FF</t>
        </is>
      </c>
      <c r="E55" s="19" t="inlineStr">
        <is>
          <t>V-Y25</t>
        </is>
      </c>
      <c r="F55" s="19" t="n">
        <v>25</v>
      </c>
      <c r="G55" s="19" t="n">
        <v>1</v>
      </c>
      <c r="H55" s="19">
        <f>2*52</f>
        <v>104.0</v>
      </c>
      <c r="I55" s="13">
        <f>G55*H55</f>
        <v>104.0</v>
      </c>
      <c r="J55" s="20">
        <f>(3300+40*25)/1000</f>
        <v>4.3</v>
      </c>
      <c r="K55" s="21">
        <f>I55*J55</f>
        <v>447.2</v>
      </c>
      <c r="L55" s="22">
        <f>F55^2/162</f>
        <v>3.8580246913580245</v>
      </c>
      <c r="M55" s="21">
        <f>K55*L55</f>
        <v>1725.3086419753085</v>
      </c>
      <c r="N55" s="22">
        <f>M55/1000</f>
        <v>1.7253086419753085</v>
      </c>
      <c r="O55" s="13" t="inlineStr">
        <is>
          <t>Elevation / plan</t>
        </is>
      </c>
    </row>
    <row r="56">
      <c r="A56" s="13" t="n">
        <v>51</v>
      </c>
      <c r="B56" s="13" t="inlineStr">
        <is>
          <t>Shear Walls</t>
        </is>
      </c>
      <c r="C56" s="13" t="inlineStr">
        <is>
          <t>STR-013/014</t>
        </is>
      </c>
      <c r="D56" s="13" t="inlineStr">
        <is>
          <t>Emergency stair core CW-14 (L=3450mm) 3rd to 4th - horizontal Y12@150 NF/FF</t>
        </is>
      </c>
      <c r="E56" s="19" t="inlineStr">
        <is>
          <t>H-Y12</t>
        </is>
      </c>
      <c r="F56" s="19" t="n">
        <v>12</v>
      </c>
      <c r="G56" s="19" t="n">
        <v>1</v>
      </c>
      <c r="H56" s="19">
        <f>2*20</f>
        <v>40.0</v>
      </c>
      <c r="I56" s="13">
        <f>G56*H56</f>
        <v>40.0</v>
      </c>
      <c r="J56" s="20">
        <f>(3450-2*30+40*12)/1000</f>
        <v>3.87</v>
      </c>
      <c r="K56" s="21">
        <f>I56*J56</f>
        <v>154.8</v>
      </c>
      <c r="L56" s="22">
        <f>F56^2/162</f>
        <v>0.8888888888888888</v>
      </c>
      <c r="M56" s="21">
        <f>K56*L56</f>
        <v>137.6</v>
      </c>
      <c r="N56" s="22">
        <f>M56/1000</f>
        <v>0.1376</v>
      </c>
      <c r="O56" s="13" t="inlineStr">
        <is>
          <t>Elevation count / plan length</t>
        </is>
      </c>
    </row>
    <row r="57">
      <c r="A57" s="13" t="n">
        <v>52</v>
      </c>
      <c r="B57" s="13" t="inlineStr">
        <is>
          <t>Shear Walls</t>
        </is>
      </c>
      <c r="C57" s="13" t="inlineStr">
        <is>
          <t>STR-013/014</t>
        </is>
      </c>
      <c r="D57" s="13" t="inlineStr">
        <is>
          <t>Emergency stair core CW-14 3rd to 4th - vertical Y25@150 NF/FF</t>
        </is>
      </c>
      <c r="E57" s="19" t="inlineStr">
        <is>
          <t>V-Y25</t>
        </is>
      </c>
      <c r="F57" s="19" t="n">
        <v>25</v>
      </c>
      <c r="G57" s="19" t="n">
        <v>1</v>
      </c>
      <c r="H57" s="19">
        <f>2*(ROUNDUP(3450/150,0)+1)</f>
        <v>48.0</v>
      </c>
      <c r="I57" s="13">
        <f>G57*H57</f>
        <v>48.0</v>
      </c>
      <c r="J57" s="20">
        <f>(3300+40*25)/1000</f>
        <v>4.3</v>
      </c>
      <c r="K57" s="21">
        <f>I57*J57</f>
        <v>206.39999999999998</v>
      </c>
      <c r="L57" s="22">
        <f>F57^2/162</f>
        <v>3.8580246913580245</v>
      </c>
      <c r="M57" s="21">
        <f>K57*L57</f>
        <v>796.2962962962962</v>
      </c>
      <c r="N57" s="22">
        <f>M57/1000</f>
        <v>0.7962962962962962</v>
      </c>
      <c r="O57" s="13" t="inlineStr">
        <is>
          <t>Elevation / plan</t>
        </is>
      </c>
    </row>
    <row r="58">
      <c r="A58" s="13" t="n">
        <v>53</v>
      </c>
      <c r="B58" s="13" t="inlineStr">
        <is>
          <t>Shear Walls</t>
        </is>
      </c>
      <c r="C58" s="13" t="inlineStr">
        <is>
          <t>STR-013/014</t>
        </is>
      </c>
      <c r="D58" s="13" t="inlineStr">
        <is>
          <t>Emergency stair core CW-15 (L=2425mm) 3rd to 4th - horizontal Y12@150 NF/FF</t>
        </is>
      </c>
      <c r="E58" s="19" t="inlineStr">
        <is>
          <t>H-Y12</t>
        </is>
      </c>
      <c r="F58" s="19" t="n">
        <v>12</v>
      </c>
      <c r="G58" s="19" t="n">
        <v>1</v>
      </c>
      <c r="H58" s="19">
        <f>2*20</f>
        <v>40.0</v>
      </c>
      <c r="I58" s="13">
        <f>G58*H58</f>
        <v>40.0</v>
      </c>
      <c r="J58" s="20">
        <f>(2425-2*30+40*12)/1000</f>
        <v>2.845</v>
      </c>
      <c r="K58" s="21">
        <f>I58*J58</f>
        <v>113.80000000000001</v>
      </c>
      <c r="L58" s="22">
        <f>F58^2/162</f>
        <v>0.8888888888888888</v>
      </c>
      <c r="M58" s="21">
        <f>K58*L58</f>
        <v>101.15555555555557</v>
      </c>
      <c r="N58" s="22">
        <f>M58/1000</f>
        <v>0.10115555555555557</v>
      </c>
      <c r="O58" s="13" t="inlineStr">
        <is>
          <t>Elevation count / plan length</t>
        </is>
      </c>
    </row>
    <row r="59">
      <c r="A59" s="13" t="n">
        <v>54</v>
      </c>
      <c r="B59" s="13" t="inlineStr">
        <is>
          <t>Shear Walls</t>
        </is>
      </c>
      <c r="C59" s="13" t="inlineStr">
        <is>
          <t>STR-013/014</t>
        </is>
      </c>
      <c r="D59" s="13" t="inlineStr">
        <is>
          <t>Emergency stair core CW-15 3rd to 4th - vertical Y25@150 NF/FF</t>
        </is>
      </c>
      <c r="E59" s="19" t="inlineStr">
        <is>
          <t>V-Y25</t>
        </is>
      </c>
      <c r="F59" s="19" t="n">
        <v>25</v>
      </c>
      <c r="G59" s="19" t="n">
        <v>1</v>
      </c>
      <c r="H59" s="19">
        <f>2*(ROUNDUP(2425/150,0)+1)</f>
        <v>36.0</v>
      </c>
      <c r="I59" s="13">
        <f>G59*H59</f>
        <v>36.0</v>
      </c>
      <c r="J59" s="20">
        <f>(3300+40*25)/1000</f>
        <v>4.3</v>
      </c>
      <c r="K59" s="21">
        <f>I59*J59</f>
        <v>154.79999999999998</v>
      </c>
      <c r="L59" s="22">
        <f>F59^2/162</f>
        <v>3.8580246913580245</v>
      </c>
      <c r="M59" s="21">
        <f>K59*L59</f>
        <v>597.2222222222222</v>
      </c>
      <c r="N59" s="22">
        <f>M59/1000</f>
        <v>0.5972222222222222</v>
      </c>
      <c r="O59" s="13" t="inlineStr">
        <is>
          <t>Elevation / plan</t>
        </is>
      </c>
    </row>
    <row r="60">
      <c r="A60" s="13" t="n">
        <v>55</v>
      </c>
      <c r="B60" s="13" t="inlineStr">
        <is>
          <t>Shear Walls</t>
        </is>
      </c>
      <c r="C60" s="13" t="inlineStr">
        <is>
          <t>STR-013/014</t>
        </is>
      </c>
      <c r="D60" s="13" t="inlineStr">
        <is>
          <t>Emergency stair core CW-16 (L=775mm) 3rd to 4th - horizontal Y12@150 NF/FF</t>
        </is>
      </c>
      <c r="E60" s="19" t="inlineStr">
        <is>
          <t>H-Y12</t>
        </is>
      </c>
      <c r="F60" s="19" t="n">
        <v>12</v>
      </c>
      <c r="G60" s="19" t="n">
        <v>1</v>
      </c>
      <c r="H60" s="19">
        <f>2*20</f>
        <v>40.0</v>
      </c>
      <c r="I60" s="13">
        <f>G60*H60</f>
        <v>40.0</v>
      </c>
      <c r="J60" s="20">
        <f>(775-2*30+40*12)/1000</f>
        <v>1.195</v>
      </c>
      <c r="K60" s="21">
        <f>I60*J60</f>
        <v>47.800000000000004</v>
      </c>
      <c r="L60" s="22">
        <f>F60^2/162</f>
        <v>0.8888888888888888</v>
      </c>
      <c r="M60" s="21">
        <f>K60*L60</f>
        <v>42.48888888888889</v>
      </c>
      <c r="N60" s="22">
        <f>M60/1000</f>
        <v>0.04248888888888889</v>
      </c>
      <c r="O60" s="13" t="inlineStr">
        <is>
          <t>Elevation count / plan length</t>
        </is>
      </c>
    </row>
    <row r="61">
      <c r="A61" s="13" t="n">
        <v>56</v>
      </c>
      <c r="B61" s="13" t="inlineStr">
        <is>
          <t>Shear Walls</t>
        </is>
      </c>
      <c r="C61" s="13" t="inlineStr">
        <is>
          <t>STR-013/014</t>
        </is>
      </c>
      <c r="D61" s="13" t="inlineStr">
        <is>
          <t>Emergency stair core CW-16 3rd to 4th - vertical Y25@150 NF/FF</t>
        </is>
      </c>
      <c r="E61" s="19" t="inlineStr">
        <is>
          <t>V-Y25</t>
        </is>
      </c>
      <c r="F61" s="19" t="n">
        <v>25</v>
      </c>
      <c r="G61" s="19" t="n">
        <v>1</v>
      </c>
      <c r="H61" s="19">
        <f>2*(ROUNDUP(775/150,0)+1)</f>
        <v>14.0</v>
      </c>
      <c r="I61" s="13">
        <f>G61*H61</f>
        <v>14.0</v>
      </c>
      <c r="J61" s="20">
        <f>(3300+40*25)/1000</f>
        <v>4.3</v>
      </c>
      <c r="K61" s="21">
        <f>I61*J61</f>
        <v>60.199999999999996</v>
      </c>
      <c r="L61" s="22">
        <f>F61^2/162</f>
        <v>3.8580246913580245</v>
      </c>
      <c r="M61" s="21">
        <f>K61*L61</f>
        <v>232.25308641975306</v>
      </c>
      <c r="N61" s="22">
        <f>M61/1000</f>
        <v>0.23225308641975306</v>
      </c>
      <c r="O61" s="13" t="inlineStr">
        <is>
          <t>Elevation / plan</t>
        </is>
      </c>
    </row>
    <row r="62">
      <c r="A62" s="13" t="n">
        <v>57</v>
      </c>
      <c r="B62" s="13" t="inlineStr">
        <is>
          <t>Shear Walls</t>
        </is>
      </c>
      <c r="C62" s="13" t="inlineStr">
        <is>
          <t>STR-013/014</t>
        </is>
      </c>
      <c r="D62" s="13" t="inlineStr">
        <is>
          <t>Emergency stair core CW-17 (L=360mm) 3rd to 4th - horizontal Y12@150 NF/FF</t>
        </is>
      </c>
      <c r="E62" s="19" t="inlineStr">
        <is>
          <t>H-Y12</t>
        </is>
      </c>
      <c r="F62" s="19" t="n">
        <v>12</v>
      </c>
      <c r="G62" s="19" t="n">
        <v>1</v>
      </c>
      <c r="H62" s="19">
        <f>2*20</f>
        <v>40.0</v>
      </c>
      <c r="I62" s="13">
        <f>G62*H62</f>
        <v>40.0</v>
      </c>
      <c r="J62" s="20">
        <f>(360-2*30+40*12)/1000</f>
        <v>0.78</v>
      </c>
      <c r="K62" s="21">
        <f>I62*J62</f>
        <v>31.200000000000003</v>
      </c>
      <c r="L62" s="22">
        <f>F62^2/162</f>
        <v>0.8888888888888888</v>
      </c>
      <c r="M62" s="21">
        <f>K62*L62</f>
        <v>27.733333333333334</v>
      </c>
      <c r="N62" s="22">
        <f>M62/1000</f>
        <v>0.027733333333333336</v>
      </c>
      <c r="O62" s="13" t="inlineStr">
        <is>
          <t>Elevation count / plan length</t>
        </is>
      </c>
    </row>
    <row r="63">
      <c r="A63" s="13" t="n">
        <v>58</v>
      </c>
      <c r="B63" s="13" t="inlineStr">
        <is>
          <t>Shear Walls</t>
        </is>
      </c>
      <c r="C63" s="13" t="inlineStr">
        <is>
          <t>STR-013/014</t>
        </is>
      </c>
      <c r="D63" s="13" t="inlineStr">
        <is>
          <t>Emergency stair core CW-17 3rd to 4th - vertical Y25@150 NF/FF</t>
        </is>
      </c>
      <c r="E63" s="19" t="inlineStr">
        <is>
          <t>V-Y25</t>
        </is>
      </c>
      <c r="F63" s="19" t="n">
        <v>25</v>
      </c>
      <c r="G63" s="19" t="n">
        <v>1</v>
      </c>
      <c r="H63" s="19">
        <f>2*(ROUNDUP(360/150,0)+1)</f>
        <v>8.0</v>
      </c>
      <c r="I63" s="13">
        <f>G63*H63</f>
        <v>8.0</v>
      </c>
      <c r="J63" s="20">
        <f>(3300+40*25)/1000</f>
        <v>4.3</v>
      </c>
      <c r="K63" s="21">
        <f>I63*J63</f>
        <v>34.4</v>
      </c>
      <c r="L63" s="22">
        <f>F63^2/162</f>
        <v>3.8580246913580245</v>
      </c>
      <c r="M63" s="21">
        <f>K63*L63</f>
        <v>132.71604938271605</v>
      </c>
      <c r="N63" s="22">
        <f>M63/1000</f>
        <v>0.13271604938271606</v>
      </c>
      <c r="O63" s="13" t="inlineStr">
        <is>
          <t>Elevation / plan</t>
        </is>
      </c>
    </row>
    <row r="64">
      <c r="A64" s="13" t="n">
        <v>59</v>
      </c>
      <c r="B64" s="13" t="inlineStr">
        <is>
          <t>Shear Walls</t>
        </is>
      </c>
      <c r="C64" s="13" t="inlineStr">
        <is>
          <t>STR-013/014</t>
        </is>
      </c>
      <c r="D64" s="13" t="inlineStr">
        <is>
          <t>Emergency stair core CW-18 (L=1300mm) 3rd to 4th - horizontal Y12@150 NF/FF</t>
        </is>
      </c>
      <c r="E64" s="19" t="inlineStr">
        <is>
          <t>H-Y12</t>
        </is>
      </c>
      <c r="F64" s="19" t="n">
        <v>12</v>
      </c>
      <c r="G64" s="19" t="n">
        <v>1</v>
      </c>
      <c r="H64" s="19">
        <f>2*20</f>
        <v>40.0</v>
      </c>
      <c r="I64" s="13">
        <f>G64*H64</f>
        <v>40.0</v>
      </c>
      <c r="J64" s="20">
        <f>(1300-2*30+40*12)/1000</f>
        <v>1.72</v>
      </c>
      <c r="K64" s="21">
        <f>I64*J64</f>
        <v>68.8</v>
      </c>
      <c r="L64" s="22">
        <f>F64^2/162</f>
        <v>0.8888888888888888</v>
      </c>
      <c r="M64" s="21">
        <f>K64*L64</f>
        <v>61.15555555555555</v>
      </c>
      <c r="N64" s="22">
        <f>M64/1000</f>
        <v>0.06115555555555555</v>
      </c>
      <c r="O64" s="13" t="inlineStr">
        <is>
          <t>Elevation count / plan length</t>
        </is>
      </c>
    </row>
    <row r="65">
      <c r="A65" s="13" t="n">
        <v>60</v>
      </c>
      <c r="B65" s="13" t="inlineStr">
        <is>
          <t>Shear Walls</t>
        </is>
      </c>
      <c r="C65" s="13" t="inlineStr">
        <is>
          <t>STR-013/014</t>
        </is>
      </c>
      <c r="D65" s="13" t="inlineStr">
        <is>
          <t>Emergency stair core CW-18 3rd to 4th - vertical Y25@150 NF/FF</t>
        </is>
      </c>
      <c r="E65" s="19" t="inlineStr">
        <is>
          <t>V-Y25</t>
        </is>
      </c>
      <c r="F65" s="19" t="n">
        <v>25</v>
      </c>
      <c r="G65" s="19" t="n">
        <v>1</v>
      </c>
      <c r="H65" s="19">
        <f>2*(ROUNDUP(1300/150,0)+1)</f>
        <v>20.0</v>
      </c>
      <c r="I65" s="13">
        <f>G65*H65</f>
        <v>20.0</v>
      </c>
      <c r="J65" s="20">
        <f>(3300+40*25)/1000</f>
        <v>4.3</v>
      </c>
      <c r="K65" s="21">
        <f>I65*J65</f>
        <v>86.0</v>
      </c>
      <c r="L65" s="22">
        <f>F65^2/162</f>
        <v>3.8580246913580245</v>
      </c>
      <c r="M65" s="21">
        <f>K65*L65</f>
        <v>331.7901234567901</v>
      </c>
      <c r="N65" s="22">
        <f>M65/1000</f>
        <v>0.33179012345679015</v>
      </c>
      <c r="O65" s="13" t="inlineStr">
        <is>
          <t>Elevation / plan</t>
        </is>
      </c>
    </row>
    <row r="66">
      <c r="A66" s="13" t="n">
        <v>61</v>
      </c>
      <c r="B66" s="13" t="inlineStr">
        <is>
          <t>Shear Walls</t>
        </is>
      </c>
      <c r="C66" s="13" t="inlineStr">
        <is>
          <t>STR-013/014</t>
        </is>
      </c>
      <c r="D66" s="13" t="inlineStr">
        <is>
          <t>Emergency stair core CW-19 (L=1100mm) 3rd to 4th - horizontal Y12@150 NF/FF</t>
        </is>
      </c>
      <c r="E66" s="19" t="inlineStr">
        <is>
          <t>H-Y12</t>
        </is>
      </c>
      <c r="F66" s="19" t="n">
        <v>12</v>
      </c>
      <c r="G66" s="19" t="n">
        <v>1</v>
      </c>
      <c r="H66" s="19">
        <f>2*20</f>
        <v>40.0</v>
      </c>
      <c r="I66" s="13">
        <f>G66*H66</f>
        <v>40.0</v>
      </c>
      <c r="J66" s="20">
        <f>(1100-2*30+40*12)/1000</f>
        <v>1.52</v>
      </c>
      <c r="K66" s="21">
        <f>I66*J66</f>
        <v>60.8</v>
      </c>
      <c r="L66" s="22">
        <f>F66^2/162</f>
        <v>0.8888888888888888</v>
      </c>
      <c r="M66" s="21">
        <f>K66*L66</f>
        <v>54.04444444444444</v>
      </c>
      <c r="N66" s="22">
        <f>M66/1000</f>
        <v>0.05404444444444444</v>
      </c>
      <c r="O66" s="13" t="inlineStr">
        <is>
          <t>Elevation count / plan length</t>
        </is>
      </c>
    </row>
    <row r="67">
      <c r="A67" s="13" t="n">
        <v>62</v>
      </c>
      <c r="B67" s="13" t="inlineStr">
        <is>
          <t>Shear Walls</t>
        </is>
      </c>
      <c r="C67" s="13" t="inlineStr">
        <is>
          <t>STR-013/014</t>
        </is>
      </c>
      <c r="D67" s="13" t="inlineStr">
        <is>
          <t>Emergency stair core CW-19 3rd to 4th - vertical Y25@150 NF/FF</t>
        </is>
      </c>
      <c r="E67" s="19" t="inlineStr">
        <is>
          <t>V-Y25</t>
        </is>
      </c>
      <c r="F67" s="19" t="n">
        <v>25</v>
      </c>
      <c r="G67" s="19" t="n">
        <v>1</v>
      </c>
      <c r="H67" s="19">
        <f>2*(ROUNDUP(1100/150,0)+1)</f>
        <v>18.0</v>
      </c>
      <c r="I67" s="13">
        <f>G67*H67</f>
        <v>18.0</v>
      </c>
      <c r="J67" s="20">
        <f>(3300+40*25)/1000</f>
        <v>4.3</v>
      </c>
      <c r="K67" s="21">
        <f>I67*J67</f>
        <v>77.39999999999999</v>
      </c>
      <c r="L67" s="22">
        <f>F67^2/162</f>
        <v>3.8580246913580245</v>
      </c>
      <c r="M67" s="21">
        <f>K67*L67</f>
        <v>298.6111111111111</v>
      </c>
      <c r="N67" s="22">
        <f>M67/1000</f>
        <v>0.2986111111111111</v>
      </c>
      <c r="O67" s="13" t="inlineStr">
        <is>
          <t>Elevation / plan</t>
        </is>
      </c>
    </row>
    <row r="68">
      <c r="A68" s="13" t="n">
        <v>63</v>
      </c>
      <c r="B68" s="13" t="inlineStr">
        <is>
          <t>Shear Walls</t>
        </is>
      </c>
      <c r="C68" s="13" t="inlineStr">
        <is>
          <t>STR-013/014</t>
        </is>
      </c>
      <c r="D68" s="13" t="inlineStr">
        <is>
          <t>Emergency stair core CW-20 (L=1300mm) 3rd to 4th - horizontal Y12@150 NF/FF</t>
        </is>
      </c>
      <c r="E68" s="19" t="inlineStr">
        <is>
          <t>H-Y12</t>
        </is>
      </c>
      <c r="F68" s="19" t="n">
        <v>12</v>
      </c>
      <c r="G68" s="19" t="n">
        <v>1</v>
      </c>
      <c r="H68" s="19">
        <f>2*20</f>
        <v>40.0</v>
      </c>
      <c r="I68" s="13">
        <f>G68*H68</f>
        <v>40.0</v>
      </c>
      <c r="J68" s="20">
        <f>(1300-2*30+40*12)/1000</f>
        <v>1.72</v>
      </c>
      <c r="K68" s="21">
        <f>I68*J68</f>
        <v>68.8</v>
      </c>
      <c r="L68" s="22">
        <f>F68^2/162</f>
        <v>0.8888888888888888</v>
      </c>
      <c r="M68" s="21">
        <f>K68*L68</f>
        <v>61.15555555555555</v>
      </c>
      <c r="N68" s="22">
        <f>M68/1000</f>
        <v>0.06115555555555555</v>
      </c>
      <c r="O68" s="13" t="inlineStr">
        <is>
          <t>Elevation count / plan length</t>
        </is>
      </c>
    </row>
    <row r="69">
      <c r="A69" s="13" t="n">
        <v>64</v>
      </c>
      <c r="B69" s="13" t="inlineStr">
        <is>
          <t>Shear Walls</t>
        </is>
      </c>
      <c r="C69" s="13" t="inlineStr">
        <is>
          <t>STR-013/014</t>
        </is>
      </c>
      <c r="D69" s="13" t="inlineStr">
        <is>
          <t>Emergency stair core CW-20 3rd to 4th - vertical Y25@150 NF/FF</t>
        </is>
      </c>
      <c r="E69" s="19" t="inlineStr">
        <is>
          <t>V-Y25</t>
        </is>
      </c>
      <c r="F69" s="19" t="n">
        <v>25</v>
      </c>
      <c r="G69" s="19" t="n">
        <v>1</v>
      </c>
      <c r="H69" s="19">
        <f>2*(ROUNDUP(1300/150,0)+1)</f>
        <v>20.0</v>
      </c>
      <c r="I69" s="13">
        <f>G69*H69</f>
        <v>20.0</v>
      </c>
      <c r="J69" s="20">
        <f>(3300+40*25)/1000</f>
        <v>4.3</v>
      </c>
      <c r="K69" s="21">
        <f>I69*J69</f>
        <v>86.0</v>
      </c>
      <c r="L69" s="22">
        <f>F69^2/162</f>
        <v>3.8580246913580245</v>
      </c>
      <c r="M69" s="21">
        <f>K69*L69</f>
        <v>331.7901234567901</v>
      </c>
      <c r="N69" s="22">
        <f>M69/1000</f>
        <v>0.33179012345679015</v>
      </c>
      <c r="O69" s="13" t="inlineStr">
        <is>
          <t>Elevation / plan</t>
        </is>
      </c>
    </row>
    <row r="70">
      <c r="A70" s="13" t="n">
        <v>65</v>
      </c>
      <c r="B70" s="13" t="inlineStr">
        <is>
          <t>Shear Walls</t>
        </is>
      </c>
      <c r="C70" s="13" t="inlineStr">
        <is>
          <t>STR-013/014</t>
        </is>
      </c>
      <c r="D70" s="13" t="inlineStr">
        <is>
          <t>Emergency stair core confinement links Y10@150 (33 positions on plan) 3rd to 4th</t>
        </is>
      </c>
      <c r="E70" s="19" t="inlineStr">
        <is>
          <t>LNK-Y10</t>
        </is>
      </c>
      <c r="F70" s="19" t="n">
        <v>10</v>
      </c>
      <c r="G70" s="19" t="n">
        <v>1</v>
      </c>
      <c r="H70" s="19">
        <f>33*ROUNDUP(3300/150,0)</f>
        <v>726.0</v>
      </c>
      <c r="I70" s="13">
        <f>G70*H70</f>
        <v>726.0</v>
      </c>
      <c r="J70" s="20">
        <f>1800/1000</f>
        <v>1.8</v>
      </c>
      <c r="K70" s="21">
        <f>I70*J70</f>
        <v>1306.8</v>
      </c>
      <c r="L70" s="22">
        <f>F70^2/162</f>
        <v>0.6172839506172839</v>
      </c>
      <c r="M70" s="21">
        <f>K70*L70</f>
        <v>806.6666666666666</v>
      </c>
      <c r="N70" s="22">
        <f>M70/1000</f>
        <v>0.8066666666666666</v>
      </c>
      <c r="O70" s="13" t="inlineStr">
        <is>
          <t>Assumed link cut length</t>
        </is>
      </c>
    </row>
    <row r="71">
      <c r="A71" s="13" t="n">
        <v>66</v>
      </c>
      <c r="B71" s="13" t="inlineStr">
        <is>
          <t>Lift Walls</t>
        </is>
      </c>
      <c r="C71" s="13" t="inlineStr">
        <is>
          <t>STR-015/017</t>
        </is>
      </c>
      <c r="D71" s="13" t="inlineStr">
        <is>
          <t>Main core (lift shafts) CW-02 (L=3600mm) 3rd to 4th - horizontal Y12@150 NF/FF</t>
        </is>
      </c>
      <c r="E71" s="19" t="inlineStr">
        <is>
          <t>H-Y12</t>
        </is>
      </c>
      <c r="F71" s="19" t="n">
        <v>12</v>
      </c>
      <c r="G71" s="19" t="n">
        <v>1</v>
      </c>
      <c r="H71" s="19">
        <f>2*20</f>
        <v>40.0</v>
      </c>
      <c r="I71" s="13">
        <f>G71*H71</f>
        <v>40.0</v>
      </c>
      <c r="J71" s="20">
        <f>(3600-2*30+40*12)/1000</f>
        <v>4.02</v>
      </c>
      <c r="K71" s="21">
        <f>I71*J71</f>
        <v>160.79999999999998</v>
      </c>
      <c r="L71" s="22">
        <f>F71^2/162</f>
        <v>0.8888888888888888</v>
      </c>
      <c r="M71" s="21">
        <f>K71*L71</f>
        <v>142.9333333333333</v>
      </c>
      <c r="N71" s="22">
        <f>M71/1000</f>
        <v>0.1429333333333333</v>
      </c>
      <c r="O71" s="13" t="inlineStr">
        <is>
          <t>Elevation count / plan length</t>
        </is>
      </c>
    </row>
    <row r="72">
      <c r="A72" s="13" t="n">
        <v>67</v>
      </c>
      <c r="B72" s="13" t="inlineStr">
        <is>
          <t>Lift Walls</t>
        </is>
      </c>
      <c r="C72" s="13" t="inlineStr">
        <is>
          <t>STR-015/017</t>
        </is>
      </c>
      <c r="D72" s="13" t="inlineStr">
        <is>
          <t>Main core (lift shafts) CW-02 3rd to 4th - vertical Y25@150 NF/FF</t>
        </is>
      </c>
      <c r="E72" s="19" t="inlineStr">
        <is>
          <t>V-Y25</t>
        </is>
      </c>
      <c r="F72" s="19" t="n">
        <v>25</v>
      </c>
      <c r="G72" s="19" t="n">
        <v>1</v>
      </c>
      <c r="H72" s="19">
        <f>2*29</f>
        <v>58.0</v>
      </c>
      <c r="I72" s="13">
        <f>G72*H72</f>
        <v>58.0</v>
      </c>
      <c r="J72" s="20">
        <f>(3300+40*25)/1000</f>
        <v>4.3</v>
      </c>
      <c r="K72" s="21">
        <f>I72*J72</f>
        <v>249.39999999999998</v>
      </c>
      <c r="L72" s="22">
        <f>F72^2/162</f>
        <v>3.8580246913580245</v>
      </c>
      <c r="M72" s="21">
        <f>K72*L72</f>
        <v>962.1913580246912</v>
      </c>
      <c r="N72" s="22">
        <f>M72/1000</f>
        <v>0.9621913580246912</v>
      </c>
      <c r="O72" s="13" t="inlineStr">
        <is>
          <t>Elevation / plan</t>
        </is>
      </c>
    </row>
    <row r="73">
      <c r="A73" s="13" t="n">
        <v>68</v>
      </c>
      <c r="B73" s="13" t="inlineStr">
        <is>
          <t>Lift Walls</t>
        </is>
      </c>
      <c r="C73" s="13" t="inlineStr">
        <is>
          <t>STR-015/017</t>
        </is>
      </c>
      <c r="D73" s="13" t="inlineStr">
        <is>
          <t>Main core (lift shafts) CW-03 (L=3600mm) 3rd to 4th - horizontal Y12@150 NF/FF</t>
        </is>
      </c>
      <c r="E73" s="19" t="inlineStr">
        <is>
          <t>H-Y12</t>
        </is>
      </c>
      <c r="F73" s="19" t="n">
        <v>12</v>
      </c>
      <c r="G73" s="19" t="n">
        <v>1</v>
      </c>
      <c r="H73" s="19">
        <f>2*20</f>
        <v>40.0</v>
      </c>
      <c r="I73" s="13">
        <f>G73*H73</f>
        <v>40.0</v>
      </c>
      <c r="J73" s="20">
        <f>(3600-2*30+40*12)/1000</f>
        <v>4.02</v>
      </c>
      <c r="K73" s="21">
        <f>I73*J73</f>
        <v>160.79999999999998</v>
      </c>
      <c r="L73" s="22">
        <f>F73^2/162</f>
        <v>0.8888888888888888</v>
      </c>
      <c r="M73" s="21">
        <f>K73*L73</f>
        <v>142.9333333333333</v>
      </c>
      <c r="N73" s="22">
        <f>M73/1000</f>
        <v>0.1429333333333333</v>
      </c>
      <c r="O73" s="13" t="inlineStr">
        <is>
          <t>Elevation count / plan length</t>
        </is>
      </c>
    </row>
    <row r="74">
      <c r="A74" s="13" t="n">
        <v>69</v>
      </c>
      <c r="B74" s="13" t="inlineStr">
        <is>
          <t>Lift Walls</t>
        </is>
      </c>
      <c r="C74" s="13" t="inlineStr">
        <is>
          <t>STR-015/017</t>
        </is>
      </c>
      <c r="D74" s="13" t="inlineStr">
        <is>
          <t>Main core (lift shafts) CW-03 3rd to 4th - vertical Y25@150 NF/FF</t>
        </is>
      </c>
      <c r="E74" s="19" t="inlineStr">
        <is>
          <t>V-Y25</t>
        </is>
      </c>
      <c r="F74" s="19" t="n">
        <v>25</v>
      </c>
      <c r="G74" s="19" t="n">
        <v>1</v>
      </c>
      <c r="H74" s="19">
        <f>2*29</f>
        <v>58.0</v>
      </c>
      <c r="I74" s="13">
        <f>G74*H74</f>
        <v>58.0</v>
      </c>
      <c r="J74" s="20">
        <f>(3300+40*25)/1000</f>
        <v>4.3</v>
      </c>
      <c r="K74" s="21">
        <f>I74*J74</f>
        <v>249.39999999999998</v>
      </c>
      <c r="L74" s="22">
        <f>F74^2/162</f>
        <v>3.8580246913580245</v>
      </c>
      <c r="M74" s="21">
        <f>K74*L74</f>
        <v>962.1913580246912</v>
      </c>
      <c r="N74" s="22">
        <f>M74/1000</f>
        <v>0.9621913580246912</v>
      </c>
      <c r="O74" s="13" t="inlineStr">
        <is>
          <t>Elevation / plan</t>
        </is>
      </c>
    </row>
    <row r="75">
      <c r="A75" s="13" t="n">
        <v>70</v>
      </c>
      <c r="B75" s="13" t="inlineStr">
        <is>
          <t>Lift Walls</t>
        </is>
      </c>
      <c r="C75" s="13" t="inlineStr">
        <is>
          <t>STR-015/017</t>
        </is>
      </c>
      <c r="D75" s="13" t="inlineStr">
        <is>
          <t>Main core (lift shafts) CW-04 (L=3600mm) 3rd to 4th - horizontal Y12@150 NF/FF</t>
        </is>
      </c>
      <c r="E75" s="19" t="inlineStr">
        <is>
          <t>H-Y12</t>
        </is>
      </c>
      <c r="F75" s="19" t="n">
        <v>12</v>
      </c>
      <c r="G75" s="19" t="n">
        <v>1</v>
      </c>
      <c r="H75" s="19">
        <f>2*20</f>
        <v>40.0</v>
      </c>
      <c r="I75" s="13">
        <f>G75*H75</f>
        <v>40.0</v>
      </c>
      <c r="J75" s="20">
        <f>(3600-2*30+40*12)/1000</f>
        <v>4.02</v>
      </c>
      <c r="K75" s="21">
        <f>I75*J75</f>
        <v>160.79999999999998</v>
      </c>
      <c r="L75" s="22">
        <f>F75^2/162</f>
        <v>0.8888888888888888</v>
      </c>
      <c r="M75" s="21">
        <f>K75*L75</f>
        <v>142.9333333333333</v>
      </c>
      <c r="N75" s="22">
        <f>M75/1000</f>
        <v>0.1429333333333333</v>
      </c>
      <c r="O75" s="13" t="inlineStr">
        <is>
          <t>Elevation count / plan length</t>
        </is>
      </c>
    </row>
    <row r="76">
      <c r="A76" s="13" t="n">
        <v>71</v>
      </c>
      <c r="B76" s="13" t="inlineStr">
        <is>
          <t>Lift Walls</t>
        </is>
      </c>
      <c r="C76" s="13" t="inlineStr">
        <is>
          <t>STR-015/017</t>
        </is>
      </c>
      <c r="D76" s="13" t="inlineStr">
        <is>
          <t>Main core (lift shafts) CW-04 3rd to 4th - vertical Y25@150 NF/FF</t>
        </is>
      </c>
      <c r="E76" s="19" t="inlineStr">
        <is>
          <t>V-Y25</t>
        </is>
      </c>
      <c r="F76" s="19" t="n">
        <v>25</v>
      </c>
      <c r="G76" s="19" t="n">
        <v>1</v>
      </c>
      <c r="H76" s="19">
        <f>2*29</f>
        <v>58.0</v>
      </c>
      <c r="I76" s="13">
        <f>G76*H76</f>
        <v>58.0</v>
      </c>
      <c r="J76" s="20">
        <f>(3300+40*25)/1000</f>
        <v>4.3</v>
      </c>
      <c r="K76" s="21">
        <f>I76*J76</f>
        <v>249.39999999999998</v>
      </c>
      <c r="L76" s="22">
        <f>F76^2/162</f>
        <v>3.8580246913580245</v>
      </c>
      <c r="M76" s="21">
        <f>K76*L76</f>
        <v>962.1913580246912</v>
      </c>
      <c r="N76" s="22">
        <f>M76/1000</f>
        <v>0.9621913580246912</v>
      </c>
      <c r="O76" s="13" t="inlineStr">
        <is>
          <t>Elevation / plan</t>
        </is>
      </c>
    </row>
    <row r="77">
      <c r="A77" s="13" t="n">
        <v>72</v>
      </c>
      <c r="B77" s="13" t="inlineStr">
        <is>
          <t>Lift Walls</t>
        </is>
      </c>
      <c r="C77" s="13" t="inlineStr">
        <is>
          <t>STR-015/017</t>
        </is>
      </c>
      <c r="D77" s="13" t="inlineStr">
        <is>
          <t>Main core (lift shafts) CW-06 (L=2025mm) 3rd to 4th - horizontal Y12@150 NF/FF</t>
        </is>
      </c>
      <c r="E77" s="19" t="inlineStr">
        <is>
          <t>H-Y12</t>
        </is>
      </c>
      <c r="F77" s="19" t="n">
        <v>12</v>
      </c>
      <c r="G77" s="19" t="n">
        <v>1</v>
      </c>
      <c r="H77" s="19">
        <f>2*20</f>
        <v>40.0</v>
      </c>
      <c r="I77" s="13">
        <f>G77*H77</f>
        <v>40.0</v>
      </c>
      <c r="J77" s="20">
        <f>(2025-2*30+40*12)/1000</f>
        <v>2.445</v>
      </c>
      <c r="K77" s="21">
        <f>I77*J77</f>
        <v>97.8</v>
      </c>
      <c r="L77" s="22">
        <f>F77^2/162</f>
        <v>0.8888888888888888</v>
      </c>
      <c r="M77" s="21">
        <f>K77*L77</f>
        <v>86.93333333333332</v>
      </c>
      <c r="N77" s="22">
        <f>M77/1000</f>
        <v>0.08693333333333332</v>
      </c>
      <c r="O77" s="13" t="inlineStr">
        <is>
          <t>Elevation count / plan length</t>
        </is>
      </c>
    </row>
    <row r="78">
      <c r="A78" s="13" t="n">
        <v>73</v>
      </c>
      <c r="B78" s="13" t="inlineStr">
        <is>
          <t>Lift Walls</t>
        </is>
      </c>
      <c r="C78" s="13" t="inlineStr">
        <is>
          <t>STR-015/017</t>
        </is>
      </c>
      <c r="D78" s="13" t="inlineStr">
        <is>
          <t>Main core (lift shafts) CW-06 3rd to 4th - vertical Y25@150 NF/FF</t>
        </is>
      </c>
      <c r="E78" s="19" t="inlineStr">
        <is>
          <t>V-Y25</t>
        </is>
      </c>
      <c r="F78" s="19" t="n">
        <v>25</v>
      </c>
      <c r="G78" s="19" t="n">
        <v>1</v>
      </c>
      <c r="H78" s="19">
        <f>2*(ROUNDUP(2025/150,0)+1)</f>
        <v>30.0</v>
      </c>
      <c r="I78" s="13">
        <f>G78*H78</f>
        <v>30.0</v>
      </c>
      <c r="J78" s="20">
        <f>(3300+40*25)/1000</f>
        <v>4.3</v>
      </c>
      <c r="K78" s="21">
        <f>I78*J78</f>
        <v>129.0</v>
      </c>
      <c r="L78" s="22">
        <f>F78^2/162</f>
        <v>3.8580246913580245</v>
      </c>
      <c r="M78" s="21">
        <f>K78*L78</f>
        <v>497.68518518518516</v>
      </c>
      <c r="N78" s="22">
        <f>M78/1000</f>
        <v>0.4976851851851852</v>
      </c>
      <c r="O78" s="13" t="inlineStr">
        <is>
          <t>Elevation / plan</t>
        </is>
      </c>
    </row>
    <row r="79">
      <c r="A79" s="13" t="n">
        <v>74</v>
      </c>
      <c r="B79" s="13" t="inlineStr">
        <is>
          <t>Lift Walls</t>
        </is>
      </c>
      <c r="C79" s="13" t="inlineStr">
        <is>
          <t>STR-015/017</t>
        </is>
      </c>
      <c r="D79" s="13" t="inlineStr">
        <is>
          <t>Main core (lift shafts) CW-08 (L=4500mm) 3rd to 4th - horizontal Y12@150 NF/FF</t>
        </is>
      </c>
      <c r="E79" s="19" t="inlineStr">
        <is>
          <t>H-Y12</t>
        </is>
      </c>
      <c r="F79" s="19" t="n">
        <v>12</v>
      </c>
      <c r="G79" s="19" t="n">
        <v>1</v>
      </c>
      <c r="H79" s="19">
        <f>2*20</f>
        <v>40.0</v>
      </c>
      <c r="I79" s="13">
        <f>G79*H79</f>
        <v>40.0</v>
      </c>
      <c r="J79" s="20">
        <f>(4500-2*30+40*12)/1000</f>
        <v>4.92</v>
      </c>
      <c r="K79" s="21">
        <f>I79*J79</f>
        <v>196.8</v>
      </c>
      <c r="L79" s="22">
        <f>F79^2/162</f>
        <v>0.8888888888888888</v>
      </c>
      <c r="M79" s="21">
        <f>K79*L79</f>
        <v>174.93333333333334</v>
      </c>
      <c r="N79" s="22">
        <f>M79/1000</f>
        <v>0.17493333333333333</v>
      </c>
      <c r="O79" s="13" t="inlineStr">
        <is>
          <t>Elevation count / plan length</t>
        </is>
      </c>
    </row>
    <row r="80">
      <c r="A80" s="13" t="n">
        <v>75</v>
      </c>
      <c r="B80" s="13" t="inlineStr">
        <is>
          <t>Lift Walls</t>
        </is>
      </c>
      <c r="C80" s="13" t="inlineStr">
        <is>
          <t>STR-015/017</t>
        </is>
      </c>
      <c r="D80" s="13" t="inlineStr">
        <is>
          <t>Main core (lift shafts) CW-08 3rd to 4th - vertical Y25@150 NF/FF</t>
        </is>
      </c>
      <c r="E80" s="19" t="inlineStr">
        <is>
          <t>V-Y25</t>
        </is>
      </c>
      <c r="F80" s="19" t="n">
        <v>25</v>
      </c>
      <c r="G80" s="19" t="n">
        <v>1</v>
      </c>
      <c r="H80" s="19">
        <f>2*(ROUNDUP(4500/150,0)+1)</f>
        <v>62.0</v>
      </c>
      <c r="I80" s="13">
        <f>G80*H80</f>
        <v>62.0</v>
      </c>
      <c r="J80" s="20">
        <f>(3300+40*25)/1000</f>
        <v>4.3</v>
      </c>
      <c r="K80" s="21">
        <f>I80*J80</f>
        <v>266.59999999999997</v>
      </c>
      <c r="L80" s="22">
        <f>F80^2/162</f>
        <v>3.8580246913580245</v>
      </c>
      <c r="M80" s="21">
        <f>K80*L80</f>
        <v>1028.5493827160492</v>
      </c>
      <c r="N80" s="22">
        <f>M80/1000</f>
        <v>1.0285493827160492</v>
      </c>
      <c r="O80" s="13" t="inlineStr">
        <is>
          <t>Elevation / plan</t>
        </is>
      </c>
    </row>
    <row r="81">
      <c r="A81" s="13" t="n">
        <v>76</v>
      </c>
      <c r="B81" s="13" t="inlineStr">
        <is>
          <t>Lift Walls</t>
        </is>
      </c>
      <c r="C81" s="13" t="inlineStr">
        <is>
          <t>STR-015/017</t>
        </is>
      </c>
      <c r="D81" s="13" t="inlineStr">
        <is>
          <t>Main core (lift shafts) CW-07 (lift section) (L=4500mm) 3rd to 4th - horizontal Y12@150 NF/FF</t>
        </is>
      </c>
      <c r="E81" s="19" t="inlineStr">
        <is>
          <t>H-Y12</t>
        </is>
      </c>
      <c r="F81" s="19" t="n">
        <v>12</v>
      </c>
      <c r="G81" s="19" t="n">
        <v>1</v>
      </c>
      <c r="H81" s="19">
        <f>2*20</f>
        <v>40.0</v>
      </c>
      <c r="I81" s="13">
        <f>G81*H81</f>
        <v>40.0</v>
      </c>
      <c r="J81" s="20">
        <f>(4500-2*30+40*12)/1000</f>
        <v>4.92</v>
      </c>
      <c r="K81" s="21">
        <f>I81*J81</f>
        <v>196.8</v>
      </c>
      <c r="L81" s="22">
        <f>F81^2/162</f>
        <v>0.8888888888888888</v>
      </c>
      <c r="M81" s="21">
        <f>K81*L81</f>
        <v>174.93333333333334</v>
      </c>
      <c r="N81" s="22">
        <f>M81/1000</f>
        <v>0.17493333333333333</v>
      </c>
      <c r="O81" s="13" t="inlineStr">
        <is>
          <t>Elevation count / plan length</t>
        </is>
      </c>
    </row>
    <row r="82">
      <c r="A82" s="13" t="n">
        <v>77</v>
      </c>
      <c r="B82" s="13" t="inlineStr">
        <is>
          <t>Lift Walls</t>
        </is>
      </c>
      <c r="C82" s="13" t="inlineStr">
        <is>
          <t>STR-015/017</t>
        </is>
      </c>
      <c r="D82" s="13" t="inlineStr">
        <is>
          <t>Main core (lift shafts) CW-07 (lift section) 3rd to 4th - vertical Y25@150 NF/FF</t>
        </is>
      </c>
      <c r="E82" s="19" t="inlineStr">
        <is>
          <t>V-Y25</t>
        </is>
      </c>
      <c r="F82" s="19" t="n">
        <v>25</v>
      </c>
      <c r="G82" s="19" t="n">
        <v>1</v>
      </c>
      <c r="H82" s="19">
        <f>2*(ROUNDUP(4500/150,0)+1)</f>
        <v>62.0</v>
      </c>
      <c r="I82" s="13">
        <f>G82*H82</f>
        <v>62.0</v>
      </c>
      <c r="J82" s="20">
        <f>(3300+40*25)/1000</f>
        <v>4.3</v>
      </c>
      <c r="K82" s="21">
        <f>I82*J82</f>
        <v>266.59999999999997</v>
      </c>
      <c r="L82" s="22">
        <f>F82^2/162</f>
        <v>3.8580246913580245</v>
      </c>
      <c r="M82" s="21">
        <f>K82*L82</f>
        <v>1028.5493827160492</v>
      </c>
      <c r="N82" s="22">
        <f>M82/1000</f>
        <v>1.0285493827160492</v>
      </c>
      <c r="O82" s="13" t="inlineStr">
        <is>
          <t>Elevation / plan</t>
        </is>
      </c>
    </row>
    <row r="83">
      <c r="A83" s="13" t="n">
        <v>78</v>
      </c>
      <c r="B83" s="13" t="inlineStr">
        <is>
          <t>Lift Walls</t>
        </is>
      </c>
      <c r="C83" s="13" t="inlineStr">
        <is>
          <t>STR-015/017</t>
        </is>
      </c>
      <c r="D83" s="13" t="inlineStr">
        <is>
          <t>Main core (lift shafts) confinement links Y10@150 (26 positions on plan) 3rd to 4th</t>
        </is>
      </c>
      <c r="E83" s="19" t="inlineStr">
        <is>
          <t>LNK-Y10</t>
        </is>
      </c>
      <c r="F83" s="19" t="n">
        <v>10</v>
      </c>
      <c r="G83" s="19" t="n">
        <v>1</v>
      </c>
      <c r="H83" s="19">
        <f>26*ROUNDUP(3300/150,0)</f>
        <v>572.0</v>
      </c>
      <c r="I83" s="13">
        <f>G83*H83</f>
        <v>572.0</v>
      </c>
      <c r="J83" s="20">
        <f>1800/1000</f>
        <v>1.8</v>
      </c>
      <c r="K83" s="21">
        <f>I83*J83</f>
        <v>1029.6000000000001</v>
      </c>
      <c r="L83" s="22">
        <f>F83^2/162</f>
        <v>0.6172839506172839</v>
      </c>
      <c r="M83" s="21">
        <f>K83*L83</f>
        <v>635.5555555555557</v>
      </c>
      <c r="N83" s="22">
        <f>M83/1000</f>
        <v>0.6355555555555557</v>
      </c>
      <c r="O83" s="13" t="inlineStr">
        <is>
          <t>Assumed link cut length</t>
        </is>
      </c>
    </row>
    <row r="84">
      <c r="A84" s="13" t="n">
        <v>79</v>
      </c>
      <c r="B84" s="13" t="inlineStr">
        <is>
          <t>Beams</t>
        </is>
      </c>
      <c r="C84" s="13" t="inlineStr">
        <is>
          <t>STR-072</t>
        </is>
      </c>
      <c r="D84" s="13" t="inlineStr">
        <is>
          <t>Third floor beams</t>
        </is>
      </c>
      <c r="E84" s="19" t="inlineStr">
        <is>
          <t>1001</t>
        </is>
      </c>
      <c r="F84" s="19" t="n">
        <v>10</v>
      </c>
      <c r="G84" s="19" t="n">
        <v>1</v>
      </c>
      <c r="H84" s="19" t="n">
        <v>633</v>
      </c>
      <c r="I84" s="13">
        <f>G84*H84</f>
        <v>633.0</v>
      </c>
      <c r="J84" s="20">
        <f>1700/1000</f>
        <v>1.7</v>
      </c>
      <c r="K84" s="21">
        <f>I84*J84</f>
        <v>1076.1</v>
      </c>
      <c r="L84" s="22">
        <f>F84^2/162</f>
        <v>0.6172839506172839</v>
      </c>
      <c r="M84" s="21">
        <f>K84*L84</f>
        <v>664.2592592592591</v>
      </c>
      <c r="N84" s="22">
        <f>M84/1000</f>
        <v>0.6642592592592591</v>
      </c>
      <c r="O84" s="13" t="inlineStr">
        <is>
          <t>BBS</t>
        </is>
      </c>
    </row>
    <row r="85">
      <c r="A85" s="13" t="n">
        <v>80</v>
      </c>
      <c r="B85" s="13" t="inlineStr">
        <is>
          <t>Beams</t>
        </is>
      </c>
      <c r="C85" s="13" t="inlineStr">
        <is>
          <t>STR-072</t>
        </is>
      </c>
      <c r="D85" s="13" t="inlineStr">
        <is>
          <t>Third floor beams</t>
        </is>
      </c>
      <c r="E85" s="19" t="inlineStr">
        <is>
          <t>1002</t>
        </is>
      </c>
      <c r="F85" s="19" t="n">
        <v>10</v>
      </c>
      <c r="G85" s="19" t="n">
        <v>1</v>
      </c>
      <c r="H85" s="19" t="n">
        <v>540</v>
      </c>
      <c r="I85" s="13">
        <f>G85*H85</f>
        <v>540.0</v>
      </c>
      <c r="J85" s="20">
        <f>1500/1000</f>
        <v>1.5</v>
      </c>
      <c r="K85" s="21">
        <f>I85*J85</f>
        <v>810.0</v>
      </c>
      <c r="L85" s="22">
        <f>F85^2/162</f>
        <v>0.6172839506172839</v>
      </c>
      <c r="M85" s="21">
        <f>K85*L85</f>
        <v>500.0</v>
      </c>
      <c r="N85" s="22">
        <f>M85/1000</f>
        <v>0.5</v>
      </c>
      <c r="O85" s="13" t="inlineStr">
        <is>
          <t>BBS</t>
        </is>
      </c>
    </row>
    <row r="86">
      <c r="A86" s="13" t="n">
        <v>81</v>
      </c>
      <c r="B86" s="13" t="inlineStr">
        <is>
          <t>Beams</t>
        </is>
      </c>
      <c r="C86" s="13" t="inlineStr">
        <is>
          <t>STR-072</t>
        </is>
      </c>
      <c r="D86" s="13" t="inlineStr">
        <is>
          <t>Third floor beams</t>
        </is>
      </c>
      <c r="E86" s="19" t="inlineStr">
        <is>
          <t>1601</t>
        </is>
      </c>
      <c r="F86" s="19" t="n">
        <v>16</v>
      </c>
      <c r="G86" s="19" t="n">
        <v>1</v>
      </c>
      <c r="H86" s="19" t="n">
        <v>18</v>
      </c>
      <c r="I86" s="13">
        <f>G86*H86</f>
        <v>18.0</v>
      </c>
      <c r="J86" s="20">
        <f>12000/1000</f>
        <v>12.0</v>
      </c>
      <c r="K86" s="21">
        <f>I86*J86</f>
        <v>216.0</v>
      </c>
      <c r="L86" s="22">
        <f>F86^2/162</f>
        <v>1.5802469135802468</v>
      </c>
      <c r="M86" s="21">
        <f>K86*L86</f>
        <v>341.3333333333333</v>
      </c>
      <c r="N86" s="22">
        <f>M86/1000</f>
        <v>0.3413333333333333</v>
      </c>
      <c r="O86" s="13" t="inlineStr">
        <is>
          <t>BBS</t>
        </is>
      </c>
    </row>
    <row r="87">
      <c r="A87" s="13" t="n">
        <v>82</v>
      </c>
      <c r="B87" s="13" t="inlineStr">
        <is>
          <t>Beams</t>
        </is>
      </c>
      <c r="C87" s="13" t="inlineStr">
        <is>
          <t>STR-072</t>
        </is>
      </c>
      <c r="D87" s="13" t="inlineStr">
        <is>
          <t>Third floor beams</t>
        </is>
      </c>
      <c r="E87" s="19" t="inlineStr">
        <is>
          <t>1602</t>
        </is>
      </c>
      <c r="F87" s="19" t="n">
        <v>16</v>
      </c>
      <c r="G87" s="19" t="n">
        <v>1</v>
      </c>
      <c r="H87" s="19" t="n">
        <v>2</v>
      </c>
      <c r="I87" s="13">
        <f>G87*H87</f>
        <v>2.0</v>
      </c>
      <c r="J87" s="20">
        <f>7275/1000</f>
        <v>7.275</v>
      </c>
      <c r="K87" s="21">
        <f>I87*J87</f>
        <v>14.55</v>
      </c>
      <c r="L87" s="22">
        <f>F87^2/162</f>
        <v>1.5802469135802468</v>
      </c>
      <c r="M87" s="21">
        <f>K87*L87</f>
        <v>22.992592592592594</v>
      </c>
      <c r="N87" s="22">
        <f>M87/1000</f>
        <v>0.022992592592592592</v>
      </c>
      <c r="O87" s="13" t="inlineStr">
        <is>
          <t>BBS</t>
        </is>
      </c>
    </row>
    <row r="88">
      <c r="A88" s="13" t="n">
        <v>83</v>
      </c>
      <c r="B88" s="13" t="inlineStr">
        <is>
          <t>Beams</t>
        </is>
      </c>
      <c r="C88" s="13" t="inlineStr">
        <is>
          <t>STR-072</t>
        </is>
      </c>
      <c r="D88" s="13" t="inlineStr">
        <is>
          <t>Third floor beams</t>
        </is>
      </c>
      <c r="E88" s="19" t="inlineStr">
        <is>
          <t>1603</t>
        </is>
      </c>
      <c r="F88" s="19" t="n">
        <v>16</v>
      </c>
      <c r="G88" s="19" t="n">
        <v>1</v>
      </c>
      <c r="H88" s="19" t="n">
        <v>4</v>
      </c>
      <c r="I88" s="13">
        <f>G88*H88</f>
        <v>4.0</v>
      </c>
      <c r="J88" s="20">
        <f>7850/1000</f>
        <v>7.85</v>
      </c>
      <c r="K88" s="21">
        <f>I88*J88</f>
        <v>31.4</v>
      </c>
      <c r="L88" s="22">
        <f>F88^2/162</f>
        <v>1.5802469135802468</v>
      </c>
      <c r="M88" s="21">
        <f>K88*L88</f>
        <v>49.61975308641975</v>
      </c>
      <c r="N88" s="22">
        <f>M88/1000</f>
        <v>0.04961975308641975</v>
      </c>
      <c r="O88" s="13" t="inlineStr">
        <is>
          <t>BBS</t>
        </is>
      </c>
    </row>
    <row r="89">
      <c r="A89" s="13" t="n">
        <v>84</v>
      </c>
      <c r="B89" s="13" t="inlineStr">
        <is>
          <t>Beams</t>
        </is>
      </c>
      <c r="C89" s="13" t="inlineStr">
        <is>
          <t>STR-072</t>
        </is>
      </c>
      <c r="D89" s="13" t="inlineStr">
        <is>
          <t>Third floor beams</t>
        </is>
      </c>
      <c r="E89" s="19" t="inlineStr">
        <is>
          <t>1604</t>
        </is>
      </c>
      <c r="F89" s="19" t="n">
        <v>16</v>
      </c>
      <c r="G89" s="19" t="n">
        <v>1</v>
      </c>
      <c r="H89" s="19" t="n">
        <v>2</v>
      </c>
      <c r="I89" s="13">
        <f>G89*H89</f>
        <v>2.0</v>
      </c>
      <c r="J89" s="20">
        <f>7400/1000</f>
        <v>7.4</v>
      </c>
      <c r="K89" s="21">
        <f>I89*J89</f>
        <v>14.8</v>
      </c>
      <c r="L89" s="22">
        <f>F89^2/162</f>
        <v>1.5802469135802468</v>
      </c>
      <c r="M89" s="21">
        <f>K89*L89</f>
        <v>23.387654320987654</v>
      </c>
      <c r="N89" s="22">
        <f>M89/1000</f>
        <v>0.023387654320987654</v>
      </c>
      <c r="O89" s="13" t="inlineStr">
        <is>
          <t>BBS</t>
        </is>
      </c>
    </row>
    <row r="90">
      <c r="A90" s="13" t="n">
        <v>85</v>
      </c>
      <c r="B90" s="13" t="inlineStr">
        <is>
          <t>Beams</t>
        </is>
      </c>
      <c r="C90" s="13" t="inlineStr">
        <is>
          <t>STR-072</t>
        </is>
      </c>
      <c r="D90" s="13" t="inlineStr">
        <is>
          <t>Third floor beams</t>
        </is>
      </c>
      <c r="E90" s="19" t="inlineStr">
        <is>
          <t>1605</t>
        </is>
      </c>
      <c r="F90" s="19" t="n">
        <v>16</v>
      </c>
      <c r="G90" s="19" t="n">
        <v>1</v>
      </c>
      <c r="H90" s="19" t="n">
        <v>2</v>
      </c>
      <c r="I90" s="13">
        <f>G90*H90</f>
        <v>2.0</v>
      </c>
      <c r="J90" s="20">
        <f>11800/1000</f>
        <v>11.8</v>
      </c>
      <c r="K90" s="21">
        <f>I90*J90</f>
        <v>23.6</v>
      </c>
      <c r="L90" s="22">
        <f>F90^2/162</f>
        <v>1.5802469135802468</v>
      </c>
      <c r="M90" s="21">
        <f>K90*L90</f>
        <v>37.29382716049383</v>
      </c>
      <c r="N90" s="22">
        <f>M90/1000</f>
        <v>0.03729382716049383</v>
      </c>
      <c r="O90" s="13" t="inlineStr">
        <is>
          <t>BBS</t>
        </is>
      </c>
    </row>
    <row r="91">
      <c r="A91" s="13" t="n">
        <v>86</v>
      </c>
      <c r="B91" s="13" t="inlineStr">
        <is>
          <t>Beams</t>
        </is>
      </c>
      <c r="C91" s="13" t="inlineStr">
        <is>
          <t>STR-072</t>
        </is>
      </c>
      <c r="D91" s="13" t="inlineStr">
        <is>
          <t>Third floor beams</t>
        </is>
      </c>
      <c r="E91" s="19" t="inlineStr">
        <is>
          <t>1606</t>
        </is>
      </c>
      <c r="F91" s="19" t="n">
        <v>16</v>
      </c>
      <c r="G91" s="19" t="n">
        <v>1</v>
      </c>
      <c r="H91" s="19" t="n">
        <v>3</v>
      </c>
      <c r="I91" s="13">
        <f>G91*H91</f>
        <v>3.0</v>
      </c>
      <c r="J91" s="20">
        <f>11550/1000</f>
        <v>11.55</v>
      </c>
      <c r="K91" s="21">
        <f>I91*J91</f>
        <v>34.650000000000006</v>
      </c>
      <c r="L91" s="22">
        <f>F91^2/162</f>
        <v>1.5802469135802468</v>
      </c>
      <c r="M91" s="21">
        <f>K91*L91</f>
        <v>54.75555555555556</v>
      </c>
      <c r="N91" s="22">
        <f>M91/1000</f>
        <v>0.05475555555555556</v>
      </c>
      <c r="O91" s="13" t="inlineStr">
        <is>
          <t>BBS</t>
        </is>
      </c>
    </row>
    <row r="92">
      <c r="A92" s="13" t="n">
        <v>87</v>
      </c>
      <c r="B92" s="13" t="inlineStr">
        <is>
          <t>Beams</t>
        </is>
      </c>
      <c r="C92" s="13" t="inlineStr">
        <is>
          <t>STR-072</t>
        </is>
      </c>
      <c r="D92" s="13" t="inlineStr">
        <is>
          <t>Third floor beams</t>
        </is>
      </c>
      <c r="E92" s="19" t="inlineStr">
        <is>
          <t>1607</t>
        </is>
      </c>
      <c r="F92" s="19" t="n">
        <v>16</v>
      </c>
      <c r="G92" s="19" t="n">
        <v>1</v>
      </c>
      <c r="H92" s="19" t="n">
        <v>3</v>
      </c>
      <c r="I92" s="13">
        <f>G92*H92</f>
        <v>3.0</v>
      </c>
      <c r="J92" s="20">
        <f>6450/1000</f>
        <v>6.45</v>
      </c>
      <c r="K92" s="21">
        <f>I92*J92</f>
        <v>19.35</v>
      </c>
      <c r="L92" s="22">
        <f>F92^2/162</f>
        <v>1.5802469135802468</v>
      </c>
      <c r="M92" s="21">
        <f>K92*L92</f>
        <v>30.57777777777778</v>
      </c>
      <c r="N92" s="22">
        <f>M92/1000</f>
        <v>0.03057777777777778</v>
      </c>
      <c r="O92" s="13" t="inlineStr">
        <is>
          <t>BBS</t>
        </is>
      </c>
    </row>
    <row r="93">
      <c r="A93" s="13" t="n">
        <v>88</v>
      </c>
      <c r="B93" s="13" t="inlineStr">
        <is>
          <t>Beams</t>
        </is>
      </c>
      <c r="C93" s="13" t="inlineStr">
        <is>
          <t>STR-072</t>
        </is>
      </c>
      <c r="D93" s="13" t="inlineStr">
        <is>
          <t>Third floor beams</t>
        </is>
      </c>
      <c r="E93" s="19" t="inlineStr">
        <is>
          <t>1608</t>
        </is>
      </c>
      <c r="F93" s="19" t="n">
        <v>16</v>
      </c>
      <c r="G93" s="19" t="n">
        <v>1</v>
      </c>
      <c r="H93" s="19" t="n">
        <v>3</v>
      </c>
      <c r="I93" s="13">
        <f>G93*H93</f>
        <v>3.0</v>
      </c>
      <c r="J93" s="20">
        <f>7600/1000</f>
        <v>7.6</v>
      </c>
      <c r="K93" s="21">
        <f>I93*J93</f>
        <v>22.799999999999997</v>
      </c>
      <c r="L93" s="22">
        <f>F93^2/162</f>
        <v>1.5802469135802468</v>
      </c>
      <c r="M93" s="21">
        <f>K93*L93</f>
        <v>36.029629629629625</v>
      </c>
      <c r="N93" s="22">
        <f>M93/1000</f>
        <v>0.03602962962962963</v>
      </c>
      <c r="O93" s="13" t="inlineStr">
        <is>
          <t>BBS</t>
        </is>
      </c>
    </row>
    <row r="94">
      <c r="A94" s="13" t="n">
        <v>89</v>
      </c>
      <c r="B94" s="13" t="inlineStr">
        <is>
          <t>Beams</t>
        </is>
      </c>
      <c r="C94" s="13" t="inlineStr">
        <is>
          <t>STR-072</t>
        </is>
      </c>
      <c r="D94" s="13" t="inlineStr">
        <is>
          <t>Third floor beams</t>
        </is>
      </c>
      <c r="E94" s="19" t="inlineStr">
        <is>
          <t>1609</t>
        </is>
      </c>
      <c r="F94" s="19" t="n">
        <v>16</v>
      </c>
      <c r="G94" s="19" t="n">
        <v>1</v>
      </c>
      <c r="H94" s="19" t="n">
        <v>2</v>
      </c>
      <c r="I94" s="13">
        <f>G94*H94</f>
        <v>2.0</v>
      </c>
      <c r="J94" s="20">
        <f>10050/1000</f>
        <v>10.05</v>
      </c>
      <c r="K94" s="21">
        <f>I94*J94</f>
        <v>20.1</v>
      </c>
      <c r="L94" s="22">
        <f>F94^2/162</f>
        <v>1.5802469135802468</v>
      </c>
      <c r="M94" s="21">
        <f>K94*L94</f>
        <v>31.762962962962963</v>
      </c>
      <c r="N94" s="22">
        <f>M94/1000</f>
        <v>0.031762962962962965</v>
      </c>
      <c r="O94" s="13" t="inlineStr">
        <is>
          <t>BBS</t>
        </is>
      </c>
    </row>
    <row r="95">
      <c r="A95" s="13" t="n">
        <v>90</v>
      </c>
      <c r="B95" s="13" t="inlineStr">
        <is>
          <t>Beams</t>
        </is>
      </c>
      <c r="C95" s="13" t="inlineStr">
        <is>
          <t>STR-072</t>
        </is>
      </c>
      <c r="D95" s="13" t="inlineStr">
        <is>
          <t>Third floor beams</t>
        </is>
      </c>
      <c r="E95" s="19" t="inlineStr">
        <is>
          <t>1610</t>
        </is>
      </c>
      <c r="F95" s="19" t="n">
        <v>16</v>
      </c>
      <c r="G95" s="19" t="n">
        <v>1</v>
      </c>
      <c r="H95" s="19" t="n">
        <v>3</v>
      </c>
      <c r="I95" s="13">
        <f>G95*H95</f>
        <v>3.0</v>
      </c>
      <c r="J95" s="20">
        <f>11300/1000</f>
        <v>11.3</v>
      </c>
      <c r="K95" s="21">
        <f>I95*J95</f>
        <v>33.900000000000006</v>
      </c>
      <c r="L95" s="22">
        <f>F95^2/162</f>
        <v>1.5802469135802468</v>
      </c>
      <c r="M95" s="21">
        <f>K95*L95</f>
        <v>53.57037037037038</v>
      </c>
      <c r="N95" s="22">
        <f>M95/1000</f>
        <v>0.05357037037037038</v>
      </c>
      <c r="O95" s="13" t="inlineStr">
        <is>
          <t>BBS</t>
        </is>
      </c>
    </row>
    <row r="96">
      <c r="A96" s="13" t="n">
        <v>91</v>
      </c>
      <c r="B96" s="13" t="inlineStr">
        <is>
          <t>Beams</t>
        </is>
      </c>
      <c r="C96" s="13" t="inlineStr">
        <is>
          <t>STR-072</t>
        </is>
      </c>
      <c r="D96" s="13" t="inlineStr">
        <is>
          <t>Third floor beams</t>
        </is>
      </c>
      <c r="E96" s="19" t="inlineStr">
        <is>
          <t>1611</t>
        </is>
      </c>
      <c r="F96" s="19" t="n">
        <v>16</v>
      </c>
      <c r="G96" s="19" t="n">
        <v>1</v>
      </c>
      <c r="H96" s="19" t="n">
        <v>3</v>
      </c>
      <c r="I96" s="13">
        <f>G96*H96</f>
        <v>3.0</v>
      </c>
      <c r="J96" s="20">
        <f>6650/1000</f>
        <v>6.65</v>
      </c>
      <c r="K96" s="21">
        <f>I96*J96</f>
        <v>19.950000000000003</v>
      </c>
      <c r="L96" s="22">
        <f>F96^2/162</f>
        <v>1.5802469135802468</v>
      </c>
      <c r="M96" s="21">
        <f>K96*L96</f>
        <v>31.52592592592593</v>
      </c>
      <c r="N96" s="22">
        <f>M96/1000</f>
        <v>0.03152592592592593</v>
      </c>
      <c r="O96" s="13" t="inlineStr">
        <is>
          <t>BBS</t>
        </is>
      </c>
    </row>
    <row r="97">
      <c r="A97" s="13" t="n">
        <v>92</v>
      </c>
      <c r="B97" s="13" t="inlineStr">
        <is>
          <t>Beams</t>
        </is>
      </c>
      <c r="C97" s="13" t="inlineStr">
        <is>
          <t>STR-072</t>
        </is>
      </c>
      <c r="D97" s="13" t="inlineStr">
        <is>
          <t>Third floor beams</t>
        </is>
      </c>
      <c r="E97" s="19" t="inlineStr">
        <is>
          <t>1612</t>
        </is>
      </c>
      <c r="F97" s="19" t="n">
        <v>16</v>
      </c>
      <c r="G97" s="19" t="n">
        <v>1</v>
      </c>
      <c r="H97" s="19" t="n">
        <v>3</v>
      </c>
      <c r="I97" s="13">
        <f>G97*H97</f>
        <v>3.0</v>
      </c>
      <c r="J97" s="20">
        <f>11550/1000</f>
        <v>11.55</v>
      </c>
      <c r="K97" s="21">
        <f>I97*J97</f>
        <v>34.650000000000006</v>
      </c>
      <c r="L97" s="22">
        <f>F97^2/162</f>
        <v>1.5802469135802468</v>
      </c>
      <c r="M97" s="21">
        <f>K97*L97</f>
        <v>54.75555555555556</v>
      </c>
      <c r="N97" s="22">
        <f>M97/1000</f>
        <v>0.05475555555555556</v>
      </c>
      <c r="O97" s="13" t="inlineStr">
        <is>
          <t>BBS</t>
        </is>
      </c>
    </row>
    <row r="98">
      <c r="A98" s="13" t="n">
        <v>93</v>
      </c>
      <c r="B98" s="13" t="inlineStr">
        <is>
          <t>Beams</t>
        </is>
      </c>
      <c r="C98" s="13" t="inlineStr">
        <is>
          <t>STR-072</t>
        </is>
      </c>
      <c r="D98" s="13" t="inlineStr">
        <is>
          <t>Third floor beams</t>
        </is>
      </c>
      <c r="E98" s="19" t="inlineStr">
        <is>
          <t>1613</t>
        </is>
      </c>
      <c r="F98" s="19" t="n">
        <v>16</v>
      </c>
      <c r="G98" s="19" t="n">
        <v>1</v>
      </c>
      <c r="H98" s="19" t="n">
        <v>3</v>
      </c>
      <c r="I98" s="13">
        <f>G98*H98</f>
        <v>3.0</v>
      </c>
      <c r="J98" s="20">
        <f>9800/1000</f>
        <v>9.8</v>
      </c>
      <c r="K98" s="21">
        <f>I98*J98</f>
        <v>29.400000000000002</v>
      </c>
      <c r="L98" s="22">
        <f>F98^2/162</f>
        <v>1.5802469135802468</v>
      </c>
      <c r="M98" s="21">
        <f>K98*L98</f>
        <v>46.45925925925926</v>
      </c>
      <c r="N98" s="22">
        <f>M98/1000</f>
        <v>0.04645925925925926</v>
      </c>
      <c r="O98" s="13" t="inlineStr">
        <is>
          <t>BBS</t>
        </is>
      </c>
    </row>
    <row r="99">
      <c r="A99" s="13" t="n">
        <v>94</v>
      </c>
      <c r="B99" s="13" t="inlineStr">
        <is>
          <t>Beams</t>
        </is>
      </c>
      <c r="C99" s="13" t="inlineStr">
        <is>
          <t>STR-072</t>
        </is>
      </c>
      <c r="D99" s="13" t="inlineStr">
        <is>
          <t>Third floor beams</t>
        </is>
      </c>
      <c r="E99" s="19" t="inlineStr">
        <is>
          <t>1614</t>
        </is>
      </c>
      <c r="F99" s="19" t="n">
        <v>16</v>
      </c>
      <c r="G99" s="19" t="n">
        <v>1</v>
      </c>
      <c r="H99" s="19" t="n">
        <v>2</v>
      </c>
      <c r="I99" s="13">
        <f>G99*H99</f>
        <v>2.0</v>
      </c>
      <c r="J99" s="20">
        <f>10100/1000</f>
        <v>10.1</v>
      </c>
      <c r="K99" s="21">
        <f>I99*J99</f>
        <v>20.2</v>
      </c>
      <c r="L99" s="22">
        <f>F99^2/162</f>
        <v>1.5802469135802468</v>
      </c>
      <c r="M99" s="21">
        <f>K99*L99</f>
        <v>31.920987654320985</v>
      </c>
      <c r="N99" s="22">
        <f>M99/1000</f>
        <v>0.031920987654320984</v>
      </c>
      <c r="O99" s="13" t="inlineStr">
        <is>
          <t>BBS</t>
        </is>
      </c>
    </row>
    <row r="100">
      <c r="A100" s="13" t="n">
        <v>95</v>
      </c>
      <c r="B100" s="13" t="inlineStr">
        <is>
          <t>Beams</t>
        </is>
      </c>
      <c r="C100" s="13" t="inlineStr">
        <is>
          <t>STR-072</t>
        </is>
      </c>
      <c r="D100" s="13" t="inlineStr">
        <is>
          <t>Third floor beams</t>
        </is>
      </c>
      <c r="E100" s="19" t="inlineStr">
        <is>
          <t>1615</t>
        </is>
      </c>
      <c r="F100" s="19" t="n">
        <v>16</v>
      </c>
      <c r="G100" s="19" t="n">
        <v>1</v>
      </c>
      <c r="H100" s="19" t="n">
        <v>24</v>
      </c>
      <c r="I100" s="13">
        <f>G100*H100</f>
        <v>24.0</v>
      </c>
      <c r="J100" s="20">
        <f>3350/1000</f>
        <v>3.35</v>
      </c>
      <c r="K100" s="21">
        <f>I100*J100</f>
        <v>80.4</v>
      </c>
      <c r="L100" s="22">
        <f>F100^2/162</f>
        <v>1.5802469135802468</v>
      </c>
      <c r="M100" s="21">
        <f>K100*L100</f>
        <v>127.05185185185185</v>
      </c>
      <c r="N100" s="22">
        <f>M100/1000</f>
        <v>0.12705185185185186</v>
      </c>
      <c r="O100" s="13" t="inlineStr">
        <is>
          <t>BBS</t>
        </is>
      </c>
    </row>
    <row r="101">
      <c r="A101" s="13" t="n">
        <v>96</v>
      </c>
      <c r="B101" s="13" t="inlineStr">
        <is>
          <t>Beams</t>
        </is>
      </c>
      <c r="C101" s="13" t="inlineStr">
        <is>
          <t>STR-072</t>
        </is>
      </c>
      <c r="D101" s="13" t="inlineStr">
        <is>
          <t>Third floor beams</t>
        </is>
      </c>
      <c r="E101" s="19" t="inlineStr">
        <is>
          <t>1616</t>
        </is>
      </c>
      <c r="F101" s="19" t="n">
        <v>16</v>
      </c>
      <c r="G101" s="19" t="n">
        <v>1</v>
      </c>
      <c r="H101" s="19" t="n">
        <v>8</v>
      </c>
      <c r="I101" s="13">
        <f>G101*H101</f>
        <v>8.0</v>
      </c>
      <c r="J101" s="20">
        <f>2400/1000</f>
        <v>2.4</v>
      </c>
      <c r="K101" s="21">
        <f>I101*J101</f>
        <v>19.2</v>
      </c>
      <c r="L101" s="22">
        <f>F101^2/162</f>
        <v>1.5802469135802468</v>
      </c>
      <c r="M101" s="21">
        <f>K101*L101</f>
        <v>30.34074074074074</v>
      </c>
      <c r="N101" s="22">
        <f>M101/1000</f>
        <v>0.030340740740740738</v>
      </c>
      <c r="O101" s="13" t="inlineStr">
        <is>
          <t>BBS</t>
        </is>
      </c>
    </row>
    <row r="102">
      <c r="A102" s="13" t="n">
        <v>97</v>
      </c>
      <c r="B102" s="13" t="inlineStr">
        <is>
          <t>Beams</t>
        </is>
      </c>
      <c r="C102" s="13" t="inlineStr">
        <is>
          <t>STR-072</t>
        </is>
      </c>
      <c r="D102" s="13" t="inlineStr">
        <is>
          <t>Third floor beams</t>
        </is>
      </c>
      <c r="E102" s="19" t="inlineStr">
        <is>
          <t>2001</t>
        </is>
      </c>
      <c r="F102" s="19" t="n">
        <v>20</v>
      </c>
      <c r="G102" s="19" t="n">
        <v>1</v>
      </c>
      <c r="H102" s="19" t="n">
        <v>3</v>
      </c>
      <c r="I102" s="13">
        <f>G102*H102</f>
        <v>3.0</v>
      </c>
      <c r="J102" s="20">
        <f>11100/1000</f>
        <v>11.1</v>
      </c>
      <c r="K102" s="21">
        <f>I102*J102</f>
        <v>33.3</v>
      </c>
      <c r="L102" s="22">
        <f>F102^2/162</f>
        <v>2.4691358024691357</v>
      </c>
      <c r="M102" s="21">
        <f>K102*L102</f>
        <v>82.22222222222221</v>
      </c>
      <c r="N102" s="22">
        <f>M102/1000</f>
        <v>0.08222222222222221</v>
      </c>
      <c r="O102" s="13" t="inlineStr">
        <is>
          <t>BBS</t>
        </is>
      </c>
    </row>
    <row r="103">
      <c r="A103" s="13" t="n">
        <v>98</v>
      </c>
      <c r="B103" s="13" t="inlineStr">
        <is>
          <t>Beams</t>
        </is>
      </c>
      <c r="C103" s="13" t="inlineStr">
        <is>
          <t>STR-072</t>
        </is>
      </c>
      <c r="D103" s="13" t="inlineStr">
        <is>
          <t>Third floor beams</t>
        </is>
      </c>
      <c r="E103" s="19" t="inlineStr">
        <is>
          <t>2002</t>
        </is>
      </c>
      <c r="F103" s="19" t="n">
        <v>20</v>
      </c>
      <c r="G103" s="19" t="n">
        <v>1</v>
      </c>
      <c r="H103" s="19" t="n">
        <v>3</v>
      </c>
      <c r="I103" s="13">
        <f>G103*H103</f>
        <v>3.0</v>
      </c>
      <c r="J103" s="20">
        <f>9300/1000</f>
        <v>9.3</v>
      </c>
      <c r="K103" s="21">
        <f>I103*J103</f>
        <v>27.900000000000002</v>
      </c>
      <c r="L103" s="22">
        <f>F103^2/162</f>
        <v>2.4691358024691357</v>
      </c>
      <c r="M103" s="21">
        <f>K103*L103</f>
        <v>68.88888888888889</v>
      </c>
      <c r="N103" s="22">
        <f>M103/1000</f>
        <v>0.06888888888888889</v>
      </c>
      <c r="O103" s="13" t="inlineStr">
        <is>
          <t>BBS</t>
        </is>
      </c>
    </row>
    <row r="104">
      <c r="A104" s="13" t="n">
        <v>99</v>
      </c>
      <c r="B104" s="13" t="inlineStr">
        <is>
          <t>Beams</t>
        </is>
      </c>
      <c r="C104" s="13" t="inlineStr">
        <is>
          <t>STR-072</t>
        </is>
      </c>
      <c r="D104" s="13" t="inlineStr">
        <is>
          <t>Third floor beams</t>
        </is>
      </c>
      <c r="E104" s="19" t="inlineStr">
        <is>
          <t>2003</t>
        </is>
      </c>
      <c r="F104" s="19" t="n">
        <v>20</v>
      </c>
      <c r="G104" s="19" t="n">
        <v>1</v>
      </c>
      <c r="H104" s="19" t="n">
        <v>3</v>
      </c>
      <c r="I104" s="13">
        <f>G104*H104</f>
        <v>3.0</v>
      </c>
      <c r="J104" s="20">
        <f>12000/1000</f>
        <v>12.0</v>
      </c>
      <c r="K104" s="21">
        <f>I104*J104</f>
        <v>36.0</v>
      </c>
      <c r="L104" s="22">
        <f>F104^2/162</f>
        <v>2.4691358024691357</v>
      </c>
      <c r="M104" s="21">
        <f>K104*L104</f>
        <v>88.88888888888889</v>
      </c>
      <c r="N104" s="22">
        <f>M104/1000</f>
        <v>0.08888888888888889</v>
      </c>
      <c r="O104" s="13" t="inlineStr">
        <is>
          <t>BBS</t>
        </is>
      </c>
    </row>
    <row r="105">
      <c r="A105" s="13" t="n">
        <v>100</v>
      </c>
      <c r="B105" s="13" t="inlineStr">
        <is>
          <t>Beams</t>
        </is>
      </c>
      <c r="C105" s="13" t="inlineStr">
        <is>
          <t>STR-072</t>
        </is>
      </c>
      <c r="D105" s="13" t="inlineStr">
        <is>
          <t>Third floor beams</t>
        </is>
      </c>
      <c r="E105" s="19" t="inlineStr">
        <is>
          <t>2004</t>
        </is>
      </c>
      <c r="F105" s="19" t="n">
        <v>20</v>
      </c>
      <c r="G105" s="19" t="n">
        <v>1</v>
      </c>
      <c r="H105" s="19" t="n">
        <v>3</v>
      </c>
      <c r="I105" s="13">
        <f>G105*H105</f>
        <v>3.0</v>
      </c>
      <c r="J105" s="20">
        <f>7000/1000</f>
        <v>7.0</v>
      </c>
      <c r="K105" s="21">
        <f>I105*J105</f>
        <v>21.0</v>
      </c>
      <c r="L105" s="22">
        <f>F105^2/162</f>
        <v>2.4691358024691357</v>
      </c>
      <c r="M105" s="21">
        <f>K105*L105</f>
        <v>51.85185185185185</v>
      </c>
      <c r="N105" s="22">
        <f>M105/1000</f>
        <v>0.05185185185185185</v>
      </c>
      <c r="O105" s="13" t="inlineStr">
        <is>
          <t>BBS</t>
        </is>
      </c>
    </row>
    <row r="106">
      <c r="A106" s="13" t="n">
        <v>101</v>
      </c>
      <c r="B106" s="13" t="inlineStr">
        <is>
          <t>Beams</t>
        </is>
      </c>
      <c r="C106" s="13" t="inlineStr">
        <is>
          <t>STR-072</t>
        </is>
      </c>
      <c r="D106" s="13" t="inlineStr">
        <is>
          <t>Third floor beams</t>
        </is>
      </c>
      <c r="E106" s="19" t="inlineStr">
        <is>
          <t>2005</t>
        </is>
      </c>
      <c r="F106" s="19" t="n">
        <v>20</v>
      </c>
      <c r="G106" s="19" t="n">
        <v>1</v>
      </c>
      <c r="H106" s="19" t="n">
        <v>6</v>
      </c>
      <c r="I106" s="13">
        <f>G106*H106</f>
        <v>6.0</v>
      </c>
      <c r="J106" s="20">
        <f>9300/1000</f>
        <v>9.3</v>
      </c>
      <c r="K106" s="21">
        <f>I106*J106</f>
        <v>55.800000000000004</v>
      </c>
      <c r="L106" s="22">
        <f>F106^2/162</f>
        <v>2.4691358024691357</v>
      </c>
      <c r="M106" s="21">
        <f>K106*L106</f>
        <v>137.77777777777777</v>
      </c>
      <c r="N106" s="22">
        <f>M106/1000</f>
        <v>0.13777777777777778</v>
      </c>
      <c r="O106" s="13" t="inlineStr">
        <is>
          <t>BBS</t>
        </is>
      </c>
    </row>
    <row r="107">
      <c r="A107" s="13" t="n">
        <v>102</v>
      </c>
      <c r="B107" s="13" t="inlineStr">
        <is>
          <t>Beams</t>
        </is>
      </c>
      <c r="C107" s="13" t="inlineStr">
        <is>
          <t>STR-072</t>
        </is>
      </c>
      <c r="D107" s="13" t="inlineStr">
        <is>
          <t>Third floor beams</t>
        </is>
      </c>
      <c r="E107" s="19" t="inlineStr">
        <is>
          <t>2006</t>
        </is>
      </c>
      <c r="F107" s="19" t="n">
        <v>20</v>
      </c>
      <c r="G107" s="19" t="n">
        <v>1</v>
      </c>
      <c r="H107" s="19" t="n">
        <v>3</v>
      </c>
      <c r="I107" s="13">
        <f>G107*H107</f>
        <v>3.0</v>
      </c>
      <c r="J107" s="20">
        <f>9000/1000</f>
        <v>9.0</v>
      </c>
      <c r="K107" s="21">
        <f>I107*J107</f>
        <v>27.0</v>
      </c>
      <c r="L107" s="22">
        <f>F107^2/162</f>
        <v>2.4691358024691357</v>
      </c>
      <c r="M107" s="21">
        <f>K107*L107</f>
        <v>66.66666666666666</v>
      </c>
      <c r="N107" s="22">
        <f>M107/1000</f>
        <v>0.06666666666666665</v>
      </c>
      <c r="O107" s="13" t="inlineStr">
        <is>
          <t>BBS</t>
        </is>
      </c>
    </row>
    <row r="108">
      <c r="A108" s="13" t="n">
        <v>103</v>
      </c>
      <c r="B108" s="13" t="inlineStr">
        <is>
          <t>Beams</t>
        </is>
      </c>
      <c r="C108" s="13" t="inlineStr">
        <is>
          <t>STR-072</t>
        </is>
      </c>
      <c r="D108" s="13" t="inlineStr">
        <is>
          <t>Third floor beams</t>
        </is>
      </c>
      <c r="E108" s="19" t="inlineStr">
        <is>
          <t>2007</t>
        </is>
      </c>
      <c r="F108" s="19" t="n">
        <v>20</v>
      </c>
      <c r="G108" s="19" t="n">
        <v>1</v>
      </c>
      <c r="H108" s="19" t="n">
        <v>4</v>
      </c>
      <c r="I108" s="13">
        <f>G108*H108</f>
        <v>4.0</v>
      </c>
      <c r="J108" s="20">
        <f>11750/1000</f>
        <v>11.75</v>
      </c>
      <c r="K108" s="21">
        <f>I108*J108</f>
        <v>47.0</v>
      </c>
      <c r="L108" s="22">
        <f>F108^2/162</f>
        <v>2.4691358024691357</v>
      </c>
      <c r="M108" s="21">
        <f>K108*L108</f>
        <v>116.04938271604938</v>
      </c>
      <c r="N108" s="22">
        <f>M108/1000</f>
        <v>0.11604938271604938</v>
      </c>
      <c r="O108" s="13" t="inlineStr">
        <is>
          <t>BBS</t>
        </is>
      </c>
    </row>
    <row r="109">
      <c r="A109" s="13" t="n">
        <v>104</v>
      </c>
      <c r="B109" s="13" t="inlineStr">
        <is>
          <t>Beams</t>
        </is>
      </c>
      <c r="C109" s="13" t="inlineStr">
        <is>
          <t>STR-072</t>
        </is>
      </c>
      <c r="D109" s="13" t="inlineStr">
        <is>
          <t>Third floor beams</t>
        </is>
      </c>
      <c r="E109" s="19" t="inlineStr">
        <is>
          <t>2008</t>
        </is>
      </c>
      <c r="F109" s="19" t="n">
        <v>20</v>
      </c>
      <c r="G109" s="19" t="n">
        <v>1</v>
      </c>
      <c r="H109" s="19" t="n">
        <v>4</v>
      </c>
      <c r="I109" s="13">
        <f>G109*H109</f>
        <v>4.0</v>
      </c>
      <c r="J109" s="20">
        <f>7300/1000</f>
        <v>7.3</v>
      </c>
      <c r="K109" s="21">
        <f>I109*J109</f>
        <v>29.2</v>
      </c>
      <c r="L109" s="22">
        <f>F109^2/162</f>
        <v>2.4691358024691357</v>
      </c>
      <c r="M109" s="21">
        <f>K109*L109</f>
        <v>72.09876543209876</v>
      </c>
      <c r="N109" s="22">
        <f>M109/1000</f>
        <v>0.07209876543209875</v>
      </c>
      <c r="O109" s="13" t="inlineStr">
        <is>
          <t>BBS</t>
        </is>
      </c>
    </row>
    <row r="110">
      <c r="A110" s="13" t="n">
        <v>105</v>
      </c>
      <c r="B110" s="13" t="inlineStr">
        <is>
          <t>Beams</t>
        </is>
      </c>
      <c r="C110" s="13" t="inlineStr">
        <is>
          <t>STR-072</t>
        </is>
      </c>
      <c r="D110" s="13" t="inlineStr">
        <is>
          <t>Third floor beams</t>
        </is>
      </c>
      <c r="E110" s="19" t="inlineStr">
        <is>
          <t>2009</t>
        </is>
      </c>
      <c r="F110" s="19" t="n">
        <v>20</v>
      </c>
      <c r="G110" s="19" t="n">
        <v>1</v>
      </c>
      <c r="H110" s="19" t="n">
        <v>4</v>
      </c>
      <c r="I110" s="13">
        <f>G110*H110</f>
        <v>4.0</v>
      </c>
      <c r="J110" s="20">
        <f>9400/1000</f>
        <v>9.4</v>
      </c>
      <c r="K110" s="21">
        <f>I110*J110</f>
        <v>37.6</v>
      </c>
      <c r="L110" s="22">
        <f>F110^2/162</f>
        <v>2.4691358024691357</v>
      </c>
      <c r="M110" s="21">
        <f>K110*L110</f>
        <v>92.8395061728395</v>
      </c>
      <c r="N110" s="22">
        <f>M110/1000</f>
        <v>0.09283950617283951</v>
      </c>
      <c r="O110" s="13" t="inlineStr">
        <is>
          <t>BBS</t>
        </is>
      </c>
    </row>
    <row r="111">
      <c r="A111" s="13" t="n">
        <v>106</v>
      </c>
      <c r="B111" s="13" t="inlineStr">
        <is>
          <t>Beams</t>
        </is>
      </c>
      <c r="C111" s="13" t="inlineStr">
        <is>
          <t>STR-072</t>
        </is>
      </c>
      <c r="D111" s="13" t="inlineStr">
        <is>
          <t>Third floor beams</t>
        </is>
      </c>
      <c r="E111" s="19" t="inlineStr">
        <is>
          <t>2010</t>
        </is>
      </c>
      <c r="F111" s="19" t="n">
        <v>20</v>
      </c>
      <c r="G111" s="19" t="n">
        <v>1</v>
      </c>
      <c r="H111" s="19" t="n">
        <v>4</v>
      </c>
      <c r="I111" s="13">
        <f>G111*H111</f>
        <v>4.0</v>
      </c>
      <c r="J111" s="20">
        <f>11900/1000</f>
        <v>11.9</v>
      </c>
      <c r="K111" s="21">
        <f>I111*J111</f>
        <v>47.6</v>
      </c>
      <c r="L111" s="22">
        <f>F111^2/162</f>
        <v>2.4691358024691357</v>
      </c>
      <c r="M111" s="21">
        <f>K111*L111</f>
        <v>117.53086419753086</v>
      </c>
      <c r="N111" s="22">
        <f>M111/1000</f>
        <v>0.11753086419753087</v>
      </c>
      <c r="O111" s="13" t="inlineStr">
        <is>
          <t>BBS</t>
        </is>
      </c>
    </row>
    <row r="112">
      <c r="A112" s="13" t="n">
        <v>107</v>
      </c>
      <c r="B112" s="13" t="inlineStr">
        <is>
          <t>Beams</t>
        </is>
      </c>
      <c r="C112" s="13" t="inlineStr">
        <is>
          <t>STR-072</t>
        </is>
      </c>
      <c r="D112" s="13" t="inlineStr">
        <is>
          <t>Third floor beams</t>
        </is>
      </c>
      <c r="E112" s="19" t="inlineStr">
        <is>
          <t>2011</t>
        </is>
      </c>
      <c r="F112" s="19" t="n">
        <v>20</v>
      </c>
      <c r="G112" s="19" t="n">
        <v>1</v>
      </c>
      <c r="H112" s="19" t="n">
        <v>4</v>
      </c>
      <c r="I112" s="13">
        <f>G112*H112</f>
        <v>4.0</v>
      </c>
      <c r="J112" s="20">
        <f>9550/1000</f>
        <v>9.55</v>
      </c>
      <c r="K112" s="21">
        <f>I112*J112</f>
        <v>38.2</v>
      </c>
      <c r="L112" s="22">
        <f>F112^2/162</f>
        <v>2.4691358024691357</v>
      </c>
      <c r="M112" s="21">
        <f>K112*L112</f>
        <v>94.32098765432099</v>
      </c>
      <c r="N112" s="22">
        <f>M112/1000</f>
        <v>0.09432098765432098</v>
      </c>
      <c r="O112" s="13" t="inlineStr">
        <is>
          <t>BBS</t>
        </is>
      </c>
    </row>
    <row r="113">
      <c r="A113" s="13" t="n">
        <v>108</v>
      </c>
      <c r="B113" s="13" t="inlineStr">
        <is>
          <t>Beams</t>
        </is>
      </c>
      <c r="C113" s="13" t="inlineStr">
        <is>
          <t>STR-072</t>
        </is>
      </c>
      <c r="D113" s="13" t="inlineStr">
        <is>
          <t>Third floor beams</t>
        </is>
      </c>
      <c r="E113" s="19" t="inlineStr">
        <is>
          <t>2012</t>
        </is>
      </c>
      <c r="F113" s="19" t="n">
        <v>20</v>
      </c>
      <c r="G113" s="19" t="n">
        <v>1</v>
      </c>
      <c r="H113" s="19" t="n">
        <v>4</v>
      </c>
      <c r="I113" s="13">
        <f>G113*H113</f>
        <v>4.0</v>
      </c>
      <c r="J113" s="20">
        <f>5900/1000</f>
        <v>5.9</v>
      </c>
      <c r="K113" s="21">
        <f>I113*J113</f>
        <v>23.6</v>
      </c>
      <c r="L113" s="22">
        <f>F113^2/162</f>
        <v>2.4691358024691357</v>
      </c>
      <c r="M113" s="21">
        <f>K113*L113</f>
        <v>58.27160493827161</v>
      </c>
      <c r="N113" s="22">
        <f>M113/1000</f>
        <v>0.05827160493827161</v>
      </c>
      <c r="O113" s="13" t="inlineStr">
        <is>
          <t>BBS</t>
        </is>
      </c>
    </row>
    <row r="114">
      <c r="A114" s="13" t="n">
        <v>109</v>
      </c>
      <c r="B114" s="13" t="inlineStr">
        <is>
          <t>Beams</t>
        </is>
      </c>
      <c r="C114" s="13" t="inlineStr">
        <is>
          <t>STR-072</t>
        </is>
      </c>
      <c r="D114" s="13" t="inlineStr">
        <is>
          <t>Third floor beams</t>
        </is>
      </c>
      <c r="E114" s="19" t="inlineStr">
        <is>
          <t>2013</t>
        </is>
      </c>
      <c r="F114" s="19" t="n">
        <v>20</v>
      </c>
      <c r="G114" s="19" t="n">
        <v>1</v>
      </c>
      <c r="H114" s="19" t="n">
        <v>8</v>
      </c>
      <c r="I114" s="13">
        <f>G114*H114</f>
        <v>8.0</v>
      </c>
      <c r="J114" s="20">
        <f>9300/1000</f>
        <v>9.3</v>
      </c>
      <c r="K114" s="21">
        <f>I114*J114</f>
        <v>74.4</v>
      </c>
      <c r="L114" s="22">
        <f>F114^2/162</f>
        <v>2.4691358024691357</v>
      </c>
      <c r="M114" s="21">
        <f>K114*L114</f>
        <v>183.7037037037037</v>
      </c>
      <c r="N114" s="22">
        <f>M114/1000</f>
        <v>0.1837037037037037</v>
      </c>
      <c r="O114" s="13" t="inlineStr">
        <is>
          <t>BBS</t>
        </is>
      </c>
    </row>
    <row r="115">
      <c r="A115" s="13" t="n">
        <v>110</v>
      </c>
      <c r="B115" s="13" t="inlineStr">
        <is>
          <t>Beams</t>
        </is>
      </c>
      <c r="C115" s="13" t="inlineStr">
        <is>
          <t>STR-072</t>
        </is>
      </c>
      <c r="D115" s="13" t="inlineStr">
        <is>
          <t>Third floor beams</t>
        </is>
      </c>
      <c r="E115" s="19" t="inlineStr">
        <is>
          <t>2014</t>
        </is>
      </c>
      <c r="F115" s="19" t="n">
        <v>20</v>
      </c>
      <c r="G115" s="19" t="n">
        <v>1</v>
      </c>
      <c r="H115" s="19" t="n">
        <v>4</v>
      </c>
      <c r="I115" s="13">
        <f>G115*H115</f>
        <v>4.0</v>
      </c>
      <c r="J115" s="20">
        <f>9100/1000</f>
        <v>9.1</v>
      </c>
      <c r="K115" s="21">
        <f>I115*J115</f>
        <v>36.4</v>
      </c>
      <c r="L115" s="22">
        <f>F115^2/162</f>
        <v>2.4691358024691357</v>
      </c>
      <c r="M115" s="21">
        <f>K115*L115</f>
        <v>89.87654320987653</v>
      </c>
      <c r="N115" s="22">
        <f>M115/1000</f>
        <v>0.08987654320987654</v>
      </c>
      <c r="O115" s="13" t="inlineStr">
        <is>
          <t>BBS</t>
        </is>
      </c>
    </row>
    <row r="116">
      <c r="A116" s="13" t="n">
        <v>111</v>
      </c>
      <c r="B116" s="13" t="inlineStr">
        <is>
          <t>Beams</t>
        </is>
      </c>
      <c r="C116" s="13" t="inlineStr">
        <is>
          <t>STR-072</t>
        </is>
      </c>
      <c r="D116" s="13" t="inlineStr">
        <is>
          <t>Third floor beams</t>
        </is>
      </c>
      <c r="E116" s="19" t="inlineStr">
        <is>
          <t>2015</t>
        </is>
      </c>
      <c r="F116" s="19" t="n">
        <v>20</v>
      </c>
      <c r="G116" s="19" t="n">
        <v>1</v>
      </c>
      <c r="H116" s="19" t="n">
        <v>3</v>
      </c>
      <c r="I116" s="13">
        <f>G116*H116</f>
        <v>3.0</v>
      </c>
      <c r="J116" s="20">
        <f>8150/1000</f>
        <v>8.15</v>
      </c>
      <c r="K116" s="21">
        <f>I116*J116</f>
        <v>24.450000000000003</v>
      </c>
      <c r="L116" s="22">
        <f>F116^2/162</f>
        <v>2.4691358024691357</v>
      </c>
      <c r="M116" s="21">
        <f>K116*L116</f>
        <v>60.370370370370374</v>
      </c>
      <c r="N116" s="22">
        <f>M116/1000</f>
        <v>0.06037037037037037</v>
      </c>
      <c r="O116" s="13" t="inlineStr">
        <is>
          <t>BBS</t>
        </is>
      </c>
    </row>
    <row r="117">
      <c r="A117" s="13" t="n">
        <v>112</v>
      </c>
      <c r="B117" s="13" t="inlineStr">
        <is>
          <t>Beams</t>
        </is>
      </c>
      <c r="C117" s="13" t="inlineStr">
        <is>
          <t>STR-072</t>
        </is>
      </c>
      <c r="D117" s="13" t="inlineStr">
        <is>
          <t>Third floor beams</t>
        </is>
      </c>
      <c r="E117" s="19" t="inlineStr">
        <is>
          <t>2016</t>
        </is>
      </c>
      <c r="F117" s="19" t="n">
        <v>20</v>
      </c>
      <c r="G117" s="19" t="n">
        <v>1</v>
      </c>
      <c r="H117" s="19" t="n">
        <v>6</v>
      </c>
      <c r="I117" s="13">
        <f>G117*H117</f>
        <v>6.0</v>
      </c>
      <c r="J117" s="20">
        <f>12000/1000</f>
        <v>12.0</v>
      </c>
      <c r="K117" s="21">
        <f>I117*J117</f>
        <v>72.0</v>
      </c>
      <c r="L117" s="22">
        <f>F117^2/162</f>
        <v>2.4691358024691357</v>
      </c>
      <c r="M117" s="21">
        <f>K117*L117</f>
        <v>177.77777777777777</v>
      </c>
      <c r="N117" s="22">
        <f>M117/1000</f>
        <v>0.17777777777777778</v>
      </c>
      <c r="O117" s="13" t="inlineStr">
        <is>
          <t>BBS</t>
        </is>
      </c>
    </row>
    <row r="118">
      <c r="A118" s="13" t="n">
        <v>113</v>
      </c>
      <c r="B118" s="13" t="inlineStr">
        <is>
          <t>Beams</t>
        </is>
      </c>
      <c r="C118" s="13" t="inlineStr">
        <is>
          <t>STR-072</t>
        </is>
      </c>
      <c r="D118" s="13" t="inlineStr">
        <is>
          <t>Third floor beams</t>
        </is>
      </c>
      <c r="E118" s="19" t="inlineStr">
        <is>
          <t>2017</t>
        </is>
      </c>
      <c r="F118" s="19" t="n">
        <v>20</v>
      </c>
      <c r="G118" s="19" t="n">
        <v>1</v>
      </c>
      <c r="H118" s="19" t="n">
        <v>6</v>
      </c>
      <c r="I118" s="13">
        <f>G118*H118</f>
        <v>6.0</v>
      </c>
      <c r="J118" s="20">
        <f>5500/1000</f>
        <v>5.5</v>
      </c>
      <c r="K118" s="21">
        <f>I118*J118</f>
        <v>33.0</v>
      </c>
      <c r="L118" s="22">
        <f>F118^2/162</f>
        <v>2.4691358024691357</v>
      </c>
      <c r="M118" s="21">
        <f>K118*L118</f>
        <v>81.48148148148148</v>
      </c>
      <c r="N118" s="22">
        <f>M118/1000</f>
        <v>0.08148148148148147</v>
      </c>
      <c r="O118" s="13" t="inlineStr">
        <is>
          <t>BBS</t>
        </is>
      </c>
    </row>
    <row r="119">
      <c r="A119" s="13" t="n">
        <v>114</v>
      </c>
      <c r="B119" s="13" t="inlineStr">
        <is>
          <t>Beams</t>
        </is>
      </c>
      <c r="C119" s="13" t="inlineStr">
        <is>
          <t>STR-072</t>
        </is>
      </c>
      <c r="D119" s="13" t="inlineStr">
        <is>
          <t>Third floor beams</t>
        </is>
      </c>
      <c r="E119" s="19" t="inlineStr">
        <is>
          <t>2018</t>
        </is>
      </c>
      <c r="F119" s="19" t="n">
        <v>20</v>
      </c>
      <c r="G119" s="19" t="n">
        <v>1</v>
      </c>
      <c r="H119" s="19" t="n">
        <v>3</v>
      </c>
      <c r="I119" s="13">
        <f>G119*H119</f>
        <v>3.0</v>
      </c>
      <c r="J119" s="20">
        <f>11200/1000</f>
        <v>11.2</v>
      </c>
      <c r="K119" s="21">
        <f>I119*J119</f>
        <v>33.599999999999994</v>
      </c>
      <c r="L119" s="22">
        <f>F119^2/162</f>
        <v>2.4691358024691357</v>
      </c>
      <c r="M119" s="21">
        <f>K119*L119</f>
        <v>82.96296296296295</v>
      </c>
      <c r="N119" s="22">
        <f>M119/1000</f>
        <v>0.08296296296296295</v>
      </c>
      <c r="O119" s="13" t="inlineStr">
        <is>
          <t>BBS</t>
        </is>
      </c>
    </row>
    <row r="120">
      <c r="A120" s="13" t="n">
        <v>115</v>
      </c>
      <c r="B120" s="13" t="inlineStr">
        <is>
          <t>Beams</t>
        </is>
      </c>
      <c r="C120" s="13" t="inlineStr">
        <is>
          <t>STR-072</t>
        </is>
      </c>
      <c r="D120" s="13" t="inlineStr">
        <is>
          <t>Third floor beams</t>
        </is>
      </c>
      <c r="E120" s="19" t="inlineStr">
        <is>
          <t>2019</t>
        </is>
      </c>
      <c r="F120" s="19" t="n">
        <v>20</v>
      </c>
      <c r="G120" s="19" t="n">
        <v>1</v>
      </c>
      <c r="H120" s="19" t="n">
        <v>3</v>
      </c>
      <c r="I120" s="13">
        <f>G120*H120</f>
        <v>3.0</v>
      </c>
      <c r="J120" s="20">
        <f>8050/1000</f>
        <v>8.05</v>
      </c>
      <c r="K120" s="21">
        <f>I120*J120</f>
        <v>24.150000000000002</v>
      </c>
      <c r="L120" s="22">
        <f>F120^2/162</f>
        <v>2.4691358024691357</v>
      </c>
      <c r="M120" s="21">
        <f>K120*L120</f>
        <v>59.62962962962963</v>
      </c>
      <c r="N120" s="22">
        <f>M120/1000</f>
        <v>0.05962962962962964</v>
      </c>
      <c r="O120" s="13" t="inlineStr">
        <is>
          <t>BBS</t>
        </is>
      </c>
    </row>
    <row r="121">
      <c r="A121" s="13" t="n">
        <v>116</v>
      </c>
      <c r="B121" s="13" t="inlineStr">
        <is>
          <t>Beams</t>
        </is>
      </c>
      <c r="C121" s="13" t="inlineStr">
        <is>
          <t>STR-072</t>
        </is>
      </c>
      <c r="D121" s="13" t="inlineStr">
        <is>
          <t>Third floor beams</t>
        </is>
      </c>
      <c r="E121" s="19" t="inlineStr">
        <is>
          <t>2020</t>
        </is>
      </c>
      <c r="F121" s="19" t="n">
        <v>20</v>
      </c>
      <c r="G121" s="19" t="n">
        <v>1</v>
      </c>
      <c r="H121" s="19" t="n">
        <v>3</v>
      </c>
      <c r="I121" s="13">
        <f>G121*H121</f>
        <v>3.0</v>
      </c>
      <c r="J121" s="20">
        <f>11150/1000</f>
        <v>11.15</v>
      </c>
      <c r="K121" s="21">
        <f>I121*J121</f>
        <v>33.45</v>
      </c>
      <c r="L121" s="22">
        <f>F121^2/162</f>
        <v>2.4691358024691357</v>
      </c>
      <c r="M121" s="21">
        <f>K121*L121</f>
        <v>82.5925925925926</v>
      </c>
      <c r="N121" s="22">
        <f>M121/1000</f>
        <v>0.08259259259259259</v>
      </c>
      <c r="O121" s="13" t="inlineStr">
        <is>
          <t>BBS</t>
        </is>
      </c>
    </row>
    <row r="122">
      <c r="A122" s="13" t="n">
        <v>117</v>
      </c>
      <c r="B122" s="13" t="inlineStr">
        <is>
          <t>Beams</t>
        </is>
      </c>
      <c r="C122" s="13" t="inlineStr">
        <is>
          <t>STR-072</t>
        </is>
      </c>
      <c r="D122" s="13" t="inlineStr">
        <is>
          <t>Third floor beams</t>
        </is>
      </c>
      <c r="E122" s="19" t="inlineStr">
        <is>
          <t>2021</t>
        </is>
      </c>
      <c r="F122" s="19" t="n">
        <v>20</v>
      </c>
      <c r="G122" s="19" t="n">
        <v>1</v>
      </c>
      <c r="H122" s="19" t="n">
        <v>3</v>
      </c>
      <c r="I122" s="13">
        <f>G122*H122</f>
        <v>3.0</v>
      </c>
      <c r="J122" s="20">
        <f>11300/1000</f>
        <v>11.3</v>
      </c>
      <c r="K122" s="21">
        <f>I122*J122</f>
        <v>33.900000000000006</v>
      </c>
      <c r="L122" s="22">
        <f>F122^2/162</f>
        <v>2.4691358024691357</v>
      </c>
      <c r="M122" s="21">
        <f>K122*L122</f>
        <v>83.70370370370371</v>
      </c>
      <c r="N122" s="22">
        <f>M122/1000</f>
        <v>0.08370370370370371</v>
      </c>
      <c r="O122" s="13" t="inlineStr">
        <is>
          <t>BBS</t>
        </is>
      </c>
    </row>
    <row r="123">
      <c r="A123" s="13" t="n">
        <v>118</v>
      </c>
      <c r="B123" s="13" t="inlineStr">
        <is>
          <t>Beams</t>
        </is>
      </c>
      <c r="C123" s="13" t="inlineStr">
        <is>
          <t>STR-072</t>
        </is>
      </c>
      <c r="D123" s="13" t="inlineStr">
        <is>
          <t>Third floor beams</t>
        </is>
      </c>
      <c r="E123" s="19" t="inlineStr">
        <is>
          <t>2022</t>
        </is>
      </c>
      <c r="F123" s="19" t="n">
        <v>20</v>
      </c>
      <c r="G123" s="19" t="n">
        <v>1</v>
      </c>
      <c r="H123" s="19" t="n">
        <v>3</v>
      </c>
      <c r="I123" s="13">
        <f>G123*H123</f>
        <v>3.0</v>
      </c>
      <c r="J123" s="20">
        <f>7200/1000</f>
        <v>7.2</v>
      </c>
      <c r="K123" s="21">
        <f>I123*J123</f>
        <v>21.6</v>
      </c>
      <c r="L123" s="22">
        <f>F123^2/162</f>
        <v>2.4691358024691357</v>
      </c>
      <c r="M123" s="21">
        <f>K123*L123</f>
        <v>53.333333333333336</v>
      </c>
      <c r="N123" s="22">
        <f>M123/1000</f>
        <v>0.05333333333333334</v>
      </c>
      <c r="O123" s="13" t="inlineStr">
        <is>
          <t>BBS</t>
        </is>
      </c>
    </row>
    <row r="124">
      <c r="A124" s="13" t="n">
        <v>119</v>
      </c>
      <c r="B124" s="13" t="inlineStr">
        <is>
          <t>Beams</t>
        </is>
      </c>
      <c r="C124" s="13" t="inlineStr">
        <is>
          <t>STR-072</t>
        </is>
      </c>
      <c r="D124" s="13" t="inlineStr">
        <is>
          <t>Third floor beams</t>
        </is>
      </c>
      <c r="E124" s="19" t="inlineStr">
        <is>
          <t>2023</t>
        </is>
      </c>
      <c r="F124" s="19" t="n">
        <v>20</v>
      </c>
      <c r="G124" s="19" t="n">
        <v>1</v>
      </c>
      <c r="H124" s="19" t="n">
        <v>3</v>
      </c>
      <c r="I124" s="13">
        <f>G124*H124</f>
        <v>3.0</v>
      </c>
      <c r="J124" s="20">
        <f>11550/1000</f>
        <v>11.55</v>
      </c>
      <c r="K124" s="21">
        <f>I124*J124</f>
        <v>34.650000000000006</v>
      </c>
      <c r="L124" s="22">
        <f>F124^2/162</f>
        <v>2.4691358024691357</v>
      </c>
      <c r="M124" s="21">
        <f>K124*L124</f>
        <v>85.55555555555557</v>
      </c>
      <c r="N124" s="22">
        <f>M124/1000</f>
        <v>0.08555555555555557</v>
      </c>
      <c r="O124" s="13" t="inlineStr">
        <is>
          <t>BBS</t>
        </is>
      </c>
    </row>
    <row r="125">
      <c r="A125" s="13" t="n">
        <v>120</v>
      </c>
      <c r="B125" s="13" t="inlineStr">
        <is>
          <t>Beams</t>
        </is>
      </c>
      <c r="C125" s="13" t="inlineStr">
        <is>
          <t>STR-072</t>
        </is>
      </c>
      <c r="D125" s="13" t="inlineStr">
        <is>
          <t>Third floor beams</t>
        </is>
      </c>
      <c r="E125" s="19" t="inlineStr">
        <is>
          <t>2024</t>
        </is>
      </c>
      <c r="F125" s="19" t="n">
        <v>20</v>
      </c>
      <c r="G125" s="19" t="n">
        <v>1</v>
      </c>
      <c r="H125" s="19" t="n">
        <v>3</v>
      </c>
      <c r="I125" s="13">
        <f>G125*H125</f>
        <v>3.0</v>
      </c>
      <c r="J125" s="20">
        <f>9900/1000</f>
        <v>9.9</v>
      </c>
      <c r="K125" s="21">
        <f>I125*J125</f>
        <v>29.700000000000003</v>
      </c>
      <c r="L125" s="22">
        <f>F125^2/162</f>
        <v>2.4691358024691357</v>
      </c>
      <c r="M125" s="21">
        <f>K125*L125</f>
        <v>73.33333333333334</v>
      </c>
      <c r="N125" s="22">
        <f>M125/1000</f>
        <v>0.07333333333333335</v>
      </c>
      <c r="O125" s="13" t="inlineStr">
        <is>
          <t>BBS</t>
        </is>
      </c>
    </row>
    <row r="126">
      <c r="A126" s="13" t="n">
        <v>121</v>
      </c>
      <c r="B126" s="13" t="inlineStr">
        <is>
          <t>Beams</t>
        </is>
      </c>
      <c r="C126" s="13" t="inlineStr">
        <is>
          <t>STR-072</t>
        </is>
      </c>
      <c r="D126" s="13" t="inlineStr">
        <is>
          <t>Third floor beams</t>
        </is>
      </c>
      <c r="E126" s="19" t="inlineStr">
        <is>
          <t>2501</t>
        </is>
      </c>
      <c r="F126" s="19" t="n">
        <v>25</v>
      </c>
      <c r="G126" s="19" t="n">
        <v>1</v>
      </c>
      <c r="H126" s="19" t="n">
        <v>3</v>
      </c>
      <c r="I126" s="13">
        <f>G126*H126</f>
        <v>3.0</v>
      </c>
      <c r="J126" s="20">
        <f>11200/1000</f>
        <v>11.2</v>
      </c>
      <c r="K126" s="21">
        <f>I126*J126</f>
        <v>33.599999999999994</v>
      </c>
      <c r="L126" s="22">
        <f>F126^2/162</f>
        <v>3.8580246913580245</v>
      </c>
      <c r="M126" s="21">
        <f>K126*L126</f>
        <v>129.6296296296296</v>
      </c>
      <c r="N126" s="22">
        <f>M126/1000</f>
        <v>0.1296296296296296</v>
      </c>
      <c r="O126" s="13" t="inlineStr">
        <is>
          <t>BBS</t>
        </is>
      </c>
    </row>
    <row r="127">
      <c r="A127" s="13" t="n">
        <v>122</v>
      </c>
      <c r="B127" s="13" t="inlineStr">
        <is>
          <t>Beams</t>
        </is>
      </c>
      <c r="C127" s="13" t="inlineStr">
        <is>
          <t>STR-072</t>
        </is>
      </c>
      <c r="D127" s="13" t="inlineStr">
        <is>
          <t>Third floor beams</t>
        </is>
      </c>
      <c r="E127" s="19" t="inlineStr">
        <is>
          <t>2502</t>
        </is>
      </c>
      <c r="F127" s="19" t="n">
        <v>25</v>
      </c>
      <c r="G127" s="19" t="n">
        <v>1</v>
      </c>
      <c r="H127" s="19" t="n">
        <v>3</v>
      </c>
      <c r="I127" s="13">
        <f>G127*H127</f>
        <v>3.0</v>
      </c>
      <c r="J127" s="20">
        <f>9400/1000</f>
        <v>9.4</v>
      </c>
      <c r="K127" s="21">
        <f>I127*J127</f>
        <v>28.200000000000003</v>
      </c>
      <c r="L127" s="22">
        <f>F127^2/162</f>
        <v>3.8580246913580245</v>
      </c>
      <c r="M127" s="21">
        <f>K127*L127</f>
        <v>108.7962962962963</v>
      </c>
      <c r="N127" s="22">
        <f>M127/1000</f>
        <v>0.10879629629629631</v>
      </c>
      <c r="O127" s="13" t="inlineStr">
        <is>
          <t>BBS</t>
        </is>
      </c>
    </row>
    <row r="128">
      <c r="A128" s="13" t="n">
        <v>123</v>
      </c>
      <c r="B128" s="13" t="inlineStr">
        <is>
          <t>Beams</t>
        </is>
      </c>
      <c r="C128" s="13" t="inlineStr">
        <is>
          <t>STR-072</t>
        </is>
      </c>
      <c r="D128" s="13" t="inlineStr">
        <is>
          <t>Third floor beams</t>
        </is>
      </c>
      <c r="E128" s="19" t="inlineStr">
        <is>
          <t>2503</t>
        </is>
      </c>
      <c r="F128" s="19" t="n">
        <v>25</v>
      </c>
      <c r="G128" s="19" t="n">
        <v>1</v>
      </c>
      <c r="H128" s="19" t="n">
        <v>3</v>
      </c>
      <c r="I128" s="13">
        <f>G128*H128</f>
        <v>3.0</v>
      </c>
      <c r="J128" s="20">
        <f>12000/1000</f>
        <v>12.0</v>
      </c>
      <c r="K128" s="21">
        <f>I128*J128</f>
        <v>36.0</v>
      </c>
      <c r="L128" s="22">
        <f>F128^2/162</f>
        <v>3.8580246913580245</v>
      </c>
      <c r="M128" s="21">
        <f>K128*L128</f>
        <v>138.88888888888889</v>
      </c>
      <c r="N128" s="22">
        <f>M128/1000</f>
        <v>0.1388888888888889</v>
      </c>
      <c r="O128" s="13" t="inlineStr">
        <is>
          <t>BBS</t>
        </is>
      </c>
    </row>
    <row r="129">
      <c r="A129" s="13" t="n">
        <v>124</v>
      </c>
      <c r="B129" s="13" t="inlineStr">
        <is>
          <t>Beams</t>
        </is>
      </c>
      <c r="C129" s="13" t="inlineStr">
        <is>
          <t>STR-072</t>
        </is>
      </c>
      <c r="D129" s="13" t="inlineStr">
        <is>
          <t>Third floor beams</t>
        </is>
      </c>
      <c r="E129" s="19" t="inlineStr">
        <is>
          <t>2504</t>
        </is>
      </c>
      <c r="F129" s="19" t="n">
        <v>25</v>
      </c>
      <c r="G129" s="19" t="n">
        <v>1</v>
      </c>
      <c r="H129" s="19" t="n">
        <v>3</v>
      </c>
      <c r="I129" s="13">
        <f>G129*H129</f>
        <v>3.0</v>
      </c>
      <c r="J129" s="20">
        <f>7100/1000</f>
        <v>7.1</v>
      </c>
      <c r="K129" s="21">
        <f>I129*J129</f>
        <v>21.299999999999997</v>
      </c>
      <c r="L129" s="22">
        <f>F129^2/162</f>
        <v>3.8580246913580245</v>
      </c>
      <c r="M129" s="21">
        <f>K129*L129</f>
        <v>82.17592592592591</v>
      </c>
      <c r="N129" s="22">
        <f>M129/1000</f>
        <v>0.08217592592592592</v>
      </c>
      <c r="O129" s="13" t="inlineStr">
        <is>
          <t>BBS</t>
        </is>
      </c>
    </row>
    <row r="130">
      <c r="A130" s="13" t="n">
        <v>125</v>
      </c>
      <c r="B130" s="13" t="inlineStr">
        <is>
          <t>Beams</t>
        </is>
      </c>
      <c r="C130" s="13" t="inlineStr">
        <is>
          <t>STR-072</t>
        </is>
      </c>
      <c r="D130" s="13" t="inlineStr">
        <is>
          <t>Third floor beams</t>
        </is>
      </c>
      <c r="E130" s="19" t="inlineStr">
        <is>
          <t>2505</t>
        </is>
      </c>
      <c r="F130" s="19" t="n">
        <v>25</v>
      </c>
      <c r="G130" s="19" t="n">
        <v>1</v>
      </c>
      <c r="H130" s="19" t="n">
        <v>6</v>
      </c>
      <c r="I130" s="13">
        <f>G130*H130</f>
        <v>6.0</v>
      </c>
      <c r="J130" s="20">
        <f>9300/1000</f>
        <v>9.3</v>
      </c>
      <c r="K130" s="21">
        <f>I130*J130</f>
        <v>55.800000000000004</v>
      </c>
      <c r="L130" s="22">
        <f>F130^2/162</f>
        <v>3.8580246913580245</v>
      </c>
      <c r="M130" s="21">
        <f>K130*L130</f>
        <v>215.27777777777777</v>
      </c>
      <c r="N130" s="22">
        <f>M130/1000</f>
        <v>0.21527777777777776</v>
      </c>
      <c r="O130" s="13" t="inlineStr">
        <is>
          <t>BBS</t>
        </is>
      </c>
    </row>
    <row r="131">
      <c r="A131" s="13" t="n">
        <v>126</v>
      </c>
      <c r="B131" s="13" t="inlineStr">
        <is>
          <t>Beams</t>
        </is>
      </c>
      <c r="C131" s="13" t="inlineStr">
        <is>
          <t>STR-072</t>
        </is>
      </c>
      <c r="D131" s="13" t="inlineStr">
        <is>
          <t>Third floor beams</t>
        </is>
      </c>
      <c r="E131" s="19" t="inlineStr">
        <is>
          <t>2506</t>
        </is>
      </c>
      <c r="F131" s="19" t="n">
        <v>25</v>
      </c>
      <c r="G131" s="19" t="n">
        <v>1</v>
      </c>
      <c r="H131" s="19" t="n">
        <v>3</v>
      </c>
      <c r="I131" s="13">
        <f>G131*H131</f>
        <v>3.0</v>
      </c>
      <c r="J131" s="20">
        <f>9100/1000</f>
        <v>9.1</v>
      </c>
      <c r="K131" s="21">
        <f>I131*J131</f>
        <v>27.299999999999997</v>
      </c>
      <c r="L131" s="22">
        <f>F131^2/162</f>
        <v>3.8580246913580245</v>
      </c>
      <c r="M131" s="21">
        <f>K131*L131</f>
        <v>105.32407407407406</v>
      </c>
      <c r="N131" s="22">
        <f>M131/1000</f>
        <v>0.10532407407407406</v>
      </c>
      <c r="O131" s="13" t="inlineStr">
        <is>
          <t>BBS</t>
        </is>
      </c>
    </row>
    <row r="132">
      <c r="A132" s="13" t="n">
        <v>127</v>
      </c>
      <c r="B132" s="13" t="inlineStr">
        <is>
          <t>Beams</t>
        </is>
      </c>
      <c r="C132" s="13" t="inlineStr">
        <is>
          <t>STR-072</t>
        </is>
      </c>
      <c r="D132" s="13" t="inlineStr">
        <is>
          <t>Third floor beams</t>
        </is>
      </c>
      <c r="E132" s="19" t="inlineStr">
        <is>
          <t>2507</t>
        </is>
      </c>
      <c r="F132" s="19" t="n">
        <v>25</v>
      </c>
      <c r="G132" s="19" t="n">
        <v>1</v>
      </c>
      <c r="H132" s="19" t="n">
        <v>3</v>
      </c>
      <c r="I132" s="13">
        <f>G132*H132</f>
        <v>3.0</v>
      </c>
      <c r="J132" s="20">
        <f>5850/1000</f>
        <v>5.85</v>
      </c>
      <c r="K132" s="21">
        <f>I132*J132</f>
        <v>17.549999999999997</v>
      </c>
      <c r="L132" s="22">
        <f>F132^2/162</f>
        <v>3.8580246913580245</v>
      </c>
      <c r="M132" s="21">
        <f>K132*L132</f>
        <v>67.70833333333331</v>
      </c>
      <c r="N132" s="22">
        <f>M132/1000</f>
        <v>0.06770833333333331</v>
      </c>
      <c r="O132" s="13" t="inlineStr">
        <is>
          <t>BBS</t>
        </is>
      </c>
    </row>
    <row r="133">
      <c r="A133" s="13" t="n">
        <v>128</v>
      </c>
      <c r="B133" s="13" t="inlineStr">
        <is>
          <t>Beams</t>
        </is>
      </c>
      <c r="C133" s="13" t="inlineStr">
        <is>
          <t>STR-072</t>
        </is>
      </c>
      <c r="D133" s="13" t="inlineStr">
        <is>
          <t>Third floor beams</t>
        </is>
      </c>
      <c r="E133" s="19" t="inlineStr">
        <is>
          <t>2508</t>
        </is>
      </c>
      <c r="F133" s="19" t="n">
        <v>25</v>
      </c>
      <c r="G133" s="19" t="n">
        <v>1</v>
      </c>
      <c r="H133" s="19" t="n">
        <v>3</v>
      </c>
      <c r="I133" s="13">
        <f>G133*H133</f>
        <v>3.0</v>
      </c>
      <c r="J133" s="20">
        <f>8000/1000</f>
        <v>8.0</v>
      </c>
      <c r="K133" s="21">
        <f>I133*J133</f>
        <v>24.0</v>
      </c>
      <c r="L133" s="22">
        <f>F133^2/162</f>
        <v>3.8580246913580245</v>
      </c>
      <c r="M133" s="21">
        <f>K133*L133</f>
        <v>92.59259259259258</v>
      </c>
      <c r="N133" s="22">
        <f>M133/1000</f>
        <v>0.09259259259259259</v>
      </c>
      <c r="O133" s="13" t="inlineStr">
        <is>
          <t>BBS</t>
        </is>
      </c>
    </row>
    <row r="134">
      <c r="A134" s="13" t="n">
        <v>129</v>
      </c>
      <c r="B134" s="13" t="inlineStr">
        <is>
          <t>Beams</t>
        </is>
      </c>
      <c r="C134" s="13" t="inlineStr">
        <is>
          <t>STR-072</t>
        </is>
      </c>
      <c r="D134" s="13" t="inlineStr">
        <is>
          <t>Third floor beams</t>
        </is>
      </c>
      <c r="E134" s="19" t="inlineStr">
        <is>
          <t>2509</t>
        </is>
      </c>
      <c r="F134" s="19" t="n">
        <v>25</v>
      </c>
      <c r="G134" s="19" t="n">
        <v>1</v>
      </c>
      <c r="H134" s="19" t="n">
        <v>3</v>
      </c>
      <c r="I134" s="13">
        <f>G134*H134</f>
        <v>3.0</v>
      </c>
      <c r="J134" s="20">
        <f>8700/1000</f>
        <v>8.7</v>
      </c>
      <c r="K134" s="21">
        <f>I134*J134</f>
        <v>26.099999999999998</v>
      </c>
      <c r="L134" s="22">
        <f>F134^2/162</f>
        <v>3.8580246913580245</v>
      </c>
      <c r="M134" s="21">
        <f>K134*L134</f>
        <v>100.69444444444443</v>
      </c>
      <c r="N134" s="22">
        <f>M134/1000</f>
        <v>0.10069444444444443</v>
      </c>
      <c r="O134" s="13" t="inlineStr">
        <is>
          <t>BBS</t>
        </is>
      </c>
    </row>
    <row r="135">
      <c r="A135" s="13" t="n">
        <v>130</v>
      </c>
      <c r="B135" s="13" t="inlineStr">
        <is>
          <t>Beams</t>
        </is>
      </c>
      <c r="C135" s="13" t="inlineStr">
        <is>
          <t>STR-072</t>
        </is>
      </c>
      <c r="D135" s="13" t="inlineStr">
        <is>
          <t>Third floor beams</t>
        </is>
      </c>
      <c r="E135" s="19" t="inlineStr">
        <is>
          <t>2510</t>
        </is>
      </c>
      <c r="F135" s="19" t="n">
        <v>25</v>
      </c>
      <c r="G135" s="19" t="n">
        <v>1</v>
      </c>
      <c r="H135" s="19" t="n">
        <v>3</v>
      </c>
      <c r="I135" s="13">
        <f>G135*H135</f>
        <v>3.0</v>
      </c>
      <c r="J135" s="20">
        <f>5900/1000</f>
        <v>5.9</v>
      </c>
      <c r="K135" s="21">
        <f>I135*J135</f>
        <v>17.700000000000003</v>
      </c>
      <c r="L135" s="22">
        <f>F135^2/162</f>
        <v>3.8580246913580245</v>
      </c>
      <c r="M135" s="21">
        <f>K135*L135</f>
        <v>68.28703703703704</v>
      </c>
      <c r="N135" s="22">
        <f>M135/1000</f>
        <v>0.06828703703703703</v>
      </c>
      <c r="O135" s="13" t="inlineStr">
        <is>
          <t>BBS</t>
        </is>
      </c>
    </row>
    <row r="136">
      <c r="A136" s="13" t="n">
        <v>131</v>
      </c>
      <c r="B136" s="13" t="inlineStr">
        <is>
          <t>Beams</t>
        </is>
      </c>
      <c r="C136" s="13" t="inlineStr">
        <is>
          <t>STR-072</t>
        </is>
      </c>
      <c r="D136" s="13" t="inlineStr">
        <is>
          <t>Third floor beams</t>
        </is>
      </c>
      <c r="E136" s="19" t="inlineStr">
        <is>
          <t>2511</t>
        </is>
      </c>
      <c r="F136" s="19" t="n">
        <v>25</v>
      </c>
      <c r="G136" s="19" t="n">
        <v>1</v>
      </c>
      <c r="H136" s="19" t="n">
        <v>3</v>
      </c>
      <c r="I136" s="13">
        <f>G136*H136</f>
        <v>3.0</v>
      </c>
      <c r="J136" s="20">
        <f>7750/1000</f>
        <v>7.75</v>
      </c>
      <c r="K136" s="21">
        <f>I136*J136</f>
        <v>23.25</v>
      </c>
      <c r="L136" s="22">
        <f>F136^2/162</f>
        <v>3.8580246913580245</v>
      </c>
      <c r="M136" s="21">
        <f>K136*L136</f>
        <v>89.69907407407408</v>
      </c>
      <c r="N136" s="22">
        <f>M136/1000</f>
        <v>0.08969907407407407</v>
      </c>
      <c r="O136" s="13" t="inlineStr">
        <is>
          <t>BBS</t>
        </is>
      </c>
    </row>
    <row r="137">
      <c r="A137" s="13" t="n">
        <v>132</v>
      </c>
      <c r="B137" s="13" t="inlineStr">
        <is>
          <t>Beams</t>
        </is>
      </c>
      <c r="C137" s="13" t="inlineStr">
        <is>
          <t>STR-072</t>
        </is>
      </c>
      <c r="D137" s="13" t="inlineStr">
        <is>
          <t>Third floor beams</t>
        </is>
      </c>
      <c r="E137" s="19" t="inlineStr">
        <is>
          <t>2512</t>
        </is>
      </c>
      <c r="F137" s="19" t="n">
        <v>25</v>
      </c>
      <c r="G137" s="19" t="n">
        <v>1</v>
      </c>
      <c r="H137" s="19" t="n">
        <v>3</v>
      </c>
      <c r="I137" s="13">
        <f>G137*H137</f>
        <v>3.0</v>
      </c>
      <c r="J137" s="20">
        <f>6500/1000</f>
        <v>6.5</v>
      </c>
      <c r="K137" s="21">
        <f>I137*J137</f>
        <v>19.5</v>
      </c>
      <c r="L137" s="22">
        <f>F137^2/162</f>
        <v>3.8580246913580245</v>
      </c>
      <c r="M137" s="21">
        <f>K137*L137</f>
        <v>75.23148148148148</v>
      </c>
      <c r="N137" s="22">
        <f>M137/1000</f>
        <v>0.07523148148148148</v>
      </c>
      <c r="O137" s="13" t="inlineStr">
        <is>
          <t>BBS</t>
        </is>
      </c>
    </row>
    <row r="138">
      <c r="A138" s="13" t="n">
        <v>133</v>
      </c>
      <c r="B138" s="13" t="inlineStr">
        <is>
          <t>Beams</t>
        </is>
      </c>
      <c r="C138" s="13" t="inlineStr">
        <is>
          <t>STR-072</t>
        </is>
      </c>
      <c r="D138" s="13" t="inlineStr">
        <is>
          <t>Third floor beams</t>
        </is>
      </c>
      <c r="E138" s="19" t="inlineStr">
        <is>
          <t>2513</t>
        </is>
      </c>
      <c r="F138" s="19" t="n">
        <v>25</v>
      </c>
      <c r="G138" s="19" t="n">
        <v>1</v>
      </c>
      <c r="H138" s="19" t="n">
        <v>3</v>
      </c>
      <c r="I138" s="13">
        <f>G138*H138</f>
        <v>3.0</v>
      </c>
      <c r="J138" s="20">
        <f>9850/1000</f>
        <v>9.85</v>
      </c>
      <c r="K138" s="21">
        <f>I138*J138</f>
        <v>29.549999999999997</v>
      </c>
      <c r="L138" s="22">
        <f>F138^2/162</f>
        <v>3.8580246913580245</v>
      </c>
      <c r="M138" s="21">
        <f>K138*L138</f>
        <v>114.00462962962962</v>
      </c>
      <c r="N138" s="22">
        <f>M138/1000</f>
        <v>0.11400462962962962</v>
      </c>
      <c r="O138" s="13" t="inlineStr">
        <is>
          <t>BBS</t>
        </is>
      </c>
    </row>
    <row r="139">
      <c r="A139" s="13" t="n">
        <v>134</v>
      </c>
      <c r="B139" s="13" t="inlineStr">
        <is>
          <t>Beams</t>
        </is>
      </c>
      <c r="C139" s="13" t="inlineStr">
        <is>
          <t>STR-072</t>
        </is>
      </c>
      <c r="D139" s="13" t="inlineStr">
        <is>
          <t>Third floor beams</t>
        </is>
      </c>
      <c r="E139" s="19" t="inlineStr">
        <is>
          <t>2514</t>
        </is>
      </c>
      <c r="F139" s="19" t="n">
        <v>25</v>
      </c>
      <c r="G139" s="19" t="n">
        <v>1</v>
      </c>
      <c r="H139" s="19" t="n">
        <v>3</v>
      </c>
      <c r="I139" s="13">
        <f>G139*H139</f>
        <v>3.0</v>
      </c>
      <c r="J139" s="20">
        <f>11650/1000</f>
        <v>11.65</v>
      </c>
      <c r="K139" s="21">
        <f>I139*J139</f>
        <v>34.95</v>
      </c>
      <c r="L139" s="22">
        <f>F139^2/162</f>
        <v>3.8580246913580245</v>
      </c>
      <c r="M139" s="21">
        <f>K139*L139</f>
        <v>134.83796296296296</v>
      </c>
      <c r="N139" s="22">
        <f>M139/1000</f>
        <v>0.13483796296296297</v>
      </c>
      <c r="O139" s="13" t="inlineStr">
        <is>
          <t>BBS</t>
        </is>
      </c>
    </row>
    <row r="140">
      <c r="A140" s="13" t="n">
        <v>135</v>
      </c>
      <c r="B140" s="13" t="inlineStr">
        <is>
          <t>Beams</t>
        </is>
      </c>
      <c r="C140" s="13" t="inlineStr">
        <is>
          <t>STR-072</t>
        </is>
      </c>
      <c r="D140" s="13" t="inlineStr">
        <is>
          <t>Third floor beams</t>
        </is>
      </c>
      <c r="E140" s="19" t="inlineStr">
        <is>
          <t>2515</t>
        </is>
      </c>
      <c r="F140" s="19" t="n">
        <v>25</v>
      </c>
      <c r="G140" s="19" t="n">
        <v>1</v>
      </c>
      <c r="H140" s="19" t="n">
        <v>3</v>
      </c>
      <c r="I140" s="13">
        <f>G140*H140</f>
        <v>3.0</v>
      </c>
      <c r="J140" s="20">
        <f>6450/1000</f>
        <v>6.45</v>
      </c>
      <c r="K140" s="21">
        <f>I140*J140</f>
        <v>19.35</v>
      </c>
      <c r="L140" s="22">
        <f>F140^2/162</f>
        <v>3.8580246913580245</v>
      </c>
      <c r="M140" s="21">
        <f>K140*L140</f>
        <v>74.65277777777779</v>
      </c>
      <c r="N140" s="22">
        <f>M140/1000</f>
        <v>0.07465277777777779</v>
      </c>
      <c r="O140" s="13" t="inlineStr">
        <is>
          <t>BBS</t>
        </is>
      </c>
    </row>
    <row r="141">
      <c r="A141" s="13" t="n">
        <v>136</v>
      </c>
      <c r="B141" s="13" t="inlineStr">
        <is>
          <t>Beams</t>
        </is>
      </c>
      <c r="C141" s="13" t="inlineStr">
        <is>
          <t>STR-072</t>
        </is>
      </c>
      <c r="D141" s="13" t="inlineStr">
        <is>
          <t>Third floor beams</t>
        </is>
      </c>
      <c r="E141" s="19" t="inlineStr">
        <is>
          <t>2516</t>
        </is>
      </c>
      <c r="F141" s="19" t="n">
        <v>25</v>
      </c>
      <c r="G141" s="19" t="n">
        <v>1</v>
      </c>
      <c r="H141" s="19" t="n">
        <v>3</v>
      </c>
      <c r="I141" s="13">
        <f>G141*H141</f>
        <v>3.0</v>
      </c>
      <c r="J141" s="20">
        <f>7700/1000</f>
        <v>7.7</v>
      </c>
      <c r="K141" s="21">
        <f>I141*J141</f>
        <v>23.1</v>
      </c>
      <c r="L141" s="22">
        <f>F141^2/162</f>
        <v>3.8580246913580245</v>
      </c>
      <c r="M141" s="21">
        <f>K141*L141</f>
        <v>89.12037037037037</v>
      </c>
      <c r="N141" s="22">
        <f>M141/1000</f>
        <v>0.08912037037037036</v>
      </c>
      <c r="O141" s="13" t="inlineStr">
        <is>
          <t>BBS</t>
        </is>
      </c>
    </row>
    <row r="142">
      <c r="A142" s="13" t="n">
        <v>137</v>
      </c>
      <c r="B142" s="13" t="inlineStr">
        <is>
          <t>Beams</t>
        </is>
      </c>
      <c r="C142" s="13" t="inlineStr">
        <is>
          <t>STR-072</t>
        </is>
      </c>
      <c r="D142" s="13" t="inlineStr">
        <is>
          <t>Third floor beams</t>
        </is>
      </c>
      <c r="E142" s="19" t="inlineStr">
        <is>
          <t>2517</t>
        </is>
      </c>
      <c r="F142" s="19" t="n">
        <v>25</v>
      </c>
      <c r="G142" s="19" t="n">
        <v>1</v>
      </c>
      <c r="H142" s="19" t="n">
        <v>24</v>
      </c>
      <c r="I142" s="13">
        <f>G142*H142</f>
        <v>24.0</v>
      </c>
      <c r="J142" s="20">
        <f>3550/1000</f>
        <v>3.55</v>
      </c>
      <c r="K142" s="21">
        <f>I142*J142</f>
        <v>85.19999999999999</v>
      </c>
      <c r="L142" s="22">
        <f>F142^2/162</f>
        <v>3.8580246913580245</v>
      </c>
      <c r="M142" s="21">
        <f>K142*L142</f>
        <v>328.70370370370364</v>
      </c>
      <c r="N142" s="22">
        <f>M142/1000</f>
        <v>0.32870370370370366</v>
      </c>
      <c r="O142" s="13" t="inlineStr">
        <is>
          <t>BBS</t>
        </is>
      </c>
    </row>
    <row r="143">
      <c r="A143" s="13" t="n">
        <v>138</v>
      </c>
      <c r="B143" s="13" t="inlineStr">
        <is>
          <t>Floor Slabs</t>
        </is>
      </c>
      <c r="C143" s="13" t="inlineStr">
        <is>
          <t>STR-073</t>
        </is>
      </c>
      <c r="D143" s="13" t="inlineStr">
        <is>
          <t>Third floor slab - bottom</t>
        </is>
      </c>
      <c r="E143" s="19" t="inlineStr">
        <is>
          <t>1201</t>
        </is>
      </c>
      <c r="F143" s="19" t="n">
        <v>12</v>
      </c>
      <c r="G143" s="19" t="n">
        <v>1</v>
      </c>
      <c r="H143" s="19" t="n">
        <v>389</v>
      </c>
      <c r="I143" s="13">
        <f>G143*H143</f>
        <v>389.0</v>
      </c>
      <c r="J143" s="20">
        <f>9900/1000</f>
        <v>9.9</v>
      </c>
      <c r="K143" s="21">
        <f>I143*J143</f>
        <v>3851.1000000000004</v>
      </c>
      <c r="L143" s="22">
        <f>F143^2/162</f>
        <v>0.8888888888888888</v>
      </c>
      <c r="M143" s="21">
        <f>K143*L143</f>
        <v>3423.2000000000003</v>
      </c>
      <c r="N143" s="22">
        <f>M143/1000</f>
        <v>3.4232000000000005</v>
      </c>
      <c r="O143" s="13" t="inlineStr">
        <is>
          <t>BBS</t>
        </is>
      </c>
    </row>
    <row r="144">
      <c r="A144" s="13" t="n">
        <v>139</v>
      </c>
      <c r="B144" s="13" t="inlineStr">
        <is>
          <t>Floor Slabs</t>
        </is>
      </c>
      <c r="C144" s="13" t="inlineStr">
        <is>
          <t>STR-073</t>
        </is>
      </c>
      <c r="D144" s="13" t="inlineStr">
        <is>
          <t>Third floor slab - bottom</t>
        </is>
      </c>
      <c r="E144" s="19" t="inlineStr">
        <is>
          <t>1202</t>
        </is>
      </c>
      <c r="F144" s="19" t="n">
        <v>12</v>
      </c>
      <c r="G144" s="19" t="n">
        <v>1</v>
      </c>
      <c r="H144" s="19" t="n">
        <v>432</v>
      </c>
      <c r="I144" s="13">
        <f>G144*H144</f>
        <v>432.0</v>
      </c>
      <c r="J144" s="20">
        <f>5500/1000</f>
        <v>5.5</v>
      </c>
      <c r="K144" s="21">
        <f>I144*J144</f>
        <v>2376.0</v>
      </c>
      <c r="L144" s="22">
        <f>F144^2/162</f>
        <v>0.8888888888888888</v>
      </c>
      <c r="M144" s="21">
        <f>K144*L144</f>
        <v>2112.0</v>
      </c>
      <c r="N144" s="22">
        <f>M144/1000</f>
        <v>2.112</v>
      </c>
      <c r="O144" s="13" t="inlineStr">
        <is>
          <t>BBS</t>
        </is>
      </c>
    </row>
    <row r="145">
      <c r="A145" s="13" t="n">
        <v>140</v>
      </c>
      <c r="B145" s="13" t="inlineStr">
        <is>
          <t>Floor Slabs</t>
        </is>
      </c>
      <c r="C145" s="13" t="inlineStr">
        <is>
          <t>STR-073</t>
        </is>
      </c>
      <c r="D145" s="13" t="inlineStr">
        <is>
          <t>Third floor slab - bottom</t>
        </is>
      </c>
      <c r="E145" s="19" t="inlineStr">
        <is>
          <t>1203</t>
        </is>
      </c>
      <c r="F145" s="19" t="n">
        <v>12</v>
      </c>
      <c r="G145" s="19" t="n">
        <v>1</v>
      </c>
      <c r="H145" s="19" t="n">
        <v>16</v>
      </c>
      <c r="I145" s="13">
        <f>G145*H145</f>
        <v>16.0</v>
      </c>
      <c r="J145" s="20">
        <f>4450/1000</f>
        <v>4.45</v>
      </c>
      <c r="K145" s="21">
        <f>I145*J145</f>
        <v>71.2</v>
      </c>
      <c r="L145" s="22">
        <f>F145^2/162</f>
        <v>0.8888888888888888</v>
      </c>
      <c r="M145" s="21">
        <f>K145*L145</f>
        <v>63.28888888888889</v>
      </c>
      <c r="N145" s="22">
        <f>M145/1000</f>
        <v>0.0632888888888889</v>
      </c>
      <c r="O145" s="13" t="inlineStr">
        <is>
          <t>BBS</t>
        </is>
      </c>
    </row>
    <row r="146">
      <c r="A146" s="13" t="n">
        <v>141</v>
      </c>
      <c r="B146" s="13" t="inlineStr">
        <is>
          <t>Floor Slabs</t>
        </is>
      </c>
      <c r="C146" s="13" t="inlineStr">
        <is>
          <t>STR-073</t>
        </is>
      </c>
      <c r="D146" s="13" t="inlineStr">
        <is>
          <t>Third floor slab - bottom</t>
        </is>
      </c>
      <c r="E146" s="19" t="inlineStr">
        <is>
          <t>1204</t>
        </is>
      </c>
      <c r="F146" s="19" t="n">
        <v>12</v>
      </c>
      <c r="G146" s="19" t="n">
        <v>1</v>
      </c>
      <c r="H146" s="19" t="n">
        <v>454</v>
      </c>
      <c r="I146" s="13">
        <f>G146*H146</f>
        <v>454.0</v>
      </c>
      <c r="J146" s="20">
        <f>9050/1000</f>
        <v>9.05</v>
      </c>
      <c r="K146" s="21">
        <f>I146*J146</f>
        <v>4108.700000000001</v>
      </c>
      <c r="L146" s="22">
        <f>F146^2/162</f>
        <v>0.8888888888888888</v>
      </c>
      <c r="M146" s="21">
        <f>K146*L146</f>
        <v>3652.1777777777784</v>
      </c>
      <c r="N146" s="22">
        <f>M146/1000</f>
        <v>3.652177777777778</v>
      </c>
      <c r="O146" s="13" t="inlineStr">
        <is>
          <t>BBS</t>
        </is>
      </c>
    </row>
    <row r="147">
      <c r="A147" s="13" t="n">
        <v>142</v>
      </c>
      <c r="B147" s="13" t="inlineStr">
        <is>
          <t>Floor Slabs</t>
        </is>
      </c>
      <c r="C147" s="13" t="inlineStr">
        <is>
          <t>STR-073</t>
        </is>
      </c>
      <c r="D147" s="13" t="inlineStr">
        <is>
          <t>Third floor slab - bottom</t>
        </is>
      </c>
      <c r="E147" s="19" t="inlineStr">
        <is>
          <t>1205</t>
        </is>
      </c>
      <c r="F147" s="19" t="n">
        <v>12</v>
      </c>
      <c r="G147" s="19" t="n">
        <v>1</v>
      </c>
      <c r="H147" s="19" t="n">
        <v>16</v>
      </c>
      <c r="I147" s="13">
        <f>G147*H147</f>
        <v>16.0</v>
      </c>
      <c r="J147" s="20">
        <f>3400/1000</f>
        <v>3.4</v>
      </c>
      <c r="K147" s="21">
        <f>I147*J147</f>
        <v>54.4</v>
      </c>
      <c r="L147" s="22">
        <f>F147^2/162</f>
        <v>0.8888888888888888</v>
      </c>
      <c r="M147" s="21">
        <f>K147*L147</f>
        <v>48.355555555555554</v>
      </c>
      <c r="N147" s="22">
        <f>M147/1000</f>
        <v>0.048355555555555554</v>
      </c>
      <c r="O147" s="13" t="inlineStr">
        <is>
          <t>BBS</t>
        </is>
      </c>
    </row>
    <row r="148">
      <c r="A148" s="13" t="n">
        <v>143</v>
      </c>
      <c r="B148" s="13" t="inlineStr">
        <is>
          <t>Floor Slabs</t>
        </is>
      </c>
      <c r="C148" s="13" t="inlineStr">
        <is>
          <t>STR-073</t>
        </is>
      </c>
      <c r="D148" s="13" t="inlineStr">
        <is>
          <t>Third floor slab - bottom</t>
        </is>
      </c>
      <c r="E148" s="19" t="inlineStr">
        <is>
          <t>1206</t>
        </is>
      </c>
      <c r="F148" s="19" t="n">
        <v>12</v>
      </c>
      <c r="G148" s="19" t="n">
        <v>1</v>
      </c>
      <c r="H148" s="19" t="n">
        <v>58</v>
      </c>
      <c r="I148" s="13">
        <f>G148*H148</f>
        <v>58.0</v>
      </c>
      <c r="J148" s="20">
        <f>4800/1000</f>
        <v>4.8</v>
      </c>
      <c r="K148" s="21">
        <f>I148*J148</f>
        <v>278.4</v>
      </c>
      <c r="L148" s="22">
        <f>F148^2/162</f>
        <v>0.8888888888888888</v>
      </c>
      <c r="M148" s="21">
        <f>K148*L148</f>
        <v>247.46666666666664</v>
      </c>
      <c r="N148" s="22">
        <f>M148/1000</f>
        <v>0.24746666666666664</v>
      </c>
      <c r="O148" s="13" t="inlineStr">
        <is>
          <t>BBS</t>
        </is>
      </c>
    </row>
    <row r="149">
      <c r="A149" s="13" t="n">
        <v>144</v>
      </c>
      <c r="B149" s="13" t="inlineStr">
        <is>
          <t>Floor Slabs</t>
        </is>
      </c>
      <c r="C149" s="13" t="inlineStr">
        <is>
          <t>STR-073</t>
        </is>
      </c>
      <c r="D149" s="13" t="inlineStr">
        <is>
          <t>Third floor slab - bottom</t>
        </is>
      </c>
      <c r="E149" s="19" t="inlineStr">
        <is>
          <t>1207</t>
        </is>
      </c>
      <c r="F149" s="19" t="n">
        <v>12</v>
      </c>
      <c r="G149" s="19" t="n">
        <v>1</v>
      </c>
      <c r="H149" s="19" t="n">
        <v>47</v>
      </c>
      <c r="I149" s="13">
        <f>G149*H149</f>
        <v>47.0</v>
      </c>
      <c r="J149" s="20">
        <f>5500/1000</f>
        <v>5.5</v>
      </c>
      <c r="K149" s="21">
        <f>I149*J149</f>
        <v>258.5</v>
      </c>
      <c r="L149" s="22">
        <f>F149^2/162</f>
        <v>0.8888888888888888</v>
      </c>
      <c r="M149" s="21">
        <f>K149*L149</f>
        <v>229.77777777777777</v>
      </c>
      <c r="N149" s="22">
        <f>M149/1000</f>
        <v>0.22977777777777778</v>
      </c>
      <c r="O149" s="13" t="inlineStr">
        <is>
          <t>BBS</t>
        </is>
      </c>
    </row>
    <row r="150">
      <c r="A150" s="13" t="n">
        <v>145</v>
      </c>
      <c r="B150" s="13" t="inlineStr">
        <is>
          <t>Floor Slabs</t>
        </is>
      </c>
      <c r="C150" s="13" t="inlineStr">
        <is>
          <t>STR-073</t>
        </is>
      </c>
      <c r="D150" s="13" t="inlineStr">
        <is>
          <t>Third floor slab - bottom</t>
        </is>
      </c>
      <c r="E150" s="19" t="inlineStr">
        <is>
          <t>1208</t>
        </is>
      </c>
      <c r="F150" s="19" t="n">
        <v>12</v>
      </c>
      <c r="G150" s="19" t="n">
        <v>1</v>
      </c>
      <c r="H150" s="19" t="n">
        <v>269</v>
      </c>
      <c r="I150" s="13">
        <f>G150*H150</f>
        <v>269.0</v>
      </c>
      <c r="J150" s="20">
        <f>8850/1000</f>
        <v>8.85</v>
      </c>
      <c r="K150" s="21">
        <f>I150*J150</f>
        <v>2380.65</v>
      </c>
      <c r="L150" s="22">
        <f>F150^2/162</f>
        <v>0.8888888888888888</v>
      </c>
      <c r="M150" s="21">
        <f>K150*L150</f>
        <v>2116.133333333333</v>
      </c>
      <c r="N150" s="22">
        <f>M150/1000</f>
        <v>2.1161333333333334</v>
      </c>
      <c r="O150" s="13" t="inlineStr">
        <is>
          <t>BBS</t>
        </is>
      </c>
    </row>
    <row r="151">
      <c r="A151" s="13" t="n">
        <v>146</v>
      </c>
      <c r="B151" s="13" t="inlineStr">
        <is>
          <t>Floor Slabs</t>
        </is>
      </c>
      <c r="C151" s="13" t="inlineStr">
        <is>
          <t>STR-073</t>
        </is>
      </c>
      <c r="D151" s="13" t="inlineStr">
        <is>
          <t>Third floor slab - bottom</t>
        </is>
      </c>
      <c r="E151" s="19" t="inlineStr">
        <is>
          <t>1209</t>
        </is>
      </c>
      <c r="F151" s="19" t="n">
        <v>12</v>
      </c>
      <c r="G151" s="19" t="n">
        <v>1</v>
      </c>
      <c r="H151" s="19" t="n">
        <v>15</v>
      </c>
      <c r="I151" s="13">
        <f>G151*H151</f>
        <v>15.0</v>
      </c>
      <c r="J151" s="20">
        <f>8775/1000</f>
        <v>8.775</v>
      </c>
      <c r="K151" s="21">
        <f>I151*J151</f>
        <v>131.625</v>
      </c>
      <c r="L151" s="22">
        <f>F151^2/162</f>
        <v>0.8888888888888888</v>
      </c>
      <c r="M151" s="21">
        <f>K151*L151</f>
        <v>117.0</v>
      </c>
      <c r="N151" s="22">
        <f>M151/1000</f>
        <v>0.117</v>
      </c>
      <c r="O151" s="13" t="inlineStr">
        <is>
          <t>BBS</t>
        </is>
      </c>
    </row>
    <row r="152">
      <c r="A152" s="13" t="n">
        <v>147</v>
      </c>
      <c r="B152" s="13" t="inlineStr">
        <is>
          <t>Floor Slabs</t>
        </is>
      </c>
      <c r="C152" s="13" t="inlineStr">
        <is>
          <t>STR-073</t>
        </is>
      </c>
      <c r="D152" s="13" t="inlineStr">
        <is>
          <t>Third floor slab - bottom</t>
        </is>
      </c>
      <c r="E152" s="19" t="inlineStr">
        <is>
          <t>1210</t>
        </is>
      </c>
      <c r="F152" s="19" t="n">
        <v>12</v>
      </c>
      <c r="G152" s="19" t="n">
        <v>1</v>
      </c>
      <c r="H152" s="19" t="n">
        <v>7</v>
      </c>
      <c r="I152" s="13">
        <f>G152*H152</f>
        <v>7.0</v>
      </c>
      <c r="J152" s="20">
        <f>1000/1000</f>
        <v>1.0</v>
      </c>
      <c r="K152" s="21">
        <f>I152*J152</f>
        <v>7.0</v>
      </c>
      <c r="L152" s="22">
        <f>F152^2/162</f>
        <v>0.8888888888888888</v>
      </c>
      <c r="M152" s="21">
        <f>K152*L152</f>
        <v>6.222222222222221</v>
      </c>
      <c r="N152" s="22">
        <f>M152/1000</f>
        <v>0.006222222222222221</v>
      </c>
      <c r="O152" s="13" t="inlineStr">
        <is>
          <t>BBS</t>
        </is>
      </c>
    </row>
    <row r="153">
      <c r="A153" s="13" t="n">
        <v>148</v>
      </c>
      <c r="B153" s="13" t="inlineStr">
        <is>
          <t>Floor Slabs</t>
        </is>
      </c>
      <c r="C153" s="13" t="inlineStr">
        <is>
          <t>STR-073</t>
        </is>
      </c>
      <c r="D153" s="13" t="inlineStr">
        <is>
          <t>Third floor slab - bottom</t>
        </is>
      </c>
      <c r="E153" s="19" t="inlineStr">
        <is>
          <t>1211</t>
        </is>
      </c>
      <c r="F153" s="19" t="n">
        <v>12</v>
      </c>
      <c r="G153" s="19" t="n">
        <v>1</v>
      </c>
      <c r="H153" s="19" t="n">
        <v>269</v>
      </c>
      <c r="I153" s="13">
        <f>G153*H153</f>
        <v>269.0</v>
      </c>
      <c r="J153" s="20">
        <f>8650/1000</f>
        <v>8.65</v>
      </c>
      <c r="K153" s="21">
        <f>I153*J153</f>
        <v>2326.85</v>
      </c>
      <c r="L153" s="22">
        <f>F153^2/162</f>
        <v>0.8888888888888888</v>
      </c>
      <c r="M153" s="21">
        <f>K153*L153</f>
        <v>2068.311111111111</v>
      </c>
      <c r="N153" s="22">
        <f>M153/1000</f>
        <v>2.068311111111111</v>
      </c>
      <c r="O153" s="13" t="inlineStr">
        <is>
          <t>BBS</t>
        </is>
      </c>
    </row>
    <row r="154">
      <c r="A154" s="13" t="n">
        <v>149</v>
      </c>
      <c r="B154" s="13" t="inlineStr">
        <is>
          <t>Floor Slabs</t>
        </is>
      </c>
      <c r="C154" s="13" t="inlineStr">
        <is>
          <t>STR-073</t>
        </is>
      </c>
      <c r="D154" s="13" t="inlineStr">
        <is>
          <t>Third floor slab - bottom</t>
        </is>
      </c>
      <c r="E154" s="19" t="inlineStr">
        <is>
          <t>1212</t>
        </is>
      </c>
      <c r="F154" s="19" t="n">
        <v>12</v>
      </c>
      <c r="G154" s="19" t="n">
        <v>1</v>
      </c>
      <c r="H154" s="19" t="n">
        <v>163</v>
      </c>
      <c r="I154" s="13">
        <f>G154*H154</f>
        <v>163.0</v>
      </c>
      <c r="J154" s="20">
        <f>9525/1000</f>
        <v>9.525</v>
      </c>
      <c r="K154" s="21">
        <f>I154*J154</f>
        <v>1552.575</v>
      </c>
      <c r="L154" s="22">
        <f>F154^2/162</f>
        <v>0.8888888888888888</v>
      </c>
      <c r="M154" s="21">
        <f>K154*L154</f>
        <v>1380.0666666666666</v>
      </c>
      <c r="N154" s="22">
        <f>M154/1000</f>
        <v>1.3800666666666666</v>
      </c>
      <c r="O154" s="13" t="inlineStr">
        <is>
          <t>BBS</t>
        </is>
      </c>
    </row>
    <row r="155">
      <c r="A155" s="13" t="n">
        <v>150</v>
      </c>
      <c r="B155" s="13" t="inlineStr">
        <is>
          <t>Floor Slabs</t>
        </is>
      </c>
      <c r="C155" s="13" t="inlineStr">
        <is>
          <t>STR-073</t>
        </is>
      </c>
      <c r="D155" s="13" t="inlineStr">
        <is>
          <t>Third floor slab - bottom</t>
        </is>
      </c>
      <c r="E155" s="19" t="inlineStr">
        <is>
          <t>1213</t>
        </is>
      </c>
      <c r="F155" s="19" t="n">
        <v>12</v>
      </c>
      <c r="G155" s="19" t="n">
        <v>1</v>
      </c>
      <c r="H155" s="19" t="n">
        <v>36</v>
      </c>
      <c r="I155" s="13">
        <f>G155*H155</f>
        <v>36.0</v>
      </c>
      <c r="J155" s="20">
        <f>10250/1000</f>
        <v>10.25</v>
      </c>
      <c r="K155" s="21">
        <f>I155*J155</f>
        <v>369.0</v>
      </c>
      <c r="L155" s="22">
        <f>F155^2/162</f>
        <v>0.8888888888888888</v>
      </c>
      <c r="M155" s="21">
        <f>K155*L155</f>
        <v>328.0</v>
      </c>
      <c r="N155" s="22">
        <f>M155/1000</f>
        <v>0.328</v>
      </c>
      <c r="O155" s="13" t="inlineStr">
        <is>
          <t>BBS</t>
        </is>
      </c>
    </row>
    <row r="156">
      <c r="A156" s="13" t="n">
        <v>151</v>
      </c>
      <c r="B156" s="13" t="inlineStr">
        <is>
          <t>Floor Slabs</t>
        </is>
      </c>
      <c r="C156" s="13" t="inlineStr">
        <is>
          <t>STR-073</t>
        </is>
      </c>
      <c r="D156" s="13" t="inlineStr">
        <is>
          <t>Third floor slab - bottom</t>
        </is>
      </c>
      <c r="E156" s="19" t="inlineStr">
        <is>
          <t>1214</t>
        </is>
      </c>
      <c r="F156" s="19" t="n">
        <v>12</v>
      </c>
      <c r="G156" s="19" t="n">
        <v>1</v>
      </c>
      <c r="H156" s="19" t="n">
        <v>341</v>
      </c>
      <c r="I156" s="13">
        <f>G156*H156</f>
        <v>341.0</v>
      </c>
      <c r="J156" s="20">
        <f>11000/1000</f>
        <v>11.0</v>
      </c>
      <c r="K156" s="21">
        <f>I156*J156</f>
        <v>3751.0</v>
      </c>
      <c r="L156" s="22">
        <f>F156^2/162</f>
        <v>0.8888888888888888</v>
      </c>
      <c r="M156" s="21">
        <f>K156*L156</f>
        <v>3334.222222222222</v>
      </c>
      <c r="N156" s="22">
        <f>M156/1000</f>
        <v>3.334222222222222</v>
      </c>
      <c r="O156" s="13" t="inlineStr">
        <is>
          <t>BBS</t>
        </is>
      </c>
    </row>
    <row r="157">
      <c r="A157" s="13" t="n">
        <v>152</v>
      </c>
      <c r="B157" s="13" t="inlineStr">
        <is>
          <t>Floor Slabs</t>
        </is>
      </c>
      <c r="C157" s="13" t="inlineStr">
        <is>
          <t>STR-073</t>
        </is>
      </c>
      <c r="D157" s="13" t="inlineStr">
        <is>
          <t>Third floor slab - bottom</t>
        </is>
      </c>
      <c r="E157" s="19" t="inlineStr">
        <is>
          <t>1215</t>
        </is>
      </c>
      <c r="F157" s="19" t="n">
        <v>12</v>
      </c>
      <c r="G157" s="19" t="n">
        <v>1</v>
      </c>
      <c r="H157" s="19" t="n">
        <v>319</v>
      </c>
      <c r="I157" s="13">
        <f>G157*H157</f>
        <v>319.0</v>
      </c>
      <c r="J157" s="20">
        <f>12000/1000</f>
        <v>12.0</v>
      </c>
      <c r="K157" s="21">
        <f>I157*J157</f>
        <v>3828.0</v>
      </c>
      <c r="L157" s="22">
        <f>F157^2/162</f>
        <v>0.8888888888888888</v>
      </c>
      <c r="M157" s="21">
        <f>K157*L157</f>
        <v>3402.6666666666665</v>
      </c>
      <c r="N157" s="22">
        <f>M157/1000</f>
        <v>3.4026666666666667</v>
      </c>
      <c r="O157" s="13" t="inlineStr">
        <is>
          <t>BBS</t>
        </is>
      </c>
    </row>
    <row r="158">
      <c r="A158" s="13" t="n">
        <v>153</v>
      </c>
      <c r="B158" s="13" t="inlineStr">
        <is>
          <t>Floor Slabs</t>
        </is>
      </c>
      <c r="C158" s="13" t="inlineStr">
        <is>
          <t>STR-073</t>
        </is>
      </c>
      <c r="D158" s="13" t="inlineStr">
        <is>
          <t>Third floor slab - bottom</t>
        </is>
      </c>
      <c r="E158" s="19" t="inlineStr">
        <is>
          <t>1216</t>
        </is>
      </c>
      <c r="F158" s="19" t="n">
        <v>12</v>
      </c>
      <c r="G158" s="19" t="n">
        <v>1</v>
      </c>
      <c r="H158" s="19" t="n">
        <v>9</v>
      </c>
      <c r="I158" s="13">
        <f>G158*H158</f>
        <v>9.0</v>
      </c>
      <c r="J158" s="20">
        <f>7375/1000</f>
        <v>7.375</v>
      </c>
      <c r="K158" s="21">
        <f>I158*J158</f>
        <v>66.375</v>
      </c>
      <c r="L158" s="22">
        <f>F158^2/162</f>
        <v>0.8888888888888888</v>
      </c>
      <c r="M158" s="21">
        <f>K158*L158</f>
        <v>59.0</v>
      </c>
      <c r="N158" s="22">
        <f>M158/1000</f>
        <v>0.059</v>
      </c>
      <c r="O158" s="13" t="inlineStr">
        <is>
          <t>BBS</t>
        </is>
      </c>
    </row>
    <row r="159">
      <c r="A159" s="13" t="n">
        <v>154</v>
      </c>
      <c r="B159" s="13" t="inlineStr">
        <is>
          <t>Floor Slabs</t>
        </is>
      </c>
      <c r="C159" s="13" t="inlineStr">
        <is>
          <t>STR-073</t>
        </is>
      </c>
      <c r="D159" s="13" t="inlineStr">
        <is>
          <t>Third floor slab - bottom</t>
        </is>
      </c>
      <c r="E159" s="19" t="inlineStr">
        <is>
          <t>1217</t>
        </is>
      </c>
      <c r="F159" s="19" t="n">
        <v>12</v>
      </c>
      <c r="G159" s="19" t="n">
        <v>1</v>
      </c>
      <c r="H159" s="19" t="n">
        <v>153</v>
      </c>
      <c r="I159" s="13">
        <f>G159*H159</f>
        <v>153.0</v>
      </c>
      <c r="J159" s="20">
        <f>12000/1000</f>
        <v>12.0</v>
      </c>
      <c r="K159" s="21">
        <f>I159*J159</f>
        <v>1836.0</v>
      </c>
      <c r="L159" s="22">
        <f>F159^2/162</f>
        <v>0.8888888888888888</v>
      </c>
      <c r="M159" s="21">
        <f>K159*L159</f>
        <v>1632.0</v>
      </c>
      <c r="N159" s="22">
        <f>M159/1000</f>
        <v>1.632</v>
      </c>
      <c r="O159" s="13" t="inlineStr">
        <is>
          <t>BBS</t>
        </is>
      </c>
    </row>
    <row r="160">
      <c r="A160" s="13" t="n">
        <v>155</v>
      </c>
      <c r="B160" s="13" t="inlineStr">
        <is>
          <t>Floor Slabs</t>
        </is>
      </c>
      <c r="C160" s="13" t="inlineStr">
        <is>
          <t>STR-073</t>
        </is>
      </c>
      <c r="D160" s="13" t="inlineStr">
        <is>
          <t>Third floor slab - bottom</t>
        </is>
      </c>
      <c r="E160" s="19" t="inlineStr">
        <is>
          <t>1218</t>
        </is>
      </c>
      <c r="F160" s="19" t="n">
        <v>12</v>
      </c>
      <c r="G160" s="19" t="n">
        <v>1</v>
      </c>
      <c r="H160" s="19" t="n">
        <v>85</v>
      </c>
      <c r="I160" s="13">
        <f>G160*H160</f>
        <v>85.0</v>
      </c>
      <c r="J160" s="20">
        <f>7400/1000</f>
        <v>7.4</v>
      </c>
      <c r="K160" s="21">
        <f>I160*J160</f>
        <v>629.0</v>
      </c>
      <c r="L160" s="22">
        <f>F160^2/162</f>
        <v>0.8888888888888888</v>
      </c>
      <c r="M160" s="21">
        <f>K160*L160</f>
        <v>559.1111111111111</v>
      </c>
      <c r="N160" s="22">
        <f>M160/1000</f>
        <v>0.5591111111111111</v>
      </c>
      <c r="O160" s="13" t="inlineStr">
        <is>
          <t>BBS</t>
        </is>
      </c>
    </row>
    <row r="161">
      <c r="A161" s="13" t="n">
        <v>156</v>
      </c>
      <c r="B161" s="13" t="inlineStr">
        <is>
          <t>Floor Slabs</t>
        </is>
      </c>
      <c r="C161" s="13" t="inlineStr">
        <is>
          <t>STR-073</t>
        </is>
      </c>
      <c r="D161" s="13" t="inlineStr">
        <is>
          <t>Third floor slab - bottom</t>
        </is>
      </c>
      <c r="E161" s="19" t="inlineStr">
        <is>
          <t>1219</t>
        </is>
      </c>
      <c r="F161" s="19" t="n">
        <v>12</v>
      </c>
      <c r="G161" s="19" t="n">
        <v>1</v>
      </c>
      <c r="H161" s="19" t="n">
        <v>12</v>
      </c>
      <c r="I161" s="13">
        <f>G161*H161</f>
        <v>12.0</v>
      </c>
      <c r="J161" s="20">
        <f>4200/1000</f>
        <v>4.2</v>
      </c>
      <c r="K161" s="21">
        <f>I161*J161</f>
        <v>50.400000000000006</v>
      </c>
      <c r="L161" s="22">
        <f>F161^2/162</f>
        <v>0.8888888888888888</v>
      </c>
      <c r="M161" s="21">
        <f>K161*L161</f>
        <v>44.800000000000004</v>
      </c>
      <c r="N161" s="22">
        <f>M161/1000</f>
        <v>0.044800000000000006</v>
      </c>
      <c r="O161" s="13" t="inlineStr">
        <is>
          <t>BBS</t>
        </is>
      </c>
    </row>
    <row r="162">
      <c r="A162" s="13" t="n">
        <v>157</v>
      </c>
      <c r="B162" s="13" t="inlineStr">
        <is>
          <t>Floor Slabs</t>
        </is>
      </c>
      <c r="C162" s="13" t="inlineStr">
        <is>
          <t>STR-073</t>
        </is>
      </c>
      <c r="D162" s="13" t="inlineStr">
        <is>
          <t>Third floor slab - bottom</t>
        </is>
      </c>
      <c r="E162" s="19" t="inlineStr">
        <is>
          <t>1220</t>
        </is>
      </c>
      <c r="F162" s="19" t="n">
        <v>12</v>
      </c>
      <c r="G162" s="19" t="n">
        <v>1</v>
      </c>
      <c r="H162" s="19" t="n">
        <v>369</v>
      </c>
      <c r="I162" s="13">
        <f>G162*H162</f>
        <v>369.0</v>
      </c>
      <c r="J162" s="20">
        <f>3100/1000</f>
        <v>3.1</v>
      </c>
      <c r="K162" s="21">
        <f>I162*J162</f>
        <v>1143.9</v>
      </c>
      <c r="L162" s="22">
        <f>F162^2/162</f>
        <v>0.8888888888888888</v>
      </c>
      <c r="M162" s="21">
        <f>K162*L162</f>
        <v>1016.8000000000001</v>
      </c>
      <c r="N162" s="22">
        <f>M162/1000</f>
        <v>1.0168000000000001</v>
      </c>
      <c r="O162" s="13" t="inlineStr">
        <is>
          <t>BBS</t>
        </is>
      </c>
    </row>
    <row r="163">
      <c r="A163" s="13" t="n">
        <v>158</v>
      </c>
      <c r="B163" s="13" t="inlineStr">
        <is>
          <t>Floor Slabs</t>
        </is>
      </c>
      <c r="C163" s="13" t="inlineStr">
        <is>
          <t>STR-073</t>
        </is>
      </c>
      <c r="D163" s="13" t="inlineStr">
        <is>
          <t>Third floor slab - bottom</t>
        </is>
      </c>
      <c r="E163" s="19" t="inlineStr">
        <is>
          <t>1221</t>
        </is>
      </c>
      <c r="F163" s="19" t="n">
        <v>12</v>
      </c>
      <c r="G163" s="19" t="n">
        <v>1</v>
      </c>
      <c r="H163" s="19" t="n">
        <v>7</v>
      </c>
      <c r="I163" s="13">
        <f>G163*H163</f>
        <v>7.0</v>
      </c>
      <c r="J163" s="20">
        <f>4800/1000</f>
        <v>4.8</v>
      </c>
      <c r="K163" s="21">
        <f>I163*J163</f>
        <v>33.6</v>
      </c>
      <c r="L163" s="22">
        <f>F163^2/162</f>
        <v>0.8888888888888888</v>
      </c>
      <c r="M163" s="21">
        <f>K163*L163</f>
        <v>29.866666666666667</v>
      </c>
      <c r="N163" s="22">
        <f>M163/1000</f>
        <v>0.029866666666666666</v>
      </c>
      <c r="O163" s="13" t="inlineStr">
        <is>
          <t>BBS</t>
        </is>
      </c>
    </row>
    <row r="164">
      <c r="A164" s="13" t="n">
        <v>159</v>
      </c>
      <c r="B164" s="13" t="inlineStr">
        <is>
          <t>Floor Slabs</t>
        </is>
      </c>
      <c r="C164" s="13" t="inlineStr">
        <is>
          <t>STR-073</t>
        </is>
      </c>
      <c r="D164" s="13" t="inlineStr">
        <is>
          <t>Third floor slab - bottom</t>
        </is>
      </c>
      <c r="E164" s="19" t="inlineStr">
        <is>
          <t>1222</t>
        </is>
      </c>
      <c r="F164" s="19" t="n">
        <v>12</v>
      </c>
      <c r="G164" s="19" t="n">
        <v>1</v>
      </c>
      <c r="H164" s="19" t="n">
        <v>13</v>
      </c>
      <c r="I164" s="13">
        <f>G164*H164</f>
        <v>13.0</v>
      </c>
      <c r="J164" s="20">
        <f>6900/1000</f>
        <v>6.9</v>
      </c>
      <c r="K164" s="21">
        <f>I164*J164</f>
        <v>89.7</v>
      </c>
      <c r="L164" s="22">
        <f>F164^2/162</f>
        <v>0.8888888888888888</v>
      </c>
      <c r="M164" s="21">
        <f>K164*L164</f>
        <v>79.73333333333333</v>
      </c>
      <c r="N164" s="22">
        <f>M164/1000</f>
        <v>0.07973333333333334</v>
      </c>
      <c r="O164" s="13" t="inlineStr">
        <is>
          <t>BBS</t>
        </is>
      </c>
    </row>
    <row r="165">
      <c r="A165" s="13" t="n">
        <v>160</v>
      </c>
      <c r="B165" s="13" t="inlineStr">
        <is>
          <t>Floor Slabs</t>
        </is>
      </c>
      <c r="C165" s="13" t="inlineStr">
        <is>
          <t>STR-073</t>
        </is>
      </c>
      <c r="D165" s="13" t="inlineStr">
        <is>
          <t>Third floor slab - bottom</t>
        </is>
      </c>
      <c r="E165" s="19" t="inlineStr">
        <is>
          <t>1223</t>
        </is>
      </c>
      <c r="F165" s="19" t="n">
        <v>12</v>
      </c>
      <c r="G165" s="19" t="n">
        <v>1</v>
      </c>
      <c r="H165" s="19" t="n">
        <v>13</v>
      </c>
      <c r="I165" s="13">
        <f>G165*H165</f>
        <v>13.0</v>
      </c>
      <c r="J165" s="20">
        <f>4200/1000</f>
        <v>4.2</v>
      </c>
      <c r="K165" s="21">
        <f>I165*J165</f>
        <v>54.6</v>
      </c>
      <c r="L165" s="22">
        <f>F165^2/162</f>
        <v>0.8888888888888888</v>
      </c>
      <c r="M165" s="21">
        <f>K165*L165</f>
        <v>48.53333333333333</v>
      </c>
      <c r="N165" s="22">
        <f>M165/1000</f>
        <v>0.04853333333333333</v>
      </c>
      <c r="O165" s="13" t="inlineStr">
        <is>
          <t>BBS</t>
        </is>
      </c>
    </row>
    <row r="166">
      <c r="A166" s="13" t="n">
        <v>161</v>
      </c>
      <c r="B166" s="13" t="inlineStr">
        <is>
          <t>Floor Slabs</t>
        </is>
      </c>
      <c r="C166" s="13" t="inlineStr">
        <is>
          <t>STR-073</t>
        </is>
      </c>
      <c r="D166" s="13" t="inlineStr">
        <is>
          <t>Third floor slab - bottom</t>
        </is>
      </c>
      <c r="E166" s="19" t="inlineStr">
        <is>
          <t>1224</t>
        </is>
      </c>
      <c r="F166" s="19" t="n">
        <v>12</v>
      </c>
      <c r="G166" s="19" t="n">
        <v>1</v>
      </c>
      <c r="H166" s="19" t="n">
        <v>43</v>
      </c>
      <c r="I166" s="13">
        <f>G166*H166</f>
        <v>43.0</v>
      </c>
      <c r="J166" s="20">
        <f>11750/1000</f>
        <v>11.75</v>
      </c>
      <c r="K166" s="21">
        <f>I166*J166</f>
        <v>505.25</v>
      </c>
      <c r="L166" s="22">
        <f>F166^2/162</f>
        <v>0.8888888888888888</v>
      </c>
      <c r="M166" s="21">
        <f>K166*L166</f>
        <v>449.1111111111111</v>
      </c>
      <c r="N166" s="22">
        <f>M166/1000</f>
        <v>0.44911111111111107</v>
      </c>
      <c r="O166" s="13" t="inlineStr">
        <is>
          <t>BBS</t>
        </is>
      </c>
    </row>
    <row r="167">
      <c r="A167" s="13" t="n">
        <v>162</v>
      </c>
      <c r="B167" s="13" t="inlineStr">
        <is>
          <t>Floor Slabs</t>
        </is>
      </c>
      <c r="C167" s="13" t="inlineStr">
        <is>
          <t>STR-073</t>
        </is>
      </c>
      <c r="D167" s="13" t="inlineStr">
        <is>
          <t>Third floor slab - bottom</t>
        </is>
      </c>
      <c r="E167" s="19" t="inlineStr">
        <is>
          <t>1225</t>
        </is>
      </c>
      <c r="F167" s="19" t="n">
        <v>12</v>
      </c>
      <c r="G167" s="19" t="n">
        <v>1</v>
      </c>
      <c r="H167" s="19" t="n">
        <v>87</v>
      </c>
      <c r="I167" s="13">
        <f>G167*H167</f>
        <v>87.0</v>
      </c>
      <c r="J167" s="20">
        <f>11250/1000</f>
        <v>11.25</v>
      </c>
      <c r="K167" s="21">
        <f>I167*J167</f>
        <v>978.75</v>
      </c>
      <c r="L167" s="22">
        <f>F167^2/162</f>
        <v>0.8888888888888888</v>
      </c>
      <c r="M167" s="21">
        <f>K167*L167</f>
        <v>870.0</v>
      </c>
      <c r="N167" s="22">
        <f>M167/1000</f>
        <v>0.87</v>
      </c>
      <c r="O167" s="13" t="inlineStr">
        <is>
          <t>BBS</t>
        </is>
      </c>
    </row>
    <row r="168">
      <c r="A168" s="13" t="n">
        <v>163</v>
      </c>
      <c r="B168" s="13" t="inlineStr">
        <is>
          <t>Floor Slabs</t>
        </is>
      </c>
      <c r="C168" s="13" t="inlineStr">
        <is>
          <t>STR-074</t>
        </is>
      </c>
      <c r="D168" s="13" t="inlineStr">
        <is>
          <t>Third floor slab - top</t>
        </is>
      </c>
      <c r="E168" s="19" t="inlineStr">
        <is>
          <t>1226</t>
        </is>
      </c>
      <c r="F168" s="19" t="n">
        <v>12</v>
      </c>
      <c r="G168" s="19" t="n">
        <v>1</v>
      </c>
      <c r="H168" s="19" t="n">
        <v>16</v>
      </c>
      <c r="I168" s="13">
        <f>G168*H168</f>
        <v>16.0</v>
      </c>
      <c r="J168" s="20">
        <f>1925/1000</f>
        <v>1.925</v>
      </c>
      <c r="K168" s="21">
        <f>I168*J168</f>
        <v>30.8</v>
      </c>
      <c r="L168" s="22">
        <f>F168^2/162</f>
        <v>0.8888888888888888</v>
      </c>
      <c r="M168" s="21">
        <f>K168*L168</f>
        <v>27.377777777777776</v>
      </c>
      <c r="N168" s="22">
        <f>M168/1000</f>
        <v>0.027377777777777775</v>
      </c>
      <c r="O168" s="13" t="inlineStr">
        <is>
          <t>BBS</t>
        </is>
      </c>
    </row>
    <row r="169">
      <c r="A169" s="13" t="n">
        <v>164</v>
      </c>
      <c r="B169" s="13" t="inlineStr">
        <is>
          <t>Floor Slabs</t>
        </is>
      </c>
      <c r="C169" s="13" t="inlineStr">
        <is>
          <t>STR-074</t>
        </is>
      </c>
      <c r="D169" s="13" t="inlineStr">
        <is>
          <t>Third floor slab - top</t>
        </is>
      </c>
      <c r="E169" s="19" t="inlineStr">
        <is>
          <t>1227</t>
        </is>
      </c>
      <c r="F169" s="19" t="n">
        <v>12</v>
      </c>
      <c r="G169" s="19" t="n">
        <v>1</v>
      </c>
      <c r="H169" s="19" t="n">
        <v>291</v>
      </c>
      <c r="I169" s="13">
        <f>G169*H169</f>
        <v>291.0</v>
      </c>
      <c r="J169" s="20">
        <f>11700/1000</f>
        <v>11.7</v>
      </c>
      <c r="K169" s="21">
        <f>I169*J169</f>
        <v>3404.7</v>
      </c>
      <c r="L169" s="22">
        <f>F169^2/162</f>
        <v>0.8888888888888888</v>
      </c>
      <c r="M169" s="21">
        <f>K169*L169</f>
        <v>3026.3999999999996</v>
      </c>
      <c r="N169" s="22">
        <f>M169/1000</f>
        <v>3.0263999999999998</v>
      </c>
      <c r="O169" s="13" t="inlineStr">
        <is>
          <t>BBS</t>
        </is>
      </c>
    </row>
    <row r="170">
      <c r="A170" s="13" t="n">
        <v>165</v>
      </c>
      <c r="B170" s="13" t="inlineStr">
        <is>
          <t>Floor Slabs</t>
        </is>
      </c>
      <c r="C170" s="13" t="inlineStr">
        <is>
          <t>STR-074</t>
        </is>
      </c>
      <c r="D170" s="13" t="inlineStr">
        <is>
          <t>Third floor slab - top</t>
        </is>
      </c>
      <c r="E170" s="19" t="inlineStr">
        <is>
          <t>1228</t>
        </is>
      </c>
      <c r="F170" s="19" t="n">
        <v>12</v>
      </c>
      <c r="G170" s="19" t="n">
        <v>1</v>
      </c>
      <c r="H170" s="19" t="n">
        <v>32</v>
      </c>
      <c r="I170" s="13">
        <f>G170*H170</f>
        <v>32.0</v>
      </c>
      <c r="J170" s="20">
        <f>5850/1000</f>
        <v>5.85</v>
      </c>
      <c r="K170" s="21">
        <f>I170*J170</f>
        <v>187.2</v>
      </c>
      <c r="L170" s="22">
        <f>F170^2/162</f>
        <v>0.8888888888888888</v>
      </c>
      <c r="M170" s="21">
        <f>K170*L170</f>
        <v>166.39999999999998</v>
      </c>
      <c r="N170" s="22">
        <f>M170/1000</f>
        <v>0.16639999999999996</v>
      </c>
      <c r="O170" s="13" t="inlineStr">
        <is>
          <t>BBS</t>
        </is>
      </c>
    </row>
    <row r="171">
      <c r="A171" s="13" t="n">
        <v>166</v>
      </c>
      <c r="B171" s="13" t="inlineStr">
        <is>
          <t>Floor Slabs</t>
        </is>
      </c>
      <c r="C171" s="13" t="inlineStr">
        <is>
          <t>STR-074</t>
        </is>
      </c>
      <c r="D171" s="13" t="inlineStr">
        <is>
          <t>Third floor slab - top</t>
        </is>
      </c>
      <c r="E171" s="19" t="inlineStr">
        <is>
          <t>1229</t>
        </is>
      </c>
      <c r="F171" s="19" t="n">
        <v>12</v>
      </c>
      <c r="G171" s="19" t="n">
        <v>1</v>
      </c>
      <c r="H171" s="19" t="n">
        <v>16</v>
      </c>
      <c r="I171" s="13">
        <f>G171*H171</f>
        <v>16.0</v>
      </c>
      <c r="J171" s="20">
        <f>8250/1000</f>
        <v>8.25</v>
      </c>
      <c r="K171" s="21">
        <f>I171*J171</f>
        <v>132.0</v>
      </c>
      <c r="L171" s="22">
        <f>F171^2/162</f>
        <v>0.8888888888888888</v>
      </c>
      <c r="M171" s="21">
        <f>K171*L171</f>
        <v>117.33333333333333</v>
      </c>
      <c r="N171" s="22">
        <f>M171/1000</f>
        <v>0.11733333333333333</v>
      </c>
      <c r="O171" s="13" t="inlineStr">
        <is>
          <t>BBS</t>
        </is>
      </c>
    </row>
    <row r="172">
      <c r="A172" s="13" t="n">
        <v>167</v>
      </c>
      <c r="B172" s="13" t="inlineStr">
        <is>
          <t>Floor Slabs</t>
        </is>
      </c>
      <c r="C172" s="13" t="inlineStr">
        <is>
          <t>STR-074</t>
        </is>
      </c>
      <c r="D172" s="13" t="inlineStr">
        <is>
          <t>Third floor slab - top</t>
        </is>
      </c>
      <c r="E172" s="19" t="inlineStr">
        <is>
          <t>1230</t>
        </is>
      </c>
      <c r="F172" s="19" t="n">
        <v>12</v>
      </c>
      <c r="G172" s="19" t="n">
        <v>1</v>
      </c>
      <c r="H172" s="19" t="n">
        <v>323</v>
      </c>
      <c r="I172" s="13">
        <f>G172*H172</f>
        <v>323.0</v>
      </c>
      <c r="J172" s="20">
        <f>8000/1000</f>
        <v>8.0</v>
      </c>
      <c r="K172" s="21">
        <f>I172*J172</f>
        <v>2584.0</v>
      </c>
      <c r="L172" s="22">
        <f>F172^2/162</f>
        <v>0.8888888888888888</v>
      </c>
      <c r="M172" s="21">
        <f>K172*L172</f>
        <v>2296.8888888888887</v>
      </c>
      <c r="N172" s="22">
        <f>M172/1000</f>
        <v>2.2968888888888888</v>
      </c>
      <c r="O172" s="13" t="inlineStr">
        <is>
          <t>BBS</t>
        </is>
      </c>
    </row>
    <row r="173">
      <c r="A173" s="13" t="n">
        <v>168</v>
      </c>
      <c r="B173" s="13" t="inlineStr">
        <is>
          <t>Floor Slabs</t>
        </is>
      </c>
      <c r="C173" s="13" t="inlineStr">
        <is>
          <t>STR-074</t>
        </is>
      </c>
      <c r="D173" s="13" t="inlineStr">
        <is>
          <t>Third floor slab - top</t>
        </is>
      </c>
      <c r="E173" s="19" t="inlineStr">
        <is>
          <t>1231</t>
        </is>
      </c>
      <c r="F173" s="19" t="n">
        <v>12</v>
      </c>
      <c r="G173" s="19" t="n">
        <v>1</v>
      </c>
      <c r="H173" s="19" t="n">
        <v>217</v>
      </c>
      <c r="I173" s="13">
        <f>G173*H173</f>
        <v>217.0</v>
      </c>
      <c r="J173" s="20">
        <f>8800/1000</f>
        <v>8.8</v>
      </c>
      <c r="K173" s="21">
        <f>I173*J173</f>
        <v>1909.6000000000001</v>
      </c>
      <c r="L173" s="22">
        <f>F173^2/162</f>
        <v>0.8888888888888888</v>
      </c>
      <c r="M173" s="21">
        <f>K173*L173</f>
        <v>1697.4222222222222</v>
      </c>
      <c r="N173" s="22">
        <f>M173/1000</f>
        <v>1.6974222222222222</v>
      </c>
      <c r="O173" s="13" t="inlineStr">
        <is>
          <t>BBS</t>
        </is>
      </c>
    </row>
    <row r="174">
      <c r="A174" s="13" t="n">
        <v>169</v>
      </c>
      <c r="B174" s="13" t="inlineStr">
        <is>
          <t>Floor Slabs</t>
        </is>
      </c>
      <c r="C174" s="13" t="inlineStr">
        <is>
          <t>STR-074</t>
        </is>
      </c>
      <c r="D174" s="13" t="inlineStr">
        <is>
          <t>Third floor slab - top</t>
        </is>
      </c>
      <c r="E174" s="19" t="inlineStr">
        <is>
          <t>1232</t>
        </is>
      </c>
      <c r="F174" s="19" t="n">
        <v>12</v>
      </c>
      <c r="G174" s="19" t="n">
        <v>1</v>
      </c>
      <c r="H174" s="19" t="n">
        <v>16</v>
      </c>
      <c r="I174" s="13">
        <f>G174*H174</f>
        <v>16.0</v>
      </c>
      <c r="J174" s="20">
        <f>7300/1000</f>
        <v>7.3</v>
      </c>
      <c r="K174" s="21">
        <f>I174*J174</f>
        <v>116.8</v>
      </c>
      <c r="L174" s="22">
        <f>F174^2/162</f>
        <v>0.8888888888888888</v>
      </c>
      <c r="M174" s="21">
        <f>K174*L174</f>
        <v>103.82222222222221</v>
      </c>
      <c r="N174" s="22">
        <f>M174/1000</f>
        <v>0.1038222222222222</v>
      </c>
      <c r="O174" s="13" t="inlineStr">
        <is>
          <t>BBS</t>
        </is>
      </c>
    </row>
    <row r="175">
      <c r="A175" s="13" t="n">
        <v>170</v>
      </c>
      <c r="B175" s="13" t="inlineStr">
        <is>
          <t>Floor Slabs</t>
        </is>
      </c>
      <c r="C175" s="13" t="inlineStr">
        <is>
          <t>STR-074</t>
        </is>
      </c>
      <c r="D175" s="13" t="inlineStr">
        <is>
          <t>Third floor slab - top</t>
        </is>
      </c>
      <c r="E175" s="19" t="inlineStr">
        <is>
          <t>1233</t>
        </is>
      </c>
      <c r="F175" s="19" t="n">
        <v>12</v>
      </c>
      <c r="G175" s="19" t="n">
        <v>1</v>
      </c>
      <c r="H175" s="19" t="n">
        <v>58</v>
      </c>
      <c r="I175" s="13">
        <f>G175*H175</f>
        <v>58.0</v>
      </c>
      <c r="J175" s="20">
        <f>8700/1000</f>
        <v>8.7</v>
      </c>
      <c r="K175" s="21">
        <f>I175*J175</f>
        <v>504.59999999999997</v>
      </c>
      <c r="L175" s="22">
        <f>F175^2/162</f>
        <v>0.8888888888888888</v>
      </c>
      <c r="M175" s="21">
        <f>K175*L175</f>
        <v>448.5333333333333</v>
      </c>
      <c r="N175" s="22">
        <f>M175/1000</f>
        <v>0.4485333333333333</v>
      </c>
      <c r="O175" s="13" t="inlineStr">
        <is>
          <t>BBS</t>
        </is>
      </c>
    </row>
    <row r="176">
      <c r="A176" s="13" t="n">
        <v>171</v>
      </c>
      <c r="B176" s="13" t="inlineStr">
        <is>
          <t>Floor Slabs</t>
        </is>
      </c>
      <c r="C176" s="13" t="inlineStr">
        <is>
          <t>STR-074</t>
        </is>
      </c>
      <c r="D176" s="13" t="inlineStr">
        <is>
          <t>Third floor slab - top</t>
        </is>
      </c>
      <c r="E176" s="19" t="inlineStr">
        <is>
          <t>1234</t>
        </is>
      </c>
      <c r="F176" s="19" t="n">
        <v>12</v>
      </c>
      <c r="G176" s="19" t="n">
        <v>1</v>
      </c>
      <c r="H176" s="19" t="n">
        <v>47</v>
      </c>
      <c r="I176" s="13">
        <f>G176*H176</f>
        <v>47.0</v>
      </c>
      <c r="J176" s="20">
        <f>9400/1000</f>
        <v>9.4</v>
      </c>
      <c r="K176" s="21">
        <f>I176*J176</f>
        <v>441.8</v>
      </c>
      <c r="L176" s="22">
        <f>F176^2/162</f>
        <v>0.8888888888888888</v>
      </c>
      <c r="M176" s="21">
        <f>K176*L176</f>
        <v>392.7111111111111</v>
      </c>
      <c r="N176" s="22">
        <f>M176/1000</f>
        <v>0.3927111111111111</v>
      </c>
      <c r="O176" s="13" t="inlineStr">
        <is>
          <t>BBS</t>
        </is>
      </c>
    </row>
    <row r="177">
      <c r="A177" s="13" t="n">
        <v>172</v>
      </c>
      <c r="B177" s="13" t="inlineStr">
        <is>
          <t>Floor Slabs</t>
        </is>
      </c>
      <c r="C177" s="13" t="inlineStr">
        <is>
          <t>STR-074</t>
        </is>
      </c>
      <c r="D177" s="13" t="inlineStr">
        <is>
          <t>Third floor slab - top</t>
        </is>
      </c>
      <c r="E177" s="19" t="inlineStr">
        <is>
          <t>1235</t>
        </is>
      </c>
      <c r="F177" s="19" t="n">
        <v>12</v>
      </c>
      <c r="G177" s="19" t="n">
        <v>1</v>
      </c>
      <c r="H177" s="19" t="n">
        <v>15</v>
      </c>
      <c r="I177" s="13">
        <f>G177*H177</f>
        <v>15.0</v>
      </c>
      <c r="J177" s="20">
        <f>4700/1000</f>
        <v>4.7</v>
      </c>
      <c r="K177" s="21">
        <f>I177*J177</f>
        <v>70.5</v>
      </c>
      <c r="L177" s="22">
        <f>F177^2/162</f>
        <v>0.8888888888888888</v>
      </c>
      <c r="M177" s="21">
        <f>K177*L177</f>
        <v>62.666666666666664</v>
      </c>
      <c r="N177" s="22">
        <f>M177/1000</f>
        <v>0.06266666666666666</v>
      </c>
      <c r="O177" s="13" t="inlineStr">
        <is>
          <t>BBS</t>
        </is>
      </c>
    </row>
    <row r="178">
      <c r="A178" s="13" t="n">
        <v>173</v>
      </c>
      <c r="B178" s="13" t="inlineStr">
        <is>
          <t>Floor Slabs</t>
        </is>
      </c>
      <c r="C178" s="13" t="inlineStr">
        <is>
          <t>STR-074</t>
        </is>
      </c>
      <c r="D178" s="13" t="inlineStr">
        <is>
          <t>Third floor slab - top</t>
        </is>
      </c>
      <c r="E178" s="19" t="inlineStr">
        <is>
          <t>1236</t>
        </is>
      </c>
      <c r="F178" s="19" t="n">
        <v>12</v>
      </c>
      <c r="G178" s="19" t="n">
        <v>1</v>
      </c>
      <c r="H178" s="19" t="n">
        <v>7</v>
      </c>
      <c r="I178" s="13">
        <f>G178*H178</f>
        <v>7.0</v>
      </c>
      <c r="J178" s="20">
        <f>10200/1000</f>
        <v>10.2</v>
      </c>
      <c r="K178" s="21">
        <f>I178*J178</f>
        <v>71.39999999999999</v>
      </c>
      <c r="L178" s="22">
        <f>F178^2/162</f>
        <v>0.8888888888888888</v>
      </c>
      <c r="M178" s="21">
        <f>K178*L178</f>
        <v>63.466666666666654</v>
      </c>
      <c r="N178" s="22">
        <f>M178/1000</f>
        <v>0.06346666666666666</v>
      </c>
      <c r="O178" s="13" t="inlineStr">
        <is>
          <t>BBS</t>
        </is>
      </c>
    </row>
    <row r="179">
      <c r="A179" s="13" t="n">
        <v>174</v>
      </c>
      <c r="B179" s="13" t="inlineStr">
        <is>
          <t>Floor Slabs</t>
        </is>
      </c>
      <c r="C179" s="13" t="inlineStr">
        <is>
          <t>STR-074</t>
        </is>
      </c>
      <c r="D179" s="13" t="inlineStr">
        <is>
          <t>Third floor slab - top</t>
        </is>
      </c>
      <c r="E179" s="19" t="inlineStr">
        <is>
          <t>1237</t>
        </is>
      </c>
      <c r="F179" s="19" t="n">
        <v>12</v>
      </c>
      <c r="G179" s="19" t="n">
        <v>1</v>
      </c>
      <c r="H179" s="19" t="n">
        <v>202</v>
      </c>
      <c r="I179" s="13">
        <f>G179*H179</f>
        <v>202.0</v>
      </c>
      <c r="J179" s="20">
        <f>8650/1000</f>
        <v>8.65</v>
      </c>
      <c r="K179" s="21">
        <f>I179*J179</f>
        <v>1747.3000000000002</v>
      </c>
      <c r="L179" s="22">
        <f>F179^2/162</f>
        <v>0.8888888888888888</v>
      </c>
      <c r="M179" s="21">
        <f>K179*L179</f>
        <v>1553.1555555555556</v>
      </c>
      <c r="N179" s="22">
        <f>M179/1000</f>
        <v>1.5531555555555556</v>
      </c>
      <c r="O179" s="13" t="inlineStr">
        <is>
          <t>BBS</t>
        </is>
      </c>
    </row>
    <row r="180">
      <c r="A180" s="13" t="n">
        <v>175</v>
      </c>
      <c r="B180" s="13" t="inlineStr">
        <is>
          <t>Floor Slabs</t>
        </is>
      </c>
      <c r="C180" s="13" t="inlineStr">
        <is>
          <t>STR-074</t>
        </is>
      </c>
      <c r="D180" s="13" t="inlineStr">
        <is>
          <t>Third floor slab - top</t>
        </is>
      </c>
      <c r="E180" s="19" t="inlineStr">
        <is>
          <t>1238</t>
        </is>
      </c>
      <c r="F180" s="19" t="n">
        <v>12</v>
      </c>
      <c r="G180" s="19" t="n">
        <v>1</v>
      </c>
      <c r="H180" s="19" t="n">
        <v>202</v>
      </c>
      <c r="I180" s="13">
        <f>G180*H180</f>
        <v>202.0</v>
      </c>
      <c r="J180" s="20">
        <f>5900/1000</f>
        <v>5.9</v>
      </c>
      <c r="K180" s="21">
        <f>I180*J180</f>
        <v>1191.8000000000002</v>
      </c>
      <c r="L180" s="22">
        <f>F180^2/162</f>
        <v>0.8888888888888888</v>
      </c>
      <c r="M180" s="21">
        <f>K180*L180</f>
        <v>1059.377777777778</v>
      </c>
      <c r="N180" s="22">
        <f>M180/1000</f>
        <v>1.059377777777778</v>
      </c>
      <c r="O180" s="13" t="inlineStr">
        <is>
          <t>BBS</t>
        </is>
      </c>
    </row>
    <row r="181">
      <c r="A181" s="13" t="n">
        <v>176</v>
      </c>
      <c r="B181" s="13" t="inlineStr">
        <is>
          <t>Floor Slabs</t>
        </is>
      </c>
      <c r="C181" s="13" t="inlineStr">
        <is>
          <t>STR-074</t>
        </is>
      </c>
      <c r="D181" s="13" t="inlineStr">
        <is>
          <t>Third floor slab - top</t>
        </is>
      </c>
      <c r="E181" s="19" t="inlineStr">
        <is>
          <t>1239</t>
        </is>
      </c>
      <c r="F181" s="19" t="n">
        <v>12</v>
      </c>
      <c r="G181" s="19" t="n">
        <v>1</v>
      </c>
      <c r="H181" s="19" t="n">
        <v>120</v>
      </c>
      <c r="I181" s="13">
        <f>G181*H181</f>
        <v>120.0</v>
      </c>
      <c r="J181" s="20">
        <f>9525/1000</f>
        <v>9.525</v>
      </c>
      <c r="K181" s="21">
        <f>I181*J181</f>
        <v>1143.0</v>
      </c>
      <c r="L181" s="22">
        <f>F181^2/162</f>
        <v>0.8888888888888888</v>
      </c>
      <c r="M181" s="21">
        <f>K181*L181</f>
        <v>1016.0</v>
      </c>
      <c r="N181" s="22">
        <f>M181/1000</f>
        <v>1.016</v>
      </c>
      <c r="O181" s="13" t="inlineStr">
        <is>
          <t>BBS</t>
        </is>
      </c>
    </row>
    <row r="182">
      <c r="A182" s="13" t="n">
        <v>177</v>
      </c>
      <c r="B182" s="13" t="inlineStr">
        <is>
          <t>Floor Slabs</t>
        </is>
      </c>
      <c r="C182" s="13" t="inlineStr">
        <is>
          <t>STR-074</t>
        </is>
      </c>
      <c r="D182" s="13" t="inlineStr">
        <is>
          <t>Third floor slab - top</t>
        </is>
      </c>
      <c r="E182" s="19" t="inlineStr">
        <is>
          <t>1240</t>
        </is>
      </c>
      <c r="F182" s="19" t="n">
        <v>12</v>
      </c>
      <c r="G182" s="19" t="n">
        <v>1</v>
      </c>
      <c r="H182" s="19" t="n">
        <v>294</v>
      </c>
      <c r="I182" s="13">
        <f>G182*H182</f>
        <v>294.0</v>
      </c>
      <c r="J182" s="20">
        <f>7300/1000</f>
        <v>7.3</v>
      </c>
      <c r="K182" s="21">
        <f>I182*J182</f>
        <v>2146.2</v>
      </c>
      <c r="L182" s="22">
        <f>F182^2/162</f>
        <v>0.8888888888888888</v>
      </c>
      <c r="M182" s="21">
        <f>K182*L182</f>
        <v>1907.7333333333331</v>
      </c>
      <c r="N182" s="22">
        <f>M182/1000</f>
        <v>1.907733333333333</v>
      </c>
      <c r="O182" s="13" t="inlineStr">
        <is>
          <t>BBS</t>
        </is>
      </c>
    </row>
    <row r="183">
      <c r="A183" s="13" t="n">
        <v>178</v>
      </c>
      <c r="B183" s="13" t="inlineStr">
        <is>
          <t>Floor Slabs</t>
        </is>
      </c>
      <c r="C183" s="13" t="inlineStr">
        <is>
          <t>STR-074</t>
        </is>
      </c>
      <c r="D183" s="13" t="inlineStr">
        <is>
          <t>Third floor slab - top</t>
        </is>
      </c>
      <c r="E183" s="19" t="inlineStr">
        <is>
          <t>1241</t>
        </is>
      </c>
      <c r="F183" s="19" t="n">
        <v>12</v>
      </c>
      <c r="G183" s="19" t="n">
        <v>1</v>
      </c>
      <c r="H183" s="19" t="n">
        <v>36</v>
      </c>
      <c r="I183" s="13">
        <f>G183*H183</f>
        <v>36.0</v>
      </c>
      <c r="J183" s="20">
        <f>3800/1000</f>
        <v>3.8</v>
      </c>
      <c r="K183" s="21">
        <f>I183*J183</f>
        <v>136.79999999999998</v>
      </c>
      <c r="L183" s="22">
        <f>F183^2/162</f>
        <v>0.8888888888888888</v>
      </c>
      <c r="M183" s="21">
        <f>K183*L183</f>
        <v>121.59999999999998</v>
      </c>
      <c r="N183" s="22">
        <f>M183/1000</f>
        <v>0.12159999999999999</v>
      </c>
      <c r="O183" s="13" t="inlineStr">
        <is>
          <t>BBS</t>
        </is>
      </c>
    </row>
    <row r="184">
      <c r="A184" s="13" t="n">
        <v>179</v>
      </c>
      <c r="B184" s="13" t="inlineStr">
        <is>
          <t>Floor Slabs</t>
        </is>
      </c>
      <c r="C184" s="13" t="inlineStr">
        <is>
          <t>STR-074</t>
        </is>
      </c>
      <c r="D184" s="13" t="inlineStr">
        <is>
          <t>Third floor slab - top</t>
        </is>
      </c>
      <c r="E184" s="19" t="inlineStr">
        <is>
          <t>1242</t>
        </is>
      </c>
      <c r="F184" s="19" t="n">
        <v>12</v>
      </c>
      <c r="G184" s="19" t="n">
        <v>1</v>
      </c>
      <c r="H184" s="19" t="n">
        <v>44</v>
      </c>
      <c r="I184" s="13">
        <f>G184*H184</f>
        <v>44.0</v>
      </c>
      <c r="J184" s="20">
        <f>10400/1000</f>
        <v>10.4</v>
      </c>
      <c r="K184" s="21">
        <f>I184*J184</f>
        <v>457.6</v>
      </c>
      <c r="L184" s="22">
        <f>F184^2/162</f>
        <v>0.8888888888888888</v>
      </c>
      <c r="M184" s="21">
        <f>K184*L184</f>
        <v>406.75555555555553</v>
      </c>
      <c r="N184" s="22">
        <f>M184/1000</f>
        <v>0.40675555555555554</v>
      </c>
      <c r="O184" s="13" t="inlineStr">
        <is>
          <t>BBS</t>
        </is>
      </c>
    </row>
    <row r="185">
      <c r="A185" s="13" t="n">
        <v>180</v>
      </c>
      <c r="B185" s="13" t="inlineStr">
        <is>
          <t>Floor Slabs</t>
        </is>
      </c>
      <c r="C185" s="13" t="inlineStr">
        <is>
          <t>STR-074</t>
        </is>
      </c>
      <c r="D185" s="13" t="inlineStr">
        <is>
          <t>Third floor slab - top</t>
        </is>
      </c>
      <c r="E185" s="19" t="inlineStr">
        <is>
          <t>1243</t>
        </is>
      </c>
      <c r="F185" s="19" t="n">
        <v>12</v>
      </c>
      <c r="G185" s="19" t="n">
        <v>1</v>
      </c>
      <c r="H185" s="19" t="n">
        <v>23</v>
      </c>
      <c r="I185" s="13">
        <f>G185*H185</f>
        <v>23.0</v>
      </c>
      <c r="J185" s="20">
        <f>3450/1000</f>
        <v>3.45</v>
      </c>
      <c r="K185" s="21">
        <f>I185*J185</f>
        <v>79.35000000000001</v>
      </c>
      <c r="L185" s="22">
        <f>F185^2/162</f>
        <v>0.8888888888888888</v>
      </c>
      <c r="M185" s="21">
        <f>K185*L185</f>
        <v>70.53333333333333</v>
      </c>
      <c r="N185" s="22">
        <f>M185/1000</f>
        <v>0.07053333333333334</v>
      </c>
      <c r="O185" s="13" t="inlineStr">
        <is>
          <t>BBS</t>
        </is>
      </c>
    </row>
    <row r="186">
      <c r="A186" s="13" t="n">
        <v>181</v>
      </c>
      <c r="B186" s="13" t="inlineStr">
        <is>
          <t>Floor Slabs</t>
        </is>
      </c>
      <c r="C186" s="13" t="inlineStr">
        <is>
          <t>STR-074</t>
        </is>
      </c>
      <c r="D186" s="13" t="inlineStr">
        <is>
          <t>Third floor slab - top</t>
        </is>
      </c>
      <c r="E186" s="19" t="inlineStr">
        <is>
          <t>1244</t>
        </is>
      </c>
      <c r="F186" s="19" t="n">
        <v>12</v>
      </c>
      <c r="G186" s="19" t="n">
        <v>1</v>
      </c>
      <c r="H186" s="19" t="n">
        <v>297</v>
      </c>
      <c r="I186" s="13">
        <f>G186*H186</f>
        <v>297.0</v>
      </c>
      <c r="J186" s="20">
        <f>12000/1000</f>
        <v>12.0</v>
      </c>
      <c r="K186" s="21">
        <f>I186*J186</f>
        <v>3564.0</v>
      </c>
      <c r="L186" s="22">
        <f>F186^2/162</f>
        <v>0.8888888888888888</v>
      </c>
      <c r="M186" s="21">
        <f>K186*L186</f>
        <v>3168.0</v>
      </c>
      <c r="N186" s="22">
        <f>M186/1000</f>
        <v>3.168</v>
      </c>
      <c r="O186" s="13" t="inlineStr">
        <is>
          <t>BBS</t>
        </is>
      </c>
    </row>
    <row r="187">
      <c r="A187" s="13" t="n">
        <v>182</v>
      </c>
      <c r="B187" s="13" t="inlineStr">
        <is>
          <t>Floor Slabs</t>
        </is>
      </c>
      <c r="C187" s="13" t="inlineStr">
        <is>
          <t>STR-074</t>
        </is>
      </c>
      <c r="D187" s="13" t="inlineStr">
        <is>
          <t>Third floor slab - top</t>
        </is>
      </c>
      <c r="E187" s="19" t="inlineStr">
        <is>
          <t>1245</t>
        </is>
      </c>
      <c r="F187" s="19" t="n">
        <v>12</v>
      </c>
      <c r="G187" s="19" t="n">
        <v>1</v>
      </c>
      <c r="H187" s="19" t="n">
        <v>36</v>
      </c>
      <c r="I187" s="13">
        <f>G187*H187</f>
        <v>36.0</v>
      </c>
      <c r="J187" s="20">
        <f>7350/1000</f>
        <v>7.35</v>
      </c>
      <c r="K187" s="21">
        <f>I187*J187</f>
        <v>264.59999999999997</v>
      </c>
      <c r="L187" s="22">
        <f>F187^2/162</f>
        <v>0.8888888888888888</v>
      </c>
      <c r="M187" s="21">
        <f>K187*L187</f>
        <v>235.19999999999996</v>
      </c>
      <c r="N187" s="22">
        <f>M187/1000</f>
        <v>0.23519999999999996</v>
      </c>
      <c r="O187" s="13" t="inlineStr">
        <is>
          <t>BBS</t>
        </is>
      </c>
    </row>
    <row r="188">
      <c r="A188" s="13" t="n">
        <v>183</v>
      </c>
      <c r="B188" s="13" t="inlineStr">
        <is>
          <t>Floor Slabs</t>
        </is>
      </c>
      <c r="C188" s="13" t="inlineStr">
        <is>
          <t>STR-074</t>
        </is>
      </c>
      <c r="D188" s="13" t="inlineStr">
        <is>
          <t>Third floor slab - top</t>
        </is>
      </c>
      <c r="E188" s="19" t="inlineStr">
        <is>
          <t>1246</t>
        </is>
      </c>
      <c r="F188" s="19" t="n">
        <v>12</v>
      </c>
      <c r="G188" s="19" t="n">
        <v>1</v>
      </c>
      <c r="H188" s="19" t="n">
        <v>85</v>
      </c>
      <c r="I188" s="13">
        <f>G188*H188</f>
        <v>85.0</v>
      </c>
      <c r="J188" s="20">
        <f>4300/1000</f>
        <v>4.3</v>
      </c>
      <c r="K188" s="21">
        <f>I188*J188</f>
        <v>365.5</v>
      </c>
      <c r="L188" s="22">
        <f>F188^2/162</f>
        <v>0.8888888888888888</v>
      </c>
      <c r="M188" s="21">
        <f>K188*L188</f>
        <v>324.88888888888886</v>
      </c>
      <c r="N188" s="22">
        <f>M188/1000</f>
        <v>0.32488888888888884</v>
      </c>
      <c r="O188" s="13" t="inlineStr">
        <is>
          <t>BBS</t>
        </is>
      </c>
    </row>
    <row r="189">
      <c r="A189" s="13" t="n">
        <v>184</v>
      </c>
      <c r="B189" s="13" t="inlineStr">
        <is>
          <t>Floor Slabs</t>
        </is>
      </c>
      <c r="C189" s="13" t="inlineStr">
        <is>
          <t>STR-074</t>
        </is>
      </c>
      <c r="D189" s="13" t="inlineStr">
        <is>
          <t>Third floor slab - top</t>
        </is>
      </c>
      <c r="E189" s="19" t="inlineStr">
        <is>
          <t>1247</t>
        </is>
      </c>
      <c r="F189" s="19" t="n">
        <v>12</v>
      </c>
      <c r="G189" s="19" t="n">
        <v>1</v>
      </c>
      <c r="H189" s="19" t="n">
        <v>13</v>
      </c>
      <c r="I189" s="13">
        <f>G189*H189</f>
        <v>13.0</v>
      </c>
      <c r="J189" s="20">
        <f>4100/1000</f>
        <v>4.1</v>
      </c>
      <c r="K189" s="21">
        <f>I189*J189</f>
        <v>53.3</v>
      </c>
      <c r="L189" s="22">
        <f>F189^2/162</f>
        <v>0.8888888888888888</v>
      </c>
      <c r="M189" s="21">
        <f>K189*L189</f>
        <v>47.37777777777777</v>
      </c>
      <c r="N189" s="22">
        <f>M189/1000</f>
        <v>0.047377777777777776</v>
      </c>
      <c r="O189" s="13" t="inlineStr">
        <is>
          <t>BBS</t>
        </is>
      </c>
    </row>
    <row r="190">
      <c r="A190" s="13" t="n">
        <v>185</v>
      </c>
      <c r="B190" s="13" t="inlineStr">
        <is>
          <t>Floor Slabs</t>
        </is>
      </c>
      <c r="C190" s="13" t="inlineStr">
        <is>
          <t>STR-074</t>
        </is>
      </c>
      <c r="D190" s="13" t="inlineStr">
        <is>
          <t>Third floor slab - top</t>
        </is>
      </c>
      <c r="E190" s="19" t="inlineStr">
        <is>
          <t>1248</t>
        </is>
      </c>
      <c r="F190" s="19" t="n">
        <v>12</v>
      </c>
      <c r="G190" s="19" t="n">
        <v>1</v>
      </c>
      <c r="H190" s="19" t="n">
        <v>13</v>
      </c>
      <c r="I190" s="13">
        <f>G190*H190</f>
        <v>13.0</v>
      </c>
      <c r="J190" s="20">
        <f>4200/1000</f>
        <v>4.2</v>
      </c>
      <c r="K190" s="21">
        <f>I190*J190</f>
        <v>54.6</v>
      </c>
      <c r="L190" s="22">
        <f>F190^2/162</f>
        <v>0.8888888888888888</v>
      </c>
      <c r="M190" s="21">
        <f>K190*L190</f>
        <v>48.53333333333333</v>
      </c>
      <c r="N190" s="22">
        <f>M190/1000</f>
        <v>0.04853333333333333</v>
      </c>
      <c r="O190" s="13" t="inlineStr">
        <is>
          <t>BBS</t>
        </is>
      </c>
    </row>
    <row r="191">
      <c r="A191" s="13" t="n">
        <v>186</v>
      </c>
      <c r="B191" s="13" t="inlineStr">
        <is>
          <t>Floor Slabs</t>
        </is>
      </c>
      <c r="C191" s="13" t="inlineStr">
        <is>
          <t>STR-074</t>
        </is>
      </c>
      <c r="D191" s="13" t="inlineStr">
        <is>
          <t>Third floor slab - top</t>
        </is>
      </c>
      <c r="E191" s="19" t="inlineStr">
        <is>
          <t>1249</t>
        </is>
      </c>
      <c r="F191" s="19" t="n">
        <v>12</v>
      </c>
      <c r="G191" s="19" t="n">
        <v>1</v>
      </c>
      <c r="H191" s="19" t="n">
        <v>365</v>
      </c>
      <c r="I191" s="13">
        <f>G191*H191</f>
        <v>365.0</v>
      </c>
      <c r="J191" s="20">
        <f>9200/1000</f>
        <v>9.2</v>
      </c>
      <c r="K191" s="21">
        <f>I191*J191</f>
        <v>3357.9999999999995</v>
      </c>
      <c r="L191" s="22">
        <f>F191^2/162</f>
        <v>0.8888888888888888</v>
      </c>
      <c r="M191" s="21">
        <f>K191*L191</f>
        <v>2984.8888888888882</v>
      </c>
      <c r="N191" s="22">
        <f>M191/1000</f>
        <v>2.984888888888888</v>
      </c>
      <c r="O191" s="13" t="inlineStr">
        <is>
          <t>BBS</t>
        </is>
      </c>
    </row>
    <row r="192">
      <c r="A192" s="13" t="n">
        <v>187</v>
      </c>
      <c r="B192" s="13" t="inlineStr">
        <is>
          <t>Floor Slabs</t>
        </is>
      </c>
      <c r="C192" s="13" t="inlineStr">
        <is>
          <t>STR-074</t>
        </is>
      </c>
      <c r="D192" s="13" t="inlineStr">
        <is>
          <t>Third floor slab - top</t>
        </is>
      </c>
      <c r="E192" s="19" t="inlineStr">
        <is>
          <t>1250</t>
        </is>
      </c>
      <c r="F192" s="19" t="n">
        <v>12</v>
      </c>
      <c r="G192" s="19" t="n">
        <v>1</v>
      </c>
      <c r="H192" s="19" t="n">
        <v>7</v>
      </c>
      <c r="I192" s="13">
        <f>G192*H192</f>
        <v>7.0</v>
      </c>
      <c r="J192" s="20">
        <f>8500/1000</f>
        <v>8.5</v>
      </c>
      <c r="K192" s="21">
        <f>I192*J192</f>
        <v>59.5</v>
      </c>
      <c r="L192" s="22">
        <f>F192^2/162</f>
        <v>0.8888888888888888</v>
      </c>
      <c r="M192" s="21">
        <f>K192*L192</f>
        <v>52.888888888888886</v>
      </c>
      <c r="N192" s="22">
        <f>M192/1000</f>
        <v>0.05288888888888889</v>
      </c>
      <c r="O192" s="13" t="inlineStr">
        <is>
          <t>BBS</t>
        </is>
      </c>
    </row>
    <row r="193">
      <c r="A193" s="13" t="n">
        <v>188</v>
      </c>
      <c r="B193" s="13" t="inlineStr">
        <is>
          <t>Floor Slabs</t>
        </is>
      </c>
      <c r="C193" s="13" t="inlineStr">
        <is>
          <t>STR-074</t>
        </is>
      </c>
      <c r="D193" s="13" t="inlineStr">
        <is>
          <t>Third floor slab - top</t>
        </is>
      </c>
      <c r="E193" s="19" t="inlineStr">
        <is>
          <t>1251</t>
        </is>
      </c>
      <c r="F193" s="19" t="n">
        <v>12</v>
      </c>
      <c r="G193" s="19" t="n">
        <v>1</v>
      </c>
      <c r="H193" s="19" t="n">
        <v>26</v>
      </c>
      <c r="I193" s="13">
        <f>G193*H193</f>
        <v>26.0</v>
      </c>
      <c r="J193" s="20">
        <f>2200/1000</f>
        <v>2.2</v>
      </c>
      <c r="K193" s="21">
        <f>I193*J193</f>
        <v>57.2</v>
      </c>
      <c r="L193" s="22">
        <f>F193^2/162</f>
        <v>0.8888888888888888</v>
      </c>
      <c r="M193" s="21">
        <f>K193*L193</f>
        <v>50.84444444444444</v>
      </c>
      <c r="N193" s="22">
        <f>M193/1000</f>
        <v>0.05084444444444444</v>
      </c>
      <c r="O193" s="13" t="inlineStr">
        <is>
          <t>BBS</t>
        </is>
      </c>
    </row>
    <row r="194">
      <c r="A194" s="13" t="n">
        <v>189</v>
      </c>
      <c r="B194" s="13" t="inlineStr">
        <is>
          <t>Floor Slabs</t>
        </is>
      </c>
      <c r="C194" s="13" t="inlineStr">
        <is>
          <t>STR-074</t>
        </is>
      </c>
      <c r="D194" s="13" t="inlineStr">
        <is>
          <t>Third floor slab - top</t>
        </is>
      </c>
      <c r="E194" s="19" t="inlineStr">
        <is>
          <t>1252</t>
        </is>
      </c>
      <c r="F194" s="19" t="n">
        <v>12</v>
      </c>
      <c r="G194" s="19" t="n">
        <v>1</v>
      </c>
      <c r="H194" s="19" t="n">
        <v>238</v>
      </c>
      <c r="I194" s="13">
        <f>G194*H194</f>
        <v>238.0</v>
      </c>
      <c r="J194" s="20">
        <f>9250/1000</f>
        <v>9.25</v>
      </c>
      <c r="K194" s="21">
        <f>I194*J194</f>
        <v>2201.5</v>
      </c>
      <c r="L194" s="22">
        <f>F194^2/162</f>
        <v>0.8888888888888888</v>
      </c>
      <c r="M194" s="21">
        <f>K194*L194</f>
        <v>1956.8888888888887</v>
      </c>
      <c r="N194" s="22">
        <f>M194/1000</f>
        <v>1.9568888888888887</v>
      </c>
      <c r="O194" s="13" t="inlineStr">
        <is>
          <t>BBS</t>
        </is>
      </c>
    </row>
    <row r="195">
      <c r="A195" s="13" t="n">
        <v>190</v>
      </c>
      <c r="B195" s="13" t="inlineStr">
        <is>
          <t>Floor Slabs</t>
        </is>
      </c>
      <c r="C195" s="13" t="inlineStr">
        <is>
          <t>STR-074</t>
        </is>
      </c>
      <c r="D195" s="13" t="inlineStr">
        <is>
          <t>Third floor slab - top</t>
        </is>
      </c>
      <c r="E195" s="19" t="inlineStr">
        <is>
          <t>1253</t>
        </is>
      </c>
      <c r="F195" s="19" t="n">
        <v>12</v>
      </c>
      <c r="G195" s="19" t="n">
        <v>1</v>
      </c>
      <c r="H195" s="19" t="n">
        <v>43</v>
      </c>
      <c r="I195" s="13">
        <f>G195*H195</f>
        <v>43.0</v>
      </c>
      <c r="J195" s="20">
        <f>1500/1000</f>
        <v>1.5</v>
      </c>
      <c r="K195" s="21">
        <f>I195*J195</f>
        <v>64.5</v>
      </c>
      <c r="L195" s="22">
        <f>F195^2/162</f>
        <v>0.8888888888888888</v>
      </c>
      <c r="M195" s="21">
        <f>K195*L195</f>
        <v>57.33333333333333</v>
      </c>
      <c r="N195" s="22">
        <f>M195/1000</f>
        <v>0.057333333333333326</v>
      </c>
      <c r="O195" s="13" t="inlineStr">
        <is>
          <t>BBS</t>
        </is>
      </c>
    </row>
    <row r="196">
      <c r="A196" s="13" t="n">
        <v>191</v>
      </c>
      <c r="B196" s="13" t="inlineStr">
        <is>
          <t>Floor Slabs</t>
        </is>
      </c>
      <c r="C196" s="13" t="inlineStr">
        <is>
          <t>STR-075</t>
        </is>
      </c>
      <c r="D196" s="13" t="inlineStr">
        <is>
          <t>Third floor slab - additional top</t>
        </is>
      </c>
      <c r="E196" s="19" t="inlineStr">
        <is>
          <t>1254</t>
        </is>
      </c>
      <c r="F196" s="19" t="n">
        <v>12</v>
      </c>
      <c r="G196" s="19" t="n">
        <v>1</v>
      </c>
      <c r="H196" s="19" t="n">
        <v>623</v>
      </c>
      <c r="I196" s="13">
        <f>G196*H196</f>
        <v>623.0</v>
      </c>
      <c r="J196" s="20">
        <f>4150/1000</f>
        <v>4.15</v>
      </c>
      <c r="K196" s="21">
        <f>I196*J196</f>
        <v>2585.4500000000003</v>
      </c>
      <c r="L196" s="22">
        <f>F196^2/162</f>
        <v>0.8888888888888888</v>
      </c>
      <c r="M196" s="21">
        <f>K196*L196</f>
        <v>2298.177777777778</v>
      </c>
      <c r="N196" s="22">
        <f>M196/1000</f>
        <v>2.298177777777778</v>
      </c>
      <c r="O196" s="13" t="inlineStr">
        <is>
          <t>BBS</t>
        </is>
      </c>
    </row>
    <row r="197">
      <c r="A197" s="13" t="n">
        <v>192</v>
      </c>
      <c r="B197" s="13" t="inlineStr">
        <is>
          <t>Floor Slabs</t>
        </is>
      </c>
      <c r="C197" s="13" t="inlineStr">
        <is>
          <t>STR-075</t>
        </is>
      </c>
      <c r="D197" s="13" t="inlineStr">
        <is>
          <t>Third floor slab - additional top</t>
        </is>
      </c>
      <c r="E197" s="19" t="inlineStr">
        <is>
          <t>1255</t>
        </is>
      </c>
      <c r="F197" s="19" t="n">
        <v>12</v>
      </c>
      <c r="G197" s="19" t="n">
        <v>1</v>
      </c>
      <c r="H197" s="19" t="n">
        <v>60</v>
      </c>
      <c r="I197" s="13">
        <f>G197*H197</f>
        <v>60.0</v>
      </c>
      <c r="J197" s="20">
        <f>11000/1000</f>
        <v>11.0</v>
      </c>
      <c r="K197" s="21">
        <f>I197*J197</f>
        <v>660.0</v>
      </c>
      <c r="L197" s="22">
        <f>F197^2/162</f>
        <v>0.8888888888888888</v>
      </c>
      <c r="M197" s="21">
        <f>K197*L197</f>
        <v>586.6666666666666</v>
      </c>
      <c r="N197" s="22">
        <f>M197/1000</f>
        <v>0.5866666666666667</v>
      </c>
      <c r="O197" s="13" t="inlineStr">
        <is>
          <t>BBS</t>
        </is>
      </c>
    </row>
    <row r="198">
      <c r="A198" s="13" t="n">
        <v>193</v>
      </c>
      <c r="B198" s="13" t="inlineStr">
        <is>
          <t>Floor Slabs</t>
        </is>
      </c>
      <c r="C198" s="13" t="inlineStr">
        <is>
          <t>STR-075</t>
        </is>
      </c>
      <c r="D198" s="13" t="inlineStr">
        <is>
          <t>Third floor slab - additional top</t>
        </is>
      </c>
      <c r="E198" s="19" t="inlineStr">
        <is>
          <t>1256</t>
        </is>
      </c>
      <c r="F198" s="19" t="n">
        <v>12</v>
      </c>
      <c r="G198" s="19" t="n">
        <v>1</v>
      </c>
      <c r="H198" s="19" t="n">
        <v>818</v>
      </c>
      <c r="I198" s="13">
        <f>G198*H198</f>
        <v>818.0</v>
      </c>
      <c r="J198" s="20">
        <f>3000/1000</f>
        <v>3.0</v>
      </c>
      <c r="K198" s="21">
        <f>I198*J198</f>
        <v>2454.0</v>
      </c>
      <c r="L198" s="22">
        <f>F198^2/162</f>
        <v>0.8888888888888888</v>
      </c>
      <c r="M198" s="21">
        <f>K198*L198</f>
        <v>2181.333333333333</v>
      </c>
      <c r="N198" s="22">
        <f>M198/1000</f>
        <v>2.181333333333333</v>
      </c>
      <c r="O198" s="13" t="inlineStr">
        <is>
          <t>BBS</t>
        </is>
      </c>
    </row>
    <row r="199">
      <c r="A199" s="13" t="n">
        <v>194</v>
      </c>
      <c r="B199" s="13" t="inlineStr">
        <is>
          <t>Floor Slabs</t>
        </is>
      </c>
      <c r="C199" s="13" t="inlineStr">
        <is>
          <t>STR-075</t>
        </is>
      </c>
      <c r="D199" s="13" t="inlineStr">
        <is>
          <t>Third floor slab - additional top</t>
        </is>
      </c>
      <c r="E199" s="19" t="inlineStr">
        <is>
          <t>1257</t>
        </is>
      </c>
      <c r="F199" s="19" t="n">
        <v>12</v>
      </c>
      <c r="G199" s="19" t="n">
        <v>1</v>
      </c>
      <c r="H199" s="19" t="n">
        <v>110</v>
      </c>
      <c r="I199" s="13">
        <f>G199*H199</f>
        <v>110.0</v>
      </c>
      <c r="J199" s="20">
        <f>6000/1000</f>
        <v>6.0</v>
      </c>
      <c r="K199" s="21">
        <f>I199*J199</f>
        <v>660.0</v>
      </c>
      <c r="L199" s="22">
        <f>F199^2/162</f>
        <v>0.8888888888888888</v>
      </c>
      <c r="M199" s="21">
        <f>K199*L199</f>
        <v>586.6666666666666</v>
      </c>
      <c r="N199" s="22">
        <f>M199/1000</f>
        <v>0.5866666666666667</v>
      </c>
      <c r="O199" s="13" t="inlineStr">
        <is>
          <t>BBS</t>
        </is>
      </c>
    </row>
    <row r="200">
      <c r="A200" s="13" t="n">
        <v>195</v>
      </c>
      <c r="B200" s="13" t="inlineStr">
        <is>
          <t>Floor Slabs</t>
        </is>
      </c>
      <c r="C200" s="13" t="inlineStr">
        <is>
          <t>STR-075</t>
        </is>
      </c>
      <c r="D200" s="13" t="inlineStr">
        <is>
          <t>Third floor slab - additional top</t>
        </is>
      </c>
      <c r="E200" s="19" t="inlineStr">
        <is>
          <t>1258</t>
        </is>
      </c>
      <c r="F200" s="19" t="n">
        <v>12</v>
      </c>
      <c r="G200" s="19" t="n">
        <v>1</v>
      </c>
      <c r="H200" s="19" t="n">
        <v>90</v>
      </c>
      <c r="I200" s="13">
        <f>G200*H200</f>
        <v>90.0</v>
      </c>
      <c r="J200" s="20">
        <f>4900/1000</f>
        <v>4.9</v>
      </c>
      <c r="K200" s="21">
        <f>I200*J200</f>
        <v>441.00000000000006</v>
      </c>
      <c r="L200" s="22">
        <f>F200^2/162</f>
        <v>0.8888888888888888</v>
      </c>
      <c r="M200" s="21">
        <f>K200*L200</f>
        <v>392.00000000000006</v>
      </c>
      <c r="N200" s="22">
        <f>M200/1000</f>
        <v>0.39200000000000007</v>
      </c>
      <c r="O200" s="13" t="inlineStr">
        <is>
          <t>BBS</t>
        </is>
      </c>
    </row>
    <row r="201">
      <c r="A201" s="13" t="n">
        <v>196</v>
      </c>
      <c r="B201" s="13" t="inlineStr">
        <is>
          <t>Floor Slabs</t>
        </is>
      </c>
      <c r="C201" s="13" t="inlineStr">
        <is>
          <t>STR-075</t>
        </is>
      </c>
      <c r="D201" s="13" t="inlineStr">
        <is>
          <t>Third floor slab - additional top</t>
        </is>
      </c>
      <c r="E201" s="19" t="inlineStr">
        <is>
          <t>1601</t>
        </is>
      </c>
      <c r="F201" s="19" t="n">
        <v>16</v>
      </c>
      <c r="G201" s="19" t="n">
        <v>1</v>
      </c>
      <c r="H201" s="19" t="n">
        <v>6</v>
      </c>
      <c r="I201" s="13">
        <f>G201*H201</f>
        <v>6.0</v>
      </c>
      <c r="J201" s="20">
        <f>6675/1000</f>
        <v>6.675</v>
      </c>
      <c r="K201" s="21">
        <f>I201*J201</f>
        <v>40.05</v>
      </c>
      <c r="L201" s="22">
        <f>F201^2/162</f>
        <v>1.5802469135802468</v>
      </c>
      <c r="M201" s="21">
        <f>K201*L201</f>
        <v>63.288888888888884</v>
      </c>
      <c r="N201" s="22">
        <f>M201/1000</f>
        <v>0.06328888888888888</v>
      </c>
      <c r="O201" s="13" t="inlineStr">
        <is>
          <t>BBS</t>
        </is>
      </c>
    </row>
    <row r="202">
      <c r="A202" s="13" t="n">
        <v>197</v>
      </c>
      <c r="B202" s="13" t="inlineStr">
        <is>
          <t>Floor Slabs</t>
        </is>
      </c>
      <c r="C202" s="13" t="inlineStr">
        <is>
          <t>STR-075</t>
        </is>
      </c>
      <c r="D202" s="13" t="inlineStr">
        <is>
          <t>Third floor slab - additional top</t>
        </is>
      </c>
      <c r="E202" s="19" t="inlineStr">
        <is>
          <t>1602</t>
        </is>
      </c>
      <c r="F202" s="19" t="n">
        <v>16</v>
      </c>
      <c r="G202" s="19" t="n">
        <v>1</v>
      </c>
      <c r="H202" s="19" t="n">
        <v>6</v>
      </c>
      <c r="I202" s="13">
        <f>G202*H202</f>
        <v>6.0</v>
      </c>
      <c r="J202" s="20">
        <f>3675/1000</f>
        <v>3.675</v>
      </c>
      <c r="K202" s="21">
        <f>I202*J202</f>
        <v>22.049999999999997</v>
      </c>
      <c r="L202" s="22">
        <f>F202^2/162</f>
        <v>1.5802469135802468</v>
      </c>
      <c r="M202" s="21">
        <f>K202*L202</f>
        <v>34.84444444444444</v>
      </c>
      <c r="N202" s="22">
        <f>M202/1000</f>
        <v>0.03484444444444444</v>
      </c>
      <c r="O202" s="13" t="inlineStr">
        <is>
          <t>BBS</t>
        </is>
      </c>
    </row>
    <row r="203">
      <c r="A203" s="13" t="n">
        <v>198</v>
      </c>
      <c r="B203" s="13" t="inlineStr">
        <is>
          <t>Floor Slabs</t>
        </is>
      </c>
      <c r="C203" s="13" t="inlineStr">
        <is>
          <t>STR-075</t>
        </is>
      </c>
      <c r="D203" s="13" t="inlineStr">
        <is>
          <t>Third floor slab - additional top</t>
        </is>
      </c>
      <c r="E203" s="19" t="inlineStr">
        <is>
          <t>1603</t>
        </is>
      </c>
      <c r="F203" s="19" t="n">
        <v>16</v>
      </c>
      <c r="G203" s="19" t="n">
        <v>1</v>
      </c>
      <c r="H203" s="19" t="n">
        <v>3</v>
      </c>
      <c r="I203" s="13">
        <f>G203*H203</f>
        <v>3.0</v>
      </c>
      <c r="J203" s="20">
        <f>4025/1000</f>
        <v>4.025</v>
      </c>
      <c r="K203" s="21">
        <f>I203*J203</f>
        <v>12.075000000000001</v>
      </c>
      <c r="L203" s="22">
        <f>F203^2/162</f>
        <v>1.5802469135802468</v>
      </c>
      <c r="M203" s="21">
        <f>K203*L203</f>
        <v>19.081481481481482</v>
      </c>
      <c r="N203" s="22">
        <f>M203/1000</f>
        <v>0.019081481481481484</v>
      </c>
      <c r="O203" s="13" t="inlineStr">
        <is>
          <t>BBS</t>
        </is>
      </c>
    </row>
    <row r="204">
      <c r="A204" s="13" t="n">
        <v>199</v>
      </c>
      <c r="B204" s="13" t="inlineStr">
        <is>
          <t>Floor Slabs</t>
        </is>
      </c>
      <c r="C204" s="13" t="inlineStr">
        <is>
          <t>STR-075</t>
        </is>
      </c>
      <c r="D204" s="13" t="inlineStr">
        <is>
          <t>Third floor slab - additional top</t>
        </is>
      </c>
      <c r="E204" s="19" t="inlineStr">
        <is>
          <t>1604</t>
        </is>
      </c>
      <c r="F204" s="19" t="n">
        <v>16</v>
      </c>
      <c r="G204" s="19" t="n">
        <v>1</v>
      </c>
      <c r="H204" s="19" t="n">
        <v>6</v>
      </c>
      <c r="I204" s="13">
        <f>G204*H204</f>
        <v>6.0</v>
      </c>
      <c r="J204" s="20">
        <f>3000/1000</f>
        <v>3.0</v>
      </c>
      <c r="K204" s="21">
        <f>I204*J204</f>
        <v>18.0</v>
      </c>
      <c r="L204" s="22">
        <f>F204^2/162</f>
        <v>1.5802469135802468</v>
      </c>
      <c r="M204" s="21">
        <f>K204*L204</f>
        <v>28.444444444444443</v>
      </c>
      <c r="N204" s="22">
        <f>M204/1000</f>
        <v>0.028444444444444442</v>
      </c>
      <c r="O204" s="13" t="inlineStr">
        <is>
          <t>BBS</t>
        </is>
      </c>
    </row>
    <row r="205">
      <c r="A205" s="13" t="n">
        <v>200</v>
      </c>
      <c r="B205" s="13" t="inlineStr">
        <is>
          <t>Staircases</t>
        </is>
      </c>
      <c r="C205" s="13" t="inlineStr">
        <is>
          <t>STR-025</t>
        </is>
      </c>
      <c r="D205" s="13" t="inlineStr">
        <is>
          <t>Main staircase 3rd to 4th floor</t>
        </is>
      </c>
      <c r="E205" s="19" t="inlineStr">
        <is>
          <t>1201</t>
        </is>
      </c>
      <c r="F205" s="19" t="n">
        <v>12</v>
      </c>
      <c r="G205" s="19" t="n">
        <v>1</v>
      </c>
      <c r="H205" s="19" t="n">
        <v>30</v>
      </c>
      <c r="I205" s="13">
        <f>G205*H205</f>
        <v>30.0</v>
      </c>
      <c r="J205" s="20">
        <f>6200/1000</f>
        <v>6.2</v>
      </c>
      <c r="K205" s="21">
        <f>I205*J205</f>
        <v>186.0</v>
      </c>
      <c r="L205" s="22">
        <f>F205^2/162</f>
        <v>0.8888888888888888</v>
      </c>
      <c r="M205" s="21">
        <f>K205*L205</f>
        <v>165.33333333333331</v>
      </c>
      <c r="N205" s="22">
        <f>M205/1000</f>
        <v>0.1653333333333333</v>
      </c>
      <c r="O205" s="13" t="inlineStr">
        <is>
          <t>BBS</t>
        </is>
      </c>
    </row>
    <row r="206">
      <c r="A206" s="13" t="n">
        <v>201</v>
      </c>
      <c r="B206" s="13" t="inlineStr">
        <is>
          <t>Staircases</t>
        </is>
      </c>
      <c r="C206" s="13" t="inlineStr">
        <is>
          <t>STR-025</t>
        </is>
      </c>
      <c r="D206" s="13" t="inlineStr">
        <is>
          <t>Main staircase 3rd to 4th floor</t>
        </is>
      </c>
      <c r="E206" s="19" t="inlineStr">
        <is>
          <t>1202</t>
        </is>
      </c>
      <c r="F206" s="19" t="n">
        <v>12</v>
      </c>
      <c r="G206" s="19" t="n">
        <v>1</v>
      </c>
      <c r="H206" s="19" t="n">
        <v>80</v>
      </c>
      <c r="I206" s="13">
        <f>G206*H206</f>
        <v>80.0</v>
      </c>
      <c r="J206" s="20">
        <f>2300/1000</f>
        <v>2.3</v>
      </c>
      <c r="K206" s="21">
        <f>I206*J206</f>
        <v>184.0</v>
      </c>
      <c r="L206" s="22">
        <f>F206^2/162</f>
        <v>0.8888888888888888</v>
      </c>
      <c r="M206" s="21">
        <f>K206*L206</f>
        <v>163.55555555555554</v>
      </c>
      <c r="N206" s="22">
        <f>M206/1000</f>
        <v>0.16355555555555554</v>
      </c>
      <c r="O206" s="13" t="inlineStr">
        <is>
          <t>BBS</t>
        </is>
      </c>
    </row>
    <row r="207">
      <c r="A207" s="13" t="n">
        <v>202</v>
      </c>
      <c r="B207" s="13" t="inlineStr">
        <is>
          <t>Staircases</t>
        </is>
      </c>
      <c r="C207" s="13" t="inlineStr">
        <is>
          <t>STR-025</t>
        </is>
      </c>
      <c r="D207" s="13" t="inlineStr">
        <is>
          <t>Main staircase 3rd to 4th floor</t>
        </is>
      </c>
      <c r="E207" s="19" t="inlineStr">
        <is>
          <t>1203</t>
        </is>
      </c>
      <c r="F207" s="19" t="n">
        <v>12</v>
      </c>
      <c r="G207" s="19" t="n">
        <v>1</v>
      </c>
      <c r="H207" s="19" t="n">
        <v>26</v>
      </c>
      <c r="I207" s="13">
        <f>G207*H207</f>
        <v>26.0</v>
      </c>
      <c r="J207" s="20">
        <f>4800/1000</f>
        <v>4.8</v>
      </c>
      <c r="K207" s="21">
        <f>I207*J207</f>
        <v>124.8</v>
      </c>
      <c r="L207" s="22">
        <f>F207^2/162</f>
        <v>0.8888888888888888</v>
      </c>
      <c r="M207" s="21">
        <f>K207*L207</f>
        <v>110.93333333333332</v>
      </c>
      <c r="N207" s="22">
        <f>M207/1000</f>
        <v>0.11093333333333333</v>
      </c>
      <c r="O207" s="13" t="inlineStr">
        <is>
          <t>BBS</t>
        </is>
      </c>
    </row>
    <row r="208">
      <c r="A208" s="13" t="n">
        <v>203</v>
      </c>
      <c r="B208" s="13" t="inlineStr">
        <is>
          <t>Staircases</t>
        </is>
      </c>
      <c r="C208" s="13" t="inlineStr">
        <is>
          <t>STR-025</t>
        </is>
      </c>
      <c r="D208" s="13" t="inlineStr">
        <is>
          <t>Main staircase 3rd to 4th floor</t>
        </is>
      </c>
      <c r="E208" s="19" t="inlineStr">
        <is>
          <t>1601</t>
        </is>
      </c>
      <c r="F208" s="19" t="n">
        <v>16</v>
      </c>
      <c r="G208" s="19" t="n">
        <v>1</v>
      </c>
      <c r="H208" s="19" t="n">
        <v>11</v>
      </c>
      <c r="I208" s="13">
        <f>G208*H208</f>
        <v>11.0</v>
      </c>
      <c r="J208" s="20">
        <f>8450/1000</f>
        <v>8.45</v>
      </c>
      <c r="K208" s="21">
        <f>I208*J208</f>
        <v>92.94999999999999</v>
      </c>
      <c r="L208" s="22">
        <f>F208^2/162</f>
        <v>1.5802469135802468</v>
      </c>
      <c r="M208" s="21">
        <f>K208*L208</f>
        <v>146.88395061728392</v>
      </c>
      <c r="N208" s="22">
        <f>M208/1000</f>
        <v>0.1468839506172839</v>
      </c>
      <c r="O208" s="13" t="inlineStr">
        <is>
          <t>BBS</t>
        </is>
      </c>
    </row>
    <row r="209">
      <c r="A209" s="13" t="n">
        <v>204</v>
      </c>
      <c r="B209" s="13" t="inlineStr">
        <is>
          <t>Staircases</t>
        </is>
      </c>
      <c r="C209" s="13" t="inlineStr">
        <is>
          <t>STR-025</t>
        </is>
      </c>
      <c r="D209" s="13" t="inlineStr">
        <is>
          <t>Main staircase 3rd to 4th floor</t>
        </is>
      </c>
      <c r="E209" s="19" t="inlineStr">
        <is>
          <t>1602</t>
        </is>
      </c>
      <c r="F209" s="19" t="n">
        <v>16</v>
      </c>
      <c r="G209" s="19" t="n">
        <v>1</v>
      </c>
      <c r="H209" s="19" t="n">
        <v>11</v>
      </c>
      <c r="I209" s="13">
        <f>G209*H209</f>
        <v>11.0</v>
      </c>
      <c r="J209" s="20">
        <f>4475/1000</f>
        <v>4.475</v>
      </c>
      <c r="K209" s="21">
        <f>I209*J209</f>
        <v>49.224999999999994</v>
      </c>
      <c r="L209" s="22">
        <f>F209^2/162</f>
        <v>1.5802469135802468</v>
      </c>
      <c r="M209" s="21">
        <f>K209*L209</f>
        <v>77.78765432098764</v>
      </c>
      <c r="N209" s="22">
        <f>M209/1000</f>
        <v>0.07778765432098764</v>
      </c>
      <c r="O209" s="13" t="inlineStr">
        <is>
          <t>BBS</t>
        </is>
      </c>
    </row>
    <row r="210">
      <c r="A210" s="13" t="n">
        <v>205</v>
      </c>
      <c r="B210" s="13" t="inlineStr">
        <is>
          <t>Staircases</t>
        </is>
      </c>
      <c r="C210" s="13" t="inlineStr">
        <is>
          <t>STR-025</t>
        </is>
      </c>
      <c r="D210" s="13" t="inlineStr">
        <is>
          <t>Main staircase 3rd to 4th floor</t>
        </is>
      </c>
      <c r="E210" s="19" t="inlineStr">
        <is>
          <t>1603</t>
        </is>
      </c>
      <c r="F210" s="19" t="n">
        <v>16</v>
      </c>
      <c r="G210" s="19" t="n">
        <v>1</v>
      </c>
      <c r="H210" s="19" t="n">
        <v>11</v>
      </c>
      <c r="I210" s="13">
        <f>G210*H210</f>
        <v>11.0</v>
      </c>
      <c r="J210" s="20">
        <f>2400/1000</f>
        <v>2.4</v>
      </c>
      <c r="K210" s="21">
        <f>I210*J210</f>
        <v>26.4</v>
      </c>
      <c r="L210" s="22">
        <f>F210^2/162</f>
        <v>1.5802469135802468</v>
      </c>
      <c r="M210" s="21">
        <f>K210*L210</f>
        <v>41.718518518518515</v>
      </c>
      <c r="N210" s="22">
        <f>M210/1000</f>
        <v>0.041718518518518516</v>
      </c>
      <c r="O210" s="13" t="inlineStr">
        <is>
          <t>BBS</t>
        </is>
      </c>
    </row>
    <row r="211">
      <c r="A211" s="13" t="n">
        <v>206</v>
      </c>
      <c r="B211" s="13" t="inlineStr">
        <is>
          <t>Staircases</t>
        </is>
      </c>
      <c r="C211" s="13" t="inlineStr">
        <is>
          <t>STR-025</t>
        </is>
      </c>
      <c r="D211" s="13" t="inlineStr">
        <is>
          <t>Main staircase 3rd to 4th floor</t>
        </is>
      </c>
      <c r="E211" s="19" t="inlineStr">
        <is>
          <t>1604</t>
        </is>
      </c>
      <c r="F211" s="19" t="n">
        <v>16</v>
      </c>
      <c r="G211" s="19" t="n">
        <v>1</v>
      </c>
      <c r="H211" s="19" t="n">
        <v>11</v>
      </c>
      <c r="I211" s="13">
        <f>G211*H211</f>
        <v>11.0</v>
      </c>
      <c r="J211" s="20">
        <f>4250/1000</f>
        <v>4.25</v>
      </c>
      <c r="K211" s="21">
        <f>I211*J211</f>
        <v>46.75</v>
      </c>
      <c r="L211" s="22">
        <f>F211^2/162</f>
        <v>1.5802469135802468</v>
      </c>
      <c r="M211" s="21">
        <f>K211*L211</f>
        <v>73.87654320987654</v>
      </c>
      <c r="N211" s="22">
        <f>M211/1000</f>
        <v>0.07387654320987655</v>
      </c>
      <c r="O211" s="13" t="inlineStr">
        <is>
          <t>BBS</t>
        </is>
      </c>
    </row>
    <row r="212">
      <c r="A212" s="13" t="n">
        <v>207</v>
      </c>
      <c r="B212" s="13" t="inlineStr">
        <is>
          <t>Staircases</t>
        </is>
      </c>
      <c r="C212" s="13" t="inlineStr">
        <is>
          <t>STR-025</t>
        </is>
      </c>
      <c r="D212" s="13" t="inlineStr">
        <is>
          <t>Main staircase 3rd to 4th floor</t>
        </is>
      </c>
      <c r="E212" s="19" t="inlineStr">
        <is>
          <t>1605</t>
        </is>
      </c>
      <c r="F212" s="19" t="n">
        <v>16</v>
      </c>
      <c r="G212" s="19" t="n">
        <v>1</v>
      </c>
      <c r="H212" s="19" t="n">
        <v>11</v>
      </c>
      <c r="I212" s="13">
        <f>G212*H212</f>
        <v>11.0</v>
      </c>
      <c r="J212" s="20">
        <f>2100/1000</f>
        <v>2.1</v>
      </c>
      <c r="K212" s="21">
        <f>I212*J212</f>
        <v>23.1</v>
      </c>
      <c r="L212" s="22">
        <f>F212^2/162</f>
        <v>1.5802469135802468</v>
      </c>
      <c r="M212" s="21">
        <f>K212*L212</f>
        <v>36.50370370370371</v>
      </c>
      <c r="N212" s="22">
        <f>M212/1000</f>
        <v>0.036503703703703705</v>
      </c>
      <c r="O212" s="13" t="inlineStr">
        <is>
          <t>BBS</t>
        </is>
      </c>
    </row>
    <row r="213">
      <c r="A213" s="13" t="n">
        <v>208</v>
      </c>
      <c r="B213" s="13" t="inlineStr">
        <is>
          <t>Staircases</t>
        </is>
      </c>
      <c r="C213" s="13" t="inlineStr">
        <is>
          <t>STR-025</t>
        </is>
      </c>
      <c r="D213" s="13" t="inlineStr">
        <is>
          <t>Main staircase 3rd to 4th floor</t>
        </is>
      </c>
      <c r="E213" s="19" t="inlineStr">
        <is>
          <t>1606</t>
        </is>
      </c>
      <c r="F213" s="19" t="n">
        <v>16</v>
      </c>
      <c r="G213" s="19" t="n">
        <v>1</v>
      </c>
      <c r="H213" s="19" t="n">
        <v>11</v>
      </c>
      <c r="I213" s="13">
        <f>G213*H213</f>
        <v>11.0</v>
      </c>
      <c r="J213" s="20">
        <f>6950/1000</f>
        <v>6.95</v>
      </c>
      <c r="K213" s="21">
        <f>I213*J213</f>
        <v>76.45</v>
      </c>
      <c r="L213" s="22">
        <f>F213^2/162</f>
        <v>1.5802469135802468</v>
      </c>
      <c r="M213" s="21">
        <f>K213*L213</f>
        <v>120.80987654320987</v>
      </c>
      <c r="N213" s="22">
        <f>M213/1000</f>
        <v>0.12080987654320986</v>
      </c>
      <c r="O213" s="13" t="inlineStr">
        <is>
          <t>BBS</t>
        </is>
      </c>
    </row>
    <row r="214">
      <c r="A214" s="13" t="n">
        <v>209</v>
      </c>
      <c r="B214" s="13" t="inlineStr">
        <is>
          <t>Staircases</t>
        </is>
      </c>
      <c r="C214" s="13" t="inlineStr">
        <is>
          <t>STR-025</t>
        </is>
      </c>
      <c r="D214" s="13" t="inlineStr">
        <is>
          <t>Main staircase 3rd to 4th floor</t>
        </is>
      </c>
      <c r="E214" s="19" t="inlineStr">
        <is>
          <t>1607</t>
        </is>
      </c>
      <c r="F214" s="19" t="n">
        <v>16</v>
      </c>
      <c r="G214" s="19" t="n">
        <v>1</v>
      </c>
      <c r="H214" s="19" t="n">
        <v>11</v>
      </c>
      <c r="I214" s="13">
        <f>G214*H214</f>
        <v>11.0</v>
      </c>
      <c r="J214" s="20">
        <f>3300/1000</f>
        <v>3.3</v>
      </c>
      <c r="K214" s="21">
        <f>I214*J214</f>
        <v>36.3</v>
      </c>
      <c r="L214" s="22">
        <f>F214^2/162</f>
        <v>1.5802469135802468</v>
      </c>
      <c r="M214" s="21">
        <f>K214*L214</f>
        <v>57.36296296296295</v>
      </c>
      <c r="N214" s="22">
        <f>M214/1000</f>
        <v>0.057362962962962956</v>
      </c>
      <c r="O214" s="13" t="inlineStr">
        <is>
          <t>BBS</t>
        </is>
      </c>
    </row>
    <row r="215">
      <c r="A215" s="13" t="n">
        <v>210</v>
      </c>
      <c r="B215" s="13" t="inlineStr">
        <is>
          <t>Staircases</t>
        </is>
      </c>
      <c r="C215" s="13" t="inlineStr">
        <is>
          <t>STR-025</t>
        </is>
      </c>
      <c r="D215" s="13" t="inlineStr">
        <is>
          <t>Main staircase 3rd to 4th floor</t>
        </is>
      </c>
      <c r="E215" s="19" t="inlineStr">
        <is>
          <t>1608</t>
        </is>
      </c>
      <c r="F215" s="19" t="n">
        <v>16</v>
      </c>
      <c r="G215" s="19" t="n">
        <v>1</v>
      </c>
      <c r="H215" s="19" t="n">
        <v>11</v>
      </c>
      <c r="I215" s="13">
        <f>G215*H215</f>
        <v>11.0</v>
      </c>
      <c r="J215" s="20">
        <f>1200/1000</f>
        <v>1.2</v>
      </c>
      <c r="K215" s="21">
        <f>I215*J215</f>
        <v>13.2</v>
      </c>
      <c r="L215" s="22">
        <f>F215^2/162</f>
        <v>1.5802469135802468</v>
      </c>
      <c r="M215" s="21">
        <f>K215*L215</f>
        <v>20.859259259259257</v>
      </c>
      <c r="N215" s="22">
        <f>M215/1000</f>
        <v>0.020859259259259258</v>
      </c>
      <c r="O215" s="13" t="inlineStr">
        <is>
          <t>BBS</t>
        </is>
      </c>
    </row>
    <row r="216">
      <c r="A216" s="13" t="n">
        <v>211</v>
      </c>
      <c r="B216" s="13" t="inlineStr">
        <is>
          <t>Staircases</t>
        </is>
      </c>
      <c r="C216" s="13" t="inlineStr">
        <is>
          <t>STR-025</t>
        </is>
      </c>
      <c r="D216" s="13" t="inlineStr">
        <is>
          <t>Main staircase 3rd to 4th floor</t>
        </is>
      </c>
      <c r="E216" s="19" t="inlineStr">
        <is>
          <t>1609</t>
        </is>
      </c>
      <c r="F216" s="19" t="n">
        <v>16</v>
      </c>
      <c r="G216" s="19" t="n">
        <v>1</v>
      </c>
      <c r="H216" s="19" t="n">
        <v>11</v>
      </c>
      <c r="I216" s="13">
        <f>G216*H216</f>
        <v>11.0</v>
      </c>
      <c r="J216" s="20">
        <f>6225/1000</f>
        <v>6.225</v>
      </c>
      <c r="K216" s="21">
        <f>I216*J216</f>
        <v>68.475</v>
      </c>
      <c r="L216" s="22">
        <f>F216^2/162</f>
        <v>1.5802469135802468</v>
      </c>
      <c r="M216" s="21">
        <f>K216*L216</f>
        <v>108.20740740740739</v>
      </c>
      <c r="N216" s="22">
        <f>M216/1000</f>
        <v>0.10820740740740739</v>
      </c>
      <c r="O216" s="13" t="inlineStr">
        <is>
          <t>BBS</t>
        </is>
      </c>
    </row>
    <row r="217">
      <c r="A217" s="13" t="n">
        <v>212</v>
      </c>
      <c r="B217" s="13" t="inlineStr">
        <is>
          <t>Staircases</t>
        </is>
      </c>
      <c r="C217" s="13" t="inlineStr">
        <is>
          <t>STR-025</t>
        </is>
      </c>
      <c r="D217" s="13" t="inlineStr">
        <is>
          <t>Main staircase 3rd to 4th floor</t>
        </is>
      </c>
      <c r="E217" s="19" t="inlineStr">
        <is>
          <t>1610</t>
        </is>
      </c>
      <c r="F217" s="19" t="n">
        <v>16</v>
      </c>
      <c r="G217" s="19" t="n">
        <v>1</v>
      </c>
      <c r="H217" s="19" t="n">
        <v>11</v>
      </c>
      <c r="I217" s="13">
        <f>G217*H217</f>
        <v>11.0</v>
      </c>
      <c r="J217" s="20">
        <f>3225/1000</f>
        <v>3.225</v>
      </c>
      <c r="K217" s="21">
        <f>I217*J217</f>
        <v>35.475</v>
      </c>
      <c r="L217" s="22">
        <f>F217^2/162</f>
        <v>1.5802469135802468</v>
      </c>
      <c r="M217" s="21">
        <f>K217*L217</f>
        <v>56.05925925925926</v>
      </c>
      <c r="N217" s="22">
        <f>M217/1000</f>
        <v>0.05605925925925926</v>
      </c>
      <c r="O217" s="13" t="inlineStr">
        <is>
          <t>BBS</t>
        </is>
      </c>
    </row>
    <row r="218">
      <c r="A218" s="13" t="n">
        <v>213</v>
      </c>
      <c r="B218" s="13" t="inlineStr">
        <is>
          <t>Staircases</t>
        </is>
      </c>
      <c r="C218" s="13" t="inlineStr">
        <is>
          <t>STR-035</t>
        </is>
      </c>
      <c r="D218" s="13" t="inlineStr">
        <is>
          <t>Emergency staircase 3rd to 4th floor</t>
        </is>
      </c>
      <c r="E218" s="19" t="inlineStr">
        <is>
          <t>1201</t>
        </is>
      </c>
      <c r="F218" s="19" t="n">
        <v>12</v>
      </c>
      <c r="G218" s="19" t="n">
        <v>1</v>
      </c>
      <c r="H218" s="19" t="n">
        <v>30</v>
      </c>
      <c r="I218" s="13">
        <f>G218*H218</f>
        <v>30.0</v>
      </c>
      <c r="J218" s="20">
        <f>6200/1000</f>
        <v>6.2</v>
      </c>
      <c r="K218" s="21">
        <f>I218*J218</f>
        <v>186.0</v>
      </c>
      <c r="L218" s="22">
        <f>F218^2/162</f>
        <v>0.8888888888888888</v>
      </c>
      <c r="M218" s="21">
        <f>K218*L218</f>
        <v>165.33333333333331</v>
      </c>
      <c r="N218" s="22">
        <f>M218/1000</f>
        <v>0.1653333333333333</v>
      </c>
      <c r="O218" s="13" t="inlineStr">
        <is>
          <t>BBS</t>
        </is>
      </c>
    </row>
    <row r="219">
      <c r="A219" s="13" t="n">
        <v>214</v>
      </c>
      <c r="B219" s="13" t="inlineStr">
        <is>
          <t>Staircases</t>
        </is>
      </c>
      <c r="C219" s="13" t="inlineStr">
        <is>
          <t>STR-035</t>
        </is>
      </c>
      <c r="D219" s="13" t="inlineStr">
        <is>
          <t>Emergency staircase 3rd to 4th floor</t>
        </is>
      </c>
      <c r="E219" s="19" t="inlineStr">
        <is>
          <t>1202</t>
        </is>
      </c>
      <c r="F219" s="19" t="n">
        <v>12</v>
      </c>
      <c r="G219" s="19" t="n">
        <v>1</v>
      </c>
      <c r="H219" s="19" t="n">
        <v>80</v>
      </c>
      <c r="I219" s="13">
        <f>G219*H219</f>
        <v>80.0</v>
      </c>
      <c r="J219" s="20">
        <f>2300/1000</f>
        <v>2.3</v>
      </c>
      <c r="K219" s="21">
        <f>I219*J219</f>
        <v>184.0</v>
      </c>
      <c r="L219" s="22">
        <f>F219^2/162</f>
        <v>0.8888888888888888</v>
      </c>
      <c r="M219" s="21">
        <f>K219*L219</f>
        <v>163.55555555555554</v>
      </c>
      <c r="N219" s="22">
        <f>M219/1000</f>
        <v>0.16355555555555554</v>
      </c>
      <c r="O219" s="13" t="inlineStr">
        <is>
          <t>BBS</t>
        </is>
      </c>
    </row>
    <row r="220">
      <c r="A220" s="13" t="n">
        <v>215</v>
      </c>
      <c r="B220" s="13" t="inlineStr">
        <is>
          <t>Staircases</t>
        </is>
      </c>
      <c r="C220" s="13" t="inlineStr">
        <is>
          <t>STR-035</t>
        </is>
      </c>
      <c r="D220" s="13" t="inlineStr">
        <is>
          <t>Emergency staircase 3rd to 4th floor</t>
        </is>
      </c>
      <c r="E220" s="19" t="inlineStr">
        <is>
          <t>1203</t>
        </is>
      </c>
      <c r="F220" s="19" t="n">
        <v>12</v>
      </c>
      <c r="G220" s="19" t="n">
        <v>1</v>
      </c>
      <c r="H220" s="19" t="n">
        <v>26</v>
      </c>
      <c r="I220" s="13">
        <f>G220*H220</f>
        <v>26.0</v>
      </c>
      <c r="J220" s="20">
        <f>4800/1000</f>
        <v>4.8</v>
      </c>
      <c r="K220" s="21">
        <f>I220*J220</f>
        <v>124.8</v>
      </c>
      <c r="L220" s="22">
        <f>F220^2/162</f>
        <v>0.8888888888888888</v>
      </c>
      <c r="M220" s="21">
        <f>K220*L220</f>
        <v>110.93333333333332</v>
      </c>
      <c r="N220" s="22">
        <f>M220/1000</f>
        <v>0.11093333333333333</v>
      </c>
      <c r="O220" s="13" t="inlineStr">
        <is>
          <t>BBS</t>
        </is>
      </c>
    </row>
    <row r="221">
      <c r="A221" s="13" t="n">
        <v>216</v>
      </c>
      <c r="B221" s="13" t="inlineStr">
        <is>
          <t>Staircases</t>
        </is>
      </c>
      <c r="C221" s="13" t="inlineStr">
        <is>
          <t>STR-035</t>
        </is>
      </c>
      <c r="D221" s="13" t="inlineStr">
        <is>
          <t>Emergency staircase 3rd to 4th floor</t>
        </is>
      </c>
      <c r="E221" s="19" t="inlineStr">
        <is>
          <t>1601</t>
        </is>
      </c>
      <c r="F221" s="19" t="n">
        <v>16</v>
      </c>
      <c r="G221" s="19" t="n">
        <v>1</v>
      </c>
      <c r="H221" s="19" t="n">
        <v>11</v>
      </c>
      <c r="I221" s="13">
        <f>G221*H221</f>
        <v>11.0</v>
      </c>
      <c r="J221" s="20">
        <f>8175/1000</f>
        <v>8.175</v>
      </c>
      <c r="K221" s="21">
        <f>I221*J221</f>
        <v>89.92500000000001</v>
      </c>
      <c r="L221" s="22">
        <f>F221^2/162</f>
        <v>1.5802469135802468</v>
      </c>
      <c r="M221" s="21">
        <f>K221*L221</f>
        <v>142.1037037037037</v>
      </c>
      <c r="N221" s="22">
        <f>M221/1000</f>
        <v>0.1421037037037037</v>
      </c>
      <c r="O221" s="13" t="inlineStr">
        <is>
          <t>BBS</t>
        </is>
      </c>
    </row>
    <row r="222">
      <c r="A222" s="13" t="n">
        <v>217</v>
      </c>
      <c r="B222" s="13" t="inlineStr">
        <is>
          <t>Staircases</t>
        </is>
      </c>
      <c r="C222" s="13" t="inlineStr">
        <is>
          <t>STR-035</t>
        </is>
      </c>
      <c r="D222" s="13" t="inlineStr">
        <is>
          <t>Emergency staircase 3rd to 4th floor</t>
        </is>
      </c>
      <c r="E222" s="19" t="inlineStr">
        <is>
          <t>1602</t>
        </is>
      </c>
      <c r="F222" s="19" t="n">
        <v>16</v>
      </c>
      <c r="G222" s="19" t="n">
        <v>1</v>
      </c>
      <c r="H222" s="19" t="n">
        <v>11</v>
      </c>
      <c r="I222" s="13">
        <f>G222*H222</f>
        <v>11.0</v>
      </c>
      <c r="J222" s="20">
        <f>2650/1000</f>
        <v>2.65</v>
      </c>
      <c r="K222" s="21">
        <f>I222*J222</f>
        <v>29.15</v>
      </c>
      <c r="L222" s="22">
        <f>F222^2/162</f>
        <v>1.5802469135802468</v>
      </c>
      <c r="M222" s="21">
        <f>K222*L222</f>
        <v>46.06419753086419</v>
      </c>
      <c r="N222" s="22">
        <f>M222/1000</f>
        <v>0.046064197530864194</v>
      </c>
      <c r="O222" s="13" t="inlineStr">
        <is>
          <t>BBS</t>
        </is>
      </c>
    </row>
    <row r="223">
      <c r="A223" s="13" t="n">
        <v>218</v>
      </c>
      <c r="B223" s="13" t="inlineStr">
        <is>
          <t>Staircases</t>
        </is>
      </c>
      <c r="C223" s="13" t="inlineStr">
        <is>
          <t>STR-035</t>
        </is>
      </c>
      <c r="D223" s="13" t="inlineStr">
        <is>
          <t>Emergency staircase 3rd to 4th floor</t>
        </is>
      </c>
      <c r="E223" s="19" t="inlineStr">
        <is>
          <t>1603</t>
        </is>
      </c>
      <c r="F223" s="19" t="n">
        <v>16</v>
      </c>
      <c r="G223" s="19" t="n">
        <v>1</v>
      </c>
      <c r="H223" s="19" t="n">
        <v>11</v>
      </c>
      <c r="I223" s="13">
        <f>G223*H223</f>
        <v>11.0</v>
      </c>
      <c r="J223" s="20">
        <f>2400/1000</f>
        <v>2.4</v>
      </c>
      <c r="K223" s="21">
        <f>I223*J223</f>
        <v>26.4</v>
      </c>
      <c r="L223" s="22">
        <f>F223^2/162</f>
        <v>1.5802469135802468</v>
      </c>
      <c r="M223" s="21">
        <f>K223*L223</f>
        <v>41.718518518518515</v>
      </c>
      <c r="N223" s="22">
        <f>M223/1000</f>
        <v>0.041718518518518516</v>
      </c>
      <c r="O223" s="13" t="inlineStr">
        <is>
          <t>BBS</t>
        </is>
      </c>
    </row>
    <row r="224">
      <c r="A224" s="13" t="n">
        <v>219</v>
      </c>
      <c r="B224" s="13" t="inlineStr">
        <is>
          <t>Staircases</t>
        </is>
      </c>
      <c r="C224" s="13" t="inlineStr">
        <is>
          <t>STR-035</t>
        </is>
      </c>
      <c r="D224" s="13" t="inlineStr">
        <is>
          <t>Emergency staircase 3rd to 4th floor</t>
        </is>
      </c>
      <c r="E224" s="19" t="inlineStr">
        <is>
          <t>1604</t>
        </is>
      </c>
      <c r="F224" s="19" t="n">
        <v>16</v>
      </c>
      <c r="G224" s="19" t="n">
        <v>1</v>
      </c>
      <c r="H224" s="19" t="n">
        <v>11</v>
      </c>
      <c r="I224" s="13">
        <f>G224*H224</f>
        <v>11.0</v>
      </c>
      <c r="J224" s="20">
        <f>4300/1000</f>
        <v>4.3</v>
      </c>
      <c r="K224" s="21">
        <f>I224*J224</f>
        <v>47.3</v>
      </c>
      <c r="L224" s="22">
        <f>F224^2/162</f>
        <v>1.5802469135802468</v>
      </c>
      <c r="M224" s="21">
        <f>K224*L224</f>
        <v>74.74567901234568</v>
      </c>
      <c r="N224" s="22">
        <f>M224/1000</f>
        <v>0.07474567901234568</v>
      </c>
      <c r="O224" s="13" t="inlineStr">
        <is>
          <t>BBS</t>
        </is>
      </c>
    </row>
    <row r="225">
      <c r="A225" s="13" t="n">
        <v>220</v>
      </c>
      <c r="B225" s="13" t="inlineStr">
        <is>
          <t>Staircases</t>
        </is>
      </c>
      <c r="C225" s="13" t="inlineStr">
        <is>
          <t>STR-035</t>
        </is>
      </c>
      <c r="D225" s="13" t="inlineStr">
        <is>
          <t>Emergency staircase 3rd to 4th floor</t>
        </is>
      </c>
      <c r="E225" s="19" t="inlineStr">
        <is>
          <t>1605</t>
        </is>
      </c>
      <c r="F225" s="19" t="n">
        <v>16</v>
      </c>
      <c r="G225" s="19" t="n">
        <v>1</v>
      </c>
      <c r="H225" s="19" t="n">
        <v>11</v>
      </c>
      <c r="I225" s="13">
        <f>G225*H225</f>
        <v>11.0</v>
      </c>
      <c r="J225" s="20">
        <f>2100/1000</f>
        <v>2.1</v>
      </c>
      <c r="K225" s="21">
        <f>I225*J225</f>
        <v>23.1</v>
      </c>
      <c r="L225" s="22">
        <f>F225^2/162</f>
        <v>1.5802469135802468</v>
      </c>
      <c r="M225" s="21">
        <f>K225*L225</f>
        <v>36.50370370370371</v>
      </c>
      <c r="N225" s="22">
        <f>M225/1000</f>
        <v>0.036503703703703705</v>
      </c>
      <c r="O225" s="13" t="inlineStr">
        <is>
          <t>BBS</t>
        </is>
      </c>
    </row>
    <row r="226">
      <c r="A226" s="13" t="n">
        <v>221</v>
      </c>
      <c r="B226" s="13" t="inlineStr">
        <is>
          <t>Staircases</t>
        </is>
      </c>
      <c r="C226" s="13" t="inlineStr">
        <is>
          <t>STR-035</t>
        </is>
      </c>
      <c r="D226" s="13" t="inlineStr">
        <is>
          <t>Emergency staircase 3rd to 4th floor</t>
        </is>
      </c>
      <c r="E226" s="19" t="inlineStr">
        <is>
          <t>1606</t>
        </is>
      </c>
      <c r="F226" s="19" t="n">
        <v>16</v>
      </c>
      <c r="G226" s="19" t="n">
        <v>1</v>
      </c>
      <c r="H226" s="19" t="n">
        <v>11</v>
      </c>
      <c r="I226" s="13">
        <f>G226*H226</f>
        <v>11.0</v>
      </c>
      <c r="J226" s="20">
        <f>6900/1000</f>
        <v>6.9</v>
      </c>
      <c r="K226" s="21">
        <f>I226*J226</f>
        <v>75.9</v>
      </c>
      <c r="L226" s="22">
        <f>F226^2/162</f>
        <v>1.5802469135802468</v>
      </c>
      <c r="M226" s="21">
        <f>K226*L226</f>
        <v>119.94074074074074</v>
      </c>
      <c r="N226" s="22">
        <f>M226/1000</f>
        <v>0.11994074074074074</v>
      </c>
      <c r="O226" s="13" t="inlineStr">
        <is>
          <t>BBS</t>
        </is>
      </c>
    </row>
    <row r="227">
      <c r="A227" s="13" t="n">
        <v>222</v>
      </c>
      <c r="B227" s="13" t="inlineStr">
        <is>
          <t>Staircases</t>
        </is>
      </c>
      <c r="C227" s="13" t="inlineStr">
        <is>
          <t>STR-035</t>
        </is>
      </c>
      <c r="D227" s="13" t="inlineStr">
        <is>
          <t>Emergency staircase 3rd to 4th floor</t>
        </is>
      </c>
      <c r="E227" s="19" t="inlineStr">
        <is>
          <t>1607</t>
        </is>
      </c>
      <c r="F227" s="19" t="n">
        <v>16</v>
      </c>
      <c r="G227" s="19" t="n">
        <v>1</v>
      </c>
      <c r="H227" s="19" t="n">
        <v>11</v>
      </c>
      <c r="I227" s="13">
        <f>G227*H227</f>
        <v>11.0</v>
      </c>
      <c r="J227" s="20">
        <f>4800/1000</f>
        <v>4.8</v>
      </c>
      <c r="K227" s="21">
        <f>I227*J227</f>
        <v>52.8</v>
      </c>
      <c r="L227" s="22">
        <f>F227^2/162</f>
        <v>1.5802469135802468</v>
      </c>
      <c r="M227" s="21">
        <f>K227*L227</f>
        <v>83.43703703703703</v>
      </c>
      <c r="N227" s="22">
        <f>M227/1000</f>
        <v>0.08343703703703703</v>
      </c>
      <c r="O227" s="13" t="inlineStr">
        <is>
          <t>BBS</t>
        </is>
      </c>
    </row>
    <row r="228">
      <c r="A228" s="13" t="n">
        <v>223</v>
      </c>
      <c r="B228" s="13" t="inlineStr">
        <is>
          <t>Staircases</t>
        </is>
      </c>
      <c r="C228" s="13" t="inlineStr">
        <is>
          <t>STR-035</t>
        </is>
      </c>
      <c r="D228" s="13" t="inlineStr">
        <is>
          <t>Emergency staircase 3rd to 4th floor</t>
        </is>
      </c>
      <c r="E228" s="19" t="inlineStr">
        <is>
          <t>1608</t>
        </is>
      </c>
      <c r="F228" s="19" t="n">
        <v>16</v>
      </c>
      <c r="G228" s="19" t="n">
        <v>1</v>
      </c>
      <c r="H228" s="19" t="n">
        <v>11</v>
      </c>
      <c r="I228" s="13">
        <f>G228*H228</f>
        <v>11.0</v>
      </c>
      <c r="J228" s="20">
        <f>3400/1000</f>
        <v>3.4</v>
      </c>
      <c r="K228" s="21">
        <f>I228*J228</f>
        <v>37.4</v>
      </c>
      <c r="L228" s="22">
        <f>F228^2/162</f>
        <v>1.5802469135802468</v>
      </c>
      <c r="M228" s="21">
        <f>K228*L228</f>
        <v>59.10123456790123</v>
      </c>
      <c r="N228" s="22">
        <f>M228/1000</f>
        <v>0.05910123456790123</v>
      </c>
      <c r="O228" s="13" t="inlineStr">
        <is>
          <t>BBS</t>
        </is>
      </c>
    </row>
    <row r="229">
      <c r="A229" s="13" t="n">
        <v>224</v>
      </c>
      <c r="B229" s="13" t="inlineStr">
        <is>
          <t>Staircases</t>
        </is>
      </c>
      <c r="C229" s="13" t="inlineStr">
        <is>
          <t>STR-035</t>
        </is>
      </c>
      <c r="D229" s="13" t="inlineStr">
        <is>
          <t>Emergency staircase 3rd to 4th floor</t>
        </is>
      </c>
      <c r="E229" s="19" t="inlineStr">
        <is>
          <t>1609</t>
        </is>
      </c>
      <c r="F229" s="19" t="n">
        <v>16</v>
      </c>
      <c r="G229" s="19" t="n">
        <v>1</v>
      </c>
      <c r="H229" s="19" t="n">
        <v>11</v>
      </c>
      <c r="I229" s="13">
        <f>G229*H229</f>
        <v>11.0</v>
      </c>
      <c r="J229" s="20">
        <f>3200/1000</f>
        <v>3.2</v>
      </c>
      <c r="K229" s="21">
        <f>I229*J229</f>
        <v>35.2</v>
      </c>
      <c r="L229" s="22">
        <f>F229^2/162</f>
        <v>1.5802469135802468</v>
      </c>
      <c r="M229" s="21">
        <f>K229*L229</f>
        <v>55.62469135802469</v>
      </c>
      <c r="N229" s="22">
        <f>M229/1000</f>
        <v>0.05562469135802469</v>
      </c>
      <c r="O229" s="13" t="inlineStr">
        <is>
          <t>BBS</t>
        </is>
      </c>
    </row>
    <row r="230">
      <c r="A230" s="13" t="n">
        <v>225</v>
      </c>
      <c r="B230" s="13" t="inlineStr">
        <is>
          <t>Staircases</t>
        </is>
      </c>
      <c r="C230" s="13" t="inlineStr">
        <is>
          <t>STR-035</t>
        </is>
      </c>
      <c r="D230" s="13" t="inlineStr">
        <is>
          <t>Emergency staircase 3rd to 4th floor</t>
        </is>
      </c>
      <c r="E230" s="19" t="inlineStr">
        <is>
          <t>1610</t>
        </is>
      </c>
      <c r="F230" s="19" t="n">
        <v>16</v>
      </c>
      <c r="G230" s="19" t="n">
        <v>1</v>
      </c>
      <c r="H230" s="19" t="n">
        <v>11</v>
      </c>
      <c r="I230" s="13">
        <f>G230*H230</f>
        <v>11.0</v>
      </c>
      <c r="J230" s="20">
        <f>2000/1000</f>
        <v>2.0</v>
      </c>
      <c r="K230" s="21">
        <f>I230*J230</f>
        <v>22.0</v>
      </c>
      <c r="L230" s="22">
        <f>F230^2/162</f>
        <v>1.5802469135802468</v>
      </c>
      <c r="M230" s="21">
        <f>K230*L230</f>
        <v>34.76543209876543</v>
      </c>
      <c r="N230" s="22">
        <f>M230/1000</f>
        <v>0.03476543209876543</v>
      </c>
      <c r="O230" s="13" t="inlineStr">
        <is>
          <t>BBS</t>
        </is>
      </c>
    </row>
    <row r="232">
      <c r="D232" s="10" t="inlineStr">
        <is>
          <t>SUMMARY - THIRD FLOOR: ELEMENT BY BAR SIZE (TONNES)</t>
        </is>
      </c>
    </row>
    <row r="233">
      <c r="D233" s="23" t="inlineStr">
        <is>
          <t>Element</t>
        </is>
      </c>
      <c r="E233" s="24" t="n">
        <v>10</v>
      </c>
      <c r="F233" s="24" t="n">
        <v>12</v>
      </c>
      <c r="G233" s="24" t="n">
        <v>16</v>
      </c>
      <c r="H233" s="24" t="n">
        <v>20</v>
      </c>
      <c r="I233" s="24" t="n">
        <v>25</v>
      </c>
      <c r="J233" s="23" t="inlineStr">
        <is>
          <t>Total (t)</t>
        </is>
      </c>
    </row>
    <row r="234">
      <c r="D234" s="13" t="inlineStr">
        <is>
          <t>Raft Foundation</t>
        </is>
      </c>
      <c r="E234" s="25">
        <f>SUMIFS($N$6:$N$230,$B$6:$B$230,$D234,$F$6:$F$230,E$233)</f>
        <v>0.0</v>
      </c>
      <c r="F234" s="25">
        <f>SUMIFS($N$6:$N$230,$B$6:$B$230,$D234,$F$6:$F$230,F$233)</f>
        <v>0.0</v>
      </c>
      <c r="G234" s="25">
        <f>SUMIFS($N$6:$N$230,$B$6:$B$230,$D234,$F$6:$F$230,G$233)</f>
        <v>0.0</v>
      </c>
      <c r="H234" s="25">
        <f>SUMIFS($N$6:$N$230,$B$6:$B$230,$D234,$F$6:$F$230,H$233)</f>
        <v>0.0</v>
      </c>
      <c r="I234" s="25">
        <f>SUMIFS($N$6:$N$230,$B$6:$B$230,$D234,$F$6:$F$230,I$233)</f>
        <v>0.0</v>
      </c>
      <c r="J234" s="17">
        <f>SUM(E234:I234)</f>
        <v>0.0</v>
      </c>
    </row>
    <row r="235">
      <c r="D235" s="13" t="inlineStr">
        <is>
          <t>Columns</t>
        </is>
      </c>
      <c r="E235" s="25">
        <f>SUMIFS($N$6:$N$230,$B$6:$B$230,$D235,$F$6:$F$230,E$233)</f>
        <v>4.550629629629629</v>
      </c>
      <c r="F235" s="25">
        <f>SUMIFS($N$6:$N$230,$B$6:$B$230,$D235,$F$6:$F$230,F$233)</f>
        <v>0.0</v>
      </c>
      <c r="G235" s="25">
        <f>SUMIFS($N$6:$N$230,$B$6:$B$230,$D235,$F$6:$F$230,G$233)</f>
        <v>0.0</v>
      </c>
      <c r="H235" s="25">
        <f>SUMIFS($N$6:$N$230,$B$6:$B$230,$D235,$F$6:$F$230,H$233)</f>
        <v>7.133333333333333</v>
      </c>
      <c r="I235" s="25">
        <f>SUMIFS($N$6:$N$230,$B$6:$B$230,$D235,$F$6:$F$230,I$233)</f>
        <v>0.0</v>
      </c>
      <c r="J235" s="17">
        <f>SUM(E235:I235)</f>
        <v>11.683962962962962</v>
      </c>
    </row>
    <row r="236">
      <c r="D236" s="13" t="inlineStr">
        <is>
          <t>Shear Walls</t>
        </is>
      </c>
      <c r="E236" s="25">
        <f>SUMIFS($N$6:$N$230,$B$6:$B$230,$D236,$F$6:$F$230,E$233)</f>
        <v>1.4422222222222223</v>
      </c>
      <c r="F236" s="25">
        <f>SUMIFS($N$6:$N$230,$B$6:$B$230,$D236,$F$6:$F$230,F$233)</f>
        <v>1.9171555555555557</v>
      </c>
      <c r="G236" s="25">
        <f>SUMIFS($N$6:$N$230,$B$6:$B$230,$D236,$F$6:$F$230,G$233)</f>
        <v>0.0</v>
      </c>
      <c r="H236" s="25">
        <f>SUMIFS($N$6:$N$230,$B$6:$B$230,$D236,$F$6:$F$230,H$233)</f>
        <v>0.0</v>
      </c>
      <c r="I236" s="25">
        <f>SUMIFS($N$6:$N$230,$B$6:$B$230,$D236,$F$6:$F$230,I$233)</f>
        <v>11.31404320987654</v>
      </c>
      <c r="J236" s="17">
        <f>SUM(E236:I236)</f>
        <v>14.67342098765432</v>
      </c>
    </row>
    <row r="237">
      <c r="D237" s="13" t="inlineStr">
        <is>
          <t>Lift Walls</t>
        </is>
      </c>
      <c r="E237" s="25">
        <f>SUMIFS($N$6:$N$230,$B$6:$B$230,$D237,$F$6:$F$230,E$233)</f>
        <v>0.6355555555555557</v>
      </c>
      <c r="F237" s="25">
        <f>SUMIFS($N$6:$N$230,$B$6:$B$230,$D237,$F$6:$F$230,F$233)</f>
        <v>0.8655999999999999</v>
      </c>
      <c r="G237" s="25">
        <f>SUMIFS($N$6:$N$230,$B$6:$B$230,$D237,$F$6:$F$230,G$233)</f>
        <v>0.0</v>
      </c>
      <c r="H237" s="25">
        <f>SUMIFS($N$6:$N$230,$B$6:$B$230,$D237,$F$6:$F$230,H$233)</f>
        <v>0.0</v>
      </c>
      <c r="I237" s="25">
        <f>SUMIFS($N$6:$N$230,$B$6:$B$230,$D237,$F$6:$F$230,I$233)</f>
        <v>5.441358024691357</v>
      </c>
      <c r="J237" s="17">
        <f>SUM(E237:I237)</f>
        <v>6.942513580246912</v>
      </c>
    </row>
    <row r="238">
      <c r="D238" s="13" t="inlineStr">
        <is>
          <t>Retaining / Ramp Walls</t>
        </is>
      </c>
      <c r="E238" s="25">
        <f>SUMIFS($N$6:$N$230,$B$6:$B$230,$D238,$F$6:$F$230,E$233)</f>
        <v>0.0</v>
      </c>
      <c r="F238" s="25">
        <f>SUMIFS($N$6:$N$230,$B$6:$B$230,$D238,$F$6:$F$230,F$233)</f>
        <v>0.0</v>
      </c>
      <c r="G238" s="25">
        <f>SUMIFS($N$6:$N$230,$B$6:$B$230,$D238,$F$6:$F$230,G$233)</f>
        <v>0.0</v>
      </c>
      <c r="H238" s="25">
        <f>SUMIFS($N$6:$N$230,$B$6:$B$230,$D238,$F$6:$F$230,H$233)</f>
        <v>0.0</v>
      </c>
      <c r="I238" s="25">
        <f>SUMIFS($N$6:$N$230,$B$6:$B$230,$D238,$F$6:$F$230,I$233)</f>
        <v>0.0</v>
      </c>
      <c r="J238" s="17">
        <f>SUM(E238:I238)</f>
        <v>0.0</v>
      </c>
    </row>
    <row r="239">
      <c r="D239" s="13" t="inlineStr">
        <is>
          <t>Beams</t>
        </is>
      </c>
      <c r="E239" s="25">
        <f>SUMIFS($N$6:$N$230,$B$6:$B$230,$D239,$F$6:$F$230,E$233)</f>
        <v>1.164259259259259</v>
      </c>
      <c r="F239" s="25">
        <f>SUMIFS($N$6:$N$230,$B$6:$B$230,$D239,$F$6:$F$230,F$233)</f>
        <v>0.0</v>
      </c>
      <c r="G239" s="25">
        <f>SUMIFS($N$6:$N$230,$B$6:$B$230,$D239,$F$6:$F$230,G$233)</f>
        <v>1.0033777777777777</v>
      </c>
      <c r="H239" s="25">
        <f>SUMIFS($N$6:$N$230,$B$6:$B$230,$D239,$F$6:$F$230,H$233)</f>
        <v>2.1617283950617283</v>
      </c>
      <c r="I239" s="25">
        <f>SUMIFS($N$6:$N$230,$B$6:$B$230,$D239,$F$6:$F$230,I$233)</f>
        <v>2.015625</v>
      </c>
      <c r="J239" s="17">
        <f>SUM(E239:I239)</f>
        <v>6.344990432098765</v>
      </c>
    </row>
    <row r="240">
      <c r="D240" s="13" t="inlineStr">
        <is>
          <t>Floor Slabs</t>
        </is>
      </c>
      <c r="E240" s="25">
        <f>SUMIFS($N$6:$N$230,$B$6:$B$230,$D240,$F$6:$F$230,E$233)</f>
        <v>0.0</v>
      </c>
      <c r="F240" s="25">
        <f>SUMIFS($N$6:$N$230,$B$6:$B$230,$D240,$F$6:$F$230,F$233)</f>
        <v>56.827711111111114</v>
      </c>
      <c r="G240" s="25">
        <f>SUMIFS($N$6:$N$230,$B$6:$B$230,$D240,$F$6:$F$230,G$233)</f>
        <v>0.14565925925925924</v>
      </c>
      <c r="H240" s="25">
        <f>SUMIFS($N$6:$N$230,$B$6:$B$230,$D240,$F$6:$F$230,H$233)</f>
        <v>0.0</v>
      </c>
      <c r="I240" s="25">
        <f>SUMIFS($N$6:$N$230,$B$6:$B$230,$D240,$F$6:$F$230,I$233)</f>
        <v>0.0</v>
      </c>
      <c r="J240" s="17">
        <f>SUM(E240:I240)</f>
        <v>56.973370370370375</v>
      </c>
    </row>
    <row r="241">
      <c r="D241" s="13" t="inlineStr">
        <is>
          <t>Staircases</t>
        </is>
      </c>
      <c r="E241" s="25">
        <f>SUMIFS($N$6:$N$230,$B$6:$B$230,$D241,$F$6:$F$230,E$233)</f>
        <v>0.0</v>
      </c>
      <c r="F241" s="25">
        <f>SUMIFS($N$6:$N$230,$B$6:$B$230,$D241,$F$6:$F$230,F$233)</f>
        <v>0.8796444444444443</v>
      </c>
      <c r="G241" s="25">
        <f>SUMIFS($N$6:$N$230,$B$6:$B$230,$D241,$F$6:$F$230,G$233)</f>
        <v>1.4340740740740738</v>
      </c>
      <c r="H241" s="25">
        <f>SUMIFS($N$6:$N$230,$B$6:$B$230,$D241,$F$6:$F$230,H$233)</f>
        <v>0.0</v>
      </c>
      <c r="I241" s="25">
        <f>SUMIFS($N$6:$N$230,$B$6:$B$230,$D241,$F$6:$F$230,I$233)</f>
        <v>0.0</v>
      </c>
      <c r="J241" s="17">
        <f>SUM(E241:I241)</f>
        <v>2.313718518518518</v>
      </c>
    </row>
    <row r="242">
      <c r="D242" s="13" t="inlineStr">
        <is>
          <t>Lift Core Roof Slab</t>
        </is>
      </c>
      <c r="E242" s="25">
        <f>SUMIFS($N$6:$N$230,$B$6:$B$230,$D242,$F$6:$F$230,E$233)</f>
        <v>0.0</v>
      </c>
      <c r="F242" s="25">
        <f>SUMIFS($N$6:$N$230,$B$6:$B$230,$D242,$F$6:$F$230,F$233)</f>
        <v>0.0</v>
      </c>
      <c r="G242" s="25">
        <f>SUMIFS($N$6:$N$230,$B$6:$B$230,$D242,$F$6:$F$230,G$233)</f>
        <v>0.0</v>
      </c>
      <c r="H242" s="25">
        <f>SUMIFS($N$6:$N$230,$B$6:$B$230,$D242,$F$6:$F$230,H$233)</f>
        <v>0.0</v>
      </c>
      <c r="I242" s="25">
        <f>SUMIFS($N$6:$N$230,$B$6:$B$230,$D242,$F$6:$F$230,I$233)</f>
        <v>0.0</v>
      </c>
      <c r="J242" s="17">
        <f>SUM(E242:I242)</f>
        <v>0.0</v>
      </c>
    </row>
    <row r="243">
      <c r="D243" s="16" t="inlineStr">
        <is>
          <t>TOTAL - THIRD FLOOR</t>
        </is>
      </c>
      <c r="E243" s="26">
        <f>SUM(E234:E242)</f>
        <v>7.7926666666666655</v>
      </c>
      <c r="F243" s="26">
        <f>SUM(F234:F242)</f>
        <v>60.49011111111111</v>
      </c>
      <c r="G243" s="26">
        <f>SUM(G234:G242)</f>
        <v>2.5831111111111107</v>
      </c>
      <c r="H243" s="26">
        <f>SUM(H234:H242)</f>
        <v>9.295061728395062</v>
      </c>
      <c r="I243" s="26">
        <f>SUM(I234:I242)</f>
        <v>18.7710262345679</v>
      </c>
      <c r="J243" s="26">
        <f>SUM(J234:J242)</f>
        <v>98.93197685185186</v>
      </c>
      <c r="K243" s="7" t="inlineStr">
        <is>
          <t>Check vs detail (should be 0):</t>
        </is>
      </c>
      <c r="N243" s="7">
        <f>ROUND(SUM(N6:N230)-J243,6)</f>
        <v>0.0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O29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FOURTH FLOOR (+14200) - TYPICAL 4TH-8TH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STR-007</t>
        </is>
      </c>
      <c r="D6" s="13" t="inlineStr">
        <is>
          <t>COL-01A (5 nos) 4th to 5th - links</t>
        </is>
      </c>
      <c r="E6" s="19" t="inlineStr">
        <is>
          <t>1001</t>
        </is>
      </c>
      <c r="F6" s="19" t="n">
        <v>10</v>
      </c>
      <c r="G6" s="19" t="n">
        <v>5</v>
      </c>
      <c r="H6" s="19" t="n">
        <v>30</v>
      </c>
      <c r="I6" s="13">
        <f>G6*H6</f>
        <v>150.0</v>
      </c>
      <c r="J6" s="20">
        <f>2330/1000</f>
        <v>2.33</v>
      </c>
      <c r="K6" s="21">
        <f>I6*J6</f>
        <v>349.5</v>
      </c>
      <c r="L6" s="22">
        <f>F6^2/162</f>
        <v>0.6172839506172839</v>
      </c>
      <c r="M6" s="21">
        <f>K6*L6</f>
        <v>215.74074074074073</v>
      </c>
      <c r="N6" s="22">
        <f>M6/1000</f>
        <v>0.21574074074074073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STR-007</t>
        </is>
      </c>
      <c r="D7" s="13" t="inlineStr">
        <is>
          <t>COL-01A (5 nos) 4th to 5th - links</t>
        </is>
      </c>
      <c r="E7" s="19" t="inlineStr">
        <is>
          <t>1002</t>
        </is>
      </c>
      <c r="F7" s="19" t="n">
        <v>10</v>
      </c>
      <c r="G7" s="19" t="n">
        <v>5</v>
      </c>
      <c r="H7" s="19" t="n">
        <v>60</v>
      </c>
      <c r="I7" s="13">
        <f>G7*H7</f>
        <v>300.0</v>
      </c>
      <c r="J7" s="20">
        <f>1330/1000</f>
        <v>1.33</v>
      </c>
      <c r="K7" s="21">
        <f>I7*J7</f>
        <v>399.0</v>
      </c>
      <c r="L7" s="22">
        <f>F7^2/162</f>
        <v>0.6172839506172839</v>
      </c>
      <c r="M7" s="21">
        <f>K7*L7</f>
        <v>246.29629629629628</v>
      </c>
      <c r="N7" s="22">
        <f>M7/1000</f>
        <v>0.24629629629629626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STR-007</t>
        </is>
      </c>
      <c r="D8" s="13" t="inlineStr">
        <is>
          <t>COL-01A (5 nos) 4th to 5th - links</t>
        </is>
      </c>
      <c r="E8" s="19" t="inlineStr">
        <is>
          <t>1003</t>
        </is>
      </c>
      <c r="F8" s="19" t="n">
        <v>10</v>
      </c>
      <c r="G8" s="19" t="n">
        <v>5</v>
      </c>
      <c r="H8" s="19" t="n">
        <v>30</v>
      </c>
      <c r="I8" s="13">
        <f>G8*H8</f>
        <v>150.0</v>
      </c>
      <c r="J8" s="20">
        <f>1830/1000</f>
        <v>1.83</v>
      </c>
      <c r="K8" s="21">
        <f>I8*J8</f>
        <v>274.5</v>
      </c>
      <c r="L8" s="22">
        <f>F8^2/162</f>
        <v>0.6172839506172839</v>
      </c>
      <c r="M8" s="21">
        <f>K8*L8</f>
        <v>169.44444444444443</v>
      </c>
      <c r="N8" s="22">
        <f>M8/1000</f>
        <v>0.16944444444444443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STR-007</t>
        </is>
      </c>
      <c r="D9" s="13" t="inlineStr">
        <is>
          <t>COL-01A (5 nos) 4th to 5th - main bars</t>
        </is>
      </c>
      <c r="E9" s="19" t="inlineStr">
        <is>
          <t>2001</t>
        </is>
      </c>
      <c r="F9" s="19" t="n">
        <v>20</v>
      </c>
      <c r="G9" s="19" t="n">
        <v>5</v>
      </c>
      <c r="H9" s="19" t="n">
        <v>16</v>
      </c>
      <c r="I9" s="13">
        <f>G9*H9</f>
        <v>80.0</v>
      </c>
      <c r="J9" s="20">
        <f>4500/1000</f>
        <v>4.5</v>
      </c>
      <c r="K9" s="21">
        <f>I9*J9</f>
        <v>360.0</v>
      </c>
      <c r="L9" s="22">
        <f>F9^2/162</f>
        <v>2.4691358024691357</v>
      </c>
      <c r="M9" s="21">
        <f>K9*L9</f>
        <v>888.8888888888888</v>
      </c>
      <c r="N9" s="22">
        <f>M9/1000</f>
        <v>0.8888888888888888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STR-007</t>
        </is>
      </c>
      <c r="D10" s="13" t="inlineStr">
        <is>
          <t>COL-01B (1 nos) 4th to 5th - links</t>
        </is>
      </c>
      <c r="E10" s="19" t="inlineStr">
        <is>
          <t>1001</t>
        </is>
      </c>
      <c r="F10" s="19" t="n">
        <v>10</v>
      </c>
      <c r="G10" s="19" t="n">
        <v>1</v>
      </c>
      <c r="H10" s="19" t="n">
        <v>30</v>
      </c>
      <c r="I10" s="13">
        <f>G10*H10</f>
        <v>30.0</v>
      </c>
      <c r="J10" s="20">
        <f>2330/1000</f>
        <v>2.33</v>
      </c>
      <c r="K10" s="21">
        <f>I10*J10</f>
        <v>69.9</v>
      </c>
      <c r="L10" s="22">
        <f>F10^2/162</f>
        <v>0.6172839506172839</v>
      </c>
      <c r="M10" s="21">
        <f>K10*L10</f>
        <v>43.14814814814815</v>
      </c>
      <c r="N10" s="22">
        <f>M10/1000</f>
        <v>0.04314814814814815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STR-007</t>
        </is>
      </c>
      <c r="D11" s="13" t="inlineStr">
        <is>
          <t>COL-01B (1 nos) 4th to 5th - links</t>
        </is>
      </c>
      <c r="E11" s="19" t="inlineStr">
        <is>
          <t>1002</t>
        </is>
      </c>
      <c r="F11" s="19" t="n">
        <v>10</v>
      </c>
      <c r="G11" s="19" t="n">
        <v>1</v>
      </c>
      <c r="H11" s="19" t="n">
        <v>60</v>
      </c>
      <c r="I11" s="13">
        <f>G11*H11</f>
        <v>60.0</v>
      </c>
      <c r="J11" s="20">
        <f>1330/1000</f>
        <v>1.33</v>
      </c>
      <c r="K11" s="21">
        <f>I11*J11</f>
        <v>79.80000000000001</v>
      </c>
      <c r="L11" s="22">
        <f>F11^2/162</f>
        <v>0.6172839506172839</v>
      </c>
      <c r="M11" s="21">
        <f>K11*L11</f>
        <v>49.25925925925927</v>
      </c>
      <c r="N11" s="22">
        <f>M11/1000</f>
        <v>0.049259259259259267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STR-007</t>
        </is>
      </c>
      <c r="D12" s="13" t="inlineStr">
        <is>
          <t>COL-01B (1 nos) 4th to 5th - links</t>
        </is>
      </c>
      <c r="E12" s="19" t="inlineStr">
        <is>
          <t>1003</t>
        </is>
      </c>
      <c r="F12" s="19" t="n">
        <v>10</v>
      </c>
      <c r="G12" s="19" t="n">
        <v>1</v>
      </c>
      <c r="H12" s="19" t="n">
        <v>30</v>
      </c>
      <c r="I12" s="13">
        <f>G12*H12</f>
        <v>30.0</v>
      </c>
      <c r="J12" s="20">
        <f>1830/1000</f>
        <v>1.83</v>
      </c>
      <c r="K12" s="21">
        <f>I12*J12</f>
        <v>54.900000000000006</v>
      </c>
      <c r="L12" s="22">
        <f>F12^2/162</f>
        <v>0.6172839506172839</v>
      </c>
      <c r="M12" s="21">
        <f>K12*L12</f>
        <v>33.88888888888889</v>
      </c>
      <c r="N12" s="22">
        <f>M12/1000</f>
        <v>0.03388888888888889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Columns</t>
        </is>
      </c>
      <c r="C13" s="13" t="inlineStr">
        <is>
          <t>STR-007</t>
        </is>
      </c>
      <c r="D13" s="13" t="inlineStr">
        <is>
          <t>COL-01B (1 nos) 4th to 5th - main bars</t>
        </is>
      </c>
      <c r="E13" s="19" t="inlineStr">
        <is>
          <t>2001</t>
        </is>
      </c>
      <c r="F13" s="19" t="n">
        <v>20</v>
      </c>
      <c r="G13" s="19" t="n">
        <v>1</v>
      </c>
      <c r="H13" s="19" t="n">
        <v>16</v>
      </c>
      <c r="I13" s="13">
        <f>G13*H13</f>
        <v>16.0</v>
      </c>
      <c r="J13" s="20">
        <f>4500/1000</f>
        <v>4.5</v>
      </c>
      <c r="K13" s="21">
        <f>I13*J13</f>
        <v>72.0</v>
      </c>
      <c r="L13" s="22">
        <f>F13^2/162</f>
        <v>2.4691358024691357</v>
      </c>
      <c r="M13" s="21">
        <f>K13*L13</f>
        <v>177.77777777777777</v>
      </c>
      <c r="N13" s="22">
        <f>M13/1000</f>
        <v>0.17777777777777778</v>
      </c>
      <c r="O13" s="13" t="inlineStr">
        <is>
          <t>Elevation + BBS length</t>
        </is>
      </c>
    </row>
    <row r="14">
      <c r="A14" s="13" t="n">
        <v>9</v>
      </c>
      <c r="B14" s="13" t="inlineStr">
        <is>
          <t>Columns</t>
        </is>
      </c>
      <c r="C14" s="13" t="inlineStr">
        <is>
          <t>STR-008</t>
        </is>
      </c>
      <c r="D14" s="13" t="inlineStr">
        <is>
          <t>COL-01C (2 nos) 4th to 5th - links</t>
        </is>
      </c>
      <c r="E14" s="19" t="inlineStr">
        <is>
          <t>1001</t>
        </is>
      </c>
      <c r="F14" s="19" t="n">
        <v>10</v>
      </c>
      <c r="G14" s="19" t="n">
        <v>2</v>
      </c>
      <c r="H14" s="19" t="n">
        <v>30</v>
      </c>
      <c r="I14" s="13">
        <f>G14*H14</f>
        <v>60.0</v>
      </c>
      <c r="J14" s="20">
        <f>2330/1000</f>
        <v>2.33</v>
      </c>
      <c r="K14" s="21">
        <f>I14*J14</f>
        <v>139.8</v>
      </c>
      <c r="L14" s="22">
        <f>F14^2/162</f>
        <v>0.6172839506172839</v>
      </c>
      <c r="M14" s="21">
        <f>K14*L14</f>
        <v>86.2962962962963</v>
      </c>
      <c r="N14" s="22">
        <f>M14/1000</f>
        <v>0.0862962962962963</v>
      </c>
      <c r="O14" s="13" t="inlineStr">
        <is>
          <t>Elevation + BBS length</t>
        </is>
      </c>
    </row>
    <row r="15">
      <c r="A15" s="13" t="n">
        <v>10</v>
      </c>
      <c r="B15" s="13" t="inlineStr">
        <is>
          <t>Columns</t>
        </is>
      </c>
      <c r="C15" s="13" t="inlineStr">
        <is>
          <t>STR-008</t>
        </is>
      </c>
      <c r="D15" s="13" t="inlineStr">
        <is>
          <t>COL-01C (2 nos) 4th to 5th - links</t>
        </is>
      </c>
      <c r="E15" s="19" t="inlineStr">
        <is>
          <t>1002</t>
        </is>
      </c>
      <c r="F15" s="19" t="n">
        <v>10</v>
      </c>
      <c r="G15" s="19" t="n">
        <v>2</v>
      </c>
      <c r="H15" s="19" t="n">
        <v>60</v>
      </c>
      <c r="I15" s="13">
        <f>G15*H15</f>
        <v>120.0</v>
      </c>
      <c r="J15" s="20">
        <f>1330/1000</f>
        <v>1.33</v>
      </c>
      <c r="K15" s="21">
        <f>I15*J15</f>
        <v>159.60000000000002</v>
      </c>
      <c r="L15" s="22">
        <f>F15^2/162</f>
        <v>0.6172839506172839</v>
      </c>
      <c r="M15" s="21">
        <f>K15*L15</f>
        <v>98.51851851851853</v>
      </c>
      <c r="N15" s="22">
        <f>M15/1000</f>
        <v>0.09851851851851853</v>
      </c>
      <c r="O15" s="13" t="inlineStr">
        <is>
          <t>Elevation + BBS length</t>
        </is>
      </c>
    </row>
    <row r="16">
      <c r="A16" s="13" t="n">
        <v>11</v>
      </c>
      <c r="B16" s="13" t="inlineStr">
        <is>
          <t>Columns</t>
        </is>
      </c>
      <c r="C16" s="13" t="inlineStr">
        <is>
          <t>STR-008</t>
        </is>
      </c>
      <c r="D16" s="13" t="inlineStr">
        <is>
          <t>COL-01C (2 nos) 4th to 5th - links</t>
        </is>
      </c>
      <c r="E16" s="19" t="inlineStr">
        <is>
          <t>1003</t>
        </is>
      </c>
      <c r="F16" s="19" t="n">
        <v>10</v>
      </c>
      <c r="G16" s="19" t="n">
        <v>2</v>
      </c>
      <c r="H16" s="19" t="n">
        <v>30</v>
      </c>
      <c r="I16" s="13">
        <f>G16*H16</f>
        <v>60.0</v>
      </c>
      <c r="J16" s="20">
        <f>1830/1000</f>
        <v>1.83</v>
      </c>
      <c r="K16" s="21">
        <f>I16*J16</f>
        <v>109.80000000000001</v>
      </c>
      <c r="L16" s="22">
        <f>F16^2/162</f>
        <v>0.6172839506172839</v>
      </c>
      <c r="M16" s="21">
        <f>K16*L16</f>
        <v>67.77777777777779</v>
      </c>
      <c r="N16" s="22">
        <f>M16/1000</f>
        <v>0.06777777777777778</v>
      </c>
      <c r="O16" s="13" t="inlineStr">
        <is>
          <t>Elevation + BBS length</t>
        </is>
      </c>
    </row>
    <row r="17">
      <c r="A17" s="13" t="n">
        <v>12</v>
      </c>
      <c r="B17" s="13" t="inlineStr">
        <is>
          <t>Columns</t>
        </is>
      </c>
      <c r="C17" s="13" t="inlineStr">
        <is>
          <t>STR-008</t>
        </is>
      </c>
      <c r="D17" s="13" t="inlineStr">
        <is>
          <t>COL-01C (2 nos) 4th to 5th - main bars</t>
        </is>
      </c>
      <c r="E17" s="19" t="inlineStr">
        <is>
          <t>2001</t>
        </is>
      </c>
      <c r="F17" s="19" t="n">
        <v>20</v>
      </c>
      <c r="G17" s="19" t="n">
        <v>2</v>
      </c>
      <c r="H17" s="19" t="n">
        <v>16</v>
      </c>
      <c r="I17" s="13">
        <f>G17*H17</f>
        <v>32.0</v>
      </c>
      <c r="J17" s="20">
        <f>4500/1000</f>
        <v>4.5</v>
      </c>
      <c r="K17" s="21">
        <f>I17*J17</f>
        <v>144.0</v>
      </c>
      <c r="L17" s="22">
        <f>F17^2/162</f>
        <v>2.4691358024691357</v>
      </c>
      <c r="M17" s="21">
        <f>K17*L17</f>
        <v>355.55555555555554</v>
      </c>
      <c r="N17" s="22">
        <f>M17/1000</f>
        <v>0.35555555555555557</v>
      </c>
      <c r="O17" s="13" t="inlineStr">
        <is>
          <t>Elevation + BBS length</t>
        </is>
      </c>
    </row>
    <row r="18">
      <c r="A18" s="13" t="n">
        <v>13</v>
      </c>
      <c r="B18" s="13" t="inlineStr">
        <is>
          <t>Columns</t>
        </is>
      </c>
      <c r="C18" s="13" t="inlineStr">
        <is>
          <t>STR-008</t>
        </is>
      </c>
      <c r="D18" s="13" t="inlineStr">
        <is>
          <t>COL-01D (1 nos) 4th to 5th - links</t>
        </is>
      </c>
      <c r="E18" s="19" t="inlineStr">
        <is>
          <t>1001</t>
        </is>
      </c>
      <c r="F18" s="19" t="n">
        <v>10</v>
      </c>
      <c r="G18" s="19" t="n">
        <v>1</v>
      </c>
      <c r="H18" s="19" t="n">
        <v>30</v>
      </c>
      <c r="I18" s="13">
        <f>G18*H18</f>
        <v>30.0</v>
      </c>
      <c r="J18" s="20">
        <f>2330/1000</f>
        <v>2.33</v>
      </c>
      <c r="K18" s="21">
        <f>I18*J18</f>
        <v>69.9</v>
      </c>
      <c r="L18" s="22">
        <f>F18^2/162</f>
        <v>0.6172839506172839</v>
      </c>
      <c r="M18" s="21">
        <f>K18*L18</f>
        <v>43.14814814814815</v>
      </c>
      <c r="N18" s="22">
        <f>M18/1000</f>
        <v>0.04314814814814815</v>
      </c>
      <c r="O18" s="13" t="inlineStr">
        <is>
          <t>Elevation + BBS length</t>
        </is>
      </c>
    </row>
    <row r="19">
      <c r="A19" s="13" t="n">
        <v>14</v>
      </c>
      <c r="B19" s="13" t="inlineStr">
        <is>
          <t>Columns</t>
        </is>
      </c>
      <c r="C19" s="13" t="inlineStr">
        <is>
          <t>STR-008</t>
        </is>
      </c>
      <c r="D19" s="13" t="inlineStr">
        <is>
          <t>COL-01D (1 nos) 4th to 5th - links</t>
        </is>
      </c>
      <c r="E19" s="19" t="inlineStr">
        <is>
          <t>1002</t>
        </is>
      </c>
      <c r="F19" s="19" t="n">
        <v>10</v>
      </c>
      <c r="G19" s="19" t="n">
        <v>1</v>
      </c>
      <c r="H19" s="19" t="n">
        <v>60</v>
      </c>
      <c r="I19" s="13">
        <f>G19*H19</f>
        <v>60.0</v>
      </c>
      <c r="J19" s="20">
        <f>1330/1000</f>
        <v>1.33</v>
      </c>
      <c r="K19" s="21">
        <f>I19*J19</f>
        <v>79.80000000000001</v>
      </c>
      <c r="L19" s="22">
        <f>F19^2/162</f>
        <v>0.6172839506172839</v>
      </c>
      <c r="M19" s="21">
        <f>K19*L19</f>
        <v>49.25925925925927</v>
      </c>
      <c r="N19" s="22">
        <f>M19/1000</f>
        <v>0.049259259259259267</v>
      </c>
      <c r="O19" s="13" t="inlineStr">
        <is>
          <t>Elevation + BBS length</t>
        </is>
      </c>
    </row>
    <row r="20">
      <c r="A20" s="13" t="n">
        <v>15</v>
      </c>
      <c r="B20" s="13" t="inlineStr">
        <is>
          <t>Columns</t>
        </is>
      </c>
      <c r="C20" s="13" t="inlineStr">
        <is>
          <t>STR-008</t>
        </is>
      </c>
      <c r="D20" s="13" t="inlineStr">
        <is>
          <t>COL-01D (1 nos) 4th to 5th - links</t>
        </is>
      </c>
      <c r="E20" s="19" t="inlineStr">
        <is>
          <t>1003</t>
        </is>
      </c>
      <c r="F20" s="19" t="n">
        <v>10</v>
      </c>
      <c r="G20" s="19" t="n">
        <v>1</v>
      </c>
      <c r="H20" s="19" t="n">
        <v>30</v>
      </c>
      <c r="I20" s="13">
        <f>G20*H20</f>
        <v>30.0</v>
      </c>
      <c r="J20" s="20">
        <f>1830/1000</f>
        <v>1.83</v>
      </c>
      <c r="K20" s="21">
        <f>I20*J20</f>
        <v>54.900000000000006</v>
      </c>
      <c r="L20" s="22">
        <f>F20^2/162</f>
        <v>0.6172839506172839</v>
      </c>
      <c r="M20" s="21">
        <f>K20*L20</f>
        <v>33.88888888888889</v>
      </c>
      <c r="N20" s="22">
        <f>M20/1000</f>
        <v>0.03388888888888889</v>
      </c>
      <c r="O20" s="13" t="inlineStr">
        <is>
          <t>Elevation + BBS length</t>
        </is>
      </c>
    </row>
    <row r="21">
      <c r="A21" s="13" t="n">
        <v>16</v>
      </c>
      <c r="B21" s="13" t="inlineStr">
        <is>
          <t>Columns</t>
        </is>
      </c>
      <c r="C21" s="13" t="inlineStr">
        <is>
          <t>STR-008</t>
        </is>
      </c>
      <c r="D21" s="13" t="inlineStr">
        <is>
          <t>COL-01D (1 nos) 4th to 5th - main bars</t>
        </is>
      </c>
      <c r="E21" s="19" t="inlineStr">
        <is>
          <t>2001</t>
        </is>
      </c>
      <c r="F21" s="19" t="n">
        <v>20</v>
      </c>
      <c r="G21" s="19" t="n">
        <v>1</v>
      </c>
      <c r="H21" s="19" t="n">
        <v>16</v>
      </c>
      <c r="I21" s="13">
        <f>G21*H21</f>
        <v>16.0</v>
      </c>
      <c r="J21" s="20">
        <f>4500/1000</f>
        <v>4.5</v>
      </c>
      <c r="K21" s="21">
        <f>I21*J21</f>
        <v>72.0</v>
      </c>
      <c r="L21" s="22">
        <f>F21^2/162</f>
        <v>2.4691358024691357</v>
      </c>
      <c r="M21" s="21">
        <f>K21*L21</f>
        <v>177.77777777777777</v>
      </c>
      <c r="N21" s="22">
        <f>M21/1000</f>
        <v>0.17777777777777778</v>
      </c>
      <c r="O21" s="13" t="inlineStr">
        <is>
          <t>Elevation + BBS length</t>
        </is>
      </c>
    </row>
    <row r="22">
      <c r="A22" s="13" t="n">
        <v>17</v>
      </c>
      <c r="B22" s="13" t="inlineStr">
        <is>
          <t>Columns</t>
        </is>
      </c>
      <c r="C22" s="13" t="inlineStr">
        <is>
          <t>STR-010</t>
        </is>
      </c>
      <c r="D22" s="13" t="inlineStr">
        <is>
          <t>COL-02A (3 nos) 4th to 5th - links</t>
        </is>
      </c>
      <c r="E22" s="19" t="inlineStr">
        <is>
          <t>1004</t>
        </is>
      </c>
      <c r="F22" s="19" t="n">
        <v>10</v>
      </c>
      <c r="G22" s="19" t="n">
        <v>3</v>
      </c>
      <c r="H22" s="19" t="n">
        <v>30</v>
      </c>
      <c r="I22" s="13">
        <f>G22*H22</f>
        <v>90.0</v>
      </c>
      <c r="J22" s="20">
        <f>2910/1000</f>
        <v>2.91</v>
      </c>
      <c r="K22" s="21">
        <f>I22*J22</f>
        <v>261.90000000000003</v>
      </c>
      <c r="L22" s="22">
        <f>F22^2/162</f>
        <v>0.6172839506172839</v>
      </c>
      <c r="M22" s="21">
        <f>K22*L22</f>
        <v>161.66666666666669</v>
      </c>
      <c r="N22" s="22">
        <f>M22/1000</f>
        <v>0.16166666666666668</v>
      </c>
      <c r="O22" s="13" t="inlineStr">
        <is>
          <t>Elevation + BBS length</t>
        </is>
      </c>
    </row>
    <row r="23">
      <c r="A23" s="13" t="n">
        <v>18</v>
      </c>
      <c r="B23" s="13" t="inlineStr">
        <is>
          <t>Columns</t>
        </is>
      </c>
      <c r="C23" s="13" t="inlineStr">
        <is>
          <t>STR-010</t>
        </is>
      </c>
      <c r="D23" s="13" t="inlineStr">
        <is>
          <t>COL-02A (3 nos) 4th to 5th - links</t>
        </is>
      </c>
      <c r="E23" s="19" t="inlineStr">
        <is>
          <t>1005</t>
        </is>
      </c>
      <c r="F23" s="19" t="n">
        <v>10</v>
      </c>
      <c r="G23" s="19" t="n">
        <v>3</v>
      </c>
      <c r="H23" s="19">
        <f>5*30</f>
        <v>150.0</v>
      </c>
      <c r="I23" s="13">
        <f>G23*H23</f>
        <v>450.0</v>
      </c>
      <c r="J23" s="20">
        <f>1008/1000</f>
        <v>1.008</v>
      </c>
      <c r="K23" s="21">
        <f>I23*J23</f>
        <v>453.6</v>
      </c>
      <c r="L23" s="22">
        <f>F23^2/162</f>
        <v>0.6172839506172839</v>
      </c>
      <c r="M23" s="21">
        <f>K23*L23</f>
        <v>280.0</v>
      </c>
      <c r="N23" s="22">
        <f>M23/1000</f>
        <v>0.28</v>
      </c>
      <c r="O23" s="13" t="inlineStr">
        <is>
          <t>Elevation + BBS length</t>
        </is>
      </c>
    </row>
    <row r="24">
      <c r="A24" s="13" t="n">
        <v>19</v>
      </c>
      <c r="B24" s="13" t="inlineStr">
        <is>
          <t>Columns</t>
        </is>
      </c>
      <c r="C24" s="13" t="inlineStr">
        <is>
          <t>STR-010</t>
        </is>
      </c>
      <c r="D24" s="13" t="inlineStr">
        <is>
          <t>COL-02A (3 nos) 4th to 5th - main bars</t>
        </is>
      </c>
      <c r="E24" s="19" t="inlineStr">
        <is>
          <t>2001</t>
        </is>
      </c>
      <c r="F24" s="19" t="n">
        <v>20</v>
      </c>
      <c r="G24" s="19" t="n">
        <v>3</v>
      </c>
      <c r="H24" s="19" t="n">
        <v>18</v>
      </c>
      <c r="I24" s="13">
        <f>G24*H24</f>
        <v>54.0</v>
      </c>
      <c r="J24" s="20">
        <f>4500/1000</f>
        <v>4.5</v>
      </c>
      <c r="K24" s="21">
        <f>I24*J24</f>
        <v>243.0</v>
      </c>
      <c r="L24" s="22">
        <f>F24^2/162</f>
        <v>2.4691358024691357</v>
      </c>
      <c r="M24" s="21">
        <f>K24*L24</f>
        <v>600.0</v>
      </c>
      <c r="N24" s="22">
        <f>M24/1000</f>
        <v>0.6</v>
      </c>
      <c r="O24" s="13" t="inlineStr">
        <is>
          <t>Elevation + BBS length</t>
        </is>
      </c>
    </row>
    <row r="25">
      <c r="A25" s="13" t="n">
        <v>20</v>
      </c>
      <c r="B25" s="13" t="inlineStr">
        <is>
          <t>Columns</t>
        </is>
      </c>
      <c r="C25" s="13" t="inlineStr">
        <is>
          <t>STR-010</t>
        </is>
      </c>
      <c r="D25" s="13" t="inlineStr">
        <is>
          <t>COL-02B (6 nos) 4th to 5th - links</t>
        </is>
      </c>
      <c r="E25" s="19" t="inlineStr">
        <is>
          <t>1004</t>
        </is>
      </c>
      <c r="F25" s="19" t="n">
        <v>10</v>
      </c>
      <c r="G25" s="19" t="n">
        <v>6</v>
      </c>
      <c r="H25" s="19" t="n">
        <v>30</v>
      </c>
      <c r="I25" s="13">
        <f>G25*H25</f>
        <v>180.0</v>
      </c>
      <c r="J25" s="20">
        <f>2910/1000</f>
        <v>2.91</v>
      </c>
      <c r="K25" s="21">
        <f>I25*J25</f>
        <v>523.8000000000001</v>
      </c>
      <c r="L25" s="22">
        <f>F25^2/162</f>
        <v>0.6172839506172839</v>
      </c>
      <c r="M25" s="21">
        <f>K25*L25</f>
        <v>323.33333333333337</v>
      </c>
      <c r="N25" s="22">
        <f>M25/1000</f>
        <v>0.32333333333333336</v>
      </c>
      <c r="O25" s="13" t="inlineStr">
        <is>
          <t>Elevation + BBS length</t>
        </is>
      </c>
    </row>
    <row r="26">
      <c r="A26" s="13" t="n">
        <v>21</v>
      </c>
      <c r="B26" s="13" t="inlineStr">
        <is>
          <t>Columns</t>
        </is>
      </c>
      <c r="C26" s="13" t="inlineStr">
        <is>
          <t>STR-010</t>
        </is>
      </c>
      <c r="D26" s="13" t="inlineStr">
        <is>
          <t>COL-02B (6 nos) 4th to 5th - links</t>
        </is>
      </c>
      <c r="E26" s="19" t="inlineStr">
        <is>
          <t>1005</t>
        </is>
      </c>
      <c r="F26" s="19" t="n">
        <v>10</v>
      </c>
      <c r="G26" s="19" t="n">
        <v>6</v>
      </c>
      <c r="H26" s="19">
        <f>5*30</f>
        <v>150.0</v>
      </c>
      <c r="I26" s="13">
        <f>G26*H26</f>
        <v>900.0</v>
      </c>
      <c r="J26" s="20">
        <f>1008/1000</f>
        <v>1.008</v>
      </c>
      <c r="K26" s="21">
        <f>I26*J26</f>
        <v>907.2</v>
      </c>
      <c r="L26" s="22">
        <f>F26^2/162</f>
        <v>0.6172839506172839</v>
      </c>
      <c r="M26" s="21">
        <f>K26*L26</f>
        <v>560.0</v>
      </c>
      <c r="N26" s="22">
        <f>M26/1000</f>
        <v>0.56</v>
      </c>
      <c r="O26" s="13" t="inlineStr">
        <is>
          <t>Elevation + BBS length</t>
        </is>
      </c>
    </row>
    <row r="27">
      <c r="A27" s="13" t="n">
        <v>22</v>
      </c>
      <c r="B27" s="13" t="inlineStr">
        <is>
          <t>Columns</t>
        </is>
      </c>
      <c r="C27" s="13" t="inlineStr">
        <is>
          <t>STR-010</t>
        </is>
      </c>
      <c r="D27" s="13" t="inlineStr">
        <is>
          <t>COL-02B (6 nos) 4th to 5th - main bars</t>
        </is>
      </c>
      <c r="E27" s="19" t="inlineStr">
        <is>
          <t>2001</t>
        </is>
      </c>
      <c r="F27" s="19" t="n">
        <v>20</v>
      </c>
      <c r="G27" s="19" t="n">
        <v>6</v>
      </c>
      <c r="H27" s="19" t="n">
        <v>18</v>
      </c>
      <c r="I27" s="13">
        <f>G27*H27</f>
        <v>108.0</v>
      </c>
      <c r="J27" s="20">
        <f>4500/1000</f>
        <v>4.5</v>
      </c>
      <c r="K27" s="21">
        <f>I27*J27</f>
        <v>486.0</v>
      </c>
      <c r="L27" s="22">
        <f>F27^2/162</f>
        <v>2.4691358024691357</v>
      </c>
      <c r="M27" s="21">
        <f>K27*L27</f>
        <v>1200.0</v>
      </c>
      <c r="N27" s="22">
        <f>M27/1000</f>
        <v>1.2</v>
      </c>
      <c r="O27" s="13" t="inlineStr">
        <is>
          <t>Elevation + BBS length</t>
        </is>
      </c>
    </row>
    <row r="28">
      <c r="A28" s="13" t="n">
        <v>23</v>
      </c>
      <c r="B28" s="13" t="inlineStr">
        <is>
          <t>Columns</t>
        </is>
      </c>
      <c r="C28" s="13" t="inlineStr">
        <is>
          <t>STR-011</t>
        </is>
      </c>
      <c r="D28" s="13" t="inlineStr">
        <is>
          <t>COL-02C (1 nos) 4th to 5th - links</t>
        </is>
      </c>
      <c r="E28" s="19" t="inlineStr">
        <is>
          <t>1004</t>
        </is>
      </c>
      <c r="F28" s="19" t="n">
        <v>10</v>
      </c>
      <c r="G28" s="19" t="n">
        <v>1</v>
      </c>
      <c r="H28" s="19" t="n">
        <v>30</v>
      </c>
      <c r="I28" s="13">
        <f>G28*H28</f>
        <v>30.0</v>
      </c>
      <c r="J28" s="20">
        <f>2910/1000</f>
        <v>2.91</v>
      </c>
      <c r="K28" s="21">
        <f>I28*J28</f>
        <v>87.30000000000001</v>
      </c>
      <c r="L28" s="22">
        <f>F28^2/162</f>
        <v>0.6172839506172839</v>
      </c>
      <c r="M28" s="21">
        <f>K28*L28</f>
        <v>53.88888888888889</v>
      </c>
      <c r="N28" s="22">
        <f>M28/1000</f>
        <v>0.053888888888888896</v>
      </c>
      <c r="O28" s="13" t="inlineStr">
        <is>
          <t>Elevation + BBS length</t>
        </is>
      </c>
    </row>
    <row r="29">
      <c r="A29" s="13" t="n">
        <v>24</v>
      </c>
      <c r="B29" s="13" t="inlineStr">
        <is>
          <t>Columns</t>
        </is>
      </c>
      <c r="C29" s="13" t="inlineStr">
        <is>
          <t>STR-011</t>
        </is>
      </c>
      <c r="D29" s="13" t="inlineStr">
        <is>
          <t>COL-02C (1 nos) 4th to 5th - links</t>
        </is>
      </c>
      <c r="E29" s="19" t="inlineStr">
        <is>
          <t>1005</t>
        </is>
      </c>
      <c r="F29" s="19" t="n">
        <v>10</v>
      </c>
      <c r="G29" s="19" t="n">
        <v>1</v>
      </c>
      <c r="H29" s="19">
        <f>3*30</f>
        <v>90.0</v>
      </c>
      <c r="I29" s="13">
        <f>G29*H29</f>
        <v>90.0</v>
      </c>
      <c r="J29" s="20">
        <f>1008/1000</f>
        <v>1.008</v>
      </c>
      <c r="K29" s="21">
        <f>I29*J29</f>
        <v>90.72</v>
      </c>
      <c r="L29" s="22">
        <f>F29^2/162</f>
        <v>0.6172839506172839</v>
      </c>
      <c r="M29" s="21">
        <f>K29*L29</f>
        <v>55.99999999999999</v>
      </c>
      <c r="N29" s="22">
        <f>M29/1000</f>
        <v>0.055999999999999994</v>
      </c>
      <c r="O29" s="13" t="inlineStr">
        <is>
          <t>Elevation + BBS length</t>
        </is>
      </c>
    </row>
    <row r="30">
      <c r="A30" s="13" t="n">
        <v>25</v>
      </c>
      <c r="B30" s="13" t="inlineStr">
        <is>
          <t>Columns</t>
        </is>
      </c>
      <c r="C30" s="13" t="inlineStr">
        <is>
          <t>STR-011</t>
        </is>
      </c>
      <c r="D30" s="13" t="inlineStr">
        <is>
          <t>COL-02C (1 nos) 4th to 5th - main bars</t>
        </is>
      </c>
      <c r="E30" s="19" t="inlineStr">
        <is>
          <t>2001</t>
        </is>
      </c>
      <c r="F30" s="19" t="n">
        <v>20</v>
      </c>
      <c r="G30" s="19" t="n">
        <v>1</v>
      </c>
      <c r="H30" s="19" t="n">
        <v>18</v>
      </c>
      <c r="I30" s="13">
        <f>G30*H30</f>
        <v>18.0</v>
      </c>
      <c r="J30" s="20">
        <f>4500/1000</f>
        <v>4.5</v>
      </c>
      <c r="K30" s="21">
        <f>I30*J30</f>
        <v>81.0</v>
      </c>
      <c r="L30" s="22">
        <f>F30^2/162</f>
        <v>2.4691358024691357</v>
      </c>
      <c r="M30" s="21">
        <f>K30*L30</f>
        <v>200.0</v>
      </c>
      <c r="N30" s="22">
        <f>M30/1000</f>
        <v>0.2</v>
      </c>
      <c r="O30" s="13" t="inlineStr">
        <is>
          <t>Elevation + BBS length</t>
        </is>
      </c>
    </row>
    <row r="31">
      <c r="A31" s="13" t="n">
        <v>26</v>
      </c>
      <c r="B31" s="13" t="inlineStr">
        <is>
          <t>Columns</t>
        </is>
      </c>
      <c r="C31" s="13" t="inlineStr">
        <is>
          <t>STR-011</t>
        </is>
      </c>
      <c r="D31" s="13" t="inlineStr">
        <is>
          <t>COL-02D (15 nos) 4th to 5th - links</t>
        </is>
      </c>
      <c r="E31" s="19" t="inlineStr">
        <is>
          <t>1004</t>
        </is>
      </c>
      <c r="F31" s="19" t="n">
        <v>10</v>
      </c>
      <c r="G31" s="19" t="n">
        <v>15</v>
      </c>
      <c r="H31" s="19" t="n">
        <v>30</v>
      </c>
      <c r="I31" s="13">
        <f>G31*H31</f>
        <v>450.0</v>
      </c>
      <c r="J31" s="20">
        <f>2910/1000</f>
        <v>2.91</v>
      </c>
      <c r="K31" s="21">
        <f>I31*J31</f>
        <v>1309.5</v>
      </c>
      <c r="L31" s="22">
        <f>F31^2/162</f>
        <v>0.6172839506172839</v>
      </c>
      <c r="M31" s="21">
        <f>K31*L31</f>
        <v>808.3333333333333</v>
      </c>
      <c r="N31" s="22">
        <f>M31/1000</f>
        <v>0.8083333333333332</v>
      </c>
      <c r="O31" s="13" t="inlineStr">
        <is>
          <t>Elevation + BBS length</t>
        </is>
      </c>
    </row>
    <row r="32">
      <c r="A32" s="13" t="n">
        <v>27</v>
      </c>
      <c r="B32" s="13" t="inlineStr">
        <is>
          <t>Columns</t>
        </is>
      </c>
      <c r="C32" s="13" t="inlineStr">
        <is>
          <t>STR-011</t>
        </is>
      </c>
      <c r="D32" s="13" t="inlineStr">
        <is>
          <t>COL-02D (15 nos) 4th to 5th - links</t>
        </is>
      </c>
      <c r="E32" s="19" t="inlineStr">
        <is>
          <t>1005</t>
        </is>
      </c>
      <c r="F32" s="19" t="n">
        <v>10</v>
      </c>
      <c r="G32" s="19" t="n">
        <v>15</v>
      </c>
      <c r="H32" s="19">
        <f>3*30</f>
        <v>90.0</v>
      </c>
      <c r="I32" s="13">
        <f>G32*H32</f>
        <v>1350.0</v>
      </c>
      <c r="J32" s="20">
        <f>1008/1000</f>
        <v>1.008</v>
      </c>
      <c r="K32" s="21">
        <f>I32*J32</f>
        <v>1360.8</v>
      </c>
      <c r="L32" s="22">
        <f>F32^2/162</f>
        <v>0.6172839506172839</v>
      </c>
      <c r="M32" s="21">
        <f>K32*L32</f>
        <v>839.9999999999999</v>
      </c>
      <c r="N32" s="22">
        <f>M32/1000</f>
        <v>0.8399999999999999</v>
      </c>
      <c r="O32" s="13" t="inlineStr">
        <is>
          <t>Elevation + BBS length</t>
        </is>
      </c>
    </row>
    <row r="33">
      <c r="A33" s="13" t="n">
        <v>28</v>
      </c>
      <c r="B33" s="13" t="inlineStr">
        <is>
          <t>Columns</t>
        </is>
      </c>
      <c r="C33" s="13" t="inlineStr">
        <is>
          <t>STR-011</t>
        </is>
      </c>
      <c r="D33" s="13" t="inlineStr">
        <is>
          <t>COL-02D (15 nos) 4th to 5th - main bars</t>
        </is>
      </c>
      <c r="E33" s="19" t="inlineStr">
        <is>
          <t>2001</t>
        </is>
      </c>
      <c r="F33" s="19" t="n">
        <v>20</v>
      </c>
      <c r="G33" s="19" t="n">
        <v>15</v>
      </c>
      <c r="H33" s="19" t="n">
        <v>18</v>
      </c>
      <c r="I33" s="13">
        <f>G33*H33</f>
        <v>270.0</v>
      </c>
      <c r="J33" s="20">
        <f>4500/1000</f>
        <v>4.5</v>
      </c>
      <c r="K33" s="21">
        <f>I33*J33</f>
        <v>1215.0</v>
      </c>
      <c r="L33" s="22">
        <f>F33^2/162</f>
        <v>2.4691358024691357</v>
      </c>
      <c r="M33" s="21">
        <f>K33*L33</f>
        <v>3000.0</v>
      </c>
      <c r="N33" s="22">
        <f>M33/1000</f>
        <v>3.0</v>
      </c>
      <c r="O33" s="13" t="inlineStr">
        <is>
          <t>Elevation + BBS length</t>
        </is>
      </c>
    </row>
    <row r="34">
      <c r="A34" s="13" t="n">
        <v>29</v>
      </c>
      <c r="B34" s="13" t="inlineStr">
        <is>
          <t>Columns</t>
        </is>
      </c>
      <c r="C34" s="13" t="inlineStr">
        <is>
          <t>STR-012</t>
        </is>
      </c>
      <c r="D34" s="13" t="inlineStr">
        <is>
          <t>SWC-01A (1 nos) 4th to 5th - links</t>
        </is>
      </c>
      <c r="E34" s="19" t="inlineStr">
        <is>
          <t>1001</t>
        </is>
      </c>
      <c r="F34" s="19" t="n">
        <v>10</v>
      </c>
      <c r="G34" s="19" t="n">
        <v>1</v>
      </c>
      <c r="H34" s="19" t="n">
        <v>30</v>
      </c>
      <c r="I34" s="13">
        <f>G34*H34</f>
        <v>30.0</v>
      </c>
      <c r="J34" s="20">
        <f>5930/1000</f>
        <v>5.93</v>
      </c>
      <c r="K34" s="21">
        <f>I34*J34</f>
        <v>177.89999999999998</v>
      </c>
      <c r="L34" s="22">
        <f>F34^2/162</f>
        <v>0.6172839506172839</v>
      </c>
      <c r="M34" s="21">
        <f>K34*L34</f>
        <v>109.8148148148148</v>
      </c>
      <c r="N34" s="22">
        <f>M34/1000</f>
        <v>0.1098148148148148</v>
      </c>
      <c r="O34" s="13" t="inlineStr">
        <is>
          <t>Elevation + BBS length</t>
        </is>
      </c>
    </row>
    <row r="35">
      <c r="A35" s="13" t="n">
        <v>30</v>
      </c>
      <c r="B35" s="13" t="inlineStr">
        <is>
          <t>Columns</t>
        </is>
      </c>
      <c r="C35" s="13" t="inlineStr">
        <is>
          <t>STR-012</t>
        </is>
      </c>
      <c r="D35" s="13" t="inlineStr">
        <is>
          <t>SWC-01A (1 nos) 4th to 5th - links</t>
        </is>
      </c>
      <c r="E35" s="19" t="inlineStr">
        <is>
          <t>1002</t>
        </is>
      </c>
      <c r="F35" s="19" t="n">
        <v>10</v>
      </c>
      <c r="G35" s="19" t="n">
        <v>1</v>
      </c>
      <c r="H35" s="19" t="n">
        <v>30</v>
      </c>
      <c r="I35" s="13">
        <f>G35*H35</f>
        <v>30.0</v>
      </c>
      <c r="J35" s="20">
        <f>2480/1000</f>
        <v>2.48</v>
      </c>
      <c r="K35" s="21">
        <f>I35*J35</f>
        <v>74.4</v>
      </c>
      <c r="L35" s="22">
        <f>F35^2/162</f>
        <v>0.6172839506172839</v>
      </c>
      <c r="M35" s="21">
        <f>K35*L35</f>
        <v>45.925925925925924</v>
      </c>
      <c r="N35" s="22">
        <f>M35/1000</f>
        <v>0.045925925925925926</v>
      </c>
      <c r="O35" s="13" t="inlineStr">
        <is>
          <t>Elevation + BBS length</t>
        </is>
      </c>
    </row>
    <row r="36">
      <c r="A36" s="13" t="n">
        <v>31</v>
      </c>
      <c r="B36" s="13" t="inlineStr">
        <is>
          <t>Columns</t>
        </is>
      </c>
      <c r="C36" s="13" t="inlineStr">
        <is>
          <t>STR-012</t>
        </is>
      </c>
      <c r="D36" s="13" t="inlineStr">
        <is>
          <t>SWC-01A (1 nos) 4th to 5th - links</t>
        </is>
      </c>
      <c r="E36" s="19" t="inlineStr">
        <is>
          <t>1003</t>
        </is>
      </c>
      <c r="F36" s="19" t="n">
        <v>10</v>
      </c>
      <c r="G36" s="19" t="n">
        <v>1</v>
      </c>
      <c r="H36" s="19">
        <f>7*30</f>
        <v>210.0</v>
      </c>
      <c r="I36" s="13">
        <f>G36*H36</f>
        <v>210.0</v>
      </c>
      <c r="J36" s="20">
        <f>910/1000</f>
        <v>0.91</v>
      </c>
      <c r="K36" s="21">
        <f>I36*J36</f>
        <v>191.1</v>
      </c>
      <c r="L36" s="22">
        <f>F36^2/162</f>
        <v>0.6172839506172839</v>
      </c>
      <c r="M36" s="21">
        <f>K36*L36</f>
        <v>117.96296296296295</v>
      </c>
      <c r="N36" s="22">
        <f>M36/1000</f>
        <v>0.11796296296296295</v>
      </c>
      <c r="O36" s="13" t="inlineStr">
        <is>
          <t>Elevation + BBS length</t>
        </is>
      </c>
    </row>
    <row r="37">
      <c r="A37" s="13" t="n">
        <v>32</v>
      </c>
      <c r="B37" s="13" t="inlineStr">
        <is>
          <t>Columns</t>
        </is>
      </c>
      <c r="C37" s="13" t="inlineStr">
        <is>
          <t>STR-012</t>
        </is>
      </c>
      <c r="D37" s="13" t="inlineStr">
        <is>
          <t>SWC-01A (1 nos) 4th to 5th - links</t>
        </is>
      </c>
      <c r="E37" s="19" t="inlineStr">
        <is>
          <t>1004</t>
        </is>
      </c>
      <c r="F37" s="19" t="n">
        <v>10</v>
      </c>
      <c r="G37" s="19" t="n">
        <v>1</v>
      </c>
      <c r="H37" s="19">
        <f>4*30</f>
        <v>120.0</v>
      </c>
      <c r="I37" s="13">
        <f>G37*H37</f>
        <v>120.0</v>
      </c>
      <c r="J37" s="20">
        <f>770/1000</f>
        <v>0.77</v>
      </c>
      <c r="K37" s="21">
        <f>I37*J37</f>
        <v>92.4</v>
      </c>
      <c r="L37" s="22">
        <f>F37^2/162</f>
        <v>0.6172839506172839</v>
      </c>
      <c r="M37" s="21">
        <f>K37*L37</f>
        <v>57.03703703703704</v>
      </c>
      <c r="N37" s="22">
        <f>M37/1000</f>
        <v>0.05703703703703704</v>
      </c>
      <c r="O37" s="13" t="inlineStr">
        <is>
          <t>Elevation + BBS length</t>
        </is>
      </c>
    </row>
    <row r="38">
      <c r="A38" s="13" t="n">
        <v>33</v>
      </c>
      <c r="B38" s="13" t="inlineStr">
        <is>
          <t>Columns</t>
        </is>
      </c>
      <c r="C38" s="13" t="inlineStr">
        <is>
          <t>STR-012</t>
        </is>
      </c>
      <c r="D38" s="13" t="inlineStr">
        <is>
          <t>SWC-01A (1 nos) 4th to 5th - main bars</t>
        </is>
      </c>
      <c r="E38" s="19" t="inlineStr">
        <is>
          <t>2001</t>
        </is>
      </c>
      <c r="F38" s="19" t="n">
        <v>20</v>
      </c>
      <c r="G38" s="19" t="n">
        <v>1</v>
      </c>
      <c r="H38" s="19" t="n">
        <v>48</v>
      </c>
      <c r="I38" s="13">
        <f>G38*H38</f>
        <v>48.0</v>
      </c>
      <c r="J38" s="20">
        <f>4500/1000</f>
        <v>4.5</v>
      </c>
      <c r="K38" s="21">
        <f>I38*J38</f>
        <v>216.0</v>
      </c>
      <c r="L38" s="22">
        <f>F38^2/162</f>
        <v>2.4691358024691357</v>
      </c>
      <c r="M38" s="21">
        <f>K38*L38</f>
        <v>533.3333333333333</v>
      </c>
      <c r="N38" s="22">
        <f>M38/1000</f>
        <v>0.5333333333333332</v>
      </c>
      <c r="O38" s="13" t="inlineStr">
        <is>
          <t>Elevation + BBS length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STR-015/016</t>
        </is>
      </c>
      <c r="D39" s="13" t="inlineStr">
        <is>
          <t>Main core CW-01 (L=3600mm) 4th to 5th - horizontal Y12@150 NF/FF</t>
        </is>
      </c>
      <c r="E39" s="19" t="inlineStr">
        <is>
          <t>H-Y12</t>
        </is>
      </c>
      <c r="F39" s="19" t="n">
        <v>12</v>
      </c>
      <c r="G39" s="19" t="n">
        <v>1</v>
      </c>
      <c r="H39" s="19">
        <f>2*20</f>
        <v>40.0</v>
      </c>
      <c r="I39" s="13">
        <f>G39*H39</f>
        <v>40.0</v>
      </c>
      <c r="J39" s="20">
        <f>(3600-2*30+40*12)/1000</f>
        <v>4.02</v>
      </c>
      <c r="K39" s="21">
        <f>I39*J39</f>
        <v>160.79999999999998</v>
      </c>
      <c r="L39" s="22">
        <f>F39^2/162</f>
        <v>0.8888888888888888</v>
      </c>
      <c r="M39" s="21">
        <f>K39*L39</f>
        <v>142.9333333333333</v>
      </c>
      <c r="N39" s="22">
        <f>M39/1000</f>
        <v>0.1429333333333333</v>
      </c>
      <c r="O39" s="13" t="inlineStr">
        <is>
          <t>Elevation count / plan length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STR-015/016</t>
        </is>
      </c>
      <c r="D40" s="13" t="inlineStr">
        <is>
          <t>Main core CW-01 4th to 5th - vertical Y20@150 NF/FF</t>
        </is>
      </c>
      <c r="E40" s="19" t="inlineStr">
        <is>
          <t>V-Y20</t>
        </is>
      </c>
      <c r="F40" s="19" t="n">
        <v>20</v>
      </c>
      <c r="G40" s="19" t="n">
        <v>1</v>
      </c>
      <c r="H40" s="19">
        <f>2*29</f>
        <v>58.0</v>
      </c>
      <c r="I40" s="13">
        <f>G40*H40</f>
        <v>58.0</v>
      </c>
      <c r="J40" s="20">
        <f>(3300+40*20)/1000</f>
        <v>4.1</v>
      </c>
      <c r="K40" s="21">
        <f>I40*J40</f>
        <v>237.79999999999998</v>
      </c>
      <c r="L40" s="22">
        <f>F40^2/162</f>
        <v>2.4691358024691357</v>
      </c>
      <c r="M40" s="21">
        <f>K40*L40</f>
        <v>587.1604938271604</v>
      </c>
      <c r="N40" s="22">
        <f>M40/1000</f>
        <v>0.5871604938271604</v>
      </c>
      <c r="O40" s="13" t="inlineStr">
        <is>
          <t>Elevation / plan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STR-015/016</t>
        </is>
      </c>
      <c r="D41" s="13" t="inlineStr">
        <is>
          <t>Main core CW-05 (L=7250mm) 4th to 5th - horizontal Y12@150 NF/FF</t>
        </is>
      </c>
      <c r="E41" s="19" t="inlineStr">
        <is>
          <t>H-Y12</t>
        </is>
      </c>
      <c r="F41" s="19" t="n">
        <v>12</v>
      </c>
      <c r="G41" s="19" t="n">
        <v>1</v>
      </c>
      <c r="H41" s="19">
        <f>2*20</f>
        <v>40.0</v>
      </c>
      <c r="I41" s="13">
        <f>G41*H41</f>
        <v>40.0</v>
      </c>
      <c r="J41" s="20">
        <f>(7250-2*30+40*12)/1000</f>
        <v>7.67</v>
      </c>
      <c r="K41" s="21">
        <f>I41*J41</f>
        <v>306.8</v>
      </c>
      <c r="L41" s="22">
        <f>F41^2/162</f>
        <v>0.8888888888888888</v>
      </c>
      <c r="M41" s="21">
        <f>K41*L41</f>
        <v>272.7111111111111</v>
      </c>
      <c r="N41" s="22">
        <f>M41/1000</f>
        <v>0.2727111111111111</v>
      </c>
      <c r="O41" s="13" t="inlineStr">
        <is>
          <t>Elevation count / plan length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STR-015/016</t>
        </is>
      </c>
      <c r="D42" s="13" t="inlineStr">
        <is>
          <t>Main core CW-05 4th to 5th - vertical Y20@150 NF/FF</t>
        </is>
      </c>
      <c r="E42" s="19" t="inlineStr">
        <is>
          <t>V-Y20</t>
        </is>
      </c>
      <c r="F42" s="19" t="n">
        <v>20</v>
      </c>
      <c r="G42" s="19" t="n">
        <v>1</v>
      </c>
      <c r="H42" s="19">
        <f>2*(ROUNDUP(7250/150,0)+1)</f>
        <v>100.0</v>
      </c>
      <c r="I42" s="13">
        <f>G42*H42</f>
        <v>100.0</v>
      </c>
      <c r="J42" s="20">
        <f>(3300+40*20)/1000</f>
        <v>4.1</v>
      </c>
      <c r="K42" s="21">
        <f>I42*J42</f>
        <v>409.99999999999994</v>
      </c>
      <c r="L42" s="22">
        <f>F42^2/162</f>
        <v>2.4691358024691357</v>
      </c>
      <c r="M42" s="21">
        <f>K42*L42</f>
        <v>1012.3456790123455</v>
      </c>
      <c r="N42" s="22">
        <f>M42/1000</f>
        <v>1.0123456790123455</v>
      </c>
      <c r="O42" s="13" t="inlineStr">
        <is>
          <t>Elevation / plan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STR-015/016</t>
        </is>
      </c>
      <c r="D43" s="13" t="inlineStr">
        <is>
          <t>Main core CW-07 (stair section) (L=7250mm) 4th to 5th - horizontal Y12@150 NF/FF</t>
        </is>
      </c>
      <c r="E43" s="19" t="inlineStr">
        <is>
          <t>H-Y12</t>
        </is>
      </c>
      <c r="F43" s="19" t="n">
        <v>12</v>
      </c>
      <c r="G43" s="19" t="n">
        <v>1</v>
      </c>
      <c r="H43" s="19">
        <f>2*20</f>
        <v>40.0</v>
      </c>
      <c r="I43" s="13">
        <f>G43*H43</f>
        <v>40.0</v>
      </c>
      <c r="J43" s="20">
        <f>(7250-2*30+40*12)/1000</f>
        <v>7.67</v>
      </c>
      <c r="K43" s="21">
        <f>I43*J43</f>
        <v>306.8</v>
      </c>
      <c r="L43" s="22">
        <f>F43^2/162</f>
        <v>0.8888888888888888</v>
      </c>
      <c r="M43" s="21">
        <f>K43*L43</f>
        <v>272.7111111111111</v>
      </c>
      <c r="N43" s="22">
        <f>M43/1000</f>
        <v>0.2727111111111111</v>
      </c>
      <c r="O43" s="13" t="inlineStr">
        <is>
          <t>Elevation count / plan length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STR-015/016</t>
        </is>
      </c>
      <c r="D44" s="13" t="inlineStr">
        <is>
          <t>Main core CW-07 (stair section) 4th to 5th - vertical Y20@150 NF/FF</t>
        </is>
      </c>
      <c r="E44" s="19" t="inlineStr">
        <is>
          <t>V-Y20</t>
        </is>
      </c>
      <c r="F44" s="19" t="n">
        <v>20</v>
      </c>
      <c r="G44" s="19" t="n">
        <v>1</v>
      </c>
      <c r="H44" s="19">
        <f>2*(ROUNDUP(7250/150,0)+1)</f>
        <v>100.0</v>
      </c>
      <c r="I44" s="13">
        <f>G44*H44</f>
        <v>100.0</v>
      </c>
      <c r="J44" s="20">
        <f>(3300+40*20)/1000</f>
        <v>4.1</v>
      </c>
      <c r="K44" s="21">
        <f>I44*J44</f>
        <v>409.99999999999994</v>
      </c>
      <c r="L44" s="22">
        <f>F44^2/162</f>
        <v>2.4691358024691357</v>
      </c>
      <c r="M44" s="21">
        <f>K44*L44</f>
        <v>1012.3456790123455</v>
      </c>
      <c r="N44" s="22">
        <f>M44/1000</f>
        <v>1.0123456790123455</v>
      </c>
      <c r="O44" s="13" t="inlineStr">
        <is>
          <t>Elevation / plan</t>
        </is>
      </c>
    </row>
    <row r="45">
      <c r="A45" s="13" t="n">
        <v>40</v>
      </c>
      <c r="B45" s="13" t="inlineStr">
        <is>
          <t>Shear Walls</t>
        </is>
      </c>
      <c r="C45" s="13" t="inlineStr">
        <is>
          <t>STR-015/016</t>
        </is>
      </c>
      <c r="D45" s="13" t="inlineStr">
        <is>
          <t>Main core CW-09 (L=1150mm) 4th to 5th - horizontal Y12@150 NF/FF</t>
        </is>
      </c>
      <c r="E45" s="19" t="inlineStr">
        <is>
          <t>H-Y12</t>
        </is>
      </c>
      <c r="F45" s="19" t="n">
        <v>12</v>
      </c>
      <c r="G45" s="19" t="n">
        <v>1</v>
      </c>
      <c r="H45" s="19">
        <f>2*20</f>
        <v>40.0</v>
      </c>
      <c r="I45" s="13">
        <f>G45*H45</f>
        <v>40.0</v>
      </c>
      <c r="J45" s="20">
        <f>(1150-2*30+40*12)/1000</f>
        <v>1.57</v>
      </c>
      <c r="K45" s="21">
        <f>I45*J45</f>
        <v>62.800000000000004</v>
      </c>
      <c r="L45" s="22">
        <f>F45^2/162</f>
        <v>0.8888888888888888</v>
      </c>
      <c r="M45" s="21">
        <f>K45*L45</f>
        <v>55.82222222222222</v>
      </c>
      <c r="N45" s="22">
        <f>M45/1000</f>
        <v>0.055822222222222224</v>
      </c>
      <c r="O45" s="13" t="inlineStr">
        <is>
          <t>Elevation count / plan length</t>
        </is>
      </c>
    </row>
    <row r="46">
      <c r="A46" s="13" t="n">
        <v>41</v>
      </c>
      <c r="B46" s="13" t="inlineStr">
        <is>
          <t>Shear Walls</t>
        </is>
      </c>
      <c r="C46" s="13" t="inlineStr">
        <is>
          <t>STR-015/016</t>
        </is>
      </c>
      <c r="D46" s="13" t="inlineStr">
        <is>
          <t>Main core CW-09 4th to 5th - vertical Y20@150 NF/FF</t>
        </is>
      </c>
      <c r="E46" s="19" t="inlineStr">
        <is>
          <t>V-Y20</t>
        </is>
      </c>
      <c r="F46" s="19" t="n">
        <v>20</v>
      </c>
      <c r="G46" s="19" t="n">
        <v>1</v>
      </c>
      <c r="H46" s="19">
        <f>2*(ROUNDUP(1150/150,0)+1)</f>
        <v>18.0</v>
      </c>
      <c r="I46" s="13">
        <f>G46*H46</f>
        <v>18.0</v>
      </c>
      <c r="J46" s="20">
        <f>(3300+40*20)/1000</f>
        <v>4.1</v>
      </c>
      <c r="K46" s="21">
        <f>I46*J46</f>
        <v>73.8</v>
      </c>
      <c r="L46" s="22">
        <f>F46^2/162</f>
        <v>2.4691358024691357</v>
      </c>
      <c r="M46" s="21">
        <f>K46*L46</f>
        <v>182.2222222222222</v>
      </c>
      <c r="N46" s="22">
        <f>M46/1000</f>
        <v>0.1822222222222222</v>
      </c>
      <c r="O46" s="13" t="inlineStr">
        <is>
          <t>Elevation / plan</t>
        </is>
      </c>
    </row>
    <row r="47">
      <c r="A47" s="13" t="n">
        <v>42</v>
      </c>
      <c r="B47" s="13" t="inlineStr">
        <is>
          <t>Shear Walls</t>
        </is>
      </c>
      <c r="C47" s="13" t="inlineStr">
        <is>
          <t>STR-015/016</t>
        </is>
      </c>
      <c r="D47" s="13" t="inlineStr">
        <is>
          <t>Main core CW-10 (L=1150mm) 4th to 5th - horizontal Y12@150 NF/FF</t>
        </is>
      </c>
      <c r="E47" s="19" t="inlineStr">
        <is>
          <t>H-Y12</t>
        </is>
      </c>
      <c r="F47" s="19" t="n">
        <v>12</v>
      </c>
      <c r="G47" s="19" t="n">
        <v>1</v>
      </c>
      <c r="H47" s="19">
        <f>2*20</f>
        <v>40.0</v>
      </c>
      <c r="I47" s="13">
        <f>G47*H47</f>
        <v>40.0</v>
      </c>
      <c r="J47" s="20">
        <f>(1150-2*30+40*12)/1000</f>
        <v>1.57</v>
      </c>
      <c r="K47" s="21">
        <f>I47*J47</f>
        <v>62.800000000000004</v>
      </c>
      <c r="L47" s="22">
        <f>F47^2/162</f>
        <v>0.8888888888888888</v>
      </c>
      <c r="M47" s="21">
        <f>K47*L47</f>
        <v>55.82222222222222</v>
      </c>
      <c r="N47" s="22">
        <f>M47/1000</f>
        <v>0.055822222222222224</v>
      </c>
      <c r="O47" s="13" t="inlineStr">
        <is>
          <t>Elevation count / plan length</t>
        </is>
      </c>
    </row>
    <row r="48">
      <c r="A48" s="13" t="n">
        <v>43</v>
      </c>
      <c r="B48" s="13" t="inlineStr">
        <is>
          <t>Shear Walls</t>
        </is>
      </c>
      <c r="C48" s="13" t="inlineStr">
        <is>
          <t>STR-015/016</t>
        </is>
      </c>
      <c r="D48" s="13" t="inlineStr">
        <is>
          <t>Main core CW-10 4th to 5th - vertical Y20@150 NF/FF</t>
        </is>
      </c>
      <c r="E48" s="19" t="inlineStr">
        <is>
          <t>V-Y20</t>
        </is>
      </c>
      <c r="F48" s="19" t="n">
        <v>20</v>
      </c>
      <c r="G48" s="19" t="n">
        <v>1</v>
      </c>
      <c r="H48" s="19">
        <f>2*(ROUNDUP(1150/150,0)+1)</f>
        <v>18.0</v>
      </c>
      <c r="I48" s="13">
        <f>G48*H48</f>
        <v>18.0</v>
      </c>
      <c r="J48" s="20">
        <f>(3300+40*20)/1000</f>
        <v>4.1</v>
      </c>
      <c r="K48" s="21">
        <f>I48*J48</f>
        <v>73.8</v>
      </c>
      <c r="L48" s="22">
        <f>F48^2/162</f>
        <v>2.4691358024691357</v>
      </c>
      <c r="M48" s="21">
        <f>K48*L48</f>
        <v>182.2222222222222</v>
      </c>
      <c r="N48" s="22">
        <f>M48/1000</f>
        <v>0.1822222222222222</v>
      </c>
      <c r="O48" s="13" t="inlineStr">
        <is>
          <t>Elevation / plan</t>
        </is>
      </c>
    </row>
    <row r="49">
      <c r="A49" s="13" t="n">
        <v>44</v>
      </c>
      <c r="B49" s="13" t="inlineStr">
        <is>
          <t>Shear Walls</t>
        </is>
      </c>
      <c r="C49" s="13" t="inlineStr">
        <is>
          <t>STR-015/016</t>
        </is>
      </c>
      <c r="D49" s="13" t="inlineStr">
        <is>
          <t>Main core CW-11 (L=1650mm) 4th to 5th - horizontal Y12@150 NF/FF</t>
        </is>
      </c>
      <c r="E49" s="19" t="inlineStr">
        <is>
          <t>H-Y12</t>
        </is>
      </c>
      <c r="F49" s="19" t="n">
        <v>12</v>
      </c>
      <c r="G49" s="19" t="n">
        <v>1</v>
      </c>
      <c r="H49" s="19">
        <f>2*20</f>
        <v>40.0</v>
      </c>
      <c r="I49" s="13">
        <f>G49*H49</f>
        <v>40.0</v>
      </c>
      <c r="J49" s="20">
        <f>(1650-2*30+40*12)/1000</f>
        <v>2.07</v>
      </c>
      <c r="K49" s="21">
        <f>I49*J49</f>
        <v>82.8</v>
      </c>
      <c r="L49" s="22">
        <f>F49^2/162</f>
        <v>0.8888888888888888</v>
      </c>
      <c r="M49" s="21">
        <f>K49*L49</f>
        <v>73.6</v>
      </c>
      <c r="N49" s="22">
        <f>M49/1000</f>
        <v>0.0736</v>
      </c>
      <c r="O49" s="13" t="inlineStr">
        <is>
          <t>Elevation count / plan length</t>
        </is>
      </c>
    </row>
    <row r="50">
      <c r="A50" s="13" t="n">
        <v>45</v>
      </c>
      <c r="B50" s="13" t="inlineStr">
        <is>
          <t>Shear Walls</t>
        </is>
      </c>
      <c r="C50" s="13" t="inlineStr">
        <is>
          <t>STR-015/016</t>
        </is>
      </c>
      <c r="D50" s="13" t="inlineStr">
        <is>
          <t>Main core CW-11 4th to 5th - vertical Y20@150 NF/FF</t>
        </is>
      </c>
      <c r="E50" s="19" t="inlineStr">
        <is>
          <t>V-Y20</t>
        </is>
      </c>
      <c r="F50" s="19" t="n">
        <v>20</v>
      </c>
      <c r="G50" s="19" t="n">
        <v>1</v>
      </c>
      <c r="H50" s="19">
        <f>2*(ROUNDUP(1650/150,0)+1)</f>
        <v>24.0</v>
      </c>
      <c r="I50" s="13">
        <f>G50*H50</f>
        <v>24.0</v>
      </c>
      <c r="J50" s="20">
        <f>(3300+40*20)/1000</f>
        <v>4.1</v>
      </c>
      <c r="K50" s="21">
        <f>I50*J50</f>
        <v>98.39999999999999</v>
      </c>
      <c r="L50" s="22">
        <f>F50^2/162</f>
        <v>2.4691358024691357</v>
      </c>
      <c r="M50" s="21">
        <f>K50*L50</f>
        <v>242.96296296296293</v>
      </c>
      <c r="N50" s="22">
        <f>M50/1000</f>
        <v>0.24296296296296294</v>
      </c>
      <c r="O50" s="13" t="inlineStr">
        <is>
          <t>Elevation / plan</t>
        </is>
      </c>
    </row>
    <row r="51">
      <c r="A51" s="13" t="n">
        <v>46</v>
      </c>
      <c r="B51" s="13" t="inlineStr">
        <is>
          <t>Shear Walls</t>
        </is>
      </c>
      <c r="C51" s="13" t="inlineStr">
        <is>
          <t>STR-015/016</t>
        </is>
      </c>
      <c r="D51" s="13" t="inlineStr">
        <is>
          <t>Main core confinement links Y10@150 (26 positions on plan) 4th to 5th</t>
        </is>
      </c>
      <c r="E51" s="19" t="inlineStr">
        <is>
          <t>LNK-Y10</t>
        </is>
      </c>
      <c r="F51" s="19" t="n">
        <v>10</v>
      </c>
      <c r="G51" s="19" t="n">
        <v>1</v>
      </c>
      <c r="H51" s="19">
        <f>26*ROUNDUP(3300/150,0)</f>
        <v>572.0</v>
      </c>
      <c r="I51" s="13">
        <f>G51*H51</f>
        <v>572.0</v>
      </c>
      <c r="J51" s="20">
        <f>1800/1000</f>
        <v>1.8</v>
      </c>
      <c r="K51" s="21">
        <f>I51*J51</f>
        <v>1029.6000000000001</v>
      </c>
      <c r="L51" s="22">
        <f>F51^2/162</f>
        <v>0.6172839506172839</v>
      </c>
      <c r="M51" s="21">
        <f>K51*L51</f>
        <v>635.5555555555557</v>
      </c>
      <c r="N51" s="22">
        <f>M51/1000</f>
        <v>0.6355555555555557</v>
      </c>
      <c r="O51" s="13" t="inlineStr">
        <is>
          <t>Assumed link cut length</t>
        </is>
      </c>
    </row>
    <row r="52">
      <c r="A52" s="13" t="n">
        <v>47</v>
      </c>
      <c r="B52" s="13" t="inlineStr">
        <is>
          <t>Shear Walls</t>
        </is>
      </c>
      <c r="C52" s="13" t="inlineStr">
        <is>
          <t>STR-013/014</t>
        </is>
      </c>
      <c r="D52" s="13" t="inlineStr">
        <is>
          <t>Emergency stair core CW-12 (L=7050mm) 4th to 5th - horizontal Y12@150 NF/FF</t>
        </is>
      </c>
      <c r="E52" s="19" t="inlineStr">
        <is>
          <t>H-Y12</t>
        </is>
      </c>
      <c r="F52" s="19" t="n">
        <v>12</v>
      </c>
      <c r="G52" s="19" t="n">
        <v>1</v>
      </c>
      <c r="H52" s="19">
        <f>2*20</f>
        <v>40.0</v>
      </c>
      <c r="I52" s="13">
        <f>G52*H52</f>
        <v>40.0</v>
      </c>
      <c r="J52" s="20">
        <f>(7050-2*30+40*12)/1000</f>
        <v>7.47</v>
      </c>
      <c r="K52" s="21">
        <f>I52*J52</f>
        <v>298.8</v>
      </c>
      <c r="L52" s="22">
        <f>F52^2/162</f>
        <v>0.8888888888888888</v>
      </c>
      <c r="M52" s="21">
        <f>K52*L52</f>
        <v>265.6</v>
      </c>
      <c r="N52" s="22">
        <f>M52/1000</f>
        <v>0.2656</v>
      </c>
      <c r="O52" s="13" t="inlineStr">
        <is>
          <t>Elevation count / plan length</t>
        </is>
      </c>
    </row>
    <row r="53">
      <c r="A53" s="13" t="n">
        <v>48</v>
      </c>
      <c r="B53" s="13" t="inlineStr">
        <is>
          <t>Shear Walls</t>
        </is>
      </c>
      <c r="C53" s="13" t="inlineStr">
        <is>
          <t>STR-013/014</t>
        </is>
      </c>
      <c r="D53" s="13" t="inlineStr">
        <is>
          <t>Emergency stair core CW-12 4th to 5th - vertical Y20@150 NF/FF</t>
        </is>
      </c>
      <c r="E53" s="19" t="inlineStr">
        <is>
          <t>V-Y20</t>
        </is>
      </c>
      <c r="F53" s="19" t="n">
        <v>20</v>
      </c>
      <c r="G53" s="19" t="n">
        <v>1</v>
      </c>
      <c r="H53" s="19">
        <f>2*(ROUNDUP(7050/150,0)+1)</f>
        <v>96.0</v>
      </c>
      <c r="I53" s="13">
        <f>G53*H53</f>
        <v>96.0</v>
      </c>
      <c r="J53" s="20">
        <f>(3300+40*20)/1000</f>
        <v>4.1</v>
      </c>
      <c r="K53" s="21">
        <f>I53*J53</f>
        <v>393.59999999999997</v>
      </c>
      <c r="L53" s="22">
        <f>F53^2/162</f>
        <v>2.4691358024691357</v>
      </c>
      <c r="M53" s="21">
        <f>K53*L53</f>
        <v>971.8518518518517</v>
      </c>
      <c r="N53" s="22">
        <f>M53/1000</f>
        <v>0.9718518518518517</v>
      </c>
      <c r="O53" s="13" t="inlineStr">
        <is>
          <t>Elevation / plan</t>
        </is>
      </c>
    </row>
    <row r="54">
      <c r="A54" s="13" t="n">
        <v>49</v>
      </c>
      <c r="B54" s="13" t="inlineStr">
        <is>
          <t>Shear Walls</t>
        </is>
      </c>
      <c r="C54" s="13" t="inlineStr">
        <is>
          <t>STR-013/014</t>
        </is>
      </c>
      <c r="D54" s="13" t="inlineStr">
        <is>
          <t>Emergency stair core CW-13 (L=7810mm) 4th to 5th - horizontal Y12@150 NF/FF</t>
        </is>
      </c>
      <c r="E54" s="19" t="inlineStr">
        <is>
          <t>H-Y12</t>
        </is>
      </c>
      <c r="F54" s="19" t="n">
        <v>12</v>
      </c>
      <c r="G54" s="19" t="n">
        <v>1</v>
      </c>
      <c r="H54" s="19">
        <f>2*20</f>
        <v>40.0</v>
      </c>
      <c r="I54" s="13">
        <f>G54*H54</f>
        <v>40.0</v>
      </c>
      <c r="J54" s="20">
        <f>(7810-2*30+40*12)/1000</f>
        <v>8.23</v>
      </c>
      <c r="K54" s="21">
        <f>I54*J54</f>
        <v>329.20000000000005</v>
      </c>
      <c r="L54" s="22">
        <f>F54^2/162</f>
        <v>0.8888888888888888</v>
      </c>
      <c r="M54" s="21">
        <f>K54*L54</f>
        <v>292.62222222222226</v>
      </c>
      <c r="N54" s="22">
        <f>M54/1000</f>
        <v>0.2926222222222223</v>
      </c>
      <c r="O54" s="13" t="inlineStr">
        <is>
          <t>Elevation count / plan length</t>
        </is>
      </c>
    </row>
    <row r="55">
      <c r="A55" s="13" t="n">
        <v>50</v>
      </c>
      <c r="B55" s="13" t="inlineStr">
        <is>
          <t>Shear Walls</t>
        </is>
      </c>
      <c r="C55" s="13" t="inlineStr">
        <is>
          <t>STR-013/014</t>
        </is>
      </c>
      <c r="D55" s="13" t="inlineStr">
        <is>
          <t>Emergency stair core CW-13 4th to 5th - vertical Y20@150 NF/FF</t>
        </is>
      </c>
      <c r="E55" s="19" t="inlineStr">
        <is>
          <t>V-Y20</t>
        </is>
      </c>
      <c r="F55" s="19" t="n">
        <v>20</v>
      </c>
      <c r="G55" s="19" t="n">
        <v>1</v>
      </c>
      <c r="H55" s="19">
        <f>2*52</f>
        <v>104.0</v>
      </c>
      <c r="I55" s="13">
        <f>G55*H55</f>
        <v>104.0</v>
      </c>
      <c r="J55" s="20">
        <f>(3300+40*20)/1000</f>
        <v>4.1</v>
      </c>
      <c r="K55" s="21">
        <f>I55*J55</f>
        <v>426.4</v>
      </c>
      <c r="L55" s="22">
        <f>F55^2/162</f>
        <v>2.4691358024691357</v>
      </c>
      <c r="M55" s="21">
        <f>K55*L55</f>
        <v>1052.8395061728395</v>
      </c>
      <c r="N55" s="22">
        <f>M55/1000</f>
        <v>1.0528395061728395</v>
      </c>
      <c r="O55" s="13" t="inlineStr">
        <is>
          <t>Elevation / plan</t>
        </is>
      </c>
    </row>
    <row r="56">
      <c r="A56" s="13" t="n">
        <v>51</v>
      </c>
      <c r="B56" s="13" t="inlineStr">
        <is>
          <t>Shear Walls</t>
        </is>
      </c>
      <c r="C56" s="13" t="inlineStr">
        <is>
          <t>STR-013/014</t>
        </is>
      </c>
      <c r="D56" s="13" t="inlineStr">
        <is>
          <t>Emergency stair core CW-14 (L=3450mm) 4th to 5th - horizontal Y12@150 NF/FF</t>
        </is>
      </c>
      <c r="E56" s="19" t="inlineStr">
        <is>
          <t>H-Y12</t>
        </is>
      </c>
      <c r="F56" s="19" t="n">
        <v>12</v>
      </c>
      <c r="G56" s="19" t="n">
        <v>1</v>
      </c>
      <c r="H56" s="19">
        <f>2*20</f>
        <v>40.0</v>
      </c>
      <c r="I56" s="13">
        <f>G56*H56</f>
        <v>40.0</v>
      </c>
      <c r="J56" s="20">
        <f>(3450-2*30+40*12)/1000</f>
        <v>3.87</v>
      </c>
      <c r="K56" s="21">
        <f>I56*J56</f>
        <v>154.8</v>
      </c>
      <c r="L56" s="22">
        <f>F56^2/162</f>
        <v>0.8888888888888888</v>
      </c>
      <c r="M56" s="21">
        <f>K56*L56</f>
        <v>137.6</v>
      </c>
      <c r="N56" s="22">
        <f>M56/1000</f>
        <v>0.1376</v>
      </c>
      <c r="O56" s="13" t="inlineStr">
        <is>
          <t>Elevation count / plan length</t>
        </is>
      </c>
    </row>
    <row r="57">
      <c r="A57" s="13" t="n">
        <v>52</v>
      </c>
      <c r="B57" s="13" t="inlineStr">
        <is>
          <t>Shear Walls</t>
        </is>
      </c>
      <c r="C57" s="13" t="inlineStr">
        <is>
          <t>STR-013/014</t>
        </is>
      </c>
      <c r="D57" s="13" t="inlineStr">
        <is>
          <t>Emergency stair core CW-14 4th to 5th - vertical Y20@150 NF/FF</t>
        </is>
      </c>
      <c r="E57" s="19" t="inlineStr">
        <is>
          <t>V-Y20</t>
        </is>
      </c>
      <c r="F57" s="19" t="n">
        <v>20</v>
      </c>
      <c r="G57" s="19" t="n">
        <v>1</v>
      </c>
      <c r="H57" s="19">
        <f>2*(ROUNDUP(3450/150,0)+1)</f>
        <v>48.0</v>
      </c>
      <c r="I57" s="13">
        <f>G57*H57</f>
        <v>48.0</v>
      </c>
      <c r="J57" s="20">
        <f>(3300+40*20)/1000</f>
        <v>4.1</v>
      </c>
      <c r="K57" s="21">
        <f>I57*J57</f>
        <v>196.79999999999998</v>
      </c>
      <c r="L57" s="22">
        <f>F57^2/162</f>
        <v>2.4691358024691357</v>
      </c>
      <c r="M57" s="21">
        <f>K57*L57</f>
        <v>485.92592592592587</v>
      </c>
      <c r="N57" s="22">
        <f>M57/1000</f>
        <v>0.4859259259259259</v>
      </c>
      <c r="O57" s="13" t="inlineStr">
        <is>
          <t>Elevation / plan</t>
        </is>
      </c>
    </row>
    <row r="58">
      <c r="A58" s="13" t="n">
        <v>53</v>
      </c>
      <c r="B58" s="13" t="inlineStr">
        <is>
          <t>Shear Walls</t>
        </is>
      </c>
      <c r="C58" s="13" t="inlineStr">
        <is>
          <t>STR-013/014</t>
        </is>
      </c>
      <c r="D58" s="13" t="inlineStr">
        <is>
          <t>Emergency stair core CW-15 (L=2425mm) 4th to 5th - horizontal Y12@150 NF/FF</t>
        </is>
      </c>
      <c r="E58" s="19" t="inlineStr">
        <is>
          <t>H-Y12</t>
        </is>
      </c>
      <c r="F58" s="19" t="n">
        <v>12</v>
      </c>
      <c r="G58" s="19" t="n">
        <v>1</v>
      </c>
      <c r="H58" s="19">
        <f>2*20</f>
        <v>40.0</v>
      </c>
      <c r="I58" s="13">
        <f>G58*H58</f>
        <v>40.0</v>
      </c>
      <c r="J58" s="20">
        <f>(2425-2*30+40*12)/1000</f>
        <v>2.845</v>
      </c>
      <c r="K58" s="21">
        <f>I58*J58</f>
        <v>113.80000000000001</v>
      </c>
      <c r="L58" s="22">
        <f>F58^2/162</f>
        <v>0.8888888888888888</v>
      </c>
      <c r="M58" s="21">
        <f>K58*L58</f>
        <v>101.15555555555557</v>
      </c>
      <c r="N58" s="22">
        <f>M58/1000</f>
        <v>0.10115555555555557</v>
      </c>
      <c r="O58" s="13" t="inlineStr">
        <is>
          <t>Elevation count / plan length</t>
        </is>
      </c>
    </row>
    <row r="59">
      <c r="A59" s="13" t="n">
        <v>54</v>
      </c>
      <c r="B59" s="13" t="inlineStr">
        <is>
          <t>Shear Walls</t>
        </is>
      </c>
      <c r="C59" s="13" t="inlineStr">
        <is>
          <t>STR-013/014</t>
        </is>
      </c>
      <c r="D59" s="13" t="inlineStr">
        <is>
          <t>Emergency stair core CW-15 4th to 5th - vertical Y20@150 NF/FF</t>
        </is>
      </c>
      <c r="E59" s="19" t="inlineStr">
        <is>
          <t>V-Y20</t>
        </is>
      </c>
      <c r="F59" s="19" t="n">
        <v>20</v>
      </c>
      <c r="G59" s="19" t="n">
        <v>1</v>
      </c>
      <c r="H59" s="19">
        <f>2*(ROUNDUP(2425/150,0)+1)</f>
        <v>36.0</v>
      </c>
      <c r="I59" s="13">
        <f>G59*H59</f>
        <v>36.0</v>
      </c>
      <c r="J59" s="20">
        <f>(3300+40*20)/1000</f>
        <v>4.1</v>
      </c>
      <c r="K59" s="21">
        <f>I59*J59</f>
        <v>147.6</v>
      </c>
      <c r="L59" s="22">
        <f>F59^2/162</f>
        <v>2.4691358024691357</v>
      </c>
      <c r="M59" s="21">
        <f>K59*L59</f>
        <v>364.4444444444444</v>
      </c>
      <c r="N59" s="22">
        <f>M59/1000</f>
        <v>0.3644444444444444</v>
      </c>
      <c r="O59" s="13" t="inlineStr">
        <is>
          <t>Elevation / plan</t>
        </is>
      </c>
    </row>
    <row r="60">
      <c r="A60" s="13" t="n">
        <v>55</v>
      </c>
      <c r="B60" s="13" t="inlineStr">
        <is>
          <t>Shear Walls</t>
        </is>
      </c>
      <c r="C60" s="13" t="inlineStr">
        <is>
          <t>STR-013/014</t>
        </is>
      </c>
      <c r="D60" s="13" t="inlineStr">
        <is>
          <t>Emergency stair core CW-16 (L=775mm) 4th to 5th - horizontal Y12@150 NF/FF</t>
        </is>
      </c>
      <c r="E60" s="19" t="inlineStr">
        <is>
          <t>H-Y12</t>
        </is>
      </c>
      <c r="F60" s="19" t="n">
        <v>12</v>
      </c>
      <c r="G60" s="19" t="n">
        <v>1</v>
      </c>
      <c r="H60" s="19">
        <f>2*20</f>
        <v>40.0</v>
      </c>
      <c r="I60" s="13">
        <f>G60*H60</f>
        <v>40.0</v>
      </c>
      <c r="J60" s="20">
        <f>(775-2*30+40*12)/1000</f>
        <v>1.195</v>
      </c>
      <c r="K60" s="21">
        <f>I60*J60</f>
        <v>47.800000000000004</v>
      </c>
      <c r="L60" s="22">
        <f>F60^2/162</f>
        <v>0.8888888888888888</v>
      </c>
      <c r="M60" s="21">
        <f>K60*L60</f>
        <v>42.48888888888889</v>
      </c>
      <c r="N60" s="22">
        <f>M60/1000</f>
        <v>0.04248888888888889</v>
      </c>
      <c r="O60" s="13" t="inlineStr">
        <is>
          <t>Elevation count / plan length</t>
        </is>
      </c>
    </row>
    <row r="61">
      <c r="A61" s="13" t="n">
        <v>56</v>
      </c>
      <c r="B61" s="13" t="inlineStr">
        <is>
          <t>Shear Walls</t>
        </is>
      </c>
      <c r="C61" s="13" t="inlineStr">
        <is>
          <t>STR-013/014</t>
        </is>
      </c>
      <c r="D61" s="13" t="inlineStr">
        <is>
          <t>Emergency stair core CW-16 4th to 5th - vertical Y20@150 NF/FF</t>
        </is>
      </c>
      <c r="E61" s="19" t="inlineStr">
        <is>
          <t>V-Y20</t>
        </is>
      </c>
      <c r="F61" s="19" t="n">
        <v>20</v>
      </c>
      <c r="G61" s="19" t="n">
        <v>1</v>
      </c>
      <c r="H61" s="19">
        <f>2*(ROUNDUP(775/150,0)+1)</f>
        <v>14.0</v>
      </c>
      <c r="I61" s="13">
        <f>G61*H61</f>
        <v>14.0</v>
      </c>
      <c r="J61" s="20">
        <f>(3300+40*20)/1000</f>
        <v>4.1</v>
      </c>
      <c r="K61" s="21">
        <f>I61*J61</f>
        <v>57.39999999999999</v>
      </c>
      <c r="L61" s="22">
        <f>F61^2/162</f>
        <v>2.4691358024691357</v>
      </c>
      <c r="M61" s="21">
        <f>K61*L61</f>
        <v>141.72839506172838</v>
      </c>
      <c r="N61" s="22">
        <f>M61/1000</f>
        <v>0.14172839506172838</v>
      </c>
      <c r="O61" s="13" t="inlineStr">
        <is>
          <t>Elevation / plan</t>
        </is>
      </c>
    </row>
    <row r="62">
      <c r="A62" s="13" t="n">
        <v>57</v>
      </c>
      <c r="B62" s="13" t="inlineStr">
        <is>
          <t>Shear Walls</t>
        </is>
      </c>
      <c r="C62" s="13" t="inlineStr">
        <is>
          <t>STR-013/014</t>
        </is>
      </c>
      <c r="D62" s="13" t="inlineStr">
        <is>
          <t>Emergency stair core CW-17 (L=360mm) 4th to 5th - horizontal Y12@150 NF/FF</t>
        </is>
      </c>
      <c r="E62" s="19" t="inlineStr">
        <is>
          <t>H-Y12</t>
        </is>
      </c>
      <c r="F62" s="19" t="n">
        <v>12</v>
      </c>
      <c r="G62" s="19" t="n">
        <v>1</v>
      </c>
      <c r="H62" s="19">
        <f>2*20</f>
        <v>40.0</v>
      </c>
      <c r="I62" s="13">
        <f>G62*H62</f>
        <v>40.0</v>
      </c>
      <c r="J62" s="20">
        <f>(360-2*30+40*12)/1000</f>
        <v>0.78</v>
      </c>
      <c r="K62" s="21">
        <f>I62*J62</f>
        <v>31.200000000000003</v>
      </c>
      <c r="L62" s="22">
        <f>F62^2/162</f>
        <v>0.8888888888888888</v>
      </c>
      <c r="M62" s="21">
        <f>K62*L62</f>
        <v>27.733333333333334</v>
      </c>
      <c r="N62" s="22">
        <f>M62/1000</f>
        <v>0.027733333333333336</v>
      </c>
      <c r="O62" s="13" t="inlineStr">
        <is>
          <t>Elevation count / plan length</t>
        </is>
      </c>
    </row>
    <row r="63">
      <c r="A63" s="13" t="n">
        <v>58</v>
      </c>
      <c r="B63" s="13" t="inlineStr">
        <is>
          <t>Shear Walls</t>
        </is>
      </c>
      <c r="C63" s="13" t="inlineStr">
        <is>
          <t>STR-013/014</t>
        </is>
      </c>
      <c r="D63" s="13" t="inlineStr">
        <is>
          <t>Emergency stair core CW-17 4th to 5th - vertical Y20@150 NF/FF</t>
        </is>
      </c>
      <c r="E63" s="19" t="inlineStr">
        <is>
          <t>V-Y20</t>
        </is>
      </c>
      <c r="F63" s="19" t="n">
        <v>20</v>
      </c>
      <c r="G63" s="19" t="n">
        <v>1</v>
      </c>
      <c r="H63" s="19">
        <f>2*(ROUNDUP(360/150,0)+1)</f>
        <v>8.0</v>
      </c>
      <c r="I63" s="13">
        <f>G63*H63</f>
        <v>8.0</v>
      </c>
      <c r="J63" s="20">
        <f>(3300+40*20)/1000</f>
        <v>4.1</v>
      </c>
      <c r="K63" s="21">
        <f>I63*J63</f>
        <v>32.8</v>
      </c>
      <c r="L63" s="22">
        <f>F63^2/162</f>
        <v>2.4691358024691357</v>
      </c>
      <c r="M63" s="21">
        <f>K63*L63</f>
        <v>80.98765432098764</v>
      </c>
      <c r="N63" s="22">
        <f>M63/1000</f>
        <v>0.08098765432098765</v>
      </c>
      <c r="O63" s="13" t="inlineStr">
        <is>
          <t>Elevation / plan</t>
        </is>
      </c>
    </row>
    <row r="64">
      <c r="A64" s="13" t="n">
        <v>59</v>
      </c>
      <c r="B64" s="13" t="inlineStr">
        <is>
          <t>Shear Walls</t>
        </is>
      </c>
      <c r="C64" s="13" t="inlineStr">
        <is>
          <t>STR-013/014</t>
        </is>
      </c>
      <c r="D64" s="13" t="inlineStr">
        <is>
          <t>Emergency stair core CW-18 (L=1300mm) 4th to 5th - horizontal Y12@150 NF/FF</t>
        </is>
      </c>
      <c r="E64" s="19" t="inlineStr">
        <is>
          <t>H-Y12</t>
        </is>
      </c>
      <c r="F64" s="19" t="n">
        <v>12</v>
      </c>
      <c r="G64" s="19" t="n">
        <v>1</v>
      </c>
      <c r="H64" s="19">
        <f>2*20</f>
        <v>40.0</v>
      </c>
      <c r="I64" s="13">
        <f>G64*H64</f>
        <v>40.0</v>
      </c>
      <c r="J64" s="20">
        <f>(1300-2*30+40*12)/1000</f>
        <v>1.72</v>
      </c>
      <c r="K64" s="21">
        <f>I64*J64</f>
        <v>68.8</v>
      </c>
      <c r="L64" s="22">
        <f>F64^2/162</f>
        <v>0.8888888888888888</v>
      </c>
      <c r="M64" s="21">
        <f>K64*L64</f>
        <v>61.15555555555555</v>
      </c>
      <c r="N64" s="22">
        <f>M64/1000</f>
        <v>0.06115555555555555</v>
      </c>
      <c r="O64" s="13" t="inlineStr">
        <is>
          <t>Elevation count / plan length</t>
        </is>
      </c>
    </row>
    <row r="65">
      <c r="A65" s="13" t="n">
        <v>60</v>
      </c>
      <c r="B65" s="13" t="inlineStr">
        <is>
          <t>Shear Walls</t>
        </is>
      </c>
      <c r="C65" s="13" t="inlineStr">
        <is>
          <t>STR-013/014</t>
        </is>
      </c>
      <c r="D65" s="13" t="inlineStr">
        <is>
          <t>Emergency stair core CW-18 4th to 5th - vertical Y20@150 NF/FF</t>
        </is>
      </c>
      <c r="E65" s="19" t="inlineStr">
        <is>
          <t>V-Y20</t>
        </is>
      </c>
      <c r="F65" s="19" t="n">
        <v>20</v>
      </c>
      <c r="G65" s="19" t="n">
        <v>1</v>
      </c>
      <c r="H65" s="19">
        <f>2*(ROUNDUP(1300/150,0)+1)</f>
        <v>20.0</v>
      </c>
      <c r="I65" s="13">
        <f>G65*H65</f>
        <v>20.0</v>
      </c>
      <c r="J65" s="20">
        <f>(3300+40*20)/1000</f>
        <v>4.1</v>
      </c>
      <c r="K65" s="21">
        <f>I65*J65</f>
        <v>82.0</v>
      </c>
      <c r="L65" s="22">
        <f>F65^2/162</f>
        <v>2.4691358024691357</v>
      </c>
      <c r="M65" s="21">
        <f>K65*L65</f>
        <v>202.4691358024691</v>
      </c>
      <c r="N65" s="22">
        <f>M65/1000</f>
        <v>0.2024691358024691</v>
      </c>
      <c r="O65" s="13" t="inlineStr">
        <is>
          <t>Elevation / plan</t>
        </is>
      </c>
    </row>
    <row r="66">
      <c r="A66" s="13" t="n">
        <v>61</v>
      </c>
      <c r="B66" s="13" t="inlineStr">
        <is>
          <t>Shear Walls</t>
        </is>
      </c>
      <c r="C66" s="13" t="inlineStr">
        <is>
          <t>STR-013/014</t>
        </is>
      </c>
      <c r="D66" s="13" t="inlineStr">
        <is>
          <t>Emergency stair core CW-19 (L=1100mm) 4th to 5th - horizontal Y12@150 NF/FF</t>
        </is>
      </c>
      <c r="E66" s="19" t="inlineStr">
        <is>
          <t>H-Y12</t>
        </is>
      </c>
      <c r="F66" s="19" t="n">
        <v>12</v>
      </c>
      <c r="G66" s="19" t="n">
        <v>1</v>
      </c>
      <c r="H66" s="19">
        <f>2*20</f>
        <v>40.0</v>
      </c>
      <c r="I66" s="13">
        <f>G66*H66</f>
        <v>40.0</v>
      </c>
      <c r="J66" s="20">
        <f>(1100-2*30+40*12)/1000</f>
        <v>1.52</v>
      </c>
      <c r="K66" s="21">
        <f>I66*J66</f>
        <v>60.8</v>
      </c>
      <c r="L66" s="22">
        <f>F66^2/162</f>
        <v>0.8888888888888888</v>
      </c>
      <c r="M66" s="21">
        <f>K66*L66</f>
        <v>54.04444444444444</v>
      </c>
      <c r="N66" s="22">
        <f>M66/1000</f>
        <v>0.05404444444444444</v>
      </c>
      <c r="O66" s="13" t="inlineStr">
        <is>
          <t>Elevation count / plan length</t>
        </is>
      </c>
    </row>
    <row r="67">
      <c r="A67" s="13" t="n">
        <v>62</v>
      </c>
      <c r="B67" s="13" t="inlineStr">
        <is>
          <t>Shear Walls</t>
        </is>
      </c>
      <c r="C67" s="13" t="inlineStr">
        <is>
          <t>STR-013/014</t>
        </is>
      </c>
      <c r="D67" s="13" t="inlineStr">
        <is>
          <t>Emergency stair core CW-19 4th to 5th - vertical Y20@150 NF/FF</t>
        </is>
      </c>
      <c r="E67" s="19" t="inlineStr">
        <is>
          <t>V-Y20</t>
        </is>
      </c>
      <c r="F67" s="19" t="n">
        <v>20</v>
      </c>
      <c r="G67" s="19" t="n">
        <v>1</v>
      </c>
      <c r="H67" s="19">
        <f>2*(ROUNDUP(1100/150,0)+1)</f>
        <v>18.0</v>
      </c>
      <c r="I67" s="13">
        <f>G67*H67</f>
        <v>18.0</v>
      </c>
      <c r="J67" s="20">
        <f>(3300+40*20)/1000</f>
        <v>4.1</v>
      </c>
      <c r="K67" s="21">
        <f>I67*J67</f>
        <v>73.8</v>
      </c>
      <c r="L67" s="22">
        <f>F67^2/162</f>
        <v>2.4691358024691357</v>
      </c>
      <c r="M67" s="21">
        <f>K67*L67</f>
        <v>182.2222222222222</v>
      </c>
      <c r="N67" s="22">
        <f>M67/1000</f>
        <v>0.1822222222222222</v>
      </c>
      <c r="O67" s="13" t="inlineStr">
        <is>
          <t>Elevation / plan</t>
        </is>
      </c>
    </row>
    <row r="68">
      <c r="A68" s="13" t="n">
        <v>63</v>
      </c>
      <c r="B68" s="13" t="inlineStr">
        <is>
          <t>Shear Walls</t>
        </is>
      </c>
      <c r="C68" s="13" t="inlineStr">
        <is>
          <t>STR-013/014</t>
        </is>
      </c>
      <c r="D68" s="13" t="inlineStr">
        <is>
          <t>Emergency stair core CW-20 (L=1300mm) 4th to 5th - horizontal Y12@150 NF/FF</t>
        </is>
      </c>
      <c r="E68" s="19" t="inlineStr">
        <is>
          <t>H-Y12</t>
        </is>
      </c>
      <c r="F68" s="19" t="n">
        <v>12</v>
      </c>
      <c r="G68" s="19" t="n">
        <v>1</v>
      </c>
      <c r="H68" s="19">
        <f>2*20</f>
        <v>40.0</v>
      </c>
      <c r="I68" s="13">
        <f>G68*H68</f>
        <v>40.0</v>
      </c>
      <c r="J68" s="20">
        <f>(1300-2*30+40*12)/1000</f>
        <v>1.72</v>
      </c>
      <c r="K68" s="21">
        <f>I68*J68</f>
        <v>68.8</v>
      </c>
      <c r="L68" s="22">
        <f>F68^2/162</f>
        <v>0.8888888888888888</v>
      </c>
      <c r="M68" s="21">
        <f>K68*L68</f>
        <v>61.15555555555555</v>
      </c>
      <c r="N68" s="22">
        <f>M68/1000</f>
        <v>0.06115555555555555</v>
      </c>
      <c r="O68" s="13" t="inlineStr">
        <is>
          <t>Elevation count / plan length</t>
        </is>
      </c>
    </row>
    <row r="69">
      <c r="A69" s="13" t="n">
        <v>64</v>
      </c>
      <c r="B69" s="13" t="inlineStr">
        <is>
          <t>Shear Walls</t>
        </is>
      </c>
      <c r="C69" s="13" t="inlineStr">
        <is>
          <t>STR-013/014</t>
        </is>
      </c>
      <c r="D69" s="13" t="inlineStr">
        <is>
          <t>Emergency stair core CW-20 4th to 5th - vertical Y20@150 NF/FF</t>
        </is>
      </c>
      <c r="E69" s="19" t="inlineStr">
        <is>
          <t>V-Y20</t>
        </is>
      </c>
      <c r="F69" s="19" t="n">
        <v>20</v>
      </c>
      <c r="G69" s="19" t="n">
        <v>1</v>
      </c>
      <c r="H69" s="19">
        <f>2*(ROUNDUP(1300/150,0)+1)</f>
        <v>20.0</v>
      </c>
      <c r="I69" s="13">
        <f>G69*H69</f>
        <v>20.0</v>
      </c>
      <c r="J69" s="20">
        <f>(3300+40*20)/1000</f>
        <v>4.1</v>
      </c>
      <c r="K69" s="21">
        <f>I69*J69</f>
        <v>82.0</v>
      </c>
      <c r="L69" s="22">
        <f>F69^2/162</f>
        <v>2.4691358024691357</v>
      </c>
      <c r="M69" s="21">
        <f>K69*L69</f>
        <v>202.4691358024691</v>
      </c>
      <c r="N69" s="22">
        <f>M69/1000</f>
        <v>0.2024691358024691</v>
      </c>
      <c r="O69" s="13" t="inlineStr">
        <is>
          <t>Elevation / plan</t>
        </is>
      </c>
    </row>
    <row r="70">
      <c r="A70" s="13" t="n">
        <v>65</v>
      </c>
      <c r="B70" s="13" t="inlineStr">
        <is>
          <t>Shear Walls</t>
        </is>
      </c>
      <c r="C70" s="13" t="inlineStr">
        <is>
          <t>STR-013/014</t>
        </is>
      </c>
      <c r="D70" s="13" t="inlineStr">
        <is>
          <t>Emergency stair core confinement links Y10@150 (33 positions on plan) 4th to 5th</t>
        </is>
      </c>
      <c r="E70" s="19" t="inlineStr">
        <is>
          <t>LNK-Y10</t>
        </is>
      </c>
      <c r="F70" s="19" t="n">
        <v>10</v>
      </c>
      <c r="G70" s="19" t="n">
        <v>1</v>
      </c>
      <c r="H70" s="19">
        <f>33*ROUNDUP(3300/150,0)</f>
        <v>726.0</v>
      </c>
      <c r="I70" s="13">
        <f>G70*H70</f>
        <v>726.0</v>
      </c>
      <c r="J70" s="20">
        <f>1800/1000</f>
        <v>1.8</v>
      </c>
      <c r="K70" s="21">
        <f>I70*J70</f>
        <v>1306.8</v>
      </c>
      <c r="L70" s="22">
        <f>F70^2/162</f>
        <v>0.6172839506172839</v>
      </c>
      <c r="M70" s="21">
        <f>K70*L70</f>
        <v>806.6666666666666</v>
      </c>
      <c r="N70" s="22">
        <f>M70/1000</f>
        <v>0.8066666666666666</v>
      </c>
      <c r="O70" s="13" t="inlineStr">
        <is>
          <t>Assumed link cut length</t>
        </is>
      </c>
    </row>
    <row r="71">
      <c r="A71" s="13" t="n">
        <v>66</v>
      </c>
      <c r="B71" s="13" t="inlineStr">
        <is>
          <t>Lift Walls</t>
        </is>
      </c>
      <c r="C71" s="13" t="inlineStr">
        <is>
          <t>STR-015/017</t>
        </is>
      </c>
      <c r="D71" s="13" t="inlineStr">
        <is>
          <t>Main core (lift shafts) CW-02 (L=3600mm) 4th to 5th - horizontal Y12@150 NF/FF</t>
        </is>
      </c>
      <c r="E71" s="19" t="inlineStr">
        <is>
          <t>H-Y12</t>
        </is>
      </c>
      <c r="F71" s="19" t="n">
        <v>12</v>
      </c>
      <c r="G71" s="19" t="n">
        <v>1</v>
      </c>
      <c r="H71" s="19">
        <f>2*20</f>
        <v>40.0</v>
      </c>
      <c r="I71" s="13">
        <f>G71*H71</f>
        <v>40.0</v>
      </c>
      <c r="J71" s="20">
        <f>(3600-2*30+40*12)/1000</f>
        <v>4.02</v>
      </c>
      <c r="K71" s="21">
        <f>I71*J71</f>
        <v>160.79999999999998</v>
      </c>
      <c r="L71" s="22">
        <f>F71^2/162</f>
        <v>0.8888888888888888</v>
      </c>
      <c r="M71" s="21">
        <f>K71*L71</f>
        <v>142.9333333333333</v>
      </c>
      <c r="N71" s="22">
        <f>M71/1000</f>
        <v>0.1429333333333333</v>
      </c>
      <c r="O71" s="13" t="inlineStr">
        <is>
          <t>Elevation count / plan length</t>
        </is>
      </c>
    </row>
    <row r="72">
      <c r="A72" s="13" t="n">
        <v>67</v>
      </c>
      <c r="B72" s="13" t="inlineStr">
        <is>
          <t>Lift Walls</t>
        </is>
      </c>
      <c r="C72" s="13" t="inlineStr">
        <is>
          <t>STR-015/017</t>
        </is>
      </c>
      <c r="D72" s="13" t="inlineStr">
        <is>
          <t>Main core (lift shafts) CW-02 4th to 5th - vertical Y25@150 NF/FF</t>
        </is>
      </c>
      <c r="E72" s="19" t="inlineStr">
        <is>
          <t>V-Y25</t>
        </is>
      </c>
      <c r="F72" s="19" t="n">
        <v>25</v>
      </c>
      <c r="G72" s="19" t="n">
        <v>1</v>
      </c>
      <c r="H72" s="19">
        <f>2*29</f>
        <v>58.0</v>
      </c>
      <c r="I72" s="13">
        <f>G72*H72</f>
        <v>58.0</v>
      </c>
      <c r="J72" s="20">
        <f>(3300+40*25)/1000</f>
        <v>4.3</v>
      </c>
      <c r="K72" s="21">
        <f>I72*J72</f>
        <v>249.39999999999998</v>
      </c>
      <c r="L72" s="22">
        <f>F72^2/162</f>
        <v>3.8580246913580245</v>
      </c>
      <c r="M72" s="21">
        <f>K72*L72</f>
        <v>962.1913580246912</v>
      </c>
      <c r="N72" s="22">
        <f>M72/1000</f>
        <v>0.9621913580246912</v>
      </c>
      <c r="O72" s="13" t="inlineStr">
        <is>
          <t>Elevation / plan</t>
        </is>
      </c>
    </row>
    <row r="73">
      <c r="A73" s="13" t="n">
        <v>68</v>
      </c>
      <c r="B73" s="13" t="inlineStr">
        <is>
          <t>Lift Walls</t>
        </is>
      </c>
      <c r="C73" s="13" t="inlineStr">
        <is>
          <t>STR-015/017</t>
        </is>
      </c>
      <c r="D73" s="13" t="inlineStr">
        <is>
          <t>Main core (lift shafts) CW-03 (L=3600mm) 4th to 5th - horizontal Y12@150 NF/FF</t>
        </is>
      </c>
      <c r="E73" s="19" t="inlineStr">
        <is>
          <t>H-Y12</t>
        </is>
      </c>
      <c r="F73" s="19" t="n">
        <v>12</v>
      </c>
      <c r="G73" s="19" t="n">
        <v>1</v>
      </c>
      <c r="H73" s="19">
        <f>2*20</f>
        <v>40.0</v>
      </c>
      <c r="I73" s="13">
        <f>G73*H73</f>
        <v>40.0</v>
      </c>
      <c r="J73" s="20">
        <f>(3600-2*30+40*12)/1000</f>
        <v>4.02</v>
      </c>
      <c r="K73" s="21">
        <f>I73*J73</f>
        <v>160.79999999999998</v>
      </c>
      <c r="L73" s="22">
        <f>F73^2/162</f>
        <v>0.8888888888888888</v>
      </c>
      <c r="M73" s="21">
        <f>K73*L73</f>
        <v>142.9333333333333</v>
      </c>
      <c r="N73" s="22">
        <f>M73/1000</f>
        <v>0.1429333333333333</v>
      </c>
      <c r="O73" s="13" t="inlineStr">
        <is>
          <t>Elevation count / plan length</t>
        </is>
      </c>
    </row>
    <row r="74">
      <c r="A74" s="13" t="n">
        <v>69</v>
      </c>
      <c r="B74" s="13" t="inlineStr">
        <is>
          <t>Lift Walls</t>
        </is>
      </c>
      <c r="C74" s="13" t="inlineStr">
        <is>
          <t>STR-015/017</t>
        </is>
      </c>
      <c r="D74" s="13" t="inlineStr">
        <is>
          <t>Main core (lift shafts) CW-03 4th to 5th - vertical Y25@150 NF/FF</t>
        </is>
      </c>
      <c r="E74" s="19" t="inlineStr">
        <is>
          <t>V-Y25</t>
        </is>
      </c>
      <c r="F74" s="19" t="n">
        <v>25</v>
      </c>
      <c r="G74" s="19" t="n">
        <v>1</v>
      </c>
      <c r="H74" s="19">
        <f>2*29</f>
        <v>58.0</v>
      </c>
      <c r="I74" s="13">
        <f>G74*H74</f>
        <v>58.0</v>
      </c>
      <c r="J74" s="20">
        <f>(3300+40*25)/1000</f>
        <v>4.3</v>
      </c>
      <c r="K74" s="21">
        <f>I74*J74</f>
        <v>249.39999999999998</v>
      </c>
      <c r="L74" s="22">
        <f>F74^2/162</f>
        <v>3.8580246913580245</v>
      </c>
      <c r="M74" s="21">
        <f>K74*L74</f>
        <v>962.1913580246912</v>
      </c>
      <c r="N74" s="22">
        <f>M74/1000</f>
        <v>0.9621913580246912</v>
      </c>
      <c r="O74" s="13" t="inlineStr">
        <is>
          <t>Elevation / plan</t>
        </is>
      </c>
    </row>
    <row r="75">
      <c r="A75" s="13" t="n">
        <v>70</v>
      </c>
      <c r="B75" s="13" t="inlineStr">
        <is>
          <t>Lift Walls</t>
        </is>
      </c>
      <c r="C75" s="13" t="inlineStr">
        <is>
          <t>STR-015/017</t>
        </is>
      </c>
      <c r="D75" s="13" t="inlineStr">
        <is>
          <t>Main core (lift shafts) CW-04 (L=3600mm) 4th to 5th - horizontal Y12@150 NF/FF</t>
        </is>
      </c>
      <c r="E75" s="19" t="inlineStr">
        <is>
          <t>H-Y12</t>
        </is>
      </c>
      <c r="F75" s="19" t="n">
        <v>12</v>
      </c>
      <c r="G75" s="19" t="n">
        <v>1</v>
      </c>
      <c r="H75" s="19">
        <f>2*20</f>
        <v>40.0</v>
      </c>
      <c r="I75" s="13">
        <f>G75*H75</f>
        <v>40.0</v>
      </c>
      <c r="J75" s="20">
        <f>(3600-2*30+40*12)/1000</f>
        <v>4.02</v>
      </c>
      <c r="K75" s="21">
        <f>I75*J75</f>
        <v>160.79999999999998</v>
      </c>
      <c r="L75" s="22">
        <f>F75^2/162</f>
        <v>0.8888888888888888</v>
      </c>
      <c r="M75" s="21">
        <f>K75*L75</f>
        <v>142.9333333333333</v>
      </c>
      <c r="N75" s="22">
        <f>M75/1000</f>
        <v>0.1429333333333333</v>
      </c>
      <c r="O75" s="13" t="inlineStr">
        <is>
          <t>Elevation count / plan length</t>
        </is>
      </c>
    </row>
    <row r="76">
      <c r="A76" s="13" t="n">
        <v>71</v>
      </c>
      <c r="B76" s="13" t="inlineStr">
        <is>
          <t>Lift Walls</t>
        </is>
      </c>
      <c r="C76" s="13" t="inlineStr">
        <is>
          <t>STR-015/017</t>
        </is>
      </c>
      <c r="D76" s="13" t="inlineStr">
        <is>
          <t>Main core (lift shafts) CW-04 4th to 5th - vertical Y25@150 NF/FF</t>
        </is>
      </c>
      <c r="E76" s="19" t="inlineStr">
        <is>
          <t>V-Y25</t>
        </is>
      </c>
      <c r="F76" s="19" t="n">
        <v>25</v>
      </c>
      <c r="G76" s="19" t="n">
        <v>1</v>
      </c>
      <c r="H76" s="19">
        <f>2*29</f>
        <v>58.0</v>
      </c>
      <c r="I76" s="13">
        <f>G76*H76</f>
        <v>58.0</v>
      </c>
      <c r="J76" s="20">
        <f>(3300+40*25)/1000</f>
        <v>4.3</v>
      </c>
      <c r="K76" s="21">
        <f>I76*J76</f>
        <v>249.39999999999998</v>
      </c>
      <c r="L76" s="22">
        <f>F76^2/162</f>
        <v>3.8580246913580245</v>
      </c>
      <c r="M76" s="21">
        <f>K76*L76</f>
        <v>962.1913580246912</v>
      </c>
      <c r="N76" s="22">
        <f>M76/1000</f>
        <v>0.9621913580246912</v>
      </c>
      <c r="O76" s="13" t="inlineStr">
        <is>
          <t>Elevation / plan</t>
        </is>
      </c>
    </row>
    <row r="77">
      <c r="A77" s="13" t="n">
        <v>72</v>
      </c>
      <c r="B77" s="13" t="inlineStr">
        <is>
          <t>Lift Walls</t>
        </is>
      </c>
      <c r="C77" s="13" t="inlineStr">
        <is>
          <t>STR-015/017</t>
        </is>
      </c>
      <c r="D77" s="13" t="inlineStr">
        <is>
          <t>Main core (lift shafts) CW-06 (L=2025mm) 4th to 5th - horizontal Y12@150 NF/FF</t>
        </is>
      </c>
      <c r="E77" s="19" t="inlineStr">
        <is>
          <t>H-Y12</t>
        </is>
      </c>
      <c r="F77" s="19" t="n">
        <v>12</v>
      </c>
      <c r="G77" s="19" t="n">
        <v>1</v>
      </c>
      <c r="H77" s="19">
        <f>2*20</f>
        <v>40.0</v>
      </c>
      <c r="I77" s="13">
        <f>G77*H77</f>
        <v>40.0</v>
      </c>
      <c r="J77" s="20">
        <f>(2025-2*30+40*12)/1000</f>
        <v>2.445</v>
      </c>
      <c r="K77" s="21">
        <f>I77*J77</f>
        <v>97.8</v>
      </c>
      <c r="L77" s="22">
        <f>F77^2/162</f>
        <v>0.8888888888888888</v>
      </c>
      <c r="M77" s="21">
        <f>K77*L77</f>
        <v>86.93333333333332</v>
      </c>
      <c r="N77" s="22">
        <f>M77/1000</f>
        <v>0.08693333333333332</v>
      </c>
      <c r="O77" s="13" t="inlineStr">
        <is>
          <t>Elevation count / plan length</t>
        </is>
      </c>
    </row>
    <row r="78">
      <c r="A78" s="13" t="n">
        <v>73</v>
      </c>
      <c r="B78" s="13" t="inlineStr">
        <is>
          <t>Lift Walls</t>
        </is>
      </c>
      <c r="C78" s="13" t="inlineStr">
        <is>
          <t>STR-015/017</t>
        </is>
      </c>
      <c r="D78" s="13" t="inlineStr">
        <is>
          <t>Main core (lift shafts) CW-06 4th to 5th - vertical Y25@150 NF/FF</t>
        </is>
      </c>
      <c r="E78" s="19" t="inlineStr">
        <is>
          <t>V-Y25</t>
        </is>
      </c>
      <c r="F78" s="19" t="n">
        <v>25</v>
      </c>
      <c r="G78" s="19" t="n">
        <v>1</v>
      </c>
      <c r="H78" s="19">
        <f>2*(ROUNDUP(2025/150,0)+1)</f>
        <v>30.0</v>
      </c>
      <c r="I78" s="13">
        <f>G78*H78</f>
        <v>30.0</v>
      </c>
      <c r="J78" s="20">
        <f>(3300+40*25)/1000</f>
        <v>4.3</v>
      </c>
      <c r="K78" s="21">
        <f>I78*J78</f>
        <v>129.0</v>
      </c>
      <c r="L78" s="22">
        <f>F78^2/162</f>
        <v>3.8580246913580245</v>
      </c>
      <c r="M78" s="21">
        <f>K78*L78</f>
        <v>497.68518518518516</v>
      </c>
      <c r="N78" s="22">
        <f>M78/1000</f>
        <v>0.4976851851851852</v>
      </c>
      <c r="O78" s="13" t="inlineStr">
        <is>
          <t>Elevation / plan</t>
        </is>
      </c>
    </row>
    <row r="79">
      <c r="A79" s="13" t="n">
        <v>74</v>
      </c>
      <c r="B79" s="13" t="inlineStr">
        <is>
          <t>Lift Walls</t>
        </is>
      </c>
      <c r="C79" s="13" t="inlineStr">
        <is>
          <t>STR-015/017</t>
        </is>
      </c>
      <c r="D79" s="13" t="inlineStr">
        <is>
          <t>Main core (lift shafts) CW-08 (L=4500mm) 4th to 5th - horizontal Y12@150 NF/FF</t>
        </is>
      </c>
      <c r="E79" s="19" t="inlineStr">
        <is>
          <t>H-Y12</t>
        </is>
      </c>
      <c r="F79" s="19" t="n">
        <v>12</v>
      </c>
      <c r="G79" s="19" t="n">
        <v>1</v>
      </c>
      <c r="H79" s="19">
        <f>2*20</f>
        <v>40.0</v>
      </c>
      <c r="I79" s="13">
        <f>G79*H79</f>
        <v>40.0</v>
      </c>
      <c r="J79" s="20">
        <f>(4500-2*30+40*12)/1000</f>
        <v>4.92</v>
      </c>
      <c r="K79" s="21">
        <f>I79*J79</f>
        <v>196.8</v>
      </c>
      <c r="L79" s="22">
        <f>F79^2/162</f>
        <v>0.8888888888888888</v>
      </c>
      <c r="M79" s="21">
        <f>K79*L79</f>
        <v>174.93333333333334</v>
      </c>
      <c r="N79" s="22">
        <f>M79/1000</f>
        <v>0.17493333333333333</v>
      </c>
      <c r="O79" s="13" t="inlineStr">
        <is>
          <t>Elevation count / plan length</t>
        </is>
      </c>
    </row>
    <row r="80">
      <c r="A80" s="13" t="n">
        <v>75</v>
      </c>
      <c r="B80" s="13" t="inlineStr">
        <is>
          <t>Lift Walls</t>
        </is>
      </c>
      <c r="C80" s="13" t="inlineStr">
        <is>
          <t>STR-015/017</t>
        </is>
      </c>
      <c r="D80" s="13" t="inlineStr">
        <is>
          <t>Main core (lift shafts) CW-08 4th to 5th - vertical Y25@150 NF/FF</t>
        </is>
      </c>
      <c r="E80" s="19" t="inlineStr">
        <is>
          <t>V-Y25</t>
        </is>
      </c>
      <c r="F80" s="19" t="n">
        <v>25</v>
      </c>
      <c r="G80" s="19" t="n">
        <v>1</v>
      </c>
      <c r="H80" s="19">
        <f>2*(ROUNDUP(4500/150,0)+1)</f>
        <v>62.0</v>
      </c>
      <c r="I80" s="13">
        <f>G80*H80</f>
        <v>62.0</v>
      </c>
      <c r="J80" s="20">
        <f>(3300+40*25)/1000</f>
        <v>4.3</v>
      </c>
      <c r="K80" s="21">
        <f>I80*J80</f>
        <v>266.59999999999997</v>
      </c>
      <c r="L80" s="22">
        <f>F80^2/162</f>
        <v>3.8580246913580245</v>
      </c>
      <c r="M80" s="21">
        <f>K80*L80</f>
        <v>1028.5493827160492</v>
      </c>
      <c r="N80" s="22">
        <f>M80/1000</f>
        <v>1.0285493827160492</v>
      </c>
      <c r="O80" s="13" t="inlineStr">
        <is>
          <t>Elevation / plan</t>
        </is>
      </c>
    </row>
    <row r="81">
      <c r="A81" s="13" t="n">
        <v>76</v>
      </c>
      <c r="B81" s="13" t="inlineStr">
        <is>
          <t>Lift Walls</t>
        </is>
      </c>
      <c r="C81" s="13" t="inlineStr">
        <is>
          <t>STR-015/017</t>
        </is>
      </c>
      <c r="D81" s="13" t="inlineStr">
        <is>
          <t>Main core (lift shafts) CW-07 (lift section) (L=4500mm) 4th to 5th - horizontal Y12@150 NF/FF</t>
        </is>
      </c>
      <c r="E81" s="19" t="inlineStr">
        <is>
          <t>H-Y12</t>
        </is>
      </c>
      <c r="F81" s="19" t="n">
        <v>12</v>
      </c>
      <c r="G81" s="19" t="n">
        <v>1</v>
      </c>
      <c r="H81" s="19">
        <f>2*20</f>
        <v>40.0</v>
      </c>
      <c r="I81" s="13">
        <f>G81*H81</f>
        <v>40.0</v>
      </c>
      <c r="J81" s="20">
        <f>(4500-2*30+40*12)/1000</f>
        <v>4.92</v>
      </c>
      <c r="K81" s="21">
        <f>I81*J81</f>
        <v>196.8</v>
      </c>
      <c r="L81" s="22">
        <f>F81^2/162</f>
        <v>0.8888888888888888</v>
      </c>
      <c r="M81" s="21">
        <f>K81*L81</f>
        <v>174.93333333333334</v>
      </c>
      <c r="N81" s="22">
        <f>M81/1000</f>
        <v>0.17493333333333333</v>
      </c>
      <c r="O81" s="13" t="inlineStr">
        <is>
          <t>Elevation count / plan length</t>
        </is>
      </c>
    </row>
    <row r="82">
      <c r="A82" s="13" t="n">
        <v>77</v>
      </c>
      <c r="B82" s="13" t="inlineStr">
        <is>
          <t>Lift Walls</t>
        </is>
      </c>
      <c r="C82" s="13" t="inlineStr">
        <is>
          <t>STR-015/017</t>
        </is>
      </c>
      <c r="D82" s="13" t="inlineStr">
        <is>
          <t>Main core (lift shafts) CW-07 (lift section) 4th to 5th - vertical Y25@150 NF/FF</t>
        </is>
      </c>
      <c r="E82" s="19" t="inlineStr">
        <is>
          <t>V-Y25</t>
        </is>
      </c>
      <c r="F82" s="19" t="n">
        <v>25</v>
      </c>
      <c r="G82" s="19" t="n">
        <v>1</v>
      </c>
      <c r="H82" s="19">
        <f>2*(ROUNDUP(4500/150,0)+1)</f>
        <v>62.0</v>
      </c>
      <c r="I82" s="13">
        <f>G82*H82</f>
        <v>62.0</v>
      </c>
      <c r="J82" s="20">
        <f>(3300+40*25)/1000</f>
        <v>4.3</v>
      </c>
      <c r="K82" s="21">
        <f>I82*J82</f>
        <v>266.59999999999997</v>
      </c>
      <c r="L82" s="22">
        <f>F82^2/162</f>
        <v>3.8580246913580245</v>
      </c>
      <c r="M82" s="21">
        <f>K82*L82</f>
        <v>1028.5493827160492</v>
      </c>
      <c r="N82" s="22">
        <f>M82/1000</f>
        <v>1.0285493827160492</v>
      </c>
      <c r="O82" s="13" t="inlineStr">
        <is>
          <t>Elevation / plan</t>
        </is>
      </c>
    </row>
    <row r="83">
      <c r="A83" s="13" t="n">
        <v>78</v>
      </c>
      <c r="B83" s="13" t="inlineStr">
        <is>
          <t>Lift Walls</t>
        </is>
      </c>
      <c r="C83" s="13" t="inlineStr">
        <is>
          <t>STR-015/017</t>
        </is>
      </c>
      <c r="D83" s="13" t="inlineStr">
        <is>
          <t>Main core (lift shafts) confinement links Y10@150 (26 positions on plan) 4th to 5th</t>
        </is>
      </c>
      <c r="E83" s="19" t="inlineStr">
        <is>
          <t>LNK-Y10</t>
        </is>
      </c>
      <c r="F83" s="19" t="n">
        <v>10</v>
      </c>
      <c r="G83" s="19" t="n">
        <v>1</v>
      </c>
      <c r="H83" s="19">
        <f>26*ROUNDUP(3300/150,0)</f>
        <v>572.0</v>
      </c>
      <c r="I83" s="13">
        <f>G83*H83</f>
        <v>572.0</v>
      </c>
      <c r="J83" s="20">
        <f>1800/1000</f>
        <v>1.8</v>
      </c>
      <c r="K83" s="21">
        <f>I83*J83</f>
        <v>1029.6000000000001</v>
      </c>
      <c r="L83" s="22">
        <f>F83^2/162</f>
        <v>0.6172839506172839</v>
      </c>
      <c r="M83" s="21">
        <f>K83*L83</f>
        <v>635.5555555555557</v>
      </c>
      <c r="N83" s="22">
        <f>M83/1000</f>
        <v>0.6355555555555557</v>
      </c>
      <c r="O83" s="13" t="inlineStr">
        <is>
          <t>Assumed link cut length</t>
        </is>
      </c>
    </row>
    <row r="84">
      <c r="A84" s="13" t="n">
        <v>79</v>
      </c>
      <c r="B84" s="13" t="inlineStr">
        <is>
          <t>Beams</t>
        </is>
      </c>
      <c r="C84" s="13" t="inlineStr">
        <is>
          <t>STR-078</t>
        </is>
      </c>
      <c r="D84" s="13" t="inlineStr">
        <is>
          <t>Typical 4th-8th floor beams (sheet 1 of 2)</t>
        </is>
      </c>
      <c r="E84" s="19" t="inlineStr">
        <is>
          <t>1001</t>
        </is>
      </c>
      <c r="F84" s="19" t="n">
        <v>10</v>
      </c>
      <c r="G84" s="19" t="n">
        <v>1</v>
      </c>
      <c r="H84" s="19" t="n">
        <v>876</v>
      </c>
      <c r="I84" s="13">
        <f>G84*H84</f>
        <v>876.0</v>
      </c>
      <c r="J84" s="20">
        <f>1700/1000</f>
        <v>1.7</v>
      </c>
      <c r="K84" s="21">
        <f>I84*J84</f>
        <v>1489.2</v>
      </c>
      <c r="L84" s="22">
        <f>F84^2/162</f>
        <v>0.6172839506172839</v>
      </c>
      <c r="M84" s="21">
        <f>K84*L84</f>
        <v>919.2592592592592</v>
      </c>
      <c r="N84" s="22">
        <f>M84/1000</f>
        <v>0.9192592592592592</v>
      </c>
      <c r="O84" s="13" t="inlineStr">
        <is>
          <t>BBS</t>
        </is>
      </c>
    </row>
    <row r="85">
      <c r="A85" s="13" t="n">
        <v>80</v>
      </c>
      <c r="B85" s="13" t="inlineStr">
        <is>
          <t>Beams</t>
        </is>
      </c>
      <c r="C85" s="13" t="inlineStr">
        <is>
          <t>STR-078</t>
        </is>
      </c>
      <c r="D85" s="13" t="inlineStr">
        <is>
          <t>Typical 4th-8th floor beams (sheet 1 of 2)</t>
        </is>
      </c>
      <c r="E85" s="19" t="inlineStr">
        <is>
          <t>1002</t>
        </is>
      </c>
      <c r="F85" s="19" t="n">
        <v>10</v>
      </c>
      <c r="G85" s="19" t="n">
        <v>1</v>
      </c>
      <c r="H85" s="19" t="n">
        <v>270</v>
      </c>
      <c r="I85" s="13">
        <f>G85*H85</f>
        <v>270.0</v>
      </c>
      <c r="J85" s="20">
        <f>1500/1000</f>
        <v>1.5</v>
      </c>
      <c r="K85" s="21">
        <f>I85*J85</f>
        <v>405.0</v>
      </c>
      <c r="L85" s="22">
        <f>F85^2/162</f>
        <v>0.6172839506172839</v>
      </c>
      <c r="M85" s="21">
        <f>K85*L85</f>
        <v>250.0</v>
      </c>
      <c r="N85" s="22">
        <f>M85/1000</f>
        <v>0.25</v>
      </c>
      <c r="O85" s="13" t="inlineStr">
        <is>
          <t>BBS</t>
        </is>
      </c>
    </row>
    <row r="86">
      <c r="A86" s="13" t="n">
        <v>81</v>
      </c>
      <c r="B86" s="13" t="inlineStr">
        <is>
          <t>Beams</t>
        </is>
      </c>
      <c r="C86" s="13" t="inlineStr">
        <is>
          <t>STR-078</t>
        </is>
      </c>
      <c r="D86" s="13" t="inlineStr">
        <is>
          <t>Typical 4th-8th floor beams (sheet 1 of 2)</t>
        </is>
      </c>
      <c r="E86" s="19" t="inlineStr">
        <is>
          <t>1601</t>
        </is>
      </c>
      <c r="F86" s="19" t="n">
        <v>16</v>
      </c>
      <c r="G86" s="19" t="n">
        <v>1</v>
      </c>
      <c r="H86" s="19" t="n">
        <v>12</v>
      </c>
      <c r="I86" s="13">
        <f>G86*H86</f>
        <v>12.0</v>
      </c>
      <c r="J86" s="20">
        <f>12000/1000</f>
        <v>12.0</v>
      </c>
      <c r="K86" s="21">
        <f>I86*J86</f>
        <v>144.0</v>
      </c>
      <c r="L86" s="22">
        <f>F86^2/162</f>
        <v>1.5802469135802468</v>
      </c>
      <c r="M86" s="21">
        <f>K86*L86</f>
        <v>227.55555555555554</v>
      </c>
      <c r="N86" s="22">
        <f>M86/1000</f>
        <v>0.22755555555555554</v>
      </c>
      <c r="O86" s="13" t="inlineStr">
        <is>
          <t>BBS</t>
        </is>
      </c>
    </row>
    <row r="87">
      <c r="A87" s="13" t="n">
        <v>82</v>
      </c>
      <c r="B87" s="13" t="inlineStr">
        <is>
          <t>Beams</t>
        </is>
      </c>
      <c r="C87" s="13" t="inlineStr">
        <is>
          <t>STR-078</t>
        </is>
      </c>
      <c r="D87" s="13" t="inlineStr">
        <is>
          <t>Typical 4th-8th floor beams (sheet 1 of 2)</t>
        </is>
      </c>
      <c r="E87" s="19" t="inlineStr">
        <is>
          <t>1602</t>
        </is>
      </c>
      <c r="F87" s="19" t="n">
        <v>16</v>
      </c>
      <c r="G87" s="19" t="n">
        <v>1</v>
      </c>
      <c r="H87" s="19" t="n">
        <v>2</v>
      </c>
      <c r="I87" s="13">
        <f>G87*H87</f>
        <v>2.0</v>
      </c>
      <c r="J87" s="20">
        <f>7275/1000</f>
        <v>7.275</v>
      </c>
      <c r="K87" s="21">
        <f>I87*J87</f>
        <v>14.55</v>
      </c>
      <c r="L87" s="22">
        <f>F87^2/162</f>
        <v>1.5802469135802468</v>
      </c>
      <c r="M87" s="21">
        <f>K87*L87</f>
        <v>22.992592592592594</v>
      </c>
      <c r="N87" s="22">
        <f>M87/1000</f>
        <v>0.022992592592592592</v>
      </c>
      <c r="O87" s="13" t="inlineStr">
        <is>
          <t>BBS</t>
        </is>
      </c>
    </row>
    <row r="88">
      <c r="A88" s="13" t="n">
        <v>83</v>
      </c>
      <c r="B88" s="13" t="inlineStr">
        <is>
          <t>Beams</t>
        </is>
      </c>
      <c r="C88" s="13" t="inlineStr">
        <is>
          <t>STR-078</t>
        </is>
      </c>
      <c r="D88" s="13" t="inlineStr">
        <is>
          <t>Typical 4th-8th floor beams (sheet 1 of 2)</t>
        </is>
      </c>
      <c r="E88" s="19" t="inlineStr">
        <is>
          <t>1603</t>
        </is>
      </c>
      <c r="F88" s="19" t="n">
        <v>16</v>
      </c>
      <c r="G88" s="19" t="n">
        <v>1</v>
      </c>
      <c r="H88" s="19" t="n">
        <v>4</v>
      </c>
      <c r="I88" s="13">
        <f>G88*H88</f>
        <v>4.0</v>
      </c>
      <c r="J88" s="20">
        <f>7850/1000</f>
        <v>7.85</v>
      </c>
      <c r="K88" s="21">
        <f>I88*J88</f>
        <v>31.4</v>
      </c>
      <c r="L88" s="22">
        <f>F88^2/162</f>
        <v>1.5802469135802468</v>
      </c>
      <c r="M88" s="21">
        <f>K88*L88</f>
        <v>49.61975308641975</v>
      </c>
      <c r="N88" s="22">
        <f>M88/1000</f>
        <v>0.04961975308641975</v>
      </c>
      <c r="O88" s="13" t="inlineStr">
        <is>
          <t>BBS</t>
        </is>
      </c>
    </row>
    <row r="89">
      <c r="A89" s="13" t="n">
        <v>84</v>
      </c>
      <c r="B89" s="13" t="inlineStr">
        <is>
          <t>Beams</t>
        </is>
      </c>
      <c r="C89" s="13" t="inlineStr">
        <is>
          <t>STR-078</t>
        </is>
      </c>
      <c r="D89" s="13" t="inlineStr">
        <is>
          <t>Typical 4th-8th floor beams (sheet 1 of 2)</t>
        </is>
      </c>
      <c r="E89" s="19" t="inlineStr">
        <is>
          <t>1604</t>
        </is>
      </c>
      <c r="F89" s="19" t="n">
        <v>16</v>
      </c>
      <c r="G89" s="19" t="n">
        <v>1</v>
      </c>
      <c r="H89" s="19" t="n">
        <v>4</v>
      </c>
      <c r="I89" s="13">
        <f>G89*H89</f>
        <v>4.0</v>
      </c>
      <c r="J89" s="20">
        <f>7400/1000</f>
        <v>7.4</v>
      </c>
      <c r="K89" s="21">
        <f>I89*J89</f>
        <v>29.6</v>
      </c>
      <c r="L89" s="22">
        <f>F89^2/162</f>
        <v>1.5802469135802468</v>
      </c>
      <c r="M89" s="21">
        <f>K89*L89</f>
        <v>46.77530864197531</v>
      </c>
      <c r="N89" s="22">
        <f>M89/1000</f>
        <v>0.04677530864197531</v>
      </c>
      <c r="O89" s="13" t="inlineStr">
        <is>
          <t>BBS</t>
        </is>
      </c>
    </row>
    <row r="90">
      <c r="A90" s="13" t="n">
        <v>85</v>
      </c>
      <c r="B90" s="13" t="inlineStr">
        <is>
          <t>Beams</t>
        </is>
      </c>
      <c r="C90" s="13" t="inlineStr">
        <is>
          <t>STR-078</t>
        </is>
      </c>
      <c r="D90" s="13" t="inlineStr">
        <is>
          <t>Typical 4th-8th floor beams (sheet 1 of 2)</t>
        </is>
      </c>
      <c r="E90" s="19" t="inlineStr">
        <is>
          <t>1605</t>
        </is>
      </c>
      <c r="F90" s="19" t="n">
        <v>16</v>
      </c>
      <c r="G90" s="19" t="n">
        <v>1</v>
      </c>
      <c r="H90" s="19" t="n">
        <v>3</v>
      </c>
      <c r="I90" s="13">
        <f>G90*H90</f>
        <v>3.0</v>
      </c>
      <c r="J90" s="20">
        <f>8900/1000</f>
        <v>8.9</v>
      </c>
      <c r="K90" s="21">
        <f>I90*J90</f>
        <v>26.700000000000003</v>
      </c>
      <c r="L90" s="22">
        <f>F90^2/162</f>
        <v>1.5802469135802468</v>
      </c>
      <c r="M90" s="21">
        <f>K90*L90</f>
        <v>42.1925925925926</v>
      </c>
      <c r="N90" s="22">
        <f>M90/1000</f>
        <v>0.042192592592592594</v>
      </c>
      <c r="O90" s="13" t="inlineStr">
        <is>
          <t>BBS</t>
        </is>
      </c>
    </row>
    <row r="91">
      <c r="A91" s="13" t="n">
        <v>86</v>
      </c>
      <c r="B91" s="13" t="inlineStr">
        <is>
          <t>Beams</t>
        </is>
      </c>
      <c r="C91" s="13" t="inlineStr">
        <is>
          <t>STR-078</t>
        </is>
      </c>
      <c r="D91" s="13" t="inlineStr">
        <is>
          <t>Typical 4th-8th floor beams (sheet 1 of 2)</t>
        </is>
      </c>
      <c r="E91" s="19" t="inlineStr">
        <is>
          <t>1606</t>
        </is>
      </c>
      <c r="F91" s="19" t="n">
        <v>16</v>
      </c>
      <c r="G91" s="19" t="n">
        <v>1</v>
      </c>
      <c r="H91" s="19" t="n">
        <v>3</v>
      </c>
      <c r="I91" s="13">
        <f>G91*H91</f>
        <v>3.0</v>
      </c>
      <c r="J91" s="20">
        <f>5600/1000</f>
        <v>5.6</v>
      </c>
      <c r="K91" s="21">
        <f>I91*J91</f>
        <v>16.799999999999997</v>
      </c>
      <c r="L91" s="22">
        <f>F91^2/162</f>
        <v>1.5802469135802468</v>
      </c>
      <c r="M91" s="21">
        <f>K91*L91</f>
        <v>26.548148148148144</v>
      </c>
      <c r="N91" s="22">
        <f>M91/1000</f>
        <v>0.026548148148148144</v>
      </c>
      <c r="O91" s="13" t="inlineStr">
        <is>
          <t>BBS</t>
        </is>
      </c>
    </row>
    <row r="92">
      <c r="A92" s="13" t="n">
        <v>87</v>
      </c>
      <c r="B92" s="13" t="inlineStr">
        <is>
          <t>Beams</t>
        </is>
      </c>
      <c r="C92" s="13" t="inlineStr">
        <is>
          <t>STR-078</t>
        </is>
      </c>
      <c r="D92" s="13" t="inlineStr">
        <is>
          <t>Typical 4th-8th floor beams (sheet 1 of 2)</t>
        </is>
      </c>
      <c r="E92" s="19" t="inlineStr">
        <is>
          <t>1607</t>
        </is>
      </c>
      <c r="F92" s="19" t="n">
        <v>16</v>
      </c>
      <c r="G92" s="19" t="n">
        <v>1</v>
      </c>
      <c r="H92" s="19" t="n">
        <v>3</v>
      </c>
      <c r="I92" s="13">
        <f>G92*H92</f>
        <v>3.0</v>
      </c>
      <c r="J92" s="20">
        <f>9300/1000</f>
        <v>9.3</v>
      </c>
      <c r="K92" s="21">
        <f>I92*J92</f>
        <v>27.900000000000002</v>
      </c>
      <c r="L92" s="22">
        <f>F92^2/162</f>
        <v>1.5802469135802468</v>
      </c>
      <c r="M92" s="21">
        <f>K92*L92</f>
        <v>44.08888888888889</v>
      </c>
      <c r="N92" s="22">
        <f>M92/1000</f>
        <v>0.044088888888888886</v>
      </c>
      <c r="O92" s="13" t="inlineStr">
        <is>
          <t>BBS</t>
        </is>
      </c>
    </row>
    <row r="93">
      <c r="A93" s="13" t="n">
        <v>88</v>
      </c>
      <c r="B93" s="13" t="inlineStr">
        <is>
          <t>Beams</t>
        </is>
      </c>
      <c r="C93" s="13" t="inlineStr">
        <is>
          <t>STR-078</t>
        </is>
      </c>
      <c r="D93" s="13" t="inlineStr">
        <is>
          <t>Typical 4th-8th floor beams (sheet 1 of 2)</t>
        </is>
      </c>
      <c r="E93" s="19" t="inlineStr">
        <is>
          <t>1608</t>
        </is>
      </c>
      <c r="F93" s="19" t="n">
        <v>16</v>
      </c>
      <c r="G93" s="19" t="n">
        <v>1</v>
      </c>
      <c r="H93" s="19" t="n">
        <v>4</v>
      </c>
      <c r="I93" s="13">
        <f>G93*H93</f>
        <v>4.0</v>
      </c>
      <c r="J93" s="20">
        <f>10300/1000</f>
        <v>10.3</v>
      </c>
      <c r="K93" s="21">
        <f>I93*J93</f>
        <v>41.2</v>
      </c>
      <c r="L93" s="22">
        <f>F93^2/162</f>
        <v>1.5802469135802468</v>
      </c>
      <c r="M93" s="21">
        <f>K93*L93</f>
        <v>65.10617283950617</v>
      </c>
      <c r="N93" s="22">
        <f>M93/1000</f>
        <v>0.06510617283950618</v>
      </c>
      <c r="O93" s="13" t="inlineStr">
        <is>
          <t>BBS</t>
        </is>
      </c>
    </row>
    <row r="94">
      <c r="A94" s="13" t="n">
        <v>89</v>
      </c>
      <c r="B94" s="13" t="inlineStr">
        <is>
          <t>Beams</t>
        </is>
      </c>
      <c r="C94" s="13" t="inlineStr">
        <is>
          <t>STR-078</t>
        </is>
      </c>
      <c r="D94" s="13" t="inlineStr">
        <is>
          <t>Typical 4th-8th floor beams (sheet 1 of 2)</t>
        </is>
      </c>
      <c r="E94" s="19" t="inlineStr">
        <is>
          <t>1609</t>
        </is>
      </c>
      <c r="F94" s="19" t="n">
        <v>16</v>
      </c>
      <c r="G94" s="19" t="n">
        <v>1</v>
      </c>
      <c r="H94" s="19" t="n">
        <v>2</v>
      </c>
      <c r="I94" s="13">
        <f>G94*H94</f>
        <v>2.0</v>
      </c>
      <c r="J94" s="20">
        <f>10850/1000</f>
        <v>10.85</v>
      </c>
      <c r="K94" s="21">
        <f>I94*J94</f>
        <v>21.7</v>
      </c>
      <c r="L94" s="22">
        <f>F94^2/162</f>
        <v>1.5802469135802468</v>
      </c>
      <c r="M94" s="21">
        <f>K94*L94</f>
        <v>34.291358024691355</v>
      </c>
      <c r="N94" s="22">
        <f>M94/1000</f>
        <v>0.034291358024691354</v>
      </c>
      <c r="O94" s="13" t="inlineStr">
        <is>
          <t>BBS</t>
        </is>
      </c>
    </row>
    <row r="95">
      <c r="A95" s="13" t="n">
        <v>90</v>
      </c>
      <c r="B95" s="13" t="inlineStr">
        <is>
          <t>Beams</t>
        </is>
      </c>
      <c r="C95" s="13" t="inlineStr">
        <is>
          <t>STR-078</t>
        </is>
      </c>
      <c r="D95" s="13" t="inlineStr">
        <is>
          <t>Typical 4th-8th floor beams (sheet 1 of 2)</t>
        </is>
      </c>
      <c r="E95" s="19" t="inlineStr">
        <is>
          <t>1610</t>
        </is>
      </c>
      <c r="F95" s="19" t="n">
        <v>16</v>
      </c>
      <c r="G95" s="19" t="n">
        <v>1</v>
      </c>
      <c r="H95" s="19" t="n">
        <v>2</v>
      </c>
      <c r="I95" s="13">
        <f>G95*H95</f>
        <v>2.0</v>
      </c>
      <c r="J95" s="20">
        <f>8000/1000</f>
        <v>8.0</v>
      </c>
      <c r="K95" s="21">
        <f>I95*J95</f>
        <v>16.0</v>
      </c>
      <c r="L95" s="22">
        <f>F95^2/162</f>
        <v>1.5802469135802468</v>
      </c>
      <c r="M95" s="21">
        <f>K95*L95</f>
        <v>25.28395061728395</v>
      </c>
      <c r="N95" s="22">
        <f>M95/1000</f>
        <v>0.02528395061728395</v>
      </c>
      <c r="O95" s="13" t="inlineStr">
        <is>
          <t>BBS</t>
        </is>
      </c>
    </row>
    <row r="96">
      <c r="A96" s="13" t="n">
        <v>91</v>
      </c>
      <c r="B96" s="13" t="inlineStr">
        <is>
          <t>Beams</t>
        </is>
      </c>
      <c r="C96" s="13" t="inlineStr">
        <is>
          <t>STR-078</t>
        </is>
      </c>
      <c r="D96" s="13" t="inlineStr">
        <is>
          <t>Typical 4th-8th floor beams (sheet 1 of 2)</t>
        </is>
      </c>
      <c r="E96" s="19" t="inlineStr">
        <is>
          <t>1611</t>
        </is>
      </c>
      <c r="F96" s="19" t="n">
        <v>16</v>
      </c>
      <c r="G96" s="19" t="n">
        <v>1</v>
      </c>
      <c r="H96" s="19" t="n">
        <v>2</v>
      </c>
      <c r="I96" s="13">
        <f>G96*H96</f>
        <v>2.0</v>
      </c>
      <c r="J96" s="20">
        <f>11675/1000</f>
        <v>11.675</v>
      </c>
      <c r="K96" s="21">
        <f>I96*J96</f>
        <v>23.35</v>
      </c>
      <c r="L96" s="22">
        <f>F96^2/162</f>
        <v>1.5802469135802468</v>
      </c>
      <c r="M96" s="21">
        <f>K96*L96</f>
        <v>36.89876543209876</v>
      </c>
      <c r="N96" s="22">
        <f>M96/1000</f>
        <v>0.03689876543209876</v>
      </c>
      <c r="O96" s="13" t="inlineStr">
        <is>
          <t>BBS</t>
        </is>
      </c>
    </row>
    <row r="97">
      <c r="A97" s="13" t="n">
        <v>92</v>
      </c>
      <c r="B97" s="13" t="inlineStr">
        <is>
          <t>Beams</t>
        </is>
      </c>
      <c r="C97" s="13" t="inlineStr">
        <is>
          <t>STR-078</t>
        </is>
      </c>
      <c r="D97" s="13" t="inlineStr">
        <is>
          <t>Typical 4th-8th floor beams (sheet 1 of 2)</t>
        </is>
      </c>
      <c r="E97" s="19" t="inlineStr">
        <is>
          <t>1612</t>
        </is>
      </c>
      <c r="F97" s="19" t="n">
        <v>16</v>
      </c>
      <c r="G97" s="19" t="n">
        <v>1</v>
      </c>
      <c r="H97" s="19" t="n">
        <v>2</v>
      </c>
      <c r="I97" s="13">
        <f>G97*H97</f>
        <v>2.0</v>
      </c>
      <c r="J97" s="20">
        <f>7525/1000</f>
        <v>7.525</v>
      </c>
      <c r="K97" s="21">
        <f>I97*J97</f>
        <v>15.05</v>
      </c>
      <c r="L97" s="22">
        <f>F97^2/162</f>
        <v>1.5802469135802468</v>
      </c>
      <c r="M97" s="21">
        <f>K97*L97</f>
        <v>23.782716049382717</v>
      </c>
      <c r="N97" s="22">
        <f>M97/1000</f>
        <v>0.023782716049382716</v>
      </c>
      <c r="O97" s="13" t="inlineStr">
        <is>
          <t>BBS</t>
        </is>
      </c>
    </row>
    <row r="98">
      <c r="A98" s="13" t="n">
        <v>93</v>
      </c>
      <c r="B98" s="13" t="inlineStr">
        <is>
          <t>Beams</t>
        </is>
      </c>
      <c r="C98" s="13" t="inlineStr">
        <is>
          <t>STR-078</t>
        </is>
      </c>
      <c r="D98" s="13" t="inlineStr">
        <is>
          <t>Typical 4th-8th floor beams (sheet 1 of 2)</t>
        </is>
      </c>
      <c r="E98" s="19" t="inlineStr">
        <is>
          <t>2001</t>
        </is>
      </c>
      <c r="F98" s="19" t="n">
        <v>20</v>
      </c>
      <c r="G98" s="19" t="n">
        <v>1</v>
      </c>
      <c r="H98" s="19" t="n">
        <v>3</v>
      </c>
      <c r="I98" s="13">
        <f>G98*H98</f>
        <v>3.0</v>
      </c>
      <c r="J98" s="20">
        <f>11100/1000</f>
        <v>11.1</v>
      </c>
      <c r="K98" s="21">
        <f>I98*J98</f>
        <v>33.3</v>
      </c>
      <c r="L98" s="22">
        <f>F98^2/162</f>
        <v>2.4691358024691357</v>
      </c>
      <c r="M98" s="21">
        <f>K98*L98</f>
        <v>82.22222222222221</v>
      </c>
      <c r="N98" s="22">
        <f>M98/1000</f>
        <v>0.08222222222222221</v>
      </c>
      <c r="O98" s="13" t="inlineStr">
        <is>
          <t>BBS</t>
        </is>
      </c>
    </row>
    <row r="99">
      <c r="A99" s="13" t="n">
        <v>94</v>
      </c>
      <c r="B99" s="13" t="inlineStr">
        <is>
          <t>Beams</t>
        </is>
      </c>
      <c r="C99" s="13" t="inlineStr">
        <is>
          <t>STR-078</t>
        </is>
      </c>
      <c r="D99" s="13" t="inlineStr">
        <is>
          <t>Typical 4th-8th floor beams (sheet 1 of 2)</t>
        </is>
      </c>
      <c r="E99" s="19" t="inlineStr">
        <is>
          <t>2002</t>
        </is>
      </c>
      <c r="F99" s="19" t="n">
        <v>20</v>
      </c>
      <c r="G99" s="19" t="n">
        <v>1</v>
      </c>
      <c r="H99" s="19" t="n">
        <v>3</v>
      </c>
      <c r="I99" s="13">
        <f>G99*H99</f>
        <v>3.0</v>
      </c>
      <c r="J99" s="20">
        <f>9300/1000</f>
        <v>9.3</v>
      </c>
      <c r="K99" s="21">
        <f>I99*J99</f>
        <v>27.900000000000002</v>
      </c>
      <c r="L99" s="22">
        <f>F99^2/162</f>
        <v>2.4691358024691357</v>
      </c>
      <c r="M99" s="21">
        <f>K99*L99</f>
        <v>68.88888888888889</v>
      </c>
      <c r="N99" s="22">
        <f>M99/1000</f>
        <v>0.06888888888888889</v>
      </c>
      <c r="O99" s="13" t="inlineStr">
        <is>
          <t>BBS</t>
        </is>
      </c>
    </row>
    <row r="100">
      <c r="A100" s="13" t="n">
        <v>95</v>
      </c>
      <c r="B100" s="13" t="inlineStr">
        <is>
          <t>Beams</t>
        </is>
      </c>
      <c r="C100" s="13" t="inlineStr">
        <is>
          <t>STR-078</t>
        </is>
      </c>
      <c r="D100" s="13" t="inlineStr">
        <is>
          <t>Typical 4th-8th floor beams (sheet 1 of 2)</t>
        </is>
      </c>
      <c r="E100" s="19" t="inlineStr">
        <is>
          <t>2003</t>
        </is>
      </c>
      <c r="F100" s="19" t="n">
        <v>20</v>
      </c>
      <c r="G100" s="19" t="n">
        <v>1</v>
      </c>
      <c r="H100" s="19" t="n">
        <v>3</v>
      </c>
      <c r="I100" s="13">
        <f>G100*H100</f>
        <v>3.0</v>
      </c>
      <c r="J100" s="20">
        <f>12000/1000</f>
        <v>12.0</v>
      </c>
      <c r="K100" s="21">
        <f>I100*J100</f>
        <v>36.0</v>
      </c>
      <c r="L100" s="22">
        <f>F100^2/162</f>
        <v>2.4691358024691357</v>
      </c>
      <c r="M100" s="21">
        <f>K100*L100</f>
        <v>88.88888888888889</v>
      </c>
      <c r="N100" s="22">
        <f>M100/1000</f>
        <v>0.08888888888888889</v>
      </c>
      <c r="O100" s="13" t="inlineStr">
        <is>
          <t>BBS</t>
        </is>
      </c>
    </row>
    <row r="101">
      <c r="A101" s="13" t="n">
        <v>96</v>
      </c>
      <c r="B101" s="13" t="inlineStr">
        <is>
          <t>Beams</t>
        </is>
      </c>
      <c r="C101" s="13" t="inlineStr">
        <is>
          <t>STR-078</t>
        </is>
      </c>
      <c r="D101" s="13" t="inlineStr">
        <is>
          <t>Typical 4th-8th floor beams (sheet 1 of 2)</t>
        </is>
      </c>
      <c r="E101" s="19" t="inlineStr">
        <is>
          <t>2004</t>
        </is>
      </c>
      <c r="F101" s="19" t="n">
        <v>20</v>
      </c>
      <c r="G101" s="19" t="n">
        <v>1</v>
      </c>
      <c r="H101" s="19" t="n">
        <v>3</v>
      </c>
      <c r="I101" s="13">
        <f>G101*H101</f>
        <v>3.0</v>
      </c>
      <c r="J101" s="20">
        <f>7000/1000</f>
        <v>7.0</v>
      </c>
      <c r="K101" s="21">
        <f>I101*J101</f>
        <v>21.0</v>
      </c>
      <c r="L101" s="22">
        <f>F101^2/162</f>
        <v>2.4691358024691357</v>
      </c>
      <c r="M101" s="21">
        <f>K101*L101</f>
        <v>51.85185185185185</v>
      </c>
      <c r="N101" s="22">
        <f>M101/1000</f>
        <v>0.05185185185185185</v>
      </c>
      <c r="O101" s="13" t="inlineStr">
        <is>
          <t>BBS</t>
        </is>
      </c>
    </row>
    <row r="102">
      <c r="A102" s="13" t="n">
        <v>97</v>
      </c>
      <c r="B102" s="13" t="inlineStr">
        <is>
          <t>Beams</t>
        </is>
      </c>
      <c r="C102" s="13" t="inlineStr">
        <is>
          <t>STR-078</t>
        </is>
      </c>
      <c r="D102" s="13" t="inlineStr">
        <is>
          <t>Typical 4th-8th floor beams (sheet 1 of 2)</t>
        </is>
      </c>
      <c r="E102" s="19" t="inlineStr">
        <is>
          <t>2005</t>
        </is>
      </c>
      <c r="F102" s="19" t="n">
        <v>20</v>
      </c>
      <c r="G102" s="19" t="n">
        <v>1</v>
      </c>
      <c r="H102" s="19" t="n">
        <v>6</v>
      </c>
      <c r="I102" s="13">
        <f>G102*H102</f>
        <v>6.0</v>
      </c>
      <c r="J102" s="20">
        <f>9300/1000</f>
        <v>9.3</v>
      </c>
      <c r="K102" s="21">
        <f>I102*J102</f>
        <v>55.800000000000004</v>
      </c>
      <c r="L102" s="22">
        <f>F102^2/162</f>
        <v>2.4691358024691357</v>
      </c>
      <c r="M102" s="21">
        <f>K102*L102</f>
        <v>137.77777777777777</v>
      </c>
      <c r="N102" s="22">
        <f>M102/1000</f>
        <v>0.13777777777777778</v>
      </c>
      <c r="O102" s="13" t="inlineStr">
        <is>
          <t>BBS</t>
        </is>
      </c>
    </row>
    <row r="103">
      <c r="A103" s="13" t="n">
        <v>98</v>
      </c>
      <c r="B103" s="13" t="inlineStr">
        <is>
          <t>Beams</t>
        </is>
      </c>
      <c r="C103" s="13" t="inlineStr">
        <is>
          <t>STR-078</t>
        </is>
      </c>
      <c r="D103" s="13" t="inlineStr">
        <is>
          <t>Typical 4th-8th floor beams (sheet 1 of 2)</t>
        </is>
      </c>
      <c r="E103" s="19" t="inlineStr">
        <is>
          <t>2006</t>
        </is>
      </c>
      <c r="F103" s="19" t="n">
        <v>20</v>
      </c>
      <c r="G103" s="19" t="n">
        <v>1</v>
      </c>
      <c r="H103" s="19" t="n">
        <v>3</v>
      </c>
      <c r="I103" s="13">
        <f>G103*H103</f>
        <v>3.0</v>
      </c>
      <c r="J103" s="20">
        <f>9000/1000</f>
        <v>9.0</v>
      </c>
      <c r="K103" s="21">
        <f>I103*J103</f>
        <v>27.0</v>
      </c>
      <c r="L103" s="22">
        <f>F103^2/162</f>
        <v>2.4691358024691357</v>
      </c>
      <c r="M103" s="21">
        <f>K103*L103</f>
        <v>66.66666666666666</v>
      </c>
      <c r="N103" s="22">
        <f>M103/1000</f>
        <v>0.06666666666666665</v>
      </c>
      <c r="O103" s="13" t="inlineStr">
        <is>
          <t>BBS</t>
        </is>
      </c>
    </row>
    <row r="104">
      <c r="A104" s="13" t="n">
        <v>99</v>
      </c>
      <c r="B104" s="13" t="inlineStr">
        <is>
          <t>Beams</t>
        </is>
      </c>
      <c r="C104" s="13" t="inlineStr">
        <is>
          <t>STR-078</t>
        </is>
      </c>
      <c r="D104" s="13" t="inlineStr">
        <is>
          <t>Typical 4th-8th floor beams (sheet 1 of 2)</t>
        </is>
      </c>
      <c r="E104" s="19" t="inlineStr">
        <is>
          <t>2007</t>
        </is>
      </c>
      <c r="F104" s="19" t="n">
        <v>20</v>
      </c>
      <c r="G104" s="19" t="n">
        <v>1</v>
      </c>
      <c r="H104" s="19" t="n">
        <v>5</v>
      </c>
      <c r="I104" s="13">
        <f>G104*H104</f>
        <v>5.0</v>
      </c>
      <c r="J104" s="20">
        <f>11750/1000</f>
        <v>11.75</v>
      </c>
      <c r="K104" s="21">
        <f>I104*J104</f>
        <v>58.75</v>
      </c>
      <c r="L104" s="22">
        <f>F104^2/162</f>
        <v>2.4691358024691357</v>
      </c>
      <c r="M104" s="21">
        <f>K104*L104</f>
        <v>145.06172839506172</v>
      </c>
      <c r="N104" s="22">
        <f>M104/1000</f>
        <v>0.14506172839506173</v>
      </c>
      <c r="O104" s="13" t="inlineStr">
        <is>
          <t>BBS</t>
        </is>
      </c>
    </row>
    <row r="105">
      <c r="A105" s="13" t="n">
        <v>100</v>
      </c>
      <c r="B105" s="13" t="inlineStr">
        <is>
          <t>Beams</t>
        </is>
      </c>
      <c r="C105" s="13" t="inlineStr">
        <is>
          <t>STR-078</t>
        </is>
      </c>
      <c r="D105" s="13" t="inlineStr">
        <is>
          <t>Typical 4th-8th floor beams (sheet 1 of 2)</t>
        </is>
      </c>
      <c r="E105" s="19" t="inlineStr">
        <is>
          <t>2008</t>
        </is>
      </c>
      <c r="F105" s="19" t="n">
        <v>20</v>
      </c>
      <c r="G105" s="19" t="n">
        <v>1</v>
      </c>
      <c r="H105" s="19" t="n">
        <v>5</v>
      </c>
      <c r="I105" s="13">
        <f>G105*H105</f>
        <v>5.0</v>
      </c>
      <c r="J105" s="20">
        <f>7300/1000</f>
        <v>7.3</v>
      </c>
      <c r="K105" s="21">
        <f>I105*J105</f>
        <v>36.5</v>
      </c>
      <c r="L105" s="22">
        <f>F105^2/162</f>
        <v>2.4691358024691357</v>
      </c>
      <c r="M105" s="21">
        <f>K105*L105</f>
        <v>90.12345679012346</v>
      </c>
      <c r="N105" s="22">
        <f>M105/1000</f>
        <v>0.09012345679012346</v>
      </c>
      <c r="O105" s="13" t="inlineStr">
        <is>
          <t>BBS</t>
        </is>
      </c>
    </row>
    <row r="106">
      <c r="A106" s="13" t="n">
        <v>101</v>
      </c>
      <c r="B106" s="13" t="inlineStr">
        <is>
          <t>Beams</t>
        </is>
      </c>
      <c r="C106" s="13" t="inlineStr">
        <is>
          <t>STR-078</t>
        </is>
      </c>
      <c r="D106" s="13" t="inlineStr">
        <is>
          <t>Typical 4th-8th floor beams (sheet 1 of 2)</t>
        </is>
      </c>
      <c r="E106" s="19" t="inlineStr">
        <is>
          <t>2009</t>
        </is>
      </c>
      <c r="F106" s="19" t="n">
        <v>20</v>
      </c>
      <c r="G106" s="19" t="n">
        <v>1</v>
      </c>
      <c r="H106" s="19" t="n">
        <v>10</v>
      </c>
      <c r="I106" s="13">
        <f>G106*H106</f>
        <v>10.0</v>
      </c>
      <c r="J106" s="20">
        <f>9600/1000</f>
        <v>9.6</v>
      </c>
      <c r="K106" s="21">
        <f>I106*J106</f>
        <v>96.0</v>
      </c>
      <c r="L106" s="22">
        <f>F106^2/162</f>
        <v>2.4691358024691357</v>
      </c>
      <c r="M106" s="21">
        <f>K106*L106</f>
        <v>237.037037037037</v>
      </c>
      <c r="N106" s="22">
        <f>M106/1000</f>
        <v>0.23703703703703702</v>
      </c>
      <c r="O106" s="13" t="inlineStr">
        <is>
          <t>BBS</t>
        </is>
      </c>
    </row>
    <row r="107">
      <c r="A107" s="13" t="n">
        <v>102</v>
      </c>
      <c r="B107" s="13" t="inlineStr">
        <is>
          <t>Beams</t>
        </is>
      </c>
      <c r="C107" s="13" t="inlineStr">
        <is>
          <t>STR-078</t>
        </is>
      </c>
      <c r="D107" s="13" t="inlineStr">
        <is>
          <t>Typical 4th-8th floor beams (sheet 1 of 2)</t>
        </is>
      </c>
      <c r="E107" s="19" t="inlineStr">
        <is>
          <t>2010</t>
        </is>
      </c>
      <c r="F107" s="19" t="n">
        <v>20</v>
      </c>
      <c r="G107" s="19" t="n">
        <v>1</v>
      </c>
      <c r="H107" s="19" t="n">
        <v>5</v>
      </c>
      <c r="I107" s="13">
        <f>G107*H107</f>
        <v>5.0</v>
      </c>
      <c r="J107" s="20">
        <f>11900/1000</f>
        <v>11.9</v>
      </c>
      <c r="K107" s="21">
        <f>I107*J107</f>
        <v>59.5</v>
      </c>
      <c r="L107" s="22">
        <f>F107^2/162</f>
        <v>2.4691358024691357</v>
      </c>
      <c r="M107" s="21">
        <f>K107*L107</f>
        <v>146.91358024691357</v>
      </c>
      <c r="N107" s="22">
        <f>M107/1000</f>
        <v>0.14691358024691356</v>
      </c>
      <c r="O107" s="13" t="inlineStr">
        <is>
          <t>BBS</t>
        </is>
      </c>
    </row>
    <row r="108">
      <c r="A108" s="13" t="n">
        <v>103</v>
      </c>
      <c r="B108" s="13" t="inlineStr">
        <is>
          <t>Beams</t>
        </is>
      </c>
      <c r="C108" s="13" t="inlineStr">
        <is>
          <t>STR-078</t>
        </is>
      </c>
      <c r="D108" s="13" t="inlineStr">
        <is>
          <t>Typical 4th-8th floor beams (sheet 1 of 2)</t>
        </is>
      </c>
      <c r="E108" s="19" t="inlineStr">
        <is>
          <t>2011</t>
        </is>
      </c>
      <c r="F108" s="19" t="n">
        <v>20</v>
      </c>
      <c r="G108" s="19" t="n">
        <v>1</v>
      </c>
      <c r="H108" s="19" t="n">
        <v>4</v>
      </c>
      <c r="I108" s="13">
        <f>G108*H108</f>
        <v>4.0</v>
      </c>
      <c r="J108" s="20">
        <f>11800/1000</f>
        <v>11.8</v>
      </c>
      <c r="K108" s="21">
        <f>I108*J108</f>
        <v>47.2</v>
      </c>
      <c r="L108" s="22">
        <f>F108^2/162</f>
        <v>2.4691358024691357</v>
      </c>
      <c r="M108" s="21">
        <f>K108*L108</f>
        <v>116.54320987654322</v>
      </c>
      <c r="N108" s="22">
        <f>M108/1000</f>
        <v>0.11654320987654322</v>
      </c>
      <c r="O108" s="13" t="inlineStr">
        <is>
          <t>BBS</t>
        </is>
      </c>
    </row>
    <row r="109">
      <c r="A109" s="13" t="n">
        <v>104</v>
      </c>
      <c r="B109" s="13" t="inlineStr">
        <is>
          <t>Beams</t>
        </is>
      </c>
      <c r="C109" s="13" t="inlineStr">
        <is>
          <t>STR-078</t>
        </is>
      </c>
      <c r="D109" s="13" t="inlineStr">
        <is>
          <t>Typical 4th-8th floor beams (sheet 1 of 2)</t>
        </is>
      </c>
      <c r="E109" s="19" t="inlineStr">
        <is>
          <t>2012</t>
        </is>
      </c>
      <c r="F109" s="19" t="n">
        <v>20</v>
      </c>
      <c r="G109" s="19" t="n">
        <v>1</v>
      </c>
      <c r="H109" s="19" t="n">
        <v>4</v>
      </c>
      <c r="I109" s="13">
        <f>G109*H109</f>
        <v>4.0</v>
      </c>
      <c r="J109" s="20">
        <f>7300/1000</f>
        <v>7.3</v>
      </c>
      <c r="K109" s="21">
        <f>I109*J109</f>
        <v>29.2</v>
      </c>
      <c r="L109" s="22">
        <f>F109^2/162</f>
        <v>2.4691358024691357</v>
      </c>
      <c r="M109" s="21">
        <f>K109*L109</f>
        <v>72.09876543209876</v>
      </c>
      <c r="N109" s="22">
        <f>M109/1000</f>
        <v>0.07209876543209875</v>
      </c>
      <c r="O109" s="13" t="inlineStr">
        <is>
          <t>BBS</t>
        </is>
      </c>
    </row>
    <row r="110">
      <c r="A110" s="13" t="n">
        <v>105</v>
      </c>
      <c r="B110" s="13" t="inlineStr">
        <is>
          <t>Beams</t>
        </is>
      </c>
      <c r="C110" s="13" t="inlineStr">
        <is>
          <t>STR-078</t>
        </is>
      </c>
      <c r="D110" s="13" t="inlineStr">
        <is>
          <t>Typical 4th-8th floor beams (sheet 1 of 2)</t>
        </is>
      </c>
      <c r="E110" s="19" t="inlineStr">
        <is>
          <t>2013</t>
        </is>
      </c>
      <c r="F110" s="19" t="n">
        <v>20</v>
      </c>
      <c r="G110" s="19" t="n">
        <v>1</v>
      </c>
      <c r="H110" s="19" t="n">
        <v>8</v>
      </c>
      <c r="I110" s="13">
        <f>G110*H110</f>
        <v>8.0</v>
      </c>
      <c r="J110" s="20">
        <f>9500/1000</f>
        <v>9.5</v>
      </c>
      <c r="K110" s="21">
        <f>I110*J110</f>
        <v>76.0</v>
      </c>
      <c r="L110" s="22">
        <f>F110^2/162</f>
        <v>2.4691358024691357</v>
      </c>
      <c r="M110" s="21">
        <f>K110*L110</f>
        <v>187.6543209876543</v>
      </c>
      <c r="N110" s="22">
        <f>M110/1000</f>
        <v>0.1876543209876543</v>
      </c>
      <c r="O110" s="13" t="inlineStr">
        <is>
          <t>BBS</t>
        </is>
      </c>
    </row>
    <row r="111">
      <c r="A111" s="13" t="n">
        <v>106</v>
      </c>
      <c r="B111" s="13" t="inlineStr">
        <is>
          <t>Beams</t>
        </is>
      </c>
      <c r="C111" s="13" t="inlineStr">
        <is>
          <t>STR-078</t>
        </is>
      </c>
      <c r="D111" s="13" t="inlineStr">
        <is>
          <t>Typical 4th-8th floor beams (sheet 1 of 2)</t>
        </is>
      </c>
      <c r="E111" s="19" t="inlineStr">
        <is>
          <t>2014</t>
        </is>
      </c>
      <c r="F111" s="19" t="n">
        <v>20</v>
      </c>
      <c r="G111" s="19" t="n">
        <v>1</v>
      </c>
      <c r="H111" s="19" t="n">
        <v>4</v>
      </c>
      <c r="I111" s="13">
        <f>G111*H111</f>
        <v>4.0</v>
      </c>
      <c r="J111" s="20">
        <f>12000/1000</f>
        <v>12.0</v>
      </c>
      <c r="K111" s="21">
        <f>I111*J111</f>
        <v>48.0</v>
      </c>
      <c r="L111" s="22">
        <f>F111^2/162</f>
        <v>2.4691358024691357</v>
      </c>
      <c r="M111" s="21">
        <f>K111*L111</f>
        <v>118.5185185185185</v>
      </c>
      <c r="N111" s="22">
        <f>M111/1000</f>
        <v>0.11851851851851851</v>
      </c>
      <c r="O111" s="13" t="inlineStr">
        <is>
          <t>BBS</t>
        </is>
      </c>
    </row>
    <row r="112">
      <c r="A112" s="13" t="n">
        <v>107</v>
      </c>
      <c r="B112" s="13" t="inlineStr">
        <is>
          <t>Beams</t>
        </is>
      </c>
      <c r="C112" s="13" t="inlineStr">
        <is>
          <t>STR-078</t>
        </is>
      </c>
      <c r="D112" s="13" t="inlineStr">
        <is>
          <t>Typical 4th-8th floor beams (sheet 1 of 2)</t>
        </is>
      </c>
      <c r="E112" s="19" t="inlineStr">
        <is>
          <t>2015</t>
        </is>
      </c>
      <c r="F112" s="19" t="n">
        <v>20</v>
      </c>
      <c r="G112" s="19" t="n">
        <v>1</v>
      </c>
      <c r="H112" s="19" t="n">
        <v>3</v>
      </c>
      <c r="I112" s="13">
        <f>G112*H112</f>
        <v>3.0</v>
      </c>
      <c r="J112" s="20">
        <f>6400/1000</f>
        <v>6.4</v>
      </c>
      <c r="K112" s="21">
        <f>I112*J112</f>
        <v>19.200000000000003</v>
      </c>
      <c r="L112" s="22">
        <f>F112^2/162</f>
        <v>2.4691358024691357</v>
      </c>
      <c r="M112" s="21">
        <f>K112*L112</f>
        <v>47.40740740740741</v>
      </c>
      <c r="N112" s="22">
        <f>M112/1000</f>
        <v>0.04740740740740741</v>
      </c>
      <c r="O112" s="13" t="inlineStr">
        <is>
          <t>BBS</t>
        </is>
      </c>
    </row>
    <row r="113">
      <c r="A113" s="13" t="n">
        <v>108</v>
      </c>
      <c r="B113" s="13" t="inlineStr">
        <is>
          <t>Beams</t>
        </is>
      </c>
      <c r="C113" s="13" t="inlineStr">
        <is>
          <t>STR-078</t>
        </is>
      </c>
      <c r="D113" s="13" t="inlineStr">
        <is>
          <t>Typical 4th-8th floor beams (sheet 1 of 2)</t>
        </is>
      </c>
      <c r="E113" s="19" t="inlineStr">
        <is>
          <t>2016</t>
        </is>
      </c>
      <c r="F113" s="19" t="n">
        <v>20</v>
      </c>
      <c r="G113" s="19" t="n">
        <v>1</v>
      </c>
      <c r="H113" s="19" t="n">
        <v>6</v>
      </c>
      <c r="I113" s="13">
        <f>G113*H113</f>
        <v>6.0</v>
      </c>
      <c r="J113" s="20">
        <f>11550/1000</f>
        <v>11.55</v>
      </c>
      <c r="K113" s="21">
        <f>I113*J113</f>
        <v>69.30000000000001</v>
      </c>
      <c r="L113" s="22">
        <f>F113^2/162</f>
        <v>2.4691358024691357</v>
      </c>
      <c r="M113" s="21">
        <f>K113*L113</f>
        <v>171.11111111111114</v>
      </c>
      <c r="N113" s="22">
        <f>M113/1000</f>
        <v>0.17111111111111113</v>
      </c>
      <c r="O113" s="13" t="inlineStr">
        <is>
          <t>BBS</t>
        </is>
      </c>
    </row>
    <row r="114">
      <c r="A114" s="13" t="n">
        <v>109</v>
      </c>
      <c r="B114" s="13" t="inlineStr">
        <is>
          <t>Beams</t>
        </is>
      </c>
      <c r="C114" s="13" t="inlineStr">
        <is>
          <t>STR-078</t>
        </is>
      </c>
      <c r="D114" s="13" t="inlineStr">
        <is>
          <t>Typical 4th-8th floor beams (sheet 1 of 2)</t>
        </is>
      </c>
      <c r="E114" s="19" t="inlineStr">
        <is>
          <t>2017</t>
        </is>
      </c>
      <c r="F114" s="19" t="n">
        <v>20</v>
      </c>
      <c r="G114" s="19" t="n">
        <v>1</v>
      </c>
      <c r="H114" s="19" t="n">
        <v>6</v>
      </c>
      <c r="I114" s="13">
        <f>G114*H114</f>
        <v>6.0</v>
      </c>
      <c r="J114" s="20">
        <f>6050/1000</f>
        <v>6.05</v>
      </c>
      <c r="K114" s="21">
        <f>I114*J114</f>
        <v>36.3</v>
      </c>
      <c r="L114" s="22">
        <f>F114^2/162</f>
        <v>2.4691358024691357</v>
      </c>
      <c r="M114" s="21">
        <f>K114*L114</f>
        <v>89.62962962962962</v>
      </c>
      <c r="N114" s="22">
        <f>M114/1000</f>
        <v>0.08962962962962961</v>
      </c>
      <c r="O114" s="13" t="inlineStr">
        <is>
          <t>BBS</t>
        </is>
      </c>
    </row>
    <row r="115">
      <c r="A115" s="13" t="n">
        <v>110</v>
      </c>
      <c r="B115" s="13" t="inlineStr">
        <is>
          <t>Beams</t>
        </is>
      </c>
      <c r="C115" s="13" t="inlineStr">
        <is>
          <t>STR-078</t>
        </is>
      </c>
      <c r="D115" s="13" t="inlineStr">
        <is>
          <t>Typical 4th-8th floor beams (sheet 1 of 2)</t>
        </is>
      </c>
      <c r="E115" s="19" t="inlineStr">
        <is>
          <t>2018</t>
        </is>
      </c>
      <c r="F115" s="19" t="n">
        <v>20</v>
      </c>
      <c r="G115" s="19" t="n">
        <v>1</v>
      </c>
      <c r="H115" s="19" t="n">
        <v>3</v>
      </c>
      <c r="I115" s="13">
        <f>G115*H115</f>
        <v>3.0</v>
      </c>
      <c r="J115" s="20">
        <f>6300/1000</f>
        <v>6.3</v>
      </c>
      <c r="K115" s="21">
        <f>I115*J115</f>
        <v>18.9</v>
      </c>
      <c r="L115" s="22">
        <f>F115^2/162</f>
        <v>2.4691358024691357</v>
      </c>
      <c r="M115" s="21">
        <f>K115*L115</f>
        <v>46.66666666666666</v>
      </c>
      <c r="N115" s="22">
        <f>M115/1000</f>
        <v>0.046666666666666655</v>
      </c>
      <c r="O115" s="13" t="inlineStr">
        <is>
          <t>BBS</t>
        </is>
      </c>
    </row>
    <row r="116">
      <c r="A116" s="13" t="n">
        <v>111</v>
      </c>
      <c r="B116" s="13" t="inlineStr">
        <is>
          <t>Beams</t>
        </is>
      </c>
      <c r="C116" s="13" t="inlineStr">
        <is>
          <t>STR-078</t>
        </is>
      </c>
      <c r="D116" s="13" t="inlineStr">
        <is>
          <t>Typical 4th-8th floor beams (sheet 1 of 2)</t>
        </is>
      </c>
      <c r="E116" s="19" t="inlineStr">
        <is>
          <t>2019</t>
        </is>
      </c>
      <c r="F116" s="19" t="n">
        <v>20</v>
      </c>
      <c r="G116" s="19" t="n">
        <v>1</v>
      </c>
      <c r="H116" s="19" t="n">
        <v>3</v>
      </c>
      <c r="I116" s="13">
        <f>G116*H116</f>
        <v>3.0</v>
      </c>
      <c r="J116" s="20">
        <f>5950/1000</f>
        <v>5.95</v>
      </c>
      <c r="K116" s="21">
        <f>I116*J116</f>
        <v>17.85</v>
      </c>
      <c r="L116" s="22">
        <f>F116^2/162</f>
        <v>2.4691358024691357</v>
      </c>
      <c r="M116" s="21">
        <f>K116*L116</f>
        <v>44.074074074074076</v>
      </c>
      <c r="N116" s="22">
        <f>M116/1000</f>
        <v>0.04407407407407408</v>
      </c>
      <c r="O116" s="13" t="inlineStr">
        <is>
          <t>BBS</t>
        </is>
      </c>
    </row>
    <row r="117">
      <c r="A117" s="13" t="n">
        <v>112</v>
      </c>
      <c r="B117" s="13" t="inlineStr">
        <is>
          <t>Beams</t>
        </is>
      </c>
      <c r="C117" s="13" t="inlineStr">
        <is>
          <t>STR-078</t>
        </is>
      </c>
      <c r="D117" s="13" t="inlineStr">
        <is>
          <t>Typical 4th-8th floor beams (sheet 1 of 2)</t>
        </is>
      </c>
      <c r="E117" s="19" t="inlineStr">
        <is>
          <t>2501</t>
        </is>
      </c>
      <c r="F117" s="19" t="n">
        <v>25</v>
      </c>
      <c r="G117" s="19" t="n">
        <v>1</v>
      </c>
      <c r="H117" s="19" t="n">
        <v>3</v>
      </c>
      <c r="I117" s="13">
        <f>G117*H117</f>
        <v>3.0</v>
      </c>
      <c r="J117" s="20">
        <f>11200/1000</f>
        <v>11.2</v>
      </c>
      <c r="K117" s="21">
        <f>I117*J117</f>
        <v>33.599999999999994</v>
      </c>
      <c r="L117" s="22">
        <f>F117^2/162</f>
        <v>3.8580246913580245</v>
      </c>
      <c r="M117" s="21">
        <f>K117*L117</f>
        <v>129.6296296296296</v>
      </c>
      <c r="N117" s="22">
        <f>M117/1000</f>
        <v>0.1296296296296296</v>
      </c>
      <c r="O117" s="13" t="inlineStr">
        <is>
          <t>BBS</t>
        </is>
      </c>
    </row>
    <row r="118">
      <c r="A118" s="13" t="n">
        <v>113</v>
      </c>
      <c r="B118" s="13" t="inlineStr">
        <is>
          <t>Beams</t>
        </is>
      </c>
      <c r="C118" s="13" t="inlineStr">
        <is>
          <t>STR-078</t>
        </is>
      </c>
      <c r="D118" s="13" t="inlineStr">
        <is>
          <t>Typical 4th-8th floor beams (sheet 1 of 2)</t>
        </is>
      </c>
      <c r="E118" s="19" t="inlineStr">
        <is>
          <t>2502</t>
        </is>
      </c>
      <c r="F118" s="19" t="n">
        <v>25</v>
      </c>
      <c r="G118" s="19" t="n">
        <v>1</v>
      </c>
      <c r="H118" s="19" t="n">
        <v>3</v>
      </c>
      <c r="I118" s="13">
        <f>G118*H118</f>
        <v>3.0</v>
      </c>
      <c r="J118" s="20">
        <f>9400/1000</f>
        <v>9.4</v>
      </c>
      <c r="K118" s="21">
        <f>I118*J118</f>
        <v>28.200000000000003</v>
      </c>
      <c r="L118" s="22">
        <f>F118^2/162</f>
        <v>3.8580246913580245</v>
      </c>
      <c r="M118" s="21">
        <f>K118*L118</f>
        <v>108.7962962962963</v>
      </c>
      <c r="N118" s="22">
        <f>M118/1000</f>
        <v>0.10879629629629631</v>
      </c>
      <c r="O118" s="13" t="inlineStr">
        <is>
          <t>BBS</t>
        </is>
      </c>
    </row>
    <row r="119">
      <c r="A119" s="13" t="n">
        <v>114</v>
      </c>
      <c r="B119" s="13" t="inlineStr">
        <is>
          <t>Beams</t>
        </is>
      </c>
      <c r="C119" s="13" t="inlineStr">
        <is>
          <t>STR-078</t>
        </is>
      </c>
      <c r="D119" s="13" t="inlineStr">
        <is>
          <t>Typical 4th-8th floor beams (sheet 1 of 2)</t>
        </is>
      </c>
      <c r="E119" s="19" t="inlineStr">
        <is>
          <t>2503</t>
        </is>
      </c>
      <c r="F119" s="19" t="n">
        <v>25</v>
      </c>
      <c r="G119" s="19" t="n">
        <v>1</v>
      </c>
      <c r="H119" s="19" t="n">
        <v>3</v>
      </c>
      <c r="I119" s="13">
        <f>G119*H119</f>
        <v>3.0</v>
      </c>
      <c r="J119" s="20">
        <f>12000/1000</f>
        <v>12.0</v>
      </c>
      <c r="K119" s="21">
        <f>I119*J119</f>
        <v>36.0</v>
      </c>
      <c r="L119" s="22">
        <f>F119^2/162</f>
        <v>3.8580246913580245</v>
      </c>
      <c r="M119" s="21">
        <f>K119*L119</f>
        <v>138.88888888888889</v>
      </c>
      <c r="N119" s="22">
        <f>M119/1000</f>
        <v>0.1388888888888889</v>
      </c>
      <c r="O119" s="13" t="inlineStr">
        <is>
          <t>BBS</t>
        </is>
      </c>
    </row>
    <row r="120">
      <c r="A120" s="13" t="n">
        <v>115</v>
      </c>
      <c r="B120" s="13" t="inlineStr">
        <is>
          <t>Beams</t>
        </is>
      </c>
      <c r="C120" s="13" t="inlineStr">
        <is>
          <t>STR-078</t>
        </is>
      </c>
      <c r="D120" s="13" t="inlineStr">
        <is>
          <t>Typical 4th-8th floor beams (sheet 1 of 2)</t>
        </is>
      </c>
      <c r="E120" s="19" t="inlineStr">
        <is>
          <t>2504</t>
        </is>
      </c>
      <c r="F120" s="19" t="n">
        <v>25</v>
      </c>
      <c r="G120" s="19" t="n">
        <v>1</v>
      </c>
      <c r="H120" s="19" t="n">
        <v>3</v>
      </c>
      <c r="I120" s="13">
        <f>G120*H120</f>
        <v>3.0</v>
      </c>
      <c r="J120" s="20">
        <f>7100/1000</f>
        <v>7.1</v>
      </c>
      <c r="K120" s="21">
        <f>I120*J120</f>
        <v>21.299999999999997</v>
      </c>
      <c r="L120" s="22">
        <f>F120^2/162</f>
        <v>3.8580246913580245</v>
      </c>
      <c r="M120" s="21">
        <f>K120*L120</f>
        <v>82.17592592592591</v>
      </c>
      <c r="N120" s="22">
        <f>M120/1000</f>
        <v>0.08217592592592592</v>
      </c>
      <c r="O120" s="13" t="inlineStr">
        <is>
          <t>BBS</t>
        </is>
      </c>
    </row>
    <row r="121">
      <c r="A121" s="13" t="n">
        <v>116</v>
      </c>
      <c r="B121" s="13" t="inlineStr">
        <is>
          <t>Beams</t>
        </is>
      </c>
      <c r="C121" s="13" t="inlineStr">
        <is>
          <t>STR-078</t>
        </is>
      </c>
      <c r="D121" s="13" t="inlineStr">
        <is>
          <t>Typical 4th-8th floor beams (sheet 1 of 2)</t>
        </is>
      </c>
      <c r="E121" s="19" t="inlineStr">
        <is>
          <t>2505</t>
        </is>
      </c>
      <c r="F121" s="19" t="n">
        <v>25</v>
      </c>
      <c r="G121" s="19" t="n">
        <v>1</v>
      </c>
      <c r="H121" s="19" t="n">
        <v>6</v>
      </c>
      <c r="I121" s="13">
        <f>G121*H121</f>
        <v>6.0</v>
      </c>
      <c r="J121" s="20">
        <f>9300/1000</f>
        <v>9.3</v>
      </c>
      <c r="K121" s="21">
        <f>I121*J121</f>
        <v>55.800000000000004</v>
      </c>
      <c r="L121" s="22">
        <f>F121^2/162</f>
        <v>3.8580246913580245</v>
      </c>
      <c r="M121" s="21">
        <f>K121*L121</f>
        <v>215.27777777777777</v>
      </c>
      <c r="N121" s="22">
        <f>M121/1000</f>
        <v>0.21527777777777776</v>
      </c>
      <c r="O121" s="13" t="inlineStr">
        <is>
          <t>BBS</t>
        </is>
      </c>
    </row>
    <row r="122">
      <c r="A122" s="13" t="n">
        <v>117</v>
      </c>
      <c r="B122" s="13" t="inlineStr">
        <is>
          <t>Beams</t>
        </is>
      </c>
      <c r="C122" s="13" t="inlineStr">
        <is>
          <t>STR-078</t>
        </is>
      </c>
      <c r="D122" s="13" t="inlineStr">
        <is>
          <t>Typical 4th-8th floor beams (sheet 1 of 2)</t>
        </is>
      </c>
      <c r="E122" s="19" t="inlineStr">
        <is>
          <t>2506</t>
        </is>
      </c>
      <c r="F122" s="19" t="n">
        <v>25</v>
      </c>
      <c r="G122" s="19" t="n">
        <v>1</v>
      </c>
      <c r="H122" s="19" t="n">
        <v>3</v>
      </c>
      <c r="I122" s="13">
        <f>G122*H122</f>
        <v>3.0</v>
      </c>
      <c r="J122" s="20">
        <f>9100/1000</f>
        <v>9.1</v>
      </c>
      <c r="K122" s="21">
        <f>I122*J122</f>
        <v>27.299999999999997</v>
      </c>
      <c r="L122" s="22">
        <f>F122^2/162</f>
        <v>3.8580246913580245</v>
      </c>
      <c r="M122" s="21">
        <f>K122*L122</f>
        <v>105.32407407407406</v>
      </c>
      <c r="N122" s="22">
        <f>M122/1000</f>
        <v>0.10532407407407406</v>
      </c>
      <c r="O122" s="13" t="inlineStr">
        <is>
          <t>BBS</t>
        </is>
      </c>
    </row>
    <row r="123">
      <c r="A123" s="13" t="n">
        <v>118</v>
      </c>
      <c r="B123" s="13" t="inlineStr">
        <is>
          <t>Beams</t>
        </is>
      </c>
      <c r="C123" s="13" t="inlineStr">
        <is>
          <t>STR-078</t>
        </is>
      </c>
      <c r="D123" s="13" t="inlineStr">
        <is>
          <t>Typical 4th-8th floor beams (sheet 1 of 2)</t>
        </is>
      </c>
      <c r="E123" s="19" t="inlineStr">
        <is>
          <t>2507</t>
        </is>
      </c>
      <c r="F123" s="19" t="n">
        <v>25</v>
      </c>
      <c r="G123" s="19" t="n">
        <v>1</v>
      </c>
      <c r="H123" s="19" t="n">
        <v>3</v>
      </c>
      <c r="I123" s="13">
        <f>G123*H123</f>
        <v>3.0</v>
      </c>
      <c r="J123" s="20">
        <f>5850/1000</f>
        <v>5.85</v>
      </c>
      <c r="K123" s="21">
        <f>I123*J123</f>
        <v>17.549999999999997</v>
      </c>
      <c r="L123" s="22">
        <f>F123^2/162</f>
        <v>3.8580246913580245</v>
      </c>
      <c r="M123" s="21">
        <f>K123*L123</f>
        <v>67.70833333333331</v>
      </c>
      <c r="N123" s="22">
        <f>M123/1000</f>
        <v>0.06770833333333331</v>
      </c>
      <c r="O123" s="13" t="inlineStr">
        <is>
          <t>BBS</t>
        </is>
      </c>
    </row>
    <row r="124">
      <c r="A124" s="13" t="n">
        <v>119</v>
      </c>
      <c r="B124" s="13" t="inlineStr">
        <is>
          <t>Beams</t>
        </is>
      </c>
      <c r="C124" s="13" t="inlineStr">
        <is>
          <t>STR-078</t>
        </is>
      </c>
      <c r="D124" s="13" t="inlineStr">
        <is>
          <t>Typical 4th-8th floor beams (sheet 1 of 2)</t>
        </is>
      </c>
      <c r="E124" s="19" t="inlineStr">
        <is>
          <t>2508</t>
        </is>
      </c>
      <c r="F124" s="19" t="n">
        <v>25</v>
      </c>
      <c r="G124" s="19" t="n">
        <v>1</v>
      </c>
      <c r="H124" s="19" t="n">
        <v>3</v>
      </c>
      <c r="I124" s="13">
        <f>G124*H124</f>
        <v>3.0</v>
      </c>
      <c r="J124" s="20">
        <f>8000/1000</f>
        <v>8.0</v>
      </c>
      <c r="K124" s="21">
        <f>I124*J124</f>
        <v>24.0</v>
      </c>
      <c r="L124" s="22">
        <f>F124^2/162</f>
        <v>3.8580246913580245</v>
      </c>
      <c r="M124" s="21">
        <f>K124*L124</f>
        <v>92.59259259259258</v>
      </c>
      <c r="N124" s="22">
        <f>M124/1000</f>
        <v>0.09259259259259259</v>
      </c>
      <c r="O124" s="13" t="inlineStr">
        <is>
          <t>BBS</t>
        </is>
      </c>
    </row>
    <row r="125">
      <c r="A125" s="13" t="n">
        <v>120</v>
      </c>
      <c r="B125" s="13" t="inlineStr">
        <is>
          <t>Beams</t>
        </is>
      </c>
      <c r="C125" s="13" t="inlineStr">
        <is>
          <t>STR-078</t>
        </is>
      </c>
      <c r="D125" s="13" t="inlineStr">
        <is>
          <t>Typical 4th-8th floor beams (sheet 1 of 2)</t>
        </is>
      </c>
      <c r="E125" s="19" t="inlineStr">
        <is>
          <t>2509</t>
        </is>
      </c>
      <c r="F125" s="19" t="n">
        <v>25</v>
      </c>
      <c r="G125" s="19" t="n">
        <v>1</v>
      </c>
      <c r="H125" s="19" t="n">
        <v>3</v>
      </c>
      <c r="I125" s="13">
        <f>G125*H125</f>
        <v>3.0</v>
      </c>
      <c r="J125" s="20">
        <f>8700/1000</f>
        <v>8.7</v>
      </c>
      <c r="K125" s="21">
        <f>I125*J125</f>
        <v>26.099999999999998</v>
      </c>
      <c r="L125" s="22">
        <f>F125^2/162</f>
        <v>3.8580246913580245</v>
      </c>
      <c r="M125" s="21">
        <f>K125*L125</f>
        <v>100.69444444444443</v>
      </c>
      <c r="N125" s="22">
        <f>M125/1000</f>
        <v>0.10069444444444443</v>
      </c>
      <c r="O125" s="13" t="inlineStr">
        <is>
          <t>BBS</t>
        </is>
      </c>
    </row>
    <row r="126">
      <c r="A126" s="13" t="n">
        <v>121</v>
      </c>
      <c r="B126" s="13" t="inlineStr">
        <is>
          <t>Beams</t>
        </is>
      </c>
      <c r="C126" s="13" t="inlineStr">
        <is>
          <t>STR-078</t>
        </is>
      </c>
      <c r="D126" s="13" t="inlineStr">
        <is>
          <t>Typical 4th-8th floor beams (sheet 1 of 2)</t>
        </is>
      </c>
      <c r="E126" s="19" t="inlineStr">
        <is>
          <t>2510</t>
        </is>
      </c>
      <c r="F126" s="19" t="n">
        <v>25</v>
      </c>
      <c r="G126" s="19" t="n">
        <v>1</v>
      </c>
      <c r="H126" s="19" t="n">
        <v>3</v>
      </c>
      <c r="I126" s="13">
        <f>G126*H126</f>
        <v>3.0</v>
      </c>
      <c r="J126" s="20">
        <f>5900/1000</f>
        <v>5.9</v>
      </c>
      <c r="K126" s="21">
        <f>I126*J126</f>
        <v>17.700000000000003</v>
      </c>
      <c r="L126" s="22">
        <f>F126^2/162</f>
        <v>3.8580246913580245</v>
      </c>
      <c r="M126" s="21">
        <f>K126*L126</f>
        <v>68.28703703703704</v>
      </c>
      <c r="N126" s="22">
        <f>M126/1000</f>
        <v>0.06828703703703703</v>
      </c>
      <c r="O126" s="13" t="inlineStr">
        <is>
          <t>BBS</t>
        </is>
      </c>
    </row>
    <row r="127">
      <c r="A127" s="13" t="n">
        <v>122</v>
      </c>
      <c r="B127" s="13" t="inlineStr">
        <is>
          <t>Beams</t>
        </is>
      </c>
      <c r="C127" s="13" t="inlineStr">
        <is>
          <t>STR-078</t>
        </is>
      </c>
      <c r="D127" s="13" t="inlineStr">
        <is>
          <t>Typical 4th-8th floor beams (sheet 1 of 2)</t>
        </is>
      </c>
      <c r="E127" s="19" t="inlineStr">
        <is>
          <t>2511</t>
        </is>
      </c>
      <c r="F127" s="19" t="n">
        <v>25</v>
      </c>
      <c r="G127" s="19" t="n">
        <v>1</v>
      </c>
      <c r="H127" s="19" t="n">
        <v>3</v>
      </c>
      <c r="I127" s="13">
        <f>G127*H127</f>
        <v>3.0</v>
      </c>
      <c r="J127" s="20">
        <f>5600/1000</f>
        <v>5.6</v>
      </c>
      <c r="K127" s="21">
        <f>I127*J127</f>
        <v>16.799999999999997</v>
      </c>
      <c r="L127" s="22">
        <f>F127^2/162</f>
        <v>3.8580246913580245</v>
      </c>
      <c r="M127" s="21">
        <f>K127*L127</f>
        <v>64.8148148148148</v>
      </c>
      <c r="N127" s="22">
        <f>M127/1000</f>
        <v>0.0648148148148148</v>
      </c>
      <c r="O127" s="13" t="inlineStr">
        <is>
          <t>BBS</t>
        </is>
      </c>
    </row>
    <row r="128">
      <c r="A128" s="13" t="n">
        <v>123</v>
      </c>
      <c r="B128" s="13" t="inlineStr">
        <is>
          <t>Beams</t>
        </is>
      </c>
      <c r="C128" s="13" t="inlineStr">
        <is>
          <t>STR-078</t>
        </is>
      </c>
      <c r="D128" s="13" t="inlineStr">
        <is>
          <t>Typical 4th-8th floor beams (sheet 1 of 2)</t>
        </is>
      </c>
      <c r="E128" s="19" t="inlineStr">
        <is>
          <t>2512</t>
        </is>
      </c>
      <c r="F128" s="19" t="n">
        <v>25</v>
      </c>
      <c r="G128" s="19" t="n">
        <v>1</v>
      </c>
      <c r="H128" s="19" t="n">
        <v>3</v>
      </c>
      <c r="I128" s="13">
        <f>G128*H128</f>
        <v>3.0</v>
      </c>
      <c r="J128" s="20">
        <f>11550/1000</f>
        <v>11.55</v>
      </c>
      <c r="K128" s="21">
        <f>I128*J128</f>
        <v>34.650000000000006</v>
      </c>
      <c r="L128" s="22">
        <f>F128^2/162</f>
        <v>3.8580246913580245</v>
      </c>
      <c r="M128" s="21">
        <f>K128*L128</f>
        <v>133.68055555555557</v>
      </c>
      <c r="N128" s="22">
        <f>M128/1000</f>
        <v>0.13368055555555558</v>
      </c>
      <c r="O128" s="13" t="inlineStr">
        <is>
          <t>BBS</t>
        </is>
      </c>
    </row>
    <row r="129">
      <c r="A129" s="13" t="n">
        <v>124</v>
      </c>
      <c r="B129" s="13" t="inlineStr">
        <is>
          <t>Beams</t>
        </is>
      </c>
      <c r="C129" s="13" t="inlineStr">
        <is>
          <t>STR-078</t>
        </is>
      </c>
      <c r="D129" s="13" t="inlineStr">
        <is>
          <t>Typical 4th-8th floor beams (sheet 1 of 2)</t>
        </is>
      </c>
      <c r="E129" s="19" t="inlineStr">
        <is>
          <t>2513</t>
        </is>
      </c>
      <c r="F129" s="19" t="n">
        <v>25</v>
      </c>
      <c r="G129" s="19" t="n">
        <v>1</v>
      </c>
      <c r="H129" s="19" t="n">
        <v>3</v>
      </c>
      <c r="I129" s="13">
        <f>G129*H129</f>
        <v>3.0</v>
      </c>
      <c r="J129" s="20">
        <f>6050/1000</f>
        <v>6.05</v>
      </c>
      <c r="K129" s="21">
        <f>I129*J129</f>
        <v>18.15</v>
      </c>
      <c r="L129" s="22">
        <f>F129^2/162</f>
        <v>3.8580246913580245</v>
      </c>
      <c r="M129" s="21">
        <f>K129*L129</f>
        <v>70.02314814814814</v>
      </c>
      <c r="N129" s="22">
        <f>M129/1000</f>
        <v>0.07002314814814814</v>
      </c>
      <c r="O129" s="13" t="inlineStr">
        <is>
          <t>BBS</t>
        </is>
      </c>
    </row>
    <row r="130">
      <c r="A130" s="13" t="n">
        <v>125</v>
      </c>
      <c r="B130" s="13" t="inlineStr">
        <is>
          <t>Beams</t>
        </is>
      </c>
      <c r="C130" s="13" t="inlineStr">
        <is>
          <t>STR-078</t>
        </is>
      </c>
      <c r="D130" s="13" t="inlineStr">
        <is>
          <t>Typical 4th-8th floor beams (sheet 1 of 2)</t>
        </is>
      </c>
      <c r="E130" s="19" t="inlineStr">
        <is>
          <t>2514</t>
        </is>
      </c>
      <c r="F130" s="19" t="n">
        <v>25</v>
      </c>
      <c r="G130" s="19" t="n">
        <v>1</v>
      </c>
      <c r="H130" s="19" t="n">
        <v>3</v>
      </c>
      <c r="I130" s="13">
        <f>G130*H130</f>
        <v>3.0</v>
      </c>
      <c r="J130" s="20">
        <f>9000/1000</f>
        <v>9.0</v>
      </c>
      <c r="K130" s="21">
        <f>I130*J130</f>
        <v>27.0</v>
      </c>
      <c r="L130" s="22">
        <f>F130^2/162</f>
        <v>3.8580246913580245</v>
      </c>
      <c r="M130" s="21">
        <f>K130*L130</f>
        <v>104.16666666666666</v>
      </c>
      <c r="N130" s="22">
        <f>M130/1000</f>
        <v>0.10416666666666666</v>
      </c>
      <c r="O130" s="13" t="inlineStr">
        <is>
          <t>BBS</t>
        </is>
      </c>
    </row>
    <row r="131">
      <c r="A131" s="13" t="n">
        <v>126</v>
      </c>
      <c r="B131" s="13" t="inlineStr">
        <is>
          <t>Beams</t>
        </is>
      </c>
      <c r="C131" s="13" t="inlineStr">
        <is>
          <t>STR-078</t>
        </is>
      </c>
      <c r="D131" s="13" t="inlineStr">
        <is>
          <t>Typical 4th-8th floor beams (sheet 1 of 2)</t>
        </is>
      </c>
      <c r="E131" s="19" t="inlineStr">
        <is>
          <t>2515</t>
        </is>
      </c>
      <c r="F131" s="19" t="n">
        <v>25</v>
      </c>
      <c r="G131" s="19" t="n">
        <v>1</v>
      </c>
      <c r="H131" s="19" t="n">
        <v>3</v>
      </c>
      <c r="I131" s="13">
        <f>G131*H131</f>
        <v>3.0</v>
      </c>
      <c r="J131" s="20">
        <f>5600/1000</f>
        <v>5.6</v>
      </c>
      <c r="K131" s="21">
        <f>I131*J131</f>
        <v>16.799999999999997</v>
      </c>
      <c r="L131" s="22">
        <f>F131^2/162</f>
        <v>3.8580246913580245</v>
      </c>
      <c r="M131" s="21">
        <f>K131*L131</f>
        <v>64.8148148148148</v>
      </c>
      <c r="N131" s="22">
        <f>M131/1000</f>
        <v>0.0648148148148148</v>
      </c>
      <c r="O131" s="13" t="inlineStr">
        <is>
          <t>BBS</t>
        </is>
      </c>
    </row>
    <row r="132">
      <c r="A132" s="13" t="n">
        <v>127</v>
      </c>
      <c r="B132" s="13" t="inlineStr">
        <is>
          <t>Beams</t>
        </is>
      </c>
      <c r="C132" s="13" t="inlineStr">
        <is>
          <t>STR-078</t>
        </is>
      </c>
      <c r="D132" s="13" t="inlineStr">
        <is>
          <t>Typical 4th-8th floor beams (sheet 1 of 2)</t>
        </is>
      </c>
      <c r="E132" s="19" t="inlineStr">
        <is>
          <t>2516</t>
        </is>
      </c>
      <c r="F132" s="19" t="n">
        <v>25</v>
      </c>
      <c r="G132" s="19" t="n">
        <v>1</v>
      </c>
      <c r="H132" s="19" t="n">
        <v>3</v>
      </c>
      <c r="I132" s="13">
        <f>G132*H132</f>
        <v>3.0</v>
      </c>
      <c r="J132" s="20">
        <f>9400/1000</f>
        <v>9.4</v>
      </c>
      <c r="K132" s="21">
        <f>I132*J132</f>
        <v>28.200000000000003</v>
      </c>
      <c r="L132" s="22">
        <f>F132^2/162</f>
        <v>3.8580246913580245</v>
      </c>
      <c r="M132" s="21">
        <f>K132*L132</f>
        <v>108.7962962962963</v>
      </c>
      <c r="N132" s="22">
        <f>M132/1000</f>
        <v>0.10879629629629631</v>
      </c>
      <c r="O132" s="13" t="inlineStr">
        <is>
          <t>BBS</t>
        </is>
      </c>
    </row>
    <row r="133">
      <c r="A133" s="13" t="n">
        <v>128</v>
      </c>
      <c r="B133" s="13" t="inlineStr">
        <is>
          <t>Beams</t>
        </is>
      </c>
      <c r="C133" s="13" t="inlineStr">
        <is>
          <t>STR-078</t>
        </is>
      </c>
      <c r="D133" s="13" t="inlineStr">
        <is>
          <t>Typical 4th-8th floor beams (sheet 1 of 2)</t>
        </is>
      </c>
      <c r="E133" s="19" t="inlineStr">
        <is>
          <t>2517</t>
        </is>
      </c>
      <c r="F133" s="19" t="n">
        <v>25</v>
      </c>
      <c r="G133" s="19" t="n">
        <v>1</v>
      </c>
      <c r="H133" s="19" t="n">
        <v>24</v>
      </c>
      <c r="I133" s="13">
        <f>G133*H133</f>
        <v>24.0</v>
      </c>
      <c r="J133" s="20">
        <f>9150/1000</f>
        <v>9.15</v>
      </c>
      <c r="K133" s="21">
        <f>I133*J133</f>
        <v>219.60000000000002</v>
      </c>
      <c r="L133" s="22">
        <f>F133^2/162</f>
        <v>3.8580246913580245</v>
      </c>
      <c r="M133" s="21">
        <f>K133*L133</f>
        <v>847.2222222222223</v>
      </c>
      <c r="N133" s="22">
        <f>M133/1000</f>
        <v>0.8472222222222223</v>
      </c>
      <c r="O133" s="13" t="inlineStr">
        <is>
          <t>BBS</t>
        </is>
      </c>
    </row>
    <row r="134">
      <c r="A134" s="13" t="n">
        <v>129</v>
      </c>
      <c r="B134" s="13" t="inlineStr">
        <is>
          <t>Beams</t>
        </is>
      </c>
      <c r="C134" s="13" t="inlineStr">
        <is>
          <t>STR-078</t>
        </is>
      </c>
      <c r="D134" s="13" t="inlineStr">
        <is>
          <t>Typical 4th-8th floor beams (sheet 1 of 2)</t>
        </is>
      </c>
      <c r="E134" s="19" t="inlineStr">
        <is>
          <t>2518</t>
        </is>
      </c>
      <c r="F134" s="19" t="n">
        <v>25</v>
      </c>
      <c r="G134" s="19" t="n">
        <v>1</v>
      </c>
      <c r="H134" s="19" t="n">
        <v>3</v>
      </c>
      <c r="I134" s="13">
        <f>G134*H134</f>
        <v>3.0</v>
      </c>
      <c r="J134" s="20">
        <f>9800/1000</f>
        <v>9.8</v>
      </c>
      <c r="K134" s="21">
        <f>I134*J134</f>
        <v>29.400000000000002</v>
      </c>
      <c r="L134" s="22">
        <f>F134^2/162</f>
        <v>3.8580246913580245</v>
      </c>
      <c r="M134" s="21">
        <f>K134*L134</f>
        <v>113.42592592592592</v>
      </c>
      <c r="N134" s="22">
        <f>M134/1000</f>
        <v>0.11342592592592593</v>
      </c>
      <c r="O134" s="13" t="inlineStr">
        <is>
          <t>BBS</t>
        </is>
      </c>
    </row>
    <row r="135">
      <c r="A135" s="13" t="n">
        <v>130</v>
      </c>
      <c r="B135" s="13" t="inlineStr">
        <is>
          <t>Beams</t>
        </is>
      </c>
      <c r="C135" s="13" t="inlineStr">
        <is>
          <t>STR-078</t>
        </is>
      </c>
      <c r="D135" s="13" t="inlineStr">
        <is>
          <t>Typical 4th-8th floor beams (sheet 1 of 2)</t>
        </is>
      </c>
      <c r="E135" s="19" t="inlineStr">
        <is>
          <t>2519</t>
        </is>
      </c>
      <c r="F135" s="19" t="n">
        <v>25</v>
      </c>
      <c r="G135" s="19" t="n">
        <v>1</v>
      </c>
      <c r="H135" s="19" t="n">
        <v>3</v>
      </c>
      <c r="I135" s="13">
        <f>G135*H135</f>
        <v>3.0</v>
      </c>
      <c r="J135" s="20">
        <f>8125/1000</f>
        <v>8.125</v>
      </c>
      <c r="K135" s="21">
        <f>I135*J135</f>
        <v>24.375</v>
      </c>
      <c r="L135" s="22">
        <f>F135^2/162</f>
        <v>3.8580246913580245</v>
      </c>
      <c r="M135" s="21">
        <f>K135*L135</f>
        <v>94.03935185185185</v>
      </c>
      <c r="N135" s="22">
        <f>M135/1000</f>
        <v>0.09403935185185185</v>
      </c>
      <c r="O135" s="13" t="inlineStr">
        <is>
          <t>BBS</t>
        </is>
      </c>
    </row>
    <row r="136">
      <c r="A136" s="13" t="n">
        <v>131</v>
      </c>
      <c r="B136" s="13" t="inlineStr">
        <is>
          <t>Beams</t>
        </is>
      </c>
      <c r="C136" s="13" t="inlineStr">
        <is>
          <t>STR-078</t>
        </is>
      </c>
      <c r="D136" s="13" t="inlineStr">
        <is>
          <t>Typical 4th-8th floor beams (sheet 1 of 2)</t>
        </is>
      </c>
      <c r="E136" s="19" t="inlineStr">
        <is>
          <t>2520</t>
        </is>
      </c>
      <c r="F136" s="19" t="n">
        <v>25</v>
      </c>
      <c r="G136" s="19" t="n">
        <v>1</v>
      </c>
      <c r="H136" s="19" t="n">
        <v>24</v>
      </c>
      <c r="I136" s="13">
        <f>G136*H136</f>
        <v>24.0</v>
      </c>
      <c r="J136" s="20">
        <f>8025/1000</f>
        <v>8.025</v>
      </c>
      <c r="K136" s="21">
        <f>I136*J136</f>
        <v>192.60000000000002</v>
      </c>
      <c r="L136" s="22">
        <f>F136^2/162</f>
        <v>3.8580246913580245</v>
      </c>
      <c r="M136" s="21">
        <f>K136*L136</f>
        <v>743.0555555555557</v>
      </c>
      <c r="N136" s="22">
        <f>M136/1000</f>
        <v>0.7430555555555557</v>
      </c>
      <c r="O136" s="13" t="inlineStr">
        <is>
          <t>BBS</t>
        </is>
      </c>
    </row>
    <row r="137">
      <c r="A137" s="13" t="n">
        <v>132</v>
      </c>
      <c r="B137" s="13" t="inlineStr">
        <is>
          <t>Beams</t>
        </is>
      </c>
      <c r="C137" s="13" t="inlineStr">
        <is>
          <t>STR-079</t>
        </is>
      </c>
      <c r="D137" s="13" t="inlineStr">
        <is>
          <t>Typical 4th-8th floor beams (sheet 2 of 2)</t>
        </is>
      </c>
      <c r="E137" s="19" t="inlineStr">
        <is>
          <t>1001</t>
        </is>
      </c>
      <c r="F137" s="19" t="n">
        <v>10</v>
      </c>
      <c r="G137" s="19" t="n">
        <v>1</v>
      </c>
      <c r="H137" s="19" t="n">
        <v>607</v>
      </c>
      <c r="I137" s="13">
        <f>G137*H137</f>
        <v>607.0</v>
      </c>
      <c r="J137" s="20">
        <f>1700/1000</f>
        <v>1.7</v>
      </c>
      <c r="K137" s="21">
        <f>I137*J137</f>
        <v>1031.8999999999999</v>
      </c>
      <c r="L137" s="22">
        <f>F137^2/162</f>
        <v>0.6172839506172839</v>
      </c>
      <c r="M137" s="21">
        <f>K137*L137</f>
        <v>636.9753086419752</v>
      </c>
      <c r="N137" s="22">
        <f>M137/1000</f>
        <v>0.6369753086419752</v>
      </c>
      <c r="O137" s="13" t="inlineStr">
        <is>
          <t>BBS</t>
        </is>
      </c>
    </row>
    <row r="138">
      <c r="A138" s="13" t="n">
        <v>133</v>
      </c>
      <c r="B138" s="13" t="inlineStr">
        <is>
          <t>Beams</t>
        </is>
      </c>
      <c r="C138" s="13" t="inlineStr">
        <is>
          <t>STR-079</t>
        </is>
      </c>
      <c r="D138" s="13" t="inlineStr">
        <is>
          <t>Typical 4th-8th floor beams (sheet 2 of 2)</t>
        </is>
      </c>
      <c r="E138" s="19" t="inlineStr">
        <is>
          <t>1601</t>
        </is>
      </c>
      <c r="F138" s="19" t="n">
        <v>16</v>
      </c>
      <c r="G138" s="19" t="n">
        <v>1</v>
      </c>
      <c r="H138" s="19" t="n">
        <v>4</v>
      </c>
      <c r="I138" s="13">
        <f>G138*H138</f>
        <v>4.0</v>
      </c>
      <c r="J138" s="20">
        <f>11800/1000</f>
        <v>11.8</v>
      </c>
      <c r="K138" s="21">
        <f>I138*J138</f>
        <v>47.2</v>
      </c>
      <c r="L138" s="22">
        <f>F138^2/162</f>
        <v>1.5802469135802468</v>
      </c>
      <c r="M138" s="21">
        <f>K138*L138</f>
        <v>74.58765432098765</v>
      </c>
      <c r="N138" s="22">
        <f>M138/1000</f>
        <v>0.07458765432098766</v>
      </c>
      <c r="O138" s="13" t="inlineStr">
        <is>
          <t>BBS</t>
        </is>
      </c>
    </row>
    <row r="139">
      <c r="A139" s="13" t="n">
        <v>134</v>
      </c>
      <c r="B139" s="13" t="inlineStr">
        <is>
          <t>Beams</t>
        </is>
      </c>
      <c r="C139" s="13" t="inlineStr">
        <is>
          <t>STR-079</t>
        </is>
      </c>
      <c r="D139" s="13" t="inlineStr">
        <is>
          <t>Typical 4th-8th floor beams (sheet 2 of 2)</t>
        </is>
      </c>
      <c r="E139" s="19" t="inlineStr">
        <is>
          <t>1602</t>
        </is>
      </c>
      <c r="F139" s="19" t="n">
        <v>16</v>
      </c>
      <c r="G139" s="19" t="n">
        <v>1</v>
      </c>
      <c r="H139" s="19" t="n">
        <v>3</v>
      </c>
      <c r="I139" s="13">
        <f>G139*H139</f>
        <v>3.0</v>
      </c>
      <c r="J139" s="20">
        <f>11550/1000</f>
        <v>11.55</v>
      </c>
      <c r="K139" s="21">
        <f>I139*J139</f>
        <v>34.650000000000006</v>
      </c>
      <c r="L139" s="22">
        <f>F139^2/162</f>
        <v>1.5802469135802468</v>
      </c>
      <c r="M139" s="21">
        <f>K139*L139</f>
        <v>54.75555555555556</v>
      </c>
      <c r="N139" s="22">
        <f>M139/1000</f>
        <v>0.05475555555555556</v>
      </c>
      <c r="O139" s="13" t="inlineStr">
        <is>
          <t>BBS</t>
        </is>
      </c>
    </row>
    <row r="140">
      <c r="A140" s="13" t="n">
        <v>135</v>
      </c>
      <c r="B140" s="13" t="inlineStr">
        <is>
          <t>Beams</t>
        </is>
      </c>
      <c r="C140" s="13" t="inlineStr">
        <is>
          <t>STR-079</t>
        </is>
      </c>
      <c r="D140" s="13" t="inlineStr">
        <is>
          <t>Typical 4th-8th floor beams (sheet 2 of 2)</t>
        </is>
      </c>
      <c r="E140" s="19" t="inlineStr">
        <is>
          <t>1603</t>
        </is>
      </c>
      <c r="F140" s="19" t="n">
        <v>16</v>
      </c>
      <c r="G140" s="19" t="n">
        <v>1</v>
      </c>
      <c r="H140" s="19" t="n">
        <v>3</v>
      </c>
      <c r="I140" s="13">
        <f>G140*H140</f>
        <v>3.0</v>
      </c>
      <c r="J140" s="20">
        <f>6450/1000</f>
        <v>6.45</v>
      </c>
      <c r="K140" s="21">
        <f>I140*J140</f>
        <v>19.35</v>
      </c>
      <c r="L140" s="22">
        <f>F140^2/162</f>
        <v>1.5802469135802468</v>
      </c>
      <c r="M140" s="21">
        <f>K140*L140</f>
        <v>30.57777777777778</v>
      </c>
      <c r="N140" s="22">
        <f>M140/1000</f>
        <v>0.03057777777777778</v>
      </c>
      <c r="O140" s="13" t="inlineStr">
        <is>
          <t>BBS</t>
        </is>
      </c>
    </row>
    <row r="141">
      <c r="A141" s="13" t="n">
        <v>136</v>
      </c>
      <c r="B141" s="13" t="inlineStr">
        <is>
          <t>Beams</t>
        </is>
      </c>
      <c r="C141" s="13" t="inlineStr">
        <is>
          <t>STR-079</t>
        </is>
      </c>
      <c r="D141" s="13" t="inlineStr">
        <is>
          <t>Typical 4th-8th floor beams (sheet 2 of 2)</t>
        </is>
      </c>
      <c r="E141" s="19" t="inlineStr">
        <is>
          <t>1604</t>
        </is>
      </c>
      <c r="F141" s="19" t="n">
        <v>16</v>
      </c>
      <c r="G141" s="19" t="n">
        <v>1</v>
      </c>
      <c r="H141" s="19" t="n">
        <v>3</v>
      </c>
      <c r="I141" s="13">
        <f>G141*H141</f>
        <v>3.0</v>
      </c>
      <c r="J141" s="20">
        <f>7600/1000</f>
        <v>7.6</v>
      </c>
      <c r="K141" s="21">
        <f>I141*J141</f>
        <v>22.799999999999997</v>
      </c>
      <c r="L141" s="22">
        <f>F141^2/162</f>
        <v>1.5802469135802468</v>
      </c>
      <c r="M141" s="21">
        <f>K141*L141</f>
        <v>36.029629629629625</v>
      </c>
      <c r="N141" s="22">
        <f>M141/1000</f>
        <v>0.03602962962962963</v>
      </c>
      <c r="O141" s="13" t="inlineStr">
        <is>
          <t>BBS</t>
        </is>
      </c>
    </row>
    <row r="142">
      <c r="A142" s="13" t="n">
        <v>137</v>
      </c>
      <c r="B142" s="13" t="inlineStr">
        <is>
          <t>Beams</t>
        </is>
      </c>
      <c r="C142" s="13" t="inlineStr">
        <is>
          <t>STR-079</t>
        </is>
      </c>
      <c r="D142" s="13" t="inlineStr">
        <is>
          <t>Typical 4th-8th floor beams (sheet 2 of 2)</t>
        </is>
      </c>
      <c r="E142" s="19" t="inlineStr">
        <is>
          <t>1605</t>
        </is>
      </c>
      <c r="F142" s="19" t="n">
        <v>16</v>
      </c>
      <c r="G142" s="19" t="n">
        <v>1</v>
      </c>
      <c r="H142" s="19" t="n">
        <v>4</v>
      </c>
      <c r="I142" s="13">
        <f>G142*H142</f>
        <v>4.0</v>
      </c>
      <c r="J142" s="20">
        <f>1200/1000</f>
        <v>1.2</v>
      </c>
      <c r="K142" s="21">
        <f>I142*J142</f>
        <v>4.8</v>
      </c>
      <c r="L142" s="22">
        <f>F142^2/162</f>
        <v>1.5802469135802468</v>
      </c>
      <c r="M142" s="21">
        <f>K142*L142</f>
        <v>7.585185185185185</v>
      </c>
      <c r="N142" s="22">
        <f>M142/1000</f>
        <v>0.007585185185185184</v>
      </c>
      <c r="O142" s="13" t="inlineStr">
        <is>
          <t>BBS</t>
        </is>
      </c>
    </row>
    <row r="143">
      <c r="A143" s="13" t="n">
        <v>138</v>
      </c>
      <c r="B143" s="13" t="inlineStr">
        <is>
          <t>Beams</t>
        </is>
      </c>
      <c r="C143" s="13" t="inlineStr">
        <is>
          <t>STR-079</t>
        </is>
      </c>
      <c r="D143" s="13" t="inlineStr">
        <is>
          <t>Typical 4th-8th floor beams (sheet 2 of 2)</t>
        </is>
      </c>
      <c r="E143" s="19" t="inlineStr">
        <is>
          <t>1606</t>
        </is>
      </c>
      <c r="F143" s="19" t="n">
        <v>16</v>
      </c>
      <c r="G143" s="19" t="n">
        <v>1</v>
      </c>
      <c r="H143" s="19" t="n">
        <v>3</v>
      </c>
      <c r="I143" s="13">
        <f>G143*H143</f>
        <v>3.0</v>
      </c>
      <c r="J143" s="20">
        <f>11300/1000</f>
        <v>11.3</v>
      </c>
      <c r="K143" s="21">
        <f>I143*J143</f>
        <v>33.900000000000006</v>
      </c>
      <c r="L143" s="22">
        <f>F143^2/162</f>
        <v>1.5802469135802468</v>
      </c>
      <c r="M143" s="21">
        <f>K143*L143</f>
        <v>53.57037037037038</v>
      </c>
      <c r="N143" s="22">
        <f>M143/1000</f>
        <v>0.05357037037037038</v>
      </c>
      <c r="O143" s="13" t="inlineStr">
        <is>
          <t>BBS</t>
        </is>
      </c>
    </row>
    <row r="144">
      <c r="A144" s="13" t="n">
        <v>139</v>
      </c>
      <c r="B144" s="13" t="inlineStr">
        <is>
          <t>Beams</t>
        </is>
      </c>
      <c r="C144" s="13" t="inlineStr">
        <is>
          <t>STR-079</t>
        </is>
      </c>
      <c r="D144" s="13" t="inlineStr">
        <is>
          <t>Typical 4th-8th floor beams (sheet 2 of 2)</t>
        </is>
      </c>
      <c r="E144" s="19" t="inlineStr">
        <is>
          <t>1607</t>
        </is>
      </c>
      <c r="F144" s="19" t="n">
        <v>16</v>
      </c>
      <c r="G144" s="19" t="n">
        <v>1</v>
      </c>
      <c r="H144" s="19" t="n">
        <v>2</v>
      </c>
      <c r="I144" s="13">
        <f>G144*H144</f>
        <v>2.0</v>
      </c>
      <c r="J144" s="20">
        <f>7400/1000</f>
        <v>7.4</v>
      </c>
      <c r="K144" s="21">
        <f>I144*J144</f>
        <v>14.8</v>
      </c>
      <c r="L144" s="22">
        <f>F144^2/162</f>
        <v>1.5802469135802468</v>
      </c>
      <c r="M144" s="21">
        <f>K144*L144</f>
        <v>23.387654320987654</v>
      </c>
      <c r="N144" s="22">
        <f>M144/1000</f>
        <v>0.023387654320987654</v>
      </c>
      <c r="O144" s="13" t="inlineStr">
        <is>
          <t>BBS</t>
        </is>
      </c>
    </row>
    <row r="145">
      <c r="A145" s="13" t="n">
        <v>140</v>
      </c>
      <c r="B145" s="13" t="inlineStr">
        <is>
          <t>Beams</t>
        </is>
      </c>
      <c r="C145" s="13" t="inlineStr">
        <is>
          <t>STR-079</t>
        </is>
      </c>
      <c r="D145" s="13" t="inlineStr">
        <is>
          <t>Typical 4th-8th floor beams (sheet 2 of 2)</t>
        </is>
      </c>
      <c r="E145" s="19" t="inlineStr">
        <is>
          <t>1608</t>
        </is>
      </c>
      <c r="F145" s="19" t="n">
        <v>16</v>
      </c>
      <c r="G145" s="19" t="n">
        <v>1</v>
      </c>
      <c r="H145" s="19" t="n">
        <v>6</v>
      </c>
      <c r="I145" s="13">
        <f>G145*H145</f>
        <v>6.0</v>
      </c>
      <c r="J145" s="20">
        <f>9050/1000</f>
        <v>9.05</v>
      </c>
      <c r="K145" s="21">
        <f>I145*J145</f>
        <v>54.300000000000004</v>
      </c>
      <c r="L145" s="22">
        <f>F145^2/162</f>
        <v>1.5802469135802468</v>
      </c>
      <c r="M145" s="21">
        <f>K145*L145</f>
        <v>85.80740740740741</v>
      </c>
      <c r="N145" s="22">
        <f>M145/1000</f>
        <v>0.08580740740740742</v>
      </c>
      <c r="O145" s="13" t="inlineStr">
        <is>
          <t>BBS</t>
        </is>
      </c>
    </row>
    <row r="146">
      <c r="A146" s="13" t="n">
        <v>141</v>
      </c>
      <c r="B146" s="13" t="inlineStr">
        <is>
          <t>Beams</t>
        </is>
      </c>
      <c r="C146" s="13" t="inlineStr">
        <is>
          <t>STR-079</t>
        </is>
      </c>
      <c r="D146" s="13" t="inlineStr">
        <is>
          <t>Typical 4th-8th floor beams (sheet 2 of 2)</t>
        </is>
      </c>
      <c r="E146" s="19" t="inlineStr">
        <is>
          <t>1609</t>
        </is>
      </c>
      <c r="F146" s="19" t="n">
        <v>16</v>
      </c>
      <c r="G146" s="19" t="n">
        <v>1</v>
      </c>
      <c r="H146" s="19" t="n">
        <v>3</v>
      </c>
      <c r="I146" s="13">
        <f>G146*H146</f>
        <v>3.0</v>
      </c>
      <c r="J146" s="20">
        <f>9800/1000</f>
        <v>9.8</v>
      </c>
      <c r="K146" s="21">
        <f>I146*J146</f>
        <v>29.400000000000002</v>
      </c>
      <c r="L146" s="22">
        <f>F146^2/162</f>
        <v>1.5802469135802468</v>
      </c>
      <c r="M146" s="21">
        <f>K146*L146</f>
        <v>46.45925925925926</v>
      </c>
      <c r="N146" s="22">
        <f>M146/1000</f>
        <v>0.04645925925925926</v>
      </c>
      <c r="O146" s="13" t="inlineStr">
        <is>
          <t>BBS</t>
        </is>
      </c>
    </row>
    <row r="147">
      <c r="A147" s="13" t="n">
        <v>142</v>
      </c>
      <c r="B147" s="13" t="inlineStr">
        <is>
          <t>Beams</t>
        </is>
      </c>
      <c r="C147" s="13" t="inlineStr">
        <is>
          <t>STR-079</t>
        </is>
      </c>
      <c r="D147" s="13" t="inlineStr">
        <is>
          <t>Typical 4th-8th floor beams (sheet 2 of 2)</t>
        </is>
      </c>
      <c r="E147" s="19" t="inlineStr">
        <is>
          <t>1610</t>
        </is>
      </c>
      <c r="F147" s="19" t="n">
        <v>16</v>
      </c>
      <c r="G147" s="19" t="n">
        <v>1</v>
      </c>
      <c r="H147" s="19" t="n">
        <v>2</v>
      </c>
      <c r="I147" s="13">
        <f>G147*H147</f>
        <v>2.0</v>
      </c>
      <c r="J147" s="20">
        <f>7900/1000</f>
        <v>7.9</v>
      </c>
      <c r="K147" s="21">
        <f>I147*J147</f>
        <v>15.8</v>
      </c>
      <c r="L147" s="22">
        <f>F147^2/162</f>
        <v>1.5802469135802468</v>
      </c>
      <c r="M147" s="21">
        <f>K147*L147</f>
        <v>24.9679012345679</v>
      </c>
      <c r="N147" s="22">
        <f>M147/1000</f>
        <v>0.0249679012345679</v>
      </c>
      <c r="O147" s="13" t="inlineStr">
        <is>
          <t>BBS</t>
        </is>
      </c>
    </row>
    <row r="148">
      <c r="A148" s="13" t="n">
        <v>143</v>
      </c>
      <c r="B148" s="13" t="inlineStr">
        <is>
          <t>Beams</t>
        </is>
      </c>
      <c r="C148" s="13" t="inlineStr">
        <is>
          <t>STR-079</t>
        </is>
      </c>
      <c r="D148" s="13" t="inlineStr">
        <is>
          <t>Typical 4th-8th floor beams (sheet 2 of 2)</t>
        </is>
      </c>
      <c r="E148" s="19" t="inlineStr">
        <is>
          <t>1611</t>
        </is>
      </c>
      <c r="F148" s="19" t="n">
        <v>16</v>
      </c>
      <c r="G148" s="19" t="n">
        <v>1</v>
      </c>
      <c r="H148" s="19" t="n">
        <v>18</v>
      </c>
      <c r="I148" s="13">
        <f>G148*H148</f>
        <v>18.0</v>
      </c>
      <c r="J148" s="20">
        <f>3350/1000</f>
        <v>3.35</v>
      </c>
      <c r="K148" s="21">
        <f>I148*J148</f>
        <v>60.300000000000004</v>
      </c>
      <c r="L148" s="22">
        <f>F148^2/162</f>
        <v>1.5802469135802468</v>
      </c>
      <c r="M148" s="21">
        <f>K148*L148</f>
        <v>95.28888888888889</v>
      </c>
      <c r="N148" s="22">
        <f>M148/1000</f>
        <v>0.0952888888888889</v>
      </c>
      <c r="O148" s="13" t="inlineStr">
        <is>
          <t>BBS</t>
        </is>
      </c>
    </row>
    <row r="149">
      <c r="A149" s="13" t="n">
        <v>144</v>
      </c>
      <c r="B149" s="13" t="inlineStr">
        <is>
          <t>Beams</t>
        </is>
      </c>
      <c r="C149" s="13" t="inlineStr">
        <is>
          <t>STR-079</t>
        </is>
      </c>
      <c r="D149" s="13" t="inlineStr">
        <is>
          <t>Typical 4th-8th floor beams (sheet 2 of 2)</t>
        </is>
      </c>
      <c r="E149" s="19" t="inlineStr">
        <is>
          <t>1612</t>
        </is>
      </c>
      <c r="F149" s="19" t="n">
        <v>16</v>
      </c>
      <c r="G149" s="19" t="n">
        <v>1</v>
      </c>
      <c r="H149" s="19" t="n">
        <v>2</v>
      </c>
      <c r="I149" s="13">
        <f>G149*H149</f>
        <v>2.0</v>
      </c>
      <c r="J149" s="20">
        <f>2400/1000</f>
        <v>2.4</v>
      </c>
      <c r="K149" s="21">
        <f>I149*J149</f>
        <v>4.8</v>
      </c>
      <c r="L149" s="22">
        <f>F149^2/162</f>
        <v>1.5802469135802468</v>
      </c>
      <c r="M149" s="21">
        <f>K149*L149</f>
        <v>7.585185185185185</v>
      </c>
      <c r="N149" s="22">
        <f>M149/1000</f>
        <v>0.007585185185185184</v>
      </c>
      <c r="O149" s="13" t="inlineStr">
        <is>
          <t>BBS</t>
        </is>
      </c>
    </row>
    <row r="150">
      <c r="A150" s="13" t="n">
        <v>145</v>
      </c>
      <c r="B150" s="13" t="inlineStr">
        <is>
          <t>Beams</t>
        </is>
      </c>
      <c r="C150" s="13" t="inlineStr">
        <is>
          <t>STR-079</t>
        </is>
      </c>
      <c r="D150" s="13" t="inlineStr">
        <is>
          <t>Typical 4th-8th floor beams (sheet 2 of 2)</t>
        </is>
      </c>
      <c r="E150" s="19" t="inlineStr">
        <is>
          <t>1613</t>
        </is>
      </c>
      <c r="F150" s="19" t="n">
        <v>16</v>
      </c>
      <c r="G150" s="19" t="n">
        <v>1</v>
      </c>
      <c r="H150" s="19" t="n">
        <v>2</v>
      </c>
      <c r="I150" s="13">
        <f>G150*H150</f>
        <v>2.0</v>
      </c>
      <c r="J150" s="20">
        <f>10550/1000</f>
        <v>10.55</v>
      </c>
      <c r="K150" s="21">
        <f>I150*J150</f>
        <v>21.1</v>
      </c>
      <c r="L150" s="22">
        <f>F150^2/162</f>
        <v>1.5802469135802468</v>
      </c>
      <c r="M150" s="21">
        <f>K150*L150</f>
        <v>33.34320987654321</v>
      </c>
      <c r="N150" s="22">
        <f>M150/1000</f>
        <v>0.03334320987654321</v>
      </c>
      <c r="O150" s="13" t="inlineStr">
        <is>
          <t>BBS</t>
        </is>
      </c>
    </row>
    <row r="151">
      <c r="A151" s="13" t="n">
        <v>146</v>
      </c>
      <c r="B151" s="13" t="inlineStr">
        <is>
          <t>Beams</t>
        </is>
      </c>
      <c r="C151" s="13" t="inlineStr">
        <is>
          <t>STR-079</t>
        </is>
      </c>
      <c r="D151" s="13" t="inlineStr">
        <is>
          <t>Typical 4th-8th floor beams (sheet 2 of 2)</t>
        </is>
      </c>
      <c r="E151" s="19" t="inlineStr">
        <is>
          <t>1614</t>
        </is>
      </c>
      <c r="F151" s="19" t="n">
        <v>16</v>
      </c>
      <c r="G151" s="19" t="n">
        <v>1</v>
      </c>
      <c r="H151" s="19" t="n">
        <v>2</v>
      </c>
      <c r="I151" s="13">
        <f>G151*H151</f>
        <v>2.0</v>
      </c>
      <c r="J151" s="20">
        <f>9050/1000</f>
        <v>9.05</v>
      </c>
      <c r="K151" s="21">
        <f>I151*J151</f>
        <v>18.1</v>
      </c>
      <c r="L151" s="22">
        <f>F151^2/162</f>
        <v>1.5802469135802468</v>
      </c>
      <c r="M151" s="21">
        <f>K151*L151</f>
        <v>28.60246913580247</v>
      </c>
      <c r="N151" s="22">
        <f>M151/1000</f>
        <v>0.02860246913580247</v>
      </c>
      <c r="O151" s="13" t="inlineStr">
        <is>
          <t>BBS</t>
        </is>
      </c>
    </row>
    <row r="152">
      <c r="A152" s="13" t="n">
        <v>147</v>
      </c>
      <c r="B152" s="13" t="inlineStr">
        <is>
          <t>Beams</t>
        </is>
      </c>
      <c r="C152" s="13" t="inlineStr">
        <is>
          <t>STR-079</t>
        </is>
      </c>
      <c r="D152" s="13" t="inlineStr">
        <is>
          <t>Typical 4th-8th floor beams (sheet 2 of 2)</t>
        </is>
      </c>
      <c r="E152" s="19" t="inlineStr">
        <is>
          <t>2001</t>
        </is>
      </c>
      <c r="F152" s="19" t="n">
        <v>20</v>
      </c>
      <c r="G152" s="19" t="n">
        <v>1</v>
      </c>
      <c r="H152" s="19" t="n">
        <v>6</v>
      </c>
      <c r="I152" s="13">
        <f>G152*H152</f>
        <v>6.0</v>
      </c>
      <c r="J152" s="20">
        <f>8500/1000</f>
        <v>8.5</v>
      </c>
      <c r="K152" s="21">
        <f>I152*J152</f>
        <v>51.0</v>
      </c>
      <c r="L152" s="22">
        <f>F152^2/162</f>
        <v>2.4691358024691357</v>
      </c>
      <c r="M152" s="21">
        <f>K152*L152</f>
        <v>125.92592592592592</v>
      </c>
      <c r="N152" s="22">
        <f>M152/1000</f>
        <v>0.1259259259259259</v>
      </c>
      <c r="O152" s="13" t="inlineStr">
        <is>
          <t>BBS</t>
        </is>
      </c>
    </row>
    <row r="153">
      <c r="A153" s="13" t="n">
        <v>148</v>
      </c>
      <c r="B153" s="13" t="inlineStr">
        <is>
          <t>Beams</t>
        </is>
      </c>
      <c r="C153" s="13" t="inlineStr">
        <is>
          <t>STR-079</t>
        </is>
      </c>
      <c r="D153" s="13" t="inlineStr">
        <is>
          <t>Typical 4th-8th floor beams (sheet 2 of 2)</t>
        </is>
      </c>
      <c r="E153" s="19" t="inlineStr">
        <is>
          <t>2501</t>
        </is>
      </c>
      <c r="F153" s="19" t="n">
        <v>25</v>
      </c>
      <c r="G153" s="19" t="n">
        <v>1</v>
      </c>
      <c r="H153" s="19" t="n">
        <v>3</v>
      </c>
      <c r="I153" s="13">
        <f>G153*H153</f>
        <v>3.0</v>
      </c>
      <c r="J153" s="20">
        <f>5850/1000</f>
        <v>5.85</v>
      </c>
      <c r="K153" s="21">
        <f>I153*J153</f>
        <v>17.549999999999997</v>
      </c>
      <c r="L153" s="22">
        <f>F153^2/162</f>
        <v>3.8580246913580245</v>
      </c>
      <c r="M153" s="21">
        <f>K153*L153</f>
        <v>67.70833333333331</v>
      </c>
      <c r="N153" s="22">
        <f>M153/1000</f>
        <v>0.06770833333333331</v>
      </c>
      <c r="O153" s="13" t="inlineStr">
        <is>
          <t>BBS</t>
        </is>
      </c>
    </row>
    <row r="154">
      <c r="A154" s="13" t="n">
        <v>149</v>
      </c>
      <c r="B154" s="13" t="inlineStr">
        <is>
          <t>Beams</t>
        </is>
      </c>
      <c r="C154" s="13" t="inlineStr">
        <is>
          <t>STR-079</t>
        </is>
      </c>
      <c r="D154" s="13" t="inlineStr">
        <is>
          <t>Typical 4th-8th floor beams (sheet 2 of 2)</t>
        </is>
      </c>
      <c r="E154" s="19" t="inlineStr">
        <is>
          <t>2502</t>
        </is>
      </c>
      <c r="F154" s="19" t="n">
        <v>25</v>
      </c>
      <c r="G154" s="19" t="n">
        <v>1</v>
      </c>
      <c r="H154" s="19" t="n">
        <v>3</v>
      </c>
      <c r="I154" s="13">
        <f>G154*H154</f>
        <v>3.0</v>
      </c>
      <c r="J154" s="20">
        <f>8000/1000</f>
        <v>8.0</v>
      </c>
      <c r="K154" s="21">
        <f>I154*J154</f>
        <v>24.0</v>
      </c>
      <c r="L154" s="22">
        <f>F154^2/162</f>
        <v>3.8580246913580245</v>
      </c>
      <c r="M154" s="21">
        <f>K154*L154</f>
        <v>92.59259259259258</v>
      </c>
      <c r="N154" s="22">
        <f>M154/1000</f>
        <v>0.09259259259259259</v>
      </c>
      <c r="O154" s="13" t="inlineStr">
        <is>
          <t>BBS</t>
        </is>
      </c>
    </row>
    <row r="155">
      <c r="A155" s="13" t="n">
        <v>150</v>
      </c>
      <c r="B155" s="13" t="inlineStr">
        <is>
          <t>Beams</t>
        </is>
      </c>
      <c r="C155" s="13" t="inlineStr">
        <is>
          <t>STR-079</t>
        </is>
      </c>
      <c r="D155" s="13" t="inlineStr">
        <is>
          <t>Typical 4th-8th floor beams (sheet 2 of 2)</t>
        </is>
      </c>
      <c r="E155" s="19" t="inlineStr">
        <is>
          <t>2503</t>
        </is>
      </c>
      <c r="F155" s="19" t="n">
        <v>25</v>
      </c>
      <c r="G155" s="19" t="n">
        <v>1</v>
      </c>
      <c r="H155" s="19" t="n">
        <v>3</v>
      </c>
      <c r="I155" s="13">
        <f>G155*H155</f>
        <v>3.0</v>
      </c>
      <c r="J155" s="20">
        <f>8700/1000</f>
        <v>8.7</v>
      </c>
      <c r="K155" s="21">
        <f>I155*J155</f>
        <v>26.099999999999998</v>
      </c>
      <c r="L155" s="22">
        <f>F155^2/162</f>
        <v>3.8580246913580245</v>
      </c>
      <c r="M155" s="21">
        <f>K155*L155</f>
        <v>100.69444444444443</v>
      </c>
      <c r="N155" s="22">
        <f>M155/1000</f>
        <v>0.10069444444444443</v>
      </c>
      <c r="O155" s="13" t="inlineStr">
        <is>
          <t>BBS</t>
        </is>
      </c>
    </row>
    <row r="156">
      <c r="A156" s="13" t="n">
        <v>151</v>
      </c>
      <c r="B156" s="13" t="inlineStr">
        <is>
          <t>Beams</t>
        </is>
      </c>
      <c r="C156" s="13" t="inlineStr">
        <is>
          <t>STR-079</t>
        </is>
      </c>
      <c r="D156" s="13" t="inlineStr">
        <is>
          <t>Typical 4th-8th floor beams (sheet 2 of 2)</t>
        </is>
      </c>
      <c r="E156" s="19" t="inlineStr">
        <is>
          <t>2504</t>
        </is>
      </c>
      <c r="F156" s="19" t="n">
        <v>25</v>
      </c>
      <c r="G156" s="19" t="n">
        <v>1</v>
      </c>
      <c r="H156" s="19" t="n">
        <v>3</v>
      </c>
      <c r="I156" s="13">
        <f>G156*H156</f>
        <v>3.0</v>
      </c>
      <c r="J156" s="20">
        <f>5900/1000</f>
        <v>5.9</v>
      </c>
      <c r="K156" s="21">
        <f>I156*J156</f>
        <v>17.700000000000003</v>
      </c>
      <c r="L156" s="22">
        <f>F156^2/162</f>
        <v>3.8580246913580245</v>
      </c>
      <c r="M156" s="21">
        <f>K156*L156</f>
        <v>68.28703703703704</v>
      </c>
      <c r="N156" s="22">
        <f>M156/1000</f>
        <v>0.06828703703703703</v>
      </c>
      <c r="O156" s="13" t="inlineStr">
        <is>
          <t>BBS</t>
        </is>
      </c>
    </row>
    <row r="157">
      <c r="A157" s="13" t="n">
        <v>152</v>
      </c>
      <c r="B157" s="13" t="inlineStr">
        <is>
          <t>Beams</t>
        </is>
      </c>
      <c r="C157" s="13" t="inlineStr">
        <is>
          <t>STR-079</t>
        </is>
      </c>
      <c r="D157" s="13" t="inlineStr">
        <is>
          <t>Typical 4th-8th floor beams (sheet 2 of 2)</t>
        </is>
      </c>
      <c r="E157" s="19" t="inlineStr">
        <is>
          <t>2505</t>
        </is>
      </c>
      <c r="F157" s="19" t="n">
        <v>25</v>
      </c>
      <c r="G157" s="19" t="n">
        <v>1</v>
      </c>
      <c r="H157" s="19" t="n">
        <v>3</v>
      </c>
      <c r="I157" s="13">
        <f>G157*H157</f>
        <v>3.0</v>
      </c>
      <c r="J157" s="20">
        <f>7750/1000</f>
        <v>7.75</v>
      </c>
      <c r="K157" s="21">
        <f>I157*J157</f>
        <v>23.25</v>
      </c>
      <c r="L157" s="22">
        <f>F157^2/162</f>
        <v>3.8580246913580245</v>
      </c>
      <c r="M157" s="21">
        <f>K157*L157</f>
        <v>89.69907407407408</v>
      </c>
      <c r="N157" s="22">
        <f>M157/1000</f>
        <v>0.08969907407407407</v>
      </c>
      <c r="O157" s="13" t="inlineStr">
        <is>
          <t>BBS</t>
        </is>
      </c>
    </row>
    <row r="158">
      <c r="A158" s="13" t="n">
        <v>153</v>
      </c>
      <c r="B158" s="13" t="inlineStr">
        <is>
          <t>Beams</t>
        </is>
      </c>
      <c r="C158" s="13" t="inlineStr">
        <is>
          <t>STR-079</t>
        </is>
      </c>
      <c r="D158" s="13" t="inlineStr">
        <is>
          <t>Typical 4th-8th floor beams (sheet 2 of 2)</t>
        </is>
      </c>
      <c r="E158" s="19" t="inlineStr">
        <is>
          <t>2506</t>
        </is>
      </c>
      <c r="F158" s="19" t="n">
        <v>25</v>
      </c>
      <c r="G158" s="19" t="n">
        <v>1</v>
      </c>
      <c r="H158" s="19" t="n">
        <v>3</v>
      </c>
      <c r="I158" s="13">
        <f>G158*H158</f>
        <v>3.0</v>
      </c>
      <c r="J158" s="20">
        <f>6500/1000</f>
        <v>6.5</v>
      </c>
      <c r="K158" s="21">
        <f>I158*J158</f>
        <v>19.5</v>
      </c>
      <c r="L158" s="22">
        <f>F158^2/162</f>
        <v>3.8580246913580245</v>
      </c>
      <c r="M158" s="21">
        <f>K158*L158</f>
        <v>75.23148148148148</v>
      </c>
      <c r="N158" s="22">
        <f>M158/1000</f>
        <v>0.07523148148148148</v>
      </c>
      <c r="O158" s="13" t="inlineStr">
        <is>
          <t>BBS</t>
        </is>
      </c>
    </row>
    <row r="159">
      <c r="A159" s="13" t="n">
        <v>154</v>
      </c>
      <c r="B159" s="13" t="inlineStr">
        <is>
          <t>Beams</t>
        </is>
      </c>
      <c r="C159" s="13" t="inlineStr">
        <is>
          <t>STR-079</t>
        </is>
      </c>
      <c r="D159" s="13" t="inlineStr">
        <is>
          <t>Typical 4th-8th floor beams (sheet 2 of 2)</t>
        </is>
      </c>
      <c r="E159" s="19" t="inlineStr">
        <is>
          <t>2507</t>
        </is>
      </c>
      <c r="F159" s="19" t="n">
        <v>25</v>
      </c>
      <c r="G159" s="19" t="n">
        <v>1</v>
      </c>
      <c r="H159" s="19" t="n">
        <v>3</v>
      </c>
      <c r="I159" s="13">
        <f>G159*H159</f>
        <v>3.0</v>
      </c>
      <c r="J159" s="20">
        <f>9850/1000</f>
        <v>9.85</v>
      </c>
      <c r="K159" s="21">
        <f>I159*J159</f>
        <v>29.549999999999997</v>
      </c>
      <c r="L159" s="22">
        <f>F159^2/162</f>
        <v>3.8580246913580245</v>
      </c>
      <c r="M159" s="21">
        <f>K159*L159</f>
        <v>114.00462962962962</v>
      </c>
      <c r="N159" s="22">
        <f>M159/1000</f>
        <v>0.11400462962962962</v>
      </c>
      <c r="O159" s="13" t="inlineStr">
        <is>
          <t>BBS</t>
        </is>
      </c>
    </row>
    <row r="160">
      <c r="A160" s="13" t="n">
        <v>155</v>
      </c>
      <c r="B160" s="13" t="inlineStr">
        <is>
          <t>Beams</t>
        </is>
      </c>
      <c r="C160" s="13" t="inlineStr">
        <is>
          <t>STR-079</t>
        </is>
      </c>
      <c r="D160" s="13" t="inlineStr">
        <is>
          <t>Typical 4th-8th floor beams (sheet 2 of 2)</t>
        </is>
      </c>
      <c r="E160" s="19" t="inlineStr">
        <is>
          <t>2508</t>
        </is>
      </c>
      <c r="F160" s="19" t="n">
        <v>25</v>
      </c>
      <c r="G160" s="19" t="n">
        <v>1</v>
      </c>
      <c r="H160" s="19" t="n">
        <v>3</v>
      </c>
      <c r="I160" s="13">
        <f>G160*H160</f>
        <v>3.0</v>
      </c>
      <c r="J160" s="20">
        <f>11650/1000</f>
        <v>11.65</v>
      </c>
      <c r="K160" s="21">
        <f>I160*J160</f>
        <v>34.95</v>
      </c>
      <c r="L160" s="22">
        <f>F160^2/162</f>
        <v>3.8580246913580245</v>
      </c>
      <c r="M160" s="21">
        <f>K160*L160</f>
        <v>134.83796296296296</v>
      </c>
      <c r="N160" s="22">
        <f>M160/1000</f>
        <v>0.13483796296296297</v>
      </c>
      <c r="O160" s="13" t="inlineStr">
        <is>
          <t>BBS</t>
        </is>
      </c>
    </row>
    <row r="161">
      <c r="A161" s="13" t="n">
        <v>156</v>
      </c>
      <c r="B161" s="13" t="inlineStr">
        <is>
          <t>Beams</t>
        </is>
      </c>
      <c r="C161" s="13" t="inlineStr">
        <is>
          <t>STR-079</t>
        </is>
      </c>
      <c r="D161" s="13" t="inlineStr">
        <is>
          <t>Typical 4th-8th floor beams (sheet 2 of 2)</t>
        </is>
      </c>
      <c r="E161" s="19" t="inlineStr">
        <is>
          <t>2509</t>
        </is>
      </c>
      <c r="F161" s="19" t="n">
        <v>25</v>
      </c>
      <c r="G161" s="19" t="n">
        <v>1</v>
      </c>
      <c r="H161" s="19" t="n">
        <v>3</v>
      </c>
      <c r="I161" s="13">
        <f>G161*H161</f>
        <v>3.0</v>
      </c>
      <c r="J161" s="20">
        <f>6450/1000</f>
        <v>6.45</v>
      </c>
      <c r="K161" s="21">
        <f>I161*J161</f>
        <v>19.35</v>
      </c>
      <c r="L161" s="22">
        <f>F161^2/162</f>
        <v>3.8580246913580245</v>
      </c>
      <c r="M161" s="21">
        <f>K161*L161</f>
        <v>74.65277777777779</v>
      </c>
      <c r="N161" s="22">
        <f>M161/1000</f>
        <v>0.07465277777777779</v>
      </c>
      <c r="O161" s="13" t="inlineStr">
        <is>
          <t>BBS</t>
        </is>
      </c>
    </row>
    <row r="162">
      <c r="A162" s="13" t="n">
        <v>157</v>
      </c>
      <c r="B162" s="13" t="inlineStr">
        <is>
          <t>Beams</t>
        </is>
      </c>
      <c r="C162" s="13" t="inlineStr">
        <is>
          <t>STR-079</t>
        </is>
      </c>
      <c r="D162" s="13" t="inlineStr">
        <is>
          <t>Typical 4th-8th floor beams (sheet 2 of 2)</t>
        </is>
      </c>
      <c r="E162" s="19" t="inlineStr">
        <is>
          <t>2510</t>
        </is>
      </c>
      <c r="F162" s="19" t="n">
        <v>25</v>
      </c>
      <c r="G162" s="19" t="n">
        <v>1</v>
      </c>
      <c r="H162" s="19" t="n">
        <v>3</v>
      </c>
      <c r="I162" s="13">
        <f>G162*H162</f>
        <v>3.0</v>
      </c>
      <c r="J162" s="20">
        <f>7700/1000</f>
        <v>7.7</v>
      </c>
      <c r="K162" s="21">
        <f>I162*J162</f>
        <v>23.1</v>
      </c>
      <c r="L162" s="22">
        <f>F162^2/162</f>
        <v>3.8580246913580245</v>
      </c>
      <c r="M162" s="21">
        <f>K162*L162</f>
        <v>89.12037037037037</v>
      </c>
      <c r="N162" s="22">
        <f>M162/1000</f>
        <v>0.08912037037037036</v>
      </c>
      <c r="O162" s="13" t="inlineStr">
        <is>
          <t>BBS</t>
        </is>
      </c>
    </row>
    <row r="163">
      <c r="A163" s="13" t="n">
        <v>158</v>
      </c>
      <c r="B163" s="13" t="inlineStr">
        <is>
          <t>Beams</t>
        </is>
      </c>
      <c r="C163" s="13" t="inlineStr">
        <is>
          <t>STR-079</t>
        </is>
      </c>
      <c r="D163" s="13" t="inlineStr">
        <is>
          <t>Typical 4th-8th floor beams (sheet 2 of 2)</t>
        </is>
      </c>
      <c r="E163" s="19" t="inlineStr">
        <is>
          <t>2511</t>
        </is>
      </c>
      <c r="F163" s="19" t="n">
        <v>25</v>
      </c>
      <c r="G163" s="19" t="n">
        <v>1</v>
      </c>
      <c r="H163" s="19" t="n">
        <v>24</v>
      </c>
      <c r="I163" s="13">
        <f>G163*H163</f>
        <v>24.0</v>
      </c>
      <c r="J163" s="20">
        <f>3550/1000</f>
        <v>3.55</v>
      </c>
      <c r="K163" s="21">
        <f>I163*J163</f>
        <v>85.19999999999999</v>
      </c>
      <c r="L163" s="22">
        <f>F163^2/162</f>
        <v>3.8580246913580245</v>
      </c>
      <c r="M163" s="21">
        <f>K163*L163</f>
        <v>328.70370370370364</v>
      </c>
      <c r="N163" s="22">
        <f>M163/1000</f>
        <v>0.32870370370370366</v>
      </c>
      <c r="O163" s="13" t="inlineStr">
        <is>
          <t>BBS</t>
        </is>
      </c>
    </row>
    <row r="164">
      <c r="A164" s="13" t="n">
        <v>159</v>
      </c>
      <c r="B164" s="13" t="inlineStr">
        <is>
          <t>Beams</t>
        </is>
      </c>
      <c r="C164" s="13" t="inlineStr">
        <is>
          <t>STR-079</t>
        </is>
      </c>
      <c r="D164" s="13" t="inlineStr">
        <is>
          <t>Typical 4th-8th floor beams (sheet 2 of 2)</t>
        </is>
      </c>
      <c r="E164" s="19" t="inlineStr">
        <is>
          <t>2512</t>
        </is>
      </c>
      <c r="F164" s="19" t="n">
        <v>25</v>
      </c>
      <c r="G164" s="19" t="n">
        <v>1</v>
      </c>
      <c r="H164" s="19" t="n">
        <v>3</v>
      </c>
      <c r="I164" s="13">
        <f>G164*H164</f>
        <v>3.0</v>
      </c>
      <c r="J164" s="20">
        <f>7750/1000</f>
        <v>7.75</v>
      </c>
      <c r="K164" s="21">
        <f>I164*J164</f>
        <v>23.25</v>
      </c>
      <c r="L164" s="22">
        <f>F164^2/162</f>
        <v>3.8580246913580245</v>
      </c>
      <c r="M164" s="21">
        <f>K164*L164</f>
        <v>89.69907407407408</v>
      </c>
      <c r="N164" s="22">
        <f>M164/1000</f>
        <v>0.08969907407407407</v>
      </c>
      <c r="O164" s="13" t="inlineStr">
        <is>
          <t>BBS</t>
        </is>
      </c>
    </row>
    <row r="165">
      <c r="A165" s="13" t="n">
        <v>160</v>
      </c>
      <c r="B165" s="13" t="inlineStr">
        <is>
          <t>Beams</t>
        </is>
      </c>
      <c r="C165" s="13" t="inlineStr">
        <is>
          <t>STR-079</t>
        </is>
      </c>
      <c r="D165" s="13" t="inlineStr">
        <is>
          <t>Typical 4th-8th floor beams (sheet 2 of 2)</t>
        </is>
      </c>
      <c r="E165" s="19" t="inlineStr">
        <is>
          <t>2513</t>
        </is>
      </c>
      <c r="F165" s="19" t="n">
        <v>25</v>
      </c>
      <c r="G165" s="19" t="n">
        <v>1</v>
      </c>
      <c r="H165" s="19" t="n">
        <v>6</v>
      </c>
      <c r="I165" s="13">
        <f>G165*H165</f>
        <v>6.0</v>
      </c>
      <c r="J165" s="20">
        <f>6350/1000</f>
        <v>6.35</v>
      </c>
      <c r="K165" s="21">
        <f>I165*J165</f>
        <v>38.099999999999994</v>
      </c>
      <c r="L165" s="22">
        <f>F165^2/162</f>
        <v>3.8580246913580245</v>
      </c>
      <c r="M165" s="21">
        <f>K165*L165</f>
        <v>146.9907407407407</v>
      </c>
      <c r="N165" s="22">
        <f>M165/1000</f>
        <v>0.1469907407407407</v>
      </c>
      <c r="O165" s="13" t="inlineStr">
        <is>
          <t>BBS</t>
        </is>
      </c>
    </row>
    <row r="166">
      <c r="A166" s="13" t="n">
        <v>161</v>
      </c>
      <c r="B166" s="13" t="inlineStr">
        <is>
          <t>Beams</t>
        </is>
      </c>
      <c r="C166" s="13" t="inlineStr">
        <is>
          <t>STR-079</t>
        </is>
      </c>
      <c r="D166" s="13" t="inlineStr">
        <is>
          <t>Typical 4th-8th floor beams (sheet 2 of 2)</t>
        </is>
      </c>
      <c r="E166" s="19" t="inlineStr">
        <is>
          <t>2514</t>
        </is>
      </c>
      <c r="F166" s="19" t="n">
        <v>25</v>
      </c>
      <c r="G166" s="19" t="n">
        <v>1</v>
      </c>
      <c r="H166" s="19" t="n">
        <v>3</v>
      </c>
      <c r="I166" s="13">
        <f>G166*H166</f>
        <v>3.0</v>
      </c>
      <c r="J166" s="20">
        <f>10450/1000</f>
        <v>10.45</v>
      </c>
      <c r="K166" s="21">
        <f>I166*J166</f>
        <v>31.349999999999998</v>
      </c>
      <c r="L166" s="22">
        <f>F166^2/162</f>
        <v>3.8580246913580245</v>
      </c>
      <c r="M166" s="21">
        <f>K166*L166</f>
        <v>120.94907407407406</v>
      </c>
      <c r="N166" s="22">
        <f>M166/1000</f>
        <v>0.12094907407407406</v>
      </c>
      <c r="O166" s="13" t="inlineStr">
        <is>
          <t>BBS</t>
        </is>
      </c>
    </row>
    <row r="167">
      <c r="A167" s="13" t="n">
        <v>162</v>
      </c>
      <c r="B167" s="13" t="inlineStr">
        <is>
          <t>Beams</t>
        </is>
      </c>
      <c r="C167" s="13" t="inlineStr">
        <is>
          <t>STR-079</t>
        </is>
      </c>
      <c r="D167" s="13" t="inlineStr">
        <is>
          <t>Typical 4th-8th floor beams (sheet 2 of 2)</t>
        </is>
      </c>
      <c r="E167" s="19" t="inlineStr">
        <is>
          <t>2515</t>
        </is>
      </c>
      <c r="F167" s="19" t="n">
        <v>25</v>
      </c>
      <c r="G167" s="19" t="n">
        <v>1</v>
      </c>
      <c r="H167" s="19" t="n">
        <v>3</v>
      </c>
      <c r="I167" s="13">
        <f>G167*H167</f>
        <v>3.0</v>
      </c>
      <c r="J167" s="20">
        <f>11200/1000</f>
        <v>11.2</v>
      </c>
      <c r="K167" s="21">
        <f>I167*J167</f>
        <v>33.599999999999994</v>
      </c>
      <c r="L167" s="22">
        <f>F167^2/162</f>
        <v>3.8580246913580245</v>
      </c>
      <c r="M167" s="21">
        <f>K167*L167</f>
        <v>129.6296296296296</v>
      </c>
      <c r="N167" s="22">
        <f>M167/1000</f>
        <v>0.1296296296296296</v>
      </c>
      <c r="O167" s="13" t="inlineStr">
        <is>
          <t>BBS</t>
        </is>
      </c>
    </row>
    <row r="168">
      <c r="A168" s="13" t="n">
        <v>163</v>
      </c>
      <c r="B168" s="13" t="inlineStr">
        <is>
          <t>Beams</t>
        </is>
      </c>
      <c r="C168" s="13" t="inlineStr">
        <is>
          <t>STR-079</t>
        </is>
      </c>
      <c r="D168" s="13" t="inlineStr">
        <is>
          <t>Typical 4th-8th floor beams (sheet 2 of 2)</t>
        </is>
      </c>
      <c r="E168" s="19" t="inlineStr">
        <is>
          <t>2516</t>
        </is>
      </c>
      <c r="F168" s="19" t="n">
        <v>25</v>
      </c>
      <c r="G168" s="19" t="n">
        <v>1</v>
      </c>
      <c r="H168" s="19" t="n">
        <v>3</v>
      </c>
      <c r="I168" s="13">
        <f>G168*H168</f>
        <v>3.0</v>
      </c>
      <c r="J168" s="20">
        <f>8275/1000</f>
        <v>8.275</v>
      </c>
      <c r="K168" s="21">
        <f>I168*J168</f>
        <v>24.825000000000003</v>
      </c>
      <c r="L168" s="22">
        <f>F168^2/162</f>
        <v>3.8580246913580245</v>
      </c>
      <c r="M168" s="21">
        <f>K168*L168</f>
        <v>95.77546296296298</v>
      </c>
      <c r="N168" s="22">
        <f>M168/1000</f>
        <v>0.09577546296296298</v>
      </c>
      <c r="O168" s="13" t="inlineStr">
        <is>
          <t>BBS</t>
        </is>
      </c>
    </row>
    <row r="169">
      <c r="A169" s="13" t="n">
        <v>164</v>
      </c>
      <c r="B169" s="13" t="inlineStr">
        <is>
          <t>Beams</t>
        </is>
      </c>
      <c r="C169" s="13" t="inlineStr">
        <is>
          <t>STR-079</t>
        </is>
      </c>
      <c r="D169" s="13" t="inlineStr">
        <is>
          <t>Typical 4th-8th floor beams (sheet 2 of 2)</t>
        </is>
      </c>
      <c r="E169" s="19" t="inlineStr">
        <is>
          <t>2517</t>
        </is>
      </c>
      <c r="F169" s="19" t="n">
        <v>25</v>
      </c>
      <c r="G169" s="19" t="n">
        <v>1</v>
      </c>
      <c r="H169" s="19" t="n">
        <v>6</v>
      </c>
      <c r="I169" s="13">
        <f>G169*H169</f>
        <v>6.0</v>
      </c>
      <c r="J169" s="20">
        <f>10150/1000</f>
        <v>10.15</v>
      </c>
      <c r="K169" s="21">
        <f>I169*J169</f>
        <v>60.900000000000006</v>
      </c>
      <c r="L169" s="22">
        <f>F169^2/162</f>
        <v>3.8580246913580245</v>
      </c>
      <c r="M169" s="21">
        <f>K169*L169</f>
        <v>234.95370370370372</v>
      </c>
      <c r="N169" s="22">
        <f>M169/1000</f>
        <v>0.23495370370370372</v>
      </c>
      <c r="O169" s="13" t="inlineStr">
        <is>
          <t>BBS</t>
        </is>
      </c>
    </row>
    <row r="170">
      <c r="A170" s="13" t="n">
        <v>165</v>
      </c>
      <c r="B170" s="13" t="inlineStr">
        <is>
          <t>Floor Slabs</t>
        </is>
      </c>
      <c r="C170" s="13" t="inlineStr">
        <is>
          <t>STR-080</t>
        </is>
      </c>
      <c r="D170" s="13" t="inlineStr">
        <is>
          <t>Typical 4th-8th slab - bottom</t>
        </is>
      </c>
      <c r="E170" s="19" t="inlineStr">
        <is>
          <t>1201</t>
        </is>
      </c>
      <c r="F170" s="19" t="n">
        <v>12</v>
      </c>
      <c r="G170" s="19" t="n">
        <v>1</v>
      </c>
      <c r="H170" s="19" t="n">
        <v>306</v>
      </c>
      <c r="I170" s="13">
        <f>G170*H170</f>
        <v>306.0</v>
      </c>
      <c r="J170" s="20">
        <f>9900/1000</f>
        <v>9.9</v>
      </c>
      <c r="K170" s="21">
        <f>I170*J170</f>
        <v>3029.4</v>
      </c>
      <c r="L170" s="22">
        <f>F170^2/162</f>
        <v>0.8888888888888888</v>
      </c>
      <c r="M170" s="21">
        <f>K170*L170</f>
        <v>2692.7999999999997</v>
      </c>
      <c r="N170" s="22">
        <f>M170/1000</f>
        <v>2.6927999999999996</v>
      </c>
      <c r="O170" s="13" t="inlineStr">
        <is>
          <t>BBS</t>
        </is>
      </c>
    </row>
    <row r="171">
      <c r="A171" s="13" t="n">
        <v>166</v>
      </c>
      <c r="B171" s="13" t="inlineStr">
        <is>
          <t>Floor Slabs</t>
        </is>
      </c>
      <c r="C171" s="13" t="inlineStr">
        <is>
          <t>STR-080</t>
        </is>
      </c>
      <c r="D171" s="13" t="inlineStr">
        <is>
          <t>Typical 4th-8th slab - bottom</t>
        </is>
      </c>
      <c r="E171" s="19" t="inlineStr">
        <is>
          <t>1202</t>
        </is>
      </c>
      <c r="F171" s="19" t="n">
        <v>12</v>
      </c>
      <c r="G171" s="19" t="n">
        <v>1</v>
      </c>
      <c r="H171" s="19" t="n">
        <v>349</v>
      </c>
      <c r="I171" s="13">
        <f>G171*H171</f>
        <v>349.0</v>
      </c>
      <c r="J171" s="20">
        <f>5500/1000</f>
        <v>5.5</v>
      </c>
      <c r="K171" s="21">
        <f>I171*J171</f>
        <v>1919.5</v>
      </c>
      <c r="L171" s="22">
        <f>F171^2/162</f>
        <v>0.8888888888888888</v>
      </c>
      <c r="M171" s="21">
        <f>K171*L171</f>
        <v>1706.2222222222222</v>
      </c>
      <c r="N171" s="22">
        <f>M171/1000</f>
        <v>1.706222222222222</v>
      </c>
      <c r="O171" s="13" t="inlineStr">
        <is>
          <t>BBS</t>
        </is>
      </c>
    </row>
    <row r="172">
      <c r="A172" s="13" t="n">
        <v>167</v>
      </c>
      <c r="B172" s="13" t="inlineStr">
        <is>
          <t>Floor Slabs</t>
        </is>
      </c>
      <c r="C172" s="13" t="inlineStr">
        <is>
          <t>STR-080</t>
        </is>
      </c>
      <c r="D172" s="13" t="inlineStr">
        <is>
          <t>Typical 4th-8th slab - bottom</t>
        </is>
      </c>
      <c r="E172" s="19" t="inlineStr">
        <is>
          <t>1203</t>
        </is>
      </c>
      <c r="F172" s="19" t="n">
        <v>12</v>
      </c>
      <c r="G172" s="19" t="n">
        <v>1</v>
      </c>
      <c r="H172" s="19" t="n">
        <v>16</v>
      </c>
      <c r="I172" s="13">
        <f>G172*H172</f>
        <v>16.0</v>
      </c>
      <c r="J172" s="20">
        <f>4450/1000</f>
        <v>4.45</v>
      </c>
      <c r="K172" s="21">
        <f>I172*J172</f>
        <v>71.2</v>
      </c>
      <c r="L172" s="22">
        <f>F172^2/162</f>
        <v>0.8888888888888888</v>
      </c>
      <c r="M172" s="21">
        <f>K172*L172</f>
        <v>63.28888888888889</v>
      </c>
      <c r="N172" s="22">
        <f>M172/1000</f>
        <v>0.0632888888888889</v>
      </c>
      <c r="O172" s="13" t="inlineStr">
        <is>
          <t>BBS</t>
        </is>
      </c>
    </row>
    <row r="173">
      <c r="A173" s="13" t="n">
        <v>168</v>
      </c>
      <c r="B173" s="13" t="inlineStr">
        <is>
          <t>Floor Slabs</t>
        </is>
      </c>
      <c r="C173" s="13" t="inlineStr">
        <is>
          <t>STR-080</t>
        </is>
      </c>
      <c r="D173" s="13" t="inlineStr">
        <is>
          <t>Typical 4th-8th slab - bottom</t>
        </is>
      </c>
      <c r="E173" s="19" t="inlineStr">
        <is>
          <t>1204</t>
        </is>
      </c>
      <c r="F173" s="19" t="n">
        <v>12</v>
      </c>
      <c r="G173" s="19" t="n">
        <v>1</v>
      </c>
      <c r="H173" s="19" t="n">
        <v>371</v>
      </c>
      <c r="I173" s="13">
        <f>G173*H173</f>
        <v>371.0</v>
      </c>
      <c r="J173" s="20">
        <f>9050/1000</f>
        <v>9.05</v>
      </c>
      <c r="K173" s="21">
        <f>I173*J173</f>
        <v>3357.55</v>
      </c>
      <c r="L173" s="22">
        <f>F173^2/162</f>
        <v>0.8888888888888888</v>
      </c>
      <c r="M173" s="21">
        <f>K173*L173</f>
        <v>2984.488888888889</v>
      </c>
      <c r="N173" s="22">
        <f>M173/1000</f>
        <v>2.984488888888889</v>
      </c>
      <c r="O173" s="13" t="inlineStr">
        <is>
          <t>BBS</t>
        </is>
      </c>
    </row>
    <row r="174">
      <c r="A174" s="13" t="n">
        <v>169</v>
      </c>
      <c r="B174" s="13" t="inlineStr">
        <is>
          <t>Floor Slabs</t>
        </is>
      </c>
      <c r="C174" s="13" t="inlineStr">
        <is>
          <t>STR-080</t>
        </is>
      </c>
      <c r="D174" s="13" t="inlineStr">
        <is>
          <t>Typical 4th-8th slab - bottom</t>
        </is>
      </c>
      <c r="E174" s="19" t="inlineStr">
        <is>
          <t>1205</t>
        </is>
      </c>
      <c r="F174" s="19" t="n">
        <v>12</v>
      </c>
      <c r="G174" s="19" t="n">
        <v>1</v>
      </c>
      <c r="H174" s="19" t="n">
        <v>16</v>
      </c>
      <c r="I174" s="13">
        <f>G174*H174</f>
        <v>16.0</v>
      </c>
      <c r="J174" s="20">
        <f>3400/1000</f>
        <v>3.4</v>
      </c>
      <c r="K174" s="21">
        <f>I174*J174</f>
        <v>54.4</v>
      </c>
      <c r="L174" s="22">
        <f>F174^2/162</f>
        <v>0.8888888888888888</v>
      </c>
      <c r="M174" s="21">
        <f>K174*L174</f>
        <v>48.355555555555554</v>
      </c>
      <c r="N174" s="22">
        <f>M174/1000</f>
        <v>0.048355555555555554</v>
      </c>
      <c r="O174" s="13" t="inlineStr">
        <is>
          <t>BBS</t>
        </is>
      </c>
    </row>
    <row r="175">
      <c r="A175" s="13" t="n">
        <v>170</v>
      </c>
      <c r="B175" s="13" t="inlineStr">
        <is>
          <t>Floor Slabs</t>
        </is>
      </c>
      <c r="C175" s="13" t="inlineStr">
        <is>
          <t>STR-080</t>
        </is>
      </c>
      <c r="D175" s="13" t="inlineStr">
        <is>
          <t>Typical 4th-8th slab - bottom</t>
        </is>
      </c>
      <c r="E175" s="19" t="inlineStr">
        <is>
          <t>1206</t>
        </is>
      </c>
      <c r="F175" s="19" t="n">
        <v>12</v>
      </c>
      <c r="G175" s="19" t="n">
        <v>1</v>
      </c>
      <c r="H175" s="19" t="n">
        <v>37</v>
      </c>
      <c r="I175" s="13">
        <f>G175*H175</f>
        <v>37.0</v>
      </c>
      <c r="J175" s="20">
        <f>4600/1000</f>
        <v>4.6</v>
      </c>
      <c r="K175" s="21">
        <f>I175*J175</f>
        <v>170.2</v>
      </c>
      <c r="L175" s="22">
        <f>F175^2/162</f>
        <v>0.8888888888888888</v>
      </c>
      <c r="M175" s="21">
        <f>K175*L175</f>
        <v>151.28888888888886</v>
      </c>
      <c r="N175" s="22">
        <f>M175/1000</f>
        <v>0.15128888888888886</v>
      </c>
      <c r="O175" s="13" t="inlineStr">
        <is>
          <t>BBS</t>
        </is>
      </c>
    </row>
    <row r="176">
      <c r="A176" s="13" t="n">
        <v>171</v>
      </c>
      <c r="B176" s="13" t="inlineStr">
        <is>
          <t>Floor Slabs</t>
        </is>
      </c>
      <c r="C176" s="13" t="inlineStr">
        <is>
          <t>STR-080</t>
        </is>
      </c>
      <c r="D176" s="13" t="inlineStr">
        <is>
          <t>Typical 4th-8th slab - bottom</t>
        </is>
      </c>
      <c r="E176" s="19" t="inlineStr">
        <is>
          <t>1207</t>
        </is>
      </c>
      <c r="F176" s="19" t="n">
        <v>12</v>
      </c>
      <c r="G176" s="19" t="n">
        <v>1</v>
      </c>
      <c r="H176" s="19" t="n">
        <v>21</v>
      </c>
      <c r="I176" s="13">
        <f>G176*H176</f>
        <v>21.0</v>
      </c>
      <c r="J176" s="20">
        <f>4575/1000</f>
        <v>4.575</v>
      </c>
      <c r="K176" s="21">
        <f>I176*J176</f>
        <v>96.075</v>
      </c>
      <c r="L176" s="22">
        <f>F176^2/162</f>
        <v>0.8888888888888888</v>
      </c>
      <c r="M176" s="21">
        <f>K176*L176</f>
        <v>85.39999999999999</v>
      </c>
      <c r="N176" s="22">
        <f>M176/1000</f>
        <v>0.08539999999999999</v>
      </c>
      <c r="O176" s="13" t="inlineStr">
        <is>
          <t>BBS</t>
        </is>
      </c>
    </row>
    <row r="177">
      <c r="A177" s="13" t="n">
        <v>172</v>
      </c>
      <c r="B177" s="13" t="inlineStr">
        <is>
          <t>Floor Slabs</t>
        </is>
      </c>
      <c r="C177" s="13" t="inlineStr">
        <is>
          <t>STR-080</t>
        </is>
      </c>
      <c r="D177" s="13" t="inlineStr">
        <is>
          <t>Typical 4th-8th slab - bottom</t>
        </is>
      </c>
      <c r="E177" s="19" t="inlineStr">
        <is>
          <t>1208</t>
        </is>
      </c>
      <c r="F177" s="19" t="n">
        <v>12</v>
      </c>
      <c r="G177" s="19" t="n">
        <v>1</v>
      </c>
      <c r="H177" s="19" t="n">
        <v>47</v>
      </c>
      <c r="I177" s="13">
        <f>G177*H177</f>
        <v>47.0</v>
      </c>
      <c r="J177" s="20">
        <f>5325/1000</f>
        <v>5.325</v>
      </c>
      <c r="K177" s="21">
        <f>I177*J177</f>
        <v>250.275</v>
      </c>
      <c r="L177" s="22">
        <f>F177^2/162</f>
        <v>0.8888888888888888</v>
      </c>
      <c r="M177" s="21">
        <f>K177*L177</f>
        <v>222.46666666666667</v>
      </c>
      <c r="N177" s="22">
        <f>M177/1000</f>
        <v>0.22246666666666667</v>
      </c>
      <c r="O177" s="13" t="inlineStr">
        <is>
          <t>BBS</t>
        </is>
      </c>
    </row>
    <row r="178">
      <c r="A178" s="13" t="n">
        <v>173</v>
      </c>
      <c r="B178" s="13" t="inlineStr">
        <is>
          <t>Floor Slabs</t>
        </is>
      </c>
      <c r="C178" s="13" t="inlineStr">
        <is>
          <t>STR-080</t>
        </is>
      </c>
      <c r="D178" s="13" t="inlineStr">
        <is>
          <t>Typical 4th-8th slab - bottom</t>
        </is>
      </c>
      <c r="E178" s="19" t="inlineStr">
        <is>
          <t>1209</t>
        </is>
      </c>
      <c r="F178" s="19" t="n">
        <v>12</v>
      </c>
      <c r="G178" s="19" t="n">
        <v>1</v>
      </c>
      <c r="H178" s="19" t="n">
        <v>124</v>
      </c>
      <c r="I178" s="13">
        <f>G178*H178</f>
        <v>124.0</v>
      </c>
      <c r="J178" s="20">
        <f>8700/1000</f>
        <v>8.7</v>
      </c>
      <c r="K178" s="21">
        <f>I178*J178</f>
        <v>1078.8</v>
      </c>
      <c r="L178" s="22">
        <f>F178^2/162</f>
        <v>0.8888888888888888</v>
      </c>
      <c r="M178" s="21">
        <f>K178*L178</f>
        <v>958.9333333333333</v>
      </c>
      <c r="N178" s="22">
        <f>M178/1000</f>
        <v>0.9589333333333333</v>
      </c>
      <c r="O178" s="13" t="inlineStr">
        <is>
          <t>BBS</t>
        </is>
      </c>
    </row>
    <row r="179">
      <c r="A179" s="13" t="n">
        <v>174</v>
      </c>
      <c r="B179" s="13" t="inlineStr">
        <is>
          <t>Floor Slabs</t>
        </is>
      </c>
      <c r="C179" s="13" t="inlineStr">
        <is>
          <t>STR-080</t>
        </is>
      </c>
      <c r="D179" s="13" t="inlineStr">
        <is>
          <t>Typical 4th-8th slab - bottom</t>
        </is>
      </c>
      <c r="E179" s="19" t="inlineStr">
        <is>
          <t>1210</t>
        </is>
      </c>
      <c r="F179" s="19" t="n">
        <v>12</v>
      </c>
      <c r="G179" s="19" t="n">
        <v>1</v>
      </c>
      <c r="H179" s="19" t="n">
        <v>80</v>
      </c>
      <c r="I179" s="13">
        <f>G179*H179</f>
        <v>80.0</v>
      </c>
      <c r="J179" s="20">
        <f>9050/1000</f>
        <v>9.05</v>
      </c>
      <c r="K179" s="21">
        <f>I179*J179</f>
        <v>724.0</v>
      </c>
      <c r="L179" s="22">
        <f>F179^2/162</f>
        <v>0.8888888888888888</v>
      </c>
      <c r="M179" s="21">
        <f>K179*L179</f>
        <v>643.5555555555555</v>
      </c>
      <c r="N179" s="22">
        <f>M179/1000</f>
        <v>0.6435555555555555</v>
      </c>
      <c r="O179" s="13" t="inlineStr">
        <is>
          <t>BBS</t>
        </is>
      </c>
    </row>
    <row r="180">
      <c r="A180" s="13" t="n">
        <v>175</v>
      </c>
      <c r="B180" s="13" t="inlineStr">
        <is>
          <t>Floor Slabs</t>
        </is>
      </c>
      <c r="C180" s="13" t="inlineStr">
        <is>
          <t>STR-080</t>
        </is>
      </c>
      <c r="D180" s="13" t="inlineStr">
        <is>
          <t>Typical 4th-8th slab - bottom</t>
        </is>
      </c>
      <c r="E180" s="19" t="inlineStr">
        <is>
          <t>1211</t>
        </is>
      </c>
      <c r="F180" s="19" t="n">
        <v>12</v>
      </c>
      <c r="G180" s="19" t="n">
        <v>1</v>
      </c>
      <c r="H180" s="19" t="n">
        <v>15</v>
      </c>
      <c r="I180" s="13">
        <f>G180*H180</f>
        <v>15.0</v>
      </c>
      <c r="J180" s="20">
        <f>8650/1000</f>
        <v>8.65</v>
      </c>
      <c r="K180" s="21">
        <f>I180*J180</f>
        <v>129.75</v>
      </c>
      <c r="L180" s="22">
        <f>F180^2/162</f>
        <v>0.8888888888888888</v>
      </c>
      <c r="M180" s="21">
        <f>K180*L180</f>
        <v>115.33333333333333</v>
      </c>
      <c r="N180" s="22">
        <f>M180/1000</f>
        <v>0.11533333333333333</v>
      </c>
      <c r="O180" s="13" t="inlineStr">
        <is>
          <t>BBS</t>
        </is>
      </c>
    </row>
    <row r="181">
      <c r="A181" s="13" t="n">
        <v>176</v>
      </c>
      <c r="B181" s="13" t="inlineStr">
        <is>
          <t>Floor Slabs</t>
        </is>
      </c>
      <c r="C181" s="13" t="inlineStr">
        <is>
          <t>STR-080</t>
        </is>
      </c>
      <c r="D181" s="13" t="inlineStr">
        <is>
          <t>Typical 4th-8th slab - bottom</t>
        </is>
      </c>
      <c r="E181" s="19" t="inlineStr">
        <is>
          <t>1212</t>
        </is>
      </c>
      <c r="F181" s="19" t="n">
        <v>12</v>
      </c>
      <c r="G181" s="19" t="n">
        <v>1</v>
      </c>
      <c r="H181" s="19" t="n">
        <v>23</v>
      </c>
      <c r="I181" s="13">
        <f>G181*H181</f>
        <v>23.0</v>
      </c>
      <c r="J181" s="20">
        <f>8750/1000</f>
        <v>8.75</v>
      </c>
      <c r="K181" s="21">
        <f>I181*J181</f>
        <v>201.25</v>
      </c>
      <c r="L181" s="22">
        <f>F181^2/162</f>
        <v>0.8888888888888888</v>
      </c>
      <c r="M181" s="21">
        <f>K181*L181</f>
        <v>178.88888888888889</v>
      </c>
      <c r="N181" s="22">
        <f>M181/1000</f>
        <v>0.17888888888888888</v>
      </c>
      <c r="O181" s="13" t="inlineStr">
        <is>
          <t>BBS</t>
        </is>
      </c>
    </row>
    <row r="182">
      <c r="A182" s="13" t="n">
        <v>177</v>
      </c>
      <c r="B182" s="13" t="inlineStr">
        <is>
          <t>Floor Slabs</t>
        </is>
      </c>
      <c r="C182" s="13" t="inlineStr">
        <is>
          <t>STR-080</t>
        </is>
      </c>
      <c r="D182" s="13" t="inlineStr">
        <is>
          <t>Typical 4th-8th slab - bottom</t>
        </is>
      </c>
      <c r="E182" s="19" t="inlineStr">
        <is>
          <t>1213</t>
        </is>
      </c>
      <c r="F182" s="19" t="n">
        <v>12</v>
      </c>
      <c r="G182" s="19" t="n">
        <v>1</v>
      </c>
      <c r="H182" s="19" t="n">
        <v>24</v>
      </c>
      <c r="I182" s="13">
        <f>G182*H182</f>
        <v>24.0</v>
      </c>
      <c r="J182" s="20">
        <f>8700/1000</f>
        <v>8.7</v>
      </c>
      <c r="K182" s="21">
        <f>I182*J182</f>
        <v>208.79999999999998</v>
      </c>
      <c r="L182" s="22">
        <f>F182^2/162</f>
        <v>0.8888888888888888</v>
      </c>
      <c r="M182" s="21">
        <f>K182*L182</f>
        <v>185.59999999999997</v>
      </c>
      <c r="N182" s="22">
        <f>M182/1000</f>
        <v>0.18559999999999996</v>
      </c>
      <c r="O182" s="13" t="inlineStr">
        <is>
          <t>BBS</t>
        </is>
      </c>
    </row>
    <row r="183">
      <c r="A183" s="13" t="n">
        <v>178</v>
      </c>
      <c r="B183" s="13" t="inlineStr">
        <is>
          <t>Floor Slabs</t>
        </is>
      </c>
      <c r="C183" s="13" t="inlineStr">
        <is>
          <t>STR-080</t>
        </is>
      </c>
      <c r="D183" s="13" t="inlineStr">
        <is>
          <t>Typical 4th-8th slab - bottom</t>
        </is>
      </c>
      <c r="E183" s="19" t="inlineStr">
        <is>
          <t>1214</t>
        </is>
      </c>
      <c r="F183" s="19" t="n">
        <v>12</v>
      </c>
      <c r="G183" s="19" t="n">
        <v>1</v>
      </c>
      <c r="H183" s="19" t="n">
        <v>7</v>
      </c>
      <c r="I183" s="13">
        <f>G183*H183</f>
        <v>7.0</v>
      </c>
      <c r="J183" s="20">
        <f>10000/1000</f>
        <v>10.0</v>
      </c>
      <c r="K183" s="21">
        <f>I183*J183</f>
        <v>70.0</v>
      </c>
      <c r="L183" s="22">
        <f>F183^2/162</f>
        <v>0.8888888888888888</v>
      </c>
      <c r="M183" s="21">
        <f>K183*L183</f>
        <v>62.22222222222222</v>
      </c>
      <c r="N183" s="22">
        <f>M183/1000</f>
        <v>0.06222222222222222</v>
      </c>
      <c r="O183" s="13" t="inlineStr">
        <is>
          <t>BBS</t>
        </is>
      </c>
    </row>
    <row r="184">
      <c r="A184" s="13" t="n">
        <v>179</v>
      </c>
      <c r="B184" s="13" t="inlineStr">
        <is>
          <t>Floor Slabs</t>
        </is>
      </c>
      <c r="C184" s="13" t="inlineStr">
        <is>
          <t>STR-080</t>
        </is>
      </c>
      <c r="D184" s="13" t="inlineStr">
        <is>
          <t>Typical 4th-8th slab - bottom</t>
        </is>
      </c>
      <c r="E184" s="19" t="inlineStr">
        <is>
          <t>1215</t>
        </is>
      </c>
      <c r="F184" s="19" t="n">
        <v>12</v>
      </c>
      <c r="G184" s="19" t="n">
        <v>1</v>
      </c>
      <c r="H184" s="19" t="n">
        <v>202</v>
      </c>
      <c r="I184" s="13">
        <f>G184*H184</f>
        <v>202.0</v>
      </c>
      <c r="J184" s="20">
        <f>10000/1000</f>
        <v>10.0</v>
      </c>
      <c r="K184" s="21">
        <f>I184*J184</f>
        <v>2020.0</v>
      </c>
      <c r="L184" s="22">
        <f>F184^2/162</f>
        <v>0.8888888888888888</v>
      </c>
      <c r="M184" s="21">
        <f>K184*L184</f>
        <v>1795.5555555555554</v>
      </c>
      <c r="N184" s="22">
        <f>M184/1000</f>
        <v>1.7955555555555553</v>
      </c>
      <c r="O184" s="13" t="inlineStr">
        <is>
          <t>BBS</t>
        </is>
      </c>
    </row>
    <row r="185">
      <c r="A185" s="13" t="n">
        <v>180</v>
      </c>
      <c r="B185" s="13" t="inlineStr">
        <is>
          <t>Floor Slabs</t>
        </is>
      </c>
      <c r="C185" s="13" t="inlineStr">
        <is>
          <t>STR-080</t>
        </is>
      </c>
      <c r="D185" s="13" t="inlineStr">
        <is>
          <t>Typical 4th-8th slab - bottom</t>
        </is>
      </c>
      <c r="E185" s="19" t="inlineStr">
        <is>
          <t>1216</t>
        </is>
      </c>
      <c r="F185" s="19" t="n">
        <v>12</v>
      </c>
      <c r="G185" s="19" t="n">
        <v>1</v>
      </c>
      <c r="H185" s="19" t="n">
        <v>162</v>
      </c>
      <c r="I185" s="13">
        <f>G185*H185</f>
        <v>162.0</v>
      </c>
      <c r="J185" s="20">
        <f>9550/1000</f>
        <v>9.55</v>
      </c>
      <c r="K185" s="21">
        <f>I185*J185</f>
        <v>1547.1000000000001</v>
      </c>
      <c r="L185" s="22">
        <f>F185^2/162</f>
        <v>0.8888888888888888</v>
      </c>
      <c r="M185" s="21">
        <f>K185*L185</f>
        <v>1375.2</v>
      </c>
      <c r="N185" s="22">
        <f>M185/1000</f>
        <v>1.3752</v>
      </c>
      <c r="O185" s="13" t="inlineStr">
        <is>
          <t>BBS</t>
        </is>
      </c>
    </row>
    <row r="186">
      <c r="A186" s="13" t="n">
        <v>181</v>
      </c>
      <c r="B186" s="13" t="inlineStr">
        <is>
          <t>Floor Slabs</t>
        </is>
      </c>
      <c r="C186" s="13" t="inlineStr">
        <is>
          <t>STR-080</t>
        </is>
      </c>
      <c r="D186" s="13" t="inlineStr">
        <is>
          <t>Typical 4th-8th slab - bottom</t>
        </is>
      </c>
      <c r="E186" s="19" t="inlineStr">
        <is>
          <t>1217</t>
        </is>
      </c>
      <c r="F186" s="19" t="n">
        <v>12</v>
      </c>
      <c r="G186" s="19" t="n">
        <v>1</v>
      </c>
      <c r="H186" s="19" t="n">
        <v>31</v>
      </c>
      <c r="I186" s="13">
        <f>G186*H186</f>
        <v>31.0</v>
      </c>
      <c r="J186" s="20">
        <f>7250/1000</f>
        <v>7.25</v>
      </c>
      <c r="K186" s="21">
        <f>I186*J186</f>
        <v>224.75</v>
      </c>
      <c r="L186" s="22">
        <f>F186^2/162</f>
        <v>0.8888888888888888</v>
      </c>
      <c r="M186" s="21">
        <f>K186*L186</f>
        <v>199.77777777777777</v>
      </c>
      <c r="N186" s="22">
        <f>M186/1000</f>
        <v>0.19977777777777778</v>
      </c>
      <c r="O186" s="13" t="inlineStr">
        <is>
          <t>BBS</t>
        </is>
      </c>
    </row>
    <row r="187">
      <c r="A187" s="13" t="n">
        <v>182</v>
      </c>
      <c r="B187" s="13" t="inlineStr">
        <is>
          <t>Floor Slabs</t>
        </is>
      </c>
      <c r="C187" s="13" t="inlineStr">
        <is>
          <t>STR-080</t>
        </is>
      </c>
      <c r="D187" s="13" t="inlineStr">
        <is>
          <t>Typical 4th-8th slab - bottom</t>
        </is>
      </c>
      <c r="E187" s="19" t="inlineStr">
        <is>
          <t>1218</t>
        </is>
      </c>
      <c r="F187" s="19" t="n">
        <v>12</v>
      </c>
      <c r="G187" s="19" t="n">
        <v>1</v>
      </c>
      <c r="H187" s="19" t="n">
        <v>205</v>
      </c>
      <c r="I187" s="13">
        <f>G187*H187</f>
        <v>205.0</v>
      </c>
      <c r="J187" s="20">
        <f>7775/1000</f>
        <v>7.775</v>
      </c>
      <c r="K187" s="21">
        <f>I187*J187</f>
        <v>1593.875</v>
      </c>
      <c r="L187" s="22">
        <f>F187^2/162</f>
        <v>0.8888888888888888</v>
      </c>
      <c r="M187" s="21">
        <f>K187*L187</f>
        <v>1416.7777777777776</v>
      </c>
      <c r="N187" s="22">
        <f>M187/1000</f>
        <v>1.4167777777777777</v>
      </c>
      <c r="O187" s="13" t="inlineStr">
        <is>
          <t>BBS</t>
        </is>
      </c>
    </row>
    <row r="188">
      <c r="A188" s="13" t="n">
        <v>183</v>
      </c>
      <c r="B188" s="13" t="inlineStr">
        <is>
          <t>Floor Slabs</t>
        </is>
      </c>
      <c r="C188" s="13" t="inlineStr">
        <is>
          <t>STR-080</t>
        </is>
      </c>
      <c r="D188" s="13" t="inlineStr">
        <is>
          <t>Typical 4th-8th slab - bottom</t>
        </is>
      </c>
      <c r="E188" s="19" t="inlineStr">
        <is>
          <t>1219</t>
        </is>
      </c>
      <c r="F188" s="19" t="n">
        <v>12</v>
      </c>
      <c r="G188" s="19" t="n">
        <v>1</v>
      </c>
      <c r="H188" s="19" t="n">
        <v>44</v>
      </c>
      <c r="I188" s="13">
        <f>G188*H188</f>
        <v>44.0</v>
      </c>
      <c r="J188" s="20">
        <f>8000/1000</f>
        <v>8.0</v>
      </c>
      <c r="K188" s="21">
        <f>I188*J188</f>
        <v>352.0</v>
      </c>
      <c r="L188" s="22">
        <f>F188^2/162</f>
        <v>0.8888888888888888</v>
      </c>
      <c r="M188" s="21">
        <f>K188*L188</f>
        <v>312.88888888888886</v>
      </c>
      <c r="N188" s="22">
        <f>M188/1000</f>
        <v>0.3128888888888889</v>
      </c>
      <c r="O188" s="13" t="inlineStr">
        <is>
          <t>BBS</t>
        </is>
      </c>
    </row>
    <row r="189">
      <c r="A189" s="13" t="n">
        <v>184</v>
      </c>
      <c r="B189" s="13" t="inlineStr">
        <is>
          <t>Floor Slabs</t>
        </is>
      </c>
      <c r="C189" s="13" t="inlineStr">
        <is>
          <t>STR-080</t>
        </is>
      </c>
      <c r="D189" s="13" t="inlineStr">
        <is>
          <t>Typical 4th-8th slab - bottom</t>
        </is>
      </c>
      <c r="E189" s="19" t="inlineStr">
        <is>
          <t>1220</t>
        </is>
      </c>
      <c r="F189" s="19" t="n">
        <v>12</v>
      </c>
      <c r="G189" s="19" t="n">
        <v>1</v>
      </c>
      <c r="H189" s="19" t="n">
        <v>23</v>
      </c>
      <c r="I189" s="13">
        <f>G189*H189</f>
        <v>23.0</v>
      </c>
      <c r="J189" s="20">
        <f>12000/1000</f>
        <v>12.0</v>
      </c>
      <c r="K189" s="21">
        <f>I189*J189</f>
        <v>276.0</v>
      </c>
      <c r="L189" s="22">
        <f>F189^2/162</f>
        <v>0.8888888888888888</v>
      </c>
      <c r="M189" s="21">
        <f>K189*L189</f>
        <v>245.33333333333331</v>
      </c>
      <c r="N189" s="22">
        <f>M189/1000</f>
        <v>0.24533333333333332</v>
      </c>
      <c r="O189" s="13" t="inlineStr">
        <is>
          <t>BBS</t>
        </is>
      </c>
    </row>
    <row r="190">
      <c r="A190" s="13" t="n">
        <v>185</v>
      </c>
      <c r="B190" s="13" t="inlineStr">
        <is>
          <t>Floor Slabs</t>
        </is>
      </c>
      <c r="C190" s="13" t="inlineStr">
        <is>
          <t>STR-080</t>
        </is>
      </c>
      <c r="D190" s="13" t="inlineStr">
        <is>
          <t>Typical 4th-8th slab - bottom</t>
        </is>
      </c>
      <c r="E190" s="19" t="inlineStr">
        <is>
          <t>1221</t>
        </is>
      </c>
      <c r="F190" s="19" t="n">
        <v>12</v>
      </c>
      <c r="G190" s="19" t="n">
        <v>1</v>
      </c>
      <c r="H190" s="19" t="n">
        <v>212</v>
      </c>
      <c r="I190" s="13">
        <f>G190*H190</f>
        <v>212.0</v>
      </c>
      <c r="J190" s="20">
        <f>6000/1000</f>
        <v>6.0</v>
      </c>
      <c r="K190" s="21">
        <f>I190*J190</f>
        <v>1272.0</v>
      </c>
      <c r="L190" s="22">
        <f>F190^2/162</f>
        <v>0.8888888888888888</v>
      </c>
      <c r="M190" s="21">
        <f>K190*L190</f>
        <v>1130.6666666666665</v>
      </c>
      <c r="N190" s="22">
        <f>M190/1000</f>
        <v>1.1306666666666665</v>
      </c>
      <c r="O190" s="13" t="inlineStr">
        <is>
          <t>BBS</t>
        </is>
      </c>
    </row>
    <row r="191">
      <c r="A191" s="13" t="n">
        <v>186</v>
      </c>
      <c r="B191" s="13" t="inlineStr">
        <is>
          <t>Floor Slabs</t>
        </is>
      </c>
      <c r="C191" s="13" t="inlineStr">
        <is>
          <t>STR-080</t>
        </is>
      </c>
      <c r="D191" s="13" t="inlineStr">
        <is>
          <t>Typical 4th-8th slab - bottom</t>
        </is>
      </c>
      <c r="E191" s="19" t="inlineStr">
        <is>
          <t>1222</t>
        </is>
      </c>
      <c r="F191" s="19" t="n">
        <v>12</v>
      </c>
      <c r="G191" s="19" t="n">
        <v>1</v>
      </c>
      <c r="H191" s="19" t="n">
        <v>13</v>
      </c>
      <c r="I191" s="13">
        <f>G191*H191</f>
        <v>13.0</v>
      </c>
      <c r="J191" s="20">
        <f>7325/1000</f>
        <v>7.325</v>
      </c>
      <c r="K191" s="21">
        <f>I191*J191</f>
        <v>95.22500000000001</v>
      </c>
      <c r="L191" s="22">
        <f>F191^2/162</f>
        <v>0.8888888888888888</v>
      </c>
      <c r="M191" s="21">
        <f>K191*L191</f>
        <v>84.64444444444445</v>
      </c>
      <c r="N191" s="22">
        <f>M191/1000</f>
        <v>0.08464444444444444</v>
      </c>
      <c r="O191" s="13" t="inlineStr">
        <is>
          <t>BBS</t>
        </is>
      </c>
    </row>
    <row r="192">
      <c r="A192" s="13" t="n">
        <v>187</v>
      </c>
      <c r="B192" s="13" t="inlineStr">
        <is>
          <t>Floor Slabs</t>
        </is>
      </c>
      <c r="C192" s="13" t="inlineStr">
        <is>
          <t>STR-080</t>
        </is>
      </c>
      <c r="D192" s="13" t="inlineStr">
        <is>
          <t>Typical 4th-8th slab - bottom</t>
        </is>
      </c>
      <c r="E192" s="19" t="inlineStr">
        <is>
          <t>1223</t>
        </is>
      </c>
      <c r="F192" s="19" t="n">
        <v>12</v>
      </c>
      <c r="G192" s="19" t="n">
        <v>1</v>
      </c>
      <c r="H192" s="19" t="n">
        <v>149</v>
      </c>
      <c r="I192" s="13">
        <f>G192*H192</f>
        <v>149.0</v>
      </c>
      <c r="J192" s="20">
        <f>12000/1000</f>
        <v>12.0</v>
      </c>
      <c r="K192" s="21">
        <f>I192*J192</f>
        <v>1788.0</v>
      </c>
      <c r="L192" s="22">
        <f>F192^2/162</f>
        <v>0.8888888888888888</v>
      </c>
      <c r="M192" s="21">
        <f>K192*L192</f>
        <v>1589.3333333333333</v>
      </c>
      <c r="N192" s="22">
        <f>M192/1000</f>
        <v>1.5893333333333333</v>
      </c>
      <c r="O192" s="13" t="inlineStr">
        <is>
          <t>BBS</t>
        </is>
      </c>
    </row>
    <row r="193">
      <c r="A193" s="13" t="n">
        <v>188</v>
      </c>
      <c r="B193" s="13" t="inlineStr">
        <is>
          <t>Floor Slabs</t>
        </is>
      </c>
      <c r="C193" s="13" t="inlineStr">
        <is>
          <t>STR-080</t>
        </is>
      </c>
      <c r="D193" s="13" t="inlineStr">
        <is>
          <t>Typical 4th-8th slab - bottom</t>
        </is>
      </c>
      <c r="E193" s="19" t="inlineStr">
        <is>
          <t>1224</t>
        </is>
      </c>
      <c r="F193" s="19" t="n">
        <v>12</v>
      </c>
      <c r="G193" s="19" t="n">
        <v>1</v>
      </c>
      <c r="H193" s="19" t="n">
        <v>85</v>
      </c>
      <c r="I193" s="13">
        <f>G193*H193</f>
        <v>85.0</v>
      </c>
      <c r="J193" s="20">
        <f>7375/1000</f>
        <v>7.375</v>
      </c>
      <c r="K193" s="21">
        <f>I193*J193</f>
        <v>626.875</v>
      </c>
      <c r="L193" s="22">
        <f>F193^2/162</f>
        <v>0.8888888888888888</v>
      </c>
      <c r="M193" s="21">
        <f>K193*L193</f>
        <v>557.2222222222222</v>
      </c>
      <c r="N193" s="22">
        <f>M193/1000</f>
        <v>0.5572222222222222</v>
      </c>
      <c r="O193" s="13" t="inlineStr">
        <is>
          <t>BBS</t>
        </is>
      </c>
    </row>
    <row r="194">
      <c r="A194" s="13" t="n">
        <v>189</v>
      </c>
      <c r="B194" s="13" t="inlineStr">
        <is>
          <t>Floor Slabs</t>
        </is>
      </c>
      <c r="C194" s="13" t="inlineStr">
        <is>
          <t>STR-080</t>
        </is>
      </c>
      <c r="D194" s="13" t="inlineStr">
        <is>
          <t>Typical 4th-8th slab - bottom</t>
        </is>
      </c>
      <c r="E194" s="19" t="inlineStr">
        <is>
          <t>1225</t>
        </is>
      </c>
      <c r="F194" s="19" t="n">
        <v>12</v>
      </c>
      <c r="G194" s="19" t="n">
        <v>1</v>
      </c>
      <c r="H194" s="19" t="n">
        <v>13</v>
      </c>
      <c r="I194" s="13">
        <f>G194*H194</f>
        <v>13.0</v>
      </c>
      <c r="J194" s="20">
        <f>3950/1000</f>
        <v>3.95</v>
      </c>
      <c r="K194" s="21">
        <f>I194*J194</f>
        <v>51.35</v>
      </c>
      <c r="L194" s="22">
        <f>F194^2/162</f>
        <v>0.8888888888888888</v>
      </c>
      <c r="M194" s="21">
        <f>K194*L194</f>
        <v>45.644444444444446</v>
      </c>
      <c r="N194" s="22">
        <f>M194/1000</f>
        <v>0.045644444444444446</v>
      </c>
      <c r="O194" s="13" t="inlineStr">
        <is>
          <t>BBS</t>
        </is>
      </c>
    </row>
    <row r="195">
      <c r="A195" s="13" t="n">
        <v>190</v>
      </c>
      <c r="B195" s="13" t="inlineStr">
        <is>
          <t>Floor Slabs</t>
        </is>
      </c>
      <c r="C195" s="13" t="inlineStr">
        <is>
          <t>STR-080</t>
        </is>
      </c>
      <c r="D195" s="13" t="inlineStr">
        <is>
          <t>Typical 4th-8th slab - bottom</t>
        </is>
      </c>
      <c r="E195" s="19" t="inlineStr">
        <is>
          <t>1226</t>
        </is>
      </c>
      <c r="F195" s="19" t="n">
        <v>12</v>
      </c>
      <c r="G195" s="19" t="n">
        <v>1</v>
      </c>
      <c r="H195" s="19" t="n">
        <v>357</v>
      </c>
      <c r="I195" s="13">
        <f>G195*H195</f>
        <v>357.0</v>
      </c>
      <c r="J195" s="20">
        <f>6200/1000</f>
        <v>6.2</v>
      </c>
      <c r="K195" s="21">
        <f>I195*J195</f>
        <v>2213.4</v>
      </c>
      <c r="L195" s="22">
        <f>F195^2/162</f>
        <v>0.8888888888888888</v>
      </c>
      <c r="M195" s="21">
        <f>K195*L195</f>
        <v>1967.4666666666667</v>
      </c>
      <c r="N195" s="22">
        <f>M195/1000</f>
        <v>1.9674666666666667</v>
      </c>
      <c r="O195" s="13" t="inlineStr">
        <is>
          <t>BBS</t>
        </is>
      </c>
    </row>
    <row r="196">
      <c r="A196" s="13" t="n">
        <v>191</v>
      </c>
      <c r="B196" s="13" t="inlineStr">
        <is>
          <t>Floor Slabs</t>
        </is>
      </c>
      <c r="C196" s="13" t="inlineStr">
        <is>
          <t>STR-080</t>
        </is>
      </c>
      <c r="D196" s="13" t="inlineStr">
        <is>
          <t>Typical 4th-8th slab - bottom</t>
        </is>
      </c>
      <c r="E196" s="19" t="inlineStr">
        <is>
          <t>1227</t>
        </is>
      </c>
      <c r="F196" s="19" t="n">
        <v>12</v>
      </c>
      <c r="G196" s="19" t="n">
        <v>1</v>
      </c>
      <c r="H196" s="19" t="n">
        <v>212</v>
      </c>
      <c r="I196" s="13">
        <f>G196*H196</f>
        <v>212.0</v>
      </c>
      <c r="J196" s="20">
        <f>9475/1000</f>
        <v>9.475</v>
      </c>
      <c r="K196" s="21">
        <f>I196*J196</f>
        <v>2008.6999999999998</v>
      </c>
      <c r="L196" s="22">
        <f>F196^2/162</f>
        <v>0.8888888888888888</v>
      </c>
      <c r="M196" s="21">
        <f>K196*L196</f>
        <v>1785.511111111111</v>
      </c>
      <c r="N196" s="22">
        <f>M196/1000</f>
        <v>1.785511111111111</v>
      </c>
      <c r="O196" s="13" t="inlineStr">
        <is>
          <t>BBS</t>
        </is>
      </c>
    </row>
    <row r="197">
      <c r="A197" s="13" t="n">
        <v>192</v>
      </c>
      <c r="B197" s="13" t="inlineStr">
        <is>
          <t>Floor Slabs</t>
        </is>
      </c>
      <c r="C197" s="13" t="inlineStr">
        <is>
          <t>STR-080</t>
        </is>
      </c>
      <c r="D197" s="13" t="inlineStr">
        <is>
          <t>Typical 4th-8th slab - bottom</t>
        </is>
      </c>
      <c r="E197" s="19" t="inlineStr">
        <is>
          <t>1228</t>
        </is>
      </c>
      <c r="F197" s="19" t="n">
        <v>12</v>
      </c>
      <c r="G197" s="19" t="n">
        <v>1</v>
      </c>
      <c r="H197" s="19" t="n">
        <v>75</v>
      </c>
      <c r="I197" s="13">
        <f>G197*H197</f>
        <v>75.0</v>
      </c>
      <c r="J197" s="20">
        <f>7250/1000</f>
        <v>7.25</v>
      </c>
      <c r="K197" s="21">
        <f>I197*J197</f>
        <v>543.75</v>
      </c>
      <c r="L197" s="22">
        <f>F197^2/162</f>
        <v>0.8888888888888888</v>
      </c>
      <c r="M197" s="21">
        <f>K197*L197</f>
        <v>483.3333333333333</v>
      </c>
      <c r="N197" s="22">
        <f>M197/1000</f>
        <v>0.48333333333333334</v>
      </c>
      <c r="O197" s="13" t="inlineStr">
        <is>
          <t>BBS</t>
        </is>
      </c>
    </row>
    <row r="198">
      <c r="A198" s="13" t="n">
        <v>193</v>
      </c>
      <c r="B198" s="13" t="inlineStr">
        <is>
          <t>Floor Slabs</t>
        </is>
      </c>
      <c r="C198" s="13" t="inlineStr">
        <is>
          <t>STR-080</t>
        </is>
      </c>
      <c r="D198" s="13" t="inlineStr">
        <is>
          <t>Typical 4th-8th slab - bottom</t>
        </is>
      </c>
      <c r="E198" s="19" t="inlineStr">
        <is>
          <t>1229</t>
        </is>
      </c>
      <c r="F198" s="19" t="n">
        <v>12</v>
      </c>
      <c r="G198" s="19" t="n">
        <v>1</v>
      </c>
      <c r="H198" s="19" t="n">
        <v>7</v>
      </c>
      <c r="I198" s="13">
        <f>G198*H198</f>
        <v>7.0</v>
      </c>
      <c r="J198" s="20">
        <f>4800/1000</f>
        <v>4.8</v>
      </c>
      <c r="K198" s="21">
        <f>I198*J198</f>
        <v>33.6</v>
      </c>
      <c r="L198" s="22">
        <f>F198^2/162</f>
        <v>0.8888888888888888</v>
      </c>
      <c r="M198" s="21">
        <f>K198*L198</f>
        <v>29.866666666666667</v>
      </c>
      <c r="N198" s="22">
        <f>M198/1000</f>
        <v>0.029866666666666666</v>
      </c>
      <c r="O198" s="13" t="inlineStr">
        <is>
          <t>BBS</t>
        </is>
      </c>
    </row>
    <row r="199">
      <c r="A199" s="13" t="n">
        <v>194</v>
      </c>
      <c r="B199" s="13" t="inlineStr">
        <is>
          <t>Floor Slabs</t>
        </is>
      </c>
      <c r="C199" s="13" t="inlineStr">
        <is>
          <t>STR-080</t>
        </is>
      </c>
      <c r="D199" s="13" t="inlineStr">
        <is>
          <t>Typical 4th-8th slab - bottom</t>
        </is>
      </c>
      <c r="E199" s="19" t="inlineStr">
        <is>
          <t>1230</t>
        </is>
      </c>
      <c r="F199" s="19" t="n">
        <v>12</v>
      </c>
      <c r="G199" s="19" t="n">
        <v>1</v>
      </c>
      <c r="H199" s="19" t="n">
        <v>73</v>
      </c>
      <c r="I199" s="13">
        <f>G199*H199</f>
        <v>73.0</v>
      </c>
      <c r="J199" s="20">
        <f>7400/1000</f>
        <v>7.4</v>
      </c>
      <c r="K199" s="21">
        <f>I199*J199</f>
        <v>540.2</v>
      </c>
      <c r="L199" s="22">
        <f>F199^2/162</f>
        <v>0.8888888888888888</v>
      </c>
      <c r="M199" s="21">
        <f>K199*L199</f>
        <v>480.1777777777778</v>
      </c>
      <c r="N199" s="22">
        <f>M199/1000</f>
        <v>0.4801777777777778</v>
      </c>
      <c r="O199" s="13" t="inlineStr">
        <is>
          <t>BBS</t>
        </is>
      </c>
    </row>
    <row r="200">
      <c r="A200" s="13" t="n">
        <v>195</v>
      </c>
      <c r="B200" s="13" t="inlineStr">
        <is>
          <t>Floor Slabs</t>
        </is>
      </c>
      <c r="C200" s="13" t="inlineStr">
        <is>
          <t>STR-080</t>
        </is>
      </c>
      <c r="D200" s="13" t="inlineStr">
        <is>
          <t>Typical 4th-8th slab - bottom</t>
        </is>
      </c>
      <c r="E200" s="19" t="inlineStr">
        <is>
          <t>1231</t>
        </is>
      </c>
      <c r="F200" s="19" t="n">
        <v>12</v>
      </c>
      <c r="G200" s="19" t="n">
        <v>1</v>
      </c>
      <c r="H200" s="19" t="n">
        <v>13</v>
      </c>
      <c r="I200" s="13">
        <f>G200*H200</f>
        <v>13.0</v>
      </c>
      <c r="J200" s="20">
        <f>6900/1000</f>
        <v>6.9</v>
      </c>
      <c r="K200" s="21">
        <f>I200*J200</f>
        <v>89.7</v>
      </c>
      <c r="L200" s="22">
        <f>F200^2/162</f>
        <v>0.8888888888888888</v>
      </c>
      <c r="M200" s="21">
        <f>K200*L200</f>
        <v>79.73333333333333</v>
      </c>
      <c r="N200" s="22">
        <f>M200/1000</f>
        <v>0.07973333333333334</v>
      </c>
      <c r="O200" s="13" t="inlineStr">
        <is>
          <t>BBS</t>
        </is>
      </c>
    </row>
    <row r="201">
      <c r="A201" s="13" t="n">
        <v>196</v>
      </c>
      <c r="B201" s="13" t="inlineStr">
        <is>
          <t>Floor Slabs</t>
        </is>
      </c>
      <c r="C201" s="13" t="inlineStr">
        <is>
          <t>STR-080</t>
        </is>
      </c>
      <c r="D201" s="13" t="inlineStr">
        <is>
          <t>Typical 4th-8th slab - bottom</t>
        </is>
      </c>
      <c r="E201" s="19" t="inlineStr">
        <is>
          <t>1232</t>
        </is>
      </c>
      <c r="F201" s="19" t="n">
        <v>12</v>
      </c>
      <c r="G201" s="19" t="n">
        <v>1</v>
      </c>
      <c r="H201" s="19" t="n">
        <v>12</v>
      </c>
      <c r="I201" s="13">
        <f>G201*H201</f>
        <v>12.0</v>
      </c>
      <c r="J201" s="20">
        <f>5900/1000</f>
        <v>5.9</v>
      </c>
      <c r="K201" s="21">
        <f>I201*J201</f>
        <v>70.80000000000001</v>
      </c>
      <c r="L201" s="22">
        <f>F201^2/162</f>
        <v>0.8888888888888888</v>
      </c>
      <c r="M201" s="21">
        <f>K201*L201</f>
        <v>62.93333333333334</v>
      </c>
      <c r="N201" s="22">
        <f>M201/1000</f>
        <v>0.06293333333333334</v>
      </c>
      <c r="O201" s="13" t="inlineStr">
        <is>
          <t>BBS</t>
        </is>
      </c>
    </row>
    <row r="202">
      <c r="A202" s="13" t="n">
        <v>197</v>
      </c>
      <c r="B202" s="13" t="inlineStr">
        <is>
          <t>Floor Slabs</t>
        </is>
      </c>
      <c r="C202" s="13" t="inlineStr">
        <is>
          <t>STR-080</t>
        </is>
      </c>
      <c r="D202" s="13" t="inlineStr">
        <is>
          <t>Typical 4th-8th slab - bottom</t>
        </is>
      </c>
      <c r="E202" s="19" t="inlineStr">
        <is>
          <t>1233</t>
        </is>
      </c>
      <c r="F202" s="19" t="n">
        <v>12</v>
      </c>
      <c r="G202" s="19" t="n">
        <v>1</v>
      </c>
      <c r="H202" s="19" t="n">
        <v>13</v>
      </c>
      <c r="I202" s="13">
        <f>G202*H202</f>
        <v>13.0</v>
      </c>
      <c r="J202" s="20">
        <f>4200/1000</f>
        <v>4.2</v>
      </c>
      <c r="K202" s="21">
        <f>I202*J202</f>
        <v>54.6</v>
      </c>
      <c r="L202" s="22">
        <f>F202^2/162</f>
        <v>0.8888888888888888</v>
      </c>
      <c r="M202" s="21">
        <f>K202*L202</f>
        <v>48.53333333333333</v>
      </c>
      <c r="N202" s="22">
        <f>M202/1000</f>
        <v>0.04853333333333333</v>
      </c>
      <c r="O202" s="13" t="inlineStr">
        <is>
          <t>BBS</t>
        </is>
      </c>
    </row>
    <row r="203">
      <c r="A203" s="13" t="n">
        <v>198</v>
      </c>
      <c r="B203" s="13" t="inlineStr">
        <is>
          <t>Floor Slabs</t>
        </is>
      </c>
      <c r="C203" s="13" t="inlineStr">
        <is>
          <t>STR-080</t>
        </is>
      </c>
      <c r="D203" s="13" t="inlineStr">
        <is>
          <t>Typical 4th-8th slab - bottom</t>
        </is>
      </c>
      <c r="E203" s="19" t="inlineStr">
        <is>
          <t>1234</t>
        </is>
      </c>
      <c r="F203" s="19" t="n">
        <v>12</v>
      </c>
      <c r="G203" s="19" t="n">
        <v>1</v>
      </c>
      <c r="H203" s="19" t="n">
        <v>73</v>
      </c>
      <c r="I203" s="13">
        <f>G203*H203</f>
        <v>73.0</v>
      </c>
      <c r="J203" s="20">
        <f>6000/1000</f>
        <v>6.0</v>
      </c>
      <c r="K203" s="21">
        <f>I203*J203</f>
        <v>438.0</v>
      </c>
      <c r="L203" s="22">
        <f>F203^2/162</f>
        <v>0.8888888888888888</v>
      </c>
      <c r="M203" s="21">
        <f>K203*L203</f>
        <v>389.3333333333333</v>
      </c>
      <c r="N203" s="22">
        <f>M203/1000</f>
        <v>0.3893333333333333</v>
      </c>
      <c r="O203" s="13" t="inlineStr">
        <is>
          <t>BBS</t>
        </is>
      </c>
    </row>
    <row r="204">
      <c r="A204" s="13" t="n">
        <v>199</v>
      </c>
      <c r="B204" s="13" t="inlineStr">
        <is>
          <t>Floor Slabs</t>
        </is>
      </c>
      <c r="C204" s="13" t="inlineStr">
        <is>
          <t>STR-080</t>
        </is>
      </c>
      <c r="D204" s="13" t="inlineStr">
        <is>
          <t>Typical 4th-8th slab - bottom</t>
        </is>
      </c>
      <c r="E204" s="19" t="inlineStr">
        <is>
          <t>1235</t>
        </is>
      </c>
      <c r="F204" s="19" t="n">
        <v>12</v>
      </c>
      <c r="G204" s="19" t="n">
        <v>1</v>
      </c>
      <c r="H204" s="19" t="n">
        <v>43</v>
      </c>
      <c r="I204" s="13">
        <f>G204*H204</f>
        <v>43.0</v>
      </c>
      <c r="J204" s="20">
        <f>11750/1000</f>
        <v>11.75</v>
      </c>
      <c r="K204" s="21">
        <f>I204*J204</f>
        <v>505.25</v>
      </c>
      <c r="L204" s="22">
        <f>F204^2/162</f>
        <v>0.8888888888888888</v>
      </c>
      <c r="M204" s="21">
        <f>K204*L204</f>
        <v>449.1111111111111</v>
      </c>
      <c r="N204" s="22">
        <f>M204/1000</f>
        <v>0.44911111111111107</v>
      </c>
      <c r="O204" s="13" t="inlineStr">
        <is>
          <t>BBS</t>
        </is>
      </c>
    </row>
    <row r="205">
      <c r="A205" s="13" t="n">
        <v>200</v>
      </c>
      <c r="B205" s="13" t="inlineStr">
        <is>
          <t>Floor Slabs</t>
        </is>
      </c>
      <c r="C205" s="13" t="inlineStr">
        <is>
          <t>STR-080</t>
        </is>
      </c>
      <c r="D205" s="13" t="inlineStr">
        <is>
          <t>Typical 4th-8th slab - bottom</t>
        </is>
      </c>
      <c r="E205" s="19" t="inlineStr">
        <is>
          <t>1236</t>
        </is>
      </c>
      <c r="F205" s="19" t="n">
        <v>12</v>
      </c>
      <c r="G205" s="19" t="n">
        <v>1</v>
      </c>
      <c r="H205" s="19" t="n">
        <v>12</v>
      </c>
      <c r="I205" s="13">
        <f>G205*H205</f>
        <v>12.0</v>
      </c>
      <c r="J205" s="20">
        <f>8350/1000</f>
        <v>8.35</v>
      </c>
      <c r="K205" s="21">
        <f>I205*J205</f>
        <v>100.19999999999999</v>
      </c>
      <c r="L205" s="22">
        <f>F205^2/162</f>
        <v>0.8888888888888888</v>
      </c>
      <c r="M205" s="21">
        <f>K205*L205</f>
        <v>89.06666666666665</v>
      </c>
      <c r="N205" s="22">
        <f>M205/1000</f>
        <v>0.08906666666666666</v>
      </c>
      <c r="O205" s="13" t="inlineStr">
        <is>
          <t>BBS</t>
        </is>
      </c>
    </row>
    <row r="206">
      <c r="A206" s="13" t="n">
        <v>201</v>
      </c>
      <c r="B206" s="13" t="inlineStr">
        <is>
          <t>Floor Slabs</t>
        </is>
      </c>
      <c r="C206" s="13" t="inlineStr">
        <is>
          <t>STR-080</t>
        </is>
      </c>
      <c r="D206" s="13" t="inlineStr">
        <is>
          <t>Typical 4th-8th slab - bottom</t>
        </is>
      </c>
      <c r="E206" s="19" t="inlineStr">
        <is>
          <t>1237</t>
        </is>
      </c>
      <c r="F206" s="19" t="n">
        <v>12</v>
      </c>
      <c r="G206" s="19" t="n">
        <v>1</v>
      </c>
      <c r="H206" s="19" t="n">
        <v>75</v>
      </c>
      <c r="I206" s="13">
        <f>G206*H206</f>
        <v>75.0</v>
      </c>
      <c r="J206" s="20">
        <f>11250/1000</f>
        <v>11.25</v>
      </c>
      <c r="K206" s="21">
        <f>I206*J206</f>
        <v>843.75</v>
      </c>
      <c r="L206" s="22">
        <f>F206^2/162</f>
        <v>0.8888888888888888</v>
      </c>
      <c r="M206" s="21">
        <f>K206*L206</f>
        <v>750.0</v>
      </c>
      <c r="N206" s="22">
        <f>M206/1000</f>
        <v>0.75</v>
      </c>
      <c r="O206" s="13" t="inlineStr">
        <is>
          <t>BBS</t>
        </is>
      </c>
    </row>
    <row r="207">
      <c r="A207" s="13" t="n">
        <v>202</v>
      </c>
      <c r="B207" s="13" t="inlineStr">
        <is>
          <t>Floor Slabs</t>
        </is>
      </c>
      <c r="C207" s="13" t="inlineStr">
        <is>
          <t>STR-081</t>
        </is>
      </c>
      <c r="D207" s="13" t="inlineStr">
        <is>
          <t>Typical 4th-8th slab - top</t>
        </is>
      </c>
      <c r="E207" s="19" t="inlineStr">
        <is>
          <t>1238</t>
        </is>
      </c>
      <c r="F207" s="19" t="n">
        <v>12</v>
      </c>
      <c r="G207" s="19" t="n">
        <v>1</v>
      </c>
      <c r="H207" s="19" t="n">
        <v>16</v>
      </c>
      <c r="I207" s="13">
        <f>G207*H207</f>
        <v>16.0</v>
      </c>
      <c r="J207" s="20">
        <f>1925/1000</f>
        <v>1.925</v>
      </c>
      <c r="K207" s="21">
        <f>I207*J207</f>
        <v>30.8</v>
      </c>
      <c r="L207" s="22">
        <f>F207^2/162</f>
        <v>0.8888888888888888</v>
      </c>
      <c r="M207" s="21">
        <f>K207*L207</f>
        <v>27.377777777777776</v>
      </c>
      <c r="N207" s="22">
        <f>M207/1000</f>
        <v>0.027377777777777775</v>
      </c>
      <c r="O207" s="13" t="inlineStr">
        <is>
          <t>BBS</t>
        </is>
      </c>
    </row>
    <row r="208">
      <c r="A208" s="13" t="n">
        <v>203</v>
      </c>
      <c r="B208" s="13" t="inlineStr">
        <is>
          <t>Floor Slabs</t>
        </is>
      </c>
      <c r="C208" s="13" t="inlineStr">
        <is>
          <t>STR-081</t>
        </is>
      </c>
      <c r="D208" s="13" t="inlineStr">
        <is>
          <t>Typical 4th-8th slab - top</t>
        </is>
      </c>
      <c r="E208" s="19" t="inlineStr">
        <is>
          <t>1239</t>
        </is>
      </c>
      <c r="F208" s="19" t="n">
        <v>12</v>
      </c>
      <c r="G208" s="19" t="n">
        <v>1</v>
      </c>
      <c r="H208" s="19" t="n">
        <v>230</v>
      </c>
      <c r="I208" s="13">
        <f>G208*H208</f>
        <v>230.0</v>
      </c>
      <c r="J208" s="20">
        <f>11650/1000</f>
        <v>11.65</v>
      </c>
      <c r="K208" s="21">
        <f>I208*J208</f>
        <v>2679.5</v>
      </c>
      <c r="L208" s="22">
        <f>F208^2/162</f>
        <v>0.8888888888888888</v>
      </c>
      <c r="M208" s="21">
        <f>K208*L208</f>
        <v>2381.777777777778</v>
      </c>
      <c r="N208" s="22">
        <f>M208/1000</f>
        <v>2.3817777777777778</v>
      </c>
      <c r="O208" s="13" t="inlineStr">
        <is>
          <t>BBS</t>
        </is>
      </c>
    </row>
    <row r="209">
      <c r="A209" s="13" t="n">
        <v>204</v>
      </c>
      <c r="B209" s="13" t="inlineStr">
        <is>
          <t>Floor Slabs</t>
        </is>
      </c>
      <c r="C209" s="13" t="inlineStr">
        <is>
          <t>STR-081</t>
        </is>
      </c>
      <c r="D209" s="13" t="inlineStr">
        <is>
          <t>Typical 4th-8th slab - top</t>
        </is>
      </c>
      <c r="E209" s="19" t="inlineStr">
        <is>
          <t>1240</t>
        </is>
      </c>
      <c r="F209" s="19" t="n">
        <v>12</v>
      </c>
      <c r="G209" s="19" t="n">
        <v>1</v>
      </c>
      <c r="H209" s="19" t="n">
        <v>74</v>
      </c>
      <c r="I209" s="13">
        <f>G209*H209</f>
        <v>74.0</v>
      </c>
      <c r="J209" s="20">
        <f>5850/1000</f>
        <v>5.85</v>
      </c>
      <c r="K209" s="21">
        <f>I209*J209</f>
        <v>432.9</v>
      </c>
      <c r="L209" s="22">
        <f>F209^2/162</f>
        <v>0.8888888888888888</v>
      </c>
      <c r="M209" s="21">
        <f>K209*L209</f>
        <v>384.79999999999995</v>
      </c>
      <c r="N209" s="22">
        <f>M209/1000</f>
        <v>0.3848</v>
      </c>
      <c r="O209" s="13" t="inlineStr">
        <is>
          <t>BBS</t>
        </is>
      </c>
    </row>
    <row r="210">
      <c r="A210" s="13" t="n">
        <v>205</v>
      </c>
      <c r="B210" s="13" t="inlineStr">
        <is>
          <t>Floor Slabs</t>
        </is>
      </c>
      <c r="C210" s="13" t="inlineStr">
        <is>
          <t>STR-081</t>
        </is>
      </c>
      <c r="D210" s="13" t="inlineStr">
        <is>
          <t>Typical 4th-8th slab - top</t>
        </is>
      </c>
      <c r="E210" s="19" t="inlineStr">
        <is>
          <t>1241</t>
        </is>
      </c>
      <c r="F210" s="19" t="n">
        <v>12</v>
      </c>
      <c r="G210" s="19" t="n">
        <v>1</v>
      </c>
      <c r="H210" s="19" t="n">
        <v>21</v>
      </c>
      <c r="I210" s="13">
        <f>G210*H210</f>
        <v>21.0</v>
      </c>
      <c r="J210" s="20">
        <f>8050/1000</f>
        <v>8.05</v>
      </c>
      <c r="K210" s="21">
        <f>I210*J210</f>
        <v>169.05</v>
      </c>
      <c r="L210" s="22">
        <f>F210^2/162</f>
        <v>0.8888888888888888</v>
      </c>
      <c r="M210" s="21">
        <f>K210*L210</f>
        <v>150.26666666666668</v>
      </c>
      <c r="N210" s="22">
        <f>M210/1000</f>
        <v>0.1502666666666667</v>
      </c>
      <c r="O210" s="13" t="inlineStr">
        <is>
          <t>BBS</t>
        </is>
      </c>
    </row>
    <row r="211">
      <c r="A211" s="13" t="n">
        <v>206</v>
      </c>
      <c r="B211" s="13" t="inlineStr">
        <is>
          <t>Floor Slabs</t>
        </is>
      </c>
      <c r="C211" s="13" t="inlineStr">
        <is>
          <t>STR-081</t>
        </is>
      </c>
      <c r="D211" s="13" t="inlineStr">
        <is>
          <t>Typical 4th-8th slab - top</t>
        </is>
      </c>
      <c r="E211" s="19" t="inlineStr">
        <is>
          <t>1242</t>
        </is>
      </c>
      <c r="F211" s="19" t="n">
        <v>12</v>
      </c>
      <c r="G211" s="19" t="n">
        <v>1</v>
      </c>
      <c r="H211" s="19" t="n">
        <v>263</v>
      </c>
      <c r="I211" s="13">
        <f>G211*H211</f>
        <v>263.0</v>
      </c>
      <c r="J211" s="20">
        <f>8000/1000</f>
        <v>8.0</v>
      </c>
      <c r="K211" s="21">
        <f>I211*J211</f>
        <v>2104.0</v>
      </c>
      <c r="L211" s="22">
        <f>F211^2/162</f>
        <v>0.8888888888888888</v>
      </c>
      <c r="M211" s="21">
        <f>K211*L211</f>
        <v>1870.2222222222222</v>
      </c>
      <c r="N211" s="22">
        <f>M211/1000</f>
        <v>1.8702222222222222</v>
      </c>
      <c r="O211" s="13" t="inlineStr">
        <is>
          <t>BBS</t>
        </is>
      </c>
    </row>
    <row r="212">
      <c r="A212" s="13" t="n">
        <v>207</v>
      </c>
      <c r="B212" s="13" t="inlineStr">
        <is>
          <t>Floor Slabs</t>
        </is>
      </c>
      <c r="C212" s="13" t="inlineStr">
        <is>
          <t>STR-081</t>
        </is>
      </c>
      <c r="D212" s="13" t="inlineStr">
        <is>
          <t>Typical 4th-8th slab - top</t>
        </is>
      </c>
      <c r="E212" s="19" t="inlineStr">
        <is>
          <t>1243</t>
        </is>
      </c>
      <c r="F212" s="19" t="n">
        <v>12</v>
      </c>
      <c r="G212" s="19" t="n">
        <v>1</v>
      </c>
      <c r="H212" s="19" t="n">
        <v>226</v>
      </c>
      <c r="I212" s="13">
        <f>G212*H212</f>
        <v>226.0</v>
      </c>
      <c r="J212" s="20">
        <f>8800/1000</f>
        <v>8.8</v>
      </c>
      <c r="K212" s="21">
        <f>I212*J212</f>
        <v>1988.8000000000002</v>
      </c>
      <c r="L212" s="22">
        <f>F212^2/162</f>
        <v>0.8888888888888888</v>
      </c>
      <c r="M212" s="21">
        <f>K212*L212</f>
        <v>1767.8222222222223</v>
      </c>
      <c r="N212" s="22">
        <f>M212/1000</f>
        <v>1.7678222222222224</v>
      </c>
      <c r="O212" s="13" t="inlineStr">
        <is>
          <t>BBS</t>
        </is>
      </c>
    </row>
    <row r="213">
      <c r="A213" s="13" t="n">
        <v>208</v>
      </c>
      <c r="B213" s="13" t="inlineStr">
        <is>
          <t>Floor Slabs</t>
        </is>
      </c>
      <c r="C213" s="13" t="inlineStr">
        <is>
          <t>STR-081</t>
        </is>
      </c>
      <c r="D213" s="13" t="inlineStr">
        <is>
          <t>Typical 4th-8th slab - top</t>
        </is>
      </c>
      <c r="E213" s="19" t="inlineStr">
        <is>
          <t>1244</t>
        </is>
      </c>
      <c r="F213" s="19" t="n">
        <v>12</v>
      </c>
      <c r="G213" s="19" t="n">
        <v>1</v>
      </c>
      <c r="H213" s="19" t="n">
        <v>21</v>
      </c>
      <c r="I213" s="13">
        <f>G213*H213</f>
        <v>21.0</v>
      </c>
      <c r="J213" s="20">
        <f>7350/1000</f>
        <v>7.35</v>
      </c>
      <c r="K213" s="21">
        <f>I213*J213</f>
        <v>154.35</v>
      </c>
      <c r="L213" s="22">
        <f>F213^2/162</f>
        <v>0.8888888888888888</v>
      </c>
      <c r="M213" s="21">
        <f>K213*L213</f>
        <v>137.2</v>
      </c>
      <c r="N213" s="22">
        <f>M213/1000</f>
        <v>0.1372</v>
      </c>
      <c r="O213" s="13" t="inlineStr">
        <is>
          <t>BBS</t>
        </is>
      </c>
    </row>
    <row r="214">
      <c r="A214" s="13" t="n">
        <v>209</v>
      </c>
      <c r="B214" s="13" t="inlineStr">
        <is>
          <t>Floor Slabs</t>
        </is>
      </c>
      <c r="C214" s="13" t="inlineStr">
        <is>
          <t>STR-081</t>
        </is>
      </c>
      <c r="D214" s="13" t="inlineStr">
        <is>
          <t>Typical 4th-8th slab - top</t>
        </is>
      </c>
      <c r="E214" s="19" t="inlineStr">
        <is>
          <t>1245</t>
        </is>
      </c>
      <c r="F214" s="19" t="n">
        <v>12</v>
      </c>
      <c r="G214" s="19" t="n">
        <v>1</v>
      </c>
      <c r="H214" s="19" t="n">
        <v>21</v>
      </c>
      <c r="I214" s="13">
        <f>G214*H214</f>
        <v>21.0</v>
      </c>
      <c r="J214" s="20">
        <f>8650/1000</f>
        <v>8.65</v>
      </c>
      <c r="K214" s="21">
        <f>I214*J214</f>
        <v>181.65</v>
      </c>
      <c r="L214" s="22">
        <f>F214^2/162</f>
        <v>0.8888888888888888</v>
      </c>
      <c r="M214" s="21">
        <f>K214*L214</f>
        <v>161.46666666666667</v>
      </c>
      <c r="N214" s="22">
        <f>M214/1000</f>
        <v>0.16146666666666668</v>
      </c>
      <c r="O214" s="13" t="inlineStr">
        <is>
          <t>BBS</t>
        </is>
      </c>
    </row>
    <row r="215">
      <c r="A215" s="13" t="n">
        <v>210</v>
      </c>
      <c r="B215" s="13" t="inlineStr">
        <is>
          <t>Floor Slabs</t>
        </is>
      </c>
      <c r="C215" s="13" t="inlineStr">
        <is>
          <t>STR-081</t>
        </is>
      </c>
      <c r="D215" s="13" t="inlineStr">
        <is>
          <t>Typical 4th-8th slab - top</t>
        </is>
      </c>
      <c r="E215" s="19" t="inlineStr">
        <is>
          <t>1246</t>
        </is>
      </c>
      <c r="F215" s="19" t="n">
        <v>12</v>
      </c>
      <c r="G215" s="19" t="n">
        <v>1</v>
      </c>
      <c r="H215" s="19" t="n">
        <v>27</v>
      </c>
      <c r="I215" s="13">
        <f>G215*H215</f>
        <v>27.0</v>
      </c>
      <c r="J215" s="20">
        <f>4575/1000</f>
        <v>4.575</v>
      </c>
      <c r="K215" s="21">
        <f>I215*J215</f>
        <v>123.525</v>
      </c>
      <c r="L215" s="22">
        <f>F215^2/162</f>
        <v>0.8888888888888888</v>
      </c>
      <c r="M215" s="21">
        <f>K215*L215</f>
        <v>109.8</v>
      </c>
      <c r="N215" s="22">
        <f>M215/1000</f>
        <v>0.1098</v>
      </c>
      <c r="O215" s="13" t="inlineStr">
        <is>
          <t>BBS</t>
        </is>
      </c>
    </row>
    <row r="216">
      <c r="A216" s="13" t="n">
        <v>211</v>
      </c>
      <c r="B216" s="13" t="inlineStr">
        <is>
          <t>Floor Slabs</t>
        </is>
      </c>
      <c r="C216" s="13" t="inlineStr">
        <is>
          <t>STR-081</t>
        </is>
      </c>
      <c r="D216" s="13" t="inlineStr">
        <is>
          <t>Typical 4th-8th slab - top</t>
        </is>
      </c>
      <c r="E216" s="19" t="inlineStr">
        <is>
          <t>1247</t>
        </is>
      </c>
      <c r="F216" s="19" t="n">
        <v>12</v>
      </c>
      <c r="G216" s="19" t="n">
        <v>1</v>
      </c>
      <c r="H216" s="19" t="n">
        <v>65</v>
      </c>
      <c r="I216" s="13">
        <f>G216*H216</f>
        <v>65.0</v>
      </c>
      <c r="J216" s="20">
        <f>5325/1000</f>
        <v>5.325</v>
      </c>
      <c r="K216" s="21">
        <f>I216*J216</f>
        <v>346.125</v>
      </c>
      <c r="L216" s="22">
        <f>F216^2/162</f>
        <v>0.8888888888888888</v>
      </c>
      <c r="M216" s="21">
        <f>K216*L216</f>
        <v>307.66666666666663</v>
      </c>
      <c r="N216" s="22">
        <f>M216/1000</f>
        <v>0.30766666666666664</v>
      </c>
      <c r="O216" s="13" t="inlineStr">
        <is>
          <t>BBS</t>
        </is>
      </c>
    </row>
    <row r="217">
      <c r="A217" s="13" t="n">
        <v>212</v>
      </c>
      <c r="B217" s="13" t="inlineStr">
        <is>
          <t>Floor Slabs</t>
        </is>
      </c>
      <c r="C217" s="13" t="inlineStr">
        <is>
          <t>STR-081</t>
        </is>
      </c>
      <c r="D217" s="13" t="inlineStr">
        <is>
          <t>Typical 4th-8th slab - top</t>
        </is>
      </c>
      <c r="E217" s="19" t="inlineStr">
        <is>
          <t>1248</t>
        </is>
      </c>
      <c r="F217" s="19" t="n">
        <v>12</v>
      </c>
      <c r="G217" s="19" t="n">
        <v>1</v>
      </c>
      <c r="H217" s="19" t="n">
        <v>15</v>
      </c>
      <c r="I217" s="13">
        <f>G217*H217</f>
        <v>15.0</v>
      </c>
      <c r="J217" s="20">
        <f>4700/1000</f>
        <v>4.7</v>
      </c>
      <c r="K217" s="21">
        <f>I217*J217</f>
        <v>70.5</v>
      </c>
      <c r="L217" s="22">
        <f>F217^2/162</f>
        <v>0.8888888888888888</v>
      </c>
      <c r="M217" s="21">
        <f>K217*L217</f>
        <v>62.666666666666664</v>
      </c>
      <c r="N217" s="22">
        <f>M217/1000</f>
        <v>0.06266666666666666</v>
      </c>
      <c r="O217" s="13" t="inlineStr">
        <is>
          <t>BBS</t>
        </is>
      </c>
    </row>
    <row r="218">
      <c r="A218" s="13" t="n">
        <v>213</v>
      </c>
      <c r="B218" s="13" t="inlineStr">
        <is>
          <t>Floor Slabs</t>
        </is>
      </c>
      <c r="C218" s="13" t="inlineStr">
        <is>
          <t>STR-081</t>
        </is>
      </c>
      <c r="D218" s="13" t="inlineStr">
        <is>
          <t>Typical 4th-8th slab - top</t>
        </is>
      </c>
      <c r="E218" s="19" t="inlineStr">
        <is>
          <t>1249</t>
        </is>
      </c>
      <c r="F218" s="19" t="n">
        <v>12</v>
      </c>
      <c r="G218" s="19" t="n">
        <v>1</v>
      </c>
      <c r="H218" s="19" t="n">
        <v>23</v>
      </c>
      <c r="I218" s="13">
        <f>G218*H218</f>
        <v>23.0</v>
      </c>
      <c r="J218" s="20">
        <f>12000/1000</f>
        <v>12.0</v>
      </c>
      <c r="K218" s="21">
        <f>I218*J218</f>
        <v>276.0</v>
      </c>
      <c r="L218" s="22">
        <f>F218^2/162</f>
        <v>0.8888888888888888</v>
      </c>
      <c r="M218" s="21">
        <f>K218*L218</f>
        <v>245.33333333333331</v>
      </c>
      <c r="N218" s="22">
        <f>M218/1000</f>
        <v>0.24533333333333332</v>
      </c>
      <c r="O218" s="13" t="inlineStr">
        <is>
          <t>BBS</t>
        </is>
      </c>
    </row>
    <row r="219">
      <c r="A219" s="13" t="n">
        <v>214</v>
      </c>
      <c r="B219" s="13" t="inlineStr">
        <is>
          <t>Floor Slabs</t>
        </is>
      </c>
      <c r="C219" s="13" t="inlineStr">
        <is>
          <t>STR-081</t>
        </is>
      </c>
      <c r="D219" s="13" t="inlineStr">
        <is>
          <t>Typical 4th-8th slab - top</t>
        </is>
      </c>
      <c r="E219" s="19" t="inlineStr">
        <is>
          <t>1250</t>
        </is>
      </c>
      <c r="F219" s="19" t="n">
        <v>12</v>
      </c>
      <c r="G219" s="19" t="n">
        <v>1</v>
      </c>
      <c r="H219" s="19" t="n">
        <v>9</v>
      </c>
      <c r="I219" s="13">
        <f>G219*H219</f>
        <v>9.0</v>
      </c>
      <c r="J219" s="20">
        <f>10000/1000</f>
        <v>10.0</v>
      </c>
      <c r="K219" s="21">
        <f>I219*J219</f>
        <v>90.0</v>
      </c>
      <c r="L219" s="22">
        <f>F219^2/162</f>
        <v>0.8888888888888888</v>
      </c>
      <c r="M219" s="21">
        <f>K219*L219</f>
        <v>80.0</v>
      </c>
      <c r="N219" s="22">
        <f>M219/1000</f>
        <v>0.08</v>
      </c>
      <c r="O219" s="13" t="inlineStr">
        <is>
          <t>BBS</t>
        </is>
      </c>
    </row>
    <row r="220">
      <c r="A220" s="13" t="n">
        <v>215</v>
      </c>
      <c r="B220" s="13" t="inlineStr">
        <is>
          <t>Floor Slabs</t>
        </is>
      </c>
      <c r="C220" s="13" t="inlineStr">
        <is>
          <t>STR-081</t>
        </is>
      </c>
      <c r="D220" s="13" t="inlineStr">
        <is>
          <t>Typical 4th-8th slab - top</t>
        </is>
      </c>
      <c r="E220" s="19" t="inlineStr">
        <is>
          <t>1251</t>
        </is>
      </c>
      <c r="F220" s="19" t="n">
        <v>12</v>
      </c>
      <c r="G220" s="19" t="n">
        <v>1</v>
      </c>
      <c r="H220" s="19" t="n">
        <v>234</v>
      </c>
      <c r="I220" s="13">
        <f>G220*H220</f>
        <v>234.0</v>
      </c>
      <c r="J220" s="20">
        <f>8650/1000</f>
        <v>8.65</v>
      </c>
      <c r="K220" s="21">
        <f>I220*J220</f>
        <v>2024.1000000000001</v>
      </c>
      <c r="L220" s="22">
        <f>F220^2/162</f>
        <v>0.8888888888888888</v>
      </c>
      <c r="M220" s="21">
        <f>K220*L220</f>
        <v>1799.2</v>
      </c>
      <c r="N220" s="22">
        <f>M220/1000</f>
        <v>1.7992000000000001</v>
      </c>
      <c r="O220" s="13" t="inlineStr">
        <is>
          <t>BBS</t>
        </is>
      </c>
    </row>
    <row r="221">
      <c r="A221" s="13" t="n">
        <v>216</v>
      </c>
      <c r="B221" s="13" t="inlineStr">
        <is>
          <t>Floor Slabs</t>
        </is>
      </c>
      <c r="C221" s="13" t="inlineStr">
        <is>
          <t>STR-081</t>
        </is>
      </c>
      <c r="D221" s="13" t="inlineStr">
        <is>
          <t>Typical 4th-8th slab - top</t>
        </is>
      </c>
      <c r="E221" s="19" t="inlineStr">
        <is>
          <t>1252</t>
        </is>
      </c>
      <c r="F221" s="19" t="n">
        <v>12</v>
      </c>
      <c r="G221" s="19" t="n">
        <v>1</v>
      </c>
      <c r="H221" s="19" t="n">
        <v>24</v>
      </c>
      <c r="I221" s="13">
        <f>G221*H221</f>
        <v>24.0</v>
      </c>
      <c r="J221" s="20">
        <f>4600/1000</f>
        <v>4.6</v>
      </c>
      <c r="K221" s="21">
        <f>I221*J221</f>
        <v>110.39999999999999</v>
      </c>
      <c r="L221" s="22">
        <f>F221^2/162</f>
        <v>0.8888888888888888</v>
      </c>
      <c r="M221" s="21">
        <f>K221*L221</f>
        <v>98.13333333333333</v>
      </c>
      <c r="N221" s="22">
        <f>M221/1000</f>
        <v>0.09813333333333332</v>
      </c>
      <c r="O221" s="13" t="inlineStr">
        <is>
          <t>BBS</t>
        </is>
      </c>
    </row>
    <row r="222">
      <c r="A222" s="13" t="n">
        <v>217</v>
      </c>
      <c r="B222" s="13" t="inlineStr">
        <is>
          <t>Floor Slabs</t>
        </is>
      </c>
      <c r="C222" s="13" t="inlineStr">
        <is>
          <t>STR-081</t>
        </is>
      </c>
      <c r="D222" s="13" t="inlineStr">
        <is>
          <t>Typical 4th-8th slab - top</t>
        </is>
      </c>
      <c r="E222" s="19" t="inlineStr">
        <is>
          <t>1253</t>
        </is>
      </c>
      <c r="F222" s="19" t="n">
        <v>12</v>
      </c>
      <c r="G222" s="19" t="n">
        <v>1</v>
      </c>
      <c r="H222" s="19" t="n">
        <v>152</v>
      </c>
      <c r="I222" s="13">
        <f>G222*H222</f>
        <v>152.0</v>
      </c>
      <c r="J222" s="20">
        <f>5900/1000</f>
        <v>5.9</v>
      </c>
      <c r="K222" s="21">
        <f>I222*J222</f>
        <v>896.8000000000001</v>
      </c>
      <c r="L222" s="22">
        <f>F222^2/162</f>
        <v>0.8888888888888888</v>
      </c>
      <c r="M222" s="21">
        <f>K222*L222</f>
        <v>797.1555555555556</v>
      </c>
      <c r="N222" s="22">
        <f>M222/1000</f>
        <v>0.7971555555555556</v>
      </c>
      <c r="O222" s="13" t="inlineStr">
        <is>
          <t>BBS</t>
        </is>
      </c>
    </row>
    <row r="223">
      <c r="A223" s="13" t="n">
        <v>218</v>
      </c>
      <c r="B223" s="13" t="inlineStr">
        <is>
          <t>Floor Slabs</t>
        </is>
      </c>
      <c r="C223" s="13" t="inlineStr">
        <is>
          <t>STR-081</t>
        </is>
      </c>
      <c r="D223" s="13" t="inlineStr">
        <is>
          <t>Typical 4th-8th slab - top</t>
        </is>
      </c>
      <c r="E223" s="19" t="inlineStr">
        <is>
          <t>1254</t>
        </is>
      </c>
      <c r="F223" s="19" t="n">
        <v>12</v>
      </c>
      <c r="G223" s="19" t="n">
        <v>1</v>
      </c>
      <c r="H223" s="19" t="n">
        <v>119</v>
      </c>
      <c r="I223" s="13">
        <f>G223*H223</f>
        <v>119.0</v>
      </c>
      <c r="J223" s="20">
        <f>9525/1000</f>
        <v>9.525</v>
      </c>
      <c r="K223" s="21">
        <f>I223*J223</f>
        <v>1133.4750000000001</v>
      </c>
      <c r="L223" s="22">
        <f>F223^2/162</f>
        <v>0.8888888888888888</v>
      </c>
      <c r="M223" s="21">
        <f>K223*L223</f>
        <v>1007.5333333333334</v>
      </c>
      <c r="N223" s="22">
        <f>M223/1000</f>
        <v>1.0075333333333334</v>
      </c>
      <c r="O223" s="13" t="inlineStr">
        <is>
          <t>BBS</t>
        </is>
      </c>
    </row>
    <row r="224">
      <c r="A224" s="13" t="n">
        <v>219</v>
      </c>
      <c r="B224" s="13" t="inlineStr">
        <is>
          <t>Floor Slabs</t>
        </is>
      </c>
      <c r="C224" s="13" t="inlineStr">
        <is>
          <t>STR-081</t>
        </is>
      </c>
      <c r="D224" s="13" t="inlineStr">
        <is>
          <t>Typical 4th-8th slab - top</t>
        </is>
      </c>
      <c r="E224" s="19" t="inlineStr">
        <is>
          <t>1255</t>
        </is>
      </c>
      <c r="F224" s="19" t="n">
        <v>12</v>
      </c>
      <c r="G224" s="19" t="n">
        <v>1</v>
      </c>
      <c r="H224" s="19" t="n">
        <v>206</v>
      </c>
      <c r="I224" s="13">
        <f>G224*H224</f>
        <v>206.0</v>
      </c>
      <c r="J224" s="20">
        <f>4275/1000</f>
        <v>4.275</v>
      </c>
      <c r="K224" s="21">
        <f>I224*J224</f>
        <v>880.6500000000001</v>
      </c>
      <c r="L224" s="22">
        <f>F224^2/162</f>
        <v>0.8888888888888888</v>
      </c>
      <c r="M224" s="21">
        <f>K224*L224</f>
        <v>782.8000000000001</v>
      </c>
      <c r="N224" s="22">
        <f>M224/1000</f>
        <v>0.7828</v>
      </c>
      <c r="O224" s="13" t="inlineStr">
        <is>
          <t>BBS</t>
        </is>
      </c>
    </row>
    <row r="225">
      <c r="A225" s="13" t="n">
        <v>220</v>
      </c>
      <c r="B225" s="13" t="inlineStr">
        <is>
          <t>Floor Slabs</t>
        </is>
      </c>
      <c r="C225" s="13" t="inlineStr">
        <is>
          <t>STR-081</t>
        </is>
      </c>
      <c r="D225" s="13" t="inlineStr">
        <is>
          <t>Typical 4th-8th slab - top</t>
        </is>
      </c>
      <c r="E225" s="19" t="inlineStr">
        <is>
          <t>1256</t>
        </is>
      </c>
      <c r="F225" s="19" t="n">
        <v>12</v>
      </c>
      <c r="G225" s="19" t="n">
        <v>1</v>
      </c>
      <c r="H225" s="19" t="n">
        <v>31</v>
      </c>
      <c r="I225" s="13">
        <f>G225*H225</f>
        <v>31.0</v>
      </c>
      <c r="J225" s="20">
        <f>3750/1000</f>
        <v>3.75</v>
      </c>
      <c r="K225" s="21">
        <f>I225*J225</f>
        <v>116.25</v>
      </c>
      <c r="L225" s="22">
        <f>F225^2/162</f>
        <v>0.8888888888888888</v>
      </c>
      <c r="M225" s="21">
        <f>K225*L225</f>
        <v>103.33333333333333</v>
      </c>
      <c r="N225" s="22">
        <f>M225/1000</f>
        <v>0.10333333333333333</v>
      </c>
      <c r="O225" s="13" t="inlineStr">
        <is>
          <t>BBS</t>
        </is>
      </c>
    </row>
    <row r="226">
      <c r="A226" s="13" t="n">
        <v>221</v>
      </c>
      <c r="B226" s="13" t="inlineStr">
        <is>
          <t>Floor Slabs</t>
        </is>
      </c>
      <c r="C226" s="13" t="inlineStr">
        <is>
          <t>STR-081</t>
        </is>
      </c>
      <c r="D226" s="13" t="inlineStr">
        <is>
          <t>Typical 4th-8th slab - top</t>
        </is>
      </c>
      <c r="E226" s="19" t="inlineStr">
        <is>
          <t>1257</t>
        </is>
      </c>
      <c r="F226" s="19" t="n">
        <v>12</v>
      </c>
      <c r="G226" s="19" t="n">
        <v>1</v>
      </c>
      <c r="H226" s="19" t="n">
        <v>36</v>
      </c>
      <c r="I226" s="13">
        <f>G226*H226</f>
        <v>36.0</v>
      </c>
      <c r="J226" s="20">
        <f>10400/1000</f>
        <v>10.4</v>
      </c>
      <c r="K226" s="21">
        <f>I226*J226</f>
        <v>374.40000000000003</v>
      </c>
      <c r="L226" s="22">
        <f>F226^2/162</f>
        <v>0.8888888888888888</v>
      </c>
      <c r="M226" s="21">
        <f>K226*L226</f>
        <v>332.8</v>
      </c>
      <c r="N226" s="22">
        <f>M226/1000</f>
        <v>0.3328</v>
      </c>
      <c r="O226" s="13" t="inlineStr">
        <is>
          <t>BBS</t>
        </is>
      </c>
    </row>
    <row r="227">
      <c r="A227" s="13" t="n">
        <v>222</v>
      </c>
      <c r="B227" s="13" t="inlineStr">
        <is>
          <t>Floor Slabs</t>
        </is>
      </c>
      <c r="C227" s="13" t="inlineStr">
        <is>
          <t>STR-081</t>
        </is>
      </c>
      <c r="D227" s="13" t="inlineStr">
        <is>
          <t>Typical 4th-8th slab - top</t>
        </is>
      </c>
      <c r="E227" s="19" t="inlineStr">
        <is>
          <t>1258</t>
        </is>
      </c>
      <c r="F227" s="19" t="n">
        <v>12</v>
      </c>
      <c r="G227" s="19" t="n">
        <v>1</v>
      </c>
      <c r="H227" s="19" t="n">
        <v>23</v>
      </c>
      <c r="I227" s="13">
        <f>G227*H227</f>
        <v>23.0</v>
      </c>
      <c r="J227" s="20">
        <f>3450/1000</f>
        <v>3.45</v>
      </c>
      <c r="K227" s="21">
        <f>I227*J227</f>
        <v>79.35000000000001</v>
      </c>
      <c r="L227" s="22">
        <f>F227^2/162</f>
        <v>0.8888888888888888</v>
      </c>
      <c r="M227" s="21">
        <f>K227*L227</f>
        <v>70.53333333333333</v>
      </c>
      <c r="N227" s="22">
        <f>M227/1000</f>
        <v>0.07053333333333334</v>
      </c>
      <c r="O227" s="13" t="inlineStr">
        <is>
          <t>BBS</t>
        </is>
      </c>
    </row>
    <row r="228">
      <c r="A228" s="13" t="n">
        <v>223</v>
      </c>
      <c r="B228" s="13" t="inlineStr">
        <is>
          <t>Floor Slabs</t>
        </is>
      </c>
      <c r="C228" s="13" t="inlineStr">
        <is>
          <t>STR-081</t>
        </is>
      </c>
      <c r="D228" s="13" t="inlineStr">
        <is>
          <t>Typical 4th-8th slab - top</t>
        </is>
      </c>
      <c r="E228" s="19" t="inlineStr">
        <is>
          <t>1259</t>
        </is>
      </c>
      <c r="F228" s="19" t="n">
        <v>12</v>
      </c>
      <c r="G228" s="19" t="n">
        <v>1</v>
      </c>
      <c r="H228" s="19" t="n">
        <v>212</v>
      </c>
      <c r="I228" s="13">
        <f>G228*H228</f>
        <v>212.0</v>
      </c>
      <c r="J228" s="20">
        <f>9500/1000</f>
        <v>9.5</v>
      </c>
      <c r="K228" s="21">
        <f>I228*J228</f>
        <v>2014.0</v>
      </c>
      <c r="L228" s="22">
        <f>F228^2/162</f>
        <v>0.8888888888888888</v>
      </c>
      <c r="M228" s="21">
        <f>K228*L228</f>
        <v>1790.2222222222222</v>
      </c>
      <c r="N228" s="22">
        <f>M228/1000</f>
        <v>1.7902222222222222</v>
      </c>
      <c r="O228" s="13" t="inlineStr">
        <is>
          <t>BBS</t>
        </is>
      </c>
    </row>
    <row r="229">
      <c r="A229" s="13" t="n">
        <v>224</v>
      </c>
      <c r="B229" s="13" t="inlineStr">
        <is>
          <t>Floor Slabs</t>
        </is>
      </c>
      <c r="C229" s="13" t="inlineStr">
        <is>
          <t>STR-081</t>
        </is>
      </c>
      <c r="D229" s="13" t="inlineStr">
        <is>
          <t>Typical 4th-8th slab - top</t>
        </is>
      </c>
      <c r="E229" s="19" t="inlineStr">
        <is>
          <t>1260</t>
        </is>
      </c>
      <c r="F229" s="19" t="n">
        <v>12</v>
      </c>
      <c r="G229" s="19" t="n">
        <v>1</v>
      </c>
      <c r="H229" s="19" t="n">
        <v>49</v>
      </c>
      <c r="I229" s="13">
        <f>G229*H229</f>
        <v>49.0</v>
      </c>
      <c r="J229" s="20">
        <f>7300/1000</f>
        <v>7.3</v>
      </c>
      <c r="K229" s="21">
        <f>I229*J229</f>
        <v>357.7</v>
      </c>
      <c r="L229" s="22">
        <f>F229^2/162</f>
        <v>0.8888888888888888</v>
      </c>
      <c r="M229" s="21">
        <f>K229*L229</f>
        <v>317.9555555555555</v>
      </c>
      <c r="N229" s="22">
        <f>M229/1000</f>
        <v>0.31795555555555555</v>
      </c>
      <c r="O229" s="13" t="inlineStr">
        <is>
          <t>BBS</t>
        </is>
      </c>
    </row>
    <row r="230">
      <c r="A230" s="13" t="n">
        <v>225</v>
      </c>
      <c r="B230" s="13" t="inlineStr">
        <is>
          <t>Floor Slabs</t>
        </is>
      </c>
      <c r="C230" s="13" t="inlineStr">
        <is>
          <t>STR-081</t>
        </is>
      </c>
      <c r="D230" s="13" t="inlineStr">
        <is>
          <t>Typical 4th-8th slab - top</t>
        </is>
      </c>
      <c r="E230" s="19" t="inlineStr">
        <is>
          <t>1261</t>
        </is>
      </c>
      <c r="F230" s="19" t="n">
        <v>12</v>
      </c>
      <c r="G230" s="19" t="n">
        <v>1</v>
      </c>
      <c r="H230" s="19" t="n">
        <v>113</v>
      </c>
      <c r="I230" s="13">
        <f>G230*H230</f>
        <v>113.0</v>
      </c>
      <c r="J230" s="20">
        <f>8750/1000</f>
        <v>8.75</v>
      </c>
      <c r="K230" s="21">
        <f>I230*J230</f>
        <v>988.75</v>
      </c>
      <c r="L230" s="22">
        <f>F230^2/162</f>
        <v>0.8888888888888888</v>
      </c>
      <c r="M230" s="21">
        <f>K230*L230</f>
        <v>878.8888888888888</v>
      </c>
      <c r="N230" s="22">
        <f>M230/1000</f>
        <v>0.8788888888888888</v>
      </c>
      <c r="O230" s="13" t="inlineStr">
        <is>
          <t>BBS</t>
        </is>
      </c>
    </row>
    <row r="231">
      <c r="A231" s="13" t="n">
        <v>226</v>
      </c>
      <c r="B231" s="13" t="inlineStr">
        <is>
          <t>Floor Slabs</t>
        </is>
      </c>
      <c r="C231" s="13" t="inlineStr">
        <is>
          <t>STR-081</t>
        </is>
      </c>
      <c r="D231" s="13" t="inlineStr">
        <is>
          <t>Typical 4th-8th slab - top</t>
        </is>
      </c>
      <c r="E231" s="19" t="inlineStr">
        <is>
          <t>1262</t>
        </is>
      </c>
      <c r="F231" s="19" t="n">
        <v>12</v>
      </c>
      <c r="G231" s="19" t="n">
        <v>1</v>
      </c>
      <c r="H231" s="19" t="n">
        <v>85</v>
      </c>
      <c r="I231" s="13">
        <f>G231*H231</f>
        <v>85.0</v>
      </c>
      <c r="J231" s="20">
        <f>3750/1000</f>
        <v>3.75</v>
      </c>
      <c r="K231" s="21">
        <f>I231*J231</f>
        <v>318.75</v>
      </c>
      <c r="L231" s="22">
        <f>F231^2/162</f>
        <v>0.8888888888888888</v>
      </c>
      <c r="M231" s="21">
        <f>K231*L231</f>
        <v>283.3333333333333</v>
      </c>
      <c r="N231" s="22">
        <f>M231/1000</f>
        <v>0.2833333333333333</v>
      </c>
      <c r="O231" s="13" t="inlineStr">
        <is>
          <t>BBS</t>
        </is>
      </c>
    </row>
    <row r="232">
      <c r="A232" s="13" t="n">
        <v>227</v>
      </c>
      <c r="B232" s="13" t="inlineStr">
        <is>
          <t>Floor Slabs</t>
        </is>
      </c>
      <c r="C232" s="13" t="inlineStr">
        <is>
          <t>STR-081</t>
        </is>
      </c>
      <c r="D232" s="13" t="inlineStr">
        <is>
          <t>Typical 4th-8th slab - top</t>
        </is>
      </c>
      <c r="E232" s="19" t="inlineStr">
        <is>
          <t>1263</t>
        </is>
      </c>
      <c r="F232" s="19" t="n">
        <v>12</v>
      </c>
      <c r="G232" s="19" t="n">
        <v>1</v>
      </c>
      <c r="H232" s="19" t="n">
        <v>13</v>
      </c>
      <c r="I232" s="13">
        <f>G232*H232</f>
        <v>13.0</v>
      </c>
      <c r="J232" s="20">
        <f>4100/1000</f>
        <v>4.1</v>
      </c>
      <c r="K232" s="21">
        <f>I232*J232</f>
        <v>53.3</v>
      </c>
      <c r="L232" s="22">
        <f>F232^2/162</f>
        <v>0.8888888888888888</v>
      </c>
      <c r="M232" s="21">
        <f>K232*L232</f>
        <v>47.37777777777777</v>
      </c>
      <c r="N232" s="22">
        <f>M232/1000</f>
        <v>0.047377777777777776</v>
      </c>
      <c r="O232" s="13" t="inlineStr">
        <is>
          <t>BBS</t>
        </is>
      </c>
    </row>
    <row r="233">
      <c r="A233" s="13" t="n">
        <v>228</v>
      </c>
      <c r="B233" s="13" t="inlineStr">
        <is>
          <t>Floor Slabs</t>
        </is>
      </c>
      <c r="C233" s="13" t="inlineStr">
        <is>
          <t>STR-081</t>
        </is>
      </c>
      <c r="D233" s="13" t="inlineStr">
        <is>
          <t>Typical 4th-8th slab - top</t>
        </is>
      </c>
      <c r="E233" s="19" t="inlineStr">
        <is>
          <t>1264</t>
        </is>
      </c>
      <c r="F233" s="19" t="n">
        <v>12</v>
      </c>
      <c r="G233" s="19" t="n">
        <v>1</v>
      </c>
      <c r="H233" s="19" t="n">
        <v>13</v>
      </c>
      <c r="I233" s="13">
        <f>G233*H233</f>
        <v>13.0</v>
      </c>
      <c r="J233" s="20">
        <f>4200/1000</f>
        <v>4.2</v>
      </c>
      <c r="K233" s="21">
        <f>I233*J233</f>
        <v>54.6</v>
      </c>
      <c r="L233" s="22">
        <f>F233^2/162</f>
        <v>0.8888888888888888</v>
      </c>
      <c r="M233" s="21">
        <f>K233*L233</f>
        <v>48.53333333333333</v>
      </c>
      <c r="N233" s="22">
        <f>M233/1000</f>
        <v>0.04853333333333333</v>
      </c>
      <c r="O233" s="13" t="inlineStr">
        <is>
          <t>BBS</t>
        </is>
      </c>
    </row>
    <row r="234">
      <c r="A234" s="13" t="n">
        <v>229</v>
      </c>
      <c r="B234" s="13" t="inlineStr">
        <is>
          <t>Floor Slabs</t>
        </is>
      </c>
      <c r="C234" s="13" t="inlineStr">
        <is>
          <t>STR-081</t>
        </is>
      </c>
      <c r="D234" s="13" t="inlineStr">
        <is>
          <t>Typical 4th-8th slab - top</t>
        </is>
      </c>
      <c r="E234" s="19" t="inlineStr">
        <is>
          <t>1265</t>
        </is>
      </c>
      <c r="F234" s="19" t="n">
        <v>12</v>
      </c>
      <c r="G234" s="19" t="n">
        <v>1</v>
      </c>
      <c r="H234" s="19" t="n">
        <v>357</v>
      </c>
      <c r="I234" s="13">
        <f>G234*H234</f>
        <v>357.0</v>
      </c>
      <c r="J234" s="20">
        <f>9200/1000</f>
        <v>9.2</v>
      </c>
      <c r="K234" s="21">
        <f>I234*J234</f>
        <v>3284.3999999999996</v>
      </c>
      <c r="L234" s="22">
        <f>F234^2/162</f>
        <v>0.8888888888888888</v>
      </c>
      <c r="M234" s="21">
        <f>K234*L234</f>
        <v>2919.4666666666662</v>
      </c>
      <c r="N234" s="22">
        <f>M234/1000</f>
        <v>2.919466666666666</v>
      </c>
      <c r="O234" s="13" t="inlineStr">
        <is>
          <t>BBS</t>
        </is>
      </c>
    </row>
    <row r="235">
      <c r="A235" s="13" t="n">
        <v>230</v>
      </c>
      <c r="B235" s="13" t="inlineStr">
        <is>
          <t>Floor Slabs</t>
        </is>
      </c>
      <c r="C235" s="13" t="inlineStr">
        <is>
          <t>STR-081</t>
        </is>
      </c>
      <c r="D235" s="13" t="inlineStr">
        <is>
          <t>Typical 4th-8th slab - top</t>
        </is>
      </c>
      <c r="E235" s="19" t="inlineStr">
        <is>
          <t>1266</t>
        </is>
      </c>
      <c r="F235" s="19" t="n">
        <v>12</v>
      </c>
      <c r="G235" s="19" t="n">
        <v>1</v>
      </c>
      <c r="H235" s="19" t="n">
        <v>12</v>
      </c>
      <c r="I235" s="13">
        <f>G235*H235</f>
        <v>12.0</v>
      </c>
      <c r="J235" s="20">
        <f>9475/1000</f>
        <v>9.475</v>
      </c>
      <c r="K235" s="21">
        <f>I235*J235</f>
        <v>113.69999999999999</v>
      </c>
      <c r="L235" s="22">
        <f>F235^2/162</f>
        <v>0.8888888888888888</v>
      </c>
      <c r="M235" s="21">
        <f>K235*L235</f>
        <v>101.06666666666665</v>
      </c>
      <c r="N235" s="22">
        <f>M235/1000</f>
        <v>0.10106666666666665</v>
      </c>
      <c r="O235" s="13" t="inlineStr">
        <is>
          <t>BBS</t>
        </is>
      </c>
    </row>
    <row r="236">
      <c r="A236" s="13" t="n">
        <v>231</v>
      </c>
      <c r="B236" s="13" t="inlineStr">
        <is>
          <t>Floor Slabs</t>
        </is>
      </c>
      <c r="C236" s="13" t="inlineStr">
        <is>
          <t>STR-081</t>
        </is>
      </c>
      <c r="D236" s="13" t="inlineStr">
        <is>
          <t>Typical 4th-8th slab - top</t>
        </is>
      </c>
      <c r="E236" s="19" t="inlineStr">
        <is>
          <t>1267</t>
        </is>
      </c>
      <c r="F236" s="19" t="n">
        <v>12</v>
      </c>
      <c r="G236" s="19" t="n">
        <v>1</v>
      </c>
      <c r="H236" s="19" t="n">
        <v>101</v>
      </c>
      <c r="I236" s="13">
        <f>G236*H236</f>
        <v>101.0</v>
      </c>
      <c r="J236" s="20">
        <f>2200/1000</f>
        <v>2.2</v>
      </c>
      <c r="K236" s="21">
        <f>I236*J236</f>
        <v>222.20000000000002</v>
      </c>
      <c r="L236" s="22">
        <f>F236^2/162</f>
        <v>0.8888888888888888</v>
      </c>
      <c r="M236" s="21">
        <f>K236*L236</f>
        <v>197.51111111111112</v>
      </c>
      <c r="N236" s="22">
        <f>M236/1000</f>
        <v>0.1975111111111111</v>
      </c>
      <c r="O236" s="13" t="inlineStr">
        <is>
          <t>BBS</t>
        </is>
      </c>
    </row>
    <row r="237">
      <c r="A237" s="13" t="n">
        <v>232</v>
      </c>
      <c r="B237" s="13" t="inlineStr">
        <is>
          <t>Floor Slabs</t>
        </is>
      </c>
      <c r="C237" s="13" t="inlineStr">
        <is>
          <t>STR-081</t>
        </is>
      </c>
      <c r="D237" s="13" t="inlineStr">
        <is>
          <t>Typical 4th-8th slab - top</t>
        </is>
      </c>
      <c r="E237" s="19" t="inlineStr">
        <is>
          <t>1268</t>
        </is>
      </c>
      <c r="F237" s="19" t="n">
        <v>12</v>
      </c>
      <c r="G237" s="19" t="n">
        <v>1</v>
      </c>
      <c r="H237" s="19" t="n">
        <v>9</v>
      </c>
      <c r="I237" s="13">
        <f>G237*H237</f>
        <v>9.0</v>
      </c>
      <c r="J237" s="20">
        <f>8500/1000</f>
        <v>8.5</v>
      </c>
      <c r="K237" s="21">
        <f>I237*J237</f>
        <v>76.5</v>
      </c>
      <c r="L237" s="22">
        <f>F237^2/162</f>
        <v>0.8888888888888888</v>
      </c>
      <c r="M237" s="21">
        <f>K237*L237</f>
        <v>68.0</v>
      </c>
      <c r="N237" s="22">
        <f>M237/1000</f>
        <v>0.068</v>
      </c>
      <c r="O237" s="13" t="inlineStr">
        <is>
          <t>BBS</t>
        </is>
      </c>
    </row>
    <row r="238">
      <c r="A238" s="13" t="n">
        <v>233</v>
      </c>
      <c r="B238" s="13" t="inlineStr">
        <is>
          <t>Floor Slabs</t>
        </is>
      </c>
      <c r="C238" s="13" t="inlineStr">
        <is>
          <t>STR-081</t>
        </is>
      </c>
      <c r="D238" s="13" t="inlineStr">
        <is>
          <t>Typical 4th-8th slab - top</t>
        </is>
      </c>
      <c r="E238" s="19" t="inlineStr">
        <is>
          <t>1269</t>
        </is>
      </c>
      <c r="F238" s="19" t="n">
        <v>12</v>
      </c>
      <c r="G238" s="19" t="n">
        <v>1</v>
      </c>
      <c r="H238" s="19" t="n">
        <v>87</v>
      </c>
      <c r="I238" s="13">
        <f>G238*H238</f>
        <v>87.0</v>
      </c>
      <c r="J238" s="20">
        <f>4550/1000</f>
        <v>4.55</v>
      </c>
      <c r="K238" s="21">
        <f>I238*J238</f>
        <v>395.84999999999997</v>
      </c>
      <c r="L238" s="22">
        <f>F238^2/162</f>
        <v>0.8888888888888888</v>
      </c>
      <c r="M238" s="21">
        <f>K238*L238</f>
        <v>351.8666666666666</v>
      </c>
      <c r="N238" s="22">
        <f>M238/1000</f>
        <v>0.3518666666666666</v>
      </c>
      <c r="O238" s="13" t="inlineStr">
        <is>
          <t>BBS</t>
        </is>
      </c>
    </row>
    <row r="239">
      <c r="A239" s="13" t="n">
        <v>234</v>
      </c>
      <c r="B239" s="13" t="inlineStr">
        <is>
          <t>Floor Slabs</t>
        </is>
      </c>
      <c r="C239" s="13" t="inlineStr">
        <is>
          <t>STR-081</t>
        </is>
      </c>
      <c r="D239" s="13" t="inlineStr">
        <is>
          <t>Typical 4th-8th slab - top</t>
        </is>
      </c>
      <c r="E239" s="19" t="inlineStr">
        <is>
          <t>1270</t>
        </is>
      </c>
      <c r="F239" s="19" t="n">
        <v>12</v>
      </c>
      <c r="G239" s="19" t="n">
        <v>1</v>
      </c>
      <c r="H239" s="19" t="n">
        <v>48</v>
      </c>
      <c r="I239" s="13">
        <f>G239*H239</f>
        <v>48.0</v>
      </c>
      <c r="J239" s="20">
        <f>8727/1000</f>
        <v>8.727</v>
      </c>
      <c r="K239" s="21">
        <f>I239*J239</f>
        <v>418.896</v>
      </c>
      <c r="L239" s="22">
        <f>F239^2/162</f>
        <v>0.8888888888888888</v>
      </c>
      <c r="M239" s="21">
        <f>K239*L239</f>
        <v>372.352</v>
      </c>
      <c r="N239" s="22">
        <f>M239/1000</f>
        <v>0.37235199999999996</v>
      </c>
      <c r="O239" s="13" t="inlineStr">
        <is>
          <t>BBS</t>
        </is>
      </c>
    </row>
    <row r="240">
      <c r="A240" s="13" t="n">
        <v>235</v>
      </c>
      <c r="B240" s="13" t="inlineStr">
        <is>
          <t>Floor Slabs</t>
        </is>
      </c>
      <c r="C240" s="13" t="inlineStr">
        <is>
          <t>STR-081</t>
        </is>
      </c>
      <c r="D240" s="13" t="inlineStr">
        <is>
          <t>Typical 4th-8th slab - top</t>
        </is>
      </c>
      <c r="E240" s="19" t="inlineStr">
        <is>
          <t>1271</t>
        </is>
      </c>
      <c r="F240" s="19" t="n">
        <v>12</v>
      </c>
      <c r="G240" s="19" t="n">
        <v>1</v>
      </c>
      <c r="H240" s="19" t="n">
        <v>74</v>
      </c>
      <c r="I240" s="13">
        <f>G240*H240</f>
        <v>74.0</v>
      </c>
      <c r="J240" s="20">
        <f>12000/1000</f>
        <v>12.0</v>
      </c>
      <c r="K240" s="21">
        <f>I240*J240</f>
        <v>888.0</v>
      </c>
      <c r="L240" s="22">
        <f>F240^2/162</f>
        <v>0.8888888888888888</v>
      </c>
      <c r="M240" s="21">
        <f>K240*L240</f>
        <v>789.3333333333333</v>
      </c>
      <c r="N240" s="22">
        <f>M240/1000</f>
        <v>0.7893333333333332</v>
      </c>
      <c r="O240" s="13" t="inlineStr">
        <is>
          <t>BBS</t>
        </is>
      </c>
    </row>
    <row r="241">
      <c r="A241" s="13" t="n">
        <v>236</v>
      </c>
      <c r="B241" s="13" t="inlineStr">
        <is>
          <t>Floor Slabs</t>
        </is>
      </c>
      <c r="C241" s="13" t="inlineStr">
        <is>
          <t>STR-081</t>
        </is>
      </c>
      <c r="D241" s="13" t="inlineStr">
        <is>
          <t>Typical 4th-8th slab - top</t>
        </is>
      </c>
      <c r="E241" s="19" t="inlineStr">
        <is>
          <t>1272</t>
        </is>
      </c>
      <c r="F241" s="19" t="n">
        <v>12</v>
      </c>
      <c r="G241" s="19" t="n">
        <v>1</v>
      </c>
      <c r="H241" s="19" t="n">
        <v>43</v>
      </c>
      <c r="I241" s="13">
        <f>G241*H241</f>
        <v>43.0</v>
      </c>
      <c r="J241" s="20">
        <f>11750/1000</f>
        <v>11.75</v>
      </c>
      <c r="K241" s="21">
        <f>I241*J241</f>
        <v>505.25</v>
      </c>
      <c r="L241" s="22">
        <f>F241^2/162</f>
        <v>0.8888888888888888</v>
      </c>
      <c r="M241" s="21">
        <f>K241*L241</f>
        <v>449.1111111111111</v>
      </c>
      <c r="N241" s="22">
        <f>M241/1000</f>
        <v>0.44911111111111107</v>
      </c>
      <c r="O241" s="13" t="inlineStr">
        <is>
          <t>BBS</t>
        </is>
      </c>
    </row>
    <row r="242">
      <c r="A242" s="13" t="n">
        <v>237</v>
      </c>
      <c r="B242" s="13" t="inlineStr">
        <is>
          <t>Floor Slabs</t>
        </is>
      </c>
      <c r="C242" s="13" t="inlineStr">
        <is>
          <t>STR-081</t>
        </is>
      </c>
      <c r="D242" s="13" t="inlineStr">
        <is>
          <t>Typical 4th-8th slab - top</t>
        </is>
      </c>
      <c r="E242" s="19" t="inlineStr">
        <is>
          <t>1273</t>
        </is>
      </c>
      <c r="F242" s="19" t="n">
        <v>12</v>
      </c>
      <c r="G242" s="19" t="n">
        <v>1</v>
      </c>
      <c r="H242" s="19" t="n">
        <v>12</v>
      </c>
      <c r="I242" s="13">
        <f>G242*H242</f>
        <v>12.0</v>
      </c>
      <c r="J242" s="20">
        <f>8800/1000</f>
        <v>8.8</v>
      </c>
      <c r="K242" s="21">
        <f>I242*J242</f>
        <v>105.60000000000001</v>
      </c>
      <c r="L242" s="22">
        <f>F242^2/162</f>
        <v>0.8888888888888888</v>
      </c>
      <c r="M242" s="21">
        <f>K242*L242</f>
        <v>93.86666666666667</v>
      </c>
      <c r="N242" s="22">
        <f>M242/1000</f>
        <v>0.09386666666666667</v>
      </c>
      <c r="O242" s="13" t="inlineStr">
        <is>
          <t>BBS</t>
        </is>
      </c>
    </row>
    <row r="243">
      <c r="A243" s="13" t="n">
        <v>238</v>
      </c>
      <c r="B243" s="13" t="inlineStr">
        <is>
          <t>Floor Slabs</t>
        </is>
      </c>
      <c r="C243" s="13" t="inlineStr">
        <is>
          <t>STR-081</t>
        </is>
      </c>
      <c r="D243" s="13" t="inlineStr">
        <is>
          <t>Typical 4th-8th slab - top</t>
        </is>
      </c>
      <c r="E243" s="19" t="inlineStr">
        <is>
          <t>1274</t>
        </is>
      </c>
      <c r="F243" s="19" t="n">
        <v>12</v>
      </c>
      <c r="G243" s="19" t="n">
        <v>1</v>
      </c>
      <c r="H243" s="19" t="n">
        <v>75</v>
      </c>
      <c r="I243" s="13">
        <f>G243*H243</f>
        <v>75.0</v>
      </c>
      <c r="J243" s="20">
        <f>7900/1000</f>
        <v>7.9</v>
      </c>
      <c r="K243" s="21">
        <f>I243*J243</f>
        <v>592.5</v>
      </c>
      <c r="L243" s="22">
        <f>F243^2/162</f>
        <v>0.8888888888888888</v>
      </c>
      <c r="M243" s="21">
        <f>K243*L243</f>
        <v>526.6666666666666</v>
      </c>
      <c r="N243" s="22">
        <f>M243/1000</f>
        <v>0.5266666666666666</v>
      </c>
      <c r="O243" s="13" t="inlineStr">
        <is>
          <t>BBS</t>
        </is>
      </c>
    </row>
    <row r="244">
      <c r="A244" s="13" t="n">
        <v>239</v>
      </c>
      <c r="B244" s="13" t="inlineStr">
        <is>
          <t>Floor Slabs</t>
        </is>
      </c>
      <c r="C244" s="13" t="inlineStr">
        <is>
          <t>STR-082</t>
        </is>
      </c>
      <c r="D244" s="13" t="inlineStr">
        <is>
          <t>Typical 4th-8th slab - additional top</t>
        </is>
      </c>
      <c r="E244" s="19" t="inlineStr">
        <is>
          <t>1275</t>
        </is>
      </c>
      <c r="F244" s="19" t="n">
        <v>12</v>
      </c>
      <c r="G244" s="19" t="n">
        <v>1</v>
      </c>
      <c r="H244" s="19" t="n">
        <v>59</v>
      </c>
      <c r="I244" s="13">
        <f>G244*H244</f>
        <v>59.0</v>
      </c>
      <c r="J244" s="20">
        <f>11000/1000</f>
        <v>11.0</v>
      </c>
      <c r="K244" s="21">
        <f>I244*J244</f>
        <v>649.0</v>
      </c>
      <c r="L244" s="22">
        <f>F244^2/162</f>
        <v>0.8888888888888888</v>
      </c>
      <c r="M244" s="21">
        <f>K244*L244</f>
        <v>576.8888888888888</v>
      </c>
      <c r="N244" s="22">
        <f>M244/1000</f>
        <v>0.5768888888888888</v>
      </c>
      <c r="O244" s="13" t="inlineStr">
        <is>
          <t>BBS</t>
        </is>
      </c>
    </row>
    <row r="245">
      <c r="A245" s="13" t="n">
        <v>240</v>
      </c>
      <c r="B245" s="13" t="inlineStr">
        <is>
          <t>Floor Slabs</t>
        </is>
      </c>
      <c r="C245" s="13" t="inlineStr">
        <is>
          <t>STR-082</t>
        </is>
      </c>
      <c r="D245" s="13" t="inlineStr">
        <is>
          <t>Typical 4th-8th slab - additional top</t>
        </is>
      </c>
      <c r="E245" s="19" t="inlineStr">
        <is>
          <t>1276</t>
        </is>
      </c>
      <c r="F245" s="19" t="n">
        <v>12</v>
      </c>
      <c r="G245" s="19" t="n">
        <v>1</v>
      </c>
      <c r="H245" s="19" t="n">
        <v>296</v>
      </c>
      <c r="I245" s="13">
        <f>G245*H245</f>
        <v>296.0</v>
      </c>
      <c r="J245" s="20">
        <f>3000/1000</f>
        <v>3.0</v>
      </c>
      <c r="K245" s="21">
        <f>I245*J245</f>
        <v>888.0</v>
      </c>
      <c r="L245" s="22">
        <f>F245^2/162</f>
        <v>0.8888888888888888</v>
      </c>
      <c r="M245" s="21">
        <f>K245*L245</f>
        <v>789.3333333333333</v>
      </c>
      <c r="N245" s="22">
        <f>M245/1000</f>
        <v>0.7893333333333332</v>
      </c>
      <c r="O245" s="13" t="inlineStr">
        <is>
          <t>BBS</t>
        </is>
      </c>
    </row>
    <row r="246">
      <c r="A246" s="13" t="n">
        <v>241</v>
      </c>
      <c r="B246" s="13" t="inlineStr">
        <is>
          <t>Floor Slabs</t>
        </is>
      </c>
      <c r="C246" s="13" t="inlineStr">
        <is>
          <t>STR-082</t>
        </is>
      </c>
      <c r="D246" s="13" t="inlineStr">
        <is>
          <t>Typical 4th-8th slab - additional top</t>
        </is>
      </c>
      <c r="E246" s="19" t="inlineStr">
        <is>
          <t>1277</t>
        </is>
      </c>
      <c r="F246" s="19" t="n">
        <v>12</v>
      </c>
      <c r="G246" s="19" t="n">
        <v>1</v>
      </c>
      <c r="H246" s="19" t="n">
        <v>15</v>
      </c>
      <c r="I246" s="13">
        <f>G246*H246</f>
        <v>15.0</v>
      </c>
      <c r="J246" s="20">
        <f>2900/1000</f>
        <v>2.9</v>
      </c>
      <c r="K246" s="21">
        <f>I246*J246</f>
        <v>43.5</v>
      </c>
      <c r="L246" s="22">
        <f>F246^2/162</f>
        <v>0.8888888888888888</v>
      </c>
      <c r="M246" s="21">
        <f>K246*L246</f>
        <v>38.666666666666664</v>
      </c>
      <c r="N246" s="22">
        <f>M246/1000</f>
        <v>0.03866666666666666</v>
      </c>
      <c r="O246" s="13" t="inlineStr">
        <is>
          <t>BBS</t>
        </is>
      </c>
    </row>
    <row r="247">
      <c r="A247" s="13" t="n">
        <v>242</v>
      </c>
      <c r="B247" s="13" t="inlineStr">
        <is>
          <t>Floor Slabs</t>
        </is>
      </c>
      <c r="C247" s="13" t="inlineStr">
        <is>
          <t>STR-082</t>
        </is>
      </c>
      <c r="D247" s="13" t="inlineStr">
        <is>
          <t>Typical 4th-8th slab - additional top</t>
        </is>
      </c>
      <c r="E247" s="19" t="inlineStr">
        <is>
          <t>1278</t>
        </is>
      </c>
      <c r="F247" s="19" t="n">
        <v>12</v>
      </c>
      <c r="G247" s="19" t="n">
        <v>1</v>
      </c>
      <c r="H247" s="19" t="n">
        <v>15</v>
      </c>
      <c r="I247" s="13">
        <f>G247*H247</f>
        <v>15.0</v>
      </c>
      <c r="J247" s="20">
        <f>4150/1000</f>
        <v>4.15</v>
      </c>
      <c r="K247" s="21">
        <f>I247*J247</f>
        <v>62.25000000000001</v>
      </c>
      <c r="L247" s="22">
        <f>F247^2/162</f>
        <v>0.8888888888888888</v>
      </c>
      <c r="M247" s="21">
        <f>K247*L247</f>
        <v>55.333333333333336</v>
      </c>
      <c r="N247" s="22">
        <f>M247/1000</f>
        <v>0.05533333333333334</v>
      </c>
      <c r="O247" s="13" t="inlineStr">
        <is>
          <t>BBS</t>
        </is>
      </c>
    </row>
    <row r="248">
      <c r="A248" s="13" t="n">
        <v>243</v>
      </c>
      <c r="B248" s="13" t="inlineStr">
        <is>
          <t>Floor Slabs</t>
        </is>
      </c>
      <c r="C248" s="13" t="inlineStr">
        <is>
          <t>STR-082</t>
        </is>
      </c>
      <c r="D248" s="13" t="inlineStr">
        <is>
          <t>Typical 4th-8th slab - additional top</t>
        </is>
      </c>
      <c r="E248" s="19" t="inlineStr">
        <is>
          <t>1279</t>
        </is>
      </c>
      <c r="F248" s="19" t="n">
        <v>12</v>
      </c>
      <c r="G248" s="19" t="n">
        <v>1</v>
      </c>
      <c r="H248" s="19" t="n">
        <v>73</v>
      </c>
      <c r="I248" s="13">
        <f>G248*H248</f>
        <v>73.0</v>
      </c>
      <c r="J248" s="20">
        <f>4500/1000</f>
        <v>4.5</v>
      </c>
      <c r="K248" s="21">
        <f>I248*J248</f>
        <v>328.5</v>
      </c>
      <c r="L248" s="22">
        <f>F248^2/162</f>
        <v>0.8888888888888888</v>
      </c>
      <c r="M248" s="21">
        <f>K248*L248</f>
        <v>292.0</v>
      </c>
      <c r="N248" s="22">
        <f>M248/1000</f>
        <v>0.292</v>
      </c>
      <c r="O248" s="13" t="inlineStr">
        <is>
          <t>BBS</t>
        </is>
      </c>
    </row>
    <row r="249">
      <c r="A249" s="13" t="n">
        <v>244</v>
      </c>
      <c r="B249" s="13" t="inlineStr">
        <is>
          <t>Floor Slabs</t>
        </is>
      </c>
      <c r="C249" s="13" t="inlineStr">
        <is>
          <t>STR-082</t>
        </is>
      </c>
      <c r="D249" s="13" t="inlineStr">
        <is>
          <t>Typical 4th-8th slab - additional top</t>
        </is>
      </c>
      <c r="E249" s="19" t="inlineStr">
        <is>
          <t>1280</t>
        </is>
      </c>
      <c r="F249" s="19" t="n">
        <v>12</v>
      </c>
      <c r="G249" s="19" t="n">
        <v>1</v>
      </c>
      <c r="H249" s="19" t="n">
        <v>75</v>
      </c>
      <c r="I249" s="13">
        <f>G249*H249</f>
        <v>75.0</v>
      </c>
      <c r="J249" s="20">
        <f>6000/1000</f>
        <v>6.0</v>
      </c>
      <c r="K249" s="21">
        <f>I249*J249</f>
        <v>450.0</v>
      </c>
      <c r="L249" s="22">
        <f>F249^2/162</f>
        <v>0.8888888888888888</v>
      </c>
      <c r="M249" s="21">
        <f>K249*L249</f>
        <v>400.0</v>
      </c>
      <c r="N249" s="22">
        <f>M249/1000</f>
        <v>0.4</v>
      </c>
      <c r="O249" s="13" t="inlineStr">
        <is>
          <t>BBS</t>
        </is>
      </c>
    </row>
    <row r="250">
      <c r="A250" s="13" t="n">
        <v>245</v>
      </c>
      <c r="B250" s="13" t="inlineStr">
        <is>
          <t>Floor Slabs</t>
        </is>
      </c>
      <c r="C250" s="13" t="inlineStr">
        <is>
          <t>STR-082</t>
        </is>
      </c>
      <c r="D250" s="13" t="inlineStr">
        <is>
          <t>Typical 4th-8th slab - additional top</t>
        </is>
      </c>
      <c r="E250" s="19" t="inlineStr">
        <is>
          <t>1281</t>
        </is>
      </c>
      <c r="F250" s="19" t="n">
        <v>12</v>
      </c>
      <c r="G250" s="19" t="n">
        <v>1</v>
      </c>
      <c r="H250" s="19" t="n">
        <v>60</v>
      </c>
      <c r="I250" s="13">
        <f>G250*H250</f>
        <v>60.0</v>
      </c>
      <c r="J250" s="20">
        <f>4900/1000</f>
        <v>4.9</v>
      </c>
      <c r="K250" s="21">
        <f>I250*J250</f>
        <v>294.0</v>
      </c>
      <c r="L250" s="22">
        <f>F250^2/162</f>
        <v>0.8888888888888888</v>
      </c>
      <c r="M250" s="21">
        <f>K250*L250</f>
        <v>261.3333333333333</v>
      </c>
      <c r="N250" s="22">
        <f>M250/1000</f>
        <v>0.2613333333333333</v>
      </c>
      <c r="O250" s="13" t="inlineStr">
        <is>
          <t>BBS</t>
        </is>
      </c>
    </row>
    <row r="251">
      <c r="A251" s="13" t="n">
        <v>246</v>
      </c>
      <c r="B251" s="13" t="inlineStr">
        <is>
          <t>Floor Slabs</t>
        </is>
      </c>
      <c r="C251" s="13" t="inlineStr">
        <is>
          <t>STR-082</t>
        </is>
      </c>
      <c r="D251" s="13" t="inlineStr">
        <is>
          <t>Typical 4th-8th slab - additional top</t>
        </is>
      </c>
      <c r="E251" s="19" t="inlineStr">
        <is>
          <t>1282</t>
        </is>
      </c>
      <c r="F251" s="19" t="n">
        <v>12</v>
      </c>
      <c r="G251" s="19" t="n">
        <v>1</v>
      </c>
      <c r="H251" s="19" t="n">
        <v>8</v>
      </c>
      <c r="I251" s="13">
        <f>G251*H251</f>
        <v>8.0</v>
      </c>
      <c r="J251" s="20">
        <f>1475/1000</f>
        <v>1.475</v>
      </c>
      <c r="K251" s="21">
        <f>I251*J251</f>
        <v>11.8</v>
      </c>
      <c r="L251" s="22">
        <f>F251^2/162</f>
        <v>0.8888888888888888</v>
      </c>
      <c r="M251" s="21">
        <f>K251*L251</f>
        <v>10.488888888888889</v>
      </c>
      <c r="N251" s="22">
        <f>M251/1000</f>
        <v>0.01048888888888889</v>
      </c>
      <c r="O251" s="13" t="inlineStr">
        <is>
          <t>BBS</t>
        </is>
      </c>
    </row>
    <row r="252">
      <c r="A252" s="13" t="n">
        <v>247</v>
      </c>
      <c r="B252" s="13" t="inlineStr">
        <is>
          <t>Floor Slabs</t>
        </is>
      </c>
      <c r="C252" s="13" t="inlineStr">
        <is>
          <t>STR-082</t>
        </is>
      </c>
      <c r="D252" s="13" t="inlineStr">
        <is>
          <t>Typical 4th-8th slab - additional top</t>
        </is>
      </c>
      <c r="E252" s="19" t="inlineStr">
        <is>
          <t>1601</t>
        </is>
      </c>
      <c r="F252" s="19" t="n">
        <v>16</v>
      </c>
      <c r="G252" s="19" t="n">
        <v>1</v>
      </c>
      <c r="H252" s="19" t="n">
        <v>6</v>
      </c>
      <c r="I252" s="13">
        <f>G252*H252</f>
        <v>6.0</v>
      </c>
      <c r="J252" s="20">
        <f>3675/1000</f>
        <v>3.675</v>
      </c>
      <c r="K252" s="21">
        <f>I252*J252</f>
        <v>22.049999999999997</v>
      </c>
      <c r="L252" s="22">
        <f>F252^2/162</f>
        <v>1.5802469135802468</v>
      </c>
      <c r="M252" s="21">
        <f>K252*L252</f>
        <v>34.84444444444444</v>
      </c>
      <c r="N252" s="22">
        <f>M252/1000</f>
        <v>0.03484444444444444</v>
      </c>
      <c r="O252" s="13" t="inlineStr">
        <is>
          <t>BBS</t>
        </is>
      </c>
    </row>
    <row r="253">
      <c r="A253" s="13" t="n">
        <v>248</v>
      </c>
      <c r="B253" s="13" t="inlineStr">
        <is>
          <t>Floor Slabs</t>
        </is>
      </c>
      <c r="C253" s="13" t="inlineStr">
        <is>
          <t>STR-082</t>
        </is>
      </c>
      <c r="D253" s="13" t="inlineStr">
        <is>
          <t>Typical 4th-8th slab - additional top</t>
        </is>
      </c>
      <c r="E253" s="19" t="inlineStr">
        <is>
          <t>1602</t>
        </is>
      </c>
      <c r="F253" s="19" t="n">
        <v>16</v>
      </c>
      <c r="G253" s="19" t="n">
        <v>1</v>
      </c>
      <c r="H253" s="19" t="n">
        <v>6</v>
      </c>
      <c r="I253" s="13">
        <f>G253*H253</f>
        <v>6.0</v>
      </c>
      <c r="J253" s="20">
        <f>6675/1000</f>
        <v>6.675</v>
      </c>
      <c r="K253" s="21">
        <f>I253*J253</f>
        <v>40.05</v>
      </c>
      <c r="L253" s="22">
        <f>F253^2/162</f>
        <v>1.5802469135802468</v>
      </c>
      <c r="M253" s="21">
        <f>K253*L253</f>
        <v>63.288888888888884</v>
      </c>
      <c r="N253" s="22">
        <f>M253/1000</f>
        <v>0.06328888888888888</v>
      </c>
      <c r="O253" s="13" t="inlineStr">
        <is>
          <t>BBS</t>
        </is>
      </c>
    </row>
    <row r="254">
      <c r="A254" s="13" t="n">
        <v>249</v>
      </c>
      <c r="B254" s="13" t="inlineStr">
        <is>
          <t>Floor Slabs</t>
        </is>
      </c>
      <c r="C254" s="13" t="inlineStr">
        <is>
          <t>STR-082</t>
        </is>
      </c>
      <c r="D254" s="13" t="inlineStr">
        <is>
          <t>Typical 4th-8th slab - additional top</t>
        </is>
      </c>
      <c r="E254" s="19" t="inlineStr">
        <is>
          <t>1603</t>
        </is>
      </c>
      <c r="F254" s="19" t="n">
        <v>16</v>
      </c>
      <c r="G254" s="19" t="n">
        <v>1</v>
      </c>
      <c r="H254" s="19" t="n">
        <v>3</v>
      </c>
      <c r="I254" s="13">
        <f>G254*H254</f>
        <v>3.0</v>
      </c>
      <c r="J254" s="20">
        <f>3000/1000</f>
        <v>3.0</v>
      </c>
      <c r="K254" s="21">
        <f>I254*J254</f>
        <v>9.0</v>
      </c>
      <c r="L254" s="22">
        <f>F254^2/162</f>
        <v>1.5802469135802468</v>
      </c>
      <c r="M254" s="21">
        <f>K254*L254</f>
        <v>14.222222222222221</v>
      </c>
      <c r="N254" s="22">
        <f>M254/1000</f>
        <v>0.014222222222222221</v>
      </c>
      <c r="O254" s="13" t="inlineStr">
        <is>
          <t>BBS</t>
        </is>
      </c>
    </row>
    <row r="255">
      <c r="A255" s="13" t="n">
        <v>250</v>
      </c>
      <c r="B255" s="13" t="inlineStr">
        <is>
          <t>Floor Slabs</t>
        </is>
      </c>
      <c r="C255" s="13" t="inlineStr">
        <is>
          <t>STR-082</t>
        </is>
      </c>
      <c r="D255" s="13" t="inlineStr">
        <is>
          <t>Typical 4th-8th slab - additional top</t>
        </is>
      </c>
      <c r="E255" s="19" t="inlineStr">
        <is>
          <t>1604</t>
        </is>
      </c>
      <c r="F255" s="19" t="n">
        <v>16</v>
      </c>
      <c r="G255" s="19" t="n">
        <v>1</v>
      </c>
      <c r="H255" s="19" t="n">
        <v>6</v>
      </c>
      <c r="I255" s="13">
        <f>G255*H255</f>
        <v>6.0</v>
      </c>
      <c r="J255" s="20">
        <f>4025/1000</f>
        <v>4.025</v>
      </c>
      <c r="K255" s="21">
        <f>I255*J255</f>
        <v>24.150000000000002</v>
      </c>
      <c r="L255" s="22">
        <f>F255^2/162</f>
        <v>1.5802469135802468</v>
      </c>
      <c r="M255" s="21">
        <f>K255*L255</f>
        <v>38.162962962962965</v>
      </c>
      <c r="N255" s="22">
        <f>M255/1000</f>
        <v>0.03816296296296297</v>
      </c>
      <c r="O255" s="13" t="inlineStr">
        <is>
          <t>BBS</t>
        </is>
      </c>
    </row>
    <row r="256">
      <c r="A256" s="13" t="n">
        <v>251</v>
      </c>
      <c r="B256" s="13" t="inlineStr">
        <is>
          <t>Staircases</t>
        </is>
      </c>
      <c r="C256" s="13" t="inlineStr">
        <is>
          <t>STR-027</t>
        </is>
      </c>
      <c r="D256" s="13" t="inlineStr">
        <is>
          <t>Main staircase typical flight (4th to 10th, one storey)</t>
        </is>
      </c>
      <c r="E256" s="19" t="inlineStr">
        <is>
          <t>1201</t>
        </is>
      </c>
      <c r="F256" s="19" t="n">
        <v>12</v>
      </c>
      <c r="G256" s="19" t="n">
        <v>1</v>
      </c>
      <c r="H256" s="19" t="n">
        <v>30</v>
      </c>
      <c r="I256" s="13">
        <f>G256*H256</f>
        <v>30.0</v>
      </c>
      <c r="J256" s="20">
        <f>6200/1000</f>
        <v>6.2</v>
      </c>
      <c r="K256" s="21">
        <f>I256*J256</f>
        <v>186.0</v>
      </c>
      <c r="L256" s="22">
        <f>F256^2/162</f>
        <v>0.8888888888888888</v>
      </c>
      <c r="M256" s="21">
        <f>K256*L256</f>
        <v>165.33333333333331</v>
      </c>
      <c r="N256" s="22">
        <f>M256/1000</f>
        <v>0.1653333333333333</v>
      </c>
      <c r="O256" s="13" t="inlineStr">
        <is>
          <t>BBS</t>
        </is>
      </c>
    </row>
    <row r="257">
      <c r="A257" s="13" t="n">
        <v>252</v>
      </c>
      <c r="B257" s="13" t="inlineStr">
        <is>
          <t>Staircases</t>
        </is>
      </c>
      <c r="C257" s="13" t="inlineStr">
        <is>
          <t>STR-027</t>
        </is>
      </c>
      <c r="D257" s="13" t="inlineStr">
        <is>
          <t>Main staircase typical flight (4th to 10th, one storey)</t>
        </is>
      </c>
      <c r="E257" s="19" t="inlineStr">
        <is>
          <t>1202</t>
        </is>
      </c>
      <c r="F257" s="19" t="n">
        <v>12</v>
      </c>
      <c r="G257" s="19" t="n">
        <v>1</v>
      </c>
      <c r="H257" s="19" t="n">
        <v>80</v>
      </c>
      <c r="I257" s="13">
        <f>G257*H257</f>
        <v>80.0</v>
      </c>
      <c r="J257" s="20">
        <f>2300/1000</f>
        <v>2.3</v>
      </c>
      <c r="K257" s="21">
        <f>I257*J257</f>
        <v>184.0</v>
      </c>
      <c r="L257" s="22">
        <f>F257^2/162</f>
        <v>0.8888888888888888</v>
      </c>
      <c r="M257" s="21">
        <f>K257*L257</f>
        <v>163.55555555555554</v>
      </c>
      <c r="N257" s="22">
        <f>M257/1000</f>
        <v>0.16355555555555554</v>
      </c>
      <c r="O257" s="13" t="inlineStr">
        <is>
          <t>BBS</t>
        </is>
      </c>
    </row>
    <row r="258">
      <c r="A258" s="13" t="n">
        <v>253</v>
      </c>
      <c r="B258" s="13" t="inlineStr">
        <is>
          <t>Staircases</t>
        </is>
      </c>
      <c r="C258" s="13" t="inlineStr">
        <is>
          <t>STR-027</t>
        </is>
      </c>
      <c r="D258" s="13" t="inlineStr">
        <is>
          <t>Main staircase typical flight (4th to 10th, one storey)</t>
        </is>
      </c>
      <c r="E258" s="19" t="inlineStr">
        <is>
          <t>1203</t>
        </is>
      </c>
      <c r="F258" s="19" t="n">
        <v>12</v>
      </c>
      <c r="G258" s="19" t="n">
        <v>1</v>
      </c>
      <c r="H258" s="19" t="n">
        <v>26</v>
      </c>
      <c r="I258" s="13">
        <f>G258*H258</f>
        <v>26.0</v>
      </c>
      <c r="J258" s="20">
        <f>4800/1000</f>
        <v>4.8</v>
      </c>
      <c r="K258" s="21">
        <f>I258*J258</f>
        <v>124.8</v>
      </c>
      <c r="L258" s="22">
        <f>F258^2/162</f>
        <v>0.8888888888888888</v>
      </c>
      <c r="M258" s="21">
        <f>K258*L258</f>
        <v>110.93333333333332</v>
      </c>
      <c r="N258" s="22">
        <f>M258/1000</f>
        <v>0.11093333333333333</v>
      </c>
      <c r="O258" s="13" t="inlineStr">
        <is>
          <t>BBS</t>
        </is>
      </c>
    </row>
    <row r="259">
      <c r="A259" s="13" t="n">
        <v>254</v>
      </c>
      <c r="B259" s="13" t="inlineStr">
        <is>
          <t>Staircases</t>
        </is>
      </c>
      <c r="C259" s="13" t="inlineStr">
        <is>
          <t>STR-027</t>
        </is>
      </c>
      <c r="D259" s="13" t="inlineStr">
        <is>
          <t>Main staircase typical flight (4th to 10th, one storey)</t>
        </is>
      </c>
      <c r="E259" s="19" t="inlineStr">
        <is>
          <t>1601</t>
        </is>
      </c>
      <c r="F259" s="19" t="n">
        <v>16</v>
      </c>
      <c r="G259" s="19" t="n">
        <v>1</v>
      </c>
      <c r="H259" s="19" t="n">
        <v>11</v>
      </c>
      <c r="I259" s="13">
        <f>G259*H259</f>
        <v>11.0</v>
      </c>
      <c r="J259" s="20">
        <f>8450/1000</f>
        <v>8.45</v>
      </c>
      <c r="K259" s="21">
        <f>I259*J259</f>
        <v>92.94999999999999</v>
      </c>
      <c r="L259" s="22">
        <f>F259^2/162</f>
        <v>1.5802469135802468</v>
      </c>
      <c r="M259" s="21">
        <f>K259*L259</f>
        <v>146.88395061728392</v>
      </c>
      <c r="N259" s="22">
        <f>M259/1000</f>
        <v>0.1468839506172839</v>
      </c>
      <c r="O259" s="13" t="inlineStr">
        <is>
          <t>BBS</t>
        </is>
      </c>
    </row>
    <row r="260">
      <c r="A260" s="13" t="n">
        <v>255</v>
      </c>
      <c r="B260" s="13" t="inlineStr">
        <is>
          <t>Staircases</t>
        </is>
      </c>
      <c r="C260" s="13" t="inlineStr">
        <is>
          <t>STR-027</t>
        </is>
      </c>
      <c r="D260" s="13" t="inlineStr">
        <is>
          <t>Main staircase typical flight (4th to 10th, one storey)</t>
        </is>
      </c>
      <c r="E260" s="19" t="inlineStr">
        <is>
          <t>1602</t>
        </is>
      </c>
      <c r="F260" s="19" t="n">
        <v>16</v>
      </c>
      <c r="G260" s="19" t="n">
        <v>1</v>
      </c>
      <c r="H260" s="19" t="n">
        <v>11</v>
      </c>
      <c r="I260" s="13">
        <f>G260*H260</f>
        <v>11.0</v>
      </c>
      <c r="J260" s="20">
        <f>4475/1000</f>
        <v>4.475</v>
      </c>
      <c r="K260" s="21">
        <f>I260*J260</f>
        <v>49.224999999999994</v>
      </c>
      <c r="L260" s="22">
        <f>F260^2/162</f>
        <v>1.5802469135802468</v>
      </c>
      <c r="M260" s="21">
        <f>K260*L260</f>
        <v>77.78765432098764</v>
      </c>
      <c r="N260" s="22">
        <f>M260/1000</f>
        <v>0.07778765432098764</v>
      </c>
      <c r="O260" s="13" t="inlineStr">
        <is>
          <t>BBS</t>
        </is>
      </c>
    </row>
    <row r="261">
      <c r="A261" s="13" t="n">
        <v>256</v>
      </c>
      <c r="B261" s="13" t="inlineStr">
        <is>
          <t>Staircases</t>
        </is>
      </c>
      <c r="C261" s="13" t="inlineStr">
        <is>
          <t>STR-027</t>
        </is>
      </c>
      <c r="D261" s="13" t="inlineStr">
        <is>
          <t>Main staircase typical flight (4th to 10th, one storey)</t>
        </is>
      </c>
      <c r="E261" s="19" t="inlineStr">
        <is>
          <t>1603</t>
        </is>
      </c>
      <c r="F261" s="19" t="n">
        <v>16</v>
      </c>
      <c r="G261" s="19" t="n">
        <v>1</v>
      </c>
      <c r="H261" s="19" t="n">
        <v>11</v>
      </c>
      <c r="I261" s="13">
        <f>G261*H261</f>
        <v>11.0</v>
      </c>
      <c r="J261" s="20">
        <f>2400/1000</f>
        <v>2.4</v>
      </c>
      <c r="K261" s="21">
        <f>I261*J261</f>
        <v>26.4</v>
      </c>
      <c r="L261" s="22">
        <f>F261^2/162</f>
        <v>1.5802469135802468</v>
      </c>
      <c r="M261" s="21">
        <f>K261*L261</f>
        <v>41.718518518518515</v>
      </c>
      <c r="N261" s="22">
        <f>M261/1000</f>
        <v>0.041718518518518516</v>
      </c>
      <c r="O261" s="13" t="inlineStr">
        <is>
          <t>BBS</t>
        </is>
      </c>
    </row>
    <row r="262">
      <c r="A262" s="13" t="n">
        <v>257</v>
      </c>
      <c r="B262" s="13" t="inlineStr">
        <is>
          <t>Staircases</t>
        </is>
      </c>
      <c r="C262" s="13" t="inlineStr">
        <is>
          <t>STR-027</t>
        </is>
      </c>
      <c r="D262" s="13" t="inlineStr">
        <is>
          <t>Main staircase typical flight (4th to 10th, one storey)</t>
        </is>
      </c>
      <c r="E262" s="19" t="inlineStr">
        <is>
          <t>1604</t>
        </is>
      </c>
      <c r="F262" s="19" t="n">
        <v>16</v>
      </c>
      <c r="G262" s="19" t="n">
        <v>1</v>
      </c>
      <c r="H262" s="19" t="n">
        <v>11</v>
      </c>
      <c r="I262" s="13">
        <f>G262*H262</f>
        <v>11.0</v>
      </c>
      <c r="J262" s="20">
        <f>4250/1000</f>
        <v>4.25</v>
      </c>
      <c r="K262" s="21">
        <f>I262*J262</f>
        <v>46.75</v>
      </c>
      <c r="L262" s="22">
        <f>F262^2/162</f>
        <v>1.5802469135802468</v>
      </c>
      <c r="M262" s="21">
        <f>K262*L262</f>
        <v>73.87654320987654</v>
      </c>
      <c r="N262" s="22">
        <f>M262/1000</f>
        <v>0.07387654320987655</v>
      </c>
      <c r="O262" s="13" t="inlineStr">
        <is>
          <t>BBS</t>
        </is>
      </c>
    </row>
    <row r="263">
      <c r="A263" s="13" t="n">
        <v>258</v>
      </c>
      <c r="B263" s="13" t="inlineStr">
        <is>
          <t>Staircases</t>
        </is>
      </c>
      <c r="C263" s="13" t="inlineStr">
        <is>
          <t>STR-027</t>
        </is>
      </c>
      <c r="D263" s="13" t="inlineStr">
        <is>
          <t>Main staircase typical flight (4th to 10th, one storey)</t>
        </is>
      </c>
      <c r="E263" s="19" t="inlineStr">
        <is>
          <t>1605</t>
        </is>
      </c>
      <c r="F263" s="19" t="n">
        <v>16</v>
      </c>
      <c r="G263" s="19" t="n">
        <v>1</v>
      </c>
      <c r="H263" s="19" t="n">
        <v>11</v>
      </c>
      <c r="I263" s="13">
        <f>G263*H263</f>
        <v>11.0</v>
      </c>
      <c r="J263" s="20">
        <f>2100/1000</f>
        <v>2.1</v>
      </c>
      <c r="K263" s="21">
        <f>I263*J263</f>
        <v>23.1</v>
      </c>
      <c r="L263" s="22">
        <f>F263^2/162</f>
        <v>1.5802469135802468</v>
      </c>
      <c r="M263" s="21">
        <f>K263*L263</f>
        <v>36.50370370370371</v>
      </c>
      <c r="N263" s="22">
        <f>M263/1000</f>
        <v>0.036503703703703705</v>
      </c>
      <c r="O263" s="13" t="inlineStr">
        <is>
          <t>BBS</t>
        </is>
      </c>
    </row>
    <row r="264">
      <c r="A264" s="13" t="n">
        <v>259</v>
      </c>
      <c r="B264" s="13" t="inlineStr">
        <is>
          <t>Staircases</t>
        </is>
      </c>
      <c r="C264" s="13" t="inlineStr">
        <is>
          <t>STR-027</t>
        </is>
      </c>
      <c r="D264" s="13" t="inlineStr">
        <is>
          <t>Main staircase typical flight (4th to 10th, one storey)</t>
        </is>
      </c>
      <c r="E264" s="19" t="inlineStr">
        <is>
          <t>1606</t>
        </is>
      </c>
      <c r="F264" s="19" t="n">
        <v>16</v>
      </c>
      <c r="G264" s="19" t="n">
        <v>1</v>
      </c>
      <c r="H264" s="19" t="n">
        <v>11</v>
      </c>
      <c r="I264" s="13">
        <f>G264*H264</f>
        <v>11.0</v>
      </c>
      <c r="J264" s="20">
        <f>6950/1000</f>
        <v>6.95</v>
      </c>
      <c r="K264" s="21">
        <f>I264*J264</f>
        <v>76.45</v>
      </c>
      <c r="L264" s="22">
        <f>F264^2/162</f>
        <v>1.5802469135802468</v>
      </c>
      <c r="M264" s="21">
        <f>K264*L264</f>
        <v>120.80987654320987</v>
      </c>
      <c r="N264" s="22">
        <f>M264/1000</f>
        <v>0.12080987654320986</v>
      </c>
      <c r="O264" s="13" t="inlineStr">
        <is>
          <t>BBS</t>
        </is>
      </c>
    </row>
    <row r="265">
      <c r="A265" s="13" t="n">
        <v>260</v>
      </c>
      <c r="B265" s="13" t="inlineStr">
        <is>
          <t>Staircases</t>
        </is>
      </c>
      <c r="C265" s="13" t="inlineStr">
        <is>
          <t>STR-027</t>
        </is>
      </c>
      <c r="D265" s="13" t="inlineStr">
        <is>
          <t>Main staircase typical flight (4th to 10th, one storey)</t>
        </is>
      </c>
      <c r="E265" s="19" t="inlineStr">
        <is>
          <t>1607</t>
        </is>
      </c>
      <c r="F265" s="19" t="n">
        <v>16</v>
      </c>
      <c r="G265" s="19" t="n">
        <v>1</v>
      </c>
      <c r="H265" s="19" t="n">
        <v>11</v>
      </c>
      <c r="I265" s="13">
        <f>G265*H265</f>
        <v>11.0</v>
      </c>
      <c r="J265" s="20">
        <f>3300/1000</f>
        <v>3.3</v>
      </c>
      <c r="K265" s="21">
        <f>I265*J265</f>
        <v>36.3</v>
      </c>
      <c r="L265" s="22">
        <f>F265^2/162</f>
        <v>1.5802469135802468</v>
      </c>
      <c r="M265" s="21">
        <f>K265*L265</f>
        <v>57.36296296296295</v>
      </c>
      <c r="N265" s="22">
        <f>M265/1000</f>
        <v>0.057362962962962956</v>
      </c>
      <c r="O265" s="13" t="inlineStr">
        <is>
          <t>BBS</t>
        </is>
      </c>
    </row>
    <row r="266">
      <c r="A266" s="13" t="n">
        <v>261</v>
      </c>
      <c r="B266" s="13" t="inlineStr">
        <is>
          <t>Staircases</t>
        </is>
      </c>
      <c r="C266" s="13" t="inlineStr">
        <is>
          <t>STR-027</t>
        </is>
      </c>
      <c r="D266" s="13" t="inlineStr">
        <is>
          <t>Main staircase typical flight (4th to 10th, one storey)</t>
        </is>
      </c>
      <c r="E266" s="19" t="inlineStr">
        <is>
          <t>1608</t>
        </is>
      </c>
      <c r="F266" s="19" t="n">
        <v>16</v>
      </c>
      <c r="G266" s="19" t="n">
        <v>1</v>
      </c>
      <c r="H266" s="19" t="n">
        <v>11</v>
      </c>
      <c r="I266" s="13">
        <f>G266*H266</f>
        <v>11.0</v>
      </c>
      <c r="J266" s="20">
        <f>1200/1000</f>
        <v>1.2</v>
      </c>
      <c r="K266" s="21">
        <f>I266*J266</f>
        <v>13.2</v>
      </c>
      <c r="L266" s="22">
        <f>F266^2/162</f>
        <v>1.5802469135802468</v>
      </c>
      <c r="M266" s="21">
        <f>K266*L266</f>
        <v>20.859259259259257</v>
      </c>
      <c r="N266" s="22">
        <f>M266/1000</f>
        <v>0.020859259259259258</v>
      </c>
      <c r="O266" s="13" t="inlineStr">
        <is>
          <t>BBS</t>
        </is>
      </c>
    </row>
    <row r="267">
      <c r="A267" s="13" t="n">
        <v>262</v>
      </c>
      <c r="B267" s="13" t="inlineStr">
        <is>
          <t>Staircases</t>
        </is>
      </c>
      <c r="C267" s="13" t="inlineStr">
        <is>
          <t>STR-027</t>
        </is>
      </c>
      <c r="D267" s="13" t="inlineStr">
        <is>
          <t>Main staircase typical flight (4th to 10th, one storey)</t>
        </is>
      </c>
      <c r="E267" s="19" t="inlineStr">
        <is>
          <t>1609</t>
        </is>
      </c>
      <c r="F267" s="19" t="n">
        <v>16</v>
      </c>
      <c r="G267" s="19" t="n">
        <v>1</v>
      </c>
      <c r="H267" s="19" t="n">
        <v>11</v>
      </c>
      <c r="I267" s="13">
        <f>G267*H267</f>
        <v>11.0</v>
      </c>
      <c r="J267" s="20">
        <f>6225/1000</f>
        <v>6.225</v>
      </c>
      <c r="K267" s="21">
        <f>I267*J267</f>
        <v>68.475</v>
      </c>
      <c r="L267" s="22">
        <f>F267^2/162</f>
        <v>1.5802469135802468</v>
      </c>
      <c r="M267" s="21">
        <f>K267*L267</f>
        <v>108.20740740740739</v>
      </c>
      <c r="N267" s="22">
        <f>M267/1000</f>
        <v>0.10820740740740739</v>
      </c>
      <c r="O267" s="13" t="inlineStr">
        <is>
          <t>BBS</t>
        </is>
      </c>
    </row>
    <row r="268">
      <c r="A268" s="13" t="n">
        <v>263</v>
      </c>
      <c r="B268" s="13" t="inlineStr">
        <is>
          <t>Staircases</t>
        </is>
      </c>
      <c r="C268" s="13" t="inlineStr">
        <is>
          <t>STR-027</t>
        </is>
      </c>
      <c r="D268" s="13" t="inlineStr">
        <is>
          <t>Main staircase typical flight (4th to 10th, one storey)</t>
        </is>
      </c>
      <c r="E268" s="19" t="inlineStr">
        <is>
          <t>1610</t>
        </is>
      </c>
      <c r="F268" s="19" t="n">
        <v>16</v>
      </c>
      <c r="G268" s="19" t="n">
        <v>1</v>
      </c>
      <c r="H268" s="19" t="n">
        <v>11</v>
      </c>
      <c r="I268" s="13">
        <f>G268*H268</f>
        <v>11.0</v>
      </c>
      <c r="J268" s="20">
        <f>3225/1000</f>
        <v>3.225</v>
      </c>
      <c r="K268" s="21">
        <f>I268*J268</f>
        <v>35.475</v>
      </c>
      <c r="L268" s="22">
        <f>F268^2/162</f>
        <v>1.5802469135802468</v>
      </c>
      <c r="M268" s="21">
        <f>K268*L268</f>
        <v>56.05925925925926</v>
      </c>
      <c r="N268" s="22">
        <f>M268/1000</f>
        <v>0.05605925925925926</v>
      </c>
      <c r="O268" s="13" t="inlineStr">
        <is>
          <t>BBS</t>
        </is>
      </c>
    </row>
    <row r="269">
      <c r="A269" s="13" t="n">
        <v>264</v>
      </c>
      <c r="B269" s="13" t="inlineStr">
        <is>
          <t>Staircases</t>
        </is>
      </c>
      <c r="C269" s="13" t="inlineStr">
        <is>
          <t>STR-037</t>
        </is>
      </c>
      <c r="D269" s="13" t="inlineStr">
        <is>
          <t>Emergency staircase typical flight (4th to 10th, one storey)</t>
        </is>
      </c>
      <c r="E269" s="19" t="inlineStr">
        <is>
          <t>1201</t>
        </is>
      </c>
      <c r="F269" s="19" t="n">
        <v>12</v>
      </c>
      <c r="G269" s="19" t="n">
        <v>1</v>
      </c>
      <c r="H269" s="19" t="n">
        <v>30</v>
      </c>
      <c r="I269" s="13">
        <f>G269*H269</f>
        <v>30.0</v>
      </c>
      <c r="J269" s="20">
        <f>6200/1000</f>
        <v>6.2</v>
      </c>
      <c r="K269" s="21">
        <f>I269*J269</f>
        <v>186.0</v>
      </c>
      <c r="L269" s="22">
        <f>F269^2/162</f>
        <v>0.8888888888888888</v>
      </c>
      <c r="M269" s="21">
        <f>K269*L269</f>
        <v>165.33333333333331</v>
      </c>
      <c r="N269" s="22">
        <f>M269/1000</f>
        <v>0.1653333333333333</v>
      </c>
      <c r="O269" s="13" t="inlineStr">
        <is>
          <t>BBS</t>
        </is>
      </c>
    </row>
    <row r="270">
      <c r="A270" s="13" t="n">
        <v>265</v>
      </c>
      <c r="B270" s="13" t="inlineStr">
        <is>
          <t>Staircases</t>
        </is>
      </c>
      <c r="C270" s="13" t="inlineStr">
        <is>
          <t>STR-037</t>
        </is>
      </c>
      <c r="D270" s="13" t="inlineStr">
        <is>
          <t>Emergency staircase typical flight (4th to 10th, one storey)</t>
        </is>
      </c>
      <c r="E270" s="19" t="inlineStr">
        <is>
          <t>1202</t>
        </is>
      </c>
      <c r="F270" s="19" t="n">
        <v>12</v>
      </c>
      <c r="G270" s="19" t="n">
        <v>1</v>
      </c>
      <c r="H270" s="19" t="n">
        <v>80</v>
      </c>
      <c r="I270" s="13">
        <f>G270*H270</f>
        <v>80.0</v>
      </c>
      <c r="J270" s="20">
        <f>2300/1000</f>
        <v>2.3</v>
      </c>
      <c r="K270" s="21">
        <f>I270*J270</f>
        <v>184.0</v>
      </c>
      <c r="L270" s="22">
        <f>F270^2/162</f>
        <v>0.8888888888888888</v>
      </c>
      <c r="M270" s="21">
        <f>K270*L270</f>
        <v>163.55555555555554</v>
      </c>
      <c r="N270" s="22">
        <f>M270/1000</f>
        <v>0.16355555555555554</v>
      </c>
      <c r="O270" s="13" t="inlineStr">
        <is>
          <t>BBS</t>
        </is>
      </c>
    </row>
    <row r="271">
      <c r="A271" s="13" t="n">
        <v>266</v>
      </c>
      <c r="B271" s="13" t="inlineStr">
        <is>
          <t>Staircases</t>
        </is>
      </c>
      <c r="C271" s="13" t="inlineStr">
        <is>
          <t>STR-037</t>
        </is>
      </c>
      <c r="D271" s="13" t="inlineStr">
        <is>
          <t>Emergency staircase typical flight (4th to 10th, one storey)</t>
        </is>
      </c>
      <c r="E271" s="19" t="inlineStr">
        <is>
          <t>1203</t>
        </is>
      </c>
      <c r="F271" s="19" t="n">
        <v>12</v>
      </c>
      <c r="G271" s="19" t="n">
        <v>1</v>
      </c>
      <c r="H271" s="19" t="n">
        <v>26</v>
      </c>
      <c r="I271" s="13">
        <f>G271*H271</f>
        <v>26.0</v>
      </c>
      <c r="J271" s="20">
        <f>4800/1000</f>
        <v>4.8</v>
      </c>
      <c r="K271" s="21">
        <f>I271*J271</f>
        <v>124.8</v>
      </c>
      <c r="L271" s="22">
        <f>F271^2/162</f>
        <v>0.8888888888888888</v>
      </c>
      <c r="M271" s="21">
        <f>K271*L271</f>
        <v>110.93333333333332</v>
      </c>
      <c r="N271" s="22">
        <f>M271/1000</f>
        <v>0.11093333333333333</v>
      </c>
      <c r="O271" s="13" t="inlineStr">
        <is>
          <t>BBS</t>
        </is>
      </c>
    </row>
    <row r="272">
      <c r="A272" s="13" t="n">
        <v>267</v>
      </c>
      <c r="B272" s="13" t="inlineStr">
        <is>
          <t>Staircases</t>
        </is>
      </c>
      <c r="C272" s="13" t="inlineStr">
        <is>
          <t>STR-037</t>
        </is>
      </c>
      <c r="D272" s="13" t="inlineStr">
        <is>
          <t>Emergency staircase typical flight (4th to 10th, one storey)</t>
        </is>
      </c>
      <c r="E272" s="19" t="inlineStr">
        <is>
          <t>1601</t>
        </is>
      </c>
      <c r="F272" s="19" t="n">
        <v>16</v>
      </c>
      <c r="G272" s="19" t="n">
        <v>1</v>
      </c>
      <c r="H272" s="19" t="n">
        <v>11</v>
      </c>
      <c r="I272" s="13">
        <f>G272*H272</f>
        <v>11.0</v>
      </c>
      <c r="J272" s="20">
        <f>8175/1000</f>
        <v>8.175</v>
      </c>
      <c r="K272" s="21">
        <f>I272*J272</f>
        <v>89.92500000000001</v>
      </c>
      <c r="L272" s="22">
        <f>F272^2/162</f>
        <v>1.5802469135802468</v>
      </c>
      <c r="M272" s="21">
        <f>K272*L272</f>
        <v>142.1037037037037</v>
      </c>
      <c r="N272" s="22">
        <f>M272/1000</f>
        <v>0.1421037037037037</v>
      </c>
      <c r="O272" s="13" t="inlineStr">
        <is>
          <t>BBS</t>
        </is>
      </c>
    </row>
    <row r="273">
      <c r="A273" s="13" t="n">
        <v>268</v>
      </c>
      <c r="B273" s="13" t="inlineStr">
        <is>
          <t>Staircases</t>
        </is>
      </c>
      <c r="C273" s="13" t="inlineStr">
        <is>
          <t>STR-037</t>
        </is>
      </c>
      <c r="D273" s="13" t="inlineStr">
        <is>
          <t>Emergency staircase typical flight (4th to 10th, one storey)</t>
        </is>
      </c>
      <c r="E273" s="19" t="inlineStr">
        <is>
          <t>1602</t>
        </is>
      </c>
      <c r="F273" s="19" t="n">
        <v>16</v>
      </c>
      <c r="G273" s="19" t="n">
        <v>1</v>
      </c>
      <c r="H273" s="19" t="n">
        <v>11</v>
      </c>
      <c r="I273" s="13">
        <f>G273*H273</f>
        <v>11.0</v>
      </c>
      <c r="J273" s="20">
        <f>2650/1000</f>
        <v>2.65</v>
      </c>
      <c r="K273" s="21">
        <f>I273*J273</f>
        <v>29.15</v>
      </c>
      <c r="L273" s="22">
        <f>F273^2/162</f>
        <v>1.5802469135802468</v>
      </c>
      <c r="M273" s="21">
        <f>K273*L273</f>
        <v>46.06419753086419</v>
      </c>
      <c r="N273" s="22">
        <f>M273/1000</f>
        <v>0.046064197530864194</v>
      </c>
      <c r="O273" s="13" t="inlineStr">
        <is>
          <t>BBS</t>
        </is>
      </c>
    </row>
    <row r="274">
      <c r="A274" s="13" t="n">
        <v>269</v>
      </c>
      <c r="B274" s="13" t="inlineStr">
        <is>
          <t>Staircases</t>
        </is>
      </c>
      <c r="C274" s="13" t="inlineStr">
        <is>
          <t>STR-037</t>
        </is>
      </c>
      <c r="D274" s="13" t="inlineStr">
        <is>
          <t>Emergency staircase typical flight (4th to 10th, one storey)</t>
        </is>
      </c>
      <c r="E274" s="19" t="inlineStr">
        <is>
          <t>1603</t>
        </is>
      </c>
      <c r="F274" s="19" t="n">
        <v>16</v>
      </c>
      <c r="G274" s="19" t="n">
        <v>1</v>
      </c>
      <c r="H274" s="19" t="n">
        <v>11</v>
      </c>
      <c r="I274" s="13">
        <f>G274*H274</f>
        <v>11.0</v>
      </c>
      <c r="J274" s="20">
        <f>2400/1000</f>
        <v>2.4</v>
      </c>
      <c r="K274" s="21">
        <f>I274*J274</f>
        <v>26.4</v>
      </c>
      <c r="L274" s="22">
        <f>F274^2/162</f>
        <v>1.5802469135802468</v>
      </c>
      <c r="M274" s="21">
        <f>K274*L274</f>
        <v>41.718518518518515</v>
      </c>
      <c r="N274" s="22">
        <f>M274/1000</f>
        <v>0.041718518518518516</v>
      </c>
      <c r="O274" s="13" t="inlineStr">
        <is>
          <t>BBS</t>
        </is>
      </c>
    </row>
    <row r="275">
      <c r="A275" s="13" t="n">
        <v>270</v>
      </c>
      <c r="B275" s="13" t="inlineStr">
        <is>
          <t>Staircases</t>
        </is>
      </c>
      <c r="C275" s="13" t="inlineStr">
        <is>
          <t>STR-037</t>
        </is>
      </c>
      <c r="D275" s="13" t="inlineStr">
        <is>
          <t>Emergency staircase typical flight (4th to 10th, one storey)</t>
        </is>
      </c>
      <c r="E275" s="19" t="inlineStr">
        <is>
          <t>1604</t>
        </is>
      </c>
      <c r="F275" s="19" t="n">
        <v>16</v>
      </c>
      <c r="G275" s="19" t="n">
        <v>1</v>
      </c>
      <c r="H275" s="19" t="n">
        <v>11</v>
      </c>
      <c r="I275" s="13">
        <f>G275*H275</f>
        <v>11.0</v>
      </c>
      <c r="J275" s="20">
        <f>4300/1000</f>
        <v>4.3</v>
      </c>
      <c r="K275" s="21">
        <f>I275*J275</f>
        <v>47.3</v>
      </c>
      <c r="L275" s="22">
        <f>F275^2/162</f>
        <v>1.5802469135802468</v>
      </c>
      <c r="M275" s="21">
        <f>K275*L275</f>
        <v>74.74567901234568</v>
      </c>
      <c r="N275" s="22">
        <f>M275/1000</f>
        <v>0.07474567901234568</v>
      </c>
      <c r="O275" s="13" t="inlineStr">
        <is>
          <t>BBS</t>
        </is>
      </c>
    </row>
    <row r="276">
      <c r="A276" s="13" t="n">
        <v>271</v>
      </c>
      <c r="B276" s="13" t="inlineStr">
        <is>
          <t>Staircases</t>
        </is>
      </c>
      <c r="C276" s="13" t="inlineStr">
        <is>
          <t>STR-037</t>
        </is>
      </c>
      <c r="D276" s="13" t="inlineStr">
        <is>
          <t>Emergency staircase typical flight (4th to 10th, one storey)</t>
        </is>
      </c>
      <c r="E276" s="19" t="inlineStr">
        <is>
          <t>1605</t>
        </is>
      </c>
      <c r="F276" s="19" t="n">
        <v>16</v>
      </c>
      <c r="G276" s="19" t="n">
        <v>1</v>
      </c>
      <c r="H276" s="19" t="n">
        <v>11</v>
      </c>
      <c r="I276" s="13">
        <f>G276*H276</f>
        <v>11.0</v>
      </c>
      <c r="J276" s="20">
        <f>2100/1000</f>
        <v>2.1</v>
      </c>
      <c r="K276" s="21">
        <f>I276*J276</f>
        <v>23.1</v>
      </c>
      <c r="L276" s="22">
        <f>F276^2/162</f>
        <v>1.5802469135802468</v>
      </c>
      <c r="M276" s="21">
        <f>K276*L276</f>
        <v>36.50370370370371</v>
      </c>
      <c r="N276" s="22">
        <f>M276/1000</f>
        <v>0.036503703703703705</v>
      </c>
      <c r="O276" s="13" t="inlineStr">
        <is>
          <t>BBS</t>
        </is>
      </c>
    </row>
    <row r="277">
      <c r="A277" s="13" t="n">
        <v>272</v>
      </c>
      <c r="B277" s="13" t="inlineStr">
        <is>
          <t>Staircases</t>
        </is>
      </c>
      <c r="C277" s="13" t="inlineStr">
        <is>
          <t>STR-037</t>
        </is>
      </c>
      <c r="D277" s="13" t="inlineStr">
        <is>
          <t>Emergency staircase typical flight (4th to 10th, one storey)</t>
        </is>
      </c>
      <c r="E277" s="19" t="inlineStr">
        <is>
          <t>1606</t>
        </is>
      </c>
      <c r="F277" s="19" t="n">
        <v>16</v>
      </c>
      <c r="G277" s="19" t="n">
        <v>1</v>
      </c>
      <c r="H277" s="19" t="n">
        <v>11</v>
      </c>
      <c r="I277" s="13">
        <f>G277*H277</f>
        <v>11.0</v>
      </c>
      <c r="J277" s="20">
        <f>6900/1000</f>
        <v>6.9</v>
      </c>
      <c r="K277" s="21">
        <f>I277*J277</f>
        <v>75.9</v>
      </c>
      <c r="L277" s="22">
        <f>F277^2/162</f>
        <v>1.5802469135802468</v>
      </c>
      <c r="M277" s="21">
        <f>K277*L277</f>
        <v>119.94074074074074</v>
      </c>
      <c r="N277" s="22">
        <f>M277/1000</f>
        <v>0.11994074074074074</v>
      </c>
      <c r="O277" s="13" t="inlineStr">
        <is>
          <t>BBS</t>
        </is>
      </c>
    </row>
    <row r="278">
      <c r="A278" s="13" t="n">
        <v>273</v>
      </c>
      <c r="B278" s="13" t="inlineStr">
        <is>
          <t>Staircases</t>
        </is>
      </c>
      <c r="C278" s="13" t="inlineStr">
        <is>
          <t>STR-037</t>
        </is>
      </c>
      <c r="D278" s="13" t="inlineStr">
        <is>
          <t>Emergency staircase typical flight (4th to 10th, one storey)</t>
        </is>
      </c>
      <c r="E278" s="19" t="inlineStr">
        <is>
          <t>1607</t>
        </is>
      </c>
      <c r="F278" s="19" t="n">
        <v>16</v>
      </c>
      <c r="G278" s="19" t="n">
        <v>1</v>
      </c>
      <c r="H278" s="19" t="n">
        <v>11</v>
      </c>
      <c r="I278" s="13">
        <f>G278*H278</f>
        <v>11.0</v>
      </c>
      <c r="J278" s="20">
        <f>4800/1000</f>
        <v>4.8</v>
      </c>
      <c r="K278" s="21">
        <f>I278*J278</f>
        <v>52.8</v>
      </c>
      <c r="L278" s="22">
        <f>F278^2/162</f>
        <v>1.5802469135802468</v>
      </c>
      <c r="M278" s="21">
        <f>K278*L278</f>
        <v>83.43703703703703</v>
      </c>
      <c r="N278" s="22">
        <f>M278/1000</f>
        <v>0.08343703703703703</v>
      </c>
      <c r="O278" s="13" t="inlineStr">
        <is>
          <t>BBS</t>
        </is>
      </c>
    </row>
    <row r="279">
      <c r="A279" s="13" t="n">
        <v>274</v>
      </c>
      <c r="B279" s="13" t="inlineStr">
        <is>
          <t>Staircases</t>
        </is>
      </c>
      <c r="C279" s="13" t="inlineStr">
        <is>
          <t>STR-037</t>
        </is>
      </c>
      <c r="D279" s="13" t="inlineStr">
        <is>
          <t>Emergency staircase typical flight (4th to 10th, one storey)</t>
        </is>
      </c>
      <c r="E279" s="19" t="inlineStr">
        <is>
          <t>1608</t>
        </is>
      </c>
      <c r="F279" s="19" t="n">
        <v>16</v>
      </c>
      <c r="G279" s="19" t="n">
        <v>1</v>
      </c>
      <c r="H279" s="19" t="n">
        <v>11</v>
      </c>
      <c r="I279" s="13">
        <f>G279*H279</f>
        <v>11.0</v>
      </c>
      <c r="J279" s="20">
        <f>3400/1000</f>
        <v>3.4</v>
      </c>
      <c r="K279" s="21">
        <f>I279*J279</f>
        <v>37.4</v>
      </c>
      <c r="L279" s="22">
        <f>F279^2/162</f>
        <v>1.5802469135802468</v>
      </c>
      <c r="M279" s="21">
        <f>K279*L279</f>
        <v>59.10123456790123</v>
      </c>
      <c r="N279" s="22">
        <f>M279/1000</f>
        <v>0.05910123456790123</v>
      </c>
      <c r="O279" s="13" t="inlineStr">
        <is>
          <t>BBS</t>
        </is>
      </c>
    </row>
    <row r="280">
      <c r="A280" s="13" t="n">
        <v>275</v>
      </c>
      <c r="B280" s="13" t="inlineStr">
        <is>
          <t>Staircases</t>
        </is>
      </c>
      <c r="C280" s="13" t="inlineStr">
        <is>
          <t>STR-037</t>
        </is>
      </c>
      <c r="D280" s="13" t="inlineStr">
        <is>
          <t>Emergency staircase typical flight (4th to 10th, one storey)</t>
        </is>
      </c>
      <c r="E280" s="19" t="inlineStr">
        <is>
          <t>1609</t>
        </is>
      </c>
      <c r="F280" s="19" t="n">
        <v>16</v>
      </c>
      <c r="G280" s="19" t="n">
        <v>1</v>
      </c>
      <c r="H280" s="19" t="n">
        <v>11</v>
      </c>
      <c r="I280" s="13">
        <f>G280*H280</f>
        <v>11.0</v>
      </c>
      <c r="J280" s="20">
        <f>3200/1000</f>
        <v>3.2</v>
      </c>
      <c r="K280" s="21">
        <f>I280*J280</f>
        <v>35.2</v>
      </c>
      <c r="L280" s="22">
        <f>F280^2/162</f>
        <v>1.5802469135802468</v>
      </c>
      <c r="M280" s="21">
        <f>K280*L280</f>
        <v>55.62469135802469</v>
      </c>
      <c r="N280" s="22">
        <f>M280/1000</f>
        <v>0.05562469135802469</v>
      </c>
      <c r="O280" s="13" t="inlineStr">
        <is>
          <t>BBS</t>
        </is>
      </c>
    </row>
    <row r="281">
      <c r="A281" s="13" t="n">
        <v>276</v>
      </c>
      <c r="B281" s="13" t="inlineStr">
        <is>
          <t>Staircases</t>
        </is>
      </c>
      <c r="C281" s="13" t="inlineStr">
        <is>
          <t>STR-037</t>
        </is>
      </c>
      <c r="D281" s="13" t="inlineStr">
        <is>
          <t>Emergency staircase typical flight (4th to 10th, one storey)</t>
        </is>
      </c>
      <c r="E281" s="19" t="inlineStr">
        <is>
          <t>1610</t>
        </is>
      </c>
      <c r="F281" s="19" t="n">
        <v>16</v>
      </c>
      <c r="G281" s="19" t="n">
        <v>1</v>
      </c>
      <c r="H281" s="19" t="n">
        <v>11</v>
      </c>
      <c r="I281" s="13">
        <f>G281*H281</f>
        <v>11.0</v>
      </c>
      <c r="J281" s="20">
        <f>2000/1000</f>
        <v>2.0</v>
      </c>
      <c r="K281" s="21">
        <f>I281*J281</f>
        <v>22.0</v>
      </c>
      <c r="L281" s="22">
        <f>F281^2/162</f>
        <v>1.5802469135802468</v>
      </c>
      <c r="M281" s="21">
        <f>K281*L281</f>
        <v>34.76543209876543</v>
      </c>
      <c r="N281" s="22">
        <f>M281/1000</f>
        <v>0.03476543209876543</v>
      </c>
      <c r="O281" s="13" t="inlineStr">
        <is>
          <t>BBS</t>
        </is>
      </c>
    </row>
    <row r="283">
      <c r="D283" s="10" t="inlineStr">
        <is>
          <t>SUMMARY - FOURTH FLOOR: ELEMENT BY BAR SIZE (TONNES)</t>
        </is>
      </c>
    </row>
    <row r="284">
      <c r="D284" s="23" t="inlineStr">
        <is>
          <t>Element</t>
        </is>
      </c>
      <c r="E284" s="24" t="n">
        <v>10</v>
      </c>
      <c r="F284" s="24" t="n">
        <v>12</v>
      </c>
      <c r="G284" s="24" t="n">
        <v>16</v>
      </c>
      <c r="H284" s="24" t="n">
        <v>20</v>
      </c>
      <c r="I284" s="24" t="n">
        <v>25</v>
      </c>
      <c r="J284" s="23" t="inlineStr">
        <is>
          <t>Total (t)</t>
        </is>
      </c>
    </row>
    <row r="285">
      <c r="D285" s="13" t="inlineStr">
        <is>
          <t>Raft Foundation</t>
        </is>
      </c>
      <c r="E285" s="25">
        <f>SUMIFS($N$6:$N$281,$B$6:$B$281,$D285,$F$6:$F$281,E$284)</f>
        <v>0.0</v>
      </c>
      <c r="F285" s="25">
        <f>SUMIFS($N$6:$N$281,$B$6:$B$281,$D285,$F$6:$F$281,F$284)</f>
        <v>0.0</v>
      </c>
      <c r="G285" s="25">
        <f>SUMIFS($N$6:$N$281,$B$6:$B$281,$D285,$F$6:$F$281,G$284)</f>
        <v>0.0</v>
      </c>
      <c r="H285" s="25">
        <f>SUMIFS($N$6:$N$281,$B$6:$B$281,$D285,$F$6:$F$281,H$284)</f>
        <v>0.0</v>
      </c>
      <c r="I285" s="25">
        <f>SUMIFS($N$6:$N$281,$B$6:$B$281,$D285,$F$6:$F$281,I$284)</f>
        <v>0.0</v>
      </c>
      <c r="J285" s="17">
        <f>SUM(E285:I285)</f>
        <v>0.0</v>
      </c>
    </row>
    <row r="286">
      <c r="D286" s="13" t="inlineStr">
        <is>
          <t>Columns</t>
        </is>
      </c>
      <c r="E286" s="25">
        <f>SUMIFS($N$6:$N$281,$B$6:$B$281,$D286,$F$6:$F$281,E$284)</f>
        <v>4.550629629629629</v>
      </c>
      <c r="F286" s="25">
        <f>SUMIFS($N$6:$N$281,$B$6:$B$281,$D286,$F$6:$F$281,F$284)</f>
        <v>0.0</v>
      </c>
      <c r="G286" s="25">
        <f>SUMIFS($N$6:$N$281,$B$6:$B$281,$D286,$F$6:$F$281,G$284)</f>
        <v>0.0</v>
      </c>
      <c r="H286" s="25">
        <f>SUMIFS($N$6:$N$281,$B$6:$B$281,$D286,$F$6:$F$281,H$284)</f>
        <v>7.133333333333333</v>
      </c>
      <c r="I286" s="25">
        <f>SUMIFS($N$6:$N$281,$B$6:$B$281,$D286,$F$6:$F$281,I$284)</f>
        <v>0.0</v>
      </c>
      <c r="J286" s="17">
        <f>SUM(E286:I286)</f>
        <v>11.683962962962962</v>
      </c>
    </row>
    <row r="287">
      <c r="D287" s="13" t="inlineStr">
        <is>
          <t>Shear Walls</t>
        </is>
      </c>
      <c r="E287" s="25">
        <f>SUMIFS($N$6:$N$281,$B$6:$B$281,$D287,$F$6:$F$281,E$284)</f>
        <v>1.4422222222222223</v>
      </c>
      <c r="F287" s="25">
        <f>SUMIFS($N$6:$N$281,$B$6:$B$281,$D287,$F$6:$F$281,F$284)</f>
        <v>1.9171555555555557</v>
      </c>
      <c r="G287" s="25">
        <f>SUMIFS($N$6:$N$281,$B$6:$B$281,$D287,$F$6:$F$281,G$284)</f>
        <v>0.0</v>
      </c>
      <c r="H287" s="25">
        <f>SUMIFS($N$6:$N$281,$B$6:$B$281,$D287,$F$6:$F$281,H$284)</f>
        <v>6.904197530864199</v>
      </c>
      <c r="I287" s="25">
        <f>SUMIFS($N$6:$N$281,$B$6:$B$281,$D287,$F$6:$F$281,I$284)</f>
        <v>0.0</v>
      </c>
      <c r="J287" s="17">
        <f>SUM(E287:I287)</f>
        <v>10.263575308641977</v>
      </c>
    </row>
    <row r="288">
      <c r="D288" s="13" t="inlineStr">
        <is>
          <t>Lift Walls</t>
        </is>
      </c>
      <c r="E288" s="25">
        <f>SUMIFS($N$6:$N$281,$B$6:$B$281,$D288,$F$6:$F$281,E$284)</f>
        <v>0.6355555555555557</v>
      </c>
      <c r="F288" s="25">
        <f>SUMIFS($N$6:$N$281,$B$6:$B$281,$D288,$F$6:$F$281,F$284)</f>
        <v>0.8655999999999999</v>
      </c>
      <c r="G288" s="25">
        <f>SUMIFS($N$6:$N$281,$B$6:$B$281,$D288,$F$6:$F$281,G$284)</f>
        <v>0.0</v>
      </c>
      <c r="H288" s="25">
        <f>SUMIFS($N$6:$N$281,$B$6:$B$281,$D288,$F$6:$F$281,H$284)</f>
        <v>0.0</v>
      </c>
      <c r="I288" s="25">
        <f>SUMIFS($N$6:$N$281,$B$6:$B$281,$D288,$F$6:$F$281,I$284)</f>
        <v>5.441358024691357</v>
      </c>
      <c r="J288" s="17">
        <f>SUM(E288:I288)</f>
        <v>6.942513580246912</v>
      </c>
    </row>
    <row r="289">
      <c r="D289" s="13" t="inlineStr">
        <is>
          <t>Retaining / Ramp Walls</t>
        </is>
      </c>
      <c r="E289" s="25">
        <f>SUMIFS($N$6:$N$281,$B$6:$B$281,$D289,$F$6:$F$281,E$284)</f>
        <v>0.0</v>
      </c>
      <c r="F289" s="25">
        <f>SUMIFS($N$6:$N$281,$B$6:$B$281,$D289,$F$6:$F$281,F$284)</f>
        <v>0.0</v>
      </c>
      <c r="G289" s="25">
        <f>SUMIFS($N$6:$N$281,$B$6:$B$281,$D289,$F$6:$F$281,G$284)</f>
        <v>0.0</v>
      </c>
      <c r="H289" s="25">
        <f>SUMIFS($N$6:$N$281,$B$6:$B$281,$D289,$F$6:$F$281,H$284)</f>
        <v>0.0</v>
      </c>
      <c r="I289" s="25">
        <f>SUMIFS($N$6:$N$281,$B$6:$B$281,$D289,$F$6:$F$281,I$284)</f>
        <v>0.0</v>
      </c>
      <c r="J289" s="17">
        <f>SUM(E289:I289)</f>
        <v>0.0</v>
      </c>
    </row>
    <row r="290">
      <c r="D290" s="13" t="inlineStr">
        <is>
          <t>Beams</t>
        </is>
      </c>
      <c r="E290" s="25">
        <f>SUMIFS($N$6:$N$281,$B$6:$B$281,$D290,$F$6:$F$281,E$284)</f>
        <v>1.8062345679012344</v>
      </c>
      <c r="F290" s="25">
        <f>SUMIFS($N$6:$N$281,$B$6:$B$281,$D290,$F$6:$F$281,F$284)</f>
        <v>0.0</v>
      </c>
      <c r="G290" s="25">
        <f>SUMIFS($N$6:$N$281,$B$6:$B$281,$D290,$F$6:$F$281,G$284)</f>
        <v>1.2476839506172839</v>
      </c>
      <c r="H290" s="25">
        <f>SUMIFS($N$6:$N$281,$B$6:$B$281,$D290,$F$6:$F$281,H$284)</f>
        <v>2.1350617283950615</v>
      </c>
      <c r="I290" s="25">
        <f>SUMIFS($N$6:$N$281,$B$6:$B$281,$D290,$F$6:$F$281,I$284)</f>
        <v>5.506944444444445</v>
      </c>
      <c r="J290" s="17">
        <f>SUM(E290:I290)</f>
        <v>10.695924691358025</v>
      </c>
    </row>
    <row r="291">
      <c r="D291" s="13" t="inlineStr">
        <is>
          <t>Floor Slabs</t>
        </is>
      </c>
      <c r="E291" s="25">
        <f>SUMIFS($N$6:$N$281,$B$6:$B$281,$D291,$F$6:$F$281,E$284)</f>
        <v>0.0</v>
      </c>
      <c r="F291" s="25">
        <f>SUMIFS($N$6:$N$281,$B$6:$B$281,$D291,$F$6:$F$281,F$284)</f>
        <v>49.804440888888884</v>
      </c>
      <c r="G291" s="25">
        <f>SUMIFS($N$6:$N$281,$B$6:$B$281,$D291,$F$6:$F$281,G$284)</f>
        <v>0.1505185185185185</v>
      </c>
      <c r="H291" s="25">
        <f>SUMIFS($N$6:$N$281,$B$6:$B$281,$D291,$F$6:$F$281,H$284)</f>
        <v>0.0</v>
      </c>
      <c r="I291" s="25">
        <f>SUMIFS($N$6:$N$281,$B$6:$B$281,$D291,$F$6:$F$281,I$284)</f>
        <v>0.0</v>
      </c>
      <c r="J291" s="17">
        <f>SUM(E291:I291)</f>
        <v>49.9549594074074</v>
      </c>
    </row>
    <row r="292">
      <c r="D292" s="13" t="inlineStr">
        <is>
          <t>Staircases</t>
        </is>
      </c>
      <c r="E292" s="25">
        <f>SUMIFS($N$6:$N$281,$B$6:$B$281,$D292,$F$6:$F$281,E$284)</f>
        <v>0.0</v>
      </c>
      <c r="F292" s="25">
        <f>SUMIFS($N$6:$N$281,$B$6:$B$281,$D292,$F$6:$F$281,F$284)</f>
        <v>0.8796444444444443</v>
      </c>
      <c r="G292" s="25">
        <f>SUMIFS($N$6:$N$281,$B$6:$B$281,$D292,$F$6:$F$281,G$284)</f>
        <v>1.4340740740740738</v>
      </c>
      <c r="H292" s="25">
        <f>SUMIFS($N$6:$N$281,$B$6:$B$281,$D292,$F$6:$F$281,H$284)</f>
        <v>0.0</v>
      </c>
      <c r="I292" s="25">
        <f>SUMIFS($N$6:$N$281,$B$6:$B$281,$D292,$F$6:$F$281,I$284)</f>
        <v>0.0</v>
      </c>
      <c r="J292" s="17">
        <f>SUM(E292:I292)</f>
        <v>2.313718518518518</v>
      </c>
    </row>
    <row r="293">
      <c r="D293" s="13" t="inlineStr">
        <is>
          <t>Lift Core Roof Slab</t>
        </is>
      </c>
      <c r="E293" s="25">
        <f>SUMIFS($N$6:$N$281,$B$6:$B$281,$D293,$F$6:$F$281,E$284)</f>
        <v>0.0</v>
      </c>
      <c r="F293" s="25">
        <f>SUMIFS($N$6:$N$281,$B$6:$B$281,$D293,$F$6:$F$281,F$284)</f>
        <v>0.0</v>
      </c>
      <c r="G293" s="25">
        <f>SUMIFS($N$6:$N$281,$B$6:$B$281,$D293,$F$6:$F$281,G$284)</f>
        <v>0.0</v>
      </c>
      <c r="H293" s="25">
        <f>SUMIFS($N$6:$N$281,$B$6:$B$281,$D293,$F$6:$F$281,H$284)</f>
        <v>0.0</v>
      </c>
      <c r="I293" s="25">
        <f>SUMIFS($N$6:$N$281,$B$6:$B$281,$D293,$F$6:$F$281,I$284)</f>
        <v>0.0</v>
      </c>
      <c r="J293" s="17">
        <f>SUM(E293:I293)</f>
        <v>0.0</v>
      </c>
    </row>
    <row r="294">
      <c r="D294" s="16" t="inlineStr">
        <is>
          <t>TOTAL - FOURTH FLOOR</t>
        </is>
      </c>
      <c r="E294" s="26">
        <f>SUM(E285:E293)</f>
        <v>8.43464197530864</v>
      </c>
      <c r="F294" s="26">
        <f>SUM(F285:F293)</f>
        <v>53.46684088888888</v>
      </c>
      <c r="G294" s="26">
        <f>SUM(G285:G293)</f>
        <v>2.8322765432098764</v>
      </c>
      <c r="H294" s="26">
        <f>SUM(H285:H293)</f>
        <v>16.172592592592594</v>
      </c>
      <c r="I294" s="26">
        <f>SUM(I285:I293)</f>
        <v>10.9483024691358</v>
      </c>
      <c r="J294" s="26">
        <f>SUM(J285:J293)</f>
        <v>91.8546544691358</v>
      </c>
      <c r="K294" s="7" t="inlineStr">
        <is>
          <t>Check vs detail (should be 0):</t>
        </is>
      </c>
      <c r="N294" s="7">
        <f>ROUND(SUM(N6:N281)-J294,6)</f>
        <v>0.0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O29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FIFTH FLOOR (+17500) - TYPICAL 4TH-8TH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STR-007</t>
        </is>
      </c>
      <c r="D6" s="13" t="inlineStr">
        <is>
          <t>COL-01A (5 nos) 5th to 6th - links</t>
        </is>
      </c>
      <c r="E6" s="19" t="inlineStr">
        <is>
          <t>1001</t>
        </is>
      </c>
      <c r="F6" s="19" t="n">
        <v>10</v>
      </c>
      <c r="G6" s="19" t="n">
        <v>5</v>
      </c>
      <c r="H6" s="19" t="n">
        <v>30</v>
      </c>
      <c r="I6" s="13">
        <f>G6*H6</f>
        <v>150.0</v>
      </c>
      <c r="J6" s="20">
        <f>2330/1000</f>
        <v>2.33</v>
      </c>
      <c r="K6" s="21">
        <f>I6*J6</f>
        <v>349.5</v>
      </c>
      <c r="L6" s="22">
        <f>F6^2/162</f>
        <v>0.6172839506172839</v>
      </c>
      <c r="M6" s="21">
        <f>K6*L6</f>
        <v>215.74074074074073</v>
      </c>
      <c r="N6" s="22">
        <f>M6/1000</f>
        <v>0.21574074074074073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STR-007</t>
        </is>
      </c>
      <c r="D7" s="13" t="inlineStr">
        <is>
          <t>COL-01A (5 nos) 5th to 6th - links</t>
        </is>
      </c>
      <c r="E7" s="19" t="inlineStr">
        <is>
          <t>1002</t>
        </is>
      </c>
      <c r="F7" s="19" t="n">
        <v>10</v>
      </c>
      <c r="G7" s="19" t="n">
        <v>5</v>
      </c>
      <c r="H7" s="19" t="n">
        <v>60</v>
      </c>
      <c r="I7" s="13">
        <f>G7*H7</f>
        <v>300.0</v>
      </c>
      <c r="J7" s="20">
        <f>1330/1000</f>
        <v>1.33</v>
      </c>
      <c r="K7" s="21">
        <f>I7*J7</f>
        <v>399.0</v>
      </c>
      <c r="L7" s="22">
        <f>F7^2/162</f>
        <v>0.6172839506172839</v>
      </c>
      <c r="M7" s="21">
        <f>K7*L7</f>
        <v>246.29629629629628</v>
      </c>
      <c r="N7" s="22">
        <f>M7/1000</f>
        <v>0.24629629629629626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STR-007</t>
        </is>
      </c>
      <c r="D8" s="13" t="inlineStr">
        <is>
          <t>COL-01A (5 nos) 5th to 6th - links</t>
        </is>
      </c>
      <c r="E8" s="19" t="inlineStr">
        <is>
          <t>1003</t>
        </is>
      </c>
      <c r="F8" s="19" t="n">
        <v>10</v>
      </c>
      <c r="G8" s="19" t="n">
        <v>5</v>
      </c>
      <c r="H8" s="19" t="n">
        <v>30</v>
      </c>
      <c r="I8" s="13">
        <f>G8*H8</f>
        <v>150.0</v>
      </c>
      <c r="J8" s="20">
        <f>1830/1000</f>
        <v>1.83</v>
      </c>
      <c r="K8" s="21">
        <f>I8*J8</f>
        <v>274.5</v>
      </c>
      <c r="L8" s="22">
        <f>F8^2/162</f>
        <v>0.6172839506172839</v>
      </c>
      <c r="M8" s="21">
        <f>K8*L8</f>
        <v>169.44444444444443</v>
      </c>
      <c r="N8" s="22">
        <f>M8/1000</f>
        <v>0.16944444444444443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STR-007</t>
        </is>
      </c>
      <c r="D9" s="13" t="inlineStr">
        <is>
          <t>COL-01A (5 nos) 5th to 6th - main bars</t>
        </is>
      </c>
      <c r="E9" s="19" t="inlineStr">
        <is>
          <t>2001</t>
        </is>
      </c>
      <c r="F9" s="19" t="n">
        <v>20</v>
      </c>
      <c r="G9" s="19" t="n">
        <v>5</v>
      </c>
      <c r="H9" s="19" t="n">
        <v>16</v>
      </c>
      <c r="I9" s="13">
        <f>G9*H9</f>
        <v>80.0</v>
      </c>
      <c r="J9" s="20">
        <f>4500/1000</f>
        <v>4.5</v>
      </c>
      <c r="K9" s="21">
        <f>I9*J9</f>
        <v>360.0</v>
      </c>
      <c r="L9" s="22">
        <f>F9^2/162</f>
        <v>2.4691358024691357</v>
      </c>
      <c r="M9" s="21">
        <f>K9*L9</f>
        <v>888.8888888888888</v>
      </c>
      <c r="N9" s="22">
        <f>M9/1000</f>
        <v>0.8888888888888888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STR-007</t>
        </is>
      </c>
      <c r="D10" s="13" t="inlineStr">
        <is>
          <t>COL-01B (1 nos) 5th to 6th - links</t>
        </is>
      </c>
      <c r="E10" s="19" t="inlineStr">
        <is>
          <t>1001</t>
        </is>
      </c>
      <c r="F10" s="19" t="n">
        <v>10</v>
      </c>
      <c r="G10" s="19" t="n">
        <v>1</v>
      </c>
      <c r="H10" s="19" t="n">
        <v>30</v>
      </c>
      <c r="I10" s="13">
        <f>G10*H10</f>
        <v>30.0</v>
      </c>
      <c r="J10" s="20">
        <f>2330/1000</f>
        <v>2.33</v>
      </c>
      <c r="K10" s="21">
        <f>I10*J10</f>
        <v>69.9</v>
      </c>
      <c r="L10" s="22">
        <f>F10^2/162</f>
        <v>0.6172839506172839</v>
      </c>
      <c r="M10" s="21">
        <f>K10*L10</f>
        <v>43.14814814814815</v>
      </c>
      <c r="N10" s="22">
        <f>M10/1000</f>
        <v>0.04314814814814815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STR-007</t>
        </is>
      </c>
      <c r="D11" s="13" t="inlineStr">
        <is>
          <t>COL-01B (1 nos) 5th to 6th - links</t>
        </is>
      </c>
      <c r="E11" s="19" t="inlineStr">
        <is>
          <t>1002</t>
        </is>
      </c>
      <c r="F11" s="19" t="n">
        <v>10</v>
      </c>
      <c r="G11" s="19" t="n">
        <v>1</v>
      </c>
      <c r="H11" s="19" t="n">
        <v>60</v>
      </c>
      <c r="I11" s="13">
        <f>G11*H11</f>
        <v>60.0</v>
      </c>
      <c r="J11" s="20">
        <f>1330/1000</f>
        <v>1.33</v>
      </c>
      <c r="K11" s="21">
        <f>I11*J11</f>
        <v>79.80000000000001</v>
      </c>
      <c r="L11" s="22">
        <f>F11^2/162</f>
        <v>0.6172839506172839</v>
      </c>
      <c r="M11" s="21">
        <f>K11*L11</f>
        <v>49.25925925925927</v>
      </c>
      <c r="N11" s="22">
        <f>M11/1000</f>
        <v>0.049259259259259267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STR-007</t>
        </is>
      </c>
      <c r="D12" s="13" t="inlineStr">
        <is>
          <t>COL-01B (1 nos) 5th to 6th - links</t>
        </is>
      </c>
      <c r="E12" s="19" t="inlineStr">
        <is>
          <t>1003</t>
        </is>
      </c>
      <c r="F12" s="19" t="n">
        <v>10</v>
      </c>
      <c r="G12" s="19" t="n">
        <v>1</v>
      </c>
      <c r="H12" s="19" t="n">
        <v>30</v>
      </c>
      <c r="I12" s="13">
        <f>G12*H12</f>
        <v>30.0</v>
      </c>
      <c r="J12" s="20">
        <f>1830/1000</f>
        <v>1.83</v>
      </c>
      <c r="K12" s="21">
        <f>I12*J12</f>
        <v>54.900000000000006</v>
      </c>
      <c r="L12" s="22">
        <f>F12^2/162</f>
        <v>0.6172839506172839</v>
      </c>
      <c r="M12" s="21">
        <f>K12*L12</f>
        <v>33.88888888888889</v>
      </c>
      <c r="N12" s="22">
        <f>M12/1000</f>
        <v>0.03388888888888889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Columns</t>
        </is>
      </c>
      <c r="C13" s="13" t="inlineStr">
        <is>
          <t>STR-007</t>
        </is>
      </c>
      <c r="D13" s="13" t="inlineStr">
        <is>
          <t>COL-01B (1 nos) 5th to 6th - main bars</t>
        </is>
      </c>
      <c r="E13" s="19" t="inlineStr">
        <is>
          <t>2001</t>
        </is>
      </c>
      <c r="F13" s="19" t="n">
        <v>20</v>
      </c>
      <c r="G13" s="19" t="n">
        <v>1</v>
      </c>
      <c r="H13" s="19" t="n">
        <v>16</v>
      </c>
      <c r="I13" s="13">
        <f>G13*H13</f>
        <v>16.0</v>
      </c>
      <c r="J13" s="20">
        <f>4500/1000</f>
        <v>4.5</v>
      </c>
      <c r="K13" s="21">
        <f>I13*J13</f>
        <v>72.0</v>
      </c>
      <c r="L13" s="22">
        <f>F13^2/162</f>
        <v>2.4691358024691357</v>
      </c>
      <c r="M13" s="21">
        <f>K13*L13</f>
        <v>177.77777777777777</v>
      </c>
      <c r="N13" s="22">
        <f>M13/1000</f>
        <v>0.17777777777777778</v>
      </c>
      <c r="O13" s="13" t="inlineStr">
        <is>
          <t>Elevation + BBS length</t>
        </is>
      </c>
    </row>
    <row r="14">
      <c r="A14" s="13" t="n">
        <v>9</v>
      </c>
      <c r="B14" s="13" t="inlineStr">
        <is>
          <t>Columns</t>
        </is>
      </c>
      <c r="C14" s="13" t="inlineStr">
        <is>
          <t>STR-008</t>
        </is>
      </c>
      <c r="D14" s="13" t="inlineStr">
        <is>
          <t>COL-01C (2 nos) 5th to 6th - links</t>
        </is>
      </c>
      <c r="E14" s="19" t="inlineStr">
        <is>
          <t>1001</t>
        </is>
      </c>
      <c r="F14" s="19" t="n">
        <v>10</v>
      </c>
      <c r="G14" s="19" t="n">
        <v>2</v>
      </c>
      <c r="H14" s="19" t="n">
        <v>30</v>
      </c>
      <c r="I14" s="13">
        <f>G14*H14</f>
        <v>60.0</v>
      </c>
      <c r="J14" s="20">
        <f>2330/1000</f>
        <v>2.33</v>
      </c>
      <c r="K14" s="21">
        <f>I14*J14</f>
        <v>139.8</v>
      </c>
      <c r="L14" s="22">
        <f>F14^2/162</f>
        <v>0.6172839506172839</v>
      </c>
      <c r="M14" s="21">
        <f>K14*L14</f>
        <v>86.2962962962963</v>
      </c>
      <c r="N14" s="22">
        <f>M14/1000</f>
        <v>0.0862962962962963</v>
      </c>
      <c r="O14" s="13" t="inlineStr">
        <is>
          <t>Elevation + BBS length</t>
        </is>
      </c>
    </row>
    <row r="15">
      <c r="A15" s="13" t="n">
        <v>10</v>
      </c>
      <c r="B15" s="13" t="inlineStr">
        <is>
          <t>Columns</t>
        </is>
      </c>
      <c r="C15" s="13" t="inlineStr">
        <is>
          <t>STR-008</t>
        </is>
      </c>
      <c r="D15" s="13" t="inlineStr">
        <is>
          <t>COL-01C (2 nos) 5th to 6th - links</t>
        </is>
      </c>
      <c r="E15" s="19" t="inlineStr">
        <is>
          <t>1002</t>
        </is>
      </c>
      <c r="F15" s="19" t="n">
        <v>10</v>
      </c>
      <c r="G15" s="19" t="n">
        <v>2</v>
      </c>
      <c r="H15" s="19" t="n">
        <v>60</v>
      </c>
      <c r="I15" s="13">
        <f>G15*H15</f>
        <v>120.0</v>
      </c>
      <c r="J15" s="20">
        <f>1330/1000</f>
        <v>1.33</v>
      </c>
      <c r="K15" s="21">
        <f>I15*J15</f>
        <v>159.60000000000002</v>
      </c>
      <c r="L15" s="22">
        <f>F15^2/162</f>
        <v>0.6172839506172839</v>
      </c>
      <c r="M15" s="21">
        <f>K15*L15</f>
        <v>98.51851851851853</v>
      </c>
      <c r="N15" s="22">
        <f>M15/1000</f>
        <v>0.09851851851851853</v>
      </c>
      <c r="O15" s="13" t="inlineStr">
        <is>
          <t>Elevation + BBS length</t>
        </is>
      </c>
    </row>
    <row r="16">
      <c r="A16" s="13" t="n">
        <v>11</v>
      </c>
      <c r="B16" s="13" t="inlineStr">
        <is>
          <t>Columns</t>
        </is>
      </c>
      <c r="C16" s="13" t="inlineStr">
        <is>
          <t>STR-008</t>
        </is>
      </c>
      <c r="D16" s="13" t="inlineStr">
        <is>
          <t>COL-01C (2 nos) 5th to 6th - links</t>
        </is>
      </c>
      <c r="E16" s="19" t="inlineStr">
        <is>
          <t>1003</t>
        </is>
      </c>
      <c r="F16" s="19" t="n">
        <v>10</v>
      </c>
      <c r="G16" s="19" t="n">
        <v>2</v>
      </c>
      <c r="H16" s="19" t="n">
        <v>30</v>
      </c>
      <c r="I16" s="13">
        <f>G16*H16</f>
        <v>60.0</v>
      </c>
      <c r="J16" s="20">
        <f>1830/1000</f>
        <v>1.83</v>
      </c>
      <c r="K16" s="21">
        <f>I16*J16</f>
        <v>109.80000000000001</v>
      </c>
      <c r="L16" s="22">
        <f>F16^2/162</f>
        <v>0.6172839506172839</v>
      </c>
      <c r="M16" s="21">
        <f>K16*L16</f>
        <v>67.77777777777779</v>
      </c>
      <c r="N16" s="22">
        <f>M16/1000</f>
        <v>0.06777777777777778</v>
      </c>
      <c r="O16" s="13" t="inlineStr">
        <is>
          <t>Elevation + BBS length</t>
        </is>
      </c>
    </row>
    <row r="17">
      <c r="A17" s="13" t="n">
        <v>12</v>
      </c>
      <c r="B17" s="13" t="inlineStr">
        <is>
          <t>Columns</t>
        </is>
      </c>
      <c r="C17" s="13" t="inlineStr">
        <is>
          <t>STR-008</t>
        </is>
      </c>
      <c r="D17" s="13" t="inlineStr">
        <is>
          <t>COL-01C (2 nos) 5th to 6th - main bars</t>
        </is>
      </c>
      <c r="E17" s="19" t="inlineStr">
        <is>
          <t>2001</t>
        </is>
      </c>
      <c r="F17" s="19" t="n">
        <v>20</v>
      </c>
      <c r="G17" s="19" t="n">
        <v>2</v>
      </c>
      <c r="H17" s="19" t="n">
        <v>16</v>
      </c>
      <c r="I17" s="13">
        <f>G17*H17</f>
        <v>32.0</v>
      </c>
      <c r="J17" s="20">
        <f>4500/1000</f>
        <v>4.5</v>
      </c>
      <c r="K17" s="21">
        <f>I17*J17</f>
        <v>144.0</v>
      </c>
      <c r="L17" s="22">
        <f>F17^2/162</f>
        <v>2.4691358024691357</v>
      </c>
      <c r="M17" s="21">
        <f>K17*L17</f>
        <v>355.55555555555554</v>
      </c>
      <c r="N17" s="22">
        <f>M17/1000</f>
        <v>0.35555555555555557</v>
      </c>
      <c r="O17" s="13" t="inlineStr">
        <is>
          <t>Elevation + BBS length</t>
        </is>
      </c>
    </row>
    <row r="18">
      <c r="A18" s="13" t="n">
        <v>13</v>
      </c>
      <c r="B18" s="13" t="inlineStr">
        <is>
          <t>Columns</t>
        </is>
      </c>
      <c r="C18" s="13" t="inlineStr">
        <is>
          <t>STR-008</t>
        </is>
      </c>
      <c r="D18" s="13" t="inlineStr">
        <is>
          <t>COL-01D (1 nos) 5th to 6th - links</t>
        </is>
      </c>
      <c r="E18" s="19" t="inlineStr">
        <is>
          <t>1001</t>
        </is>
      </c>
      <c r="F18" s="19" t="n">
        <v>10</v>
      </c>
      <c r="G18" s="19" t="n">
        <v>1</v>
      </c>
      <c r="H18" s="19" t="n">
        <v>30</v>
      </c>
      <c r="I18" s="13">
        <f>G18*H18</f>
        <v>30.0</v>
      </c>
      <c r="J18" s="20">
        <f>2330/1000</f>
        <v>2.33</v>
      </c>
      <c r="K18" s="21">
        <f>I18*J18</f>
        <v>69.9</v>
      </c>
      <c r="L18" s="22">
        <f>F18^2/162</f>
        <v>0.6172839506172839</v>
      </c>
      <c r="M18" s="21">
        <f>K18*L18</f>
        <v>43.14814814814815</v>
      </c>
      <c r="N18" s="22">
        <f>M18/1000</f>
        <v>0.04314814814814815</v>
      </c>
      <c r="O18" s="13" t="inlineStr">
        <is>
          <t>Elevation + BBS length</t>
        </is>
      </c>
    </row>
    <row r="19">
      <c r="A19" s="13" t="n">
        <v>14</v>
      </c>
      <c r="B19" s="13" t="inlineStr">
        <is>
          <t>Columns</t>
        </is>
      </c>
      <c r="C19" s="13" t="inlineStr">
        <is>
          <t>STR-008</t>
        </is>
      </c>
      <c r="D19" s="13" t="inlineStr">
        <is>
          <t>COL-01D (1 nos) 5th to 6th - links</t>
        </is>
      </c>
      <c r="E19" s="19" t="inlineStr">
        <is>
          <t>1002</t>
        </is>
      </c>
      <c r="F19" s="19" t="n">
        <v>10</v>
      </c>
      <c r="G19" s="19" t="n">
        <v>1</v>
      </c>
      <c r="H19" s="19" t="n">
        <v>60</v>
      </c>
      <c r="I19" s="13">
        <f>G19*H19</f>
        <v>60.0</v>
      </c>
      <c r="J19" s="20">
        <f>1330/1000</f>
        <v>1.33</v>
      </c>
      <c r="K19" s="21">
        <f>I19*J19</f>
        <v>79.80000000000001</v>
      </c>
      <c r="L19" s="22">
        <f>F19^2/162</f>
        <v>0.6172839506172839</v>
      </c>
      <c r="M19" s="21">
        <f>K19*L19</f>
        <v>49.25925925925927</v>
      </c>
      <c r="N19" s="22">
        <f>M19/1000</f>
        <v>0.049259259259259267</v>
      </c>
      <c r="O19" s="13" t="inlineStr">
        <is>
          <t>Elevation + BBS length</t>
        </is>
      </c>
    </row>
    <row r="20">
      <c r="A20" s="13" t="n">
        <v>15</v>
      </c>
      <c r="B20" s="13" t="inlineStr">
        <is>
          <t>Columns</t>
        </is>
      </c>
      <c r="C20" s="13" t="inlineStr">
        <is>
          <t>STR-008</t>
        </is>
      </c>
      <c r="D20" s="13" t="inlineStr">
        <is>
          <t>COL-01D (1 nos) 5th to 6th - links</t>
        </is>
      </c>
      <c r="E20" s="19" t="inlineStr">
        <is>
          <t>1003</t>
        </is>
      </c>
      <c r="F20" s="19" t="n">
        <v>10</v>
      </c>
      <c r="G20" s="19" t="n">
        <v>1</v>
      </c>
      <c r="H20" s="19" t="n">
        <v>30</v>
      </c>
      <c r="I20" s="13">
        <f>G20*H20</f>
        <v>30.0</v>
      </c>
      <c r="J20" s="20">
        <f>1830/1000</f>
        <v>1.83</v>
      </c>
      <c r="K20" s="21">
        <f>I20*J20</f>
        <v>54.900000000000006</v>
      </c>
      <c r="L20" s="22">
        <f>F20^2/162</f>
        <v>0.6172839506172839</v>
      </c>
      <c r="M20" s="21">
        <f>K20*L20</f>
        <v>33.88888888888889</v>
      </c>
      <c r="N20" s="22">
        <f>M20/1000</f>
        <v>0.03388888888888889</v>
      </c>
      <c r="O20" s="13" t="inlineStr">
        <is>
          <t>Elevation + BBS length</t>
        </is>
      </c>
    </row>
    <row r="21">
      <c r="A21" s="13" t="n">
        <v>16</v>
      </c>
      <c r="B21" s="13" t="inlineStr">
        <is>
          <t>Columns</t>
        </is>
      </c>
      <c r="C21" s="13" t="inlineStr">
        <is>
          <t>STR-008</t>
        </is>
      </c>
      <c r="D21" s="13" t="inlineStr">
        <is>
          <t>COL-01D (1 nos) 5th to 6th - main bars</t>
        </is>
      </c>
      <c r="E21" s="19" t="inlineStr">
        <is>
          <t>2001</t>
        </is>
      </c>
      <c r="F21" s="19" t="n">
        <v>20</v>
      </c>
      <c r="G21" s="19" t="n">
        <v>1</v>
      </c>
      <c r="H21" s="19" t="n">
        <v>16</v>
      </c>
      <c r="I21" s="13">
        <f>G21*H21</f>
        <v>16.0</v>
      </c>
      <c r="J21" s="20">
        <f>4500/1000</f>
        <v>4.5</v>
      </c>
      <c r="K21" s="21">
        <f>I21*J21</f>
        <v>72.0</v>
      </c>
      <c r="L21" s="22">
        <f>F21^2/162</f>
        <v>2.4691358024691357</v>
      </c>
      <c r="M21" s="21">
        <f>K21*L21</f>
        <v>177.77777777777777</v>
      </c>
      <c r="N21" s="22">
        <f>M21/1000</f>
        <v>0.17777777777777778</v>
      </c>
      <c r="O21" s="13" t="inlineStr">
        <is>
          <t>Elevation + BBS length</t>
        </is>
      </c>
    </row>
    <row r="22">
      <c r="A22" s="13" t="n">
        <v>17</v>
      </c>
      <c r="B22" s="13" t="inlineStr">
        <is>
          <t>Columns</t>
        </is>
      </c>
      <c r="C22" s="13" t="inlineStr">
        <is>
          <t>STR-010</t>
        </is>
      </c>
      <c r="D22" s="13" t="inlineStr">
        <is>
          <t>COL-02A (3 nos) 5th to 6th - links</t>
        </is>
      </c>
      <c r="E22" s="19" t="inlineStr">
        <is>
          <t>1004</t>
        </is>
      </c>
      <c r="F22" s="19" t="n">
        <v>10</v>
      </c>
      <c r="G22" s="19" t="n">
        <v>3</v>
      </c>
      <c r="H22" s="19" t="n">
        <v>30</v>
      </c>
      <c r="I22" s="13">
        <f>G22*H22</f>
        <v>90.0</v>
      </c>
      <c r="J22" s="20">
        <f>2910/1000</f>
        <v>2.91</v>
      </c>
      <c r="K22" s="21">
        <f>I22*J22</f>
        <v>261.90000000000003</v>
      </c>
      <c r="L22" s="22">
        <f>F22^2/162</f>
        <v>0.6172839506172839</v>
      </c>
      <c r="M22" s="21">
        <f>K22*L22</f>
        <v>161.66666666666669</v>
      </c>
      <c r="N22" s="22">
        <f>M22/1000</f>
        <v>0.16166666666666668</v>
      </c>
      <c r="O22" s="13" t="inlineStr">
        <is>
          <t>Elevation + BBS length</t>
        </is>
      </c>
    </row>
    <row r="23">
      <c r="A23" s="13" t="n">
        <v>18</v>
      </c>
      <c r="B23" s="13" t="inlineStr">
        <is>
          <t>Columns</t>
        </is>
      </c>
      <c r="C23" s="13" t="inlineStr">
        <is>
          <t>STR-010</t>
        </is>
      </c>
      <c r="D23" s="13" t="inlineStr">
        <is>
          <t>COL-02A (3 nos) 5th to 6th - links</t>
        </is>
      </c>
      <c r="E23" s="19" t="inlineStr">
        <is>
          <t>1005</t>
        </is>
      </c>
      <c r="F23" s="19" t="n">
        <v>10</v>
      </c>
      <c r="G23" s="19" t="n">
        <v>3</v>
      </c>
      <c r="H23" s="19">
        <f>5*30</f>
        <v>150.0</v>
      </c>
      <c r="I23" s="13">
        <f>G23*H23</f>
        <v>450.0</v>
      </c>
      <c r="J23" s="20">
        <f>1008/1000</f>
        <v>1.008</v>
      </c>
      <c r="K23" s="21">
        <f>I23*J23</f>
        <v>453.6</v>
      </c>
      <c r="L23" s="22">
        <f>F23^2/162</f>
        <v>0.6172839506172839</v>
      </c>
      <c r="M23" s="21">
        <f>K23*L23</f>
        <v>280.0</v>
      </c>
      <c r="N23" s="22">
        <f>M23/1000</f>
        <v>0.28</v>
      </c>
      <c r="O23" s="13" t="inlineStr">
        <is>
          <t>Elevation + BBS length</t>
        </is>
      </c>
    </row>
    <row r="24">
      <c r="A24" s="13" t="n">
        <v>19</v>
      </c>
      <c r="B24" s="13" t="inlineStr">
        <is>
          <t>Columns</t>
        </is>
      </c>
      <c r="C24" s="13" t="inlineStr">
        <is>
          <t>STR-010</t>
        </is>
      </c>
      <c r="D24" s="13" t="inlineStr">
        <is>
          <t>COL-02A (3 nos) 5th to 6th - main bars</t>
        </is>
      </c>
      <c r="E24" s="19" t="inlineStr">
        <is>
          <t>2001</t>
        </is>
      </c>
      <c r="F24" s="19" t="n">
        <v>20</v>
      </c>
      <c r="G24" s="19" t="n">
        <v>3</v>
      </c>
      <c r="H24" s="19" t="n">
        <v>18</v>
      </c>
      <c r="I24" s="13">
        <f>G24*H24</f>
        <v>54.0</v>
      </c>
      <c r="J24" s="20">
        <f>4500/1000</f>
        <v>4.5</v>
      </c>
      <c r="K24" s="21">
        <f>I24*J24</f>
        <v>243.0</v>
      </c>
      <c r="L24" s="22">
        <f>F24^2/162</f>
        <v>2.4691358024691357</v>
      </c>
      <c r="M24" s="21">
        <f>K24*L24</f>
        <v>600.0</v>
      </c>
      <c r="N24" s="22">
        <f>M24/1000</f>
        <v>0.6</v>
      </c>
      <c r="O24" s="13" t="inlineStr">
        <is>
          <t>Elevation + BBS length</t>
        </is>
      </c>
    </row>
    <row r="25">
      <c r="A25" s="13" t="n">
        <v>20</v>
      </c>
      <c r="B25" s="13" t="inlineStr">
        <is>
          <t>Columns</t>
        </is>
      </c>
      <c r="C25" s="13" t="inlineStr">
        <is>
          <t>STR-010</t>
        </is>
      </c>
      <c r="D25" s="13" t="inlineStr">
        <is>
          <t>COL-02B (6 nos) 5th to 6th - links</t>
        </is>
      </c>
      <c r="E25" s="19" t="inlineStr">
        <is>
          <t>1004</t>
        </is>
      </c>
      <c r="F25" s="19" t="n">
        <v>10</v>
      </c>
      <c r="G25" s="19" t="n">
        <v>6</v>
      </c>
      <c r="H25" s="19" t="n">
        <v>30</v>
      </c>
      <c r="I25" s="13">
        <f>G25*H25</f>
        <v>180.0</v>
      </c>
      <c r="J25" s="20">
        <f>2910/1000</f>
        <v>2.91</v>
      </c>
      <c r="K25" s="21">
        <f>I25*J25</f>
        <v>523.8000000000001</v>
      </c>
      <c r="L25" s="22">
        <f>F25^2/162</f>
        <v>0.6172839506172839</v>
      </c>
      <c r="M25" s="21">
        <f>K25*L25</f>
        <v>323.33333333333337</v>
      </c>
      <c r="N25" s="22">
        <f>M25/1000</f>
        <v>0.32333333333333336</v>
      </c>
      <c r="O25" s="13" t="inlineStr">
        <is>
          <t>Elevation + BBS length</t>
        </is>
      </c>
    </row>
    <row r="26">
      <c r="A26" s="13" t="n">
        <v>21</v>
      </c>
      <c r="B26" s="13" t="inlineStr">
        <is>
          <t>Columns</t>
        </is>
      </c>
      <c r="C26" s="13" t="inlineStr">
        <is>
          <t>STR-010</t>
        </is>
      </c>
      <c r="D26" s="13" t="inlineStr">
        <is>
          <t>COL-02B (6 nos) 5th to 6th - links</t>
        </is>
      </c>
      <c r="E26" s="19" t="inlineStr">
        <is>
          <t>1005</t>
        </is>
      </c>
      <c r="F26" s="19" t="n">
        <v>10</v>
      </c>
      <c r="G26" s="19" t="n">
        <v>6</v>
      </c>
      <c r="H26" s="19">
        <f>5*30</f>
        <v>150.0</v>
      </c>
      <c r="I26" s="13">
        <f>G26*H26</f>
        <v>900.0</v>
      </c>
      <c r="J26" s="20">
        <f>1008/1000</f>
        <v>1.008</v>
      </c>
      <c r="K26" s="21">
        <f>I26*J26</f>
        <v>907.2</v>
      </c>
      <c r="L26" s="22">
        <f>F26^2/162</f>
        <v>0.6172839506172839</v>
      </c>
      <c r="M26" s="21">
        <f>K26*L26</f>
        <v>560.0</v>
      </c>
      <c r="N26" s="22">
        <f>M26/1000</f>
        <v>0.56</v>
      </c>
      <c r="O26" s="13" t="inlineStr">
        <is>
          <t>Elevation + BBS length</t>
        </is>
      </c>
    </row>
    <row r="27">
      <c r="A27" s="13" t="n">
        <v>22</v>
      </c>
      <c r="B27" s="13" t="inlineStr">
        <is>
          <t>Columns</t>
        </is>
      </c>
      <c r="C27" s="13" t="inlineStr">
        <is>
          <t>STR-010</t>
        </is>
      </c>
      <c r="D27" s="13" t="inlineStr">
        <is>
          <t>COL-02B (6 nos) 5th to 6th - main bars</t>
        </is>
      </c>
      <c r="E27" s="19" t="inlineStr">
        <is>
          <t>2001</t>
        </is>
      </c>
      <c r="F27" s="19" t="n">
        <v>20</v>
      </c>
      <c r="G27" s="19" t="n">
        <v>6</v>
      </c>
      <c r="H27" s="19" t="n">
        <v>18</v>
      </c>
      <c r="I27" s="13">
        <f>G27*H27</f>
        <v>108.0</v>
      </c>
      <c r="J27" s="20">
        <f>4500/1000</f>
        <v>4.5</v>
      </c>
      <c r="K27" s="21">
        <f>I27*J27</f>
        <v>486.0</v>
      </c>
      <c r="L27" s="22">
        <f>F27^2/162</f>
        <v>2.4691358024691357</v>
      </c>
      <c r="M27" s="21">
        <f>K27*L27</f>
        <v>1200.0</v>
      </c>
      <c r="N27" s="22">
        <f>M27/1000</f>
        <v>1.2</v>
      </c>
      <c r="O27" s="13" t="inlineStr">
        <is>
          <t>Elevation + BBS length</t>
        </is>
      </c>
    </row>
    <row r="28">
      <c r="A28" s="13" t="n">
        <v>23</v>
      </c>
      <c r="B28" s="13" t="inlineStr">
        <is>
          <t>Columns</t>
        </is>
      </c>
      <c r="C28" s="13" t="inlineStr">
        <is>
          <t>STR-011</t>
        </is>
      </c>
      <c r="D28" s="13" t="inlineStr">
        <is>
          <t>COL-02C (1 nos) 5th to 6th - links</t>
        </is>
      </c>
      <c r="E28" s="19" t="inlineStr">
        <is>
          <t>1004</t>
        </is>
      </c>
      <c r="F28" s="19" t="n">
        <v>10</v>
      </c>
      <c r="G28" s="19" t="n">
        <v>1</v>
      </c>
      <c r="H28" s="19" t="n">
        <v>30</v>
      </c>
      <c r="I28" s="13">
        <f>G28*H28</f>
        <v>30.0</v>
      </c>
      <c r="J28" s="20">
        <f>2910/1000</f>
        <v>2.91</v>
      </c>
      <c r="K28" s="21">
        <f>I28*J28</f>
        <v>87.30000000000001</v>
      </c>
      <c r="L28" s="22">
        <f>F28^2/162</f>
        <v>0.6172839506172839</v>
      </c>
      <c r="M28" s="21">
        <f>K28*L28</f>
        <v>53.88888888888889</v>
      </c>
      <c r="N28" s="22">
        <f>M28/1000</f>
        <v>0.053888888888888896</v>
      </c>
      <c r="O28" s="13" t="inlineStr">
        <is>
          <t>Elevation + BBS length</t>
        </is>
      </c>
    </row>
    <row r="29">
      <c r="A29" s="13" t="n">
        <v>24</v>
      </c>
      <c r="B29" s="13" t="inlineStr">
        <is>
          <t>Columns</t>
        </is>
      </c>
      <c r="C29" s="13" t="inlineStr">
        <is>
          <t>STR-011</t>
        </is>
      </c>
      <c r="D29" s="13" t="inlineStr">
        <is>
          <t>COL-02C (1 nos) 5th to 6th - links</t>
        </is>
      </c>
      <c r="E29" s="19" t="inlineStr">
        <is>
          <t>1005</t>
        </is>
      </c>
      <c r="F29" s="19" t="n">
        <v>10</v>
      </c>
      <c r="G29" s="19" t="n">
        <v>1</v>
      </c>
      <c r="H29" s="19">
        <f>3*30</f>
        <v>90.0</v>
      </c>
      <c r="I29" s="13">
        <f>G29*H29</f>
        <v>90.0</v>
      </c>
      <c r="J29" s="20">
        <f>1008/1000</f>
        <v>1.008</v>
      </c>
      <c r="K29" s="21">
        <f>I29*J29</f>
        <v>90.72</v>
      </c>
      <c r="L29" s="22">
        <f>F29^2/162</f>
        <v>0.6172839506172839</v>
      </c>
      <c r="M29" s="21">
        <f>K29*L29</f>
        <v>55.99999999999999</v>
      </c>
      <c r="N29" s="22">
        <f>M29/1000</f>
        <v>0.055999999999999994</v>
      </c>
      <c r="O29" s="13" t="inlineStr">
        <is>
          <t>Elevation + BBS length</t>
        </is>
      </c>
    </row>
    <row r="30">
      <c r="A30" s="13" t="n">
        <v>25</v>
      </c>
      <c r="B30" s="13" t="inlineStr">
        <is>
          <t>Columns</t>
        </is>
      </c>
      <c r="C30" s="13" t="inlineStr">
        <is>
          <t>STR-011</t>
        </is>
      </c>
      <c r="D30" s="13" t="inlineStr">
        <is>
          <t>COL-02C (1 nos) 5th to 6th - main bars</t>
        </is>
      </c>
      <c r="E30" s="19" t="inlineStr">
        <is>
          <t>2001</t>
        </is>
      </c>
      <c r="F30" s="19" t="n">
        <v>20</v>
      </c>
      <c r="G30" s="19" t="n">
        <v>1</v>
      </c>
      <c r="H30" s="19" t="n">
        <v>18</v>
      </c>
      <c r="I30" s="13">
        <f>G30*H30</f>
        <v>18.0</v>
      </c>
      <c r="J30" s="20">
        <f>4500/1000</f>
        <v>4.5</v>
      </c>
      <c r="K30" s="21">
        <f>I30*J30</f>
        <v>81.0</v>
      </c>
      <c r="L30" s="22">
        <f>F30^2/162</f>
        <v>2.4691358024691357</v>
      </c>
      <c r="M30" s="21">
        <f>K30*L30</f>
        <v>200.0</v>
      </c>
      <c r="N30" s="22">
        <f>M30/1000</f>
        <v>0.2</v>
      </c>
      <c r="O30" s="13" t="inlineStr">
        <is>
          <t>Elevation + BBS length</t>
        </is>
      </c>
    </row>
    <row r="31">
      <c r="A31" s="13" t="n">
        <v>26</v>
      </c>
      <c r="B31" s="13" t="inlineStr">
        <is>
          <t>Columns</t>
        </is>
      </c>
      <c r="C31" s="13" t="inlineStr">
        <is>
          <t>STR-011</t>
        </is>
      </c>
      <c r="D31" s="13" t="inlineStr">
        <is>
          <t>COL-02D (15 nos) 5th to 6th - links</t>
        </is>
      </c>
      <c r="E31" s="19" t="inlineStr">
        <is>
          <t>1004</t>
        </is>
      </c>
      <c r="F31" s="19" t="n">
        <v>10</v>
      </c>
      <c r="G31" s="19" t="n">
        <v>15</v>
      </c>
      <c r="H31" s="19" t="n">
        <v>30</v>
      </c>
      <c r="I31" s="13">
        <f>G31*H31</f>
        <v>450.0</v>
      </c>
      <c r="J31" s="20">
        <f>2910/1000</f>
        <v>2.91</v>
      </c>
      <c r="K31" s="21">
        <f>I31*J31</f>
        <v>1309.5</v>
      </c>
      <c r="L31" s="22">
        <f>F31^2/162</f>
        <v>0.6172839506172839</v>
      </c>
      <c r="M31" s="21">
        <f>K31*L31</f>
        <v>808.3333333333333</v>
      </c>
      <c r="N31" s="22">
        <f>M31/1000</f>
        <v>0.8083333333333332</v>
      </c>
      <c r="O31" s="13" t="inlineStr">
        <is>
          <t>Elevation + BBS length</t>
        </is>
      </c>
    </row>
    <row r="32">
      <c r="A32" s="13" t="n">
        <v>27</v>
      </c>
      <c r="B32" s="13" t="inlineStr">
        <is>
          <t>Columns</t>
        </is>
      </c>
      <c r="C32" s="13" t="inlineStr">
        <is>
          <t>STR-011</t>
        </is>
      </c>
      <c r="D32" s="13" t="inlineStr">
        <is>
          <t>COL-02D (15 nos) 5th to 6th - links</t>
        </is>
      </c>
      <c r="E32" s="19" t="inlineStr">
        <is>
          <t>1005</t>
        </is>
      </c>
      <c r="F32" s="19" t="n">
        <v>10</v>
      </c>
      <c r="G32" s="19" t="n">
        <v>15</v>
      </c>
      <c r="H32" s="19">
        <f>3*30</f>
        <v>90.0</v>
      </c>
      <c r="I32" s="13">
        <f>G32*H32</f>
        <v>1350.0</v>
      </c>
      <c r="J32" s="20">
        <f>1008/1000</f>
        <v>1.008</v>
      </c>
      <c r="K32" s="21">
        <f>I32*J32</f>
        <v>1360.8</v>
      </c>
      <c r="L32" s="22">
        <f>F32^2/162</f>
        <v>0.6172839506172839</v>
      </c>
      <c r="M32" s="21">
        <f>K32*L32</f>
        <v>839.9999999999999</v>
      </c>
      <c r="N32" s="22">
        <f>M32/1000</f>
        <v>0.8399999999999999</v>
      </c>
      <c r="O32" s="13" t="inlineStr">
        <is>
          <t>Elevation + BBS length</t>
        </is>
      </c>
    </row>
    <row r="33">
      <c r="A33" s="13" t="n">
        <v>28</v>
      </c>
      <c r="B33" s="13" t="inlineStr">
        <is>
          <t>Columns</t>
        </is>
      </c>
      <c r="C33" s="13" t="inlineStr">
        <is>
          <t>STR-011</t>
        </is>
      </c>
      <c r="D33" s="13" t="inlineStr">
        <is>
          <t>COL-02D (15 nos) 5th to 6th - main bars</t>
        </is>
      </c>
      <c r="E33" s="19" t="inlineStr">
        <is>
          <t>2001</t>
        </is>
      </c>
      <c r="F33" s="19" t="n">
        <v>20</v>
      </c>
      <c r="G33" s="19" t="n">
        <v>15</v>
      </c>
      <c r="H33" s="19" t="n">
        <v>18</v>
      </c>
      <c r="I33" s="13">
        <f>G33*H33</f>
        <v>270.0</v>
      </c>
      <c r="J33" s="20">
        <f>4500/1000</f>
        <v>4.5</v>
      </c>
      <c r="K33" s="21">
        <f>I33*J33</f>
        <v>1215.0</v>
      </c>
      <c r="L33" s="22">
        <f>F33^2/162</f>
        <v>2.4691358024691357</v>
      </c>
      <c r="M33" s="21">
        <f>K33*L33</f>
        <v>3000.0</v>
      </c>
      <c r="N33" s="22">
        <f>M33/1000</f>
        <v>3.0</v>
      </c>
      <c r="O33" s="13" t="inlineStr">
        <is>
          <t>Elevation + BBS length</t>
        </is>
      </c>
    </row>
    <row r="34">
      <c r="A34" s="13" t="n">
        <v>29</v>
      </c>
      <c r="B34" s="13" t="inlineStr">
        <is>
          <t>Columns</t>
        </is>
      </c>
      <c r="C34" s="13" t="inlineStr">
        <is>
          <t>STR-012</t>
        </is>
      </c>
      <c r="D34" s="13" t="inlineStr">
        <is>
          <t>SWC-01A (1 nos) 5th to 6th - links</t>
        </is>
      </c>
      <c r="E34" s="19" t="inlineStr">
        <is>
          <t>1001</t>
        </is>
      </c>
      <c r="F34" s="19" t="n">
        <v>10</v>
      </c>
      <c r="G34" s="19" t="n">
        <v>1</v>
      </c>
      <c r="H34" s="19" t="n">
        <v>30</v>
      </c>
      <c r="I34" s="13">
        <f>G34*H34</f>
        <v>30.0</v>
      </c>
      <c r="J34" s="20">
        <f>5930/1000</f>
        <v>5.93</v>
      </c>
      <c r="K34" s="21">
        <f>I34*J34</f>
        <v>177.89999999999998</v>
      </c>
      <c r="L34" s="22">
        <f>F34^2/162</f>
        <v>0.6172839506172839</v>
      </c>
      <c r="M34" s="21">
        <f>K34*L34</f>
        <v>109.8148148148148</v>
      </c>
      <c r="N34" s="22">
        <f>M34/1000</f>
        <v>0.1098148148148148</v>
      </c>
      <c r="O34" s="13" t="inlineStr">
        <is>
          <t>Elevation + BBS length</t>
        </is>
      </c>
    </row>
    <row r="35">
      <c r="A35" s="13" t="n">
        <v>30</v>
      </c>
      <c r="B35" s="13" t="inlineStr">
        <is>
          <t>Columns</t>
        </is>
      </c>
      <c r="C35" s="13" t="inlineStr">
        <is>
          <t>STR-012</t>
        </is>
      </c>
      <c r="D35" s="13" t="inlineStr">
        <is>
          <t>SWC-01A (1 nos) 5th to 6th - links</t>
        </is>
      </c>
      <c r="E35" s="19" t="inlineStr">
        <is>
          <t>1002</t>
        </is>
      </c>
      <c r="F35" s="19" t="n">
        <v>10</v>
      </c>
      <c r="G35" s="19" t="n">
        <v>1</v>
      </c>
      <c r="H35" s="19" t="n">
        <v>30</v>
      </c>
      <c r="I35" s="13">
        <f>G35*H35</f>
        <v>30.0</v>
      </c>
      <c r="J35" s="20">
        <f>2480/1000</f>
        <v>2.48</v>
      </c>
      <c r="K35" s="21">
        <f>I35*J35</f>
        <v>74.4</v>
      </c>
      <c r="L35" s="22">
        <f>F35^2/162</f>
        <v>0.6172839506172839</v>
      </c>
      <c r="M35" s="21">
        <f>K35*L35</f>
        <v>45.925925925925924</v>
      </c>
      <c r="N35" s="22">
        <f>M35/1000</f>
        <v>0.045925925925925926</v>
      </c>
      <c r="O35" s="13" t="inlineStr">
        <is>
          <t>Elevation + BBS length</t>
        </is>
      </c>
    </row>
    <row r="36">
      <c r="A36" s="13" t="n">
        <v>31</v>
      </c>
      <c r="B36" s="13" t="inlineStr">
        <is>
          <t>Columns</t>
        </is>
      </c>
      <c r="C36" s="13" t="inlineStr">
        <is>
          <t>STR-012</t>
        </is>
      </c>
      <c r="D36" s="13" t="inlineStr">
        <is>
          <t>SWC-01A (1 nos) 5th to 6th - links</t>
        </is>
      </c>
      <c r="E36" s="19" t="inlineStr">
        <is>
          <t>1003</t>
        </is>
      </c>
      <c r="F36" s="19" t="n">
        <v>10</v>
      </c>
      <c r="G36" s="19" t="n">
        <v>1</v>
      </c>
      <c r="H36" s="19">
        <f>7*30</f>
        <v>210.0</v>
      </c>
      <c r="I36" s="13">
        <f>G36*H36</f>
        <v>210.0</v>
      </c>
      <c r="J36" s="20">
        <f>910/1000</f>
        <v>0.91</v>
      </c>
      <c r="K36" s="21">
        <f>I36*J36</f>
        <v>191.1</v>
      </c>
      <c r="L36" s="22">
        <f>F36^2/162</f>
        <v>0.6172839506172839</v>
      </c>
      <c r="M36" s="21">
        <f>K36*L36</f>
        <v>117.96296296296295</v>
      </c>
      <c r="N36" s="22">
        <f>M36/1000</f>
        <v>0.11796296296296295</v>
      </c>
      <c r="O36" s="13" t="inlineStr">
        <is>
          <t>Elevation + BBS length</t>
        </is>
      </c>
    </row>
    <row r="37">
      <c r="A37" s="13" t="n">
        <v>32</v>
      </c>
      <c r="B37" s="13" t="inlineStr">
        <is>
          <t>Columns</t>
        </is>
      </c>
      <c r="C37" s="13" t="inlineStr">
        <is>
          <t>STR-012</t>
        </is>
      </c>
      <c r="D37" s="13" t="inlineStr">
        <is>
          <t>SWC-01A (1 nos) 5th to 6th - links</t>
        </is>
      </c>
      <c r="E37" s="19" t="inlineStr">
        <is>
          <t>1004</t>
        </is>
      </c>
      <c r="F37" s="19" t="n">
        <v>10</v>
      </c>
      <c r="G37" s="19" t="n">
        <v>1</v>
      </c>
      <c r="H37" s="19">
        <f>4*30</f>
        <v>120.0</v>
      </c>
      <c r="I37" s="13">
        <f>G37*H37</f>
        <v>120.0</v>
      </c>
      <c r="J37" s="20">
        <f>770/1000</f>
        <v>0.77</v>
      </c>
      <c r="K37" s="21">
        <f>I37*J37</f>
        <v>92.4</v>
      </c>
      <c r="L37" s="22">
        <f>F37^2/162</f>
        <v>0.6172839506172839</v>
      </c>
      <c r="M37" s="21">
        <f>K37*L37</f>
        <v>57.03703703703704</v>
      </c>
      <c r="N37" s="22">
        <f>M37/1000</f>
        <v>0.05703703703703704</v>
      </c>
      <c r="O37" s="13" t="inlineStr">
        <is>
          <t>Elevation + BBS length</t>
        </is>
      </c>
    </row>
    <row r="38">
      <c r="A38" s="13" t="n">
        <v>33</v>
      </c>
      <c r="B38" s="13" t="inlineStr">
        <is>
          <t>Columns</t>
        </is>
      </c>
      <c r="C38" s="13" t="inlineStr">
        <is>
          <t>STR-012</t>
        </is>
      </c>
      <c r="D38" s="13" t="inlineStr">
        <is>
          <t>SWC-01A (1 nos) 5th to 6th - main bars</t>
        </is>
      </c>
      <c r="E38" s="19" t="inlineStr">
        <is>
          <t>2001</t>
        </is>
      </c>
      <c r="F38" s="19" t="n">
        <v>20</v>
      </c>
      <c r="G38" s="19" t="n">
        <v>1</v>
      </c>
      <c r="H38" s="19" t="n">
        <v>48</v>
      </c>
      <c r="I38" s="13">
        <f>G38*H38</f>
        <v>48.0</v>
      </c>
      <c r="J38" s="20">
        <f>4500/1000</f>
        <v>4.5</v>
      </c>
      <c r="K38" s="21">
        <f>I38*J38</f>
        <v>216.0</v>
      </c>
      <c r="L38" s="22">
        <f>F38^2/162</f>
        <v>2.4691358024691357</v>
      </c>
      <c r="M38" s="21">
        <f>K38*L38</f>
        <v>533.3333333333333</v>
      </c>
      <c r="N38" s="22">
        <f>M38/1000</f>
        <v>0.5333333333333332</v>
      </c>
      <c r="O38" s="13" t="inlineStr">
        <is>
          <t>Elevation + BBS length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STR-015/016</t>
        </is>
      </c>
      <c r="D39" s="13" t="inlineStr">
        <is>
          <t>Main core CW-01 (L=3600mm) 5th to 6th - horizontal Y12@150 NF/FF</t>
        </is>
      </c>
      <c r="E39" s="19" t="inlineStr">
        <is>
          <t>H-Y12</t>
        </is>
      </c>
      <c r="F39" s="19" t="n">
        <v>12</v>
      </c>
      <c r="G39" s="19" t="n">
        <v>1</v>
      </c>
      <c r="H39" s="19">
        <f>2*20</f>
        <v>40.0</v>
      </c>
      <c r="I39" s="13">
        <f>G39*H39</f>
        <v>40.0</v>
      </c>
      <c r="J39" s="20">
        <f>(3600-2*30+40*12)/1000</f>
        <v>4.02</v>
      </c>
      <c r="K39" s="21">
        <f>I39*J39</f>
        <v>160.79999999999998</v>
      </c>
      <c r="L39" s="22">
        <f>F39^2/162</f>
        <v>0.8888888888888888</v>
      </c>
      <c r="M39" s="21">
        <f>K39*L39</f>
        <v>142.9333333333333</v>
      </c>
      <c r="N39" s="22">
        <f>M39/1000</f>
        <v>0.1429333333333333</v>
      </c>
      <c r="O39" s="13" t="inlineStr">
        <is>
          <t>Elevation count / plan length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STR-015/016</t>
        </is>
      </c>
      <c r="D40" s="13" t="inlineStr">
        <is>
          <t>Main core CW-01 5th to 6th - vertical Y20@150 NF/FF</t>
        </is>
      </c>
      <c r="E40" s="19" t="inlineStr">
        <is>
          <t>V-Y20</t>
        </is>
      </c>
      <c r="F40" s="19" t="n">
        <v>20</v>
      </c>
      <c r="G40" s="19" t="n">
        <v>1</v>
      </c>
      <c r="H40" s="19">
        <f>2*29</f>
        <v>58.0</v>
      </c>
      <c r="I40" s="13">
        <f>G40*H40</f>
        <v>58.0</v>
      </c>
      <c r="J40" s="20">
        <f>(3300+40*20)/1000</f>
        <v>4.1</v>
      </c>
      <c r="K40" s="21">
        <f>I40*J40</f>
        <v>237.79999999999998</v>
      </c>
      <c r="L40" s="22">
        <f>F40^2/162</f>
        <v>2.4691358024691357</v>
      </c>
      <c r="M40" s="21">
        <f>K40*L40</f>
        <v>587.1604938271604</v>
      </c>
      <c r="N40" s="22">
        <f>M40/1000</f>
        <v>0.5871604938271604</v>
      </c>
      <c r="O40" s="13" t="inlineStr">
        <is>
          <t>Elevation / plan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STR-015/016</t>
        </is>
      </c>
      <c r="D41" s="13" t="inlineStr">
        <is>
          <t>Main core CW-05 (L=7250mm) 5th to 6th - horizontal Y12@150 NF/FF</t>
        </is>
      </c>
      <c r="E41" s="19" t="inlineStr">
        <is>
          <t>H-Y12</t>
        </is>
      </c>
      <c r="F41" s="19" t="n">
        <v>12</v>
      </c>
      <c r="G41" s="19" t="n">
        <v>1</v>
      </c>
      <c r="H41" s="19">
        <f>2*20</f>
        <v>40.0</v>
      </c>
      <c r="I41" s="13">
        <f>G41*H41</f>
        <v>40.0</v>
      </c>
      <c r="J41" s="20">
        <f>(7250-2*30+40*12)/1000</f>
        <v>7.67</v>
      </c>
      <c r="K41" s="21">
        <f>I41*J41</f>
        <v>306.8</v>
      </c>
      <c r="L41" s="22">
        <f>F41^2/162</f>
        <v>0.8888888888888888</v>
      </c>
      <c r="M41" s="21">
        <f>K41*L41</f>
        <v>272.7111111111111</v>
      </c>
      <c r="N41" s="22">
        <f>M41/1000</f>
        <v>0.2727111111111111</v>
      </c>
      <c r="O41" s="13" t="inlineStr">
        <is>
          <t>Elevation count / plan length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STR-015/016</t>
        </is>
      </c>
      <c r="D42" s="13" t="inlineStr">
        <is>
          <t>Main core CW-05 5th to 6th - vertical Y20@150 NF/FF</t>
        </is>
      </c>
      <c r="E42" s="19" t="inlineStr">
        <is>
          <t>V-Y20</t>
        </is>
      </c>
      <c r="F42" s="19" t="n">
        <v>20</v>
      </c>
      <c r="G42" s="19" t="n">
        <v>1</v>
      </c>
      <c r="H42" s="19">
        <f>2*(ROUNDUP(7250/150,0)+1)</f>
        <v>100.0</v>
      </c>
      <c r="I42" s="13">
        <f>G42*H42</f>
        <v>100.0</v>
      </c>
      <c r="J42" s="20">
        <f>(3300+40*20)/1000</f>
        <v>4.1</v>
      </c>
      <c r="K42" s="21">
        <f>I42*J42</f>
        <v>409.99999999999994</v>
      </c>
      <c r="L42" s="22">
        <f>F42^2/162</f>
        <v>2.4691358024691357</v>
      </c>
      <c r="M42" s="21">
        <f>K42*L42</f>
        <v>1012.3456790123455</v>
      </c>
      <c r="N42" s="22">
        <f>M42/1000</f>
        <v>1.0123456790123455</v>
      </c>
      <c r="O42" s="13" t="inlineStr">
        <is>
          <t>Elevation / plan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STR-015/016</t>
        </is>
      </c>
      <c r="D43" s="13" t="inlineStr">
        <is>
          <t>Main core CW-07 (stair section) (L=7250mm) 5th to 6th - horizontal Y12@150 NF/FF</t>
        </is>
      </c>
      <c r="E43" s="19" t="inlineStr">
        <is>
          <t>H-Y12</t>
        </is>
      </c>
      <c r="F43" s="19" t="n">
        <v>12</v>
      </c>
      <c r="G43" s="19" t="n">
        <v>1</v>
      </c>
      <c r="H43" s="19">
        <f>2*20</f>
        <v>40.0</v>
      </c>
      <c r="I43" s="13">
        <f>G43*H43</f>
        <v>40.0</v>
      </c>
      <c r="J43" s="20">
        <f>(7250-2*30+40*12)/1000</f>
        <v>7.67</v>
      </c>
      <c r="K43" s="21">
        <f>I43*J43</f>
        <v>306.8</v>
      </c>
      <c r="L43" s="22">
        <f>F43^2/162</f>
        <v>0.8888888888888888</v>
      </c>
      <c r="M43" s="21">
        <f>K43*L43</f>
        <v>272.7111111111111</v>
      </c>
      <c r="N43" s="22">
        <f>M43/1000</f>
        <v>0.2727111111111111</v>
      </c>
      <c r="O43" s="13" t="inlineStr">
        <is>
          <t>Elevation count / plan length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STR-015/016</t>
        </is>
      </c>
      <c r="D44" s="13" t="inlineStr">
        <is>
          <t>Main core CW-07 (stair section) 5th to 6th - vertical Y20@150 NF/FF</t>
        </is>
      </c>
      <c r="E44" s="19" t="inlineStr">
        <is>
          <t>V-Y20</t>
        </is>
      </c>
      <c r="F44" s="19" t="n">
        <v>20</v>
      </c>
      <c r="G44" s="19" t="n">
        <v>1</v>
      </c>
      <c r="H44" s="19">
        <f>2*(ROUNDUP(7250/150,0)+1)</f>
        <v>100.0</v>
      </c>
      <c r="I44" s="13">
        <f>G44*H44</f>
        <v>100.0</v>
      </c>
      <c r="J44" s="20">
        <f>(3300+40*20)/1000</f>
        <v>4.1</v>
      </c>
      <c r="K44" s="21">
        <f>I44*J44</f>
        <v>409.99999999999994</v>
      </c>
      <c r="L44" s="22">
        <f>F44^2/162</f>
        <v>2.4691358024691357</v>
      </c>
      <c r="M44" s="21">
        <f>K44*L44</f>
        <v>1012.3456790123455</v>
      </c>
      <c r="N44" s="22">
        <f>M44/1000</f>
        <v>1.0123456790123455</v>
      </c>
      <c r="O44" s="13" t="inlineStr">
        <is>
          <t>Elevation / plan</t>
        </is>
      </c>
    </row>
    <row r="45">
      <c r="A45" s="13" t="n">
        <v>40</v>
      </c>
      <c r="B45" s="13" t="inlineStr">
        <is>
          <t>Shear Walls</t>
        </is>
      </c>
      <c r="C45" s="13" t="inlineStr">
        <is>
          <t>STR-015/016</t>
        </is>
      </c>
      <c r="D45" s="13" t="inlineStr">
        <is>
          <t>Main core CW-09 (L=1150mm) 5th to 6th - horizontal Y12@150 NF/FF</t>
        </is>
      </c>
      <c r="E45" s="19" t="inlineStr">
        <is>
          <t>H-Y12</t>
        </is>
      </c>
      <c r="F45" s="19" t="n">
        <v>12</v>
      </c>
      <c r="G45" s="19" t="n">
        <v>1</v>
      </c>
      <c r="H45" s="19">
        <f>2*20</f>
        <v>40.0</v>
      </c>
      <c r="I45" s="13">
        <f>G45*H45</f>
        <v>40.0</v>
      </c>
      <c r="J45" s="20">
        <f>(1150-2*30+40*12)/1000</f>
        <v>1.57</v>
      </c>
      <c r="K45" s="21">
        <f>I45*J45</f>
        <v>62.800000000000004</v>
      </c>
      <c r="L45" s="22">
        <f>F45^2/162</f>
        <v>0.8888888888888888</v>
      </c>
      <c r="M45" s="21">
        <f>K45*L45</f>
        <v>55.82222222222222</v>
      </c>
      <c r="N45" s="22">
        <f>M45/1000</f>
        <v>0.055822222222222224</v>
      </c>
      <c r="O45" s="13" t="inlineStr">
        <is>
          <t>Elevation count / plan length</t>
        </is>
      </c>
    </row>
    <row r="46">
      <c r="A46" s="13" t="n">
        <v>41</v>
      </c>
      <c r="B46" s="13" t="inlineStr">
        <is>
          <t>Shear Walls</t>
        </is>
      </c>
      <c r="C46" s="13" t="inlineStr">
        <is>
          <t>STR-015/016</t>
        </is>
      </c>
      <c r="D46" s="13" t="inlineStr">
        <is>
          <t>Main core CW-09 5th to 6th - vertical Y20@150 NF/FF</t>
        </is>
      </c>
      <c r="E46" s="19" t="inlineStr">
        <is>
          <t>V-Y20</t>
        </is>
      </c>
      <c r="F46" s="19" t="n">
        <v>20</v>
      </c>
      <c r="G46" s="19" t="n">
        <v>1</v>
      </c>
      <c r="H46" s="19">
        <f>2*(ROUNDUP(1150/150,0)+1)</f>
        <v>18.0</v>
      </c>
      <c r="I46" s="13">
        <f>G46*H46</f>
        <v>18.0</v>
      </c>
      <c r="J46" s="20">
        <f>(3300+40*20)/1000</f>
        <v>4.1</v>
      </c>
      <c r="K46" s="21">
        <f>I46*J46</f>
        <v>73.8</v>
      </c>
      <c r="L46" s="22">
        <f>F46^2/162</f>
        <v>2.4691358024691357</v>
      </c>
      <c r="M46" s="21">
        <f>K46*L46</f>
        <v>182.2222222222222</v>
      </c>
      <c r="N46" s="22">
        <f>M46/1000</f>
        <v>0.1822222222222222</v>
      </c>
      <c r="O46" s="13" t="inlineStr">
        <is>
          <t>Elevation / plan</t>
        </is>
      </c>
    </row>
    <row r="47">
      <c r="A47" s="13" t="n">
        <v>42</v>
      </c>
      <c r="B47" s="13" t="inlineStr">
        <is>
          <t>Shear Walls</t>
        </is>
      </c>
      <c r="C47" s="13" t="inlineStr">
        <is>
          <t>STR-015/016</t>
        </is>
      </c>
      <c r="D47" s="13" t="inlineStr">
        <is>
          <t>Main core CW-10 (L=1150mm) 5th to 6th - horizontal Y12@150 NF/FF</t>
        </is>
      </c>
      <c r="E47" s="19" t="inlineStr">
        <is>
          <t>H-Y12</t>
        </is>
      </c>
      <c r="F47" s="19" t="n">
        <v>12</v>
      </c>
      <c r="G47" s="19" t="n">
        <v>1</v>
      </c>
      <c r="H47" s="19">
        <f>2*20</f>
        <v>40.0</v>
      </c>
      <c r="I47" s="13">
        <f>G47*H47</f>
        <v>40.0</v>
      </c>
      <c r="J47" s="20">
        <f>(1150-2*30+40*12)/1000</f>
        <v>1.57</v>
      </c>
      <c r="K47" s="21">
        <f>I47*J47</f>
        <v>62.800000000000004</v>
      </c>
      <c r="L47" s="22">
        <f>F47^2/162</f>
        <v>0.8888888888888888</v>
      </c>
      <c r="M47" s="21">
        <f>K47*L47</f>
        <v>55.82222222222222</v>
      </c>
      <c r="N47" s="22">
        <f>M47/1000</f>
        <v>0.055822222222222224</v>
      </c>
      <c r="O47" s="13" t="inlineStr">
        <is>
          <t>Elevation count / plan length</t>
        </is>
      </c>
    </row>
    <row r="48">
      <c r="A48" s="13" t="n">
        <v>43</v>
      </c>
      <c r="B48" s="13" t="inlineStr">
        <is>
          <t>Shear Walls</t>
        </is>
      </c>
      <c r="C48" s="13" t="inlineStr">
        <is>
          <t>STR-015/016</t>
        </is>
      </c>
      <c r="D48" s="13" t="inlineStr">
        <is>
          <t>Main core CW-10 5th to 6th - vertical Y20@150 NF/FF</t>
        </is>
      </c>
      <c r="E48" s="19" t="inlineStr">
        <is>
          <t>V-Y20</t>
        </is>
      </c>
      <c r="F48" s="19" t="n">
        <v>20</v>
      </c>
      <c r="G48" s="19" t="n">
        <v>1</v>
      </c>
      <c r="H48" s="19">
        <f>2*(ROUNDUP(1150/150,0)+1)</f>
        <v>18.0</v>
      </c>
      <c r="I48" s="13">
        <f>G48*H48</f>
        <v>18.0</v>
      </c>
      <c r="J48" s="20">
        <f>(3300+40*20)/1000</f>
        <v>4.1</v>
      </c>
      <c r="K48" s="21">
        <f>I48*J48</f>
        <v>73.8</v>
      </c>
      <c r="L48" s="22">
        <f>F48^2/162</f>
        <v>2.4691358024691357</v>
      </c>
      <c r="M48" s="21">
        <f>K48*L48</f>
        <v>182.2222222222222</v>
      </c>
      <c r="N48" s="22">
        <f>M48/1000</f>
        <v>0.1822222222222222</v>
      </c>
      <c r="O48" s="13" t="inlineStr">
        <is>
          <t>Elevation / plan</t>
        </is>
      </c>
    </row>
    <row r="49">
      <c r="A49" s="13" t="n">
        <v>44</v>
      </c>
      <c r="B49" s="13" t="inlineStr">
        <is>
          <t>Shear Walls</t>
        </is>
      </c>
      <c r="C49" s="13" t="inlineStr">
        <is>
          <t>STR-015/016</t>
        </is>
      </c>
      <c r="D49" s="13" t="inlineStr">
        <is>
          <t>Main core CW-11 (L=1650mm) 5th to 6th - horizontal Y12@150 NF/FF</t>
        </is>
      </c>
      <c r="E49" s="19" t="inlineStr">
        <is>
          <t>H-Y12</t>
        </is>
      </c>
      <c r="F49" s="19" t="n">
        <v>12</v>
      </c>
      <c r="G49" s="19" t="n">
        <v>1</v>
      </c>
      <c r="H49" s="19">
        <f>2*20</f>
        <v>40.0</v>
      </c>
      <c r="I49" s="13">
        <f>G49*H49</f>
        <v>40.0</v>
      </c>
      <c r="J49" s="20">
        <f>(1650-2*30+40*12)/1000</f>
        <v>2.07</v>
      </c>
      <c r="K49" s="21">
        <f>I49*J49</f>
        <v>82.8</v>
      </c>
      <c r="L49" s="22">
        <f>F49^2/162</f>
        <v>0.8888888888888888</v>
      </c>
      <c r="M49" s="21">
        <f>K49*L49</f>
        <v>73.6</v>
      </c>
      <c r="N49" s="22">
        <f>M49/1000</f>
        <v>0.0736</v>
      </c>
      <c r="O49" s="13" t="inlineStr">
        <is>
          <t>Elevation count / plan length</t>
        </is>
      </c>
    </row>
    <row r="50">
      <c r="A50" s="13" t="n">
        <v>45</v>
      </c>
      <c r="B50" s="13" t="inlineStr">
        <is>
          <t>Shear Walls</t>
        </is>
      </c>
      <c r="C50" s="13" t="inlineStr">
        <is>
          <t>STR-015/016</t>
        </is>
      </c>
      <c r="D50" s="13" t="inlineStr">
        <is>
          <t>Main core CW-11 5th to 6th - vertical Y20@150 NF/FF</t>
        </is>
      </c>
      <c r="E50" s="19" t="inlineStr">
        <is>
          <t>V-Y20</t>
        </is>
      </c>
      <c r="F50" s="19" t="n">
        <v>20</v>
      </c>
      <c r="G50" s="19" t="n">
        <v>1</v>
      </c>
      <c r="H50" s="19">
        <f>2*(ROUNDUP(1650/150,0)+1)</f>
        <v>24.0</v>
      </c>
      <c r="I50" s="13">
        <f>G50*H50</f>
        <v>24.0</v>
      </c>
      <c r="J50" s="20">
        <f>(3300+40*20)/1000</f>
        <v>4.1</v>
      </c>
      <c r="K50" s="21">
        <f>I50*J50</f>
        <v>98.39999999999999</v>
      </c>
      <c r="L50" s="22">
        <f>F50^2/162</f>
        <v>2.4691358024691357</v>
      </c>
      <c r="M50" s="21">
        <f>K50*L50</f>
        <v>242.96296296296293</v>
      </c>
      <c r="N50" s="22">
        <f>M50/1000</f>
        <v>0.24296296296296294</v>
      </c>
      <c r="O50" s="13" t="inlineStr">
        <is>
          <t>Elevation / plan</t>
        </is>
      </c>
    </row>
    <row r="51">
      <c r="A51" s="13" t="n">
        <v>46</v>
      </c>
      <c r="B51" s="13" t="inlineStr">
        <is>
          <t>Shear Walls</t>
        </is>
      </c>
      <c r="C51" s="13" t="inlineStr">
        <is>
          <t>STR-015/016</t>
        </is>
      </c>
      <c r="D51" s="13" t="inlineStr">
        <is>
          <t>Main core confinement links Y10@150 (26 positions on plan) 5th to 6th</t>
        </is>
      </c>
      <c r="E51" s="19" t="inlineStr">
        <is>
          <t>LNK-Y10</t>
        </is>
      </c>
      <c r="F51" s="19" t="n">
        <v>10</v>
      </c>
      <c r="G51" s="19" t="n">
        <v>1</v>
      </c>
      <c r="H51" s="19">
        <f>26*ROUNDUP(3300/150,0)</f>
        <v>572.0</v>
      </c>
      <c r="I51" s="13">
        <f>G51*H51</f>
        <v>572.0</v>
      </c>
      <c r="J51" s="20">
        <f>1800/1000</f>
        <v>1.8</v>
      </c>
      <c r="K51" s="21">
        <f>I51*J51</f>
        <v>1029.6000000000001</v>
      </c>
      <c r="L51" s="22">
        <f>F51^2/162</f>
        <v>0.6172839506172839</v>
      </c>
      <c r="M51" s="21">
        <f>K51*L51</f>
        <v>635.5555555555557</v>
      </c>
      <c r="N51" s="22">
        <f>M51/1000</f>
        <v>0.6355555555555557</v>
      </c>
      <c r="O51" s="13" t="inlineStr">
        <is>
          <t>Assumed link cut length</t>
        </is>
      </c>
    </row>
    <row r="52">
      <c r="A52" s="13" t="n">
        <v>47</v>
      </c>
      <c r="B52" s="13" t="inlineStr">
        <is>
          <t>Shear Walls</t>
        </is>
      </c>
      <c r="C52" s="13" t="inlineStr">
        <is>
          <t>STR-013/014</t>
        </is>
      </c>
      <c r="D52" s="13" t="inlineStr">
        <is>
          <t>Emergency stair core CW-12 (L=7050mm) 5th to 6th - horizontal Y12@150 NF/FF</t>
        </is>
      </c>
      <c r="E52" s="19" t="inlineStr">
        <is>
          <t>H-Y12</t>
        </is>
      </c>
      <c r="F52" s="19" t="n">
        <v>12</v>
      </c>
      <c r="G52" s="19" t="n">
        <v>1</v>
      </c>
      <c r="H52" s="19">
        <f>2*20</f>
        <v>40.0</v>
      </c>
      <c r="I52" s="13">
        <f>G52*H52</f>
        <v>40.0</v>
      </c>
      <c r="J52" s="20">
        <f>(7050-2*30+40*12)/1000</f>
        <v>7.47</v>
      </c>
      <c r="K52" s="21">
        <f>I52*J52</f>
        <v>298.8</v>
      </c>
      <c r="L52" s="22">
        <f>F52^2/162</f>
        <v>0.8888888888888888</v>
      </c>
      <c r="M52" s="21">
        <f>K52*L52</f>
        <v>265.6</v>
      </c>
      <c r="N52" s="22">
        <f>M52/1000</f>
        <v>0.2656</v>
      </c>
      <c r="O52" s="13" t="inlineStr">
        <is>
          <t>Elevation count / plan length</t>
        </is>
      </c>
    </row>
    <row r="53">
      <c r="A53" s="13" t="n">
        <v>48</v>
      </c>
      <c r="B53" s="13" t="inlineStr">
        <is>
          <t>Shear Walls</t>
        </is>
      </c>
      <c r="C53" s="13" t="inlineStr">
        <is>
          <t>STR-013/014</t>
        </is>
      </c>
      <c r="D53" s="13" t="inlineStr">
        <is>
          <t>Emergency stair core CW-12 5th to 6th - vertical Y20@150 NF/FF</t>
        </is>
      </c>
      <c r="E53" s="19" t="inlineStr">
        <is>
          <t>V-Y20</t>
        </is>
      </c>
      <c r="F53" s="19" t="n">
        <v>20</v>
      </c>
      <c r="G53" s="19" t="n">
        <v>1</v>
      </c>
      <c r="H53" s="19">
        <f>2*(ROUNDUP(7050/150,0)+1)</f>
        <v>96.0</v>
      </c>
      <c r="I53" s="13">
        <f>G53*H53</f>
        <v>96.0</v>
      </c>
      <c r="J53" s="20">
        <f>(3300+40*20)/1000</f>
        <v>4.1</v>
      </c>
      <c r="K53" s="21">
        <f>I53*J53</f>
        <v>393.59999999999997</v>
      </c>
      <c r="L53" s="22">
        <f>F53^2/162</f>
        <v>2.4691358024691357</v>
      </c>
      <c r="M53" s="21">
        <f>K53*L53</f>
        <v>971.8518518518517</v>
      </c>
      <c r="N53" s="22">
        <f>M53/1000</f>
        <v>0.9718518518518517</v>
      </c>
      <c r="O53" s="13" t="inlineStr">
        <is>
          <t>Elevation / plan</t>
        </is>
      </c>
    </row>
    <row r="54">
      <c r="A54" s="13" t="n">
        <v>49</v>
      </c>
      <c r="B54" s="13" t="inlineStr">
        <is>
          <t>Shear Walls</t>
        </is>
      </c>
      <c r="C54" s="13" t="inlineStr">
        <is>
          <t>STR-013/014</t>
        </is>
      </c>
      <c r="D54" s="13" t="inlineStr">
        <is>
          <t>Emergency stair core CW-13 (L=7810mm) 5th to 6th - horizontal Y12@150 NF/FF</t>
        </is>
      </c>
      <c r="E54" s="19" t="inlineStr">
        <is>
          <t>H-Y12</t>
        </is>
      </c>
      <c r="F54" s="19" t="n">
        <v>12</v>
      </c>
      <c r="G54" s="19" t="n">
        <v>1</v>
      </c>
      <c r="H54" s="19">
        <f>2*20</f>
        <v>40.0</v>
      </c>
      <c r="I54" s="13">
        <f>G54*H54</f>
        <v>40.0</v>
      </c>
      <c r="J54" s="20">
        <f>(7810-2*30+40*12)/1000</f>
        <v>8.23</v>
      </c>
      <c r="K54" s="21">
        <f>I54*J54</f>
        <v>329.20000000000005</v>
      </c>
      <c r="L54" s="22">
        <f>F54^2/162</f>
        <v>0.8888888888888888</v>
      </c>
      <c r="M54" s="21">
        <f>K54*L54</f>
        <v>292.62222222222226</v>
      </c>
      <c r="N54" s="22">
        <f>M54/1000</f>
        <v>0.2926222222222223</v>
      </c>
      <c r="O54" s="13" t="inlineStr">
        <is>
          <t>Elevation count / plan length</t>
        </is>
      </c>
    </row>
    <row r="55">
      <c r="A55" s="13" t="n">
        <v>50</v>
      </c>
      <c r="B55" s="13" t="inlineStr">
        <is>
          <t>Shear Walls</t>
        </is>
      </c>
      <c r="C55" s="13" t="inlineStr">
        <is>
          <t>STR-013/014</t>
        </is>
      </c>
      <c r="D55" s="13" t="inlineStr">
        <is>
          <t>Emergency stair core CW-13 5th to 6th - vertical Y20@150 NF/FF</t>
        </is>
      </c>
      <c r="E55" s="19" t="inlineStr">
        <is>
          <t>V-Y20</t>
        </is>
      </c>
      <c r="F55" s="19" t="n">
        <v>20</v>
      </c>
      <c r="G55" s="19" t="n">
        <v>1</v>
      </c>
      <c r="H55" s="19">
        <f>2*52</f>
        <v>104.0</v>
      </c>
      <c r="I55" s="13">
        <f>G55*H55</f>
        <v>104.0</v>
      </c>
      <c r="J55" s="20">
        <f>(3300+40*20)/1000</f>
        <v>4.1</v>
      </c>
      <c r="K55" s="21">
        <f>I55*J55</f>
        <v>426.4</v>
      </c>
      <c r="L55" s="22">
        <f>F55^2/162</f>
        <v>2.4691358024691357</v>
      </c>
      <c r="M55" s="21">
        <f>K55*L55</f>
        <v>1052.8395061728395</v>
      </c>
      <c r="N55" s="22">
        <f>M55/1000</f>
        <v>1.0528395061728395</v>
      </c>
      <c r="O55" s="13" t="inlineStr">
        <is>
          <t>Elevation / plan</t>
        </is>
      </c>
    </row>
    <row r="56">
      <c r="A56" s="13" t="n">
        <v>51</v>
      </c>
      <c r="B56" s="13" t="inlineStr">
        <is>
          <t>Shear Walls</t>
        </is>
      </c>
      <c r="C56" s="13" t="inlineStr">
        <is>
          <t>STR-013/014</t>
        </is>
      </c>
      <c r="D56" s="13" t="inlineStr">
        <is>
          <t>Emergency stair core CW-14 (L=3450mm) 5th to 6th - horizontal Y12@150 NF/FF</t>
        </is>
      </c>
      <c r="E56" s="19" t="inlineStr">
        <is>
          <t>H-Y12</t>
        </is>
      </c>
      <c r="F56" s="19" t="n">
        <v>12</v>
      </c>
      <c r="G56" s="19" t="n">
        <v>1</v>
      </c>
      <c r="H56" s="19">
        <f>2*20</f>
        <v>40.0</v>
      </c>
      <c r="I56" s="13">
        <f>G56*H56</f>
        <v>40.0</v>
      </c>
      <c r="J56" s="20">
        <f>(3450-2*30+40*12)/1000</f>
        <v>3.87</v>
      </c>
      <c r="K56" s="21">
        <f>I56*J56</f>
        <v>154.8</v>
      </c>
      <c r="L56" s="22">
        <f>F56^2/162</f>
        <v>0.8888888888888888</v>
      </c>
      <c r="M56" s="21">
        <f>K56*L56</f>
        <v>137.6</v>
      </c>
      <c r="N56" s="22">
        <f>M56/1000</f>
        <v>0.1376</v>
      </c>
      <c r="O56" s="13" t="inlineStr">
        <is>
          <t>Elevation count / plan length</t>
        </is>
      </c>
    </row>
    <row r="57">
      <c r="A57" s="13" t="n">
        <v>52</v>
      </c>
      <c r="B57" s="13" t="inlineStr">
        <is>
          <t>Shear Walls</t>
        </is>
      </c>
      <c r="C57" s="13" t="inlineStr">
        <is>
          <t>STR-013/014</t>
        </is>
      </c>
      <c r="D57" s="13" t="inlineStr">
        <is>
          <t>Emergency stair core CW-14 5th to 6th - vertical Y20@150 NF/FF</t>
        </is>
      </c>
      <c r="E57" s="19" t="inlineStr">
        <is>
          <t>V-Y20</t>
        </is>
      </c>
      <c r="F57" s="19" t="n">
        <v>20</v>
      </c>
      <c r="G57" s="19" t="n">
        <v>1</v>
      </c>
      <c r="H57" s="19">
        <f>2*(ROUNDUP(3450/150,0)+1)</f>
        <v>48.0</v>
      </c>
      <c r="I57" s="13">
        <f>G57*H57</f>
        <v>48.0</v>
      </c>
      <c r="J57" s="20">
        <f>(3300+40*20)/1000</f>
        <v>4.1</v>
      </c>
      <c r="K57" s="21">
        <f>I57*J57</f>
        <v>196.79999999999998</v>
      </c>
      <c r="L57" s="22">
        <f>F57^2/162</f>
        <v>2.4691358024691357</v>
      </c>
      <c r="M57" s="21">
        <f>K57*L57</f>
        <v>485.92592592592587</v>
      </c>
      <c r="N57" s="22">
        <f>M57/1000</f>
        <v>0.4859259259259259</v>
      </c>
      <c r="O57" s="13" t="inlineStr">
        <is>
          <t>Elevation / plan</t>
        </is>
      </c>
    </row>
    <row r="58">
      <c r="A58" s="13" t="n">
        <v>53</v>
      </c>
      <c r="B58" s="13" t="inlineStr">
        <is>
          <t>Shear Walls</t>
        </is>
      </c>
      <c r="C58" s="13" t="inlineStr">
        <is>
          <t>STR-013/014</t>
        </is>
      </c>
      <c r="D58" s="13" t="inlineStr">
        <is>
          <t>Emergency stair core CW-15 (L=2425mm) 5th to 6th - horizontal Y12@150 NF/FF</t>
        </is>
      </c>
      <c r="E58" s="19" t="inlineStr">
        <is>
          <t>H-Y12</t>
        </is>
      </c>
      <c r="F58" s="19" t="n">
        <v>12</v>
      </c>
      <c r="G58" s="19" t="n">
        <v>1</v>
      </c>
      <c r="H58" s="19">
        <f>2*20</f>
        <v>40.0</v>
      </c>
      <c r="I58" s="13">
        <f>G58*H58</f>
        <v>40.0</v>
      </c>
      <c r="J58" s="20">
        <f>(2425-2*30+40*12)/1000</f>
        <v>2.845</v>
      </c>
      <c r="K58" s="21">
        <f>I58*J58</f>
        <v>113.80000000000001</v>
      </c>
      <c r="L58" s="22">
        <f>F58^2/162</f>
        <v>0.8888888888888888</v>
      </c>
      <c r="M58" s="21">
        <f>K58*L58</f>
        <v>101.15555555555557</v>
      </c>
      <c r="N58" s="22">
        <f>M58/1000</f>
        <v>0.10115555555555557</v>
      </c>
      <c r="O58" s="13" t="inlineStr">
        <is>
          <t>Elevation count / plan length</t>
        </is>
      </c>
    </row>
    <row r="59">
      <c r="A59" s="13" t="n">
        <v>54</v>
      </c>
      <c r="B59" s="13" t="inlineStr">
        <is>
          <t>Shear Walls</t>
        </is>
      </c>
      <c r="C59" s="13" t="inlineStr">
        <is>
          <t>STR-013/014</t>
        </is>
      </c>
      <c r="D59" s="13" t="inlineStr">
        <is>
          <t>Emergency stair core CW-15 5th to 6th - vertical Y20@150 NF/FF</t>
        </is>
      </c>
      <c r="E59" s="19" t="inlineStr">
        <is>
          <t>V-Y20</t>
        </is>
      </c>
      <c r="F59" s="19" t="n">
        <v>20</v>
      </c>
      <c r="G59" s="19" t="n">
        <v>1</v>
      </c>
      <c r="H59" s="19">
        <f>2*(ROUNDUP(2425/150,0)+1)</f>
        <v>36.0</v>
      </c>
      <c r="I59" s="13">
        <f>G59*H59</f>
        <v>36.0</v>
      </c>
      <c r="J59" s="20">
        <f>(3300+40*20)/1000</f>
        <v>4.1</v>
      </c>
      <c r="K59" s="21">
        <f>I59*J59</f>
        <v>147.6</v>
      </c>
      <c r="L59" s="22">
        <f>F59^2/162</f>
        <v>2.4691358024691357</v>
      </c>
      <c r="M59" s="21">
        <f>K59*L59</f>
        <v>364.4444444444444</v>
      </c>
      <c r="N59" s="22">
        <f>M59/1000</f>
        <v>0.3644444444444444</v>
      </c>
      <c r="O59" s="13" t="inlineStr">
        <is>
          <t>Elevation / plan</t>
        </is>
      </c>
    </row>
    <row r="60">
      <c r="A60" s="13" t="n">
        <v>55</v>
      </c>
      <c r="B60" s="13" t="inlineStr">
        <is>
          <t>Shear Walls</t>
        </is>
      </c>
      <c r="C60" s="13" t="inlineStr">
        <is>
          <t>STR-013/014</t>
        </is>
      </c>
      <c r="D60" s="13" t="inlineStr">
        <is>
          <t>Emergency stair core CW-16 (L=775mm) 5th to 6th - horizontal Y12@150 NF/FF</t>
        </is>
      </c>
      <c r="E60" s="19" t="inlineStr">
        <is>
          <t>H-Y12</t>
        </is>
      </c>
      <c r="F60" s="19" t="n">
        <v>12</v>
      </c>
      <c r="G60" s="19" t="n">
        <v>1</v>
      </c>
      <c r="H60" s="19">
        <f>2*20</f>
        <v>40.0</v>
      </c>
      <c r="I60" s="13">
        <f>G60*H60</f>
        <v>40.0</v>
      </c>
      <c r="J60" s="20">
        <f>(775-2*30+40*12)/1000</f>
        <v>1.195</v>
      </c>
      <c r="K60" s="21">
        <f>I60*J60</f>
        <v>47.800000000000004</v>
      </c>
      <c r="L60" s="22">
        <f>F60^2/162</f>
        <v>0.8888888888888888</v>
      </c>
      <c r="M60" s="21">
        <f>K60*L60</f>
        <v>42.48888888888889</v>
      </c>
      <c r="N60" s="22">
        <f>M60/1000</f>
        <v>0.04248888888888889</v>
      </c>
      <c r="O60" s="13" t="inlineStr">
        <is>
          <t>Elevation count / plan length</t>
        </is>
      </c>
    </row>
    <row r="61">
      <c r="A61" s="13" t="n">
        <v>56</v>
      </c>
      <c r="B61" s="13" t="inlineStr">
        <is>
          <t>Shear Walls</t>
        </is>
      </c>
      <c r="C61" s="13" t="inlineStr">
        <is>
          <t>STR-013/014</t>
        </is>
      </c>
      <c r="D61" s="13" t="inlineStr">
        <is>
          <t>Emergency stair core CW-16 5th to 6th - vertical Y20@150 NF/FF</t>
        </is>
      </c>
      <c r="E61" s="19" t="inlineStr">
        <is>
          <t>V-Y20</t>
        </is>
      </c>
      <c r="F61" s="19" t="n">
        <v>20</v>
      </c>
      <c r="G61" s="19" t="n">
        <v>1</v>
      </c>
      <c r="H61" s="19">
        <f>2*(ROUNDUP(775/150,0)+1)</f>
        <v>14.0</v>
      </c>
      <c r="I61" s="13">
        <f>G61*H61</f>
        <v>14.0</v>
      </c>
      <c r="J61" s="20">
        <f>(3300+40*20)/1000</f>
        <v>4.1</v>
      </c>
      <c r="K61" s="21">
        <f>I61*J61</f>
        <v>57.39999999999999</v>
      </c>
      <c r="L61" s="22">
        <f>F61^2/162</f>
        <v>2.4691358024691357</v>
      </c>
      <c r="M61" s="21">
        <f>K61*L61</f>
        <v>141.72839506172838</v>
      </c>
      <c r="N61" s="22">
        <f>M61/1000</f>
        <v>0.14172839506172838</v>
      </c>
      <c r="O61" s="13" t="inlineStr">
        <is>
          <t>Elevation / plan</t>
        </is>
      </c>
    </row>
    <row r="62">
      <c r="A62" s="13" t="n">
        <v>57</v>
      </c>
      <c r="B62" s="13" t="inlineStr">
        <is>
          <t>Shear Walls</t>
        </is>
      </c>
      <c r="C62" s="13" t="inlineStr">
        <is>
          <t>STR-013/014</t>
        </is>
      </c>
      <c r="D62" s="13" t="inlineStr">
        <is>
          <t>Emergency stair core CW-17 (L=360mm) 5th to 6th - horizontal Y12@150 NF/FF</t>
        </is>
      </c>
      <c r="E62" s="19" t="inlineStr">
        <is>
          <t>H-Y12</t>
        </is>
      </c>
      <c r="F62" s="19" t="n">
        <v>12</v>
      </c>
      <c r="G62" s="19" t="n">
        <v>1</v>
      </c>
      <c r="H62" s="19">
        <f>2*20</f>
        <v>40.0</v>
      </c>
      <c r="I62" s="13">
        <f>G62*H62</f>
        <v>40.0</v>
      </c>
      <c r="J62" s="20">
        <f>(360-2*30+40*12)/1000</f>
        <v>0.78</v>
      </c>
      <c r="K62" s="21">
        <f>I62*J62</f>
        <v>31.200000000000003</v>
      </c>
      <c r="L62" s="22">
        <f>F62^2/162</f>
        <v>0.8888888888888888</v>
      </c>
      <c r="M62" s="21">
        <f>K62*L62</f>
        <v>27.733333333333334</v>
      </c>
      <c r="N62" s="22">
        <f>M62/1000</f>
        <v>0.027733333333333336</v>
      </c>
      <c r="O62" s="13" t="inlineStr">
        <is>
          <t>Elevation count / plan length</t>
        </is>
      </c>
    </row>
    <row r="63">
      <c r="A63" s="13" t="n">
        <v>58</v>
      </c>
      <c r="B63" s="13" t="inlineStr">
        <is>
          <t>Shear Walls</t>
        </is>
      </c>
      <c r="C63" s="13" t="inlineStr">
        <is>
          <t>STR-013/014</t>
        </is>
      </c>
      <c r="D63" s="13" t="inlineStr">
        <is>
          <t>Emergency stair core CW-17 5th to 6th - vertical Y20@150 NF/FF</t>
        </is>
      </c>
      <c r="E63" s="19" t="inlineStr">
        <is>
          <t>V-Y20</t>
        </is>
      </c>
      <c r="F63" s="19" t="n">
        <v>20</v>
      </c>
      <c r="G63" s="19" t="n">
        <v>1</v>
      </c>
      <c r="H63" s="19">
        <f>2*(ROUNDUP(360/150,0)+1)</f>
        <v>8.0</v>
      </c>
      <c r="I63" s="13">
        <f>G63*H63</f>
        <v>8.0</v>
      </c>
      <c r="J63" s="20">
        <f>(3300+40*20)/1000</f>
        <v>4.1</v>
      </c>
      <c r="K63" s="21">
        <f>I63*J63</f>
        <v>32.8</v>
      </c>
      <c r="L63" s="22">
        <f>F63^2/162</f>
        <v>2.4691358024691357</v>
      </c>
      <c r="M63" s="21">
        <f>K63*L63</f>
        <v>80.98765432098764</v>
      </c>
      <c r="N63" s="22">
        <f>M63/1000</f>
        <v>0.08098765432098765</v>
      </c>
      <c r="O63" s="13" t="inlineStr">
        <is>
          <t>Elevation / plan</t>
        </is>
      </c>
    </row>
    <row r="64">
      <c r="A64" s="13" t="n">
        <v>59</v>
      </c>
      <c r="B64" s="13" t="inlineStr">
        <is>
          <t>Shear Walls</t>
        </is>
      </c>
      <c r="C64" s="13" t="inlineStr">
        <is>
          <t>STR-013/014</t>
        </is>
      </c>
      <c r="D64" s="13" t="inlineStr">
        <is>
          <t>Emergency stair core CW-18 (L=1300mm) 5th to 6th - horizontal Y12@150 NF/FF</t>
        </is>
      </c>
      <c r="E64" s="19" t="inlineStr">
        <is>
          <t>H-Y12</t>
        </is>
      </c>
      <c r="F64" s="19" t="n">
        <v>12</v>
      </c>
      <c r="G64" s="19" t="n">
        <v>1</v>
      </c>
      <c r="H64" s="19">
        <f>2*20</f>
        <v>40.0</v>
      </c>
      <c r="I64" s="13">
        <f>G64*H64</f>
        <v>40.0</v>
      </c>
      <c r="J64" s="20">
        <f>(1300-2*30+40*12)/1000</f>
        <v>1.72</v>
      </c>
      <c r="K64" s="21">
        <f>I64*J64</f>
        <v>68.8</v>
      </c>
      <c r="L64" s="22">
        <f>F64^2/162</f>
        <v>0.8888888888888888</v>
      </c>
      <c r="M64" s="21">
        <f>K64*L64</f>
        <v>61.15555555555555</v>
      </c>
      <c r="N64" s="22">
        <f>M64/1000</f>
        <v>0.06115555555555555</v>
      </c>
      <c r="O64" s="13" t="inlineStr">
        <is>
          <t>Elevation count / plan length</t>
        </is>
      </c>
    </row>
    <row r="65">
      <c r="A65" s="13" t="n">
        <v>60</v>
      </c>
      <c r="B65" s="13" t="inlineStr">
        <is>
          <t>Shear Walls</t>
        </is>
      </c>
      <c r="C65" s="13" t="inlineStr">
        <is>
          <t>STR-013/014</t>
        </is>
      </c>
      <c r="D65" s="13" t="inlineStr">
        <is>
          <t>Emergency stair core CW-18 5th to 6th - vertical Y20@150 NF/FF</t>
        </is>
      </c>
      <c r="E65" s="19" t="inlineStr">
        <is>
          <t>V-Y20</t>
        </is>
      </c>
      <c r="F65" s="19" t="n">
        <v>20</v>
      </c>
      <c r="G65" s="19" t="n">
        <v>1</v>
      </c>
      <c r="H65" s="19">
        <f>2*(ROUNDUP(1300/150,0)+1)</f>
        <v>20.0</v>
      </c>
      <c r="I65" s="13">
        <f>G65*H65</f>
        <v>20.0</v>
      </c>
      <c r="J65" s="20">
        <f>(3300+40*20)/1000</f>
        <v>4.1</v>
      </c>
      <c r="K65" s="21">
        <f>I65*J65</f>
        <v>82.0</v>
      </c>
      <c r="L65" s="22">
        <f>F65^2/162</f>
        <v>2.4691358024691357</v>
      </c>
      <c r="M65" s="21">
        <f>K65*L65</f>
        <v>202.4691358024691</v>
      </c>
      <c r="N65" s="22">
        <f>M65/1000</f>
        <v>0.2024691358024691</v>
      </c>
      <c r="O65" s="13" t="inlineStr">
        <is>
          <t>Elevation / plan</t>
        </is>
      </c>
    </row>
    <row r="66">
      <c r="A66" s="13" t="n">
        <v>61</v>
      </c>
      <c r="B66" s="13" t="inlineStr">
        <is>
          <t>Shear Walls</t>
        </is>
      </c>
      <c r="C66" s="13" t="inlineStr">
        <is>
          <t>STR-013/014</t>
        </is>
      </c>
      <c r="D66" s="13" t="inlineStr">
        <is>
          <t>Emergency stair core CW-19 (L=1100mm) 5th to 6th - horizontal Y12@150 NF/FF</t>
        </is>
      </c>
      <c r="E66" s="19" t="inlineStr">
        <is>
          <t>H-Y12</t>
        </is>
      </c>
      <c r="F66" s="19" t="n">
        <v>12</v>
      </c>
      <c r="G66" s="19" t="n">
        <v>1</v>
      </c>
      <c r="H66" s="19">
        <f>2*20</f>
        <v>40.0</v>
      </c>
      <c r="I66" s="13">
        <f>G66*H66</f>
        <v>40.0</v>
      </c>
      <c r="J66" s="20">
        <f>(1100-2*30+40*12)/1000</f>
        <v>1.52</v>
      </c>
      <c r="K66" s="21">
        <f>I66*J66</f>
        <v>60.8</v>
      </c>
      <c r="L66" s="22">
        <f>F66^2/162</f>
        <v>0.8888888888888888</v>
      </c>
      <c r="M66" s="21">
        <f>K66*L66</f>
        <v>54.04444444444444</v>
      </c>
      <c r="N66" s="22">
        <f>M66/1000</f>
        <v>0.05404444444444444</v>
      </c>
      <c r="O66" s="13" t="inlineStr">
        <is>
          <t>Elevation count / plan length</t>
        </is>
      </c>
    </row>
    <row r="67">
      <c r="A67" s="13" t="n">
        <v>62</v>
      </c>
      <c r="B67" s="13" t="inlineStr">
        <is>
          <t>Shear Walls</t>
        </is>
      </c>
      <c r="C67" s="13" t="inlineStr">
        <is>
          <t>STR-013/014</t>
        </is>
      </c>
      <c r="D67" s="13" t="inlineStr">
        <is>
          <t>Emergency stair core CW-19 5th to 6th - vertical Y20@150 NF/FF</t>
        </is>
      </c>
      <c r="E67" s="19" t="inlineStr">
        <is>
          <t>V-Y20</t>
        </is>
      </c>
      <c r="F67" s="19" t="n">
        <v>20</v>
      </c>
      <c r="G67" s="19" t="n">
        <v>1</v>
      </c>
      <c r="H67" s="19">
        <f>2*(ROUNDUP(1100/150,0)+1)</f>
        <v>18.0</v>
      </c>
      <c r="I67" s="13">
        <f>G67*H67</f>
        <v>18.0</v>
      </c>
      <c r="J67" s="20">
        <f>(3300+40*20)/1000</f>
        <v>4.1</v>
      </c>
      <c r="K67" s="21">
        <f>I67*J67</f>
        <v>73.8</v>
      </c>
      <c r="L67" s="22">
        <f>F67^2/162</f>
        <v>2.4691358024691357</v>
      </c>
      <c r="M67" s="21">
        <f>K67*L67</f>
        <v>182.2222222222222</v>
      </c>
      <c r="N67" s="22">
        <f>M67/1000</f>
        <v>0.1822222222222222</v>
      </c>
      <c r="O67" s="13" t="inlineStr">
        <is>
          <t>Elevation / plan</t>
        </is>
      </c>
    </row>
    <row r="68">
      <c r="A68" s="13" t="n">
        <v>63</v>
      </c>
      <c r="B68" s="13" t="inlineStr">
        <is>
          <t>Shear Walls</t>
        </is>
      </c>
      <c r="C68" s="13" t="inlineStr">
        <is>
          <t>STR-013/014</t>
        </is>
      </c>
      <c r="D68" s="13" t="inlineStr">
        <is>
          <t>Emergency stair core CW-20 (L=1300mm) 5th to 6th - horizontal Y12@150 NF/FF</t>
        </is>
      </c>
      <c r="E68" s="19" t="inlineStr">
        <is>
          <t>H-Y12</t>
        </is>
      </c>
      <c r="F68" s="19" t="n">
        <v>12</v>
      </c>
      <c r="G68" s="19" t="n">
        <v>1</v>
      </c>
      <c r="H68" s="19">
        <f>2*20</f>
        <v>40.0</v>
      </c>
      <c r="I68" s="13">
        <f>G68*H68</f>
        <v>40.0</v>
      </c>
      <c r="J68" s="20">
        <f>(1300-2*30+40*12)/1000</f>
        <v>1.72</v>
      </c>
      <c r="K68" s="21">
        <f>I68*J68</f>
        <v>68.8</v>
      </c>
      <c r="L68" s="22">
        <f>F68^2/162</f>
        <v>0.8888888888888888</v>
      </c>
      <c r="M68" s="21">
        <f>K68*L68</f>
        <v>61.15555555555555</v>
      </c>
      <c r="N68" s="22">
        <f>M68/1000</f>
        <v>0.06115555555555555</v>
      </c>
      <c r="O68" s="13" t="inlineStr">
        <is>
          <t>Elevation count / plan length</t>
        </is>
      </c>
    </row>
    <row r="69">
      <c r="A69" s="13" t="n">
        <v>64</v>
      </c>
      <c r="B69" s="13" t="inlineStr">
        <is>
          <t>Shear Walls</t>
        </is>
      </c>
      <c r="C69" s="13" t="inlineStr">
        <is>
          <t>STR-013/014</t>
        </is>
      </c>
      <c r="D69" s="13" t="inlineStr">
        <is>
          <t>Emergency stair core CW-20 5th to 6th - vertical Y20@150 NF/FF</t>
        </is>
      </c>
      <c r="E69" s="19" t="inlineStr">
        <is>
          <t>V-Y20</t>
        </is>
      </c>
      <c r="F69" s="19" t="n">
        <v>20</v>
      </c>
      <c r="G69" s="19" t="n">
        <v>1</v>
      </c>
      <c r="H69" s="19">
        <f>2*(ROUNDUP(1300/150,0)+1)</f>
        <v>20.0</v>
      </c>
      <c r="I69" s="13">
        <f>G69*H69</f>
        <v>20.0</v>
      </c>
      <c r="J69" s="20">
        <f>(3300+40*20)/1000</f>
        <v>4.1</v>
      </c>
      <c r="K69" s="21">
        <f>I69*J69</f>
        <v>82.0</v>
      </c>
      <c r="L69" s="22">
        <f>F69^2/162</f>
        <v>2.4691358024691357</v>
      </c>
      <c r="M69" s="21">
        <f>K69*L69</f>
        <v>202.4691358024691</v>
      </c>
      <c r="N69" s="22">
        <f>M69/1000</f>
        <v>0.2024691358024691</v>
      </c>
      <c r="O69" s="13" t="inlineStr">
        <is>
          <t>Elevation / plan</t>
        </is>
      </c>
    </row>
    <row r="70">
      <c r="A70" s="13" t="n">
        <v>65</v>
      </c>
      <c r="B70" s="13" t="inlineStr">
        <is>
          <t>Shear Walls</t>
        </is>
      </c>
      <c r="C70" s="13" t="inlineStr">
        <is>
          <t>STR-013/014</t>
        </is>
      </c>
      <c r="D70" s="13" t="inlineStr">
        <is>
          <t>Emergency stair core confinement links Y10@150 (33 positions on plan) 5th to 6th</t>
        </is>
      </c>
      <c r="E70" s="19" t="inlineStr">
        <is>
          <t>LNK-Y10</t>
        </is>
      </c>
      <c r="F70" s="19" t="n">
        <v>10</v>
      </c>
      <c r="G70" s="19" t="n">
        <v>1</v>
      </c>
      <c r="H70" s="19">
        <f>33*ROUNDUP(3300/150,0)</f>
        <v>726.0</v>
      </c>
      <c r="I70" s="13">
        <f>G70*H70</f>
        <v>726.0</v>
      </c>
      <c r="J70" s="20">
        <f>1800/1000</f>
        <v>1.8</v>
      </c>
      <c r="K70" s="21">
        <f>I70*J70</f>
        <v>1306.8</v>
      </c>
      <c r="L70" s="22">
        <f>F70^2/162</f>
        <v>0.6172839506172839</v>
      </c>
      <c r="M70" s="21">
        <f>K70*L70</f>
        <v>806.6666666666666</v>
      </c>
      <c r="N70" s="22">
        <f>M70/1000</f>
        <v>0.8066666666666666</v>
      </c>
      <c r="O70" s="13" t="inlineStr">
        <is>
          <t>Assumed link cut length</t>
        </is>
      </c>
    </row>
    <row r="71">
      <c r="A71" s="13" t="n">
        <v>66</v>
      </c>
      <c r="B71" s="13" t="inlineStr">
        <is>
          <t>Lift Walls</t>
        </is>
      </c>
      <c r="C71" s="13" t="inlineStr">
        <is>
          <t>STR-015/017</t>
        </is>
      </c>
      <c r="D71" s="13" t="inlineStr">
        <is>
          <t>Main core (lift shafts) CW-02 (L=3600mm) 5th to 6th - horizontal Y12@150 NF/FF</t>
        </is>
      </c>
      <c r="E71" s="19" t="inlineStr">
        <is>
          <t>H-Y12</t>
        </is>
      </c>
      <c r="F71" s="19" t="n">
        <v>12</v>
      </c>
      <c r="G71" s="19" t="n">
        <v>1</v>
      </c>
      <c r="H71" s="19">
        <f>2*20</f>
        <v>40.0</v>
      </c>
      <c r="I71" s="13">
        <f>G71*H71</f>
        <v>40.0</v>
      </c>
      <c r="J71" s="20">
        <f>(3600-2*30+40*12)/1000</f>
        <v>4.02</v>
      </c>
      <c r="K71" s="21">
        <f>I71*J71</f>
        <v>160.79999999999998</v>
      </c>
      <c r="L71" s="22">
        <f>F71^2/162</f>
        <v>0.8888888888888888</v>
      </c>
      <c r="M71" s="21">
        <f>K71*L71</f>
        <v>142.9333333333333</v>
      </c>
      <c r="N71" s="22">
        <f>M71/1000</f>
        <v>0.1429333333333333</v>
      </c>
      <c r="O71" s="13" t="inlineStr">
        <is>
          <t>Elevation count / plan length</t>
        </is>
      </c>
    </row>
    <row r="72">
      <c r="A72" s="13" t="n">
        <v>67</v>
      </c>
      <c r="B72" s="13" t="inlineStr">
        <is>
          <t>Lift Walls</t>
        </is>
      </c>
      <c r="C72" s="13" t="inlineStr">
        <is>
          <t>STR-015/017</t>
        </is>
      </c>
      <c r="D72" s="13" t="inlineStr">
        <is>
          <t>Main core (lift shafts) CW-02 5th to 6th - vertical Y20@150 NF/FF</t>
        </is>
      </c>
      <c r="E72" s="19" t="inlineStr">
        <is>
          <t>V-Y20</t>
        </is>
      </c>
      <c r="F72" s="19" t="n">
        <v>20</v>
      </c>
      <c r="G72" s="19" t="n">
        <v>1</v>
      </c>
      <c r="H72" s="19">
        <f>2*29</f>
        <v>58.0</v>
      </c>
      <c r="I72" s="13">
        <f>G72*H72</f>
        <v>58.0</v>
      </c>
      <c r="J72" s="20">
        <f>(3300+40*20)/1000</f>
        <v>4.1</v>
      </c>
      <c r="K72" s="21">
        <f>I72*J72</f>
        <v>237.79999999999998</v>
      </c>
      <c r="L72" s="22">
        <f>F72^2/162</f>
        <v>2.4691358024691357</v>
      </c>
      <c r="M72" s="21">
        <f>K72*L72</f>
        <v>587.1604938271604</v>
      </c>
      <c r="N72" s="22">
        <f>M72/1000</f>
        <v>0.5871604938271604</v>
      </c>
      <c r="O72" s="13" t="inlineStr">
        <is>
          <t>Elevation / plan</t>
        </is>
      </c>
    </row>
    <row r="73">
      <c r="A73" s="13" t="n">
        <v>68</v>
      </c>
      <c r="B73" s="13" t="inlineStr">
        <is>
          <t>Lift Walls</t>
        </is>
      </c>
      <c r="C73" s="13" t="inlineStr">
        <is>
          <t>STR-015/017</t>
        </is>
      </c>
      <c r="D73" s="13" t="inlineStr">
        <is>
          <t>Main core (lift shafts) CW-03 (L=3600mm) 5th to 6th - horizontal Y12@150 NF/FF</t>
        </is>
      </c>
      <c r="E73" s="19" t="inlineStr">
        <is>
          <t>H-Y12</t>
        </is>
      </c>
      <c r="F73" s="19" t="n">
        <v>12</v>
      </c>
      <c r="G73" s="19" t="n">
        <v>1</v>
      </c>
      <c r="H73" s="19">
        <f>2*20</f>
        <v>40.0</v>
      </c>
      <c r="I73" s="13">
        <f>G73*H73</f>
        <v>40.0</v>
      </c>
      <c r="J73" s="20">
        <f>(3600-2*30+40*12)/1000</f>
        <v>4.02</v>
      </c>
      <c r="K73" s="21">
        <f>I73*J73</f>
        <v>160.79999999999998</v>
      </c>
      <c r="L73" s="22">
        <f>F73^2/162</f>
        <v>0.8888888888888888</v>
      </c>
      <c r="M73" s="21">
        <f>K73*L73</f>
        <v>142.9333333333333</v>
      </c>
      <c r="N73" s="22">
        <f>M73/1000</f>
        <v>0.1429333333333333</v>
      </c>
      <c r="O73" s="13" t="inlineStr">
        <is>
          <t>Elevation count / plan length</t>
        </is>
      </c>
    </row>
    <row r="74">
      <c r="A74" s="13" t="n">
        <v>69</v>
      </c>
      <c r="B74" s="13" t="inlineStr">
        <is>
          <t>Lift Walls</t>
        </is>
      </c>
      <c r="C74" s="13" t="inlineStr">
        <is>
          <t>STR-015/017</t>
        </is>
      </c>
      <c r="D74" s="13" t="inlineStr">
        <is>
          <t>Main core (lift shafts) CW-03 5th to 6th - vertical Y20@150 NF/FF</t>
        </is>
      </c>
      <c r="E74" s="19" t="inlineStr">
        <is>
          <t>V-Y20</t>
        </is>
      </c>
      <c r="F74" s="19" t="n">
        <v>20</v>
      </c>
      <c r="G74" s="19" t="n">
        <v>1</v>
      </c>
      <c r="H74" s="19">
        <f>2*29</f>
        <v>58.0</v>
      </c>
      <c r="I74" s="13">
        <f>G74*H74</f>
        <v>58.0</v>
      </c>
      <c r="J74" s="20">
        <f>(3300+40*20)/1000</f>
        <v>4.1</v>
      </c>
      <c r="K74" s="21">
        <f>I74*J74</f>
        <v>237.79999999999998</v>
      </c>
      <c r="L74" s="22">
        <f>F74^2/162</f>
        <v>2.4691358024691357</v>
      </c>
      <c r="M74" s="21">
        <f>K74*L74</f>
        <v>587.1604938271604</v>
      </c>
      <c r="N74" s="22">
        <f>M74/1000</f>
        <v>0.5871604938271604</v>
      </c>
      <c r="O74" s="13" t="inlineStr">
        <is>
          <t>Elevation / plan</t>
        </is>
      </c>
    </row>
    <row r="75">
      <c r="A75" s="13" t="n">
        <v>70</v>
      </c>
      <c r="B75" s="13" t="inlineStr">
        <is>
          <t>Lift Walls</t>
        </is>
      </c>
      <c r="C75" s="13" t="inlineStr">
        <is>
          <t>STR-015/017</t>
        </is>
      </c>
      <c r="D75" s="13" t="inlineStr">
        <is>
          <t>Main core (lift shafts) CW-04 (L=3600mm) 5th to 6th - horizontal Y12@150 NF/FF</t>
        </is>
      </c>
      <c r="E75" s="19" t="inlineStr">
        <is>
          <t>H-Y12</t>
        </is>
      </c>
      <c r="F75" s="19" t="n">
        <v>12</v>
      </c>
      <c r="G75" s="19" t="n">
        <v>1</v>
      </c>
      <c r="H75" s="19">
        <f>2*20</f>
        <v>40.0</v>
      </c>
      <c r="I75" s="13">
        <f>G75*H75</f>
        <v>40.0</v>
      </c>
      <c r="J75" s="20">
        <f>(3600-2*30+40*12)/1000</f>
        <v>4.02</v>
      </c>
      <c r="K75" s="21">
        <f>I75*J75</f>
        <v>160.79999999999998</v>
      </c>
      <c r="L75" s="22">
        <f>F75^2/162</f>
        <v>0.8888888888888888</v>
      </c>
      <c r="M75" s="21">
        <f>K75*L75</f>
        <v>142.9333333333333</v>
      </c>
      <c r="N75" s="22">
        <f>M75/1000</f>
        <v>0.1429333333333333</v>
      </c>
      <c r="O75" s="13" t="inlineStr">
        <is>
          <t>Elevation count / plan length</t>
        </is>
      </c>
    </row>
    <row r="76">
      <c r="A76" s="13" t="n">
        <v>71</v>
      </c>
      <c r="B76" s="13" t="inlineStr">
        <is>
          <t>Lift Walls</t>
        </is>
      </c>
      <c r="C76" s="13" t="inlineStr">
        <is>
          <t>STR-015/017</t>
        </is>
      </c>
      <c r="D76" s="13" t="inlineStr">
        <is>
          <t>Main core (lift shafts) CW-04 5th to 6th - vertical Y20@150 NF/FF</t>
        </is>
      </c>
      <c r="E76" s="19" t="inlineStr">
        <is>
          <t>V-Y20</t>
        </is>
      </c>
      <c r="F76" s="19" t="n">
        <v>20</v>
      </c>
      <c r="G76" s="19" t="n">
        <v>1</v>
      </c>
      <c r="H76" s="19">
        <f>2*29</f>
        <v>58.0</v>
      </c>
      <c r="I76" s="13">
        <f>G76*H76</f>
        <v>58.0</v>
      </c>
      <c r="J76" s="20">
        <f>(3300+40*20)/1000</f>
        <v>4.1</v>
      </c>
      <c r="K76" s="21">
        <f>I76*J76</f>
        <v>237.79999999999998</v>
      </c>
      <c r="L76" s="22">
        <f>F76^2/162</f>
        <v>2.4691358024691357</v>
      </c>
      <c r="M76" s="21">
        <f>K76*L76</f>
        <v>587.1604938271604</v>
      </c>
      <c r="N76" s="22">
        <f>M76/1000</f>
        <v>0.5871604938271604</v>
      </c>
      <c r="O76" s="13" t="inlineStr">
        <is>
          <t>Elevation / plan</t>
        </is>
      </c>
    </row>
    <row r="77">
      <c r="A77" s="13" t="n">
        <v>72</v>
      </c>
      <c r="B77" s="13" t="inlineStr">
        <is>
          <t>Lift Walls</t>
        </is>
      </c>
      <c r="C77" s="13" t="inlineStr">
        <is>
          <t>STR-015/017</t>
        </is>
      </c>
      <c r="D77" s="13" t="inlineStr">
        <is>
          <t>Main core (lift shafts) CW-06 (L=2025mm) 5th to 6th - horizontal Y12@150 NF/FF</t>
        </is>
      </c>
      <c r="E77" s="19" t="inlineStr">
        <is>
          <t>H-Y12</t>
        </is>
      </c>
      <c r="F77" s="19" t="n">
        <v>12</v>
      </c>
      <c r="G77" s="19" t="n">
        <v>1</v>
      </c>
      <c r="H77" s="19">
        <f>2*20</f>
        <v>40.0</v>
      </c>
      <c r="I77" s="13">
        <f>G77*H77</f>
        <v>40.0</v>
      </c>
      <c r="J77" s="20">
        <f>(2025-2*30+40*12)/1000</f>
        <v>2.445</v>
      </c>
      <c r="K77" s="21">
        <f>I77*J77</f>
        <v>97.8</v>
      </c>
      <c r="L77" s="22">
        <f>F77^2/162</f>
        <v>0.8888888888888888</v>
      </c>
      <c r="M77" s="21">
        <f>K77*L77</f>
        <v>86.93333333333332</v>
      </c>
      <c r="N77" s="22">
        <f>M77/1000</f>
        <v>0.08693333333333332</v>
      </c>
      <c r="O77" s="13" t="inlineStr">
        <is>
          <t>Elevation count / plan length</t>
        </is>
      </c>
    </row>
    <row r="78">
      <c r="A78" s="13" t="n">
        <v>73</v>
      </c>
      <c r="B78" s="13" t="inlineStr">
        <is>
          <t>Lift Walls</t>
        </is>
      </c>
      <c r="C78" s="13" t="inlineStr">
        <is>
          <t>STR-015/017</t>
        </is>
      </c>
      <c r="D78" s="13" t="inlineStr">
        <is>
          <t>Main core (lift shafts) CW-06 5th to 6th - vertical Y20@150 NF/FF</t>
        </is>
      </c>
      <c r="E78" s="19" t="inlineStr">
        <is>
          <t>V-Y20</t>
        </is>
      </c>
      <c r="F78" s="19" t="n">
        <v>20</v>
      </c>
      <c r="G78" s="19" t="n">
        <v>1</v>
      </c>
      <c r="H78" s="19">
        <f>2*(ROUNDUP(2025/150,0)+1)</f>
        <v>30.0</v>
      </c>
      <c r="I78" s="13">
        <f>G78*H78</f>
        <v>30.0</v>
      </c>
      <c r="J78" s="20">
        <f>(3300+40*20)/1000</f>
        <v>4.1</v>
      </c>
      <c r="K78" s="21">
        <f>I78*J78</f>
        <v>122.99999999999999</v>
      </c>
      <c r="L78" s="22">
        <f>F78^2/162</f>
        <v>2.4691358024691357</v>
      </c>
      <c r="M78" s="21">
        <f>K78*L78</f>
        <v>303.70370370370364</v>
      </c>
      <c r="N78" s="22">
        <f>M78/1000</f>
        <v>0.30370370370370364</v>
      </c>
      <c r="O78" s="13" t="inlineStr">
        <is>
          <t>Elevation / plan</t>
        </is>
      </c>
    </row>
    <row r="79">
      <c r="A79" s="13" t="n">
        <v>74</v>
      </c>
      <c r="B79" s="13" t="inlineStr">
        <is>
          <t>Lift Walls</t>
        </is>
      </c>
      <c r="C79" s="13" t="inlineStr">
        <is>
          <t>STR-015/017</t>
        </is>
      </c>
      <c r="D79" s="13" t="inlineStr">
        <is>
          <t>Main core (lift shafts) CW-08 (L=4500mm) 5th to 6th - horizontal Y12@150 NF/FF</t>
        </is>
      </c>
      <c r="E79" s="19" t="inlineStr">
        <is>
          <t>H-Y12</t>
        </is>
      </c>
      <c r="F79" s="19" t="n">
        <v>12</v>
      </c>
      <c r="G79" s="19" t="n">
        <v>1</v>
      </c>
      <c r="H79" s="19">
        <f>2*20</f>
        <v>40.0</v>
      </c>
      <c r="I79" s="13">
        <f>G79*H79</f>
        <v>40.0</v>
      </c>
      <c r="J79" s="20">
        <f>(4500-2*30+40*12)/1000</f>
        <v>4.92</v>
      </c>
      <c r="K79" s="21">
        <f>I79*J79</f>
        <v>196.8</v>
      </c>
      <c r="L79" s="22">
        <f>F79^2/162</f>
        <v>0.8888888888888888</v>
      </c>
      <c r="M79" s="21">
        <f>K79*L79</f>
        <v>174.93333333333334</v>
      </c>
      <c r="N79" s="22">
        <f>M79/1000</f>
        <v>0.17493333333333333</v>
      </c>
      <c r="O79" s="13" t="inlineStr">
        <is>
          <t>Elevation count / plan length</t>
        </is>
      </c>
    </row>
    <row r="80">
      <c r="A80" s="13" t="n">
        <v>75</v>
      </c>
      <c r="B80" s="13" t="inlineStr">
        <is>
          <t>Lift Walls</t>
        </is>
      </c>
      <c r="C80" s="13" t="inlineStr">
        <is>
          <t>STR-015/017</t>
        </is>
      </c>
      <c r="D80" s="13" t="inlineStr">
        <is>
          <t>Main core (lift shafts) CW-08 5th to 6th - vertical Y20@150 NF/FF</t>
        </is>
      </c>
      <c r="E80" s="19" t="inlineStr">
        <is>
          <t>V-Y20</t>
        </is>
      </c>
      <c r="F80" s="19" t="n">
        <v>20</v>
      </c>
      <c r="G80" s="19" t="n">
        <v>1</v>
      </c>
      <c r="H80" s="19">
        <f>2*(ROUNDUP(4500/150,0)+1)</f>
        <v>62.0</v>
      </c>
      <c r="I80" s="13">
        <f>G80*H80</f>
        <v>62.0</v>
      </c>
      <c r="J80" s="20">
        <f>(3300+40*20)/1000</f>
        <v>4.1</v>
      </c>
      <c r="K80" s="21">
        <f>I80*J80</f>
        <v>254.2</v>
      </c>
      <c r="L80" s="22">
        <f>F80^2/162</f>
        <v>2.4691358024691357</v>
      </c>
      <c r="M80" s="21">
        <f>K80*L80</f>
        <v>627.6543209876543</v>
      </c>
      <c r="N80" s="22">
        <f>M80/1000</f>
        <v>0.6276543209876543</v>
      </c>
      <c r="O80" s="13" t="inlineStr">
        <is>
          <t>Elevation / plan</t>
        </is>
      </c>
    </row>
    <row r="81">
      <c r="A81" s="13" t="n">
        <v>76</v>
      </c>
      <c r="B81" s="13" t="inlineStr">
        <is>
          <t>Lift Walls</t>
        </is>
      </c>
      <c r="C81" s="13" t="inlineStr">
        <is>
          <t>STR-015/017</t>
        </is>
      </c>
      <c r="D81" s="13" t="inlineStr">
        <is>
          <t>Main core (lift shafts) CW-07 (lift section) (L=4500mm) 5th to 6th - horizontal Y12@150 NF/FF</t>
        </is>
      </c>
      <c r="E81" s="19" t="inlineStr">
        <is>
          <t>H-Y12</t>
        </is>
      </c>
      <c r="F81" s="19" t="n">
        <v>12</v>
      </c>
      <c r="G81" s="19" t="n">
        <v>1</v>
      </c>
      <c r="H81" s="19">
        <f>2*20</f>
        <v>40.0</v>
      </c>
      <c r="I81" s="13">
        <f>G81*H81</f>
        <v>40.0</v>
      </c>
      <c r="J81" s="20">
        <f>(4500-2*30+40*12)/1000</f>
        <v>4.92</v>
      </c>
      <c r="K81" s="21">
        <f>I81*J81</f>
        <v>196.8</v>
      </c>
      <c r="L81" s="22">
        <f>F81^2/162</f>
        <v>0.8888888888888888</v>
      </c>
      <c r="M81" s="21">
        <f>K81*L81</f>
        <v>174.93333333333334</v>
      </c>
      <c r="N81" s="22">
        <f>M81/1000</f>
        <v>0.17493333333333333</v>
      </c>
      <c r="O81" s="13" t="inlineStr">
        <is>
          <t>Elevation count / plan length</t>
        </is>
      </c>
    </row>
    <row r="82">
      <c r="A82" s="13" t="n">
        <v>77</v>
      </c>
      <c r="B82" s="13" t="inlineStr">
        <is>
          <t>Lift Walls</t>
        </is>
      </c>
      <c r="C82" s="13" t="inlineStr">
        <is>
          <t>STR-015/017</t>
        </is>
      </c>
      <c r="D82" s="13" t="inlineStr">
        <is>
          <t>Main core (lift shafts) CW-07 (lift section) 5th to 6th - vertical Y20@150 NF/FF</t>
        </is>
      </c>
      <c r="E82" s="19" t="inlineStr">
        <is>
          <t>V-Y20</t>
        </is>
      </c>
      <c r="F82" s="19" t="n">
        <v>20</v>
      </c>
      <c r="G82" s="19" t="n">
        <v>1</v>
      </c>
      <c r="H82" s="19">
        <f>2*(ROUNDUP(4500/150,0)+1)</f>
        <v>62.0</v>
      </c>
      <c r="I82" s="13">
        <f>G82*H82</f>
        <v>62.0</v>
      </c>
      <c r="J82" s="20">
        <f>(3300+40*20)/1000</f>
        <v>4.1</v>
      </c>
      <c r="K82" s="21">
        <f>I82*J82</f>
        <v>254.2</v>
      </c>
      <c r="L82" s="22">
        <f>F82^2/162</f>
        <v>2.4691358024691357</v>
      </c>
      <c r="M82" s="21">
        <f>K82*L82</f>
        <v>627.6543209876543</v>
      </c>
      <c r="N82" s="22">
        <f>M82/1000</f>
        <v>0.6276543209876543</v>
      </c>
      <c r="O82" s="13" t="inlineStr">
        <is>
          <t>Elevation / plan</t>
        </is>
      </c>
    </row>
    <row r="83">
      <c r="A83" s="13" t="n">
        <v>78</v>
      </c>
      <c r="B83" s="13" t="inlineStr">
        <is>
          <t>Lift Walls</t>
        </is>
      </c>
      <c r="C83" s="13" t="inlineStr">
        <is>
          <t>STR-015/017</t>
        </is>
      </c>
      <c r="D83" s="13" t="inlineStr">
        <is>
          <t>Main core (lift shafts) confinement links Y10@150 (26 positions on plan) 5th to 6th</t>
        </is>
      </c>
      <c r="E83" s="19" t="inlineStr">
        <is>
          <t>LNK-Y10</t>
        </is>
      </c>
      <c r="F83" s="19" t="n">
        <v>10</v>
      </c>
      <c r="G83" s="19" t="n">
        <v>1</v>
      </c>
      <c r="H83" s="19">
        <f>26*ROUNDUP(3300/150,0)</f>
        <v>572.0</v>
      </c>
      <c r="I83" s="13">
        <f>G83*H83</f>
        <v>572.0</v>
      </c>
      <c r="J83" s="20">
        <f>1800/1000</f>
        <v>1.8</v>
      </c>
      <c r="K83" s="21">
        <f>I83*J83</f>
        <v>1029.6000000000001</v>
      </c>
      <c r="L83" s="22">
        <f>F83^2/162</f>
        <v>0.6172839506172839</v>
      </c>
      <c r="M83" s="21">
        <f>K83*L83</f>
        <v>635.5555555555557</v>
      </c>
      <c r="N83" s="22">
        <f>M83/1000</f>
        <v>0.6355555555555557</v>
      </c>
      <c r="O83" s="13" t="inlineStr">
        <is>
          <t>Assumed link cut length</t>
        </is>
      </c>
    </row>
    <row r="84">
      <c r="A84" s="13" t="n">
        <v>79</v>
      </c>
      <c r="B84" s="13" t="inlineStr">
        <is>
          <t>Beams</t>
        </is>
      </c>
      <c r="C84" s="13" t="inlineStr">
        <is>
          <t>STR-078</t>
        </is>
      </c>
      <c r="D84" s="13" t="inlineStr">
        <is>
          <t>Typical 4th-8th floor beams (sheet 1 of 2)</t>
        </is>
      </c>
      <c r="E84" s="19" t="inlineStr">
        <is>
          <t>1001</t>
        </is>
      </c>
      <c r="F84" s="19" t="n">
        <v>10</v>
      </c>
      <c r="G84" s="19" t="n">
        <v>1</v>
      </c>
      <c r="H84" s="19" t="n">
        <v>876</v>
      </c>
      <c r="I84" s="13">
        <f>G84*H84</f>
        <v>876.0</v>
      </c>
      <c r="J84" s="20">
        <f>1700/1000</f>
        <v>1.7</v>
      </c>
      <c r="K84" s="21">
        <f>I84*J84</f>
        <v>1489.2</v>
      </c>
      <c r="L84" s="22">
        <f>F84^2/162</f>
        <v>0.6172839506172839</v>
      </c>
      <c r="M84" s="21">
        <f>K84*L84</f>
        <v>919.2592592592592</v>
      </c>
      <c r="N84" s="22">
        <f>M84/1000</f>
        <v>0.9192592592592592</v>
      </c>
      <c r="O84" s="13" t="inlineStr">
        <is>
          <t>BBS</t>
        </is>
      </c>
    </row>
    <row r="85">
      <c r="A85" s="13" t="n">
        <v>80</v>
      </c>
      <c r="B85" s="13" t="inlineStr">
        <is>
          <t>Beams</t>
        </is>
      </c>
      <c r="C85" s="13" t="inlineStr">
        <is>
          <t>STR-078</t>
        </is>
      </c>
      <c r="D85" s="13" t="inlineStr">
        <is>
          <t>Typical 4th-8th floor beams (sheet 1 of 2)</t>
        </is>
      </c>
      <c r="E85" s="19" t="inlineStr">
        <is>
          <t>1002</t>
        </is>
      </c>
      <c r="F85" s="19" t="n">
        <v>10</v>
      </c>
      <c r="G85" s="19" t="n">
        <v>1</v>
      </c>
      <c r="H85" s="19" t="n">
        <v>270</v>
      </c>
      <c r="I85" s="13">
        <f>G85*H85</f>
        <v>270.0</v>
      </c>
      <c r="J85" s="20">
        <f>1500/1000</f>
        <v>1.5</v>
      </c>
      <c r="K85" s="21">
        <f>I85*J85</f>
        <v>405.0</v>
      </c>
      <c r="L85" s="22">
        <f>F85^2/162</f>
        <v>0.6172839506172839</v>
      </c>
      <c r="M85" s="21">
        <f>K85*L85</f>
        <v>250.0</v>
      </c>
      <c r="N85" s="22">
        <f>M85/1000</f>
        <v>0.25</v>
      </c>
      <c r="O85" s="13" t="inlineStr">
        <is>
          <t>BBS</t>
        </is>
      </c>
    </row>
    <row r="86">
      <c r="A86" s="13" t="n">
        <v>81</v>
      </c>
      <c r="B86" s="13" t="inlineStr">
        <is>
          <t>Beams</t>
        </is>
      </c>
      <c r="C86" s="13" t="inlineStr">
        <is>
          <t>STR-078</t>
        </is>
      </c>
      <c r="D86" s="13" t="inlineStr">
        <is>
          <t>Typical 4th-8th floor beams (sheet 1 of 2)</t>
        </is>
      </c>
      <c r="E86" s="19" t="inlineStr">
        <is>
          <t>1601</t>
        </is>
      </c>
      <c r="F86" s="19" t="n">
        <v>16</v>
      </c>
      <c r="G86" s="19" t="n">
        <v>1</v>
      </c>
      <c r="H86" s="19" t="n">
        <v>12</v>
      </c>
      <c r="I86" s="13">
        <f>G86*H86</f>
        <v>12.0</v>
      </c>
      <c r="J86" s="20">
        <f>12000/1000</f>
        <v>12.0</v>
      </c>
      <c r="K86" s="21">
        <f>I86*J86</f>
        <v>144.0</v>
      </c>
      <c r="L86" s="22">
        <f>F86^2/162</f>
        <v>1.5802469135802468</v>
      </c>
      <c r="M86" s="21">
        <f>K86*L86</f>
        <v>227.55555555555554</v>
      </c>
      <c r="N86" s="22">
        <f>M86/1000</f>
        <v>0.22755555555555554</v>
      </c>
      <c r="O86" s="13" t="inlineStr">
        <is>
          <t>BBS</t>
        </is>
      </c>
    </row>
    <row r="87">
      <c r="A87" s="13" t="n">
        <v>82</v>
      </c>
      <c r="B87" s="13" t="inlineStr">
        <is>
          <t>Beams</t>
        </is>
      </c>
      <c r="C87" s="13" t="inlineStr">
        <is>
          <t>STR-078</t>
        </is>
      </c>
      <c r="D87" s="13" t="inlineStr">
        <is>
          <t>Typical 4th-8th floor beams (sheet 1 of 2)</t>
        </is>
      </c>
      <c r="E87" s="19" t="inlineStr">
        <is>
          <t>1602</t>
        </is>
      </c>
      <c r="F87" s="19" t="n">
        <v>16</v>
      </c>
      <c r="G87" s="19" t="n">
        <v>1</v>
      </c>
      <c r="H87" s="19" t="n">
        <v>2</v>
      </c>
      <c r="I87" s="13">
        <f>G87*H87</f>
        <v>2.0</v>
      </c>
      <c r="J87" s="20">
        <f>7275/1000</f>
        <v>7.275</v>
      </c>
      <c r="K87" s="21">
        <f>I87*J87</f>
        <v>14.55</v>
      </c>
      <c r="L87" s="22">
        <f>F87^2/162</f>
        <v>1.5802469135802468</v>
      </c>
      <c r="M87" s="21">
        <f>K87*L87</f>
        <v>22.992592592592594</v>
      </c>
      <c r="N87" s="22">
        <f>M87/1000</f>
        <v>0.022992592592592592</v>
      </c>
      <c r="O87" s="13" t="inlineStr">
        <is>
          <t>BBS</t>
        </is>
      </c>
    </row>
    <row r="88">
      <c r="A88" s="13" t="n">
        <v>83</v>
      </c>
      <c r="B88" s="13" t="inlineStr">
        <is>
          <t>Beams</t>
        </is>
      </c>
      <c r="C88" s="13" t="inlineStr">
        <is>
          <t>STR-078</t>
        </is>
      </c>
      <c r="D88" s="13" t="inlineStr">
        <is>
          <t>Typical 4th-8th floor beams (sheet 1 of 2)</t>
        </is>
      </c>
      <c r="E88" s="19" t="inlineStr">
        <is>
          <t>1603</t>
        </is>
      </c>
      <c r="F88" s="19" t="n">
        <v>16</v>
      </c>
      <c r="G88" s="19" t="n">
        <v>1</v>
      </c>
      <c r="H88" s="19" t="n">
        <v>4</v>
      </c>
      <c r="I88" s="13">
        <f>G88*H88</f>
        <v>4.0</v>
      </c>
      <c r="J88" s="20">
        <f>7850/1000</f>
        <v>7.85</v>
      </c>
      <c r="K88" s="21">
        <f>I88*J88</f>
        <v>31.4</v>
      </c>
      <c r="L88" s="22">
        <f>F88^2/162</f>
        <v>1.5802469135802468</v>
      </c>
      <c r="M88" s="21">
        <f>K88*L88</f>
        <v>49.61975308641975</v>
      </c>
      <c r="N88" s="22">
        <f>M88/1000</f>
        <v>0.04961975308641975</v>
      </c>
      <c r="O88" s="13" t="inlineStr">
        <is>
          <t>BBS</t>
        </is>
      </c>
    </row>
    <row r="89">
      <c r="A89" s="13" t="n">
        <v>84</v>
      </c>
      <c r="B89" s="13" t="inlineStr">
        <is>
          <t>Beams</t>
        </is>
      </c>
      <c r="C89" s="13" t="inlineStr">
        <is>
          <t>STR-078</t>
        </is>
      </c>
      <c r="D89" s="13" t="inlineStr">
        <is>
          <t>Typical 4th-8th floor beams (sheet 1 of 2)</t>
        </is>
      </c>
      <c r="E89" s="19" t="inlineStr">
        <is>
          <t>1604</t>
        </is>
      </c>
      <c r="F89" s="19" t="n">
        <v>16</v>
      </c>
      <c r="G89" s="19" t="n">
        <v>1</v>
      </c>
      <c r="H89" s="19" t="n">
        <v>4</v>
      </c>
      <c r="I89" s="13">
        <f>G89*H89</f>
        <v>4.0</v>
      </c>
      <c r="J89" s="20">
        <f>7400/1000</f>
        <v>7.4</v>
      </c>
      <c r="K89" s="21">
        <f>I89*J89</f>
        <v>29.6</v>
      </c>
      <c r="L89" s="22">
        <f>F89^2/162</f>
        <v>1.5802469135802468</v>
      </c>
      <c r="M89" s="21">
        <f>K89*L89</f>
        <v>46.77530864197531</v>
      </c>
      <c r="N89" s="22">
        <f>M89/1000</f>
        <v>0.04677530864197531</v>
      </c>
      <c r="O89" s="13" t="inlineStr">
        <is>
          <t>BBS</t>
        </is>
      </c>
    </row>
    <row r="90">
      <c r="A90" s="13" t="n">
        <v>85</v>
      </c>
      <c r="B90" s="13" t="inlineStr">
        <is>
          <t>Beams</t>
        </is>
      </c>
      <c r="C90" s="13" t="inlineStr">
        <is>
          <t>STR-078</t>
        </is>
      </c>
      <c r="D90" s="13" t="inlineStr">
        <is>
          <t>Typical 4th-8th floor beams (sheet 1 of 2)</t>
        </is>
      </c>
      <c r="E90" s="19" t="inlineStr">
        <is>
          <t>1605</t>
        </is>
      </c>
      <c r="F90" s="19" t="n">
        <v>16</v>
      </c>
      <c r="G90" s="19" t="n">
        <v>1</v>
      </c>
      <c r="H90" s="19" t="n">
        <v>3</v>
      </c>
      <c r="I90" s="13">
        <f>G90*H90</f>
        <v>3.0</v>
      </c>
      <c r="J90" s="20">
        <f>8900/1000</f>
        <v>8.9</v>
      </c>
      <c r="K90" s="21">
        <f>I90*J90</f>
        <v>26.700000000000003</v>
      </c>
      <c r="L90" s="22">
        <f>F90^2/162</f>
        <v>1.5802469135802468</v>
      </c>
      <c r="M90" s="21">
        <f>K90*L90</f>
        <v>42.1925925925926</v>
      </c>
      <c r="N90" s="22">
        <f>M90/1000</f>
        <v>0.042192592592592594</v>
      </c>
      <c r="O90" s="13" t="inlineStr">
        <is>
          <t>BBS</t>
        </is>
      </c>
    </row>
    <row r="91">
      <c r="A91" s="13" t="n">
        <v>86</v>
      </c>
      <c r="B91" s="13" t="inlineStr">
        <is>
          <t>Beams</t>
        </is>
      </c>
      <c r="C91" s="13" t="inlineStr">
        <is>
          <t>STR-078</t>
        </is>
      </c>
      <c r="D91" s="13" t="inlineStr">
        <is>
          <t>Typical 4th-8th floor beams (sheet 1 of 2)</t>
        </is>
      </c>
      <c r="E91" s="19" t="inlineStr">
        <is>
          <t>1606</t>
        </is>
      </c>
      <c r="F91" s="19" t="n">
        <v>16</v>
      </c>
      <c r="G91" s="19" t="n">
        <v>1</v>
      </c>
      <c r="H91" s="19" t="n">
        <v>3</v>
      </c>
      <c r="I91" s="13">
        <f>G91*H91</f>
        <v>3.0</v>
      </c>
      <c r="J91" s="20">
        <f>5600/1000</f>
        <v>5.6</v>
      </c>
      <c r="K91" s="21">
        <f>I91*J91</f>
        <v>16.799999999999997</v>
      </c>
      <c r="L91" s="22">
        <f>F91^2/162</f>
        <v>1.5802469135802468</v>
      </c>
      <c r="M91" s="21">
        <f>K91*L91</f>
        <v>26.548148148148144</v>
      </c>
      <c r="N91" s="22">
        <f>M91/1000</f>
        <v>0.026548148148148144</v>
      </c>
      <c r="O91" s="13" t="inlineStr">
        <is>
          <t>BBS</t>
        </is>
      </c>
    </row>
    <row r="92">
      <c r="A92" s="13" t="n">
        <v>87</v>
      </c>
      <c r="B92" s="13" t="inlineStr">
        <is>
          <t>Beams</t>
        </is>
      </c>
      <c r="C92" s="13" t="inlineStr">
        <is>
          <t>STR-078</t>
        </is>
      </c>
      <c r="D92" s="13" t="inlineStr">
        <is>
          <t>Typical 4th-8th floor beams (sheet 1 of 2)</t>
        </is>
      </c>
      <c r="E92" s="19" t="inlineStr">
        <is>
          <t>1607</t>
        </is>
      </c>
      <c r="F92" s="19" t="n">
        <v>16</v>
      </c>
      <c r="G92" s="19" t="n">
        <v>1</v>
      </c>
      <c r="H92" s="19" t="n">
        <v>3</v>
      </c>
      <c r="I92" s="13">
        <f>G92*H92</f>
        <v>3.0</v>
      </c>
      <c r="J92" s="20">
        <f>9300/1000</f>
        <v>9.3</v>
      </c>
      <c r="K92" s="21">
        <f>I92*J92</f>
        <v>27.900000000000002</v>
      </c>
      <c r="L92" s="22">
        <f>F92^2/162</f>
        <v>1.5802469135802468</v>
      </c>
      <c r="M92" s="21">
        <f>K92*L92</f>
        <v>44.08888888888889</v>
      </c>
      <c r="N92" s="22">
        <f>M92/1000</f>
        <v>0.044088888888888886</v>
      </c>
      <c r="O92" s="13" t="inlineStr">
        <is>
          <t>BBS</t>
        </is>
      </c>
    </row>
    <row r="93">
      <c r="A93" s="13" t="n">
        <v>88</v>
      </c>
      <c r="B93" s="13" t="inlineStr">
        <is>
          <t>Beams</t>
        </is>
      </c>
      <c r="C93" s="13" t="inlineStr">
        <is>
          <t>STR-078</t>
        </is>
      </c>
      <c r="D93" s="13" t="inlineStr">
        <is>
          <t>Typical 4th-8th floor beams (sheet 1 of 2)</t>
        </is>
      </c>
      <c r="E93" s="19" t="inlineStr">
        <is>
          <t>1608</t>
        </is>
      </c>
      <c r="F93" s="19" t="n">
        <v>16</v>
      </c>
      <c r="G93" s="19" t="n">
        <v>1</v>
      </c>
      <c r="H93" s="19" t="n">
        <v>4</v>
      </c>
      <c r="I93" s="13">
        <f>G93*H93</f>
        <v>4.0</v>
      </c>
      <c r="J93" s="20">
        <f>10300/1000</f>
        <v>10.3</v>
      </c>
      <c r="K93" s="21">
        <f>I93*J93</f>
        <v>41.2</v>
      </c>
      <c r="L93" s="22">
        <f>F93^2/162</f>
        <v>1.5802469135802468</v>
      </c>
      <c r="M93" s="21">
        <f>K93*L93</f>
        <v>65.10617283950617</v>
      </c>
      <c r="N93" s="22">
        <f>M93/1000</f>
        <v>0.06510617283950618</v>
      </c>
      <c r="O93" s="13" t="inlineStr">
        <is>
          <t>BBS</t>
        </is>
      </c>
    </row>
    <row r="94">
      <c r="A94" s="13" t="n">
        <v>89</v>
      </c>
      <c r="B94" s="13" t="inlineStr">
        <is>
          <t>Beams</t>
        </is>
      </c>
      <c r="C94" s="13" t="inlineStr">
        <is>
          <t>STR-078</t>
        </is>
      </c>
      <c r="D94" s="13" t="inlineStr">
        <is>
          <t>Typical 4th-8th floor beams (sheet 1 of 2)</t>
        </is>
      </c>
      <c r="E94" s="19" t="inlineStr">
        <is>
          <t>1609</t>
        </is>
      </c>
      <c r="F94" s="19" t="n">
        <v>16</v>
      </c>
      <c r="G94" s="19" t="n">
        <v>1</v>
      </c>
      <c r="H94" s="19" t="n">
        <v>2</v>
      </c>
      <c r="I94" s="13">
        <f>G94*H94</f>
        <v>2.0</v>
      </c>
      <c r="J94" s="20">
        <f>10850/1000</f>
        <v>10.85</v>
      </c>
      <c r="K94" s="21">
        <f>I94*J94</f>
        <v>21.7</v>
      </c>
      <c r="L94" s="22">
        <f>F94^2/162</f>
        <v>1.5802469135802468</v>
      </c>
      <c r="M94" s="21">
        <f>K94*L94</f>
        <v>34.291358024691355</v>
      </c>
      <c r="N94" s="22">
        <f>M94/1000</f>
        <v>0.034291358024691354</v>
      </c>
      <c r="O94" s="13" t="inlineStr">
        <is>
          <t>BBS</t>
        </is>
      </c>
    </row>
    <row r="95">
      <c r="A95" s="13" t="n">
        <v>90</v>
      </c>
      <c r="B95" s="13" t="inlineStr">
        <is>
          <t>Beams</t>
        </is>
      </c>
      <c r="C95" s="13" t="inlineStr">
        <is>
          <t>STR-078</t>
        </is>
      </c>
      <c r="D95" s="13" t="inlineStr">
        <is>
          <t>Typical 4th-8th floor beams (sheet 1 of 2)</t>
        </is>
      </c>
      <c r="E95" s="19" t="inlineStr">
        <is>
          <t>1610</t>
        </is>
      </c>
      <c r="F95" s="19" t="n">
        <v>16</v>
      </c>
      <c r="G95" s="19" t="n">
        <v>1</v>
      </c>
      <c r="H95" s="19" t="n">
        <v>2</v>
      </c>
      <c r="I95" s="13">
        <f>G95*H95</f>
        <v>2.0</v>
      </c>
      <c r="J95" s="20">
        <f>8000/1000</f>
        <v>8.0</v>
      </c>
      <c r="K95" s="21">
        <f>I95*J95</f>
        <v>16.0</v>
      </c>
      <c r="L95" s="22">
        <f>F95^2/162</f>
        <v>1.5802469135802468</v>
      </c>
      <c r="M95" s="21">
        <f>K95*L95</f>
        <v>25.28395061728395</v>
      </c>
      <c r="N95" s="22">
        <f>M95/1000</f>
        <v>0.02528395061728395</v>
      </c>
      <c r="O95" s="13" t="inlineStr">
        <is>
          <t>BBS</t>
        </is>
      </c>
    </row>
    <row r="96">
      <c r="A96" s="13" t="n">
        <v>91</v>
      </c>
      <c r="B96" s="13" t="inlineStr">
        <is>
          <t>Beams</t>
        </is>
      </c>
      <c r="C96" s="13" t="inlineStr">
        <is>
          <t>STR-078</t>
        </is>
      </c>
      <c r="D96" s="13" t="inlineStr">
        <is>
          <t>Typical 4th-8th floor beams (sheet 1 of 2)</t>
        </is>
      </c>
      <c r="E96" s="19" t="inlineStr">
        <is>
          <t>1611</t>
        </is>
      </c>
      <c r="F96" s="19" t="n">
        <v>16</v>
      </c>
      <c r="G96" s="19" t="n">
        <v>1</v>
      </c>
      <c r="H96" s="19" t="n">
        <v>2</v>
      </c>
      <c r="I96" s="13">
        <f>G96*H96</f>
        <v>2.0</v>
      </c>
      <c r="J96" s="20">
        <f>11675/1000</f>
        <v>11.675</v>
      </c>
      <c r="K96" s="21">
        <f>I96*J96</f>
        <v>23.35</v>
      </c>
      <c r="L96" s="22">
        <f>F96^2/162</f>
        <v>1.5802469135802468</v>
      </c>
      <c r="M96" s="21">
        <f>K96*L96</f>
        <v>36.89876543209876</v>
      </c>
      <c r="N96" s="22">
        <f>M96/1000</f>
        <v>0.03689876543209876</v>
      </c>
      <c r="O96" s="13" t="inlineStr">
        <is>
          <t>BBS</t>
        </is>
      </c>
    </row>
    <row r="97">
      <c r="A97" s="13" t="n">
        <v>92</v>
      </c>
      <c r="B97" s="13" t="inlineStr">
        <is>
          <t>Beams</t>
        </is>
      </c>
      <c r="C97" s="13" t="inlineStr">
        <is>
          <t>STR-078</t>
        </is>
      </c>
      <c r="D97" s="13" t="inlineStr">
        <is>
          <t>Typical 4th-8th floor beams (sheet 1 of 2)</t>
        </is>
      </c>
      <c r="E97" s="19" t="inlineStr">
        <is>
          <t>1612</t>
        </is>
      </c>
      <c r="F97" s="19" t="n">
        <v>16</v>
      </c>
      <c r="G97" s="19" t="n">
        <v>1</v>
      </c>
      <c r="H97" s="19" t="n">
        <v>2</v>
      </c>
      <c r="I97" s="13">
        <f>G97*H97</f>
        <v>2.0</v>
      </c>
      <c r="J97" s="20">
        <f>7525/1000</f>
        <v>7.525</v>
      </c>
      <c r="K97" s="21">
        <f>I97*J97</f>
        <v>15.05</v>
      </c>
      <c r="L97" s="22">
        <f>F97^2/162</f>
        <v>1.5802469135802468</v>
      </c>
      <c r="M97" s="21">
        <f>K97*L97</f>
        <v>23.782716049382717</v>
      </c>
      <c r="N97" s="22">
        <f>M97/1000</f>
        <v>0.023782716049382716</v>
      </c>
      <c r="O97" s="13" t="inlineStr">
        <is>
          <t>BBS</t>
        </is>
      </c>
    </row>
    <row r="98">
      <c r="A98" s="13" t="n">
        <v>93</v>
      </c>
      <c r="B98" s="13" t="inlineStr">
        <is>
          <t>Beams</t>
        </is>
      </c>
      <c r="C98" s="13" t="inlineStr">
        <is>
          <t>STR-078</t>
        </is>
      </c>
      <c r="D98" s="13" t="inlineStr">
        <is>
          <t>Typical 4th-8th floor beams (sheet 1 of 2)</t>
        </is>
      </c>
      <c r="E98" s="19" t="inlineStr">
        <is>
          <t>2001</t>
        </is>
      </c>
      <c r="F98" s="19" t="n">
        <v>20</v>
      </c>
      <c r="G98" s="19" t="n">
        <v>1</v>
      </c>
      <c r="H98" s="19" t="n">
        <v>3</v>
      </c>
      <c r="I98" s="13">
        <f>G98*H98</f>
        <v>3.0</v>
      </c>
      <c r="J98" s="20">
        <f>11100/1000</f>
        <v>11.1</v>
      </c>
      <c r="K98" s="21">
        <f>I98*J98</f>
        <v>33.3</v>
      </c>
      <c r="L98" s="22">
        <f>F98^2/162</f>
        <v>2.4691358024691357</v>
      </c>
      <c r="M98" s="21">
        <f>K98*L98</f>
        <v>82.22222222222221</v>
      </c>
      <c r="N98" s="22">
        <f>M98/1000</f>
        <v>0.08222222222222221</v>
      </c>
      <c r="O98" s="13" t="inlineStr">
        <is>
          <t>BBS</t>
        </is>
      </c>
    </row>
    <row r="99">
      <c r="A99" s="13" t="n">
        <v>94</v>
      </c>
      <c r="B99" s="13" t="inlineStr">
        <is>
          <t>Beams</t>
        </is>
      </c>
      <c r="C99" s="13" t="inlineStr">
        <is>
          <t>STR-078</t>
        </is>
      </c>
      <c r="D99" s="13" t="inlineStr">
        <is>
          <t>Typical 4th-8th floor beams (sheet 1 of 2)</t>
        </is>
      </c>
      <c r="E99" s="19" t="inlineStr">
        <is>
          <t>2002</t>
        </is>
      </c>
      <c r="F99" s="19" t="n">
        <v>20</v>
      </c>
      <c r="G99" s="19" t="n">
        <v>1</v>
      </c>
      <c r="H99" s="19" t="n">
        <v>3</v>
      </c>
      <c r="I99" s="13">
        <f>G99*H99</f>
        <v>3.0</v>
      </c>
      <c r="J99" s="20">
        <f>9300/1000</f>
        <v>9.3</v>
      </c>
      <c r="K99" s="21">
        <f>I99*J99</f>
        <v>27.900000000000002</v>
      </c>
      <c r="L99" s="22">
        <f>F99^2/162</f>
        <v>2.4691358024691357</v>
      </c>
      <c r="M99" s="21">
        <f>K99*L99</f>
        <v>68.88888888888889</v>
      </c>
      <c r="N99" s="22">
        <f>M99/1000</f>
        <v>0.06888888888888889</v>
      </c>
      <c r="O99" s="13" t="inlineStr">
        <is>
          <t>BBS</t>
        </is>
      </c>
    </row>
    <row r="100">
      <c r="A100" s="13" t="n">
        <v>95</v>
      </c>
      <c r="B100" s="13" t="inlineStr">
        <is>
          <t>Beams</t>
        </is>
      </c>
      <c r="C100" s="13" t="inlineStr">
        <is>
          <t>STR-078</t>
        </is>
      </c>
      <c r="D100" s="13" t="inlineStr">
        <is>
          <t>Typical 4th-8th floor beams (sheet 1 of 2)</t>
        </is>
      </c>
      <c r="E100" s="19" t="inlineStr">
        <is>
          <t>2003</t>
        </is>
      </c>
      <c r="F100" s="19" t="n">
        <v>20</v>
      </c>
      <c r="G100" s="19" t="n">
        <v>1</v>
      </c>
      <c r="H100" s="19" t="n">
        <v>3</v>
      </c>
      <c r="I100" s="13">
        <f>G100*H100</f>
        <v>3.0</v>
      </c>
      <c r="J100" s="20">
        <f>12000/1000</f>
        <v>12.0</v>
      </c>
      <c r="K100" s="21">
        <f>I100*J100</f>
        <v>36.0</v>
      </c>
      <c r="L100" s="22">
        <f>F100^2/162</f>
        <v>2.4691358024691357</v>
      </c>
      <c r="M100" s="21">
        <f>K100*L100</f>
        <v>88.88888888888889</v>
      </c>
      <c r="N100" s="22">
        <f>M100/1000</f>
        <v>0.08888888888888889</v>
      </c>
      <c r="O100" s="13" t="inlineStr">
        <is>
          <t>BBS</t>
        </is>
      </c>
    </row>
    <row r="101">
      <c r="A101" s="13" t="n">
        <v>96</v>
      </c>
      <c r="B101" s="13" t="inlineStr">
        <is>
          <t>Beams</t>
        </is>
      </c>
      <c r="C101" s="13" t="inlineStr">
        <is>
          <t>STR-078</t>
        </is>
      </c>
      <c r="D101" s="13" t="inlineStr">
        <is>
          <t>Typical 4th-8th floor beams (sheet 1 of 2)</t>
        </is>
      </c>
      <c r="E101" s="19" t="inlineStr">
        <is>
          <t>2004</t>
        </is>
      </c>
      <c r="F101" s="19" t="n">
        <v>20</v>
      </c>
      <c r="G101" s="19" t="n">
        <v>1</v>
      </c>
      <c r="H101" s="19" t="n">
        <v>3</v>
      </c>
      <c r="I101" s="13">
        <f>G101*H101</f>
        <v>3.0</v>
      </c>
      <c r="J101" s="20">
        <f>7000/1000</f>
        <v>7.0</v>
      </c>
      <c r="K101" s="21">
        <f>I101*J101</f>
        <v>21.0</v>
      </c>
      <c r="L101" s="22">
        <f>F101^2/162</f>
        <v>2.4691358024691357</v>
      </c>
      <c r="M101" s="21">
        <f>K101*L101</f>
        <v>51.85185185185185</v>
      </c>
      <c r="N101" s="22">
        <f>M101/1000</f>
        <v>0.05185185185185185</v>
      </c>
      <c r="O101" s="13" t="inlineStr">
        <is>
          <t>BBS</t>
        </is>
      </c>
    </row>
    <row r="102">
      <c r="A102" s="13" t="n">
        <v>97</v>
      </c>
      <c r="B102" s="13" t="inlineStr">
        <is>
          <t>Beams</t>
        </is>
      </c>
      <c r="C102" s="13" t="inlineStr">
        <is>
          <t>STR-078</t>
        </is>
      </c>
      <c r="D102" s="13" t="inlineStr">
        <is>
          <t>Typical 4th-8th floor beams (sheet 1 of 2)</t>
        </is>
      </c>
      <c r="E102" s="19" t="inlineStr">
        <is>
          <t>2005</t>
        </is>
      </c>
      <c r="F102" s="19" t="n">
        <v>20</v>
      </c>
      <c r="G102" s="19" t="n">
        <v>1</v>
      </c>
      <c r="H102" s="19" t="n">
        <v>6</v>
      </c>
      <c r="I102" s="13">
        <f>G102*H102</f>
        <v>6.0</v>
      </c>
      <c r="J102" s="20">
        <f>9300/1000</f>
        <v>9.3</v>
      </c>
      <c r="K102" s="21">
        <f>I102*J102</f>
        <v>55.800000000000004</v>
      </c>
      <c r="L102" s="22">
        <f>F102^2/162</f>
        <v>2.4691358024691357</v>
      </c>
      <c r="M102" s="21">
        <f>K102*L102</f>
        <v>137.77777777777777</v>
      </c>
      <c r="N102" s="22">
        <f>M102/1000</f>
        <v>0.13777777777777778</v>
      </c>
      <c r="O102" s="13" t="inlineStr">
        <is>
          <t>BBS</t>
        </is>
      </c>
    </row>
    <row r="103">
      <c r="A103" s="13" t="n">
        <v>98</v>
      </c>
      <c r="B103" s="13" t="inlineStr">
        <is>
          <t>Beams</t>
        </is>
      </c>
      <c r="C103" s="13" t="inlineStr">
        <is>
          <t>STR-078</t>
        </is>
      </c>
      <c r="D103" s="13" t="inlineStr">
        <is>
          <t>Typical 4th-8th floor beams (sheet 1 of 2)</t>
        </is>
      </c>
      <c r="E103" s="19" t="inlineStr">
        <is>
          <t>2006</t>
        </is>
      </c>
      <c r="F103" s="19" t="n">
        <v>20</v>
      </c>
      <c r="G103" s="19" t="n">
        <v>1</v>
      </c>
      <c r="H103" s="19" t="n">
        <v>3</v>
      </c>
      <c r="I103" s="13">
        <f>G103*H103</f>
        <v>3.0</v>
      </c>
      <c r="J103" s="20">
        <f>9000/1000</f>
        <v>9.0</v>
      </c>
      <c r="K103" s="21">
        <f>I103*J103</f>
        <v>27.0</v>
      </c>
      <c r="L103" s="22">
        <f>F103^2/162</f>
        <v>2.4691358024691357</v>
      </c>
      <c r="M103" s="21">
        <f>K103*L103</f>
        <v>66.66666666666666</v>
      </c>
      <c r="N103" s="22">
        <f>M103/1000</f>
        <v>0.06666666666666665</v>
      </c>
      <c r="O103" s="13" t="inlineStr">
        <is>
          <t>BBS</t>
        </is>
      </c>
    </row>
    <row r="104">
      <c r="A104" s="13" t="n">
        <v>99</v>
      </c>
      <c r="B104" s="13" t="inlineStr">
        <is>
          <t>Beams</t>
        </is>
      </c>
      <c r="C104" s="13" t="inlineStr">
        <is>
          <t>STR-078</t>
        </is>
      </c>
      <c r="D104" s="13" t="inlineStr">
        <is>
          <t>Typical 4th-8th floor beams (sheet 1 of 2)</t>
        </is>
      </c>
      <c r="E104" s="19" t="inlineStr">
        <is>
          <t>2007</t>
        </is>
      </c>
      <c r="F104" s="19" t="n">
        <v>20</v>
      </c>
      <c r="G104" s="19" t="n">
        <v>1</v>
      </c>
      <c r="H104" s="19" t="n">
        <v>5</v>
      </c>
      <c r="I104" s="13">
        <f>G104*H104</f>
        <v>5.0</v>
      </c>
      <c r="J104" s="20">
        <f>11750/1000</f>
        <v>11.75</v>
      </c>
      <c r="K104" s="21">
        <f>I104*J104</f>
        <v>58.75</v>
      </c>
      <c r="L104" s="22">
        <f>F104^2/162</f>
        <v>2.4691358024691357</v>
      </c>
      <c r="M104" s="21">
        <f>K104*L104</f>
        <v>145.06172839506172</v>
      </c>
      <c r="N104" s="22">
        <f>M104/1000</f>
        <v>0.14506172839506173</v>
      </c>
      <c r="O104" s="13" t="inlineStr">
        <is>
          <t>BBS</t>
        </is>
      </c>
    </row>
    <row r="105">
      <c r="A105" s="13" t="n">
        <v>100</v>
      </c>
      <c r="B105" s="13" t="inlineStr">
        <is>
          <t>Beams</t>
        </is>
      </c>
      <c r="C105" s="13" t="inlineStr">
        <is>
          <t>STR-078</t>
        </is>
      </c>
      <c r="D105" s="13" t="inlineStr">
        <is>
          <t>Typical 4th-8th floor beams (sheet 1 of 2)</t>
        </is>
      </c>
      <c r="E105" s="19" t="inlineStr">
        <is>
          <t>2008</t>
        </is>
      </c>
      <c r="F105" s="19" t="n">
        <v>20</v>
      </c>
      <c r="G105" s="19" t="n">
        <v>1</v>
      </c>
      <c r="H105" s="19" t="n">
        <v>5</v>
      </c>
      <c r="I105" s="13">
        <f>G105*H105</f>
        <v>5.0</v>
      </c>
      <c r="J105" s="20">
        <f>7300/1000</f>
        <v>7.3</v>
      </c>
      <c r="K105" s="21">
        <f>I105*J105</f>
        <v>36.5</v>
      </c>
      <c r="L105" s="22">
        <f>F105^2/162</f>
        <v>2.4691358024691357</v>
      </c>
      <c r="M105" s="21">
        <f>K105*L105</f>
        <v>90.12345679012346</v>
      </c>
      <c r="N105" s="22">
        <f>M105/1000</f>
        <v>0.09012345679012346</v>
      </c>
      <c r="O105" s="13" t="inlineStr">
        <is>
          <t>BBS</t>
        </is>
      </c>
    </row>
    <row r="106">
      <c r="A106" s="13" t="n">
        <v>101</v>
      </c>
      <c r="B106" s="13" t="inlineStr">
        <is>
          <t>Beams</t>
        </is>
      </c>
      <c r="C106" s="13" t="inlineStr">
        <is>
          <t>STR-078</t>
        </is>
      </c>
      <c r="D106" s="13" t="inlineStr">
        <is>
          <t>Typical 4th-8th floor beams (sheet 1 of 2)</t>
        </is>
      </c>
      <c r="E106" s="19" t="inlineStr">
        <is>
          <t>2009</t>
        </is>
      </c>
      <c r="F106" s="19" t="n">
        <v>20</v>
      </c>
      <c r="G106" s="19" t="n">
        <v>1</v>
      </c>
      <c r="H106" s="19" t="n">
        <v>10</v>
      </c>
      <c r="I106" s="13">
        <f>G106*H106</f>
        <v>10.0</v>
      </c>
      <c r="J106" s="20">
        <f>9600/1000</f>
        <v>9.6</v>
      </c>
      <c r="K106" s="21">
        <f>I106*J106</f>
        <v>96.0</v>
      </c>
      <c r="L106" s="22">
        <f>F106^2/162</f>
        <v>2.4691358024691357</v>
      </c>
      <c r="M106" s="21">
        <f>K106*L106</f>
        <v>237.037037037037</v>
      </c>
      <c r="N106" s="22">
        <f>M106/1000</f>
        <v>0.23703703703703702</v>
      </c>
      <c r="O106" s="13" t="inlineStr">
        <is>
          <t>BBS</t>
        </is>
      </c>
    </row>
    <row r="107">
      <c r="A107" s="13" t="n">
        <v>102</v>
      </c>
      <c r="B107" s="13" t="inlineStr">
        <is>
          <t>Beams</t>
        </is>
      </c>
      <c r="C107" s="13" t="inlineStr">
        <is>
          <t>STR-078</t>
        </is>
      </c>
      <c r="D107" s="13" t="inlineStr">
        <is>
          <t>Typical 4th-8th floor beams (sheet 1 of 2)</t>
        </is>
      </c>
      <c r="E107" s="19" t="inlineStr">
        <is>
          <t>2010</t>
        </is>
      </c>
      <c r="F107" s="19" t="n">
        <v>20</v>
      </c>
      <c r="G107" s="19" t="n">
        <v>1</v>
      </c>
      <c r="H107" s="19" t="n">
        <v>5</v>
      </c>
      <c r="I107" s="13">
        <f>G107*H107</f>
        <v>5.0</v>
      </c>
      <c r="J107" s="20">
        <f>11900/1000</f>
        <v>11.9</v>
      </c>
      <c r="K107" s="21">
        <f>I107*J107</f>
        <v>59.5</v>
      </c>
      <c r="L107" s="22">
        <f>F107^2/162</f>
        <v>2.4691358024691357</v>
      </c>
      <c r="M107" s="21">
        <f>K107*L107</f>
        <v>146.91358024691357</v>
      </c>
      <c r="N107" s="22">
        <f>M107/1000</f>
        <v>0.14691358024691356</v>
      </c>
      <c r="O107" s="13" t="inlineStr">
        <is>
          <t>BBS</t>
        </is>
      </c>
    </row>
    <row r="108">
      <c r="A108" s="13" t="n">
        <v>103</v>
      </c>
      <c r="B108" s="13" t="inlineStr">
        <is>
          <t>Beams</t>
        </is>
      </c>
      <c r="C108" s="13" t="inlineStr">
        <is>
          <t>STR-078</t>
        </is>
      </c>
      <c r="D108" s="13" t="inlineStr">
        <is>
          <t>Typical 4th-8th floor beams (sheet 1 of 2)</t>
        </is>
      </c>
      <c r="E108" s="19" t="inlineStr">
        <is>
          <t>2011</t>
        </is>
      </c>
      <c r="F108" s="19" t="n">
        <v>20</v>
      </c>
      <c r="G108" s="19" t="n">
        <v>1</v>
      </c>
      <c r="H108" s="19" t="n">
        <v>4</v>
      </c>
      <c r="I108" s="13">
        <f>G108*H108</f>
        <v>4.0</v>
      </c>
      <c r="J108" s="20">
        <f>11800/1000</f>
        <v>11.8</v>
      </c>
      <c r="K108" s="21">
        <f>I108*J108</f>
        <v>47.2</v>
      </c>
      <c r="L108" s="22">
        <f>F108^2/162</f>
        <v>2.4691358024691357</v>
      </c>
      <c r="M108" s="21">
        <f>K108*L108</f>
        <v>116.54320987654322</v>
      </c>
      <c r="N108" s="22">
        <f>M108/1000</f>
        <v>0.11654320987654322</v>
      </c>
      <c r="O108" s="13" t="inlineStr">
        <is>
          <t>BBS</t>
        </is>
      </c>
    </row>
    <row r="109">
      <c r="A109" s="13" t="n">
        <v>104</v>
      </c>
      <c r="B109" s="13" t="inlineStr">
        <is>
          <t>Beams</t>
        </is>
      </c>
      <c r="C109" s="13" t="inlineStr">
        <is>
          <t>STR-078</t>
        </is>
      </c>
      <c r="D109" s="13" t="inlineStr">
        <is>
          <t>Typical 4th-8th floor beams (sheet 1 of 2)</t>
        </is>
      </c>
      <c r="E109" s="19" t="inlineStr">
        <is>
          <t>2012</t>
        </is>
      </c>
      <c r="F109" s="19" t="n">
        <v>20</v>
      </c>
      <c r="G109" s="19" t="n">
        <v>1</v>
      </c>
      <c r="H109" s="19" t="n">
        <v>4</v>
      </c>
      <c r="I109" s="13">
        <f>G109*H109</f>
        <v>4.0</v>
      </c>
      <c r="J109" s="20">
        <f>7300/1000</f>
        <v>7.3</v>
      </c>
      <c r="K109" s="21">
        <f>I109*J109</f>
        <v>29.2</v>
      </c>
      <c r="L109" s="22">
        <f>F109^2/162</f>
        <v>2.4691358024691357</v>
      </c>
      <c r="M109" s="21">
        <f>K109*L109</f>
        <v>72.09876543209876</v>
      </c>
      <c r="N109" s="22">
        <f>M109/1000</f>
        <v>0.07209876543209875</v>
      </c>
      <c r="O109" s="13" t="inlineStr">
        <is>
          <t>BBS</t>
        </is>
      </c>
    </row>
    <row r="110">
      <c r="A110" s="13" t="n">
        <v>105</v>
      </c>
      <c r="B110" s="13" t="inlineStr">
        <is>
          <t>Beams</t>
        </is>
      </c>
      <c r="C110" s="13" t="inlineStr">
        <is>
          <t>STR-078</t>
        </is>
      </c>
      <c r="D110" s="13" t="inlineStr">
        <is>
          <t>Typical 4th-8th floor beams (sheet 1 of 2)</t>
        </is>
      </c>
      <c r="E110" s="19" t="inlineStr">
        <is>
          <t>2013</t>
        </is>
      </c>
      <c r="F110" s="19" t="n">
        <v>20</v>
      </c>
      <c r="G110" s="19" t="n">
        <v>1</v>
      </c>
      <c r="H110" s="19" t="n">
        <v>8</v>
      </c>
      <c r="I110" s="13">
        <f>G110*H110</f>
        <v>8.0</v>
      </c>
      <c r="J110" s="20">
        <f>9500/1000</f>
        <v>9.5</v>
      </c>
      <c r="K110" s="21">
        <f>I110*J110</f>
        <v>76.0</v>
      </c>
      <c r="L110" s="22">
        <f>F110^2/162</f>
        <v>2.4691358024691357</v>
      </c>
      <c r="M110" s="21">
        <f>K110*L110</f>
        <v>187.6543209876543</v>
      </c>
      <c r="N110" s="22">
        <f>M110/1000</f>
        <v>0.1876543209876543</v>
      </c>
      <c r="O110" s="13" t="inlineStr">
        <is>
          <t>BBS</t>
        </is>
      </c>
    </row>
    <row r="111">
      <c r="A111" s="13" t="n">
        <v>106</v>
      </c>
      <c r="B111" s="13" t="inlineStr">
        <is>
          <t>Beams</t>
        </is>
      </c>
      <c r="C111" s="13" t="inlineStr">
        <is>
          <t>STR-078</t>
        </is>
      </c>
      <c r="D111" s="13" t="inlineStr">
        <is>
          <t>Typical 4th-8th floor beams (sheet 1 of 2)</t>
        </is>
      </c>
      <c r="E111" s="19" t="inlineStr">
        <is>
          <t>2014</t>
        </is>
      </c>
      <c r="F111" s="19" t="n">
        <v>20</v>
      </c>
      <c r="G111" s="19" t="n">
        <v>1</v>
      </c>
      <c r="H111" s="19" t="n">
        <v>4</v>
      </c>
      <c r="I111" s="13">
        <f>G111*H111</f>
        <v>4.0</v>
      </c>
      <c r="J111" s="20">
        <f>12000/1000</f>
        <v>12.0</v>
      </c>
      <c r="K111" s="21">
        <f>I111*J111</f>
        <v>48.0</v>
      </c>
      <c r="L111" s="22">
        <f>F111^2/162</f>
        <v>2.4691358024691357</v>
      </c>
      <c r="M111" s="21">
        <f>K111*L111</f>
        <v>118.5185185185185</v>
      </c>
      <c r="N111" s="22">
        <f>M111/1000</f>
        <v>0.11851851851851851</v>
      </c>
      <c r="O111" s="13" t="inlineStr">
        <is>
          <t>BBS</t>
        </is>
      </c>
    </row>
    <row r="112">
      <c r="A112" s="13" t="n">
        <v>107</v>
      </c>
      <c r="B112" s="13" t="inlineStr">
        <is>
          <t>Beams</t>
        </is>
      </c>
      <c r="C112" s="13" t="inlineStr">
        <is>
          <t>STR-078</t>
        </is>
      </c>
      <c r="D112" s="13" t="inlineStr">
        <is>
          <t>Typical 4th-8th floor beams (sheet 1 of 2)</t>
        </is>
      </c>
      <c r="E112" s="19" t="inlineStr">
        <is>
          <t>2015</t>
        </is>
      </c>
      <c r="F112" s="19" t="n">
        <v>20</v>
      </c>
      <c r="G112" s="19" t="n">
        <v>1</v>
      </c>
      <c r="H112" s="19" t="n">
        <v>3</v>
      </c>
      <c r="I112" s="13">
        <f>G112*H112</f>
        <v>3.0</v>
      </c>
      <c r="J112" s="20">
        <f>6400/1000</f>
        <v>6.4</v>
      </c>
      <c r="K112" s="21">
        <f>I112*J112</f>
        <v>19.200000000000003</v>
      </c>
      <c r="L112" s="22">
        <f>F112^2/162</f>
        <v>2.4691358024691357</v>
      </c>
      <c r="M112" s="21">
        <f>K112*L112</f>
        <v>47.40740740740741</v>
      </c>
      <c r="N112" s="22">
        <f>M112/1000</f>
        <v>0.04740740740740741</v>
      </c>
      <c r="O112" s="13" t="inlineStr">
        <is>
          <t>BBS</t>
        </is>
      </c>
    </row>
    <row r="113">
      <c r="A113" s="13" t="n">
        <v>108</v>
      </c>
      <c r="B113" s="13" t="inlineStr">
        <is>
          <t>Beams</t>
        </is>
      </c>
      <c r="C113" s="13" t="inlineStr">
        <is>
          <t>STR-078</t>
        </is>
      </c>
      <c r="D113" s="13" t="inlineStr">
        <is>
          <t>Typical 4th-8th floor beams (sheet 1 of 2)</t>
        </is>
      </c>
      <c r="E113" s="19" t="inlineStr">
        <is>
          <t>2016</t>
        </is>
      </c>
      <c r="F113" s="19" t="n">
        <v>20</v>
      </c>
      <c r="G113" s="19" t="n">
        <v>1</v>
      </c>
      <c r="H113" s="19" t="n">
        <v>6</v>
      </c>
      <c r="I113" s="13">
        <f>G113*H113</f>
        <v>6.0</v>
      </c>
      <c r="J113" s="20">
        <f>11550/1000</f>
        <v>11.55</v>
      </c>
      <c r="K113" s="21">
        <f>I113*J113</f>
        <v>69.30000000000001</v>
      </c>
      <c r="L113" s="22">
        <f>F113^2/162</f>
        <v>2.4691358024691357</v>
      </c>
      <c r="M113" s="21">
        <f>K113*L113</f>
        <v>171.11111111111114</v>
      </c>
      <c r="N113" s="22">
        <f>M113/1000</f>
        <v>0.17111111111111113</v>
      </c>
      <c r="O113" s="13" t="inlineStr">
        <is>
          <t>BBS</t>
        </is>
      </c>
    </row>
    <row r="114">
      <c r="A114" s="13" t="n">
        <v>109</v>
      </c>
      <c r="B114" s="13" t="inlineStr">
        <is>
          <t>Beams</t>
        </is>
      </c>
      <c r="C114" s="13" t="inlineStr">
        <is>
          <t>STR-078</t>
        </is>
      </c>
      <c r="D114" s="13" t="inlineStr">
        <is>
          <t>Typical 4th-8th floor beams (sheet 1 of 2)</t>
        </is>
      </c>
      <c r="E114" s="19" t="inlineStr">
        <is>
          <t>2017</t>
        </is>
      </c>
      <c r="F114" s="19" t="n">
        <v>20</v>
      </c>
      <c r="G114" s="19" t="n">
        <v>1</v>
      </c>
      <c r="H114" s="19" t="n">
        <v>6</v>
      </c>
      <c r="I114" s="13">
        <f>G114*H114</f>
        <v>6.0</v>
      </c>
      <c r="J114" s="20">
        <f>6050/1000</f>
        <v>6.05</v>
      </c>
      <c r="K114" s="21">
        <f>I114*J114</f>
        <v>36.3</v>
      </c>
      <c r="L114" s="22">
        <f>F114^2/162</f>
        <v>2.4691358024691357</v>
      </c>
      <c r="M114" s="21">
        <f>K114*L114</f>
        <v>89.62962962962962</v>
      </c>
      <c r="N114" s="22">
        <f>M114/1000</f>
        <v>0.08962962962962961</v>
      </c>
      <c r="O114" s="13" t="inlineStr">
        <is>
          <t>BBS</t>
        </is>
      </c>
    </row>
    <row r="115">
      <c r="A115" s="13" t="n">
        <v>110</v>
      </c>
      <c r="B115" s="13" t="inlineStr">
        <is>
          <t>Beams</t>
        </is>
      </c>
      <c r="C115" s="13" t="inlineStr">
        <is>
          <t>STR-078</t>
        </is>
      </c>
      <c r="D115" s="13" t="inlineStr">
        <is>
          <t>Typical 4th-8th floor beams (sheet 1 of 2)</t>
        </is>
      </c>
      <c r="E115" s="19" t="inlineStr">
        <is>
          <t>2018</t>
        </is>
      </c>
      <c r="F115" s="19" t="n">
        <v>20</v>
      </c>
      <c r="G115" s="19" t="n">
        <v>1</v>
      </c>
      <c r="H115" s="19" t="n">
        <v>3</v>
      </c>
      <c r="I115" s="13">
        <f>G115*H115</f>
        <v>3.0</v>
      </c>
      <c r="J115" s="20">
        <f>6300/1000</f>
        <v>6.3</v>
      </c>
      <c r="K115" s="21">
        <f>I115*J115</f>
        <v>18.9</v>
      </c>
      <c r="L115" s="22">
        <f>F115^2/162</f>
        <v>2.4691358024691357</v>
      </c>
      <c r="M115" s="21">
        <f>K115*L115</f>
        <v>46.66666666666666</v>
      </c>
      <c r="N115" s="22">
        <f>M115/1000</f>
        <v>0.046666666666666655</v>
      </c>
      <c r="O115" s="13" t="inlineStr">
        <is>
          <t>BBS</t>
        </is>
      </c>
    </row>
    <row r="116">
      <c r="A116" s="13" t="n">
        <v>111</v>
      </c>
      <c r="B116" s="13" t="inlineStr">
        <is>
          <t>Beams</t>
        </is>
      </c>
      <c r="C116" s="13" t="inlineStr">
        <is>
          <t>STR-078</t>
        </is>
      </c>
      <c r="D116" s="13" t="inlineStr">
        <is>
          <t>Typical 4th-8th floor beams (sheet 1 of 2)</t>
        </is>
      </c>
      <c r="E116" s="19" t="inlineStr">
        <is>
          <t>2019</t>
        </is>
      </c>
      <c r="F116" s="19" t="n">
        <v>20</v>
      </c>
      <c r="G116" s="19" t="n">
        <v>1</v>
      </c>
      <c r="H116" s="19" t="n">
        <v>3</v>
      </c>
      <c r="I116" s="13">
        <f>G116*H116</f>
        <v>3.0</v>
      </c>
      <c r="J116" s="20">
        <f>5950/1000</f>
        <v>5.95</v>
      </c>
      <c r="K116" s="21">
        <f>I116*J116</f>
        <v>17.85</v>
      </c>
      <c r="L116" s="22">
        <f>F116^2/162</f>
        <v>2.4691358024691357</v>
      </c>
      <c r="M116" s="21">
        <f>K116*L116</f>
        <v>44.074074074074076</v>
      </c>
      <c r="N116" s="22">
        <f>M116/1000</f>
        <v>0.04407407407407408</v>
      </c>
      <c r="O116" s="13" t="inlineStr">
        <is>
          <t>BBS</t>
        </is>
      </c>
    </row>
    <row r="117">
      <c r="A117" s="13" t="n">
        <v>112</v>
      </c>
      <c r="B117" s="13" t="inlineStr">
        <is>
          <t>Beams</t>
        </is>
      </c>
      <c r="C117" s="13" t="inlineStr">
        <is>
          <t>STR-078</t>
        </is>
      </c>
      <c r="D117" s="13" t="inlineStr">
        <is>
          <t>Typical 4th-8th floor beams (sheet 1 of 2)</t>
        </is>
      </c>
      <c r="E117" s="19" t="inlineStr">
        <is>
          <t>2501</t>
        </is>
      </c>
      <c r="F117" s="19" t="n">
        <v>25</v>
      </c>
      <c r="G117" s="19" t="n">
        <v>1</v>
      </c>
      <c r="H117" s="19" t="n">
        <v>3</v>
      </c>
      <c r="I117" s="13">
        <f>G117*H117</f>
        <v>3.0</v>
      </c>
      <c r="J117" s="20">
        <f>11200/1000</f>
        <v>11.2</v>
      </c>
      <c r="K117" s="21">
        <f>I117*J117</f>
        <v>33.599999999999994</v>
      </c>
      <c r="L117" s="22">
        <f>F117^2/162</f>
        <v>3.8580246913580245</v>
      </c>
      <c r="M117" s="21">
        <f>K117*L117</f>
        <v>129.6296296296296</v>
      </c>
      <c r="N117" s="22">
        <f>M117/1000</f>
        <v>0.1296296296296296</v>
      </c>
      <c r="O117" s="13" t="inlineStr">
        <is>
          <t>BBS</t>
        </is>
      </c>
    </row>
    <row r="118">
      <c r="A118" s="13" t="n">
        <v>113</v>
      </c>
      <c r="B118" s="13" t="inlineStr">
        <is>
          <t>Beams</t>
        </is>
      </c>
      <c r="C118" s="13" t="inlineStr">
        <is>
          <t>STR-078</t>
        </is>
      </c>
      <c r="D118" s="13" t="inlineStr">
        <is>
          <t>Typical 4th-8th floor beams (sheet 1 of 2)</t>
        </is>
      </c>
      <c r="E118" s="19" t="inlineStr">
        <is>
          <t>2502</t>
        </is>
      </c>
      <c r="F118" s="19" t="n">
        <v>25</v>
      </c>
      <c r="G118" s="19" t="n">
        <v>1</v>
      </c>
      <c r="H118" s="19" t="n">
        <v>3</v>
      </c>
      <c r="I118" s="13">
        <f>G118*H118</f>
        <v>3.0</v>
      </c>
      <c r="J118" s="20">
        <f>9400/1000</f>
        <v>9.4</v>
      </c>
      <c r="K118" s="21">
        <f>I118*J118</f>
        <v>28.200000000000003</v>
      </c>
      <c r="L118" s="22">
        <f>F118^2/162</f>
        <v>3.8580246913580245</v>
      </c>
      <c r="M118" s="21">
        <f>K118*L118</f>
        <v>108.7962962962963</v>
      </c>
      <c r="N118" s="22">
        <f>M118/1000</f>
        <v>0.10879629629629631</v>
      </c>
      <c r="O118" s="13" t="inlineStr">
        <is>
          <t>BBS</t>
        </is>
      </c>
    </row>
    <row r="119">
      <c r="A119" s="13" t="n">
        <v>114</v>
      </c>
      <c r="B119" s="13" t="inlineStr">
        <is>
          <t>Beams</t>
        </is>
      </c>
      <c r="C119" s="13" t="inlineStr">
        <is>
          <t>STR-078</t>
        </is>
      </c>
      <c r="D119" s="13" t="inlineStr">
        <is>
          <t>Typical 4th-8th floor beams (sheet 1 of 2)</t>
        </is>
      </c>
      <c r="E119" s="19" t="inlineStr">
        <is>
          <t>2503</t>
        </is>
      </c>
      <c r="F119" s="19" t="n">
        <v>25</v>
      </c>
      <c r="G119" s="19" t="n">
        <v>1</v>
      </c>
      <c r="H119" s="19" t="n">
        <v>3</v>
      </c>
      <c r="I119" s="13">
        <f>G119*H119</f>
        <v>3.0</v>
      </c>
      <c r="J119" s="20">
        <f>12000/1000</f>
        <v>12.0</v>
      </c>
      <c r="K119" s="21">
        <f>I119*J119</f>
        <v>36.0</v>
      </c>
      <c r="L119" s="22">
        <f>F119^2/162</f>
        <v>3.8580246913580245</v>
      </c>
      <c r="M119" s="21">
        <f>K119*L119</f>
        <v>138.88888888888889</v>
      </c>
      <c r="N119" s="22">
        <f>M119/1000</f>
        <v>0.1388888888888889</v>
      </c>
      <c r="O119" s="13" t="inlineStr">
        <is>
          <t>BBS</t>
        </is>
      </c>
    </row>
    <row r="120">
      <c r="A120" s="13" t="n">
        <v>115</v>
      </c>
      <c r="B120" s="13" t="inlineStr">
        <is>
          <t>Beams</t>
        </is>
      </c>
      <c r="C120" s="13" t="inlineStr">
        <is>
          <t>STR-078</t>
        </is>
      </c>
      <c r="D120" s="13" t="inlineStr">
        <is>
          <t>Typical 4th-8th floor beams (sheet 1 of 2)</t>
        </is>
      </c>
      <c r="E120" s="19" t="inlineStr">
        <is>
          <t>2504</t>
        </is>
      </c>
      <c r="F120" s="19" t="n">
        <v>25</v>
      </c>
      <c r="G120" s="19" t="n">
        <v>1</v>
      </c>
      <c r="H120" s="19" t="n">
        <v>3</v>
      </c>
      <c r="I120" s="13">
        <f>G120*H120</f>
        <v>3.0</v>
      </c>
      <c r="J120" s="20">
        <f>7100/1000</f>
        <v>7.1</v>
      </c>
      <c r="K120" s="21">
        <f>I120*J120</f>
        <v>21.299999999999997</v>
      </c>
      <c r="L120" s="22">
        <f>F120^2/162</f>
        <v>3.8580246913580245</v>
      </c>
      <c r="M120" s="21">
        <f>K120*L120</f>
        <v>82.17592592592591</v>
      </c>
      <c r="N120" s="22">
        <f>M120/1000</f>
        <v>0.08217592592592592</v>
      </c>
      <c r="O120" s="13" t="inlineStr">
        <is>
          <t>BBS</t>
        </is>
      </c>
    </row>
    <row r="121">
      <c r="A121" s="13" t="n">
        <v>116</v>
      </c>
      <c r="B121" s="13" t="inlineStr">
        <is>
          <t>Beams</t>
        </is>
      </c>
      <c r="C121" s="13" t="inlineStr">
        <is>
          <t>STR-078</t>
        </is>
      </c>
      <c r="D121" s="13" t="inlineStr">
        <is>
          <t>Typical 4th-8th floor beams (sheet 1 of 2)</t>
        </is>
      </c>
      <c r="E121" s="19" t="inlineStr">
        <is>
          <t>2505</t>
        </is>
      </c>
      <c r="F121" s="19" t="n">
        <v>25</v>
      </c>
      <c r="G121" s="19" t="n">
        <v>1</v>
      </c>
      <c r="H121" s="19" t="n">
        <v>6</v>
      </c>
      <c r="I121" s="13">
        <f>G121*H121</f>
        <v>6.0</v>
      </c>
      <c r="J121" s="20">
        <f>9300/1000</f>
        <v>9.3</v>
      </c>
      <c r="K121" s="21">
        <f>I121*J121</f>
        <v>55.800000000000004</v>
      </c>
      <c r="L121" s="22">
        <f>F121^2/162</f>
        <v>3.8580246913580245</v>
      </c>
      <c r="M121" s="21">
        <f>K121*L121</f>
        <v>215.27777777777777</v>
      </c>
      <c r="N121" s="22">
        <f>M121/1000</f>
        <v>0.21527777777777776</v>
      </c>
      <c r="O121" s="13" t="inlineStr">
        <is>
          <t>BBS</t>
        </is>
      </c>
    </row>
    <row r="122">
      <c r="A122" s="13" t="n">
        <v>117</v>
      </c>
      <c r="B122" s="13" t="inlineStr">
        <is>
          <t>Beams</t>
        </is>
      </c>
      <c r="C122" s="13" t="inlineStr">
        <is>
          <t>STR-078</t>
        </is>
      </c>
      <c r="D122" s="13" t="inlineStr">
        <is>
          <t>Typical 4th-8th floor beams (sheet 1 of 2)</t>
        </is>
      </c>
      <c r="E122" s="19" t="inlineStr">
        <is>
          <t>2506</t>
        </is>
      </c>
      <c r="F122" s="19" t="n">
        <v>25</v>
      </c>
      <c r="G122" s="19" t="n">
        <v>1</v>
      </c>
      <c r="H122" s="19" t="n">
        <v>3</v>
      </c>
      <c r="I122" s="13">
        <f>G122*H122</f>
        <v>3.0</v>
      </c>
      <c r="J122" s="20">
        <f>9100/1000</f>
        <v>9.1</v>
      </c>
      <c r="K122" s="21">
        <f>I122*J122</f>
        <v>27.299999999999997</v>
      </c>
      <c r="L122" s="22">
        <f>F122^2/162</f>
        <v>3.8580246913580245</v>
      </c>
      <c r="M122" s="21">
        <f>K122*L122</f>
        <v>105.32407407407406</v>
      </c>
      <c r="N122" s="22">
        <f>M122/1000</f>
        <v>0.10532407407407406</v>
      </c>
      <c r="O122" s="13" t="inlineStr">
        <is>
          <t>BBS</t>
        </is>
      </c>
    </row>
    <row r="123">
      <c r="A123" s="13" t="n">
        <v>118</v>
      </c>
      <c r="B123" s="13" t="inlineStr">
        <is>
          <t>Beams</t>
        </is>
      </c>
      <c r="C123" s="13" t="inlineStr">
        <is>
          <t>STR-078</t>
        </is>
      </c>
      <c r="D123" s="13" t="inlineStr">
        <is>
          <t>Typical 4th-8th floor beams (sheet 1 of 2)</t>
        </is>
      </c>
      <c r="E123" s="19" t="inlineStr">
        <is>
          <t>2507</t>
        </is>
      </c>
      <c r="F123" s="19" t="n">
        <v>25</v>
      </c>
      <c r="G123" s="19" t="n">
        <v>1</v>
      </c>
      <c r="H123" s="19" t="n">
        <v>3</v>
      </c>
      <c r="I123" s="13">
        <f>G123*H123</f>
        <v>3.0</v>
      </c>
      <c r="J123" s="20">
        <f>5850/1000</f>
        <v>5.85</v>
      </c>
      <c r="K123" s="21">
        <f>I123*J123</f>
        <v>17.549999999999997</v>
      </c>
      <c r="L123" s="22">
        <f>F123^2/162</f>
        <v>3.8580246913580245</v>
      </c>
      <c r="M123" s="21">
        <f>K123*L123</f>
        <v>67.70833333333331</v>
      </c>
      <c r="N123" s="22">
        <f>M123/1000</f>
        <v>0.06770833333333331</v>
      </c>
      <c r="O123" s="13" t="inlineStr">
        <is>
          <t>BBS</t>
        </is>
      </c>
    </row>
    <row r="124">
      <c r="A124" s="13" t="n">
        <v>119</v>
      </c>
      <c r="B124" s="13" t="inlineStr">
        <is>
          <t>Beams</t>
        </is>
      </c>
      <c r="C124" s="13" t="inlineStr">
        <is>
          <t>STR-078</t>
        </is>
      </c>
      <c r="D124" s="13" t="inlineStr">
        <is>
          <t>Typical 4th-8th floor beams (sheet 1 of 2)</t>
        </is>
      </c>
      <c r="E124" s="19" t="inlineStr">
        <is>
          <t>2508</t>
        </is>
      </c>
      <c r="F124" s="19" t="n">
        <v>25</v>
      </c>
      <c r="G124" s="19" t="n">
        <v>1</v>
      </c>
      <c r="H124" s="19" t="n">
        <v>3</v>
      </c>
      <c r="I124" s="13">
        <f>G124*H124</f>
        <v>3.0</v>
      </c>
      <c r="J124" s="20">
        <f>8000/1000</f>
        <v>8.0</v>
      </c>
      <c r="K124" s="21">
        <f>I124*J124</f>
        <v>24.0</v>
      </c>
      <c r="L124" s="22">
        <f>F124^2/162</f>
        <v>3.8580246913580245</v>
      </c>
      <c r="M124" s="21">
        <f>K124*L124</f>
        <v>92.59259259259258</v>
      </c>
      <c r="N124" s="22">
        <f>M124/1000</f>
        <v>0.09259259259259259</v>
      </c>
      <c r="O124" s="13" t="inlineStr">
        <is>
          <t>BBS</t>
        </is>
      </c>
    </row>
    <row r="125">
      <c r="A125" s="13" t="n">
        <v>120</v>
      </c>
      <c r="B125" s="13" t="inlineStr">
        <is>
          <t>Beams</t>
        </is>
      </c>
      <c r="C125" s="13" t="inlineStr">
        <is>
          <t>STR-078</t>
        </is>
      </c>
      <c r="D125" s="13" t="inlineStr">
        <is>
          <t>Typical 4th-8th floor beams (sheet 1 of 2)</t>
        </is>
      </c>
      <c r="E125" s="19" t="inlineStr">
        <is>
          <t>2509</t>
        </is>
      </c>
      <c r="F125" s="19" t="n">
        <v>25</v>
      </c>
      <c r="G125" s="19" t="n">
        <v>1</v>
      </c>
      <c r="H125" s="19" t="n">
        <v>3</v>
      </c>
      <c r="I125" s="13">
        <f>G125*H125</f>
        <v>3.0</v>
      </c>
      <c r="J125" s="20">
        <f>8700/1000</f>
        <v>8.7</v>
      </c>
      <c r="K125" s="21">
        <f>I125*J125</f>
        <v>26.099999999999998</v>
      </c>
      <c r="L125" s="22">
        <f>F125^2/162</f>
        <v>3.8580246913580245</v>
      </c>
      <c r="M125" s="21">
        <f>K125*L125</f>
        <v>100.69444444444443</v>
      </c>
      <c r="N125" s="22">
        <f>M125/1000</f>
        <v>0.10069444444444443</v>
      </c>
      <c r="O125" s="13" t="inlineStr">
        <is>
          <t>BBS</t>
        </is>
      </c>
    </row>
    <row r="126">
      <c r="A126" s="13" t="n">
        <v>121</v>
      </c>
      <c r="B126" s="13" t="inlineStr">
        <is>
          <t>Beams</t>
        </is>
      </c>
      <c r="C126" s="13" t="inlineStr">
        <is>
          <t>STR-078</t>
        </is>
      </c>
      <c r="D126" s="13" t="inlineStr">
        <is>
          <t>Typical 4th-8th floor beams (sheet 1 of 2)</t>
        </is>
      </c>
      <c r="E126" s="19" t="inlineStr">
        <is>
          <t>2510</t>
        </is>
      </c>
      <c r="F126" s="19" t="n">
        <v>25</v>
      </c>
      <c r="G126" s="19" t="n">
        <v>1</v>
      </c>
      <c r="H126" s="19" t="n">
        <v>3</v>
      </c>
      <c r="I126" s="13">
        <f>G126*H126</f>
        <v>3.0</v>
      </c>
      <c r="J126" s="20">
        <f>5900/1000</f>
        <v>5.9</v>
      </c>
      <c r="K126" s="21">
        <f>I126*J126</f>
        <v>17.700000000000003</v>
      </c>
      <c r="L126" s="22">
        <f>F126^2/162</f>
        <v>3.8580246913580245</v>
      </c>
      <c r="M126" s="21">
        <f>K126*L126</f>
        <v>68.28703703703704</v>
      </c>
      <c r="N126" s="22">
        <f>M126/1000</f>
        <v>0.06828703703703703</v>
      </c>
      <c r="O126" s="13" t="inlineStr">
        <is>
          <t>BBS</t>
        </is>
      </c>
    </row>
    <row r="127">
      <c r="A127" s="13" t="n">
        <v>122</v>
      </c>
      <c r="B127" s="13" t="inlineStr">
        <is>
          <t>Beams</t>
        </is>
      </c>
      <c r="C127" s="13" t="inlineStr">
        <is>
          <t>STR-078</t>
        </is>
      </c>
      <c r="D127" s="13" t="inlineStr">
        <is>
          <t>Typical 4th-8th floor beams (sheet 1 of 2)</t>
        </is>
      </c>
      <c r="E127" s="19" t="inlineStr">
        <is>
          <t>2511</t>
        </is>
      </c>
      <c r="F127" s="19" t="n">
        <v>25</v>
      </c>
      <c r="G127" s="19" t="n">
        <v>1</v>
      </c>
      <c r="H127" s="19" t="n">
        <v>3</v>
      </c>
      <c r="I127" s="13">
        <f>G127*H127</f>
        <v>3.0</v>
      </c>
      <c r="J127" s="20">
        <f>5600/1000</f>
        <v>5.6</v>
      </c>
      <c r="K127" s="21">
        <f>I127*J127</f>
        <v>16.799999999999997</v>
      </c>
      <c r="L127" s="22">
        <f>F127^2/162</f>
        <v>3.8580246913580245</v>
      </c>
      <c r="M127" s="21">
        <f>K127*L127</f>
        <v>64.8148148148148</v>
      </c>
      <c r="N127" s="22">
        <f>M127/1000</f>
        <v>0.0648148148148148</v>
      </c>
      <c r="O127" s="13" t="inlineStr">
        <is>
          <t>BBS</t>
        </is>
      </c>
    </row>
    <row r="128">
      <c r="A128" s="13" t="n">
        <v>123</v>
      </c>
      <c r="B128" s="13" t="inlineStr">
        <is>
          <t>Beams</t>
        </is>
      </c>
      <c r="C128" s="13" t="inlineStr">
        <is>
          <t>STR-078</t>
        </is>
      </c>
      <c r="D128" s="13" t="inlineStr">
        <is>
          <t>Typical 4th-8th floor beams (sheet 1 of 2)</t>
        </is>
      </c>
      <c r="E128" s="19" t="inlineStr">
        <is>
          <t>2512</t>
        </is>
      </c>
      <c r="F128" s="19" t="n">
        <v>25</v>
      </c>
      <c r="G128" s="19" t="n">
        <v>1</v>
      </c>
      <c r="H128" s="19" t="n">
        <v>3</v>
      </c>
      <c r="I128" s="13">
        <f>G128*H128</f>
        <v>3.0</v>
      </c>
      <c r="J128" s="20">
        <f>11550/1000</f>
        <v>11.55</v>
      </c>
      <c r="K128" s="21">
        <f>I128*J128</f>
        <v>34.650000000000006</v>
      </c>
      <c r="L128" s="22">
        <f>F128^2/162</f>
        <v>3.8580246913580245</v>
      </c>
      <c r="M128" s="21">
        <f>K128*L128</f>
        <v>133.68055555555557</v>
      </c>
      <c r="N128" s="22">
        <f>M128/1000</f>
        <v>0.13368055555555558</v>
      </c>
      <c r="O128" s="13" t="inlineStr">
        <is>
          <t>BBS</t>
        </is>
      </c>
    </row>
    <row r="129">
      <c r="A129" s="13" t="n">
        <v>124</v>
      </c>
      <c r="B129" s="13" t="inlineStr">
        <is>
          <t>Beams</t>
        </is>
      </c>
      <c r="C129" s="13" t="inlineStr">
        <is>
          <t>STR-078</t>
        </is>
      </c>
      <c r="D129" s="13" t="inlineStr">
        <is>
          <t>Typical 4th-8th floor beams (sheet 1 of 2)</t>
        </is>
      </c>
      <c r="E129" s="19" t="inlineStr">
        <is>
          <t>2513</t>
        </is>
      </c>
      <c r="F129" s="19" t="n">
        <v>25</v>
      </c>
      <c r="G129" s="19" t="n">
        <v>1</v>
      </c>
      <c r="H129" s="19" t="n">
        <v>3</v>
      </c>
      <c r="I129" s="13">
        <f>G129*H129</f>
        <v>3.0</v>
      </c>
      <c r="J129" s="20">
        <f>6050/1000</f>
        <v>6.05</v>
      </c>
      <c r="K129" s="21">
        <f>I129*J129</f>
        <v>18.15</v>
      </c>
      <c r="L129" s="22">
        <f>F129^2/162</f>
        <v>3.8580246913580245</v>
      </c>
      <c r="M129" s="21">
        <f>K129*L129</f>
        <v>70.02314814814814</v>
      </c>
      <c r="N129" s="22">
        <f>M129/1000</f>
        <v>0.07002314814814814</v>
      </c>
      <c r="O129" s="13" t="inlineStr">
        <is>
          <t>BBS</t>
        </is>
      </c>
    </row>
    <row r="130">
      <c r="A130" s="13" t="n">
        <v>125</v>
      </c>
      <c r="B130" s="13" t="inlineStr">
        <is>
          <t>Beams</t>
        </is>
      </c>
      <c r="C130" s="13" t="inlineStr">
        <is>
          <t>STR-078</t>
        </is>
      </c>
      <c r="D130" s="13" t="inlineStr">
        <is>
          <t>Typical 4th-8th floor beams (sheet 1 of 2)</t>
        </is>
      </c>
      <c r="E130" s="19" t="inlineStr">
        <is>
          <t>2514</t>
        </is>
      </c>
      <c r="F130" s="19" t="n">
        <v>25</v>
      </c>
      <c r="G130" s="19" t="n">
        <v>1</v>
      </c>
      <c r="H130" s="19" t="n">
        <v>3</v>
      </c>
      <c r="I130" s="13">
        <f>G130*H130</f>
        <v>3.0</v>
      </c>
      <c r="J130" s="20">
        <f>9000/1000</f>
        <v>9.0</v>
      </c>
      <c r="K130" s="21">
        <f>I130*J130</f>
        <v>27.0</v>
      </c>
      <c r="L130" s="22">
        <f>F130^2/162</f>
        <v>3.8580246913580245</v>
      </c>
      <c r="M130" s="21">
        <f>K130*L130</f>
        <v>104.16666666666666</v>
      </c>
      <c r="N130" s="22">
        <f>M130/1000</f>
        <v>0.10416666666666666</v>
      </c>
      <c r="O130" s="13" t="inlineStr">
        <is>
          <t>BBS</t>
        </is>
      </c>
    </row>
    <row r="131">
      <c r="A131" s="13" t="n">
        <v>126</v>
      </c>
      <c r="B131" s="13" t="inlineStr">
        <is>
          <t>Beams</t>
        </is>
      </c>
      <c r="C131" s="13" t="inlineStr">
        <is>
          <t>STR-078</t>
        </is>
      </c>
      <c r="D131" s="13" t="inlineStr">
        <is>
          <t>Typical 4th-8th floor beams (sheet 1 of 2)</t>
        </is>
      </c>
      <c r="E131" s="19" t="inlineStr">
        <is>
          <t>2515</t>
        </is>
      </c>
      <c r="F131" s="19" t="n">
        <v>25</v>
      </c>
      <c r="G131" s="19" t="n">
        <v>1</v>
      </c>
      <c r="H131" s="19" t="n">
        <v>3</v>
      </c>
      <c r="I131" s="13">
        <f>G131*H131</f>
        <v>3.0</v>
      </c>
      <c r="J131" s="20">
        <f>5600/1000</f>
        <v>5.6</v>
      </c>
      <c r="K131" s="21">
        <f>I131*J131</f>
        <v>16.799999999999997</v>
      </c>
      <c r="L131" s="22">
        <f>F131^2/162</f>
        <v>3.8580246913580245</v>
      </c>
      <c r="M131" s="21">
        <f>K131*L131</f>
        <v>64.8148148148148</v>
      </c>
      <c r="N131" s="22">
        <f>M131/1000</f>
        <v>0.0648148148148148</v>
      </c>
      <c r="O131" s="13" t="inlineStr">
        <is>
          <t>BBS</t>
        </is>
      </c>
    </row>
    <row r="132">
      <c r="A132" s="13" t="n">
        <v>127</v>
      </c>
      <c r="B132" s="13" t="inlineStr">
        <is>
          <t>Beams</t>
        </is>
      </c>
      <c r="C132" s="13" t="inlineStr">
        <is>
          <t>STR-078</t>
        </is>
      </c>
      <c r="D132" s="13" t="inlineStr">
        <is>
          <t>Typical 4th-8th floor beams (sheet 1 of 2)</t>
        </is>
      </c>
      <c r="E132" s="19" t="inlineStr">
        <is>
          <t>2516</t>
        </is>
      </c>
      <c r="F132" s="19" t="n">
        <v>25</v>
      </c>
      <c r="G132" s="19" t="n">
        <v>1</v>
      </c>
      <c r="H132" s="19" t="n">
        <v>3</v>
      </c>
      <c r="I132" s="13">
        <f>G132*H132</f>
        <v>3.0</v>
      </c>
      <c r="J132" s="20">
        <f>9400/1000</f>
        <v>9.4</v>
      </c>
      <c r="K132" s="21">
        <f>I132*J132</f>
        <v>28.200000000000003</v>
      </c>
      <c r="L132" s="22">
        <f>F132^2/162</f>
        <v>3.8580246913580245</v>
      </c>
      <c r="M132" s="21">
        <f>K132*L132</f>
        <v>108.7962962962963</v>
      </c>
      <c r="N132" s="22">
        <f>M132/1000</f>
        <v>0.10879629629629631</v>
      </c>
      <c r="O132" s="13" t="inlineStr">
        <is>
          <t>BBS</t>
        </is>
      </c>
    </row>
    <row r="133">
      <c r="A133" s="13" t="n">
        <v>128</v>
      </c>
      <c r="B133" s="13" t="inlineStr">
        <is>
          <t>Beams</t>
        </is>
      </c>
      <c r="C133" s="13" t="inlineStr">
        <is>
          <t>STR-078</t>
        </is>
      </c>
      <c r="D133" s="13" t="inlineStr">
        <is>
          <t>Typical 4th-8th floor beams (sheet 1 of 2)</t>
        </is>
      </c>
      <c r="E133" s="19" t="inlineStr">
        <is>
          <t>2517</t>
        </is>
      </c>
      <c r="F133" s="19" t="n">
        <v>25</v>
      </c>
      <c r="G133" s="19" t="n">
        <v>1</v>
      </c>
      <c r="H133" s="19" t="n">
        <v>24</v>
      </c>
      <c r="I133" s="13">
        <f>G133*H133</f>
        <v>24.0</v>
      </c>
      <c r="J133" s="20">
        <f>9150/1000</f>
        <v>9.15</v>
      </c>
      <c r="K133" s="21">
        <f>I133*J133</f>
        <v>219.60000000000002</v>
      </c>
      <c r="L133" s="22">
        <f>F133^2/162</f>
        <v>3.8580246913580245</v>
      </c>
      <c r="M133" s="21">
        <f>K133*L133</f>
        <v>847.2222222222223</v>
      </c>
      <c r="N133" s="22">
        <f>M133/1000</f>
        <v>0.8472222222222223</v>
      </c>
      <c r="O133" s="13" t="inlineStr">
        <is>
          <t>BBS</t>
        </is>
      </c>
    </row>
    <row r="134">
      <c r="A134" s="13" t="n">
        <v>129</v>
      </c>
      <c r="B134" s="13" t="inlineStr">
        <is>
          <t>Beams</t>
        </is>
      </c>
      <c r="C134" s="13" t="inlineStr">
        <is>
          <t>STR-078</t>
        </is>
      </c>
      <c r="D134" s="13" t="inlineStr">
        <is>
          <t>Typical 4th-8th floor beams (sheet 1 of 2)</t>
        </is>
      </c>
      <c r="E134" s="19" t="inlineStr">
        <is>
          <t>2518</t>
        </is>
      </c>
      <c r="F134" s="19" t="n">
        <v>25</v>
      </c>
      <c r="G134" s="19" t="n">
        <v>1</v>
      </c>
      <c r="H134" s="19" t="n">
        <v>3</v>
      </c>
      <c r="I134" s="13">
        <f>G134*H134</f>
        <v>3.0</v>
      </c>
      <c r="J134" s="20">
        <f>9800/1000</f>
        <v>9.8</v>
      </c>
      <c r="K134" s="21">
        <f>I134*J134</f>
        <v>29.400000000000002</v>
      </c>
      <c r="L134" s="22">
        <f>F134^2/162</f>
        <v>3.8580246913580245</v>
      </c>
      <c r="M134" s="21">
        <f>K134*L134</f>
        <v>113.42592592592592</v>
      </c>
      <c r="N134" s="22">
        <f>M134/1000</f>
        <v>0.11342592592592593</v>
      </c>
      <c r="O134" s="13" t="inlineStr">
        <is>
          <t>BBS</t>
        </is>
      </c>
    </row>
    <row r="135">
      <c r="A135" s="13" t="n">
        <v>130</v>
      </c>
      <c r="B135" s="13" t="inlineStr">
        <is>
          <t>Beams</t>
        </is>
      </c>
      <c r="C135" s="13" t="inlineStr">
        <is>
          <t>STR-078</t>
        </is>
      </c>
      <c r="D135" s="13" t="inlineStr">
        <is>
          <t>Typical 4th-8th floor beams (sheet 1 of 2)</t>
        </is>
      </c>
      <c r="E135" s="19" t="inlineStr">
        <is>
          <t>2519</t>
        </is>
      </c>
      <c r="F135" s="19" t="n">
        <v>25</v>
      </c>
      <c r="G135" s="19" t="n">
        <v>1</v>
      </c>
      <c r="H135" s="19" t="n">
        <v>3</v>
      </c>
      <c r="I135" s="13">
        <f>G135*H135</f>
        <v>3.0</v>
      </c>
      <c r="J135" s="20">
        <f>8125/1000</f>
        <v>8.125</v>
      </c>
      <c r="K135" s="21">
        <f>I135*J135</f>
        <v>24.375</v>
      </c>
      <c r="L135" s="22">
        <f>F135^2/162</f>
        <v>3.8580246913580245</v>
      </c>
      <c r="M135" s="21">
        <f>K135*L135</f>
        <v>94.03935185185185</v>
      </c>
      <c r="N135" s="22">
        <f>M135/1000</f>
        <v>0.09403935185185185</v>
      </c>
      <c r="O135" s="13" t="inlineStr">
        <is>
          <t>BBS</t>
        </is>
      </c>
    </row>
    <row r="136">
      <c r="A136" s="13" t="n">
        <v>131</v>
      </c>
      <c r="B136" s="13" t="inlineStr">
        <is>
          <t>Beams</t>
        </is>
      </c>
      <c r="C136" s="13" t="inlineStr">
        <is>
          <t>STR-078</t>
        </is>
      </c>
      <c r="D136" s="13" t="inlineStr">
        <is>
          <t>Typical 4th-8th floor beams (sheet 1 of 2)</t>
        </is>
      </c>
      <c r="E136" s="19" t="inlineStr">
        <is>
          <t>2520</t>
        </is>
      </c>
      <c r="F136" s="19" t="n">
        <v>25</v>
      </c>
      <c r="G136" s="19" t="n">
        <v>1</v>
      </c>
      <c r="H136" s="19" t="n">
        <v>24</v>
      </c>
      <c r="I136" s="13">
        <f>G136*H136</f>
        <v>24.0</v>
      </c>
      <c r="J136" s="20">
        <f>8025/1000</f>
        <v>8.025</v>
      </c>
      <c r="K136" s="21">
        <f>I136*J136</f>
        <v>192.60000000000002</v>
      </c>
      <c r="L136" s="22">
        <f>F136^2/162</f>
        <v>3.8580246913580245</v>
      </c>
      <c r="M136" s="21">
        <f>K136*L136</f>
        <v>743.0555555555557</v>
      </c>
      <c r="N136" s="22">
        <f>M136/1000</f>
        <v>0.7430555555555557</v>
      </c>
      <c r="O136" s="13" t="inlineStr">
        <is>
          <t>BBS</t>
        </is>
      </c>
    </row>
    <row r="137">
      <c r="A137" s="13" t="n">
        <v>132</v>
      </c>
      <c r="B137" s="13" t="inlineStr">
        <is>
          <t>Beams</t>
        </is>
      </c>
      <c r="C137" s="13" t="inlineStr">
        <is>
          <t>STR-079</t>
        </is>
      </c>
      <c r="D137" s="13" t="inlineStr">
        <is>
          <t>Typical 4th-8th floor beams (sheet 2 of 2)</t>
        </is>
      </c>
      <c r="E137" s="19" t="inlineStr">
        <is>
          <t>1001</t>
        </is>
      </c>
      <c r="F137" s="19" t="n">
        <v>10</v>
      </c>
      <c r="G137" s="19" t="n">
        <v>1</v>
      </c>
      <c r="H137" s="19" t="n">
        <v>607</v>
      </c>
      <c r="I137" s="13">
        <f>G137*H137</f>
        <v>607.0</v>
      </c>
      <c r="J137" s="20">
        <f>1700/1000</f>
        <v>1.7</v>
      </c>
      <c r="K137" s="21">
        <f>I137*J137</f>
        <v>1031.8999999999999</v>
      </c>
      <c r="L137" s="22">
        <f>F137^2/162</f>
        <v>0.6172839506172839</v>
      </c>
      <c r="M137" s="21">
        <f>K137*L137</f>
        <v>636.9753086419752</v>
      </c>
      <c r="N137" s="22">
        <f>M137/1000</f>
        <v>0.6369753086419752</v>
      </c>
      <c r="O137" s="13" t="inlineStr">
        <is>
          <t>BBS</t>
        </is>
      </c>
    </row>
    <row r="138">
      <c r="A138" s="13" t="n">
        <v>133</v>
      </c>
      <c r="B138" s="13" t="inlineStr">
        <is>
          <t>Beams</t>
        </is>
      </c>
      <c r="C138" s="13" t="inlineStr">
        <is>
          <t>STR-079</t>
        </is>
      </c>
      <c r="D138" s="13" t="inlineStr">
        <is>
          <t>Typical 4th-8th floor beams (sheet 2 of 2)</t>
        </is>
      </c>
      <c r="E138" s="19" t="inlineStr">
        <is>
          <t>1601</t>
        </is>
      </c>
      <c r="F138" s="19" t="n">
        <v>16</v>
      </c>
      <c r="G138" s="19" t="n">
        <v>1</v>
      </c>
      <c r="H138" s="19" t="n">
        <v>4</v>
      </c>
      <c r="I138" s="13">
        <f>G138*H138</f>
        <v>4.0</v>
      </c>
      <c r="J138" s="20">
        <f>11800/1000</f>
        <v>11.8</v>
      </c>
      <c r="K138" s="21">
        <f>I138*J138</f>
        <v>47.2</v>
      </c>
      <c r="L138" s="22">
        <f>F138^2/162</f>
        <v>1.5802469135802468</v>
      </c>
      <c r="M138" s="21">
        <f>K138*L138</f>
        <v>74.58765432098765</v>
      </c>
      <c r="N138" s="22">
        <f>M138/1000</f>
        <v>0.07458765432098766</v>
      </c>
      <c r="O138" s="13" t="inlineStr">
        <is>
          <t>BBS</t>
        </is>
      </c>
    </row>
    <row r="139">
      <c r="A139" s="13" t="n">
        <v>134</v>
      </c>
      <c r="B139" s="13" t="inlineStr">
        <is>
          <t>Beams</t>
        </is>
      </c>
      <c r="C139" s="13" t="inlineStr">
        <is>
          <t>STR-079</t>
        </is>
      </c>
      <c r="D139" s="13" t="inlineStr">
        <is>
          <t>Typical 4th-8th floor beams (sheet 2 of 2)</t>
        </is>
      </c>
      <c r="E139" s="19" t="inlineStr">
        <is>
          <t>1602</t>
        </is>
      </c>
      <c r="F139" s="19" t="n">
        <v>16</v>
      </c>
      <c r="G139" s="19" t="n">
        <v>1</v>
      </c>
      <c r="H139" s="19" t="n">
        <v>3</v>
      </c>
      <c r="I139" s="13">
        <f>G139*H139</f>
        <v>3.0</v>
      </c>
      <c r="J139" s="20">
        <f>11550/1000</f>
        <v>11.55</v>
      </c>
      <c r="K139" s="21">
        <f>I139*J139</f>
        <v>34.650000000000006</v>
      </c>
      <c r="L139" s="22">
        <f>F139^2/162</f>
        <v>1.5802469135802468</v>
      </c>
      <c r="M139" s="21">
        <f>K139*L139</f>
        <v>54.75555555555556</v>
      </c>
      <c r="N139" s="22">
        <f>M139/1000</f>
        <v>0.05475555555555556</v>
      </c>
      <c r="O139" s="13" t="inlineStr">
        <is>
          <t>BBS</t>
        </is>
      </c>
    </row>
    <row r="140">
      <c r="A140" s="13" t="n">
        <v>135</v>
      </c>
      <c r="B140" s="13" t="inlineStr">
        <is>
          <t>Beams</t>
        </is>
      </c>
      <c r="C140" s="13" t="inlineStr">
        <is>
          <t>STR-079</t>
        </is>
      </c>
      <c r="D140" s="13" t="inlineStr">
        <is>
          <t>Typical 4th-8th floor beams (sheet 2 of 2)</t>
        </is>
      </c>
      <c r="E140" s="19" t="inlineStr">
        <is>
          <t>1603</t>
        </is>
      </c>
      <c r="F140" s="19" t="n">
        <v>16</v>
      </c>
      <c r="G140" s="19" t="n">
        <v>1</v>
      </c>
      <c r="H140" s="19" t="n">
        <v>3</v>
      </c>
      <c r="I140" s="13">
        <f>G140*H140</f>
        <v>3.0</v>
      </c>
      <c r="J140" s="20">
        <f>6450/1000</f>
        <v>6.45</v>
      </c>
      <c r="K140" s="21">
        <f>I140*J140</f>
        <v>19.35</v>
      </c>
      <c r="L140" s="22">
        <f>F140^2/162</f>
        <v>1.5802469135802468</v>
      </c>
      <c r="M140" s="21">
        <f>K140*L140</f>
        <v>30.57777777777778</v>
      </c>
      <c r="N140" s="22">
        <f>M140/1000</f>
        <v>0.03057777777777778</v>
      </c>
      <c r="O140" s="13" t="inlineStr">
        <is>
          <t>BBS</t>
        </is>
      </c>
    </row>
    <row r="141">
      <c r="A141" s="13" t="n">
        <v>136</v>
      </c>
      <c r="B141" s="13" t="inlineStr">
        <is>
          <t>Beams</t>
        </is>
      </c>
      <c r="C141" s="13" t="inlineStr">
        <is>
          <t>STR-079</t>
        </is>
      </c>
      <c r="D141" s="13" t="inlineStr">
        <is>
          <t>Typical 4th-8th floor beams (sheet 2 of 2)</t>
        </is>
      </c>
      <c r="E141" s="19" t="inlineStr">
        <is>
          <t>1604</t>
        </is>
      </c>
      <c r="F141" s="19" t="n">
        <v>16</v>
      </c>
      <c r="G141" s="19" t="n">
        <v>1</v>
      </c>
      <c r="H141" s="19" t="n">
        <v>3</v>
      </c>
      <c r="I141" s="13">
        <f>G141*H141</f>
        <v>3.0</v>
      </c>
      <c r="J141" s="20">
        <f>7600/1000</f>
        <v>7.6</v>
      </c>
      <c r="K141" s="21">
        <f>I141*J141</f>
        <v>22.799999999999997</v>
      </c>
      <c r="L141" s="22">
        <f>F141^2/162</f>
        <v>1.5802469135802468</v>
      </c>
      <c r="M141" s="21">
        <f>K141*L141</f>
        <v>36.029629629629625</v>
      </c>
      <c r="N141" s="22">
        <f>M141/1000</f>
        <v>0.03602962962962963</v>
      </c>
      <c r="O141" s="13" t="inlineStr">
        <is>
          <t>BBS</t>
        </is>
      </c>
    </row>
    <row r="142">
      <c r="A142" s="13" t="n">
        <v>137</v>
      </c>
      <c r="B142" s="13" t="inlineStr">
        <is>
          <t>Beams</t>
        </is>
      </c>
      <c r="C142" s="13" t="inlineStr">
        <is>
          <t>STR-079</t>
        </is>
      </c>
      <c r="D142" s="13" t="inlineStr">
        <is>
          <t>Typical 4th-8th floor beams (sheet 2 of 2)</t>
        </is>
      </c>
      <c r="E142" s="19" t="inlineStr">
        <is>
          <t>1605</t>
        </is>
      </c>
      <c r="F142" s="19" t="n">
        <v>16</v>
      </c>
      <c r="G142" s="19" t="n">
        <v>1</v>
      </c>
      <c r="H142" s="19" t="n">
        <v>4</v>
      </c>
      <c r="I142" s="13">
        <f>G142*H142</f>
        <v>4.0</v>
      </c>
      <c r="J142" s="20">
        <f>1200/1000</f>
        <v>1.2</v>
      </c>
      <c r="K142" s="21">
        <f>I142*J142</f>
        <v>4.8</v>
      </c>
      <c r="L142" s="22">
        <f>F142^2/162</f>
        <v>1.5802469135802468</v>
      </c>
      <c r="M142" s="21">
        <f>K142*L142</f>
        <v>7.585185185185185</v>
      </c>
      <c r="N142" s="22">
        <f>M142/1000</f>
        <v>0.007585185185185184</v>
      </c>
      <c r="O142" s="13" t="inlineStr">
        <is>
          <t>BBS</t>
        </is>
      </c>
    </row>
    <row r="143">
      <c r="A143" s="13" t="n">
        <v>138</v>
      </c>
      <c r="B143" s="13" t="inlineStr">
        <is>
          <t>Beams</t>
        </is>
      </c>
      <c r="C143" s="13" t="inlineStr">
        <is>
          <t>STR-079</t>
        </is>
      </c>
      <c r="D143" s="13" t="inlineStr">
        <is>
          <t>Typical 4th-8th floor beams (sheet 2 of 2)</t>
        </is>
      </c>
      <c r="E143" s="19" t="inlineStr">
        <is>
          <t>1606</t>
        </is>
      </c>
      <c r="F143" s="19" t="n">
        <v>16</v>
      </c>
      <c r="G143" s="19" t="n">
        <v>1</v>
      </c>
      <c r="H143" s="19" t="n">
        <v>3</v>
      </c>
      <c r="I143" s="13">
        <f>G143*H143</f>
        <v>3.0</v>
      </c>
      <c r="J143" s="20">
        <f>11300/1000</f>
        <v>11.3</v>
      </c>
      <c r="K143" s="21">
        <f>I143*J143</f>
        <v>33.900000000000006</v>
      </c>
      <c r="L143" s="22">
        <f>F143^2/162</f>
        <v>1.5802469135802468</v>
      </c>
      <c r="M143" s="21">
        <f>K143*L143</f>
        <v>53.57037037037038</v>
      </c>
      <c r="N143" s="22">
        <f>M143/1000</f>
        <v>0.05357037037037038</v>
      </c>
      <c r="O143" s="13" t="inlineStr">
        <is>
          <t>BBS</t>
        </is>
      </c>
    </row>
    <row r="144">
      <c r="A144" s="13" t="n">
        <v>139</v>
      </c>
      <c r="B144" s="13" t="inlineStr">
        <is>
          <t>Beams</t>
        </is>
      </c>
      <c r="C144" s="13" t="inlineStr">
        <is>
          <t>STR-079</t>
        </is>
      </c>
      <c r="D144" s="13" t="inlineStr">
        <is>
          <t>Typical 4th-8th floor beams (sheet 2 of 2)</t>
        </is>
      </c>
      <c r="E144" s="19" t="inlineStr">
        <is>
          <t>1607</t>
        </is>
      </c>
      <c r="F144" s="19" t="n">
        <v>16</v>
      </c>
      <c r="G144" s="19" t="n">
        <v>1</v>
      </c>
      <c r="H144" s="19" t="n">
        <v>2</v>
      </c>
      <c r="I144" s="13">
        <f>G144*H144</f>
        <v>2.0</v>
      </c>
      <c r="J144" s="20">
        <f>7400/1000</f>
        <v>7.4</v>
      </c>
      <c r="K144" s="21">
        <f>I144*J144</f>
        <v>14.8</v>
      </c>
      <c r="L144" s="22">
        <f>F144^2/162</f>
        <v>1.5802469135802468</v>
      </c>
      <c r="M144" s="21">
        <f>K144*L144</f>
        <v>23.387654320987654</v>
      </c>
      <c r="N144" s="22">
        <f>M144/1000</f>
        <v>0.023387654320987654</v>
      </c>
      <c r="O144" s="13" t="inlineStr">
        <is>
          <t>BBS</t>
        </is>
      </c>
    </row>
    <row r="145">
      <c r="A145" s="13" t="n">
        <v>140</v>
      </c>
      <c r="B145" s="13" t="inlineStr">
        <is>
          <t>Beams</t>
        </is>
      </c>
      <c r="C145" s="13" t="inlineStr">
        <is>
          <t>STR-079</t>
        </is>
      </c>
      <c r="D145" s="13" t="inlineStr">
        <is>
          <t>Typical 4th-8th floor beams (sheet 2 of 2)</t>
        </is>
      </c>
      <c r="E145" s="19" t="inlineStr">
        <is>
          <t>1608</t>
        </is>
      </c>
      <c r="F145" s="19" t="n">
        <v>16</v>
      </c>
      <c r="G145" s="19" t="n">
        <v>1</v>
      </c>
      <c r="H145" s="19" t="n">
        <v>6</v>
      </c>
      <c r="I145" s="13">
        <f>G145*H145</f>
        <v>6.0</v>
      </c>
      <c r="J145" s="20">
        <f>9050/1000</f>
        <v>9.05</v>
      </c>
      <c r="K145" s="21">
        <f>I145*J145</f>
        <v>54.300000000000004</v>
      </c>
      <c r="L145" s="22">
        <f>F145^2/162</f>
        <v>1.5802469135802468</v>
      </c>
      <c r="M145" s="21">
        <f>K145*L145</f>
        <v>85.80740740740741</v>
      </c>
      <c r="N145" s="22">
        <f>M145/1000</f>
        <v>0.08580740740740742</v>
      </c>
      <c r="O145" s="13" t="inlineStr">
        <is>
          <t>BBS</t>
        </is>
      </c>
    </row>
    <row r="146">
      <c r="A146" s="13" t="n">
        <v>141</v>
      </c>
      <c r="B146" s="13" t="inlineStr">
        <is>
          <t>Beams</t>
        </is>
      </c>
      <c r="C146" s="13" t="inlineStr">
        <is>
          <t>STR-079</t>
        </is>
      </c>
      <c r="D146" s="13" t="inlineStr">
        <is>
          <t>Typical 4th-8th floor beams (sheet 2 of 2)</t>
        </is>
      </c>
      <c r="E146" s="19" t="inlineStr">
        <is>
          <t>1609</t>
        </is>
      </c>
      <c r="F146" s="19" t="n">
        <v>16</v>
      </c>
      <c r="G146" s="19" t="n">
        <v>1</v>
      </c>
      <c r="H146" s="19" t="n">
        <v>3</v>
      </c>
      <c r="I146" s="13">
        <f>G146*H146</f>
        <v>3.0</v>
      </c>
      <c r="J146" s="20">
        <f>9800/1000</f>
        <v>9.8</v>
      </c>
      <c r="K146" s="21">
        <f>I146*J146</f>
        <v>29.400000000000002</v>
      </c>
      <c r="L146" s="22">
        <f>F146^2/162</f>
        <v>1.5802469135802468</v>
      </c>
      <c r="M146" s="21">
        <f>K146*L146</f>
        <v>46.45925925925926</v>
      </c>
      <c r="N146" s="22">
        <f>M146/1000</f>
        <v>0.04645925925925926</v>
      </c>
      <c r="O146" s="13" t="inlineStr">
        <is>
          <t>BBS</t>
        </is>
      </c>
    </row>
    <row r="147">
      <c r="A147" s="13" t="n">
        <v>142</v>
      </c>
      <c r="B147" s="13" t="inlineStr">
        <is>
          <t>Beams</t>
        </is>
      </c>
      <c r="C147" s="13" t="inlineStr">
        <is>
          <t>STR-079</t>
        </is>
      </c>
      <c r="D147" s="13" t="inlineStr">
        <is>
          <t>Typical 4th-8th floor beams (sheet 2 of 2)</t>
        </is>
      </c>
      <c r="E147" s="19" t="inlineStr">
        <is>
          <t>1610</t>
        </is>
      </c>
      <c r="F147" s="19" t="n">
        <v>16</v>
      </c>
      <c r="G147" s="19" t="n">
        <v>1</v>
      </c>
      <c r="H147" s="19" t="n">
        <v>2</v>
      </c>
      <c r="I147" s="13">
        <f>G147*H147</f>
        <v>2.0</v>
      </c>
      <c r="J147" s="20">
        <f>7900/1000</f>
        <v>7.9</v>
      </c>
      <c r="K147" s="21">
        <f>I147*J147</f>
        <v>15.8</v>
      </c>
      <c r="L147" s="22">
        <f>F147^2/162</f>
        <v>1.5802469135802468</v>
      </c>
      <c r="M147" s="21">
        <f>K147*L147</f>
        <v>24.9679012345679</v>
      </c>
      <c r="N147" s="22">
        <f>M147/1000</f>
        <v>0.0249679012345679</v>
      </c>
      <c r="O147" s="13" t="inlineStr">
        <is>
          <t>BBS</t>
        </is>
      </c>
    </row>
    <row r="148">
      <c r="A148" s="13" t="n">
        <v>143</v>
      </c>
      <c r="B148" s="13" t="inlineStr">
        <is>
          <t>Beams</t>
        </is>
      </c>
      <c r="C148" s="13" t="inlineStr">
        <is>
          <t>STR-079</t>
        </is>
      </c>
      <c r="D148" s="13" t="inlineStr">
        <is>
          <t>Typical 4th-8th floor beams (sheet 2 of 2)</t>
        </is>
      </c>
      <c r="E148" s="19" t="inlineStr">
        <is>
          <t>1611</t>
        </is>
      </c>
      <c r="F148" s="19" t="n">
        <v>16</v>
      </c>
      <c r="G148" s="19" t="n">
        <v>1</v>
      </c>
      <c r="H148" s="19" t="n">
        <v>18</v>
      </c>
      <c r="I148" s="13">
        <f>G148*H148</f>
        <v>18.0</v>
      </c>
      <c r="J148" s="20">
        <f>3350/1000</f>
        <v>3.35</v>
      </c>
      <c r="K148" s="21">
        <f>I148*J148</f>
        <v>60.300000000000004</v>
      </c>
      <c r="L148" s="22">
        <f>F148^2/162</f>
        <v>1.5802469135802468</v>
      </c>
      <c r="M148" s="21">
        <f>K148*L148</f>
        <v>95.28888888888889</v>
      </c>
      <c r="N148" s="22">
        <f>M148/1000</f>
        <v>0.0952888888888889</v>
      </c>
      <c r="O148" s="13" t="inlineStr">
        <is>
          <t>BBS</t>
        </is>
      </c>
    </row>
    <row r="149">
      <c r="A149" s="13" t="n">
        <v>144</v>
      </c>
      <c r="B149" s="13" t="inlineStr">
        <is>
          <t>Beams</t>
        </is>
      </c>
      <c r="C149" s="13" t="inlineStr">
        <is>
          <t>STR-079</t>
        </is>
      </c>
      <c r="D149" s="13" t="inlineStr">
        <is>
          <t>Typical 4th-8th floor beams (sheet 2 of 2)</t>
        </is>
      </c>
      <c r="E149" s="19" t="inlineStr">
        <is>
          <t>1612</t>
        </is>
      </c>
      <c r="F149" s="19" t="n">
        <v>16</v>
      </c>
      <c r="G149" s="19" t="n">
        <v>1</v>
      </c>
      <c r="H149" s="19" t="n">
        <v>2</v>
      </c>
      <c r="I149" s="13">
        <f>G149*H149</f>
        <v>2.0</v>
      </c>
      <c r="J149" s="20">
        <f>2400/1000</f>
        <v>2.4</v>
      </c>
      <c r="K149" s="21">
        <f>I149*J149</f>
        <v>4.8</v>
      </c>
      <c r="L149" s="22">
        <f>F149^2/162</f>
        <v>1.5802469135802468</v>
      </c>
      <c r="M149" s="21">
        <f>K149*L149</f>
        <v>7.585185185185185</v>
      </c>
      <c r="N149" s="22">
        <f>M149/1000</f>
        <v>0.007585185185185184</v>
      </c>
      <c r="O149" s="13" t="inlineStr">
        <is>
          <t>BBS</t>
        </is>
      </c>
    </row>
    <row r="150">
      <c r="A150" s="13" t="n">
        <v>145</v>
      </c>
      <c r="B150" s="13" t="inlineStr">
        <is>
          <t>Beams</t>
        </is>
      </c>
      <c r="C150" s="13" t="inlineStr">
        <is>
          <t>STR-079</t>
        </is>
      </c>
      <c r="D150" s="13" t="inlineStr">
        <is>
          <t>Typical 4th-8th floor beams (sheet 2 of 2)</t>
        </is>
      </c>
      <c r="E150" s="19" t="inlineStr">
        <is>
          <t>1613</t>
        </is>
      </c>
      <c r="F150" s="19" t="n">
        <v>16</v>
      </c>
      <c r="G150" s="19" t="n">
        <v>1</v>
      </c>
      <c r="H150" s="19" t="n">
        <v>2</v>
      </c>
      <c r="I150" s="13">
        <f>G150*H150</f>
        <v>2.0</v>
      </c>
      <c r="J150" s="20">
        <f>10550/1000</f>
        <v>10.55</v>
      </c>
      <c r="K150" s="21">
        <f>I150*J150</f>
        <v>21.1</v>
      </c>
      <c r="L150" s="22">
        <f>F150^2/162</f>
        <v>1.5802469135802468</v>
      </c>
      <c r="M150" s="21">
        <f>K150*L150</f>
        <v>33.34320987654321</v>
      </c>
      <c r="N150" s="22">
        <f>M150/1000</f>
        <v>0.03334320987654321</v>
      </c>
      <c r="O150" s="13" t="inlineStr">
        <is>
          <t>BBS</t>
        </is>
      </c>
    </row>
    <row r="151">
      <c r="A151" s="13" t="n">
        <v>146</v>
      </c>
      <c r="B151" s="13" t="inlineStr">
        <is>
          <t>Beams</t>
        </is>
      </c>
      <c r="C151" s="13" t="inlineStr">
        <is>
          <t>STR-079</t>
        </is>
      </c>
      <c r="D151" s="13" t="inlineStr">
        <is>
          <t>Typical 4th-8th floor beams (sheet 2 of 2)</t>
        </is>
      </c>
      <c r="E151" s="19" t="inlineStr">
        <is>
          <t>1614</t>
        </is>
      </c>
      <c r="F151" s="19" t="n">
        <v>16</v>
      </c>
      <c r="G151" s="19" t="n">
        <v>1</v>
      </c>
      <c r="H151" s="19" t="n">
        <v>2</v>
      </c>
      <c r="I151" s="13">
        <f>G151*H151</f>
        <v>2.0</v>
      </c>
      <c r="J151" s="20">
        <f>9050/1000</f>
        <v>9.05</v>
      </c>
      <c r="K151" s="21">
        <f>I151*J151</f>
        <v>18.1</v>
      </c>
      <c r="L151" s="22">
        <f>F151^2/162</f>
        <v>1.5802469135802468</v>
      </c>
      <c r="M151" s="21">
        <f>K151*L151</f>
        <v>28.60246913580247</v>
      </c>
      <c r="N151" s="22">
        <f>M151/1000</f>
        <v>0.02860246913580247</v>
      </c>
      <c r="O151" s="13" t="inlineStr">
        <is>
          <t>BBS</t>
        </is>
      </c>
    </row>
    <row r="152">
      <c r="A152" s="13" t="n">
        <v>147</v>
      </c>
      <c r="B152" s="13" t="inlineStr">
        <is>
          <t>Beams</t>
        </is>
      </c>
      <c r="C152" s="13" t="inlineStr">
        <is>
          <t>STR-079</t>
        </is>
      </c>
      <c r="D152" s="13" t="inlineStr">
        <is>
          <t>Typical 4th-8th floor beams (sheet 2 of 2)</t>
        </is>
      </c>
      <c r="E152" s="19" t="inlineStr">
        <is>
          <t>2001</t>
        </is>
      </c>
      <c r="F152" s="19" t="n">
        <v>20</v>
      </c>
      <c r="G152" s="19" t="n">
        <v>1</v>
      </c>
      <c r="H152" s="19" t="n">
        <v>6</v>
      </c>
      <c r="I152" s="13">
        <f>G152*H152</f>
        <v>6.0</v>
      </c>
      <c r="J152" s="20">
        <f>8500/1000</f>
        <v>8.5</v>
      </c>
      <c r="K152" s="21">
        <f>I152*J152</f>
        <v>51.0</v>
      </c>
      <c r="L152" s="22">
        <f>F152^2/162</f>
        <v>2.4691358024691357</v>
      </c>
      <c r="M152" s="21">
        <f>K152*L152</f>
        <v>125.92592592592592</v>
      </c>
      <c r="N152" s="22">
        <f>M152/1000</f>
        <v>0.1259259259259259</v>
      </c>
      <c r="O152" s="13" t="inlineStr">
        <is>
          <t>BBS</t>
        </is>
      </c>
    </row>
    <row r="153">
      <c r="A153" s="13" t="n">
        <v>148</v>
      </c>
      <c r="B153" s="13" t="inlineStr">
        <is>
          <t>Beams</t>
        </is>
      </c>
      <c r="C153" s="13" t="inlineStr">
        <is>
          <t>STR-079</t>
        </is>
      </c>
      <c r="D153" s="13" t="inlineStr">
        <is>
          <t>Typical 4th-8th floor beams (sheet 2 of 2)</t>
        </is>
      </c>
      <c r="E153" s="19" t="inlineStr">
        <is>
          <t>2501</t>
        </is>
      </c>
      <c r="F153" s="19" t="n">
        <v>25</v>
      </c>
      <c r="G153" s="19" t="n">
        <v>1</v>
      </c>
      <c r="H153" s="19" t="n">
        <v>3</v>
      </c>
      <c r="I153" s="13">
        <f>G153*H153</f>
        <v>3.0</v>
      </c>
      <c r="J153" s="20">
        <f>5850/1000</f>
        <v>5.85</v>
      </c>
      <c r="K153" s="21">
        <f>I153*J153</f>
        <v>17.549999999999997</v>
      </c>
      <c r="L153" s="22">
        <f>F153^2/162</f>
        <v>3.8580246913580245</v>
      </c>
      <c r="M153" s="21">
        <f>K153*L153</f>
        <v>67.70833333333331</v>
      </c>
      <c r="N153" s="22">
        <f>M153/1000</f>
        <v>0.06770833333333331</v>
      </c>
      <c r="O153" s="13" t="inlineStr">
        <is>
          <t>BBS</t>
        </is>
      </c>
    </row>
    <row r="154">
      <c r="A154" s="13" t="n">
        <v>149</v>
      </c>
      <c r="B154" s="13" t="inlineStr">
        <is>
          <t>Beams</t>
        </is>
      </c>
      <c r="C154" s="13" t="inlineStr">
        <is>
          <t>STR-079</t>
        </is>
      </c>
      <c r="D154" s="13" t="inlineStr">
        <is>
          <t>Typical 4th-8th floor beams (sheet 2 of 2)</t>
        </is>
      </c>
      <c r="E154" s="19" t="inlineStr">
        <is>
          <t>2502</t>
        </is>
      </c>
      <c r="F154" s="19" t="n">
        <v>25</v>
      </c>
      <c r="G154" s="19" t="n">
        <v>1</v>
      </c>
      <c r="H154" s="19" t="n">
        <v>3</v>
      </c>
      <c r="I154" s="13">
        <f>G154*H154</f>
        <v>3.0</v>
      </c>
      <c r="J154" s="20">
        <f>8000/1000</f>
        <v>8.0</v>
      </c>
      <c r="K154" s="21">
        <f>I154*J154</f>
        <v>24.0</v>
      </c>
      <c r="L154" s="22">
        <f>F154^2/162</f>
        <v>3.8580246913580245</v>
      </c>
      <c r="M154" s="21">
        <f>K154*L154</f>
        <v>92.59259259259258</v>
      </c>
      <c r="N154" s="22">
        <f>M154/1000</f>
        <v>0.09259259259259259</v>
      </c>
      <c r="O154" s="13" t="inlineStr">
        <is>
          <t>BBS</t>
        </is>
      </c>
    </row>
    <row r="155">
      <c r="A155" s="13" t="n">
        <v>150</v>
      </c>
      <c r="B155" s="13" t="inlineStr">
        <is>
          <t>Beams</t>
        </is>
      </c>
      <c r="C155" s="13" t="inlineStr">
        <is>
          <t>STR-079</t>
        </is>
      </c>
      <c r="D155" s="13" t="inlineStr">
        <is>
          <t>Typical 4th-8th floor beams (sheet 2 of 2)</t>
        </is>
      </c>
      <c r="E155" s="19" t="inlineStr">
        <is>
          <t>2503</t>
        </is>
      </c>
      <c r="F155" s="19" t="n">
        <v>25</v>
      </c>
      <c r="G155" s="19" t="n">
        <v>1</v>
      </c>
      <c r="H155" s="19" t="n">
        <v>3</v>
      </c>
      <c r="I155" s="13">
        <f>G155*H155</f>
        <v>3.0</v>
      </c>
      <c r="J155" s="20">
        <f>8700/1000</f>
        <v>8.7</v>
      </c>
      <c r="K155" s="21">
        <f>I155*J155</f>
        <v>26.099999999999998</v>
      </c>
      <c r="L155" s="22">
        <f>F155^2/162</f>
        <v>3.8580246913580245</v>
      </c>
      <c r="M155" s="21">
        <f>K155*L155</f>
        <v>100.69444444444443</v>
      </c>
      <c r="N155" s="22">
        <f>M155/1000</f>
        <v>0.10069444444444443</v>
      </c>
      <c r="O155" s="13" t="inlineStr">
        <is>
          <t>BBS</t>
        </is>
      </c>
    </row>
    <row r="156">
      <c r="A156" s="13" t="n">
        <v>151</v>
      </c>
      <c r="B156" s="13" t="inlineStr">
        <is>
          <t>Beams</t>
        </is>
      </c>
      <c r="C156" s="13" t="inlineStr">
        <is>
          <t>STR-079</t>
        </is>
      </c>
      <c r="D156" s="13" t="inlineStr">
        <is>
          <t>Typical 4th-8th floor beams (sheet 2 of 2)</t>
        </is>
      </c>
      <c r="E156" s="19" t="inlineStr">
        <is>
          <t>2504</t>
        </is>
      </c>
      <c r="F156" s="19" t="n">
        <v>25</v>
      </c>
      <c r="G156" s="19" t="n">
        <v>1</v>
      </c>
      <c r="H156" s="19" t="n">
        <v>3</v>
      </c>
      <c r="I156" s="13">
        <f>G156*H156</f>
        <v>3.0</v>
      </c>
      <c r="J156" s="20">
        <f>5900/1000</f>
        <v>5.9</v>
      </c>
      <c r="K156" s="21">
        <f>I156*J156</f>
        <v>17.700000000000003</v>
      </c>
      <c r="L156" s="22">
        <f>F156^2/162</f>
        <v>3.8580246913580245</v>
      </c>
      <c r="M156" s="21">
        <f>K156*L156</f>
        <v>68.28703703703704</v>
      </c>
      <c r="N156" s="22">
        <f>M156/1000</f>
        <v>0.06828703703703703</v>
      </c>
      <c r="O156" s="13" t="inlineStr">
        <is>
          <t>BBS</t>
        </is>
      </c>
    </row>
    <row r="157">
      <c r="A157" s="13" t="n">
        <v>152</v>
      </c>
      <c r="B157" s="13" t="inlineStr">
        <is>
          <t>Beams</t>
        </is>
      </c>
      <c r="C157" s="13" t="inlineStr">
        <is>
          <t>STR-079</t>
        </is>
      </c>
      <c r="D157" s="13" t="inlineStr">
        <is>
          <t>Typical 4th-8th floor beams (sheet 2 of 2)</t>
        </is>
      </c>
      <c r="E157" s="19" t="inlineStr">
        <is>
          <t>2505</t>
        </is>
      </c>
      <c r="F157" s="19" t="n">
        <v>25</v>
      </c>
      <c r="G157" s="19" t="n">
        <v>1</v>
      </c>
      <c r="H157" s="19" t="n">
        <v>3</v>
      </c>
      <c r="I157" s="13">
        <f>G157*H157</f>
        <v>3.0</v>
      </c>
      <c r="J157" s="20">
        <f>7750/1000</f>
        <v>7.75</v>
      </c>
      <c r="K157" s="21">
        <f>I157*J157</f>
        <v>23.25</v>
      </c>
      <c r="L157" s="22">
        <f>F157^2/162</f>
        <v>3.8580246913580245</v>
      </c>
      <c r="M157" s="21">
        <f>K157*L157</f>
        <v>89.69907407407408</v>
      </c>
      <c r="N157" s="22">
        <f>M157/1000</f>
        <v>0.08969907407407407</v>
      </c>
      <c r="O157" s="13" t="inlineStr">
        <is>
          <t>BBS</t>
        </is>
      </c>
    </row>
    <row r="158">
      <c r="A158" s="13" t="n">
        <v>153</v>
      </c>
      <c r="B158" s="13" t="inlineStr">
        <is>
          <t>Beams</t>
        </is>
      </c>
      <c r="C158" s="13" t="inlineStr">
        <is>
          <t>STR-079</t>
        </is>
      </c>
      <c r="D158" s="13" t="inlineStr">
        <is>
          <t>Typical 4th-8th floor beams (sheet 2 of 2)</t>
        </is>
      </c>
      <c r="E158" s="19" t="inlineStr">
        <is>
          <t>2506</t>
        </is>
      </c>
      <c r="F158" s="19" t="n">
        <v>25</v>
      </c>
      <c r="G158" s="19" t="n">
        <v>1</v>
      </c>
      <c r="H158" s="19" t="n">
        <v>3</v>
      </c>
      <c r="I158" s="13">
        <f>G158*H158</f>
        <v>3.0</v>
      </c>
      <c r="J158" s="20">
        <f>6500/1000</f>
        <v>6.5</v>
      </c>
      <c r="K158" s="21">
        <f>I158*J158</f>
        <v>19.5</v>
      </c>
      <c r="L158" s="22">
        <f>F158^2/162</f>
        <v>3.8580246913580245</v>
      </c>
      <c r="M158" s="21">
        <f>K158*L158</f>
        <v>75.23148148148148</v>
      </c>
      <c r="N158" s="22">
        <f>M158/1000</f>
        <v>0.07523148148148148</v>
      </c>
      <c r="O158" s="13" t="inlineStr">
        <is>
          <t>BBS</t>
        </is>
      </c>
    </row>
    <row r="159">
      <c r="A159" s="13" t="n">
        <v>154</v>
      </c>
      <c r="B159" s="13" t="inlineStr">
        <is>
          <t>Beams</t>
        </is>
      </c>
      <c r="C159" s="13" t="inlineStr">
        <is>
          <t>STR-079</t>
        </is>
      </c>
      <c r="D159" s="13" t="inlineStr">
        <is>
          <t>Typical 4th-8th floor beams (sheet 2 of 2)</t>
        </is>
      </c>
      <c r="E159" s="19" t="inlineStr">
        <is>
          <t>2507</t>
        </is>
      </c>
      <c r="F159" s="19" t="n">
        <v>25</v>
      </c>
      <c r="G159" s="19" t="n">
        <v>1</v>
      </c>
      <c r="H159" s="19" t="n">
        <v>3</v>
      </c>
      <c r="I159" s="13">
        <f>G159*H159</f>
        <v>3.0</v>
      </c>
      <c r="J159" s="20">
        <f>9850/1000</f>
        <v>9.85</v>
      </c>
      <c r="K159" s="21">
        <f>I159*J159</f>
        <v>29.549999999999997</v>
      </c>
      <c r="L159" s="22">
        <f>F159^2/162</f>
        <v>3.8580246913580245</v>
      </c>
      <c r="M159" s="21">
        <f>K159*L159</f>
        <v>114.00462962962962</v>
      </c>
      <c r="N159" s="22">
        <f>M159/1000</f>
        <v>0.11400462962962962</v>
      </c>
      <c r="O159" s="13" t="inlineStr">
        <is>
          <t>BBS</t>
        </is>
      </c>
    </row>
    <row r="160">
      <c r="A160" s="13" t="n">
        <v>155</v>
      </c>
      <c r="B160" s="13" t="inlineStr">
        <is>
          <t>Beams</t>
        </is>
      </c>
      <c r="C160" s="13" t="inlineStr">
        <is>
          <t>STR-079</t>
        </is>
      </c>
      <c r="D160" s="13" t="inlineStr">
        <is>
          <t>Typical 4th-8th floor beams (sheet 2 of 2)</t>
        </is>
      </c>
      <c r="E160" s="19" t="inlineStr">
        <is>
          <t>2508</t>
        </is>
      </c>
      <c r="F160" s="19" t="n">
        <v>25</v>
      </c>
      <c r="G160" s="19" t="n">
        <v>1</v>
      </c>
      <c r="H160" s="19" t="n">
        <v>3</v>
      </c>
      <c r="I160" s="13">
        <f>G160*H160</f>
        <v>3.0</v>
      </c>
      <c r="J160" s="20">
        <f>11650/1000</f>
        <v>11.65</v>
      </c>
      <c r="K160" s="21">
        <f>I160*J160</f>
        <v>34.95</v>
      </c>
      <c r="L160" s="22">
        <f>F160^2/162</f>
        <v>3.8580246913580245</v>
      </c>
      <c r="M160" s="21">
        <f>K160*L160</f>
        <v>134.83796296296296</v>
      </c>
      <c r="N160" s="22">
        <f>M160/1000</f>
        <v>0.13483796296296297</v>
      </c>
      <c r="O160" s="13" t="inlineStr">
        <is>
          <t>BBS</t>
        </is>
      </c>
    </row>
    <row r="161">
      <c r="A161" s="13" t="n">
        <v>156</v>
      </c>
      <c r="B161" s="13" t="inlineStr">
        <is>
          <t>Beams</t>
        </is>
      </c>
      <c r="C161" s="13" t="inlineStr">
        <is>
          <t>STR-079</t>
        </is>
      </c>
      <c r="D161" s="13" t="inlineStr">
        <is>
          <t>Typical 4th-8th floor beams (sheet 2 of 2)</t>
        </is>
      </c>
      <c r="E161" s="19" t="inlineStr">
        <is>
          <t>2509</t>
        </is>
      </c>
      <c r="F161" s="19" t="n">
        <v>25</v>
      </c>
      <c r="G161" s="19" t="n">
        <v>1</v>
      </c>
      <c r="H161" s="19" t="n">
        <v>3</v>
      </c>
      <c r="I161" s="13">
        <f>G161*H161</f>
        <v>3.0</v>
      </c>
      <c r="J161" s="20">
        <f>6450/1000</f>
        <v>6.45</v>
      </c>
      <c r="K161" s="21">
        <f>I161*J161</f>
        <v>19.35</v>
      </c>
      <c r="L161" s="22">
        <f>F161^2/162</f>
        <v>3.8580246913580245</v>
      </c>
      <c r="M161" s="21">
        <f>K161*L161</f>
        <v>74.65277777777779</v>
      </c>
      <c r="N161" s="22">
        <f>M161/1000</f>
        <v>0.07465277777777779</v>
      </c>
      <c r="O161" s="13" t="inlineStr">
        <is>
          <t>BBS</t>
        </is>
      </c>
    </row>
    <row r="162">
      <c r="A162" s="13" t="n">
        <v>157</v>
      </c>
      <c r="B162" s="13" t="inlineStr">
        <is>
          <t>Beams</t>
        </is>
      </c>
      <c r="C162" s="13" t="inlineStr">
        <is>
          <t>STR-079</t>
        </is>
      </c>
      <c r="D162" s="13" t="inlineStr">
        <is>
          <t>Typical 4th-8th floor beams (sheet 2 of 2)</t>
        </is>
      </c>
      <c r="E162" s="19" t="inlineStr">
        <is>
          <t>2510</t>
        </is>
      </c>
      <c r="F162" s="19" t="n">
        <v>25</v>
      </c>
      <c r="G162" s="19" t="n">
        <v>1</v>
      </c>
      <c r="H162" s="19" t="n">
        <v>3</v>
      </c>
      <c r="I162" s="13">
        <f>G162*H162</f>
        <v>3.0</v>
      </c>
      <c r="J162" s="20">
        <f>7700/1000</f>
        <v>7.7</v>
      </c>
      <c r="K162" s="21">
        <f>I162*J162</f>
        <v>23.1</v>
      </c>
      <c r="L162" s="22">
        <f>F162^2/162</f>
        <v>3.8580246913580245</v>
      </c>
      <c r="M162" s="21">
        <f>K162*L162</f>
        <v>89.12037037037037</v>
      </c>
      <c r="N162" s="22">
        <f>M162/1000</f>
        <v>0.08912037037037036</v>
      </c>
      <c r="O162" s="13" t="inlineStr">
        <is>
          <t>BBS</t>
        </is>
      </c>
    </row>
    <row r="163">
      <c r="A163" s="13" t="n">
        <v>158</v>
      </c>
      <c r="B163" s="13" t="inlineStr">
        <is>
          <t>Beams</t>
        </is>
      </c>
      <c r="C163" s="13" t="inlineStr">
        <is>
          <t>STR-079</t>
        </is>
      </c>
      <c r="D163" s="13" t="inlineStr">
        <is>
          <t>Typical 4th-8th floor beams (sheet 2 of 2)</t>
        </is>
      </c>
      <c r="E163" s="19" t="inlineStr">
        <is>
          <t>2511</t>
        </is>
      </c>
      <c r="F163" s="19" t="n">
        <v>25</v>
      </c>
      <c r="G163" s="19" t="n">
        <v>1</v>
      </c>
      <c r="H163" s="19" t="n">
        <v>24</v>
      </c>
      <c r="I163" s="13">
        <f>G163*H163</f>
        <v>24.0</v>
      </c>
      <c r="J163" s="20">
        <f>3550/1000</f>
        <v>3.55</v>
      </c>
      <c r="K163" s="21">
        <f>I163*J163</f>
        <v>85.19999999999999</v>
      </c>
      <c r="L163" s="22">
        <f>F163^2/162</f>
        <v>3.8580246913580245</v>
      </c>
      <c r="M163" s="21">
        <f>K163*L163</f>
        <v>328.70370370370364</v>
      </c>
      <c r="N163" s="22">
        <f>M163/1000</f>
        <v>0.32870370370370366</v>
      </c>
      <c r="O163" s="13" t="inlineStr">
        <is>
          <t>BBS</t>
        </is>
      </c>
    </row>
    <row r="164">
      <c r="A164" s="13" t="n">
        <v>159</v>
      </c>
      <c r="B164" s="13" t="inlineStr">
        <is>
          <t>Beams</t>
        </is>
      </c>
      <c r="C164" s="13" t="inlineStr">
        <is>
          <t>STR-079</t>
        </is>
      </c>
      <c r="D164" s="13" t="inlineStr">
        <is>
          <t>Typical 4th-8th floor beams (sheet 2 of 2)</t>
        </is>
      </c>
      <c r="E164" s="19" t="inlineStr">
        <is>
          <t>2512</t>
        </is>
      </c>
      <c r="F164" s="19" t="n">
        <v>25</v>
      </c>
      <c r="G164" s="19" t="n">
        <v>1</v>
      </c>
      <c r="H164" s="19" t="n">
        <v>3</v>
      </c>
      <c r="I164" s="13">
        <f>G164*H164</f>
        <v>3.0</v>
      </c>
      <c r="J164" s="20">
        <f>7750/1000</f>
        <v>7.75</v>
      </c>
      <c r="K164" s="21">
        <f>I164*J164</f>
        <v>23.25</v>
      </c>
      <c r="L164" s="22">
        <f>F164^2/162</f>
        <v>3.8580246913580245</v>
      </c>
      <c r="M164" s="21">
        <f>K164*L164</f>
        <v>89.69907407407408</v>
      </c>
      <c r="N164" s="22">
        <f>M164/1000</f>
        <v>0.08969907407407407</v>
      </c>
      <c r="O164" s="13" t="inlineStr">
        <is>
          <t>BBS</t>
        </is>
      </c>
    </row>
    <row r="165">
      <c r="A165" s="13" t="n">
        <v>160</v>
      </c>
      <c r="B165" s="13" t="inlineStr">
        <is>
          <t>Beams</t>
        </is>
      </c>
      <c r="C165" s="13" t="inlineStr">
        <is>
          <t>STR-079</t>
        </is>
      </c>
      <c r="D165" s="13" t="inlineStr">
        <is>
          <t>Typical 4th-8th floor beams (sheet 2 of 2)</t>
        </is>
      </c>
      <c r="E165" s="19" t="inlineStr">
        <is>
          <t>2513</t>
        </is>
      </c>
      <c r="F165" s="19" t="n">
        <v>25</v>
      </c>
      <c r="G165" s="19" t="n">
        <v>1</v>
      </c>
      <c r="H165" s="19" t="n">
        <v>6</v>
      </c>
      <c r="I165" s="13">
        <f>G165*H165</f>
        <v>6.0</v>
      </c>
      <c r="J165" s="20">
        <f>6350/1000</f>
        <v>6.35</v>
      </c>
      <c r="K165" s="21">
        <f>I165*J165</f>
        <v>38.099999999999994</v>
      </c>
      <c r="L165" s="22">
        <f>F165^2/162</f>
        <v>3.8580246913580245</v>
      </c>
      <c r="M165" s="21">
        <f>K165*L165</f>
        <v>146.9907407407407</v>
      </c>
      <c r="N165" s="22">
        <f>M165/1000</f>
        <v>0.1469907407407407</v>
      </c>
      <c r="O165" s="13" t="inlineStr">
        <is>
          <t>BBS</t>
        </is>
      </c>
    </row>
    <row r="166">
      <c r="A166" s="13" t="n">
        <v>161</v>
      </c>
      <c r="B166" s="13" t="inlineStr">
        <is>
          <t>Beams</t>
        </is>
      </c>
      <c r="C166" s="13" t="inlineStr">
        <is>
          <t>STR-079</t>
        </is>
      </c>
      <c r="D166" s="13" t="inlineStr">
        <is>
          <t>Typical 4th-8th floor beams (sheet 2 of 2)</t>
        </is>
      </c>
      <c r="E166" s="19" t="inlineStr">
        <is>
          <t>2514</t>
        </is>
      </c>
      <c r="F166" s="19" t="n">
        <v>25</v>
      </c>
      <c r="G166" s="19" t="n">
        <v>1</v>
      </c>
      <c r="H166" s="19" t="n">
        <v>3</v>
      </c>
      <c r="I166" s="13">
        <f>G166*H166</f>
        <v>3.0</v>
      </c>
      <c r="J166" s="20">
        <f>10450/1000</f>
        <v>10.45</v>
      </c>
      <c r="K166" s="21">
        <f>I166*J166</f>
        <v>31.349999999999998</v>
      </c>
      <c r="L166" s="22">
        <f>F166^2/162</f>
        <v>3.8580246913580245</v>
      </c>
      <c r="M166" s="21">
        <f>K166*L166</f>
        <v>120.94907407407406</v>
      </c>
      <c r="N166" s="22">
        <f>M166/1000</f>
        <v>0.12094907407407406</v>
      </c>
      <c r="O166" s="13" t="inlineStr">
        <is>
          <t>BBS</t>
        </is>
      </c>
    </row>
    <row r="167">
      <c r="A167" s="13" t="n">
        <v>162</v>
      </c>
      <c r="B167" s="13" t="inlineStr">
        <is>
          <t>Beams</t>
        </is>
      </c>
      <c r="C167" s="13" t="inlineStr">
        <is>
          <t>STR-079</t>
        </is>
      </c>
      <c r="D167" s="13" t="inlineStr">
        <is>
          <t>Typical 4th-8th floor beams (sheet 2 of 2)</t>
        </is>
      </c>
      <c r="E167" s="19" t="inlineStr">
        <is>
          <t>2515</t>
        </is>
      </c>
      <c r="F167" s="19" t="n">
        <v>25</v>
      </c>
      <c r="G167" s="19" t="n">
        <v>1</v>
      </c>
      <c r="H167" s="19" t="n">
        <v>3</v>
      </c>
      <c r="I167" s="13">
        <f>G167*H167</f>
        <v>3.0</v>
      </c>
      <c r="J167" s="20">
        <f>11200/1000</f>
        <v>11.2</v>
      </c>
      <c r="K167" s="21">
        <f>I167*J167</f>
        <v>33.599999999999994</v>
      </c>
      <c r="L167" s="22">
        <f>F167^2/162</f>
        <v>3.8580246913580245</v>
      </c>
      <c r="M167" s="21">
        <f>K167*L167</f>
        <v>129.6296296296296</v>
      </c>
      <c r="N167" s="22">
        <f>M167/1000</f>
        <v>0.1296296296296296</v>
      </c>
      <c r="O167" s="13" t="inlineStr">
        <is>
          <t>BBS</t>
        </is>
      </c>
    </row>
    <row r="168">
      <c r="A168" s="13" t="n">
        <v>163</v>
      </c>
      <c r="B168" s="13" t="inlineStr">
        <is>
          <t>Beams</t>
        </is>
      </c>
      <c r="C168" s="13" t="inlineStr">
        <is>
          <t>STR-079</t>
        </is>
      </c>
      <c r="D168" s="13" t="inlineStr">
        <is>
          <t>Typical 4th-8th floor beams (sheet 2 of 2)</t>
        </is>
      </c>
      <c r="E168" s="19" t="inlineStr">
        <is>
          <t>2516</t>
        </is>
      </c>
      <c r="F168" s="19" t="n">
        <v>25</v>
      </c>
      <c r="G168" s="19" t="n">
        <v>1</v>
      </c>
      <c r="H168" s="19" t="n">
        <v>3</v>
      </c>
      <c r="I168" s="13">
        <f>G168*H168</f>
        <v>3.0</v>
      </c>
      <c r="J168" s="20">
        <f>8275/1000</f>
        <v>8.275</v>
      </c>
      <c r="K168" s="21">
        <f>I168*J168</f>
        <v>24.825000000000003</v>
      </c>
      <c r="L168" s="22">
        <f>F168^2/162</f>
        <v>3.8580246913580245</v>
      </c>
      <c r="M168" s="21">
        <f>K168*L168</f>
        <v>95.77546296296298</v>
      </c>
      <c r="N168" s="22">
        <f>M168/1000</f>
        <v>0.09577546296296298</v>
      </c>
      <c r="O168" s="13" t="inlineStr">
        <is>
          <t>BBS</t>
        </is>
      </c>
    </row>
    <row r="169">
      <c r="A169" s="13" t="n">
        <v>164</v>
      </c>
      <c r="B169" s="13" t="inlineStr">
        <is>
          <t>Beams</t>
        </is>
      </c>
      <c r="C169" s="13" t="inlineStr">
        <is>
          <t>STR-079</t>
        </is>
      </c>
      <c r="D169" s="13" t="inlineStr">
        <is>
          <t>Typical 4th-8th floor beams (sheet 2 of 2)</t>
        </is>
      </c>
      <c r="E169" s="19" t="inlineStr">
        <is>
          <t>2517</t>
        </is>
      </c>
      <c r="F169" s="19" t="n">
        <v>25</v>
      </c>
      <c r="G169" s="19" t="n">
        <v>1</v>
      </c>
      <c r="H169" s="19" t="n">
        <v>6</v>
      </c>
      <c r="I169" s="13">
        <f>G169*H169</f>
        <v>6.0</v>
      </c>
      <c r="J169" s="20">
        <f>10150/1000</f>
        <v>10.15</v>
      </c>
      <c r="K169" s="21">
        <f>I169*J169</f>
        <v>60.900000000000006</v>
      </c>
      <c r="L169" s="22">
        <f>F169^2/162</f>
        <v>3.8580246913580245</v>
      </c>
      <c r="M169" s="21">
        <f>K169*L169</f>
        <v>234.95370370370372</v>
      </c>
      <c r="N169" s="22">
        <f>M169/1000</f>
        <v>0.23495370370370372</v>
      </c>
      <c r="O169" s="13" t="inlineStr">
        <is>
          <t>BBS</t>
        </is>
      </c>
    </row>
    <row r="170">
      <c r="A170" s="13" t="n">
        <v>165</v>
      </c>
      <c r="B170" s="13" t="inlineStr">
        <is>
          <t>Floor Slabs</t>
        </is>
      </c>
      <c r="C170" s="13" t="inlineStr">
        <is>
          <t>STR-080</t>
        </is>
      </c>
      <c r="D170" s="13" t="inlineStr">
        <is>
          <t>Typical 4th-8th slab - bottom</t>
        </is>
      </c>
      <c r="E170" s="19" t="inlineStr">
        <is>
          <t>1201</t>
        </is>
      </c>
      <c r="F170" s="19" t="n">
        <v>12</v>
      </c>
      <c r="G170" s="19" t="n">
        <v>1</v>
      </c>
      <c r="H170" s="19" t="n">
        <v>306</v>
      </c>
      <c r="I170" s="13">
        <f>G170*H170</f>
        <v>306.0</v>
      </c>
      <c r="J170" s="20">
        <f>9900/1000</f>
        <v>9.9</v>
      </c>
      <c r="K170" s="21">
        <f>I170*J170</f>
        <v>3029.4</v>
      </c>
      <c r="L170" s="22">
        <f>F170^2/162</f>
        <v>0.8888888888888888</v>
      </c>
      <c r="M170" s="21">
        <f>K170*L170</f>
        <v>2692.7999999999997</v>
      </c>
      <c r="N170" s="22">
        <f>M170/1000</f>
        <v>2.6927999999999996</v>
      </c>
      <c r="O170" s="13" t="inlineStr">
        <is>
          <t>BBS</t>
        </is>
      </c>
    </row>
    <row r="171">
      <c r="A171" s="13" t="n">
        <v>166</v>
      </c>
      <c r="B171" s="13" t="inlineStr">
        <is>
          <t>Floor Slabs</t>
        </is>
      </c>
      <c r="C171" s="13" t="inlineStr">
        <is>
          <t>STR-080</t>
        </is>
      </c>
      <c r="D171" s="13" t="inlineStr">
        <is>
          <t>Typical 4th-8th slab - bottom</t>
        </is>
      </c>
      <c r="E171" s="19" t="inlineStr">
        <is>
          <t>1202</t>
        </is>
      </c>
      <c r="F171" s="19" t="n">
        <v>12</v>
      </c>
      <c r="G171" s="19" t="n">
        <v>1</v>
      </c>
      <c r="H171" s="19" t="n">
        <v>349</v>
      </c>
      <c r="I171" s="13">
        <f>G171*H171</f>
        <v>349.0</v>
      </c>
      <c r="J171" s="20">
        <f>5500/1000</f>
        <v>5.5</v>
      </c>
      <c r="K171" s="21">
        <f>I171*J171</f>
        <v>1919.5</v>
      </c>
      <c r="L171" s="22">
        <f>F171^2/162</f>
        <v>0.8888888888888888</v>
      </c>
      <c r="M171" s="21">
        <f>K171*L171</f>
        <v>1706.2222222222222</v>
      </c>
      <c r="N171" s="22">
        <f>M171/1000</f>
        <v>1.706222222222222</v>
      </c>
      <c r="O171" s="13" t="inlineStr">
        <is>
          <t>BBS</t>
        </is>
      </c>
    </row>
    <row r="172">
      <c r="A172" s="13" t="n">
        <v>167</v>
      </c>
      <c r="B172" s="13" t="inlineStr">
        <is>
          <t>Floor Slabs</t>
        </is>
      </c>
      <c r="C172" s="13" t="inlineStr">
        <is>
          <t>STR-080</t>
        </is>
      </c>
      <c r="D172" s="13" t="inlineStr">
        <is>
          <t>Typical 4th-8th slab - bottom</t>
        </is>
      </c>
      <c r="E172" s="19" t="inlineStr">
        <is>
          <t>1203</t>
        </is>
      </c>
      <c r="F172" s="19" t="n">
        <v>12</v>
      </c>
      <c r="G172" s="19" t="n">
        <v>1</v>
      </c>
      <c r="H172" s="19" t="n">
        <v>16</v>
      </c>
      <c r="I172" s="13">
        <f>G172*H172</f>
        <v>16.0</v>
      </c>
      <c r="J172" s="20">
        <f>4450/1000</f>
        <v>4.45</v>
      </c>
      <c r="K172" s="21">
        <f>I172*J172</f>
        <v>71.2</v>
      </c>
      <c r="L172" s="22">
        <f>F172^2/162</f>
        <v>0.8888888888888888</v>
      </c>
      <c r="M172" s="21">
        <f>K172*L172</f>
        <v>63.28888888888889</v>
      </c>
      <c r="N172" s="22">
        <f>M172/1000</f>
        <v>0.0632888888888889</v>
      </c>
      <c r="O172" s="13" t="inlineStr">
        <is>
          <t>BBS</t>
        </is>
      </c>
    </row>
    <row r="173">
      <c r="A173" s="13" t="n">
        <v>168</v>
      </c>
      <c r="B173" s="13" t="inlineStr">
        <is>
          <t>Floor Slabs</t>
        </is>
      </c>
      <c r="C173" s="13" t="inlineStr">
        <is>
          <t>STR-080</t>
        </is>
      </c>
      <c r="D173" s="13" t="inlineStr">
        <is>
          <t>Typical 4th-8th slab - bottom</t>
        </is>
      </c>
      <c r="E173" s="19" t="inlineStr">
        <is>
          <t>1204</t>
        </is>
      </c>
      <c r="F173" s="19" t="n">
        <v>12</v>
      </c>
      <c r="G173" s="19" t="n">
        <v>1</v>
      </c>
      <c r="H173" s="19" t="n">
        <v>371</v>
      </c>
      <c r="I173" s="13">
        <f>G173*H173</f>
        <v>371.0</v>
      </c>
      <c r="J173" s="20">
        <f>9050/1000</f>
        <v>9.05</v>
      </c>
      <c r="K173" s="21">
        <f>I173*J173</f>
        <v>3357.55</v>
      </c>
      <c r="L173" s="22">
        <f>F173^2/162</f>
        <v>0.8888888888888888</v>
      </c>
      <c r="M173" s="21">
        <f>K173*L173</f>
        <v>2984.488888888889</v>
      </c>
      <c r="N173" s="22">
        <f>M173/1000</f>
        <v>2.984488888888889</v>
      </c>
      <c r="O173" s="13" t="inlineStr">
        <is>
          <t>BBS</t>
        </is>
      </c>
    </row>
    <row r="174">
      <c r="A174" s="13" t="n">
        <v>169</v>
      </c>
      <c r="B174" s="13" t="inlineStr">
        <is>
          <t>Floor Slabs</t>
        </is>
      </c>
      <c r="C174" s="13" t="inlineStr">
        <is>
          <t>STR-080</t>
        </is>
      </c>
      <c r="D174" s="13" t="inlineStr">
        <is>
          <t>Typical 4th-8th slab - bottom</t>
        </is>
      </c>
      <c r="E174" s="19" t="inlineStr">
        <is>
          <t>1205</t>
        </is>
      </c>
      <c r="F174" s="19" t="n">
        <v>12</v>
      </c>
      <c r="G174" s="19" t="n">
        <v>1</v>
      </c>
      <c r="H174" s="19" t="n">
        <v>16</v>
      </c>
      <c r="I174" s="13">
        <f>G174*H174</f>
        <v>16.0</v>
      </c>
      <c r="J174" s="20">
        <f>3400/1000</f>
        <v>3.4</v>
      </c>
      <c r="K174" s="21">
        <f>I174*J174</f>
        <v>54.4</v>
      </c>
      <c r="L174" s="22">
        <f>F174^2/162</f>
        <v>0.8888888888888888</v>
      </c>
      <c r="M174" s="21">
        <f>K174*L174</f>
        <v>48.355555555555554</v>
      </c>
      <c r="N174" s="22">
        <f>M174/1000</f>
        <v>0.048355555555555554</v>
      </c>
      <c r="O174" s="13" t="inlineStr">
        <is>
          <t>BBS</t>
        </is>
      </c>
    </row>
    <row r="175">
      <c r="A175" s="13" t="n">
        <v>170</v>
      </c>
      <c r="B175" s="13" t="inlineStr">
        <is>
          <t>Floor Slabs</t>
        </is>
      </c>
      <c r="C175" s="13" t="inlineStr">
        <is>
          <t>STR-080</t>
        </is>
      </c>
      <c r="D175" s="13" t="inlineStr">
        <is>
          <t>Typical 4th-8th slab - bottom</t>
        </is>
      </c>
      <c r="E175" s="19" t="inlineStr">
        <is>
          <t>1206</t>
        </is>
      </c>
      <c r="F175" s="19" t="n">
        <v>12</v>
      </c>
      <c r="G175" s="19" t="n">
        <v>1</v>
      </c>
      <c r="H175" s="19" t="n">
        <v>37</v>
      </c>
      <c r="I175" s="13">
        <f>G175*H175</f>
        <v>37.0</v>
      </c>
      <c r="J175" s="20">
        <f>4600/1000</f>
        <v>4.6</v>
      </c>
      <c r="K175" s="21">
        <f>I175*J175</f>
        <v>170.2</v>
      </c>
      <c r="L175" s="22">
        <f>F175^2/162</f>
        <v>0.8888888888888888</v>
      </c>
      <c r="M175" s="21">
        <f>K175*L175</f>
        <v>151.28888888888886</v>
      </c>
      <c r="N175" s="22">
        <f>M175/1000</f>
        <v>0.15128888888888886</v>
      </c>
      <c r="O175" s="13" t="inlineStr">
        <is>
          <t>BBS</t>
        </is>
      </c>
    </row>
    <row r="176">
      <c r="A176" s="13" t="n">
        <v>171</v>
      </c>
      <c r="B176" s="13" t="inlineStr">
        <is>
          <t>Floor Slabs</t>
        </is>
      </c>
      <c r="C176" s="13" t="inlineStr">
        <is>
          <t>STR-080</t>
        </is>
      </c>
      <c r="D176" s="13" t="inlineStr">
        <is>
          <t>Typical 4th-8th slab - bottom</t>
        </is>
      </c>
      <c r="E176" s="19" t="inlineStr">
        <is>
          <t>1207</t>
        </is>
      </c>
      <c r="F176" s="19" t="n">
        <v>12</v>
      </c>
      <c r="G176" s="19" t="n">
        <v>1</v>
      </c>
      <c r="H176" s="19" t="n">
        <v>21</v>
      </c>
      <c r="I176" s="13">
        <f>G176*H176</f>
        <v>21.0</v>
      </c>
      <c r="J176" s="20">
        <f>4575/1000</f>
        <v>4.575</v>
      </c>
      <c r="K176" s="21">
        <f>I176*J176</f>
        <v>96.075</v>
      </c>
      <c r="L176" s="22">
        <f>F176^2/162</f>
        <v>0.8888888888888888</v>
      </c>
      <c r="M176" s="21">
        <f>K176*L176</f>
        <v>85.39999999999999</v>
      </c>
      <c r="N176" s="22">
        <f>M176/1000</f>
        <v>0.08539999999999999</v>
      </c>
      <c r="O176" s="13" t="inlineStr">
        <is>
          <t>BBS</t>
        </is>
      </c>
    </row>
    <row r="177">
      <c r="A177" s="13" t="n">
        <v>172</v>
      </c>
      <c r="B177" s="13" t="inlineStr">
        <is>
          <t>Floor Slabs</t>
        </is>
      </c>
      <c r="C177" s="13" t="inlineStr">
        <is>
          <t>STR-080</t>
        </is>
      </c>
      <c r="D177" s="13" t="inlineStr">
        <is>
          <t>Typical 4th-8th slab - bottom</t>
        </is>
      </c>
      <c r="E177" s="19" t="inlineStr">
        <is>
          <t>1208</t>
        </is>
      </c>
      <c r="F177" s="19" t="n">
        <v>12</v>
      </c>
      <c r="G177" s="19" t="n">
        <v>1</v>
      </c>
      <c r="H177" s="19" t="n">
        <v>47</v>
      </c>
      <c r="I177" s="13">
        <f>G177*H177</f>
        <v>47.0</v>
      </c>
      <c r="J177" s="20">
        <f>5325/1000</f>
        <v>5.325</v>
      </c>
      <c r="K177" s="21">
        <f>I177*J177</f>
        <v>250.275</v>
      </c>
      <c r="L177" s="22">
        <f>F177^2/162</f>
        <v>0.8888888888888888</v>
      </c>
      <c r="M177" s="21">
        <f>K177*L177</f>
        <v>222.46666666666667</v>
      </c>
      <c r="N177" s="22">
        <f>M177/1000</f>
        <v>0.22246666666666667</v>
      </c>
      <c r="O177" s="13" t="inlineStr">
        <is>
          <t>BBS</t>
        </is>
      </c>
    </row>
    <row r="178">
      <c r="A178" s="13" t="n">
        <v>173</v>
      </c>
      <c r="B178" s="13" t="inlineStr">
        <is>
          <t>Floor Slabs</t>
        </is>
      </c>
      <c r="C178" s="13" t="inlineStr">
        <is>
          <t>STR-080</t>
        </is>
      </c>
      <c r="D178" s="13" t="inlineStr">
        <is>
          <t>Typical 4th-8th slab - bottom</t>
        </is>
      </c>
      <c r="E178" s="19" t="inlineStr">
        <is>
          <t>1209</t>
        </is>
      </c>
      <c r="F178" s="19" t="n">
        <v>12</v>
      </c>
      <c r="G178" s="19" t="n">
        <v>1</v>
      </c>
      <c r="H178" s="19" t="n">
        <v>124</v>
      </c>
      <c r="I178" s="13">
        <f>G178*H178</f>
        <v>124.0</v>
      </c>
      <c r="J178" s="20">
        <f>8700/1000</f>
        <v>8.7</v>
      </c>
      <c r="K178" s="21">
        <f>I178*J178</f>
        <v>1078.8</v>
      </c>
      <c r="L178" s="22">
        <f>F178^2/162</f>
        <v>0.8888888888888888</v>
      </c>
      <c r="M178" s="21">
        <f>K178*L178</f>
        <v>958.9333333333333</v>
      </c>
      <c r="N178" s="22">
        <f>M178/1000</f>
        <v>0.9589333333333333</v>
      </c>
      <c r="O178" s="13" t="inlineStr">
        <is>
          <t>BBS</t>
        </is>
      </c>
    </row>
    <row r="179">
      <c r="A179" s="13" t="n">
        <v>174</v>
      </c>
      <c r="B179" s="13" t="inlineStr">
        <is>
          <t>Floor Slabs</t>
        </is>
      </c>
      <c r="C179" s="13" t="inlineStr">
        <is>
          <t>STR-080</t>
        </is>
      </c>
      <c r="D179" s="13" t="inlineStr">
        <is>
          <t>Typical 4th-8th slab - bottom</t>
        </is>
      </c>
      <c r="E179" s="19" t="inlineStr">
        <is>
          <t>1210</t>
        </is>
      </c>
      <c r="F179" s="19" t="n">
        <v>12</v>
      </c>
      <c r="G179" s="19" t="n">
        <v>1</v>
      </c>
      <c r="H179" s="19" t="n">
        <v>80</v>
      </c>
      <c r="I179" s="13">
        <f>G179*H179</f>
        <v>80.0</v>
      </c>
      <c r="J179" s="20">
        <f>9050/1000</f>
        <v>9.05</v>
      </c>
      <c r="K179" s="21">
        <f>I179*J179</f>
        <v>724.0</v>
      </c>
      <c r="L179" s="22">
        <f>F179^2/162</f>
        <v>0.8888888888888888</v>
      </c>
      <c r="M179" s="21">
        <f>K179*L179</f>
        <v>643.5555555555555</v>
      </c>
      <c r="N179" s="22">
        <f>M179/1000</f>
        <v>0.6435555555555555</v>
      </c>
      <c r="O179" s="13" t="inlineStr">
        <is>
          <t>BBS</t>
        </is>
      </c>
    </row>
    <row r="180">
      <c r="A180" s="13" t="n">
        <v>175</v>
      </c>
      <c r="B180" s="13" t="inlineStr">
        <is>
          <t>Floor Slabs</t>
        </is>
      </c>
      <c r="C180" s="13" t="inlineStr">
        <is>
          <t>STR-080</t>
        </is>
      </c>
      <c r="D180" s="13" t="inlineStr">
        <is>
          <t>Typical 4th-8th slab - bottom</t>
        </is>
      </c>
      <c r="E180" s="19" t="inlineStr">
        <is>
          <t>1211</t>
        </is>
      </c>
      <c r="F180" s="19" t="n">
        <v>12</v>
      </c>
      <c r="G180" s="19" t="n">
        <v>1</v>
      </c>
      <c r="H180" s="19" t="n">
        <v>15</v>
      </c>
      <c r="I180" s="13">
        <f>G180*H180</f>
        <v>15.0</v>
      </c>
      <c r="J180" s="20">
        <f>8650/1000</f>
        <v>8.65</v>
      </c>
      <c r="K180" s="21">
        <f>I180*J180</f>
        <v>129.75</v>
      </c>
      <c r="L180" s="22">
        <f>F180^2/162</f>
        <v>0.8888888888888888</v>
      </c>
      <c r="M180" s="21">
        <f>K180*L180</f>
        <v>115.33333333333333</v>
      </c>
      <c r="N180" s="22">
        <f>M180/1000</f>
        <v>0.11533333333333333</v>
      </c>
      <c r="O180" s="13" t="inlineStr">
        <is>
          <t>BBS</t>
        </is>
      </c>
    </row>
    <row r="181">
      <c r="A181" s="13" t="n">
        <v>176</v>
      </c>
      <c r="B181" s="13" t="inlineStr">
        <is>
          <t>Floor Slabs</t>
        </is>
      </c>
      <c r="C181" s="13" t="inlineStr">
        <is>
          <t>STR-080</t>
        </is>
      </c>
      <c r="D181" s="13" t="inlineStr">
        <is>
          <t>Typical 4th-8th slab - bottom</t>
        </is>
      </c>
      <c r="E181" s="19" t="inlineStr">
        <is>
          <t>1212</t>
        </is>
      </c>
      <c r="F181" s="19" t="n">
        <v>12</v>
      </c>
      <c r="G181" s="19" t="n">
        <v>1</v>
      </c>
      <c r="H181" s="19" t="n">
        <v>23</v>
      </c>
      <c r="I181" s="13">
        <f>G181*H181</f>
        <v>23.0</v>
      </c>
      <c r="J181" s="20">
        <f>8750/1000</f>
        <v>8.75</v>
      </c>
      <c r="K181" s="21">
        <f>I181*J181</f>
        <v>201.25</v>
      </c>
      <c r="L181" s="22">
        <f>F181^2/162</f>
        <v>0.8888888888888888</v>
      </c>
      <c r="M181" s="21">
        <f>K181*L181</f>
        <v>178.88888888888889</v>
      </c>
      <c r="N181" s="22">
        <f>M181/1000</f>
        <v>0.17888888888888888</v>
      </c>
      <c r="O181" s="13" t="inlineStr">
        <is>
          <t>BBS</t>
        </is>
      </c>
    </row>
    <row r="182">
      <c r="A182" s="13" t="n">
        <v>177</v>
      </c>
      <c r="B182" s="13" t="inlineStr">
        <is>
          <t>Floor Slabs</t>
        </is>
      </c>
      <c r="C182" s="13" t="inlineStr">
        <is>
          <t>STR-080</t>
        </is>
      </c>
      <c r="D182" s="13" t="inlineStr">
        <is>
          <t>Typical 4th-8th slab - bottom</t>
        </is>
      </c>
      <c r="E182" s="19" t="inlineStr">
        <is>
          <t>1213</t>
        </is>
      </c>
      <c r="F182" s="19" t="n">
        <v>12</v>
      </c>
      <c r="G182" s="19" t="n">
        <v>1</v>
      </c>
      <c r="H182" s="19" t="n">
        <v>24</v>
      </c>
      <c r="I182" s="13">
        <f>G182*H182</f>
        <v>24.0</v>
      </c>
      <c r="J182" s="20">
        <f>8700/1000</f>
        <v>8.7</v>
      </c>
      <c r="K182" s="21">
        <f>I182*J182</f>
        <v>208.79999999999998</v>
      </c>
      <c r="L182" s="22">
        <f>F182^2/162</f>
        <v>0.8888888888888888</v>
      </c>
      <c r="M182" s="21">
        <f>K182*L182</f>
        <v>185.59999999999997</v>
      </c>
      <c r="N182" s="22">
        <f>M182/1000</f>
        <v>0.18559999999999996</v>
      </c>
      <c r="O182" s="13" t="inlineStr">
        <is>
          <t>BBS</t>
        </is>
      </c>
    </row>
    <row r="183">
      <c r="A183" s="13" t="n">
        <v>178</v>
      </c>
      <c r="B183" s="13" t="inlineStr">
        <is>
          <t>Floor Slabs</t>
        </is>
      </c>
      <c r="C183" s="13" t="inlineStr">
        <is>
          <t>STR-080</t>
        </is>
      </c>
      <c r="D183" s="13" t="inlineStr">
        <is>
          <t>Typical 4th-8th slab - bottom</t>
        </is>
      </c>
      <c r="E183" s="19" t="inlineStr">
        <is>
          <t>1214</t>
        </is>
      </c>
      <c r="F183" s="19" t="n">
        <v>12</v>
      </c>
      <c r="G183" s="19" t="n">
        <v>1</v>
      </c>
      <c r="H183" s="19" t="n">
        <v>7</v>
      </c>
      <c r="I183" s="13">
        <f>G183*H183</f>
        <v>7.0</v>
      </c>
      <c r="J183" s="20">
        <f>10000/1000</f>
        <v>10.0</v>
      </c>
      <c r="K183" s="21">
        <f>I183*J183</f>
        <v>70.0</v>
      </c>
      <c r="L183" s="22">
        <f>F183^2/162</f>
        <v>0.8888888888888888</v>
      </c>
      <c r="M183" s="21">
        <f>K183*L183</f>
        <v>62.22222222222222</v>
      </c>
      <c r="N183" s="22">
        <f>M183/1000</f>
        <v>0.06222222222222222</v>
      </c>
      <c r="O183" s="13" t="inlineStr">
        <is>
          <t>BBS</t>
        </is>
      </c>
    </row>
    <row r="184">
      <c r="A184" s="13" t="n">
        <v>179</v>
      </c>
      <c r="B184" s="13" t="inlineStr">
        <is>
          <t>Floor Slabs</t>
        </is>
      </c>
      <c r="C184" s="13" t="inlineStr">
        <is>
          <t>STR-080</t>
        </is>
      </c>
      <c r="D184" s="13" t="inlineStr">
        <is>
          <t>Typical 4th-8th slab - bottom</t>
        </is>
      </c>
      <c r="E184" s="19" t="inlineStr">
        <is>
          <t>1215</t>
        </is>
      </c>
      <c r="F184" s="19" t="n">
        <v>12</v>
      </c>
      <c r="G184" s="19" t="n">
        <v>1</v>
      </c>
      <c r="H184" s="19" t="n">
        <v>202</v>
      </c>
      <c r="I184" s="13">
        <f>G184*H184</f>
        <v>202.0</v>
      </c>
      <c r="J184" s="20">
        <f>10000/1000</f>
        <v>10.0</v>
      </c>
      <c r="K184" s="21">
        <f>I184*J184</f>
        <v>2020.0</v>
      </c>
      <c r="L184" s="22">
        <f>F184^2/162</f>
        <v>0.8888888888888888</v>
      </c>
      <c r="M184" s="21">
        <f>K184*L184</f>
        <v>1795.5555555555554</v>
      </c>
      <c r="N184" s="22">
        <f>M184/1000</f>
        <v>1.7955555555555553</v>
      </c>
      <c r="O184" s="13" t="inlineStr">
        <is>
          <t>BBS</t>
        </is>
      </c>
    </row>
    <row r="185">
      <c r="A185" s="13" t="n">
        <v>180</v>
      </c>
      <c r="B185" s="13" t="inlineStr">
        <is>
          <t>Floor Slabs</t>
        </is>
      </c>
      <c r="C185" s="13" t="inlineStr">
        <is>
          <t>STR-080</t>
        </is>
      </c>
      <c r="D185" s="13" t="inlineStr">
        <is>
          <t>Typical 4th-8th slab - bottom</t>
        </is>
      </c>
      <c r="E185" s="19" t="inlineStr">
        <is>
          <t>1216</t>
        </is>
      </c>
      <c r="F185" s="19" t="n">
        <v>12</v>
      </c>
      <c r="G185" s="19" t="n">
        <v>1</v>
      </c>
      <c r="H185" s="19" t="n">
        <v>162</v>
      </c>
      <c r="I185" s="13">
        <f>G185*H185</f>
        <v>162.0</v>
      </c>
      <c r="J185" s="20">
        <f>9550/1000</f>
        <v>9.55</v>
      </c>
      <c r="K185" s="21">
        <f>I185*J185</f>
        <v>1547.1000000000001</v>
      </c>
      <c r="L185" s="22">
        <f>F185^2/162</f>
        <v>0.8888888888888888</v>
      </c>
      <c r="M185" s="21">
        <f>K185*L185</f>
        <v>1375.2</v>
      </c>
      <c r="N185" s="22">
        <f>M185/1000</f>
        <v>1.3752</v>
      </c>
      <c r="O185" s="13" t="inlineStr">
        <is>
          <t>BBS</t>
        </is>
      </c>
    </row>
    <row r="186">
      <c r="A186" s="13" t="n">
        <v>181</v>
      </c>
      <c r="B186" s="13" t="inlineStr">
        <is>
          <t>Floor Slabs</t>
        </is>
      </c>
      <c r="C186" s="13" t="inlineStr">
        <is>
          <t>STR-080</t>
        </is>
      </c>
      <c r="D186" s="13" t="inlineStr">
        <is>
          <t>Typical 4th-8th slab - bottom</t>
        </is>
      </c>
      <c r="E186" s="19" t="inlineStr">
        <is>
          <t>1217</t>
        </is>
      </c>
      <c r="F186" s="19" t="n">
        <v>12</v>
      </c>
      <c r="G186" s="19" t="n">
        <v>1</v>
      </c>
      <c r="H186" s="19" t="n">
        <v>31</v>
      </c>
      <c r="I186" s="13">
        <f>G186*H186</f>
        <v>31.0</v>
      </c>
      <c r="J186" s="20">
        <f>7250/1000</f>
        <v>7.25</v>
      </c>
      <c r="K186" s="21">
        <f>I186*J186</f>
        <v>224.75</v>
      </c>
      <c r="L186" s="22">
        <f>F186^2/162</f>
        <v>0.8888888888888888</v>
      </c>
      <c r="M186" s="21">
        <f>K186*L186</f>
        <v>199.77777777777777</v>
      </c>
      <c r="N186" s="22">
        <f>M186/1000</f>
        <v>0.19977777777777778</v>
      </c>
      <c r="O186" s="13" t="inlineStr">
        <is>
          <t>BBS</t>
        </is>
      </c>
    </row>
    <row r="187">
      <c r="A187" s="13" t="n">
        <v>182</v>
      </c>
      <c r="B187" s="13" t="inlineStr">
        <is>
          <t>Floor Slabs</t>
        </is>
      </c>
      <c r="C187" s="13" t="inlineStr">
        <is>
          <t>STR-080</t>
        </is>
      </c>
      <c r="D187" s="13" t="inlineStr">
        <is>
          <t>Typical 4th-8th slab - bottom</t>
        </is>
      </c>
      <c r="E187" s="19" t="inlineStr">
        <is>
          <t>1218</t>
        </is>
      </c>
      <c r="F187" s="19" t="n">
        <v>12</v>
      </c>
      <c r="G187" s="19" t="n">
        <v>1</v>
      </c>
      <c r="H187" s="19" t="n">
        <v>205</v>
      </c>
      <c r="I187" s="13">
        <f>G187*H187</f>
        <v>205.0</v>
      </c>
      <c r="J187" s="20">
        <f>7775/1000</f>
        <v>7.775</v>
      </c>
      <c r="K187" s="21">
        <f>I187*J187</f>
        <v>1593.875</v>
      </c>
      <c r="L187" s="22">
        <f>F187^2/162</f>
        <v>0.8888888888888888</v>
      </c>
      <c r="M187" s="21">
        <f>K187*L187</f>
        <v>1416.7777777777776</v>
      </c>
      <c r="N187" s="22">
        <f>M187/1000</f>
        <v>1.4167777777777777</v>
      </c>
      <c r="O187" s="13" t="inlineStr">
        <is>
          <t>BBS</t>
        </is>
      </c>
    </row>
    <row r="188">
      <c r="A188" s="13" t="n">
        <v>183</v>
      </c>
      <c r="B188" s="13" t="inlineStr">
        <is>
          <t>Floor Slabs</t>
        </is>
      </c>
      <c r="C188" s="13" t="inlineStr">
        <is>
          <t>STR-080</t>
        </is>
      </c>
      <c r="D188" s="13" t="inlineStr">
        <is>
          <t>Typical 4th-8th slab - bottom</t>
        </is>
      </c>
      <c r="E188" s="19" t="inlineStr">
        <is>
          <t>1219</t>
        </is>
      </c>
      <c r="F188" s="19" t="n">
        <v>12</v>
      </c>
      <c r="G188" s="19" t="n">
        <v>1</v>
      </c>
      <c r="H188" s="19" t="n">
        <v>44</v>
      </c>
      <c r="I188" s="13">
        <f>G188*H188</f>
        <v>44.0</v>
      </c>
      <c r="J188" s="20">
        <f>8000/1000</f>
        <v>8.0</v>
      </c>
      <c r="K188" s="21">
        <f>I188*J188</f>
        <v>352.0</v>
      </c>
      <c r="L188" s="22">
        <f>F188^2/162</f>
        <v>0.8888888888888888</v>
      </c>
      <c r="M188" s="21">
        <f>K188*L188</f>
        <v>312.88888888888886</v>
      </c>
      <c r="N188" s="22">
        <f>M188/1000</f>
        <v>0.3128888888888889</v>
      </c>
      <c r="O188" s="13" t="inlineStr">
        <is>
          <t>BBS</t>
        </is>
      </c>
    </row>
    <row r="189">
      <c r="A189" s="13" t="n">
        <v>184</v>
      </c>
      <c r="B189" s="13" t="inlineStr">
        <is>
          <t>Floor Slabs</t>
        </is>
      </c>
      <c r="C189" s="13" t="inlineStr">
        <is>
          <t>STR-080</t>
        </is>
      </c>
      <c r="D189" s="13" t="inlineStr">
        <is>
          <t>Typical 4th-8th slab - bottom</t>
        </is>
      </c>
      <c r="E189" s="19" t="inlineStr">
        <is>
          <t>1220</t>
        </is>
      </c>
      <c r="F189" s="19" t="n">
        <v>12</v>
      </c>
      <c r="G189" s="19" t="n">
        <v>1</v>
      </c>
      <c r="H189" s="19" t="n">
        <v>23</v>
      </c>
      <c r="I189" s="13">
        <f>G189*H189</f>
        <v>23.0</v>
      </c>
      <c r="J189" s="20">
        <f>12000/1000</f>
        <v>12.0</v>
      </c>
      <c r="K189" s="21">
        <f>I189*J189</f>
        <v>276.0</v>
      </c>
      <c r="L189" s="22">
        <f>F189^2/162</f>
        <v>0.8888888888888888</v>
      </c>
      <c r="M189" s="21">
        <f>K189*L189</f>
        <v>245.33333333333331</v>
      </c>
      <c r="N189" s="22">
        <f>M189/1000</f>
        <v>0.24533333333333332</v>
      </c>
      <c r="O189" s="13" t="inlineStr">
        <is>
          <t>BBS</t>
        </is>
      </c>
    </row>
    <row r="190">
      <c r="A190" s="13" t="n">
        <v>185</v>
      </c>
      <c r="B190" s="13" t="inlineStr">
        <is>
          <t>Floor Slabs</t>
        </is>
      </c>
      <c r="C190" s="13" t="inlineStr">
        <is>
          <t>STR-080</t>
        </is>
      </c>
      <c r="D190" s="13" t="inlineStr">
        <is>
          <t>Typical 4th-8th slab - bottom</t>
        </is>
      </c>
      <c r="E190" s="19" t="inlineStr">
        <is>
          <t>1221</t>
        </is>
      </c>
      <c r="F190" s="19" t="n">
        <v>12</v>
      </c>
      <c r="G190" s="19" t="n">
        <v>1</v>
      </c>
      <c r="H190" s="19" t="n">
        <v>212</v>
      </c>
      <c r="I190" s="13">
        <f>G190*H190</f>
        <v>212.0</v>
      </c>
      <c r="J190" s="20">
        <f>6000/1000</f>
        <v>6.0</v>
      </c>
      <c r="K190" s="21">
        <f>I190*J190</f>
        <v>1272.0</v>
      </c>
      <c r="L190" s="22">
        <f>F190^2/162</f>
        <v>0.8888888888888888</v>
      </c>
      <c r="M190" s="21">
        <f>K190*L190</f>
        <v>1130.6666666666665</v>
      </c>
      <c r="N190" s="22">
        <f>M190/1000</f>
        <v>1.1306666666666665</v>
      </c>
      <c r="O190" s="13" t="inlineStr">
        <is>
          <t>BBS</t>
        </is>
      </c>
    </row>
    <row r="191">
      <c r="A191" s="13" t="n">
        <v>186</v>
      </c>
      <c r="B191" s="13" t="inlineStr">
        <is>
          <t>Floor Slabs</t>
        </is>
      </c>
      <c r="C191" s="13" t="inlineStr">
        <is>
          <t>STR-080</t>
        </is>
      </c>
      <c r="D191" s="13" t="inlineStr">
        <is>
          <t>Typical 4th-8th slab - bottom</t>
        </is>
      </c>
      <c r="E191" s="19" t="inlineStr">
        <is>
          <t>1222</t>
        </is>
      </c>
      <c r="F191" s="19" t="n">
        <v>12</v>
      </c>
      <c r="G191" s="19" t="n">
        <v>1</v>
      </c>
      <c r="H191" s="19" t="n">
        <v>13</v>
      </c>
      <c r="I191" s="13">
        <f>G191*H191</f>
        <v>13.0</v>
      </c>
      <c r="J191" s="20">
        <f>7325/1000</f>
        <v>7.325</v>
      </c>
      <c r="K191" s="21">
        <f>I191*J191</f>
        <v>95.22500000000001</v>
      </c>
      <c r="L191" s="22">
        <f>F191^2/162</f>
        <v>0.8888888888888888</v>
      </c>
      <c r="M191" s="21">
        <f>K191*L191</f>
        <v>84.64444444444445</v>
      </c>
      <c r="N191" s="22">
        <f>M191/1000</f>
        <v>0.08464444444444444</v>
      </c>
      <c r="O191" s="13" t="inlineStr">
        <is>
          <t>BBS</t>
        </is>
      </c>
    </row>
    <row r="192">
      <c r="A192" s="13" t="n">
        <v>187</v>
      </c>
      <c r="B192" s="13" t="inlineStr">
        <is>
          <t>Floor Slabs</t>
        </is>
      </c>
      <c r="C192" s="13" t="inlineStr">
        <is>
          <t>STR-080</t>
        </is>
      </c>
      <c r="D192" s="13" t="inlineStr">
        <is>
          <t>Typical 4th-8th slab - bottom</t>
        </is>
      </c>
      <c r="E192" s="19" t="inlineStr">
        <is>
          <t>1223</t>
        </is>
      </c>
      <c r="F192" s="19" t="n">
        <v>12</v>
      </c>
      <c r="G192" s="19" t="n">
        <v>1</v>
      </c>
      <c r="H192" s="19" t="n">
        <v>149</v>
      </c>
      <c r="I192" s="13">
        <f>G192*H192</f>
        <v>149.0</v>
      </c>
      <c r="J192" s="20">
        <f>12000/1000</f>
        <v>12.0</v>
      </c>
      <c r="K192" s="21">
        <f>I192*J192</f>
        <v>1788.0</v>
      </c>
      <c r="L192" s="22">
        <f>F192^2/162</f>
        <v>0.8888888888888888</v>
      </c>
      <c r="M192" s="21">
        <f>K192*L192</f>
        <v>1589.3333333333333</v>
      </c>
      <c r="N192" s="22">
        <f>M192/1000</f>
        <v>1.5893333333333333</v>
      </c>
      <c r="O192" s="13" t="inlineStr">
        <is>
          <t>BBS</t>
        </is>
      </c>
    </row>
    <row r="193">
      <c r="A193" s="13" t="n">
        <v>188</v>
      </c>
      <c r="B193" s="13" t="inlineStr">
        <is>
          <t>Floor Slabs</t>
        </is>
      </c>
      <c r="C193" s="13" t="inlineStr">
        <is>
          <t>STR-080</t>
        </is>
      </c>
      <c r="D193" s="13" t="inlineStr">
        <is>
          <t>Typical 4th-8th slab - bottom</t>
        </is>
      </c>
      <c r="E193" s="19" t="inlineStr">
        <is>
          <t>1224</t>
        </is>
      </c>
      <c r="F193" s="19" t="n">
        <v>12</v>
      </c>
      <c r="G193" s="19" t="n">
        <v>1</v>
      </c>
      <c r="H193" s="19" t="n">
        <v>85</v>
      </c>
      <c r="I193" s="13">
        <f>G193*H193</f>
        <v>85.0</v>
      </c>
      <c r="J193" s="20">
        <f>7375/1000</f>
        <v>7.375</v>
      </c>
      <c r="K193" s="21">
        <f>I193*J193</f>
        <v>626.875</v>
      </c>
      <c r="L193" s="22">
        <f>F193^2/162</f>
        <v>0.8888888888888888</v>
      </c>
      <c r="M193" s="21">
        <f>K193*L193</f>
        <v>557.2222222222222</v>
      </c>
      <c r="N193" s="22">
        <f>M193/1000</f>
        <v>0.5572222222222222</v>
      </c>
      <c r="O193" s="13" t="inlineStr">
        <is>
          <t>BBS</t>
        </is>
      </c>
    </row>
    <row r="194">
      <c r="A194" s="13" t="n">
        <v>189</v>
      </c>
      <c r="B194" s="13" t="inlineStr">
        <is>
          <t>Floor Slabs</t>
        </is>
      </c>
      <c r="C194" s="13" t="inlineStr">
        <is>
          <t>STR-080</t>
        </is>
      </c>
      <c r="D194" s="13" t="inlineStr">
        <is>
          <t>Typical 4th-8th slab - bottom</t>
        </is>
      </c>
      <c r="E194" s="19" t="inlineStr">
        <is>
          <t>1225</t>
        </is>
      </c>
      <c r="F194" s="19" t="n">
        <v>12</v>
      </c>
      <c r="G194" s="19" t="n">
        <v>1</v>
      </c>
      <c r="H194" s="19" t="n">
        <v>13</v>
      </c>
      <c r="I194" s="13">
        <f>G194*H194</f>
        <v>13.0</v>
      </c>
      <c r="J194" s="20">
        <f>3950/1000</f>
        <v>3.95</v>
      </c>
      <c r="K194" s="21">
        <f>I194*J194</f>
        <v>51.35</v>
      </c>
      <c r="L194" s="22">
        <f>F194^2/162</f>
        <v>0.8888888888888888</v>
      </c>
      <c r="M194" s="21">
        <f>K194*L194</f>
        <v>45.644444444444446</v>
      </c>
      <c r="N194" s="22">
        <f>M194/1000</f>
        <v>0.045644444444444446</v>
      </c>
      <c r="O194" s="13" t="inlineStr">
        <is>
          <t>BBS</t>
        </is>
      </c>
    </row>
    <row r="195">
      <c r="A195" s="13" t="n">
        <v>190</v>
      </c>
      <c r="B195" s="13" t="inlineStr">
        <is>
          <t>Floor Slabs</t>
        </is>
      </c>
      <c r="C195" s="13" t="inlineStr">
        <is>
          <t>STR-080</t>
        </is>
      </c>
      <c r="D195" s="13" t="inlineStr">
        <is>
          <t>Typical 4th-8th slab - bottom</t>
        </is>
      </c>
      <c r="E195" s="19" t="inlineStr">
        <is>
          <t>1226</t>
        </is>
      </c>
      <c r="F195" s="19" t="n">
        <v>12</v>
      </c>
      <c r="G195" s="19" t="n">
        <v>1</v>
      </c>
      <c r="H195" s="19" t="n">
        <v>357</v>
      </c>
      <c r="I195" s="13">
        <f>G195*H195</f>
        <v>357.0</v>
      </c>
      <c r="J195" s="20">
        <f>6200/1000</f>
        <v>6.2</v>
      </c>
      <c r="K195" s="21">
        <f>I195*J195</f>
        <v>2213.4</v>
      </c>
      <c r="L195" s="22">
        <f>F195^2/162</f>
        <v>0.8888888888888888</v>
      </c>
      <c r="M195" s="21">
        <f>K195*L195</f>
        <v>1967.4666666666667</v>
      </c>
      <c r="N195" s="22">
        <f>M195/1000</f>
        <v>1.9674666666666667</v>
      </c>
      <c r="O195" s="13" t="inlineStr">
        <is>
          <t>BBS</t>
        </is>
      </c>
    </row>
    <row r="196">
      <c r="A196" s="13" t="n">
        <v>191</v>
      </c>
      <c r="B196" s="13" t="inlineStr">
        <is>
          <t>Floor Slabs</t>
        </is>
      </c>
      <c r="C196" s="13" t="inlineStr">
        <is>
          <t>STR-080</t>
        </is>
      </c>
      <c r="D196" s="13" t="inlineStr">
        <is>
          <t>Typical 4th-8th slab - bottom</t>
        </is>
      </c>
      <c r="E196" s="19" t="inlineStr">
        <is>
          <t>1227</t>
        </is>
      </c>
      <c r="F196" s="19" t="n">
        <v>12</v>
      </c>
      <c r="G196" s="19" t="n">
        <v>1</v>
      </c>
      <c r="H196" s="19" t="n">
        <v>212</v>
      </c>
      <c r="I196" s="13">
        <f>G196*H196</f>
        <v>212.0</v>
      </c>
      <c r="J196" s="20">
        <f>9475/1000</f>
        <v>9.475</v>
      </c>
      <c r="K196" s="21">
        <f>I196*J196</f>
        <v>2008.6999999999998</v>
      </c>
      <c r="L196" s="22">
        <f>F196^2/162</f>
        <v>0.8888888888888888</v>
      </c>
      <c r="M196" s="21">
        <f>K196*L196</f>
        <v>1785.511111111111</v>
      </c>
      <c r="N196" s="22">
        <f>M196/1000</f>
        <v>1.785511111111111</v>
      </c>
      <c r="O196" s="13" t="inlineStr">
        <is>
          <t>BBS</t>
        </is>
      </c>
    </row>
    <row r="197">
      <c r="A197" s="13" t="n">
        <v>192</v>
      </c>
      <c r="B197" s="13" t="inlineStr">
        <is>
          <t>Floor Slabs</t>
        </is>
      </c>
      <c r="C197" s="13" t="inlineStr">
        <is>
          <t>STR-080</t>
        </is>
      </c>
      <c r="D197" s="13" t="inlineStr">
        <is>
          <t>Typical 4th-8th slab - bottom</t>
        </is>
      </c>
      <c r="E197" s="19" t="inlineStr">
        <is>
          <t>1228</t>
        </is>
      </c>
      <c r="F197" s="19" t="n">
        <v>12</v>
      </c>
      <c r="G197" s="19" t="n">
        <v>1</v>
      </c>
      <c r="H197" s="19" t="n">
        <v>75</v>
      </c>
      <c r="I197" s="13">
        <f>G197*H197</f>
        <v>75.0</v>
      </c>
      <c r="J197" s="20">
        <f>7250/1000</f>
        <v>7.25</v>
      </c>
      <c r="K197" s="21">
        <f>I197*J197</f>
        <v>543.75</v>
      </c>
      <c r="L197" s="22">
        <f>F197^2/162</f>
        <v>0.8888888888888888</v>
      </c>
      <c r="M197" s="21">
        <f>K197*L197</f>
        <v>483.3333333333333</v>
      </c>
      <c r="N197" s="22">
        <f>M197/1000</f>
        <v>0.48333333333333334</v>
      </c>
      <c r="O197" s="13" t="inlineStr">
        <is>
          <t>BBS</t>
        </is>
      </c>
    </row>
    <row r="198">
      <c r="A198" s="13" t="n">
        <v>193</v>
      </c>
      <c r="B198" s="13" t="inlineStr">
        <is>
          <t>Floor Slabs</t>
        </is>
      </c>
      <c r="C198" s="13" t="inlineStr">
        <is>
          <t>STR-080</t>
        </is>
      </c>
      <c r="D198" s="13" t="inlineStr">
        <is>
          <t>Typical 4th-8th slab - bottom</t>
        </is>
      </c>
      <c r="E198" s="19" t="inlineStr">
        <is>
          <t>1229</t>
        </is>
      </c>
      <c r="F198" s="19" t="n">
        <v>12</v>
      </c>
      <c r="G198" s="19" t="n">
        <v>1</v>
      </c>
      <c r="H198" s="19" t="n">
        <v>7</v>
      </c>
      <c r="I198" s="13">
        <f>G198*H198</f>
        <v>7.0</v>
      </c>
      <c r="J198" s="20">
        <f>4800/1000</f>
        <v>4.8</v>
      </c>
      <c r="K198" s="21">
        <f>I198*J198</f>
        <v>33.6</v>
      </c>
      <c r="L198" s="22">
        <f>F198^2/162</f>
        <v>0.8888888888888888</v>
      </c>
      <c r="M198" s="21">
        <f>K198*L198</f>
        <v>29.866666666666667</v>
      </c>
      <c r="N198" s="22">
        <f>M198/1000</f>
        <v>0.029866666666666666</v>
      </c>
      <c r="O198" s="13" t="inlineStr">
        <is>
          <t>BBS</t>
        </is>
      </c>
    </row>
    <row r="199">
      <c r="A199" s="13" t="n">
        <v>194</v>
      </c>
      <c r="B199" s="13" t="inlineStr">
        <is>
          <t>Floor Slabs</t>
        </is>
      </c>
      <c r="C199" s="13" t="inlineStr">
        <is>
          <t>STR-080</t>
        </is>
      </c>
      <c r="D199" s="13" t="inlineStr">
        <is>
          <t>Typical 4th-8th slab - bottom</t>
        </is>
      </c>
      <c r="E199" s="19" t="inlineStr">
        <is>
          <t>1230</t>
        </is>
      </c>
      <c r="F199" s="19" t="n">
        <v>12</v>
      </c>
      <c r="G199" s="19" t="n">
        <v>1</v>
      </c>
      <c r="H199" s="19" t="n">
        <v>73</v>
      </c>
      <c r="I199" s="13">
        <f>G199*H199</f>
        <v>73.0</v>
      </c>
      <c r="J199" s="20">
        <f>7400/1000</f>
        <v>7.4</v>
      </c>
      <c r="K199" s="21">
        <f>I199*J199</f>
        <v>540.2</v>
      </c>
      <c r="L199" s="22">
        <f>F199^2/162</f>
        <v>0.8888888888888888</v>
      </c>
      <c r="M199" s="21">
        <f>K199*L199</f>
        <v>480.1777777777778</v>
      </c>
      <c r="N199" s="22">
        <f>M199/1000</f>
        <v>0.4801777777777778</v>
      </c>
      <c r="O199" s="13" t="inlineStr">
        <is>
          <t>BBS</t>
        </is>
      </c>
    </row>
    <row r="200">
      <c r="A200" s="13" t="n">
        <v>195</v>
      </c>
      <c r="B200" s="13" t="inlineStr">
        <is>
          <t>Floor Slabs</t>
        </is>
      </c>
      <c r="C200" s="13" t="inlineStr">
        <is>
          <t>STR-080</t>
        </is>
      </c>
      <c r="D200" s="13" t="inlineStr">
        <is>
          <t>Typical 4th-8th slab - bottom</t>
        </is>
      </c>
      <c r="E200" s="19" t="inlineStr">
        <is>
          <t>1231</t>
        </is>
      </c>
      <c r="F200" s="19" t="n">
        <v>12</v>
      </c>
      <c r="G200" s="19" t="n">
        <v>1</v>
      </c>
      <c r="H200" s="19" t="n">
        <v>13</v>
      </c>
      <c r="I200" s="13">
        <f>G200*H200</f>
        <v>13.0</v>
      </c>
      <c r="J200" s="20">
        <f>6900/1000</f>
        <v>6.9</v>
      </c>
      <c r="K200" s="21">
        <f>I200*J200</f>
        <v>89.7</v>
      </c>
      <c r="L200" s="22">
        <f>F200^2/162</f>
        <v>0.8888888888888888</v>
      </c>
      <c r="M200" s="21">
        <f>K200*L200</f>
        <v>79.73333333333333</v>
      </c>
      <c r="N200" s="22">
        <f>M200/1000</f>
        <v>0.07973333333333334</v>
      </c>
      <c r="O200" s="13" t="inlineStr">
        <is>
          <t>BBS</t>
        </is>
      </c>
    </row>
    <row r="201">
      <c r="A201" s="13" t="n">
        <v>196</v>
      </c>
      <c r="B201" s="13" t="inlineStr">
        <is>
          <t>Floor Slabs</t>
        </is>
      </c>
      <c r="C201" s="13" t="inlineStr">
        <is>
          <t>STR-080</t>
        </is>
      </c>
      <c r="D201" s="13" t="inlineStr">
        <is>
          <t>Typical 4th-8th slab - bottom</t>
        </is>
      </c>
      <c r="E201" s="19" t="inlineStr">
        <is>
          <t>1232</t>
        </is>
      </c>
      <c r="F201" s="19" t="n">
        <v>12</v>
      </c>
      <c r="G201" s="19" t="n">
        <v>1</v>
      </c>
      <c r="H201" s="19" t="n">
        <v>12</v>
      </c>
      <c r="I201" s="13">
        <f>G201*H201</f>
        <v>12.0</v>
      </c>
      <c r="J201" s="20">
        <f>5900/1000</f>
        <v>5.9</v>
      </c>
      <c r="K201" s="21">
        <f>I201*J201</f>
        <v>70.80000000000001</v>
      </c>
      <c r="L201" s="22">
        <f>F201^2/162</f>
        <v>0.8888888888888888</v>
      </c>
      <c r="M201" s="21">
        <f>K201*L201</f>
        <v>62.93333333333334</v>
      </c>
      <c r="N201" s="22">
        <f>M201/1000</f>
        <v>0.06293333333333334</v>
      </c>
      <c r="O201" s="13" t="inlineStr">
        <is>
          <t>BBS</t>
        </is>
      </c>
    </row>
    <row r="202">
      <c r="A202" s="13" t="n">
        <v>197</v>
      </c>
      <c r="B202" s="13" t="inlineStr">
        <is>
          <t>Floor Slabs</t>
        </is>
      </c>
      <c r="C202" s="13" t="inlineStr">
        <is>
          <t>STR-080</t>
        </is>
      </c>
      <c r="D202" s="13" t="inlineStr">
        <is>
          <t>Typical 4th-8th slab - bottom</t>
        </is>
      </c>
      <c r="E202" s="19" t="inlineStr">
        <is>
          <t>1233</t>
        </is>
      </c>
      <c r="F202" s="19" t="n">
        <v>12</v>
      </c>
      <c r="G202" s="19" t="n">
        <v>1</v>
      </c>
      <c r="H202" s="19" t="n">
        <v>13</v>
      </c>
      <c r="I202" s="13">
        <f>G202*H202</f>
        <v>13.0</v>
      </c>
      <c r="J202" s="20">
        <f>4200/1000</f>
        <v>4.2</v>
      </c>
      <c r="K202" s="21">
        <f>I202*J202</f>
        <v>54.6</v>
      </c>
      <c r="L202" s="22">
        <f>F202^2/162</f>
        <v>0.8888888888888888</v>
      </c>
      <c r="M202" s="21">
        <f>K202*L202</f>
        <v>48.53333333333333</v>
      </c>
      <c r="N202" s="22">
        <f>M202/1000</f>
        <v>0.04853333333333333</v>
      </c>
      <c r="O202" s="13" t="inlineStr">
        <is>
          <t>BBS</t>
        </is>
      </c>
    </row>
    <row r="203">
      <c r="A203" s="13" t="n">
        <v>198</v>
      </c>
      <c r="B203" s="13" t="inlineStr">
        <is>
          <t>Floor Slabs</t>
        </is>
      </c>
      <c r="C203" s="13" t="inlineStr">
        <is>
          <t>STR-080</t>
        </is>
      </c>
      <c r="D203" s="13" t="inlineStr">
        <is>
          <t>Typical 4th-8th slab - bottom</t>
        </is>
      </c>
      <c r="E203" s="19" t="inlineStr">
        <is>
          <t>1234</t>
        </is>
      </c>
      <c r="F203" s="19" t="n">
        <v>12</v>
      </c>
      <c r="G203" s="19" t="n">
        <v>1</v>
      </c>
      <c r="H203" s="19" t="n">
        <v>73</v>
      </c>
      <c r="I203" s="13">
        <f>G203*H203</f>
        <v>73.0</v>
      </c>
      <c r="J203" s="20">
        <f>6000/1000</f>
        <v>6.0</v>
      </c>
      <c r="K203" s="21">
        <f>I203*J203</f>
        <v>438.0</v>
      </c>
      <c r="L203" s="22">
        <f>F203^2/162</f>
        <v>0.8888888888888888</v>
      </c>
      <c r="M203" s="21">
        <f>K203*L203</f>
        <v>389.3333333333333</v>
      </c>
      <c r="N203" s="22">
        <f>M203/1000</f>
        <v>0.3893333333333333</v>
      </c>
      <c r="O203" s="13" t="inlineStr">
        <is>
          <t>BBS</t>
        </is>
      </c>
    </row>
    <row r="204">
      <c r="A204" s="13" t="n">
        <v>199</v>
      </c>
      <c r="B204" s="13" t="inlineStr">
        <is>
          <t>Floor Slabs</t>
        </is>
      </c>
      <c r="C204" s="13" t="inlineStr">
        <is>
          <t>STR-080</t>
        </is>
      </c>
      <c r="D204" s="13" t="inlineStr">
        <is>
          <t>Typical 4th-8th slab - bottom</t>
        </is>
      </c>
      <c r="E204" s="19" t="inlineStr">
        <is>
          <t>1235</t>
        </is>
      </c>
      <c r="F204" s="19" t="n">
        <v>12</v>
      </c>
      <c r="G204" s="19" t="n">
        <v>1</v>
      </c>
      <c r="H204" s="19" t="n">
        <v>43</v>
      </c>
      <c r="I204" s="13">
        <f>G204*H204</f>
        <v>43.0</v>
      </c>
      <c r="J204" s="20">
        <f>11750/1000</f>
        <v>11.75</v>
      </c>
      <c r="K204" s="21">
        <f>I204*J204</f>
        <v>505.25</v>
      </c>
      <c r="L204" s="22">
        <f>F204^2/162</f>
        <v>0.8888888888888888</v>
      </c>
      <c r="M204" s="21">
        <f>K204*L204</f>
        <v>449.1111111111111</v>
      </c>
      <c r="N204" s="22">
        <f>M204/1000</f>
        <v>0.44911111111111107</v>
      </c>
      <c r="O204" s="13" t="inlineStr">
        <is>
          <t>BBS</t>
        </is>
      </c>
    </row>
    <row r="205">
      <c r="A205" s="13" t="n">
        <v>200</v>
      </c>
      <c r="B205" s="13" t="inlineStr">
        <is>
          <t>Floor Slabs</t>
        </is>
      </c>
      <c r="C205" s="13" t="inlineStr">
        <is>
          <t>STR-080</t>
        </is>
      </c>
      <c r="D205" s="13" t="inlineStr">
        <is>
          <t>Typical 4th-8th slab - bottom</t>
        </is>
      </c>
      <c r="E205" s="19" t="inlineStr">
        <is>
          <t>1236</t>
        </is>
      </c>
      <c r="F205" s="19" t="n">
        <v>12</v>
      </c>
      <c r="G205" s="19" t="n">
        <v>1</v>
      </c>
      <c r="H205" s="19" t="n">
        <v>12</v>
      </c>
      <c r="I205" s="13">
        <f>G205*H205</f>
        <v>12.0</v>
      </c>
      <c r="J205" s="20">
        <f>8350/1000</f>
        <v>8.35</v>
      </c>
      <c r="K205" s="21">
        <f>I205*J205</f>
        <v>100.19999999999999</v>
      </c>
      <c r="L205" s="22">
        <f>F205^2/162</f>
        <v>0.8888888888888888</v>
      </c>
      <c r="M205" s="21">
        <f>K205*L205</f>
        <v>89.06666666666665</v>
      </c>
      <c r="N205" s="22">
        <f>M205/1000</f>
        <v>0.08906666666666666</v>
      </c>
      <c r="O205" s="13" t="inlineStr">
        <is>
          <t>BBS</t>
        </is>
      </c>
    </row>
    <row r="206">
      <c r="A206" s="13" t="n">
        <v>201</v>
      </c>
      <c r="B206" s="13" t="inlineStr">
        <is>
          <t>Floor Slabs</t>
        </is>
      </c>
      <c r="C206" s="13" t="inlineStr">
        <is>
          <t>STR-080</t>
        </is>
      </c>
      <c r="D206" s="13" t="inlineStr">
        <is>
          <t>Typical 4th-8th slab - bottom</t>
        </is>
      </c>
      <c r="E206" s="19" t="inlineStr">
        <is>
          <t>1237</t>
        </is>
      </c>
      <c r="F206" s="19" t="n">
        <v>12</v>
      </c>
      <c r="G206" s="19" t="n">
        <v>1</v>
      </c>
      <c r="H206" s="19" t="n">
        <v>75</v>
      </c>
      <c r="I206" s="13">
        <f>G206*H206</f>
        <v>75.0</v>
      </c>
      <c r="J206" s="20">
        <f>11250/1000</f>
        <v>11.25</v>
      </c>
      <c r="K206" s="21">
        <f>I206*J206</f>
        <v>843.75</v>
      </c>
      <c r="L206" s="22">
        <f>F206^2/162</f>
        <v>0.8888888888888888</v>
      </c>
      <c r="M206" s="21">
        <f>K206*L206</f>
        <v>750.0</v>
      </c>
      <c r="N206" s="22">
        <f>M206/1000</f>
        <v>0.75</v>
      </c>
      <c r="O206" s="13" t="inlineStr">
        <is>
          <t>BBS</t>
        </is>
      </c>
    </row>
    <row r="207">
      <c r="A207" s="13" t="n">
        <v>202</v>
      </c>
      <c r="B207" s="13" t="inlineStr">
        <is>
          <t>Floor Slabs</t>
        </is>
      </c>
      <c r="C207" s="13" t="inlineStr">
        <is>
          <t>STR-081</t>
        </is>
      </c>
      <c r="D207" s="13" t="inlineStr">
        <is>
          <t>Typical 4th-8th slab - top</t>
        </is>
      </c>
      <c r="E207" s="19" t="inlineStr">
        <is>
          <t>1238</t>
        </is>
      </c>
      <c r="F207" s="19" t="n">
        <v>12</v>
      </c>
      <c r="G207" s="19" t="n">
        <v>1</v>
      </c>
      <c r="H207" s="19" t="n">
        <v>16</v>
      </c>
      <c r="I207" s="13">
        <f>G207*H207</f>
        <v>16.0</v>
      </c>
      <c r="J207" s="20">
        <f>1925/1000</f>
        <v>1.925</v>
      </c>
      <c r="K207" s="21">
        <f>I207*J207</f>
        <v>30.8</v>
      </c>
      <c r="L207" s="22">
        <f>F207^2/162</f>
        <v>0.8888888888888888</v>
      </c>
      <c r="M207" s="21">
        <f>K207*L207</f>
        <v>27.377777777777776</v>
      </c>
      <c r="N207" s="22">
        <f>M207/1000</f>
        <v>0.027377777777777775</v>
      </c>
      <c r="O207" s="13" t="inlineStr">
        <is>
          <t>BBS</t>
        </is>
      </c>
    </row>
    <row r="208">
      <c r="A208" s="13" t="n">
        <v>203</v>
      </c>
      <c r="B208" s="13" t="inlineStr">
        <is>
          <t>Floor Slabs</t>
        </is>
      </c>
      <c r="C208" s="13" t="inlineStr">
        <is>
          <t>STR-081</t>
        </is>
      </c>
      <c r="D208" s="13" t="inlineStr">
        <is>
          <t>Typical 4th-8th slab - top</t>
        </is>
      </c>
      <c r="E208" s="19" t="inlineStr">
        <is>
          <t>1239</t>
        </is>
      </c>
      <c r="F208" s="19" t="n">
        <v>12</v>
      </c>
      <c r="G208" s="19" t="n">
        <v>1</v>
      </c>
      <c r="H208" s="19" t="n">
        <v>230</v>
      </c>
      <c r="I208" s="13">
        <f>G208*H208</f>
        <v>230.0</v>
      </c>
      <c r="J208" s="20">
        <f>11650/1000</f>
        <v>11.65</v>
      </c>
      <c r="K208" s="21">
        <f>I208*J208</f>
        <v>2679.5</v>
      </c>
      <c r="L208" s="22">
        <f>F208^2/162</f>
        <v>0.8888888888888888</v>
      </c>
      <c r="M208" s="21">
        <f>K208*L208</f>
        <v>2381.777777777778</v>
      </c>
      <c r="N208" s="22">
        <f>M208/1000</f>
        <v>2.3817777777777778</v>
      </c>
      <c r="O208" s="13" t="inlineStr">
        <is>
          <t>BBS</t>
        </is>
      </c>
    </row>
    <row r="209">
      <c r="A209" s="13" t="n">
        <v>204</v>
      </c>
      <c r="B209" s="13" t="inlineStr">
        <is>
          <t>Floor Slabs</t>
        </is>
      </c>
      <c r="C209" s="13" t="inlineStr">
        <is>
          <t>STR-081</t>
        </is>
      </c>
      <c r="D209" s="13" t="inlineStr">
        <is>
          <t>Typical 4th-8th slab - top</t>
        </is>
      </c>
      <c r="E209" s="19" t="inlineStr">
        <is>
          <t>1240</t>
        </is>
      </c>
      <c r="F209" s="19" t="n">
        <v>12</v>
      </c>
      <c r="G209" s="19" t="n">
        <v>1</v>
      </c>
      <c r="H209" s="19" t="n">
        <v>74</v>
      </c>
      <c r="I209" s="13">
        <f>G209*H209</f>
        <v>74.0</v>
      </c>
      <c r="J209" s="20">
        <f>5850/1000</f>
        <v>5.85</v>
      </c>
      <c r="K209" s="21">
        <f>I209*J209</f>
        <v>432.9</v>
      </c>
      <c r="L209" s="22">
        <f>F209^2/162</f>
        <v>0.8888888888888888</v>
      </c>
      <c r="M209" s="21">
        <f>K209*L209</f>
        <v>384.79999999999995</v>
      </c>
      <c r="N209" s="22">
        <f>M209/1000</f>
        <v>0.3848</v>
      </c>
      <c r="O209" s="13" t="inlineStr">
        <is>
          <t>BBS</t>
        </is>
      </c>
    </row>
    <row r="210">
      <c r="A210" s="13" t="n">
        <v>205</v>
      </c>
      <c r="B210" s="13" t="inlineStr">
        <is>
          <t>Floor Slabs</t>
        </is>
      </c>
      <c r="C210" s="13" t="inlineStr">
        <is>
          <t>STR-081</t>
        </is>
      </c>
      <c r="D210" s="13" t="inlineStr">
        <is>
          <t>Typical 4th-8th slab - top</t>
        </is>
      </c>
      <c r="E210" s="19" t="inlineStr">
        <is>
          <t>1241</t>
        </is>
      </c>
      <c r="F210" s="19" t="n">
        <v>12</v>
      </c>
      <c r="G210" s="19" t="n">
        <v>1</v>
      </c>
      <c r="H210" s="19" t="n">
        <v>21</v>
      </c>
      <c r="I210" s="13">
        <f>G210*H210</f>
        <v>21.0</v>
      </c>
      <c r="J210" s="20">
        <f>8050/1000</f>
        <v>8.05</v>
      </c>
      <c r="K210" s="21">
        <f>I210*J210</f>
        <v>169.05</v>
      </c>
      <c r="L210" s="22">
        <f>F210^2/162</f>
        <v>0.8888888888888888</v>
      </c>
      <c r="M210" s="21">
        <f>K210*L210</f>
        <v>150.26666666666668</v>
      </c>
      <c r="N210" s="22">
        <f>M210/1000</f>
        <v>0.1502666666666667</v>
      </c>
      <c r="O210" s="13" t="inlineStr">
        <is>
          <t>BBS</t>
        </is>
      </c>
    </row>
    <row r="211">
      <c r="A211" s="13" t="n">
        <v>206</v>
      </c>
      <c r="B211" s="13" t="inlineStr">
        <is>
          <t>Floor Slabs</t>
        </is>
      </c>
      <c r="C211" s="13" t="inlineStr">
        <is>
          <t>STR-081</t>
        </is>
      </c>
      <c r="D211" s="13" t="inlineStr">
        <is>
          <t>Typical 4th-8th slab - top</t>
        </is>
      </c>
      <c r="E211" s="19" t="inlineStr">
        <is>
          <t>1242</t>
        </is>
      </c>
      <c r="F211" s="19" t="n">
        <v>12</v>
      </c>
      <c r="G211" s="19" t="n">
        <v>1</v>
      </c>
      <c r="H211" s="19" t="n">
        <v>263</v>
      </c>
      <c r="I211" s="13">
        <f>G211*H211</f>
        <v>263.0</v>
      </c>
      <c r="J211" s="20">
        <f>8000/1000</f>
        <v>8.0</v>
      </c>
      <c r="K211" s="21">
        <f>I211*J211</f>
        <v>2104.0</v>
      </c>
      <c r="L211" s="22">
        <f>F211^2/162</f>
        <v>0.8888888888888888</v>
      </c>
      <c r="M211" s="21">
        <f>K211*L211</f>
        <v>1870.2222222222222</v>
      </c>
      <c r="N211" s="22">
        <f>M211/1000</f>
        <v>1.8702222222222222</v>
      </c>
      <c r="O211" s="13" t="inlineStr">
        <is>
          <t>BBS</t>
        </is>
      </c>
    </row>
    <row r="212">
      <c r="A212" s="13" t="n">
        <v>207</v>
      </c>
      <c r="B212" s="13" t="inlineStr">
        <is>
          <t>Floor Slabs</t>
        </is>
      </c>
      <c r="C212" s="13" t="inlineStr">
        <is>
          <t>STR-081</t>
        </is>
      </c>
      <c r="D212" s="13" t="inlineStr">
        <is>
          <t>Typical 4th-8th slab - top</t>
        </is>
      </c>
      <c r="E212" s="19" t="inlineStr">
        <is>
          <t>1243</t>
        </is>
      </c>
      <c r="F212" s="19" t="n">
        <v>12</v>
      </c>
      <c r="G212" s="19" t="n">
        <v>1</v>
      </c>
      <c r="H212" s="19" t="n">
        <v>226</v>
      </c>
      <c r="I212" s="13">
        <f>G212*H212</f>
        <v>226.0</v>
      </c>
      <c r="J212" s="20">
        <f>8800/1000</f>
        <v>8.8</v>
      </c>
      <c r="K212" s="21">
        <f>I212*J212</f>
        <v>1988.8000000000002</v>
      </c>
      <c r="L212" s="22">
        <f>F212^2/162</f>
        <v>0.8888888888888888</v>
      </c>
      <c r="M212" s="21">
        <f>K212*L212</f>
        <v>1767.8222222222223</v>
      </c>
      <c r="N212" s="22">
        <f>M212/1000</f>
        <v>1.7678222222222224</v>
      </c>
      <c r="O212" s="13" t="inlineStr">
        <is>
          <t>BBS</t>
        </is>
      </c>
    </row>
    <row r="213">
      <c r="A213" s="13" t="n">
        <v>208</v>
      </c>
      <c r="B213" s="13" t="inlineStr">
        <is>
          <t>Floor Slabs</t>
        </is>
      </c>
      <c r="C213" s="13" t="inlineStr">
        <is>
          <t>STR-081</t>
        </is>
      </c>
      <c r="D213" s="13" t="inlineStr">
        <is>
          <t>Typical 4th-8th slab - top</t>
        </is>
      </c>
      <c r="E213" s="19" t="inlineStr">
        <is>
          <t>1244</t>
        </is>
      </c>
      <c r="F213" s="19" t="n">
        <v>12</v>
      </c>
      <c r="G213" s="19" t="n">
        <v>1</v>
      </c>
      <c r="H213" s="19" t="n">
        <v>21</v>
      </c>
      <c r="I213" s="13">
        <f>G213*H213</f>
        <v>21.0</v>
      </c>
      <c r="J213" s="20">
        <f>7350/1000</f>
        <v>7.35</v>
      </c>
      <c r="K213" s="21">
        <f>I213*J213</f>
        <v>154.35</v>
      </c>
      <c r="L213" s="22">
        <f>F213^2/162</f>
        <v>0.8888888888888888</v>
      </c>
      <c r="M213" s="21">
        <f>K213*L213</f>
        <v>137.2</v>
      </c>
      <c r="N213" s="22">
        <f>M213/1000</f>
        <v>0.1372</v>
      </c>
      <c r="O213" s="13" t="inlineStr">
        <is>
          <t>BBS</t>
        </is>
      </c>
    </row>
    <row r="214">
      <c r="A214" s="13" t="n">
        <v>209</v>
      </c>
      <c r="B214" s="13" t="inlineStr">
        <is>
          <t>Floor Slabs</t>
        </is>
      </c>
      <c r="C214" s="13" t="inlineStr">
        <is>
          <t>STR-081</t>
        </is>
      </c>
      <c r="D214" s="13" t="inlineStr">
        <is>
          <t>Typical 4th-8th slab - top</t>
        </is>
      </c>
      <c r="E214" s="19" t="inlineStr">
        <is>
          <t>1245</t>
        </is>
      </c>
      <c r="F214" s="19" t="n">
        <v>12</v>
      </c>
      <c r="G214" s="19" t="n">
        <v>1</v>
      </c>
      <c r="H214" s="19" t="n">
        <v>21</v>
      </c>
      <c r="I214" s="13">
        <f>G214*H214</f>
        <v>21.0</v>
      </c>
      <c r="J214" s="20">
        <f>8650/1000</f>
        <v>8.65</v>
      </c>
      <c r="K214" s="21">
        <f>I214*J214</f>
        <v>181.65</v>
      </c>
      <c r="L214" s="22">
        <f>F214^2/162</f>
        <v>0.8888888888888888</v>
      </c>
      <c r="M214" s="21">
        <f>K214*L214</f>
        <v>161.46666666666667</v>
      </c>
      <c r="N214" s="22">
        <f>M214/1000</f>
        <v>0.16146666666666668</v>
      </c>
      <c r="O214" s="13" t="inlineStr">
        <is>
          <t>BBS</t>
        </is>
      </c>
    </row>
    <row r="215">
      <c r="A215" s="13" t="n">
        <v>210</v>
      </c>
      <c r="B215" s="13" t="inlineStr">
        <is>
          <t>Floor Slabs</t>
        </is>
      </c>
      <c r="C215" s="13" t="inlineStr">
        <is>
          <t>STR-081</t>
        </is>
      </c>
      <c r="D215" s="13" t="inlineStr">
        <is>
          <t>Typical 4th-8th slab - top</t>
        </is>
      </c>
      <c r="E215" s="19" t="inlineStr">
        <is>
          <t>1246</t>
        </is>
      </c>
      <c r="F215" s="19" t="n">
        <v>12</v>
      </c>
      <c r="G215" s="19" t="n">
        <v>1</v>
      </c>
      <c r="H215" s="19" t="n">
        <v>27</v>
      </c>
      <c r="I215" s="13">
        <f>G215*H215</f>
        <v>27.0</v>
      </c>
      <c r="J215" s="20">
        <f>4575/1000</f>
        <v>4.575</v>
      </c>
      <c r="K215" s="21">
        <f>I215*J215</f>
        <v>123.525</v>
      </c>
      <c r="L215" s="22">
        <f>F215^2/162</f>
        <v>0.8888888888888888</v>
      </c>
      <c r="M215" s="21">
        <f>K215*L215</f>
        <v>109.8</v>
      </c>
      <c r="N215" s="22">
        <f>M215/1000</f>
        <v>0.1098</v>
      </c>
      <c r="O215" s="13" t="inlineStr">
        <is>
          <t>BBS</t>
        </is>
      </c>
    </row>
    <row r="216">
      <c r="A216" s="13" t="n">
        <v>211</v>
      </c>
      <c r="B216" s="13" t="inlineStr">
        <is>
          <t>Floor Slabs</t>
        </is>
      </c>
      <c r="C216" s="13" t="inlineStr">
        <is>
          <t>STR-081</t>
        </is>
      </c>
      <c r="D216" s="13" t="inlineStr">
        <is>
          <t>Typical 4th-8th slab - top</t>
        </is>
      </c>
      <c r="E216" s="19" t="inlineStr">
        <is>
          <t>1247</t>
        </is>
      </c>
      <c r="F216" s="19" t="n">
        <v>12</v>
      </c>
      <c r="G216" s="19" t="n">
        <v>1</v>
      </c>
      <c r="H216" s="19" t="n">
        <v>65</v>
      </c>
      <c r="I216" s="13">
        <f>G216*H216</f>
        <v>65.0</v>
      </c>
      <c r="J216" s="20">
        <f>5325/1000</f>
        <v>5.325</v>
      </c>
      <c r="K216" s="21">
        <f>I216*J216</f>
        <v>346.125</v>
      </c>
      <c r="L216" s="22">
        <f>F216^2/162</f>
        <v>0.8888888888888888</v>
      </c>
      <c r="M216" s="21">
        <f>K216*L216</f>
        <v>307.66666666666663</v>
      </c>
      <c r="N216" s="22">
        <f>M216/1000</f>
        <v>0.30766666666666664</v>
      </c>
      <c r="O216" s="13" t="inlineStr">
        <is>
          <t>BBS</t>
        </is>
      </c>
    </row>
    <row r="217">
      <c r="A217" s="13" t="n">
        <v>212</v>
      </c>
      <c r="B217" s="13" t="inlineStr">
        <is>
          <t>Floor Slabs</t>
        </is>
      </c>
      <c r="C217" s="13" t="inlineStr">
        <is>
          <t>STR-081</t>
        </is>
      </c>
      <c r="D217" s="13" t="inlineStr">
        <is>
          <t>Typical 4th-8th slab - top</t>
        </is>
      </c>
      <c r="E217" s="19" t="inlineStr">
        <is>
          <t>1248</t>
        </is>
      </c>
      <c r="F217" s="19" t="n">
        <v>12</v>
      </c>
      <c r="G217" s="19" t="n">
        <v>1</v>
      </c>
      <c r="H217" s="19" t="n">
        <v>15</v>
      </c>
      <c r="I217" s="13">
        <f>G217*H217</f>
        <v>15.0</v>
      </c>
      <c r="J217" s="20">
        <f>4700/1000</f>
        <v>4.7</v>
      </c>
      <c r="K217" s="21">
        <f>I217*J217</f>
        <v>70.5</v>
      </c>
      <c r="L217" s="22">
        <f>F217^2/162</f>
        <v>0.8888888888888888</v>
      </c>
      <c r="M217" s="21">
        <f>K217*L217</f>
        <v>62.666666666666664</v>
      </c>
      <c r="N217" s="22">
        <f>M217/1000</f>
        <v>0.06266666666666666</v>
      </c>
      <c r="O217" s="13" t="inlineStr">
        <is>
          <t>BBS</t>
        </is>
      </c>
    </row>
    <row r="218">
      <c r="A218" s="13" t="n">
        <v>213</v>
      </c>
      <c r="B218" s="13" t="inlineStr">
        <is>
          <t>Floor Slabs</t>
        </is>
      </c>
      <c r="C218" s="13" t="inlineStr">
        <is>
          <t>STR-081</t>
        </is>
      </c>
      <c r="D218" s="13" t="inlineStr">
        <is>
          <t>Typical 4th-8th slab - top</t>
        </is>
      </c>
      <c r="E218" s="19" t="inlineStr">
        <is>
          <t>1249</t>
        </is>
      </c>
      <c r="F218" s="19" t="n">
        <v>12</v>
      </c>
      <c r="G218" s="19" t="n">
        <v>1</v>
      </c>
      <c r="H218" s="19" t="n">
        <v>23</v>
      </c>
      <c r="I218" s="13">
        <f>G218*H218</f>
        <v>23.0</v>
      </c>
      <c r="J218" s="20">
        <f>12000/1000</f>
        <v>12.0</v>
      </c>
      <c r="K218" s="21">
        <f>I218*J218</f>
        <v>276.0</v>
      </c>
      <c r="L218" s="22">
        <f>F218^2/162</f>
        <v>0.8888888888888888</v>
      </c>
      <c r="M218" s="21">
        <f>K218*L218</f>
        <v>245.33333333333331</v>
      </c>
      <c r="N218" s="22">
        <f>M218/1000</f>
        <v>0.24533333333333332</v>
      </c>
      <c r="O218" s="13" t="inlineStr">
        <is>
          <t>BBS</t>
        </is>
      </c>
    </row>
    <row r="219">
      <c r="A219" s="13" t="n">
        <v>214</v>
      </c>
      <c r="B219" s="13" t="inlineStr">
        <is>
          <t>Floor Slabs</t>
        </is>
      </c>
      <c r="C219" s="13" t="inlineStr">
        <is>
          <t>STR-081</t>
        </is>
      </c>
      <c r="D219" s="13" t="inlineStr">
        <is>
          <t>Typical 4th-8th slab - top</t>
        </is>
      </c>
      <c r="E219" s="19" t="inlineStr">
        <is>
          <t>1250</t>
        </is>
      </c>
      <c r="F219" s="19" t="n">
        <v>12</v>
      </c>
      <c r="G219" s="19" t="n">
        <v>1</v>
      </c>
      <c r="H219" s="19" t="n">
        <v>9</v>
      </c>
      <c r="I219" s="13">
        <f>G219*H219</f>
        <v>9.0</v>
      </c>
      <c r="J219" s="20">
        <f>10000/1000</f>
        <v>10.0</v>
      </c>
      <c r="K219" s="21">
        <f>I219*J219</f>
        <v>90.0</v>
      </c>
      <c r="L219" s="22">
        <f>F219^2/162</f>
        <v>0.8888888888888888</v>
      </c>
      <c r="M219" s="21">
        <f>K219*L219</f>
        <v>80.0</v>
      </c>
      <c r="N219" s="22">
        <f>M219/1000</f>
        <v>0.08</v>
      </c>
      <c r="O219" s="13" t="inlineStr">
        <is>
          <t>BBS</t>
        </is>
      </c>
    </row>
    <row r="220">
      <c r="A220" s="13" t="n">
        <v>215</v>
      </c>
      <c r="B220" s="13" t="inlineStr">
        <is>
          <t>Floor Slabs</t>
        </is>
      </c>
      <c r="C220" s="13" t="inlineStr">
        <is>
          <t>STR-081</t>
        </is>
      </c>
      <c r="D220" s="13" t="inlineStr">
        <is>
          <t>Typical 4th-8th slab - top</t>
        </is>
      </c>
      <c r="E220" s="19" t="inlineStr">
        <is>
          <t>1251</t>
        </is>
      </c>
      <c r="F220" s="19" t="n">
        <v>12</v>
      </c>
      <c r="G220" s="19" t="n">
        <v>1</v>
      </c>
      <c r="H220" s="19" t="n">
        <v>234</v>
      </c>
      <c r="I220" s="13">
        <f>G220*H220</f>
        <v>234.0</v>
      </c>
      <c r="J220" s="20">
        <f>8650/1000</f>
        <v>8.65</v>
      </c>
      <c r="K220" s="21">
        <f>I220*J220</f>
        <v>2024.1000000000001</v>
      </c>
      <c r="L220" s="22">
        <f>F220^2/162</f>
        <v>0.8888888888888888</v>
      </c>
      <c r="M220" s="21">
        <f>K220*L220</f>
        <v>1799.2</v>
      </c>
      <c r="N220" s="22">
        <f>M220/1000</f>
        <v>1.7992000000000001</v>
      </c>
      <c r="O220" s="13" t="inlineStr">
        <is>
          <t>BBS</t>
        </is>
      </c>
    </row>
    <row r="221">
      <c r="A221" s="13" t="n">
        <v>216</v>
      </c>
      <c r="B221" s="13" t="inlineStr">
        <is>
          <t>Floor Slabs</t>
        </is>
      </c>
      <c r="C221" s="13" t="inlineStr">
        <is>
          <t>STR-081</t>
        </is>
      </c>
      <c r="D221" s="13" t="inlineStr">
        <is>
          <t>Typical 4th-8th slab - top</t>
        </is>
      </c>
      <c r="E221" s="19" t="inlineStr">
        <is>
          <t>1252</t>
        </is>
      </c>
      <c r="F221" s="19" t="n">
        <v>12</v>
      </c>
      <c r="G221" s="19" t="n">
        <v>1</v>
      </c>
      <c r="H221" s="19" t="n">
        <v>24</v>
      </c>
      <c r="I221" s="13">
        <f>G221*H221</f>
        <v>24.0</v>
      </c>
      <c r="J221" s="20">
        <f>4600/1000</f>
        <v>4.6</v>
      </c>
      <c r="K221" s="21">
        <f>I221*J221</f>
        <v>110.39999999999999</v>
      </c>
      <c r="L221" s="22">
        <f>F221^2/162</f>
        <v>0.8888888888888888</v>
      </c>
      <c r="M221" s="21">
        <f>K221*L221</f>
        <v>98.13333333333333</v>
      </c>
      <c r="N221" s="22">
        <f>M221/1000</f>
        <v>0.09813333333333332</v>
      </c>
      <c r="O221" s="13" t="inlineStr">
        <is>
          <t>BBS</t>
        </is>
      </c>
    </row>
    <row r="222">
      <c r="A222" s="13" t="n">
        <v>217</v>
      </c>
      <c r="B222" s="13" t="inlineStr">
        <is>
          <t>Floor Slabs</t>
        </is>
      </c>
      <c r="C222" s="13" t="inlineStr">
        <is>
          <t>STR-081</t>
        </is>
      </c>
      <c r="D222" s="13" t="inlineStr">
        <is>
          <t>Typical 4th-8th slab - top</t>
        </is>
      </c>
      <c r="E222" s="19" t="inlineStr">
        <is>
          <t>1253</t>
        </is>
      </c>
      <c r="F222" s="19" t="n">
        <v>12</v>
      </c>
      <c r="G222" s="19" t="n">
        <v>1</v>
      </c>
      <c r="H222" s="19" t="n">
        <v>152</v>
      </c>
      <c r="I222" s="13">
        <f>G222*H222</f>
        <v>152.0</v>
      </c>
      <c r="J222" s="20">
        <f>5900/1000</f>
        <v>5.9</v>
      </c>
      <c r="K222" s="21">
        <f>I222*J222</f>
        <v>896.8000000000001</v>
      </c>
      <c r="L222" s="22">
        <f>F222^2/162</f>
        <v>0.8888888888888888</v>
      </c>
      <c r="M222" s="21">
        <f>K222*L222</f>
        <v>797.1555555555556</v>
      </c>
      <c r="N222" s="22">
        <f>M222/1000</f>
        <v>0.7971555555555556</v>
      </c>
      <c r="O222" s="13" t="inlineStr">
        <is>
          <t>BBS</t>
        </is>
      </c>
    </row>
    <row r="223">
      <c r="A223" s="13" t="n">
        <v>218</v>
      </c>
      <c r="B223" s="13" t="inlineStr">
        <is>
          <t>Floor Slabs</t>
        </is>
      </c>
      <c r="C223" s="13" t="inlineStr">
        <is>
          <t>STR-081</t>
        </is>
      </c>
      <c r="D223" s="13" t="inlineStr">
        <is>
          <t>Typical 4th-8th slab - top</t>
        </is>
      </c>
      <c r="E223" s="19" t="inlineStr">
        <is>
          <t>1254</t>
        </is>
      </c>
      <c r="F223" s="19" t="n">
        <v>12</v>
      </c>
      <c r="G223" s="19" t="n">
        <v>1</v>
      </c>
      <c r="H223" s="19" t="n">
        <v>119</v>
      </c>
      <c r="I223" s="13">
        <f>G223*H223</f>
        <v>119.0</v>
      </c>
      <c r="J223" s="20">
        <f>9525/1000</f>
        <v>9.525</v>
      </c>
      <c r="K223" s="21">
        <f>I223*J223</f>
        <v>1133.4750000000001</v>
      </c>
      <c r="L223" s="22">
        <f>F223^2/162</f>
        <v>0.8888888888888888</v>
      </c>
      <c r="M223" s="21">
        <f>K223*L223</f>
        <v>1007.5333333333334</v>
      </c>
      <c r="N223" s="22">
        <f>M223/1000</f>
        <v>1.0075333333333334</v>
      </c>
      <c r="O223" s="13" t="inlineStr">
        <is>
          <t>BBS</t>
        </is>
      </c>
    </row>
    <row r="224">
      <c r="A224" s="13" t="n">
        <v>219</v>
      </c>
      <c r="B224" s="13" t="inlineStr">
        <is>
          <t>Floor Slabs</t>
        </is>
      </c>
      <c r="C224" s="13" t="inlineStr">
        <is>
          <t>STR-081</t>
        </is>
      </c>
      <c r="D224" s="13" t="inlineStr">
        <is>
          <t>Typical 4th-8th slab - top</t>
        </is>
      </c>
      <c r="E224" s="19" t="inlineStr">
        <is>
          <t>1255</t>
        </is>
      </c>
      <c r="F224" s="19" t="n">
        <v>12</v>
      </c>
      <c r="G224" s="19" t="n">
        <v>1</v>
      </c>
      <c r="H224" s="19" t="n">
        <v>206</v>
      </c>
      <c r="I224" s="13">
        <f>G224*H224</f>
        <v>206.0</v>
      </c>
      <c r="J224" s="20">
        <f>4275/1000</f>
        <v>4.275</v>
      </c>
      <c r="K224" s="21">
        <f>I224*J224</f>
        <v>880.6500000000001</v>
      </c>
      <c r="L224" s="22">
        <f>F224^2/162</f>
        <v>0.8888888888888888</v>
      </c>
      <c r="M224" s="21">
        <f>K224*L224</f>
        <v>782.8000000000001</v>
      </c>
      <c r="N224" s="22">
        <f>M224/1000</f>
        <v>0.7828</v>
      </c>
      <c r="O224" s="13" t="inlineStr">
        <is>
          <t>BBS</t>
        </is>
      </c>
    </row>
    <row r="225">
      <c r="A225" s="13" t="n">
        <v>220</v>
      </c>
      <c r="B225" s="13" t="inlineStr">
        <is>
          <t>Floor Slabs</t>
        </is>
      </c>
      <c r="C225" s="13" t="inlineStr">
        <is>
          <t>STR-081</t>
        </is>
      </c>
      <c r="D225" s="13" t="inlineStr">
        <is>
          <t>Typical 4th-8th slab - top</t>
        </is>
      </c>
      <c r="E225" s="19" t="inlineStr">
        <is>
          <t>1256</t>
        </is>
      </c>
      <c r="F225" s="19" t="n">
        <v>12</v>
      </c>
      <c r="G225" s="19" t="n">
        <v>1</v>
      </c>
      <c r="H225" s="19" t="n">
        <v>31</v>
      </c>
      <c r="I225" s="13">
        <f>G225*H225</f>
        <v>31.0</v>
      </c>
      <c r="J225" s="20">
        <f>3750/1000</f>
        <v>3.75</v>
      </c>
      <c r="K225" s="21">
        <f>I225*J225</f>
        <v>116.25</v>
      </c>
      <c r="L225" s="22">
        <f>F225^2/162</f>
        <v>0.8888888888888888</v>
      </c>
      <c r="M225" s="21">
        <f>K225*L225</f>
        <v>103.33333333333333</v>
      </c>
      <c r="N225" s="22">
        <f>M225/1000</f>
        <v>0.10333333333333333</v>
      </c>
      <c r="O225" s="13" t="inlineStr">
        <is>
          <t>BBS</t>
        </is>
      </c>
    </row>
    <row r="226">
      <c r="A226" s="13" t="n">
        <v>221</v>
      </c>
      <c r="B226" s="13" t="inlineStr">
        <is>
          <t>Floor Slabs</t>
        </is>
      </c>
      <c r="C226" s="13" t="inlineStr">
        <is>
          <t>STR-081</t>
        </is>
      </c>
      <c r="D226" s="13" t="inlineStr">
        <is>
          <t>Typical 4th-8th slab - top</t>
        </is>
      </c>
      <c r="E226" s="19" t="inlineStr">
        <is>
          <t>1257</t>
        </is>
      </c>
      <c r="F226" s="19" t="n">
        <v>12</v>
      </c>
      <c r="G226" s="19" t="n">
        <v>1</v>
      </c>
      <c r="H226" s="19" t="n">
        <v>36</v>
      </c>
      <c r="I226" s="13">
        <f>G226*H226</f>
        <v>36.0</v>
      </c>
      <c r="J226" s="20">
        <f>10400/1000</f>
        <v>10.4</v>
      </c>
      <c r="K226" s="21">
        <f>I226*J226</f>
        <v>374.40000000000003</v>
      </c>
      <c r="L226" s="22">
        <f>F226^2/162</f>
        <v>0.8888888888888888</v>
      </c>
      <c r="M226" s="21">
        <f>K226*L226</f>
        <v>332.8</v>
      </c>
      <c r="N226" s="22">
        <f>M226/1000</f>
        <v>0.3328</v>
      </c>
      <c r="O226" s="13" t="inlineStr">
        <is>
          <t>BBS</t>
        </is>
      </c>
    </row>
    <row r="227">
      <c r="A227" s="13" t="n">
        <v>222</v>
      </c>
      <c r="B227" s="13" t="inlineStr">
        <is>
          <t>Floor Slabs</t>
        </is>
      </c>
      <c r="C227" s="13" t="inlineStr">
        <is>
          <t>STR-081</t>
        </is>
      </c>
      <c r="D227" s="13" t="inlineStr">
        <is>
          <t>Typical 4th-8th slab - top</t>
        </is>
      </c>
      <c r="E227" s="19" t="inlineStr">
        <is>
          <t>1258</t>
        </is>
      </c>
      <c r="F227" s="19" t="n">
        <v>12</v>
      </c>
      <c r="G227" s="19" t="n">
        <v>1</v>
      </c>
      <c r="H227" s="19" t="n">
        <v>23</v>
      </c>
      <c r="I227" s="13">
        <f>G227*H227</f>
        <v>23.0</v>
      </c>
      <c r="J227" s="20">
        <f>3450/1000</f>
        <v>3.45</v>
      </c>
      <c r="K227" s="21">
        <f>I227*J227</f>
        <v>79.35000000000001</v>
      </c>
      <c r="L227" s="22">
        <f>F227^2/162</f>
        <v>0.8888888888888888</v>
      </c>
      <c r="M227" s="21">
        <f>K227*L227</f>
        <v>70.53333333333333</v>
      </c>
      <c r="N227" s="22">
        <f>M227/1000</f>
        <v>0.07053333333333334</v>
      </c>
      <c r="O227" s="13" t="inlineStr">
        <is>
          <t>BBS</t>
        </is>
      </c>
    </row>
    <row r="228">
      <c r="A228" s="13" t="n">
        <v>223</v>
      </c>
      <c r="B228" s="13" t="inlineStr">
        <is>
          <t>Floor Slabs</t>
        </is>
      </c>
      <c r="C228" s="13" t="inlineStr">
        <is>
          <t>STR-081</t>
        </is>
      </c>
      <c r="D228" s="13" t="inlineStr">
        <is>
          <t>Typical 4th-8th slab - top</t>
        </is>
      </c>
      <c r="E228" s="19" t="inlineStr">
        <is>
          <t>1259</t>
        </is>
      </c>
      <c r="F228" s="19" t="n">
        <v>12</v>
      </c>
      <c r="G228" s="19" t="n">
        <v>1</v>
      </c>
      <c r="H228" s="19" t="n">
        <v>212</v>
      </c>
      <c r="I228" s="13">
        <f>G228*H228</f>
        <v>212.0</v>
      </c>
      <c r="J228" s="20">
        <f>9500/1000</f>
        <v>9.5</v>
      </c>
      <c r="K228" s="21">
        <f>I228*J228</f>
        <v>2014.0</v>
      </c>
      <c r="L228" s="22">
        <f>F228^2/162</f>
        <v>0.8888888888888888</v>
      </c>
      <c r="M228" s="21">
        <f>K228*L228</f>
        <v>1790.2222222222222</v>
      </c>
      <c r="N228" s="22">
        <f>M228/1000</f>
        <v>1.7902222222222222</v>
      </c>
      <c r="O228" s="13" t="inlineStr">
        <is>
          <t>BBS</t>
        </is>
      </c>
    </row>
    <row r="229">
      <c r="A229" s="13" t="n">
        <v>224</v>
      </c>
      <c r="B229" s="13" t="inlineStr">
        <is>
          <t>Floor Slabs</t>
        </is>
      </c>
      <c r="C229" s="13" t="inlineStr">
        <is>
          <t>STR-081</t>
        </is>
      </c>
      <c r="D229" s="13" t="inlineStr">
        <is>
          <t>Typical 4th-8th slab - top</t>
        </is>
      </c>
      <c r="E229" s="19" t="inlineStr">
        <is>
          <t>1260</t>
        </is>
      </c>
      <c r="F229" s="19" t="n">
        <v>12</v>
      </c>
      <c r="G229" s="19" t="n">
        <v>1</v>
      </c>
      <c r="H229" s="19" t="n">
        <v>49</v>
      </c>
      <c r="I229" s="13">
        <f>G229*H229</f>
        <v>49.0</v>
      </c>
      <c r="J229" s="20">
        <f>7300/1000</f>
        <v>7.3</v>
      </c>
      <c r="K229" s="21">
        <f>I229*J229</f>
        <v>357.7</v>
      </c>
      <c r="L229" s="22">
        <f>F229^2/162</f>
        <v>0.8888888888888888</v>
      </c>
      <c r="M229" s="21">
        <f>K229*L229</f>
        <v>317.9555555555555</v>
      </c>
      <c r="N229" s="22">
        <f>M229/1000</f>
        <v>0.31795555555555555</v>
      </c>
      <c r="O229" s="13" t="inlineStr">
        <is>
          <t>BBS</t>
        </is>
      </c>
    </row>
    <row r="230">
      <c r="A230" s="13" t="n">
        <v>225</v>
      </c>
      <c r="B230" s="13" t="inlineStr">
        <is>
          <t>Floor Slabs</t>
        </is>
      </c>
      <c r="C230" s="13" t="inlineStr">
        <is>
          <t>STR-081</t>
        </is>
      </c>
      <c r="D230" s="13" t="inlineStr">
        <is>
          <t>Typical 4th-8th slab - top</t>
        </is>
      </c>
      <c r="E230" s="19" t="inlineStr">
        <is>
          <t>1261</t>
        </is>
      </c>
      <c r="F230" s="19" t="n">
        <v>12</v>
      </c>
      <c r="G230" s="19" t="n">
        <v>1</v>
      </c>
      <c r="H230" s="19" t="n">
        <v>113</v>
      </c>
      <c r="I230" s="13">
        <f>G230*H230</f>
        <v>113.0</v>
      </c>
      <c r="J230" s="20">
        <f>8750/1000</f>
        <v>8.75</v>
      </c>
      <c r="K230" s="21">
        <f>I230*J230</f>
        <v>988.75</v>
      </c>
      <c r="L230" s="22">
        <f>F230^2/162</f>
        <v>0.8888888888888888</v>
      </c>
      <c r="M230" s="21">
        <f>K230*L230</f>
        <v>878.8888888888888</v>
      </c>
      <c r="N230" s="22">
        <f>M230/1000</f>
        <v>0.8788888888888888</v>
      </c>
      <c r="O230" s="13" t="inlineStr">
        <is>
          <t>BBS</t>
        </is>
      </c>
    </row>
    <row r="231">
      <c r="A231" s="13" t="n">
        <v>226</v>
      </c>
      <c r="B231" s="13" t="inlineStr">
        <is>
          <t>Floor Slabs</t>
        </is>
      </c>
      <c r="C231" s="13" t="inlineStr">
        <is>
          <t>STR-081</t>
        </is>
      </c>
      <c r="D231" s="13" t="inlineStr">
        <is>
          <t>Typical 4th-8th slab - top</t>
        </is>
      </c>
      <c r="E231" s="19" t="inlineStr">
        <is>
          <t>1262</t>
        </is>
      </c>
      <c r="F231" s="19" t="n">
        <v>12</v>
      </c>
      <c r="G231" s="19" t="n">
        <v>1</v>
      </c>
      <c r="H231" s="19" t="n">
        <v>85</v>
      </c>
      <c r="I231" s="13">
        <f>G231*H231</f>
        <v>85.0</v>
      </c>
      <c r="J231" s="20">
        <f>3750/1000</f>
        <v>3.75</v>
      </c>
      <c r="K231" s="21">
        <f>I231*J231</f>
        <v>318.75</v>
      </c>
      <c r="L231" s="22">
        <f>F231^2/162</f>
        <v>0.8888888888888888</v>
      </c>
      <c r="M231" s="21">
        <f>K231*L231</f>
        <v>283.3333333333333</v>
      </c>
      <c r="N231" s="22">
        <f>M231/1000</f>
        <v>0.2833333333333333</v>
      </c>
      <c r="O231" s="13" t="inlineStr">
        <is>
          <t>BBS</t>
        </is>
      </c>
    </row>
    <row r="232">
      <c r="A232" s="13" t="n">
        <v>227</v>
      </c>
      <c r="B232" s="13" t="inlineStr">
        <is>
          <t>Floor Slabs</t>
        </is>
      </c>
      <c r="C232" s="13" t="inlineStr">
        <is>
          <t>STR-081</t>
        </is>
      </c>
      <c r="D232" s="13" t="inlineStr">
        <is>
          <t>Typical 4th-8th slab - top</t>
        </is>
      </c>
      <c r="E232" s="19" t="inlineStr">
        <is>
          <t>1263</t>
        </is>
      </c>
      <c r="F232" s="19" t="n">
        <v>12</v>
      </c>
      <c r="G232" s="19" t="n">
        <v>1</v>
      </c>
      <c r="H232" s="19" t="n">
        <v>13</v>
      </c>
      <c r="I232" s="13">
        <f>G232*H232</f>
        <v>13.0</v>
      </c>
      <c r="J232" s="20">
        <f>4100/1000</f>
        <v>4.1</v>
      </c>
      <c r="K232" s="21">
        <f>I232*J232</f>
        <v>53.3</v>
      </c>
      <c r="L232" s="22">
        <f>F232^2/162</f>
        <v>0.8888888888888888</v>
      </c>
      <c r="M232" s="21">
        <f>K232*L232</f>
        <v>47.37777777777777</v>
      </c>
      <c r="N232" s="22">
        <f>M232/1000</f>
        <v>0.047377777777777776</v>
      </c>
      <c r="O232" s="13" t="inlineStr">
        <is>
          <t>BBS</t>
        </is>
      </c>
    </row>
    <row r="233">
      <c r="A233" s="13" t="n">
        <v>228</v>
      </c>
      <c r="B233" s="13" t="inlineStr">
        <is>
          <t>Floor Slabs</t>
        </is>
      </c>
      <c r="C233" s="13" t="inlineStr">
        <is>
          <t>STR-081</t>
        </is>
      </c>
      <c r="D233" s="13" t="inlineStr">
        <is>
          <t>Typical 4th-8th slab - top</t>
        </is>
      </c>
      <c r="E233" s="19" t="inlineStr">
        <is>
          <t>1264</t>
        </is>
      </c>
      <c r="F233" s="19" t="n">
        <v>12</v>
      </c>
      <c r="G233" s="19" t="n">
        <v>1</v>
      </c>
      <c r="H233" s="19" t="n">
        <v>13</v>
      </c>
      <c r="I233" s="13">
        <f>G233*H233</f>
        <v>13.0</v>
      </c>
      <c r="J233" s="20">
        <f>4200/1000</f>
        <v>4.2</v>
      </c>
      <c r="K233" s="21">
        <f>I233*J233</f>
        <v>54.6</v>
      </c>
      <c r="L233" s="22">
        <f>F233^2/162</f>
        <v>0.8888888888888888</v>
      </c>
      <c r="M233" s="21">
        <f>K233*L233</f>
        <v>48.53333333333333</v>
      </c>
      <c r="N233" s="22">
        <f>M233/1000</f>
        <v>0.04853333333333333</v>
      </c>
      <c r="O233" s="13" t="inlineStr">
        <is>
          <t>BBS</t>
        </is>
      </c>
    </row>
    <row r="234">
      <c r="A234" s="13" t="n">
        <v>229</v>
      </c>
      <c r="B234" s="13" t="inlineStr">
        <is>
          <t>Floor Slabs</t>
        </is>
      </c>
      <c r="C234" s="13" t="inlineStr">
        <is>
          <t>STR-081</t>
        </is>
      </c>
      <c r="D234" s="13" t="inlineStr">
        <is>
          <t>Typical 4th-8th slab - top</t>
        </is>
      </c>
      <c r="E234" s="19" t="inlineStr">
        <is>
          <t>1265</t>
        </is>
      </c>
      <c r="F234" s="19" t="n">
        <v>12</v>
      </c>
      <c r="G234" s="19" t="n">
        <v>1</v>
      </c>
      <c r="H234" s="19" t="n">
        <v>357</v>
      </c>
      <c r="I234" s="13">
        <f>G234*H234</f>
        <v>357.0</v>
      </c>
      <c r="J234" s="20">
        <f>9200/1000</f>
        <v>9.2</v>
      </c>
      <c r="K234" s="21">
        <f>I234*J234</f>
        <v>3284.3999999999996</v>
      </c>
      <c r="L234" s="22">
        <f>F234^2/162</f>
        <v>0.8888888888888888</v>
      </c>
      <c r="M234" s="21">
        <f>K234*L234</f>
        <v>2919.4666666666662</v>
      </c>
      <c r="N234" s="22">
        <f>M234/1000</f>
        <v>2.919466666666666</v>
      </c>
      <c r="O234" s="13" t="inlineStr">
        <is>
          <t>BBS</t>
        </is>
      </c>
    </row>
    <row r="235">
      <c r="A235" s="13" t="n">
        <v>230</v>
      </c>
      <c r="B235" s="13" t="inlineStr">
        <is>
          <t>Floor Slabs</t>
        </is>
      </c>
      <c r="C235" s="13" t="inlineStr">
        <is>
          <t>STR-081</t>
        </is>
      </c>
      <c r="D235" s="13" t="inlineStr">
        <is>
          <t>Typical 4th-8th slab - top</t>
        </is>
      </c>
      <c r="E235" s="19" t="inlineStr">
        <is>
          <t>1266</t>
        </is>
      </c>
      <c r="F235" s="19" t="n">
        <v>12</v>
      </c>
      <c r="G235" s="19" t="n">
        <v>1</v>
      </c>
      <c r="H235" s="19" t="n">
        <v>12</v>
      </c>
      <c r="I235" s="13">
        <f>G235*H235</f>
        <v>12.0</v>
      </c>
      <c r="J235" s="20">
        <f>9475/1000</f>
        <v>9.475</v>
      </c>
      <c r="K235" s="21">
        <f>I235*J235</f>
        <v>113.69999999999999</v>
      </c>
      <c r="L235" s="22">
        <f>F235^2/162</f>
        <v>0.8888888888888888</v>
      </c>
      <c r="M235" s="21">
        <f>K235*L235</f>
        <v>101.06666666666665</v>
      </c>
      <c r="N235" s="22">
        <f>M235/1000</f>
        <v>0.10106666666666665</v>
      </c>
      <c r="O235" s="13" t="inlineStr">
        <is>
          <t>BBS</t>
        </is>
      </c>
    </row>
    <row r="236">
      <c r="A236" s="13" t="n">
        <v>231</v>
      </c>
      <c r="B236" s="13" t="inlineStr">
        <is>
          <t>Floor Slabs</t>
        </is>
      </c>
      <c r="C236" s="13" t="inlineStr">
        <is>
          <t>STR-081</t>
        </is>
      </c>
      <c r="D236" s="13" t="inlineStr">
        <is>
          <t>Typical 4th-8th slab - top</t>
        </is>
      </c>
      <c r="E236" s="19" t="inlineStr">
        <is>
          <t>1267</t>
        </is>
      </c>
      <c r="F236" s="19" t="n">
        <v>12</v>
      </c>
      <c r="G236" s="19" t="n">
        <v>1</v>
      </c>
      <c r="H236" s="19" t="n">
        <v>101</v>
      </c>
      <c r="I236" s="13">
        <f>G236*H236</f>
        <v>101.0</v>
      </c>
      <c r="J236" s="20">
        <f>2200/1000</f>
        <v>2.2</v>
      </c>
      <c r="K236" s="21">
        <f>I236*J236</f>
        <v>222.20000000000002</v>
      </c>
      <c r="L236" s="22">
        <f>F236^2/162</f>
        <v>0.8888888888888888</v>
      </c>
      <c r="M236" s="21">
        <f>K236*L236</f>
        <v>197.51111111111112</v>
      </c>
      <c r="N236" s="22">
        <f>M236/1000</f>
        <v>0.1975111111111111</v>
      </c>
      <c r="O236" s="13" t="inlineStr">
        <is>
          <t>BBS</t>
        </is>
      </c>
    </row>
    <row r="237">
      <c r="A237" s="13" t="n">
        <v>232</v>
      </c>
      <c r="B237" s="13" t="inlineStr">
        <is>
          <t>Floor Slabs</t>
        </is>
      </c>
      <c r="C237" s="13" t="inlineStr">
        <is>
          <t>STR-081</t>
        </is>
      </c>
      <c r="D237" s="13" t="inlineStr">
        <is>
          <t>Typical 4th-8th slab - top</t>
        </is>
      </c>
      <c r="E237" s="19" t="inlineStr">
        <is>
          <t>1268</t>
        </is>
      </c>
      <c r="F237" s="19" t="n">
        <v>12</v>
      </c>
      <c r="G237" s="19" t="n">
        <v>1</v>
      </c>
      <c r="H237" s="19" t="n">
        <v>9</v>
      </c>
      <c r="I237" s="13">
        <f>G237*H237</f>
        <v>9.0</v>
      </c>
      <c r="J237" s="20">
        <f>8500/1000</f>
        <v>8.5</v>
      </c>
      <c r="K237" s="21">
        <f>I237*J237</f>
        <v>76.5</v>
      </c>
      <c r="L237" s="22">
        <f>F237^2/162</f>
        <v>0.8888888888888888</v>
      </c>
      <c r="M237" s="21">
        <f>K237*L237</f>
        <v>68.0</v>
      </c>
      <c r="N237" s="22">
        <f>M237/1000</f>
        <v>0.068</v>
      </c>
      <c r="O237" s="13" t="inlineStr">
        <is>
          <t>BBS</t>
        </is>
      </c>
    </row>
    <row r="238">
      <c r="A238" s="13" t="n">
        <v>233</v>
      </c>
      <c r="B238" s="13" t="inlineStr">
        <is>
          <t>Floor Slabs</t>
        </is>
      </c>
      <c r="C238" s="13" t="inlineStr">
        <is>
          <t>STR-081</t>
        </is>
      </c>
      <c r="D238" s="13" t="inlineStr">
        <is>
          <t>Typical 4th-8th slab - top</t>
        </is>
      </c>
      <c r="E238" s="19" t="inlineStr">
        <is>
          <t>1269</t>
        </is>
      </c>
      <c r="F238" s="19" t="n">
        <v>12</v>
      </c>
      <c r="G238" s="19" t="n">
        <v>1</v>
      </c>
      <c r="H238" s="19" t="n">
        <v>87</v>
      </c>
      <c r="I238" s="13">
        <f>G238*H238</f>
        <v>87.0</v>
      </c>
      <c r="J238" s="20">
        <f>4550/1000</f>
        <v>4.55</v>
      </c>
      <c r="K238" s="21">
        <f>I238*J238</f>
        <v>395.84999999999997</v>
      </c>
      <c r="L238" s="22">
        <f>F238^2/162</f>
        <v>0.8888888888888888</v>
      </c>
      <c r="M238" s="21">
        <f>K238*L238</f>
        <v>351.8666666666666</v>
      </c>
      <c r="N238" s="22">
        <f>M238/1000</f>
        <v>0.3518666666666666</v>
      </c>
      <c r="O238" s="13" t="inlineStr">
        <is>
          <t>BBS</t>
        </is>
      </c>
    </row>
    <row r="239">
      <c r="A239" s="13" t="n">
        <v>234</v>
      </c>
      <c r="B239" s="13" t="inlineStr">
        <is>
          <t>Floor Slabs</t>
        </is>
      </c>
      <c r="C239" s="13" t="inlineStr">
        <is>
          <t>STR-081</t>
        </is>
      </c>
      <c r="D239" s="13" t="inlineStr">
        <is>
          <t>Typical 4th-8th slab - top</t>
        </is>
      </c>
      <c r="E239" s="19" t="inlineStr">
        <is>
          <t>1270</t>
        </is>
      </c>
      <c r="F239" s="19" t="n">
        <v>12</v>
      </c>
      <c r="G239" s="19" t="n">
        <v>1</v>
      </c>
      <c r="H239" s="19" t="n">
        <v>48</v>
      </c>
      <c r="I239" s="13">
        <f>G239*H239</f>
        <v>48.0</v>
      </c>
      <c r="J239" s="20">
        <f>8727/1000</f>
        <v>8.727</v>
      </c>
      <c r="K239" s="21">
        <f>I239*J239</f>
        <v>418.896</v>
      </c>
      <c r="L239" s="22">
        <f>F239^2/162</f>
        <v>0.8888888888888888</v>
      </c>
      <c r="M239" s="21">
        <f>K239*L239</f>
        <v>372.352</v>
      </c>
      <c r="N239" s="22">
        <f>M239/1000</f>
        <v>0.37235199999999996</v>
      </c>
      <c r="O239" s="13" t="inlineStr">
        <is>
          <t>BBS</t>
        </is>
      </c>
    </row>
    <row r="240">
      <c r="A240" s="13" t="n">
        <v>235</v>
      </c>
      <c r="B240" s="13" t="inlineStr">
        <is>
          <t>Floor Slabs</t>
        </is>
      </c>
      <c r="C240" s="13" t="inlineStr">
        <is>
          <t>STR-081</t>
        </is>
      </c>
      <c r="D240" s="13" t="inlineStr">
        <is>
          <t>Typical 4th-8th slab - top</t>
        </is>
      </c>
      <c r="E240" s="19" t="inlineStr">
        <is>
          <t>1271</t>
        </is>
      </c>
      <c r="F240" s="19" t="n">
        <v>12</v>
      </c>
      <c r="G240" s="19" t="n">
        <v>1</v>
      </c>
      <c r="H240" s="19" t="n">
        <v>74</v>
      </c>
      <c r="I240" s="13">
        <f>G240*H240</f>
        <v>74.0</v>
      </c>
      <c r="J240" s="20">
        <f>12000/1000</f>
        <v>12.0</v>
      </c>
      <c r="K240" s="21">
        <f>I240*J240</f>
        <v>888.0</v>
      </c>
      <c r="L240" s="22">
        <f>F240^2/162</f>
        <v>0.8888888888888888</v>
      </c>
      <c r="M240" s="21">
        <f>K240*L240</f>
        <v>789.3333333333333</v>
      </c>
      <c r="N240" s="22">
        <f>M240/1000</f>
        <v>0.7893333333333332</v>
      </c>
      <c r="O240" s="13" t="inlineStr">
        <is>
          <t>BBS</t>
        </is>
      </c>
    </row>
    <row r="241">
      <c r="A241" s="13" t="n">
        <v>236</v>
      </c>
      <c r="B241" s="13" t="inlineStr">
        <is>
          <t>Floor Slabs</t>
        </is>
      </c>
      <c r="C241" s="13" t="inlineStr">
        <is>
          <t>STR-081</t>
        </is>
      </c>
      <c r="D241" s="13" t="inlineStr">
        <is>
          <t>Typical 4th-8th slab - top</t>
        </is>
      </c>
      <c r="E241" s="19" t="inlineStr">
        <is>
          <t>1272</t>
        </is>
      </c>
      <c r="F241" s="19" t="n">
        <v>12</v>
      </c>
      <c r="G241" s="19" t="n">
        <v>1</v>
      </c>
      <c r="H241" s="19" t="n">
        <v>43</v>
      </c>
      <c r="I241" s="13">
        <f>G241*H241</f>
        <v>43.0</v>
      </c>
      <c r="J241" s="20">
        <f>11750/1000</f>
        <v>11.75</v>
      </c>
      <c r="K241" s="21">
        <f>I241*J241</f>
        <v>505.25</v>
      </c>
      <c r="L241" s="22">
        <f>F241^2/162</f>
        <v>0.8888888888888888</v>
      </c>
      <c r="M241" s="21">
        <f>K241*L241</f>
        <v>449.1111111111111</v>
      </c>
      <c r="N241" s="22">
        <f>M241/1000</f>
        <v>0.44911111111111107</v>
      </c>
      <c r="O241" s="13" t="inlineStr">
        <is>
          <t>BBS</t>
        </is>
      </c>
    </row>
    <row r="242">
      <c r="A242" s="13" t="n">
        <v>237</v>
      </c>
      <c r="B242" s="13" t="inlineStr">
        <is>
          <t>Floor Slabs</t>
        </is>
      </c>
      <c r="C242" s="13" t="inlineStr">
        <is>
          <t>STR-081</t>
        </is>
      </c>
      <c r="D242" s="13" t="inlineStr">
        <is>
          <t>Typical 4th-8th slab - top</t>
        </is>
      </c>
      <c r="E242" s="19" t="inlineStr">
        <is>
          <t>1273</t>
        </is>
      </c>
      <c r="F242" s="19" t="n">
        <v>12</v>
      </c>
      <c r="G242" s="19" t="n">
        <v>1</v>
      </c>
      <c r="H242" s="19" t="n">
        <v>12</v>
      </c>
      <c r="I242" s="13">
        <f>G242*H242</f>
        <v>12.0</v>
      </c>
      <c r="J242" s="20">
        <f>8800/1000</f>
        <v>8.8</v>
      </c>
      <c r="K242" s="21">
        <f>I242*J242</f>
        <v>105.60000000000001</v>
      </c>
      <c r="L242" s="22">
        <f>F242^2/162</f>
        <v>0.8888888888888888</v>
      </c>
      <c r="M242" s="21">
        <f>K242*L242</f>
        <v>93.86666666666667</v>
      </c>
      <c r="N242" s="22">
        <f>M242/1000</f>
        <v>0.09386666666666667</v>
      </c>
      <c r="O242" s="13" t="inlineStr">
        <is>
          <t>BBS</t>
        </is>
      </c>
    </row>
    <row r="243">
      <c r="A243" s="13" t="n">
        <v>238</v>
      </c>
      <c r="B243" s="13" t="inlineStr">
        <is>
          <t>Floor Slabs</t>
        </is>
      </c>
      <c r="C243" s="13" t="inlineStr">
        <is>
          <t>STR-081</t>
        </is>
      </c>
      <c r="D243" s="13" t="inlineStr">
        <is>
          <t>Typical 4th-8th slab - top</t>
        </is>
      </c>
      <c r="E243" s="19" t="inlineStr">
        <is>
          <t>1274</t>
        </is>
      </c>
      <c r="F243" s="19" t="n">
        <v>12</v>
      </c>
      <c r="G243" s="19" t="n">
        <v>1</v>
      </c>
      <c r="H243" s="19" t="n">
        <v>75</v>
      </c>
      <c r="I243" s="13">
        <f>G243*H243</f>
        <v>75.0</v>
      </c>
      <c r="J243" s="20">
        <f>7900/1000</f>
        <v>7.9</v>
      </c>
      <c r="K243" s="21">
        <f>I243*J243</f>
        <v>592.5</v>
      </c>
      <c r="L243" s="22">
        <f>F243^2/162</f>
        <v>0.8888888888888888</v>
      </c>
      <c r="M243" s="21">
        <f>K243*L243</f>
        <v>526.6666666666666</v>
      </c>
      <c r="N243" s="22">
        <f>M243/1000</f>
        <v>0.5266666666666666</v>
      </c>
      <c r="O243" s="13" t="inlineStr">
        <is>
          <t>BBS</t>
        </is>
      </c>
    </row>
    <row r="244">
      <c r="A244" s="13" t="n">
        <v>239</v>
      </c>
      <c r="B244" s="13" t="inlineStr">
        <is>
          <t>Floor Slabs</t>
        </is>
      </c>
      <c r="C244" s="13" t="inlineStr">
        <is>
          <t>STR-082</t>
        </is>
      </c>
      <c r="D244" s="13" t="inlineStr">
        <is>
          <t>Typical 4th-8th slab - additional top</t>
        </is>
      </c>
      <c r="E244" s="19" t="inlineStr">
        <is>
          <t>1275</t>
        </is>
      </c>
      <c r="F244" s="19" t="n">
        <v>12</v>
      </c>
      <c r="G244" s="19" t="n">
        <v>1</v>
      </c>
      <c r="H244" s="19" t="n">
        <v>59</v>
      </c>
      <c r="I244" s="13">
        <f>G244*H244</f>
        <v>59.0</v>
      </c>
      <c r="J244" s="20">
        <f>11000/1000</f>
        <v>11.0</v>
      </c>
      <c r="K244" s="21">
        <f>I244*J244</f>
        <v>649.0</v>
      </c>
      <c r="L244" s="22">
        <f>F244^2/162</f>
        <v>0.8888888888888888</v>
      </c>
      <c r="M244" s="21">
        <f>K244*L244</f>
        <v>576.8888888888888</v>
      </c>
      <c r="N244" s="22">
        <f>M244/1000</f>
        <v>0.5768888888888888</v>
      </c>
      <c r="O244" s="13" t="inlineStr">
        <is>
          <t>BBS</t>
        </is>
      </c>
    </row>
    <row r="245">
      <c r="A245" s="13" t="n">
        <v>240</v>
      </c>
      <c r="B245" s="13" t="inlineStr">
        <is>
          <t>Floor Slabs</t>
        </is>
      </c>
      <c r="C245" s="13" t="inlineStr">
        <is>
          <t>STR-082</t>
        </is>
      </c>
      <c r="D245" s="13" t="inlineStr">
        <is>
          <t>Typical 4th-8th slab - additional top</t>
        </is>
      </c>
      <c r="E245" s="19" t="inlineStr">
        <is>
          <t>1276</t>
        </is>
      </c>
      <c r="F245" s="19" t="n">
        <v>12</v>
      </c>
      <c r="G245" s="19" t="n">
        <v>1</v>
      </c>
      <c r="H245" s="19" t="n">
        <v>296</v>
      </c>
      <c r="I245" s="13">
        <f>G245*H245</f>
        <v>296.0</v>
      </c>
      <c r="J245" s="20">
        <f>3000/1000</f>
        <v>3.0</v>
      </c>
      <c r="K245" s="21">
        <f>I245*J245</f>
        <v>888.0</v>
      </c>
      <c r="L245" s="22">
        <f>F245^2/162</f>
        <v>0.8888888888888888</v>
      </c>
      <c r="M245" s="21">
        <f>K245*L245</f>
        <v>789.3333333333333</v>
      </c>
      <c r="N245" s="22">
        <f>M245/1000</f>
        <v>0.7893333333333332</v>
      </c>
      <c r="O245" s="13" t="inlineStr">
        <is>
          <t>BBS</t>
        </is>
      </c>
    </row>
    <row r="246">
      <c r="A246" s="13" t="n">
        <v>241</v>
      </c>
      <c r="B246" s="13" t="inlineStr">
        <is>
          <t>Floor Slabs</t>
        </is>
      </c>
      <c r="C246" s="13" t="inlineStr">
        <is>
          <t>STR-082</t>
        </is>
      </c>
      <c r="D246" s="13" t="inlineStr">
        <is>
          <t>Typical 4th-8th slab - additional top</t>
        </is>
      </c>
      <c r="E246" s="19" t="inlineStr">
        <is>
          <t>1277</t>
        </is>
      </c>
      <c r="F246" s="19" t="n">
        <v>12</v>
      </c>
      <c r="G246" s="19" t="n">
        <v>1</v>
      </c>
      <c r="H246" s="19" t="n">
        <v>15</v>
      </c>
      <c r="I246" s="13">
        <f>G246*H246</f>
        <v>15.0</v>
      </c>
      <c r="J246" s="20">
        <f>2900/1000</f>
        <v>2.9</v>
      </c>
      <c r="K246" s="21">
        <f>I246*J246</f>
        <v>43.5</v>
      </c>
      <c r="L246" s="22">
        <f>F246^2/162</f>
        <v>0.8888888888888888</v>
      </c>
      <c r="M246" s="21">
        <f>K246*L246</f>
        <v>38.666666666666664</v>
      </c>
      <c r="N246" s="22">
        <f>M246/1000</f>
        <v>0.03866666666666666</v>
      </c>
      <c r="O246" s="13" t="inlineStr">
        <is>
          <t>BBS</t>
        </is>
      </c>
    </row>
    <row r="247">
      <c r="A247" s="13" t="n">
        <v>242</v>
      </c>
      <c r="B247" s="13" t="inlineStr">
        <is>
          <t>Floor Slabs</t>
        </is>
      </c>
      <c r="C247" s="13" t="inlineStr">
        <is>
          <t>STR-082</t>
        </is>
      </c>
      <c r="D247" s="13" t="inlineStr">
        <is>
          <t>Typical 4th-8th slab - additional top</t>
        </is>
      </c>
      <c r="E247" s="19" t="inlineStr">
        <is>
          <t>1278</t>
        </is>
      </c>
      <c r="F247" s="19" t="n">
        <v>12</v>
      </c>
      <c r="G247" s="19" t="n">
        <v>1</v>
      </c>
      <c r="H247" s="19" t="n">
        <v>15</v>
      </c>
      <c r="I247" s="13">
        <f>G247*H247</f>
        <v>15.0</v>
      </c>
      <c r="J247" s="20">
        <f>4150/1000</f>
        <v>4.15</v>
      </c>
      <c r="K247" s="21">
        <f>I247*J247</f>
        <v>62.25000000000001</v>
      </c>
      <c r="L247" s="22">
        <f>F247^2/162</f>
        <v>0.8888888888888888</v>
      </c>
      <c r="M247" s="21">
        <f>K247*L247</f>
        <v>55.333333333333336</v>
      </c>
      <c r="N247" s="22">
        <f>M247/1000</f>
        <v>0.05533333333333334</v>
      </c>
      <c r="O247" s="13" t="inlineStr">
        <is>
          <t>BBS</t>
        </is>
      </c>
    </row>
    <row r="248">
      <c r="A248" s="13" t="n">
        <v>243</v>
      </c>
      <c r="B248" s="13" t="inlineStr">
        <is>
          <t>Floor Slabs</t>
        </is>
      </c>
      <c r="C248" s="13" t="inlineStr">
        <is>
          <t>STR-082</t>
        </is>
      </c>
      <c r="D248" s="13" t="inlineStr">
        <is>
          <t>Typical 4th-8th slab - additional top</t>
        </is>
      </c>
      <c r="E248" s="19" t="inlineStr">
        <is>
          <t>1279</t>
        </is>
      </c>
      <c r="F248" s="19" t="n">
        <v>12</v>
      </c>
      <c r="G248" s="19" t="n">
        <v>1</v>
      </c>
      <c r="H248" s="19" t="n">
        <v>73</v>
      </c>
      <c r="I248" s="13">
        <f>G248*H248</f>
        <v>73.0</v>
      </c>
      <c r="J248" s="20">
        <f>4500/1000</f>
        <v>4.5</v>
      </c>
      <c r="K248" s="21">
        <f>I248*J248</f>
        <v>328.5</v>
      </c>
      <c r="L248" s="22">
        <f>F248^2/162</f>
        <v>0.8888888888888888</v>
      </c>
      <c r="M248" s="21">
        <f>K248*L248</f>
        <v>292.0</v>
      </c>
      <c r="N248" s="22">
        <f>M248/1000</f>
        <v>0.292</v>
      </c>
      <c r="O248" s="13" t="inlineStr">
        <is>
          <t>BBS</t>
        </is>
      </c>
    </row>
    <row r="249">
      <c r="A249" s="13" t="n">
        <v>244</v>
      </c>
      <c r="B249" s="13" t="inlineStr">
        <is>
          <t>Floor Slabs</t>
        </is>
      </c>
      <c r="C249" s="13" t="inlineStr">
        <is>
          <t>STR-082</t>
        </is>
      </c>
      <c r="D249" s="13" t="inlineStr">
        <is>
          <t>Typical 4th-8th slab - additional top</t>
        </is>
      </c>
      <c r="E249" s="19" t="inlineStr">
        <is>
          <t>1280</t>
        </is>
      </c>
      <c r="F249" s="19" t="n">
        <v>12</v>
      </c>
      <c r="G249" s="19" t="n">
        <v>1</v>
      </c>
      <c r="H249" s="19" t="n">
        <v>75</v>
      </c>
      <c r="I249" s="13">
        <f>G249*H249</f>
        <v>75.0</v>
      </c>
      <c r="J249" s="20">
        <f>6000/1000</f>
        <v>6.0</v>
      </c>
      <c r="K249" s="21">
        <f>I249*J249</f>
        <v>450.0</v>
      </c>
      <c r="L249" s="22">
        <f>F249^2/162</f>
        <v>0.8888888888888888</v>
      </c>
      <c r="M249" s="21">
        <f>K249*L249</f>
        <v>400.0</v>
      </c>
      <c r="N249" s="22">
        <f>M249/1000</f>
        <v>0.4</v>
      </c>
      <c r="O249" s="13" t="inlineStr">
        <is>
          <t>BBS</t>
        </is>
      </c>
    </row>
    <row r="250">
      <c r="A250" s="13" t="n">
        <v>245</v>
      </c>
      <c r="B250" s="13" t="inlineStr">
        <is>
          <t>Floor Slabs</t>
        </is>
      </c>
      <c r="C250" s="13" t="inlineStr">
        <is>
          <t>STR-082</t>
        </is>
      </c>
      <c r="D250" s="13" t="inlineStr">
        <is>
          <t>Typical 4th-8th slab - additional top</t>
        </is>
      </c>
      <c r="E250" s="19" t="inlineStr">
        <is>
          <t>1281</t>
        </is>
      </c>
      <c r="F250" s="19" t="n">
        <v>12</v>
      </c>
      <c r="G250" s="19" t="n">
        <v>1</v>
      </c>
      <c r="H250" s="19" t="n">
        <v>60</v>
      </c>
      <c r="I250" s="13">
        <f>G250*H250</f>
        <v>60.0</v>
      </c>
      <c r="J250" s="20">
        <f>4900/1000</f>
        <v>4.9</v>
      </c>
      <c r="K250" s="21">
        <f>I250*J250</f>
        <v>294.0</v>
      </c>
      <c r="L250" s="22">
        <f>F250^2/162</f>
        <v>0.8888888888888888</v>
      </c>
      <c r="M250" s="21">
        <f>K250*L250</f>
        <v>261.3333333333333</v>
      </c>
      <c r="N250" s="22">
        <f>M250/1000</f>
        <v>0.2613333333333333</v>
      </c>
      <c r="O250" s="13" t="inlineStr">
        <is>
          <t>BBS</t>
        </is>
      </c>
    </row>
    <row r="251">
      <c r="A251" s="13" t="n">
        <v>246</v>
      </c>
      <c r="B251" s="13" t="inlineStr">
        <is>
          <t>Floor Slabs</t>
        </is>
      </c>
      <c r="C251" s="13" t="inlineStr">
        <is>
          <t>STR-082</t>
        </is>
      </c>
      <c r="D251" s="13" t="inlineStr">
        <is>
          <t>Typical 4th-8th slab - additional top</t>
        </is>
      </c>
      <c r="E251" s="19" t="inlineStr">
        <is>
          <t>1282</t>
        </is>
      </c>
      <c r="F251" s="19" t="n">
        <v>12</v>
      </c>
      <c r="G251" s="19" t="n">
        <v>1</v>
      </c>
      <c r="H251" s="19" t="n">
        <v>8</v>
      </c>
      <c r="I251" s="13">
        <f>G251*H251</f>
        <v>8.0</v>
      </c>
      <c r="J251" s="20">
        <f>1475/1000</f>
        <v>1.475</v>
      </c>
      <c r="K251" s="21">
        <f>I251*J251</f>
        <v>11.8</v>
      </c>
      <c r="L251" s="22">
        <f>F251^2/162</f>
        <v>0.8888888888888888</v>
      </c>
      <c r="M251" s="21">
        <f>K251*L251</f>
        <v>10.488888888888889</v>
      </c>
      <c r="N251" s="22">
        <f>M251/1000</f>
        <v>0.01048888888888889</v>
      </c>
      <c r="O251" s="13" t="inlineStr">
        <is>
          <t>BBS</t>
        </is>
      </c>
    </row>
    <row r="252">
      <c r="A252" s="13" t="n">
        <v>247</v>
      </c>
      <c r="B252" s="13" t="inlineStr">
        <is>
          <t>Floor Slabs</t>
        </is>
      </c>
      <c r="C252" s="13" t="inlineStr">
        <is>
          <t>STR-082</t>
        </is>
      </c>
      <c r="D252" s="13" t="inlineStr">
        <is>
          <t>Typical 4th-8th slab - additional top</t>
        </is>
      </c>
      <c r="E252" s="19" t="inlineStr">
        <is>
          <t>1601</t>
        </is>
      </c>
      <c r="F252" s="19" t="n">
        <v>16</v>
      </c>
      <c r="G252" s="19" t="n">
        <v>1</v>
      </c>
      <c r="H252" s="19" t="n">
        <v>6</v>
      </c>
      <c r="I252" s="13">
        <f>G252*H252</f>
        <v>6.0</v>
      </c>
      <c r="J252" s="20">
        <f>3675/1000</f>
        <v>3.675</v>
      </c>
      <c r="K252" s="21">
        <f>I252*J252</f>
        <v>22.049999999999997</v>
      </c>
      <c r="L252" s="22">
        <f>F252^2/162</f>
        <v>1.5802469135802468</v>
      </c>
      <c r="M252" s="21">
        <f>K252*L252</f>
        <v>34.84444444444444</v>
      </c>
      <c r="N252" s="22">
        <f>M252/1000</f>
        <v>0.03484444444444444</v>
      </c>
      <c r="O252" s="13" t="inlineStr">
        <is>
          <t>BBS</t>
        </is>
      </c>
    </row>
    <row r="253">
      <c r="A253" s="13" t="n">
        <v>248</v>
      </c>
      <c r="B253" s="13" t="inlineStr">
        <is>
          <t>Floor Slabs</t>
        </is>
      </c>
      <c r="C253" s="13" t="inlineStr">
        <is>
          <t>STR-082</t>
        </is>
      </c>
      <c r="D253" s="13" t="inlineStr">
        <is>
          <t>Typical 4th-8th slab - additional top</t>
        </is>
      </c>
      <c r="E253" s="19" t="inlineStr">
        <is>
          <t>1602</t>
        </is>
      </c>
      <c r="F253" s="19" t="n">
        <v>16</v>
      </c>
      <c r="G253" s="19" t="n">
        <v>1</v>
      </c>
      <c r="H253" s="19" t="n">
        <v>6</v>
      </c>
      <c r="I253" s="13">
        <f>G253*H253</f>
        <v>6.0</v>
      </c>
      <c r="J253" s="20">
        <f>6675/1000</f>
        <v>6.675</v>
      </c>
      <c r="K253" s="21">
        <f>I253*J253</f>
        <v>40.05</v>
      </c>
      <c r="L253" s="22">
        <f>F253^2/162</f>
        <v>1.5802469135802468</v>
      </c>
      <c r="M253" s="21">
        <f>K253*L253</f>
        <v>63.288888888888884</v>
      </c>
      <c r="N253" s="22">
        <f>M253/1000</f>
        <v>0.06328888888888888</v>
      </c>
      <c r="O253" s="13" t="inlineStr">
        <is>
          <t>BBS</t>
        </is>
      </c>
    </row>
    <row r="254">
      <c r="A254" s="13" t="n">
        <v>249</v>
      </c>
      <c r="B254" s="13" t="inlineStr">
        <is>
          <t>Floor Slabs</t>
        </is>
      </c>
      <c r="C254" s="13" t="inlineStr">
        <is>
          <t>STR-082</t>
        </is>
      </c>
      <c r="D254" s="13" t="inlineStr">
        <is>
          <t>Typical 4th-8th slab - additional top</t>
        </is>
      </c>
      <c r="E254" s="19" t="inlineStr">
        <is>
          <t>1603</t>
        </is>
      </c>
      <c r="F254" s="19" t="n">
        <v>16</v>
      </c>
      <c r="G254" s="19" t="n">
        <v>1</v>
      </c>
      <c r="H254" s="19" t="n">
        <v>3</v>
      </c>
      <c r="I254" s="13">
        <f>G254*H254</f>
        <v>3.0</v>
      </c>
      <c r="J254" s="20">
        <f>3000/1000</f>
        <v>3.0</v>
      </c>
      <c r="K254" s="21">
        <f>I254*J254</f>
        <v>9.0</v>
      </c>
      <c r="L254" s="22">
        <f>F254^2/162</f>
        <v>1.5802469135802468</v>
      </c>
      <c r="M254" s="21">
        <f>K254*L254</f>
        <v>14.222222222222221</v>
      </c>
      <c r="N254" s="22">
        <f>M254/1000</f>
        <v>0.014222222222222221</v>
      </c>
      <c r="O254" s="13" t="inlineStr">
        <is>
          <t>BBS</t>
        </is>
      </c>
    </row>
    <row r="255">
      <c r="A255" s="13" t="n">
        <v>250</v>
      </c>
      <c r="B255" s="13" t="inlineStr">
        <is>
          <t>Floor Slabs</t>
        </is>
      </c>
      <c r="C255" s="13" t="inlineStr">
        <is>
          <t>STR-082</t>
        </is>
      </c>
      <c r="D255" s="13" t="inlineStr">
        <is>
          <t>Typical 4th-8th slab - additional top</t>
        </is>
      </c>
      <c r="E255" s="19" t="inlineStr">
        <is>
          <t>1604</t>
        </is>
      </c>
      <c r="F255" s="19" t="n">
        <v>16</v>
      </c>
      <c r="G255" s="19" t="n">
        <v>1</v>
      </c>
      <c r="H255" s="19" t="n">
        <v>6</v>
      </c>
      <c r="I255" s="13">
        <f>G255*H255</f>
        <v>6.0</v>
      </c>
      <c r="J255" s="20">
        <f>4025/1000</f>
        <v>4.025</v>
      </c>
      <c r="K255" s="21">
        <f>I255*J255</f>
        <v>24.150000000000002</v>
      </c>
      <c r="L255" s="22">
        <f>F255^2/162</f>
        <v>1.5802469135802468</v>
      </c>
      <c r="M255" s="21">
        <f>K255*L255</f>
        <v>38.162962962962965</v>
      </c>
      <c r="N255" s="22">
        <f>M255/1000</f>
        <v>0.03816296296296297</v>
      </c>
      <c r="O255" s="13" t="inlineStr">
        <is>
          <t>BBS</t>
        </is>
      </c>
    </row>
    <row r="256">
      <c r="A256" s="13" t="n">
        <v>251</v>
      </c>
      <c r="B256" s="13" t="inlineStr">
        <is>
          <t>Staircases</t>
        </is>
      </c>
      <c r="C256" s="13" t="inlineStr">
        <is>
          <t>STR-027</t>
        </is>
      </c>
      <c r="D256" s="13" t="inlineStr">
        <is>
          <t>Main staircase typical flight (4th to 10th, one storey)</t>
        </is>
      </c>
      <c r="E256" s="19" t="inlineStr">
        <is>
          <t>1201</t>
        </is>
      </c>
      <c r="F256" s="19" t="n">
        <v>12</v>
      </c>
      <c r="G256" s="19" t="n">
        <v>1</v>
      </c>
      <c r="H256" s="19" t="n">
        <v>30</v>
      </c>
      <c r="I256" s="13">
        <f>G256*H256</f>
        <v>30.0</v>
      </c>
      <c r="J256" s="20">
        <f>6200/1000</f>
        <v>6.2</v>
      </c>
      <c r="K256" s="21">
        <f>I256*J256</f>
        <v>186.0</v>
      </c>
      <c r="L256" s="22">
        <f>F256^2/162</f>
        <v>0.8888888888888888</v>
      </c>
      <c r="M256" s="21">
        <f>K256*L256</f>
        <v>165.33333333333331</v>
      </c>
      <c r="N256" s="22">
        <f>M256/1000</f>
        <v>0.1653333333333333</v>
      </c>
      <c r="O256" s="13" t="inlineStr">
        <is>
          <t>BBS</t>
        </is>
      </c>
    </row>
    <row r="257">
      <c r="A257" s="13" t="n">
        <v>252</v>
      </c>
      <c r="B257" s="13" t="inlineStr">
        <is>
          <t>Staircases</t>
        </is>
      </c>
      <c r="C257" s="13" t="inlineStr">
        <is>
          <t>STR-027</t>
        </is>
      </c>
      <c r="D257" s="13" t="inlineStr">
        <is>
          <t>Main staircase typical flight (4th to 10th, one storey)</t>
        </is>
      </c>
      <c r="E257" s="19" t="inlineStr">
        <is>
          <t>1202</t>
        </is>
      </c>
      <c r="F257" s="19" t="n">
        <v>12</v>
      </c>
      <c r="G257" s="19" t="n">
        <v>1</v>
      </c>
      <c r="H257" s="19" t="n">
        <v>80</v>
      </c>
      <c r="I257" s="13">
        <f>G257*H257</f>
        <v>80.0</v>
      </c>
      <c r="J257" s="20">
        <f>2300/1000</f>
        <v>2.3</v>
      </c>
      <c r="K257" s="21">
        <f>I257*J257</f>
        <v>184.0</v>
      </c>
      <c r="L257" s="22">
        <f>F257^2/162</f>
        <v>0.8888888888888888</v>
      </c>
      <c r="M257" s="21">
        <f>K257*L257</f>
        <v>163.55555555555554</v>
      </c>
      <c r="N257" s="22">
        <f>M257/1000</f>
        <v>0.16355555555555554</v>
      </c>
      <c r="O257" s="13" t="inlineStr">
        <is>
          <t>BBS</t>
        </is>
      </c>
    </row>
    <row r="258">
      <c r="A258" s="13" t="n">
        <v>253</v>
      </c>
      <c r="B258" s="13" t="inlineStr">
        <is>
          <t>Staircases</t>
        </is>
      </c>
      <c r="C258" s="13" t="inlineStr">
        <is>
          <t>STR-027</t>
        </is>
      </c>
      <c r="D258" s="13" t="inlineStr">
        <is>
          <t>Main staircase typical flight (4th to 10th, one storey)</t>
        </is>
      </c>
      <c r="E258" s="19" t="inlineStr">
        <is>
          <t>1203</t>
        </is>
      </c>
      <c r="F258" s="19" t="n">
        <v>12</v>
      </c>
      <c r="G258" s="19" t="n">
        <v>1</v>
      </c>
      <c r="H258" s="19" t="n">
        <v>26</v>
      </c>
      <c r="I258" s="13">
        <f>G258*H258</f>
        <v>26.0</v>
      </c>
      <c r="J258" s="20">
        <f>4800/1000</f>
        <v>4.8</v>
      </c>
      <c r="K258" s="21">
        <f>I258*J258</f>
        <v>124.8</v>
      </c>
      <c r="L258" s="22">
        <f>F258^2/162</f>
        <v>0.8888888888888888</v>
      </c>
      <c r="M258" s="21">
        <f>K258*L258</f>
        <v>110.93333333333332</v>
      </c>
      <c r="N258" s="22">
        <f>M258/1000</f>
        <v>0.11093333333333333</v>
      </c>
      <c r="O258" s="13" t="inlineStr">
        <is>
          <t>BBS</t>
        </is>
      </c>
    </row>
    <row r="259">
      <c r="A259" s="13" t="n">
        <v>254</v>
      </c>
      <c r="B259" s="13" t="inlineStr">
        <is>
          <t>Staircases</t>
        </is>
      </c>
      <c r="C259" s="13" t="inlineStr">
        <is>
          <t>STR-027</t>
        </is>
      </c>
      <c r="D259" s="13" t="inlineStr">
        <is>
          <t>Main staircase typical flight (4th to 10th, one storey)</t>
        </is>
      </c>
      <c r="E259" s="19" t="inlineStr">
        <is>
          <t>1601</t>
        </is>
      </c>
      <c r="F259" s="19" t="n">
        <v>16</v>
      </c>
      <c r="G259" s="19" t="n">
        <v>1</v>
      </c>
      <c r="H259" s="19" t="n">
        <v>11</v>
      </c>
      <c r="I259" s="13">
        <f>G259*H259</f>
        <v>11.0</v>
      </c>
      <c r="J259" s="20">
        <f>8450/1000</f>
        <v>8.45</v>
      </c>
      <c r="K259" s="21">
        <f>I259*J259</f>
        <v>92.94999999999999</v>
      </c>
      <c r="L259" s="22">
        <f>F259^2/162</f>
        <v>1.5802469135802468</v>
      </c>
      <c r="M259" s="21">
        <f>K259*L259</f>
        <v>146.88395061728392</v>
      </c>
      <c r="N259" s="22">
        <f>M259/1000</f>
        <v>0.1468839506172839</v>
      </c>
      <c r="O259" s="13" t="inlineStr">
        <is>
          <t>BBS</t>
        </is>
      </c>
    </row>
    <row r="260">
      <c r="A260" s="13" t="n">
        <v>255</v>
      </c>
      <c r="B260" s="13" t="inlineStr">
        <is>
          <t>Staircases</t>
        </is>
      </c>
      <c r="C260" s="13" t="inlineStr">
        <is>
          <t>STR-027</t>
        </is>
      </c>
      <c r="D260" s="13" t="inlineStr">
        <is>
          <t>Main staircase typical flight (4th to 10th, one storey)</t>
        </is>
      </c>
      <c r="E260" s="19" t="inlineStr">
        <is>
          <t>1602</t>
        </is>
      </c>
      <c r="F260" s="19" t="n">
        <v>16</v>
      </c>
      <c r="G260" s="19" t="n">
        <v>1</v>
      </c>
      <c r="H260" s="19" t="n">
        <v>11</v>
      </c>
      <c r="I260" s="13">
        <f>G260*H260</f>
        <v>11.0</v>
      </c>
      <c r="J260" s="20">
        <f>4475/1000</f>
        <v>4.475</v>
      </c>
      <c r="K260" s="21">
        <f>I260*J260</f>
        <v>49.224999999999994</v>
      </c>
      <c r="L260" s="22">
        <f>F260^2/162</f>
        <v>1.5802469135802468</v>
      </c>
      <c r="M260" s="21">
        <f>K260*L260</f>
        <v>77.78765432098764</v>
      </c>
      <c r="N260" s="22">
        <f>M260/1000</f>
        <v>0.07778765432098764</v>
      </c>
      <c r="O260" s="13" t="inlineStr">
        <is>
          <t>BBS</t>
        </is>
      </c>
    </row>
    <row r="261">
      <c r="A261" s="13" t="n">
        <v>256</v>
      </c>
      <c r="B261" s="13" t="inlineStr">
        <is>
          <t>Staircases</t>
        </is>
      </c>
      <c r="C261" s="13" t="inlineStr">
        <is>
          <t>STR-027</t>
        </is>
      </c>
      <c r="D261" s="13" t="inlineStr">
        <is>
          <t>Main staircase typical flight (4th to 10th, one storey)</t>
        </is>
      </c>
      <c r="E261" s="19" t="inlineStr">
        <is>
          <t>1603</t>
        </is>
      </c>
      <c r="F261" s="19" t="n">
        <v>16</v>
      </c>
      <c r="G261" s="19" t="n">
        <v>1</v>
      </c>
      <c r="H261" s="19" t="n">
        <v>11</v>
      </c>
      <c r="I261" s="13">
        <f>G261*H261</f>
        <v>11.0</v>
      </c>
      <c r="J261" s="20">
        <f>2400/1000</f>
        <v>2.4</v>
      </c>
      <c r="K261" s="21">
        <f>I261*J261</f>
        <v>26.4</v>
      </c>
      <c r="L261" s="22">
        <f>F261^2/162</f>
        <v>1.5802469135802468</v>
      </c>
      <c r="M261" s="21">
        <f>K261*L261</f>
        <v>41.718518518518515</v>
      </c>
      <c r="N261" s="22">
        <f>M261/1000</f>
        <v>0.041718518518518516</v>
      </c>
      <c r="O261" s="13" t="inlineStr">
        <is>
          <t>BBS</t>
        </is>
      </c>
    </row>
    <row r="262">
      <c r="A262" s="13" t="n">
        <v>257</v>
      </c>
      <c r="B262" s="13" t="inlineStr">
        <is>
          <t>Staircases</t>
        </is>
      </c>
      <c r="C262" s="13" t="inlineStr">
        <is>
          <t>STR-027</t>
        </is>
      </c>
      <c r="D262" s="13" t="inlineStr">
        <is>
          <t>Main staircase typical flight (4th to 10th, one storey)</t>
        </is>
      </c>
      <c r="E262" s="19" t="inlineStr">
        <is>
          <t>1604</t>
        </is>
      </c>
      <c r="F262" s="19" t="n">
        <v>16</v>
      </c>
      <c r="G262" s="19" t="n">
        <v>1</v>
      </c>
      <c r="H262" s="19" t="n">
        <v>11</v>
      </c>
      <c r="I262" s="13">
        <f>G262*H262</f>
        <v>11.0</v>
      </c>
      <c r="J262" s="20">
        <f>4250/1000</f>
        <v>4.25</v>
      </c>
      <c r="K262" s="21">
        <f>I262*J262</f>
        <v>46.75</v>
      </c>
      <c r="L262" s="22">
        <f>F262^2/162</f>
        <v>1.5802469135802468</v>
      </c>
      <c r="M262" s="21">
        <f>K262*L262</f>
        <v>73.87654320987654</v>
      </c>
      <c r="N262" s="22">
        <f>M262/1000</f>
        <v>0.07387654320987655</v>
      </c>
      <c r="O262" s="13" t="inlineStr">
        <is>
          <t>BBS</t>
        </is>
      </c>
    </row>
    <row r="263">
      <c r="A263" s="13" t="n">
        <v>258</v>
      </c>
      <c r="B263" s="13" t="inlineStr">
        <is>
          <t>Staircases</t>
        </is>
      </c>
      <c r="C263" s="13" t="inlineStr">
        <is>
          <t>STR-027</t>
        </is>
      </c>
      <c r="D263" s="13" t="inlineStr">
        <is>
          <t>Main staircase typical flight (4th to 10th, one storey)</t>
        </is>
      </c>
      <c r="E263" s="19" t="inlineStr">
        <is>
          <t>1605</t>
        </is>
      </c>
      <c r="F263" s="19" t="n">
        <v>16</v>
      </c>
      <c r="G263" s="19" t="n">
        <v>1</v>
      </c>
      <c r="H263" s="19" t="n">
        <v>11</v>
      </c>
      <c r="I263" s="13">
        <f>G263*H263</f>
        <v>11.0</v>
      </c>
      <c r="J263" s="20">
        <f>2100/1000</f>
        <v>2.1</v>
      </c>
      <c r="K263" s="21">
        <f>I263*J263</f>
        <v>23.1</v>
      </c>
      <c r="L263" s="22">
        <f>F263^2/162</f>
        <v>1.5802469135802468</v>
      </c>
      <c r="M263" s="21">
        <f>K263*L263</f>
        <v>36.50370370370371</v>
      </c>
      <c r="N263" s="22">
        <f>M263/1000</f>
        <v>0.036503703703703705</v>
      </c>
      <c r="O263" s="13" t="inlineStr">
        <is>
          <t>BBS</t>
        </is>
      </c>
    </row>
    <row r="264">
      <c r="A264" s="13" t="n">
        <v>259</v>
      </c>
      <c r="B264" s="13" t="inlineStr">
        <is>
          <t>Staircases</t>
        </is>
      </c>
      <c r="C264" s="13" t="inlineStr">
        <is>
          <t>STR-027</t>
        </is>
      </c>
      <c r="D264" s="13" t="inlineStr">
        <is>
          <t>Main staircase typical flight (4th to 10th, one storey)</t>
        </is>
      </c>
      <c r="E264" s="19" t="inlineStr">
        <is>
          <t>1606</t>
        </is>
      </c>
      <c r="F264" s="19" t="n">
        <v>16</v>
      </c>
      <c r="G264" s="19" t="n">
        <v>1</v>
      </c>
      <c r="H264" s="19" t="n">
        <v>11</v>
      </c>
      <c r="I264" s="13">
        <f>G264*H264</f>
        <v>11.0</v>
      </c>
      <c r="J264" s="20">
        <f>6950/1000</f>
        <v>6.95</v>
      </c>
      <c r="K264" s="21">
        <f>I264*J264</f>
        <v>76.45</v>
      </c>
      <c r="L264" s="22">
        <f>F264^2/162</f>
        <v>1.5802469135802468</v>
      </c>
      <c r="M264" s="21">
        <f>K264*L264</f>
        <v>120.80987654320987</v>
      </c>
      <c r="N264" s="22">
        <f>M264/1000</f>
        <v>0.12080987654320986</v>
      </c>
      <c r="O264" s="13" t="inlineStr">
        <is>
          <t>BBS</t>
        </is>
      </c>
    </row>
    <row r="265">
      <c r="A265" s="13" t="n">
        <v>260</v>
      </c>
      <c r="B265" s="13" t="inlineStr">
        <is>
          <t>Staircases</t>
        </is>
      </c>
      <c r="C265" s="13" t="inlineStr">
        <is>
          <t>STR-027</t>
        </is>
      </c>
      <c r="D265" s="13" t="inlineStr">
        <is>
          <t>Main staircase typical flight (4th to 10th, one storey)</t>
        </is>
      </c>
      <c r="E265" s="19" t="inlineStr">
        <is>
          <t>1607</t>
        </is>
      </c>
      <c r="F265" s="19" t="n">
        <v>16</v>
      </c>
      <c r="G265" s="19" t="n">
        <v>1</v>
      </c>
      <c r="H265" s="19" t="n">
        <v>11</v>
      </c>
      <c r="I265" s="13">
        <f>G265*H265</f>
        <v>11.0</v>
      </c>
      <c r="J265" s="20">
        <f>3300/1000</f>
        <v>3.3</v>
      </c>
      <c r="K265" s="21">
        <f>I265*J265</f>
        <v>36.3</v>
      </c>
      <c r="L265" s="22">
        <f>F265^2/162</f>
        <v>1.5802469135802468</v>
      </c>
      <c r="M265" s="21">
        <f>K265*L265</f>
        <v>57.36296296296295</v>
      </c>
      <c r="N265" s="22">
        <f>M265/1000</f>
        <v>0.057362962962962956</v>
      </c>
      <c r="O265" s="13" t="inlineStr">
        <is>
          <t>BBS</t>
        </is>
      </c>
    </row>
    <row r="266">
      <c r="A266" s="13" t="n">
        <v>261</v>
      </c>
      <c r="B266" s="13" t="inlineStr">
        <is>
          <t>Staircases</t>
        </is>
      </c>
      <c r="C266" s="13" t="inlineStr">
        <is>
          <t>STR-027</t>
        </is>
      </c>
      <c r="D266" s="13" t="inlineStr">
        <is>
          <t>Main staircase typical flight (4th to 10th, one storey)</t>
        </is>
      </c>
      <c r="E266" s="19" t="inlineStr">
        <is>
          <t>1608</t>
        </is>
      </c>
      <c r="F266" s="19" t="n">
        <v>16</v>
      </c>
      <c r="G266" s="19" t="n">
        <v>1</v>
      </c>
      <c r="H266" s="19" t="n">
        <v>11</v>
      </c>
      <c r="I266" s="13">
        <f>G266*H266</f>
        <v>11.0</v>
      </c>
      <c r="J266" s="20">
        <f>1200/1000</f>
        <v>1.2</v>
      </c>
      <c r="K266" s="21">
        <f>I266*J266</f>
        <v>13.2</v>
      </c>
      <c r="L266" s="22">
        <f>F266^2/162</f>
        <v>1.5802469135802468</v>
      </c>
      <c r="M266" s="21">
        <f>K266*L266</f>
        <v>20.859259259259257</v>
      </c>
      <c r="N266" s="22">
        <f>M266/1000</f>
        <v>0.020859259259259258</v>
      </c>
      <c r="O266" s="13" t="inlineStr">
        <is>
          <t>BBS</t>
        </is>
      </c>
    </row>
    <row r="267">
      <c r="A267" s="13" t="n">
        <v>262</v>
      </c>
      <c r="B267" s="13" t="inlineStr">
        <is>
          <t>Staircases</t>
        </is>
      </c>
      <c r="C267" s="13" t="inlineStr">
        <is>
          <t>STR-027</t>
        </is>
      </c>
      <c r="D267" s="13" t="inlineStr">
        <is>
          <t>Main staircase typical flight (4th to 10th, one storey)</t>
        </is>
      </c>
      <c r="E267" s="19" t="inlineStr">
        <is>
          <t>1609</t>
        </is>
      </c>
      <c r="F267" s="19" t="n">
        <v>16</v>
      </c>
      <c r="G267" s="19" t="n">
        <v>1</v>
      </c>
      <c r="H267" s="19" t="n">
        <v>11</v>
      </c>
      <c r="I267" s="13">
        <f>G267*H267</f>
        <v>11.0</v>
      </c>
      <c r="J267" s="20">
        <f>6225/1000</f>
        <v>6.225</v>
      </c>
      <c r="K267" s="21">
        <f>I267*J267</f>
        <v>68.475</v>
      </c>
      <c r="L267" s="22">
        <f>F267^2/162</f>
        <v>1.5802469135802468</v>
      </c>
      <c r="M267" s="21">
        <f>K267*L267</f>
        <v>108.20740740740739</v>
      </c>
      <c r="N267" s="22">
        <f>M267/1000</f>
        <v>0.10820740740740739</v>
      </c>
      <c r="O267" s="13" t="inlineStr">
        <is>
          <t>BBS</t>
        </is>
      </c>
    </row>
    <row r="268">
      <c r="A268" s="13" t="n">
        <v>263</v>
      </c>
      <c r="B268" s="13" t="inlineStr">
        <is>
          <t>Staircases</t>
        </is>
      </c>
      <c r="C268" s="13" t="inlineStr">
        <is>
          <t>STR-027</t>
        </is>
      </c>
      <c r="D268" s="13" t="inlineStr">
        <is>
          <t>Main staircase typical flight (4th to 10th, one storey)</t>
        </is>
      </c>
      <c r="E268" s="19" t="inlineStr">
        <is>
          <t>1610</t>
        </is>
      </c>
      <c r="F268" s="19" t="n">
        <v>16</v>
      </c>
      <c r="G268" s="19" t="n">
        <v>1</v>
      </c>
      <c r="H268" s="19" t="n">
        <v>11</v>
      </c>
      <c r="I268" s="13">
        <f>G268*H268</f>
        <v>11.0</v>
      </c>
      <c r="J268" s="20">
        <f>3225/1000</f>
        <v>3.225</v>
      </c>
      <c r="K268" s="21">
        <f>I268*J268</f>
        <v>35.475</v>
      </c>
      <c r="L268" s="22">
        <f>F268^2/162</f>
        <v>1.5802469135802468</v>
      </c>
      <c r="M268" s="21">
        <f>K268*L268</f>
        <v>56.05925925925926</v>
      </c>
      <c r="N268" s="22">
        <f>M268/1000</f>
        <v>0.05605925925925926</v>
      </c>
      <c r="O268" s="13" t="inlineStr">
        <is>
          <t>BBS</t>
        </is>
      </c>
    </row>
    <row r="269">
      <c r="A269" s="13" t="n">
        <v>264</v>
      </c>
      <c r="B269" s="13" t="inlineStr">
        <is>
          <t>Staircases</t>
        </is>
      </c>
      <c r="C269" s="13" t="inlineStr">
        <is>
          <t>STR-037</t>
        </is>
      </c>
      <c r="D269" s="13" t="inlineStr">
        <is>
          <t>Emergency staircase typical flight (4th to 10th, one storey)</t>
        </is>
      </c>
      <c r="E269" s="19" t="inlineStr">
        <is>
          <t>1201</t>
        </is>
      </c>
      <c r="F269" s="19" t="n">
        <v>12</v>
      </c>
      <c r="G269" s="19" t="n">
        <v>1</v>
      </c>
      <c r="H269" s="19" t="n">
        <v>30</v>
      </c>
      <c r="I269" s="13">
        <f>G269*H269</f>
        <v>30.0</v>
      </c>
      <c r="J269" s="20">
        <f>6200/1000</f>
        <v>6.2</v>
      </c>
      <c r="K269" s="21">
        <f>I269*J269</f>
        <v>186.0</v>
      </c>
      <c r="L269" s="22">
        <f>F269^2/162</f>
        <v>0.8888888888888888</v>
      </c>
      <c r="M269" s="21">
        <f>K269*L269</f>
        <v>165.33333333333331</v>
      </c>
      <c r="N269" s="22">
        <f>M269/1000</f>
        <v>0.1653333333333333</v>
      </c>
      <c r="O269" s="13" t="inlineStr">
        <is>
          <t>BBS</t>
        </is>
      </c>
    </row>
    <row r="270">
      <c r="A270" s="13" t="n">
        <v>265</v>
      </c>
      <c r="B270" s="13" t="inlineStr">
        <is>
          <t>Staircases</t>
        </is>
      </c>
      <c r="C270" s="13" t="inlineStr">
        <is>
          <t>STR-037</t>
        </is>
      </c>
      <c r="D270" s="13" t="inlineStr">
        <is>
          <t>Emergency staircase typical flight (4th to 10th, one storey)</t>
        </is>
      </c>
      <c r="E270" s="19" t="inlineStr">
        <is>
          <t>1202</t>
        </is>
      </c>
      <c r="F270" s="19" t="n">
        <v>12</v>
      </c>
      <c r="G270" s="19" t="n">
        <v>1</v>
      </c>
      <c r="H270" s="19" t="n">
        <v>80</v>
      </c>
      <c r="I270" s="13">
        <f>G270*H270</f>
        <v>80.0</v>
      </c>
      <c r="J270" s="20">
        <f>2300/1000</f>
        <v>2.3</v>
      </c>
      <c r="K270" s="21">
        <f>I270*J270</f>
        <v>184.0</v>
      </c>
      <c r="L270" s="22">
        <f>F270^2/162</f>
        <v>0.8888888888888888</v>
      </c>
      <c r="M270" s="21">
        <f>K270*L270</f>
        <v>163.55555555555554</v>
      </c>
      <c r="N270" s="22">
        <f>M270/1000</f>
        <v>0.16355555555555554</v>
      </c>
      <c r="O270" s="13" t="inlineStr">
        <is>
          <t>BBS</t>
        </is>
      </c>
    </row>
    <row r="271">
      <c r="A271" s="13" t="n">
        <v>266</v>
      </c>
      <c r="B271" s="13" t="inlineStr">
        <is>
          <t>Staircases</t>
        </is>
      </c>
      <c r="C271" s="13" t="inlineStr">
        <is>
          <t>STR-037</t>
        </is>
      </c>
      <c r="D271" s="13" t="inlineStr">
        <is>
          <t>Emergency staircase typical flight (4th to 10th, one storey)</t>
        </is>
      </c>
      <c r="E271" s="19" t="inlineStr">
        <is>
          <t>1203</t>
        </is>
      </c>
      <c r="F271" s="19" t="n">
        <v>12</v>
      </c>
      <c r="G271" s="19" t="n">
        <v>1</v>
      </c>
      <c r="H271" s="19" t="n">
        <v>26</v>
      </c>
      <c r="I271" s="13">
        <f>G271*H271</f>
        <v>26.0</v>
      </c>
      <c r="J271" s="20">
        <f>4800/1000</f>
        <v>4.8</v>
      </c>
      <c r="K271" s="21">
        <f>I271*J271</f>
        <v>124.8</v>
      </c>
      <c r="L271" s="22">
        <f>F271^2/162</f>
        <v>0.8888888888888888</v>
      </c>
      <c r="M271" s="21">
        <f>K271*L271</f>
        <v>110.93333333333332</v>
      </c>
      <c r="N271" s="22">
        <f>M271/1000</f>
        <v>0.11093333333333333</v>
      </c>
      <c r="O271" s="13" t="inlineStr">
        <is>
          <t>BBS</t>
        </is>
      </c>
    </row>
    <row r="272">
      <c r="A272" s="13" t="n">
        <v>267</v>
      </c>
      <c r="B272" s="13" t="inlineStr">
        <is>
          <t>Staircases</t>
        </is>
      </c>
      <c r="C272" s="13" t="inlineStr">
        <is>
          <t>STR-037</t>
        </is>
      </c>
      <c r="D272" s="13" t="inlineStr">
        <is>
          <t>Emergency staircase typical flight (4th to 10th, one storey)</t>
        </is>
      </c>
      <c r="E272" s="19" t="inlineStr">
        <is>
          <t>1601</t>
        </is>
      </c>
      <c r="F272" s="19" t="n">
        <v>16</v>
      </c>
      <c r="G272" s="19" t="n">
        <v>1</v>
      </c>
      <c r="H272" s="19" t="n">
        <v>11</v>
      </c>
      <c r="I272" s="13">
        <f>G272*H272</f>
        <v>11.0</v>
      </c>
      <c r="J272" s="20">
        <f>8175/1000</f>
        <v>8.175</v>
      </c>
      <c r="K272" s="21">
        <f>I272*J272</f>
        <v>89.92500000000001</v>
      </c>
      <c r="L272" s="22">
        <f>F272^2/162</f>
        <v>1.5802469135802468</v>
      </c>
      <c r="M272" s="21">
        <f>K272*L272</f>
        <v>142.1037037037037</v>
      </c>
      <c r="N272" s="22">
        <f>M272/1000</f>
        <v>0.1421037037037037</v>
      </c>
      <c r="O272" s="13" t="inlineStr">
        <is>
          <t>BBS</t>
        </is>
      </c>
    </row>
    <row r="273">
      <c r="A273" s="13" t="n">
        <v>268</v>
      </c>
      <c r="B273" s="13" t="inlineStr">
        <is>
          <t>Staircases</t>
        </is>
      </c>
      <c r="C273" s="13" t="inlineStr">
        <is>
          <t>STR-037</t>
        </is>
      </c>
      <c r="D273" s="13" t="inlineStr">
        <is>
          <t>Emergency staircase typical flight (4th to 10th, one storey)</t>
        </is>
      </c>
      <c r="E273" s="19" t="inlineStr">
        <is>
          <t>1602</t>
        </is>
      </c>
      <c r="F273" s="19" t="n">
        <v>16</v>
      </c>
      <c r="G273" s="19" t="n">
        <v>1</v>
      </c>
      <c r="H273" s="19" t="n">
        <v>11</v>
      </c>
      <c r="I273" s="13">
        <f>G273*H273</f>
        <v>11.0</v>
      </c>
      <c r="J273" s="20">
        <f>2650/1000</f>
        <v>2.65</v>
      </c>
      <c r="K273" s="21">
        <f>I273*J273</f>
        <v>29.15</v>
      </c>
      <c r="L273" s="22">
        <f>F273^2/162</f>
        <v>1.5802469135802468</v>
      </c>
      <c r="M273" s="21">
        <f>K273*L273</f>
        <v>46.06419753086419</v>
      </c>
      <c r="N273" s="22">
        <f>M273/1000</f>
        <v>0.046064197530864194</v>
      </c>
      <c r="O273" s="13" t="inlineStr">
        <is>
          <t>BBS</t>
        </is>
      </c>
    </row>
    <row r="274">
      <c r="A274" s="13" t="n">
        <v>269</v>
      </c>
      <c r="B274" s="13" t="inlineStr">
        <is>
          <t>Staircases</t>
        </is>
      </c>
      <c r="C274" s="13" t="inlineStr">
        <is>
          <t>STR-037</t>
        </is>
      </c>
      <c r="D274" s="13" t="inlineStr">
        <is>
          <t>Emergency staircase typical flight (4th to 10th, one storey)</t>
        </is>
      </c>
      <c r="E274" s="19" t="inlineStr">
        <is>
          <t>1603</t>
        </is>
      </c>
      <c r="F274" s="19" t="n">
        <v>16</v>
      </c>
      <c r="G274" s="19" t="n">
        <v>1</v>
      </c>
      <c r="H274" s="19" t="n">
        <v>11</v>
      </c>
      <c r="I274" s="13">
        <f>G274*H274</f>
        <v>11.0</v>
      </c>
      <c r="J274" s="20">
        <f>2400/1000</f>
        <v>2.4</v>
      </c>
      <c r="K274" s="21">
        <f>I274*J274</f>
        <v>26.4</v>
      </c>
      <c r="L274" s="22">
        <f>F274^2/162</f>
        <v>1.5802469135802468</v>
      </c>
      <c r="M274" s="21">
        <f>K274*L274</f>
        <v>41.718518518518515</v>
      </c>
      <c r="N274" s="22">
        <f>M274/1000</f>
        <v>0.041718518518518516</v>
      </c>
      <c r="O274" s="13" t="inlineStr">
        <is>
          <t>BBS</t>
        </is>
      </c>
    </row>
    <row r="275">
      <c r="A275" s="13" t="n">
        <v>270</v>
      </c>
      <c r="B275" s="13" t="inlineStr">
        <is>
          <t>Staircases</t>
        </is>
      </c>
      <c r="C275" s="13" t="inlineStr">
        <is>
          <t>STR-037</t>
        </is>
      </c>
      <c r="D275" s="13" t="inlineStr">
        <is>
          <t>Emergency staircase typical flight (4th to 10th, one storey)</t>
        </is>
      </c>
      <c r="E275" s="19" t="inlineStr">
        <is>
          <t>1604</t>
        </is>
      </c>
      <c r="F275" s="19" t="n">
        <v>16</v>
      </c>
      <c r="G275" s="19" t="n">
        <v>1</v>
      </c>
      <c r="H275" s="19" t="n">
        <v>11</v>
      </c>
      <c r="I275" s="13">
        <f>G275*H275</f>
        <v>11.0</v>
      </c>
      <c r="J275" s="20">
        <f>4300/1000</f>
        <v>4.3</v>
      </c>
      <c r="K275" s="21">
        <f>I275*J275</f>
        <v>47.3</v>
      </c>
      <c r="L275" s="22">
        <f>F275^2/162</f>
        <v>1.5802469135802468</v>
      </c>
      <c r="M275" s="21">
        <f>K275*L275</f>
        <v>74.74567901234568</v>
      </c>
      <c r="N275" s="22">
        <f>M275/1000</f>
        <v>0.07474567901234568</v>
      </c>
      <c r="O275" s="13" t="inlineStr">
        <is>
          <t>BBS</t>
        </is>
      </c>
    </row>
    <row r="276">
      <c r="A276" s="13" t="n">
        <v>271</v>
      </c>
      <c r="B276" s="13" t="inlineStr">
        <is>
          <t>Staircases</t>
        </is>
      </c>
      <c r="C276" s="13" t="inlineStr">
        <is>
          <t>STR-037</t>
        </is>
      </c>
      <c r="D276" s="13" t="inlineStr">
        <is>
          <t>Emergency staircase typical flight (4th to 10th, one storey)</t>
        </is>
      </c>
      <c r="E276" s="19" t="inlineStr">
        <is>
          <t>1605</t>
        </is>
      </c>
      <c r="F276" s="19" t="n">
        <v>16</v>
      </c>
      <c r="G276" s="19" t="n">
        <v>1</v>
      </c>
      <c r="H276" s="19" t="n">
        <v>11</v>
      </c>
      <c r="I276" s="13">
        <f>G276*H276</f>
        <v>11.0</v>
      </c>
      <c r="J276" s="20">
        <f>2100/1000</f>
        <v>2.1</v>
      </c>
      <c r="K276" s="21">
        <f>I276*J276</f>
        <v>23.1</v>
      </c>
      <c r="L276" s="22">
        <f>F276^2/162</f>
        <v>1.5802469135802468</v>
      </c>
      <c r="M276" s="21">
        <f>K276*L276</f>
        <v>36.50370370370371</v>
      </c>
      <c r="N276" s="22">
        <f>M276/1000</f>
        <v>0.036503703703703705</v>
      </c>
      <c r="O276" s="13" t="inlineStr">
        <is>
          <t>BBS</t>
        </is>
      </c>
    </row>
    <row r="277">
      <c r="A277" s="13" t="n">
        <v>272</v>
      </c>
      <c r="B277" s="13" t="inlineStr">
        <is>
          <t>Staircases</t>
        </is>
      </c>
      <c r="C277" s="13" t="inlineStr">
        <is>
          <t>STR-037</t>
        </is>
      </c>
      <c r="D277" s="13" t="inlineStr">
        <is>
          <t>Emergency staircase typical flight (4th to 10th, one storey)</t>
        </is>
      </c>
      <c r="E277" s="19" t="inlineStr">
        <is>
          <t>1606</t>
        </is>
      </c>
      <c r="F277" s="19" t="n">
        <v>16</v>
      </c>
      <c r="G277" s="19" t="n">
        <v>1</v>
      </c>
      <c r="H277" s="19" t="n">
        <v>11</v>
      </c>
      <c r="I277" s="13">
        <f>G277*H277</f>
        <v>11.0</v>
      </c>
      <c r="J277" s="20">
        <f>6900/1000</f>
        <v>6.9</v>
      </c>
      <c r="K277" s="21">
        <f>I277*J277</f>
        <v>75.9</v>
      </c>
      <c r="L277" s="22">
        <f>F277^2/162</f>
        <v>1.5802469135802468</v>
      </c>
      <c r="M277" s="21">
        <f>K277*L277</f>
        <v>119.94074074074074</v>
      </c>
      <c r="N277" s="22">
        <f>M277/1000</f>
        <v>0.11994074074074074</v>
      </c>
      <c r="O277" s="13" t="inlineStr">
        <is>
          <t>BBS</t>
        </is>
      </c>
    </row>
    <row r="278">
      <c r="A278" s="13" t="n">
        <v>273</v>
      </c>
      <c r="B278" s="13" t="inlineStr">
        <is>
          <t>Staircases</t>
        </is>
      </c>
      <c r="C278" s="13" t="inlineStr">
        <is>
          <t>STR-037</t>
        </is>
      </c>
      <c r="D278" s="13" t="inlineStr">
        <is>
          <t>Emergency staircase typical flight (4th to 10th, one storey)</t>
        </is>
      </c>
      <c r="E278" s="19" t="inlineStr">
        <is>
          <t>1607</t>
        </is>
      </c>
      <c r="F278" s="19" t="n">
        <v>16</v>
      </c>
      <c r="G278" s="19" t="n">
        <v>1</v>
      </c>
      <c r="H278" s="19" t="n">
        <v>11</v>
      </c>
      <c r="I278" s="13">
        <f>G278*H278</f>
        <v>11.0</v>
      </c>
      <c r="J278" s="20">
        <f>4800/1000</f>
        <v>4.8</v>
      </c>
      <c r="K278" s="21">
        <f>I278*J278</f>
        <v>52.8</v>
      </c>
      <c r="L278" s="22">
        <f>F278^2/162</f>
        <v>1.5802469135802468</v>
      </c>
      <c r="M278" s="21">
        <f>K278*L278</f>
        <v>83.43703703703703</v>
      </c>
      <c r="N278" s="22">
        <f>M278/1000</f>
        <v>0.08343703703703703</v>
      </c>
      <c r="O278" s="13" t="inlineStr">
        <is>
          <t>BBS</t>
        </is>
      </c>
    </row>
    <row r="279">
      <c r="A279" s="13" t="n">
        <v>274</v>
      </c>
      <c r="B279" s="13" t="inlineStr">
        <is>
          <t>Staircases</t>
        </is>
      </c>
      <c r="C279" s="13" t="inlineStr">
        <is>
          <t>STR-037</t>
        </is>
      </c>
      <c r="D279" s="13" t="inlineStr">
        <is>
          <t>Emergency staircase typical flight (4th to 10th, one storey)</t>
        </is>
      </c>
      <c r="E279" s="19" t="inlineStr">
        <is>
          <t>1608</t>
        </is>
      </c>
      <c r="F279" s="19" t="n">
        <v>16</v>
      </c>
      <c r="G279" s="19" t="n">
        <v>1</v>
      </c>
      <c r="H279" s="19" t="n">
        <v>11</v>
      </c>
      <c r="I279" s="13">
        <f>G279*H279</f>
        <v>11.0</v>
      </c>
      <c r="J279" s="20">
        <f>3400/1000</f>
        <v>3.4</v>
      </c>
      <c r="K279" s="21">
        <f>I279*J279</f>
        <v>37.4</v>
      </c>
      <c r="L279" s="22">
        <f>F279^2/162</f>
        <v>1.5802469135802468</v>
      </c>
      <c r="M279" s="21">
        <f>K279*L279</f>
        <v>59.10123456790123</v>
      </c>
      <c r="N279" s="22">
        <f>M279/1000</f>
        <v>0.05910123456790123</v>
      </c>
      <c r="O279" s="13" t="inlineStr">
        <is>
          <t>BBS</t>
        </is>
      </c>
    </row>
    <row r="280">
      <c r="A280" s="13" t="n">
        <v>275</v>
      </c>
      <c r="B280" s="13" t="inlineStr">
        <is>
          <t>Staircases</t>
        </is>
      </c>
      <c r="C280" s="13" t="inlineStr">
        <is>
          <t>STR-037</t>
        </is>
      </c>
      <c r="D280" s="13" t="inlineStr">
        <is>
          <t>Emergency staircase typical flight (4th to 10th, one storey)</t>
        </is>
      </c>
      <c r="E280" s="19" t="inlineStr">
        <is>
          <t>1609</t>
        </is>
      </c>
      <c r="F280" s="19" t="n">
        <v>16</v>
      </c>
      <c r="G280" s="19" t="n">
        <v>1</v>
      </c>
      <c r="H280" s="19" t="n">
        <v>11</v>
      </c>
      <c r="I280" s="13">
        <f>G280*H280</f>
        <v>11.0</v>
      </c>
      <c r="J280" s="20">
        <f>3200/1000</f>
        <v>3.2</v>
      </c>
      <c r="K280" s="21">
        <f>I280*J280</f>
        <v>35.2</v>
      </c>
      <c r="L280" s="22">
        <f>F280^2/162</f>
        <v>1.5802469135802468</v>
      </c>
      <c r="M280" s="21">
        <f>K280*L280</f>
        <v>55.62469135802469</v>
      </c>
      <c r="N280" s="22">
        <f>M280/1000</f>
        <v>0.05562469135802469</v>
      </c>
      <c r="O280" s="13" t="inlineStr">
        <is>
          <t>BBS</t>
        </is>
      </c>
    </row>
    <row r="281">
      <c r="A281" s="13" t="n">
        <v>276</v>
      </c>
      <c r="B281" s="13" t="inlineStr">
        <is>
          <t>Staircases</t>
        </is>
      </c>
      <c r="C281" s="13" t="inlineStr">
        <is>
          <t>STR-037</t>
        </is>
      </c>
      <c r="D281" s="13" t="inlineStr">
        <is>
          <t>Emergency staircase typical flight (4th to 10th, one storey)</t>
        </is>
      </c>
      <c r="E281" s="19" t="inlineStr">
        <is>
          <t>1610</t>
        </is>
      </c>
      <c r="F281" s="19" t="n">
        <v>16</v>
      </c>
      <c r="G281" s="19" t="n">
        <v>1</v>
      </c>
      <c r="H281" s="19" t="n">
        <v>11</v>
      </c>
      <c r="I281" s="13">
        <f>G281*H281</f>
        <v>11.0</v>
      </c>
      <c r="J281" s="20">
        <f>2000/1000</f>
        <v>2.0</v>
      </c>
      <c r="K281" s="21">
        <f>I281*J281</f>
        <v>22.0</v>
      </c>
      <c r="L281" s="22">
        <f>F281^2/162</f>
        <v>1.5802469135802468</v>
      </c>
      <c r="M281" s="21">
        <f>K281*L281</f>
        <v>34.76543209876543</v>
      </c>
      <c r="N281" s="22">
        <f>M281/1000</f>
        <v>0.03476543209876543</v>
      </c>
      <c r="O281" s="13" t="inlineStr">
        <is>
          <t>BBS</t>
        </is>
      </c>
    </row>
    <row r="283">
      <c r="D283" s="10" t="inlineStr">
        <is>
          <t>SUMMARY - FIFTH FLOOR: ELEMENT BY BAR SIZE (TONNES)</t>
        </is>
      </c>
    </row>
    <row r="284">
      <c r="D284" s="23" t="inlineStr">
        <is>
          <t>Element</t>
        </is>
      </c>
      <c r="E284" s="24" t="n">
        <v>10</v>
      </c>
      <c r="F284" s="24" t="n">
        <v>12</v>
      </c>
      <c r="G284" s="24" t="n">
        <v>16</v>
      </c>
      <c r="H284" s="24" t="n">
        <v>20</v>
      </c>
      <c r="I284" s="24" t="n">
        <v>25</v>
      </c>
      <c r="J284" s="23" t="inlineStr">
        <is>
          <t>Total (t)</t>
        </is>
      </c>
    </row>
    <row r="285">
      <c r="D285" s="13" t="inlineStr">
        <is>
          <t>Raft Foundation</t>
        </is>
      </c>
      <c r="E285" s="25">
        <f>SUMIFS($N$6:$N$281,$B$6:$B$281,$D285,$F$6:$F$281,E$284)</f>
        <v>0.0</v>
      </c>
      <c r="F285" s="25">
        <f>SUMIFS($N$6:$N$281,$B$6:$B$281,$D285,$F$6:$F$281,F$284)</f>
        <v>0.0</v>
      </c>
      <c r="G285" s="25">
        <f>SUMIFS($N$6:$N$281,$B$6:$B$281,$D285,$F$6:$F$281,G$284)</f>
        <v>0.0</v>
      </c>
      <c r="H285" s="25">
        <f>SUMIFS($N$6:$N$281,$B$6:$B$281,$D285,$F$6:$F$281,H$284)</f>
        <v>0.0</v>
      </c>
      <c r="I285" s="25">
        <f>SUMIFS($N$6:$N$281,$B$6:$B$281,$D285,$F$6:$F$281,I$284)</f>
        <v>0.0</v>
      </c>
      <c r="J285" s="17">
        <f>SUM(E285:I285)</f>
        <v>0.0</v>
      </c>
    </row>
    <row r="286">
      <c r="D286" s="13" t="inlineStr">
        <is>
          <t>Columns</t>
        </is>
      </c>
      <c r="E286" s="25">
        <f>SUMIFS($N$6:$N$281,$B$6:$B$281,$D286,$F$6:$F$281,E$284)</f>
        <v>4.550629629629629</v>
      </c>
      <c r="F286" s="25">
        <f>SUMIFS($N$6:$N$281,$B$6:$B$281,$D286,$F$6:$F$281,F$284)</f>
        <v>0.0</v>
      </c>
      <c r="G286" s="25">
        <f>SUMIFS($N$6:$N$281,$B$6:$B$281,$D286,$F$6:$F$281,G$284)</f>
        <v>0.0</v>
      </c>
      <c r="H286" s="25">
        <f>SUMIFS($N$6:$N$281,$B$6:$B$281,$D286,$F$6:$F$281,H$284)</f>
        <v>7.133333333333333</v>
      </c>
      <c r="I286" s="25">
        <f>SUMIFS($N$6:$N$281,$B$6:$B$281,$D286,$F$6:$F$281,I$284)</f>
        <v>0.0</v>
      </c>
      <c r="J286" s="17">
        <f>SUM(E286:I286)</f>
        <v>11.683962962962962</v>
      </c>
    </row>
    <row r="287">
      <c r="D287" s="13" t="inlineStr">
        <is>
          <t>Shear Walls</t>
        </is>
      </c>
      <c r="E287" s="25">
        <f>SUMIFS($N$6:$N$281,$B$6:$B$281,$D287,$F$6:$F$281,E$284)</f>
        <v>1.4422222222222223</v>
      </c>
      <c r="F287" s="25">
        <f>SUMIFS($N$6:$N$281,$B$6:$B$281,$D287,$F$6:$F$281,F$284)</f>
        <v>1.9171555555555557</v>
      </c>
      <c r="G287" s="25">
        <f>SUMIFS($N$6:$N$281,$B$6:$B$281,$D287,$F$6:$F$281,G$284)</f>
        <v>0.0</v>
      </c>
      <c r="H287" s="25">
        <f>SUMIFS($N$6:$N$281,$B$6:$B$281,$D287,$F$6:$F$281,H$284)</f>
        <v>6.904197530864199</v>
      </c>
      <c r="I287" s="25">
        <f>SUMIFS($N$6:$N$281,$B$6:$B$281,$D287,$F$6:$F$281,I$284)</f>
        <v>0.0</v>
      </c>
      <c r="J287" s="17">
        <f>SUM(E287:I287)</f>
        <v>10.263575308641977</v>
      </c>
    </row>
    <row r="288">
      <c r="D288" s="13" t="inlineStr">
        <is>
          <t>Lift Walls</t>
        </is>
      </c>
      <c r="E288" s="25">
        <f>SUMIFS($N$6:$N$281,$B$6:$B$281,$D288,$F$6:$F$281,E$284)</f>
        <v>0.6355555555555557</v>
      </c>
      <c r="F288" s="25">
        <f>SUMIFS($N$6:$N$281,$B$6:$B$281,$D288,$F$6:$F$281,F$284)</f>
        <v>0.8655999999999999</v>
      </c>
      <c r="G288" s="25">
        <f>SUMIFS($N$6:$N$281,$B$6:$B$281,$D288,$F$6:$F$281,G$284)</f>
        <v>0.0</v>
      </c>
      <c r="H288" s="25">
        <f>SUMIFS($N$6:$N$281,$B$6:$B$281,$D288,$F$6:$F$281,H$284)</f>
        <v>3.320493827160494</v>
      </c>
      <c r="I288" s="25">
        <f>SUMIFS($N$6:$N$281,$B$6:$B$281,$D288,$F$6:$F$281,I$284)</f>
        <v>0.0</v>
      </c>
      <c r="J288" s="17">
        <f>SUM(E288:I288)</f>
        <v>4.82164938271605</v>
      </c>
    </row>
    <row r="289">
      <c r="D289" s="13" t="inlineStr">
        <is>
          <t>Retaining / Ramp Walls</t>
        </is>
      </c>
      <c r="E289" s="25">
        <f>SUMIFS($N$6:$N$281,$B$6:$B$281,$D289,$F$6:$F$281,E$284)</f>
        <v>0.0</v>
      </c>
      <c r="F289" s="25">
        <f>SUMIFS($N$6:$N$281,$B$6:$B$281,$D289,$F$6:$F$281,F$284)</f>
        <v>0.0</v>
      </c>
      <c r="G289" s="25">
        <f>SUMIFS($N$6:$N$281,$B$6:$B$281,$D289,$F$6:$F$281,G$284)</f>
        <v>0.0</v>
      </c>
      <c r="H289" s="25">
        <f>SUMIFS($N$6:$N$281,$B$6:$B$281,$D289,$F$6:$F$281,H$284)</f>
        <v>0.0</v>
      </c>
      <c r="I289" s="25">
        <f>SUMIFS($N$6:$N$281,$B$6:$B$281,$D289,$F$6:$F$281,I$284)</f>
        <v>0.0</v>
      </c>
      <c r="J289" s="17">
        <f>SUM(E289:I289)</f>
        <v>0.0</v>
      </c>
    </row>
    <row r="290">
      <c r="D290" s="13" t="inlineStr">
        <is>
          <t>Beams</t>
        </is>
      </c>
      <c r="E290" s="25">
        <f>SUMIFS($N$6:$N$281,$B$6:$B$281,$D290,$F$6:$F$281,E$284)</f>
        <v>1.8062345679012344</v>
      </c>
      <c r="F290" s="25">
        <f>SUMIFS($N$6:$N$281,$B$6:$B$281,$D290,$F$6:$F$281,F$284)</f>
        <v>0.0</v>
      </c>
      <c r="G290" s="25">
        <f>SUMIFS($N$6:$N$281,$B$6:$B$281,$D290,$F$6:$F$281,G$284)</f>
        <v>1.2476839506172839</v>
      </c>
      <c r="H290" s="25">
        <f>SUMIFS($N$6:$N$281,$B$6:$B$281,$D290,$F$6:$F$281,H$284)</f>
        <v>2.1350617283950615</v>
      </c>
      <c r="I290" s="25">
        <f>SUMIFS($N$6:$N$281,$B$6:$B$281,$D290,$F$6:$F$281,I$284)</f>
        <v>5.506944444444445</v>
      </c>
      <c r="J290" s="17">
        <f>SUM(E290:I290)</f>
        <v>10.695924691358025</v>
      </c>
    </row>
    <row r="291">
      <c r="D291" s="13" t="inlineStr">
        <is>
          <t>Floor Slabs</t>
        </is>
      </c>
      <c r="E291" s="25">
        <f>SUMIFS($N$6:$N$281,$B$6:$B$281,$D291,$F$6:$F$281,E$284)</f>
        <v>0.0</v>
      </c>
      <c r="F291" s="25">
        <f>SUMIFS($N$6:$N$281,$B$6:$B$281,$D291,$F$6:$F$281,F$284)</f>
        <v>49.804440888888884</v>
      </c>
      <c r="G291" s="25">
        <f>SUMIFS($N$6:$N$281,$B$6:$B$281,$D291,$F$6:$F$281,G$284)</f>
        <v>0.1505185185185185</v>
      </c>
      <c r="H291" s="25">
        <f>SUMIFS($N$6:$N$281,$B$6:$B$281,$D291,$F$6:$F$281,H$284)</f>
        <v>0.0</v>
      </c>
      <c r="I291" s="25">
        <f>SUMIFS($N$6:$N$281,$B$6:$B$281,$D291,$F$6:$F$281,I$284)</f>
        <v>0.0</v>
      </c>
      <c r="J291" s="17">
        <f>SUM(E291:I291)</f>
        <v>49.9549594074074</v>
      </c>
    </row>
    <row r="292">
      <c r="D292" s="13" t="inlineStr">
        <is>
          <t>Staircases</t>
        </is>
      </c>
      <c r="E292" s="25">
        <f>SUMIFS($N$6:$N$281,$B$6:$B$281,$D292,$F$6:$F$281,E$284)</f>
        <v>0.0</v>
      </c>
      <c r="F292" s="25">
        <f>SUMIFS($N$6:$N$281,$B$6:$B$281,$D292,$F$6:$F$281,F$284)</f>
        <v>0.8796444444444443</v>
      </c>
      <c r="G292" s="25">
        <f>SUMIFS($N$6:$N$281,$B$6:$B$281,$D292,$F$6:$F$281,G$284)</f>
        <v>1.4340740740740738</v>
      </c>
      <c r="H292" s="25">
        <f>SUMIFS($N$6:$N$281,$B$6:$B$281,$D292,$F$6:$F$281,H$284)</f>
        <v>0.0</v>
      </c>
      <c r="I292" s="25">
        <f>SUMIFS($N$6:$N$281,$B$6:$B$281,$D292,$F$6:$F$281,I$284)</f>
        <v>0.0</v>
      </c>
      <c r="J292" s="17">
        <f>SUM(E292:I292)</f>
        <v>2.313718518518518</v>
      </c>
    </row>
    <row r="293">
      <c r="D293" s="13" t="inlineStr">
        <is>
          <t>Lift Core Roof Slab</t>
        </is>
      </c>
      <c r="E293" s="25">
        <f>SUMIFS($N$6:$N$281,$B$6:$B$281,$D293,$F$6:$F$281,E$284)</f>
        <v>0.0</v>
      </c>
      <c r="F293" s="25">
        <f>SUMIFS($N$6:$N$281,$B$6:$B$281,$D293,$F$6:$F$281,F$284)</f>
        <v>0.0</v>
      </c>
      <c r="G293" s="25">
        <f>SUMIFS($N$6:$N$281,$B$6:$B$281,$D293,$F$6:$F$281,G$284)</f>
        <v>0.0</v>
      </c>
      <c r="H293" s="25">
        <f>SUMIFS($N$6:$N$281,$B$6:$B$281,$D293,$F$6:$F$281,H$284)</f>
        <v>0.0</v>
      </c>
      <c r="I293" s="25">
        <f>SUMIFS($N$6:$N$281,$B$6:$B$281,$D293,$F$6:$F$281,I$284)</f>
        <v>0.0</v>
      </c>
      <c r="J293" s="17">
        <f>SUM(E293:I293)</f>
        <v>0.0</v>
      </c>
    </row>
    <row r="294">
      <c r="D294" s="16" t="inlineStr">
        <is>
          <t>TOTAL - FIFTH FLOOR</t>
        </is>
      </c>
      <c r="E294" s="26">
        <f>SUM(E285:E293)</f>
        <v>8.43464197530864</v>
      </c>
      <c r="F294" s="26">
        <f>SUM(F285:F293)</f>
        <v>53.46684088888888</v>
      </c>
      <c r="G294" s="26">
        <f>SUM(G285:G293)</f>
        <v>2.8322765432098764</v>
      </c>
      <c r="H294" s="26">
        <f>SUM(H285:H293)</f>
        <v>19.493086419753087</v>
      </c>
      <c r="I294" s="26">
        <f>SUM(I285:I293)</f>
        <v>5.506944444444445</v>
      </c>
      <c r="J294" s="26">
        <f>SUM(J285:J293)</f>
        <v>89.73379027160493</v>
      </c>
      <c r="K294" s="7" t="inlineStr">
        <is>
          <t>Check vs detail (should be 0):</t>
        </is>
      </c>
      <c r="N294" s="7">
        <f>ROUND(SUM(N6:N281)-J294,6)</f>
        <v>0.0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O29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SIXTH FLOOR (+20800) - TYPICAL 4TH-8TH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STR-007</t>
        </is>
      </c>
      <c r="D6" s="13" t="inlineStr">
        <is>
          <t>COL-01A (5 nos) 6th to 7th - links</t>
        </is>
      </c>
      <c r="E6" s="19" t="inlineStr">
        <is>
          <t>1001</t>
        </is>
      </c>
      <c r="F6" s="19" t="n">
        <v>10</v>
      </c>
      <c r="G6" s="19" t="n">
        <v>5</v>
      </c>
      <c r="H6" s="19" t="n">
        <v>30</v>
      </c>
      <c r="I6" s="13">
        <f>G6*H6</f>
        <v>150.0</v>
      </c>
      <c r="J6" s="20">
        <f>2330/1000</f>
        <v>2.33</v>
      </c>
      <c r="K6" s="21">
        <f>I6*J6</f>
        <v>349.5</v>
      </c>
      <c r="L6" s="22">
        <f>F6^2/162</f>
        <v>0.6172839506172839</v>
      </c>
      <c r="M6" s="21">
        <f>K6*L6</f>
        <v>215.74074074074073</v>
      </c>
      <c r="N6" s="22">
        <f>M6/1000</f>
        <v>0.21574074074074073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STR-007</t>
        </is>
      </c>
      <c r="D7" s="13" t="inlineStr">
        <is>
          <t>COL-01A (5 nos) 6th to 7th - links</t>
        </is>
      </c>
      <c r="E7" s="19" t="inlineStr">
        <is>
          <t>1002</t>
        </is>
      </c>
      <c r="F7" s="19" t="n">
        <v>10</v>
      </c>
      <c r="G7" s="19" t="n">
        <v>5</v>
      </c>
      <c r="H7" s="19" t="n">
        <v>60</v>
      </c>
      <c r="I7" s="13">
        <f>G7*H7</f>
        <v>300.0</v>
      </c>
      <c r="J7" s="20">
        <f>1330/1000</f>
        <v>1.33</v>
      </c>
      <c r="K7" s="21">
        <f>I7*J7</f>
        <v>399.0</v>
      </c>
      <c r="L7" s="22">
        <f>F7^2/162</f>
        <v>0.6172839506172839</v>
      </c>
      <c r="M7" s="21">
        <f>K7*L7</f>
        <v>246.29629629629628</v>
      </c>
      <c r="N7" s="22">
        <f>M7/1000</f>
        <v>0.24629629629629626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STR-007</t>
        </is>
      </c>
      <c r="D8" s="13" t="inlineStr">
        <is>
          <t>COL-01A (5 nos) 6th to 7th - links</t>
        </is>
      </c>
      <c r="E8" s="19" t="inlineStr">
        <is>
          <t>1003</t>
        </is>
      </c>
      <c r="F8" s="19" t="n">
        <v>10</v>
      </c>
      <c r="G8" s="19" t="n">
        <v>5</v>
      </c>
      <c r="H8" s="19" t="n">
        <v>30</v>
      </c>
      <c r="I8" s="13">
        <f>G8*H8</f>
        <v>150.0</v>
      </c>
      <c r="J8" s="20">
        <f>1830/1000</f>
        <v>1.83</v>
      </c>
      <c r="K8" s="21">
        <f>I8*J8</f>
        <v>274.5</v>
      </c>
      <c r="L8" s="22">
        <f>F8^2/162</f>
        <v>0.6172839506172839</v>
      </c>
      <c r="M8" s="21">
        <f>K8*L8</f>
        <v>169.44444444444443</v>
      </c>
      <c r="N8" s="22">
        <f>M8/1000</f>
        <v>0.16944444444444443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STR-007</t>
        </is>
      </c>
      <c r="D9" s="13" t="inlineStr">
        <is>
          <t>COL-01A (5 nos) 6th to 7th - main bars</t>
        </is>
      </c>
      <c r="E9" s="19" t="inlineStr">
        <is>
          <t>2001</t>
        </is>
      </c>
      <c r="F9" s="19" t="n">
        <v>20</v>
      </c>
      <c r="G9" s="19" t="n">
        <v>5</v>
      </c>
      <c r="H9" s="19" t="n">
        <v>16</v>
      </c>
      <c r="I9" s="13">
        <f>G9*H9</f>
        <v>80.0</v>
      </c>
      <c r="J9" s="20">
        <f>4500/1000</f>
        <v>4.5</v>
      </c>
      <c r="K9" s="21">
        <f>I9*J9</f>
        <v>360.0</v>
      </c>
      <c r="L9" s="22">
        <f>F9^2/162</f>
        <v>2.4691358024691357</v>
      </c>
      <c r="M9" s="21">
        <f>K9*L9</f>
        <v>888.8888888888888</v>
      </c>
      <c r="N9" s="22">
        <f>M9/1000</f>
        <v>0.8888888888888888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STR-007</t>
        </is>
      </c>
      <c r="D10" s="13" t="inlineStr">
        <is>
          <t>COL-01B (1 nos) 6th to 7th - links</t>
        </is>
      </c>
      <c r="E10" s="19" t="inlineStr">
        <is>
          <t>1001</t>
        </is>
      </c>
      <c r="F10" s="19" t="n">
        <v>10</v>
      </c>
      <c r="G10" s="19" t="n">
        <v>1</v>
      </c>
      <c r="H10" s="19" t="n">
        <v>30</v>
      </c>
      <c r="I10" s="13">
        <f>G10*H10</f>
        <v>30.0</v>
      </c>
      <c r="J10" s="20">
        <f>2330/1000</f>
        <v>2.33</v>
      </c>
      <c r="K10" s="21">
        <f>I10*J10</f>
        <v>69.9</v>
      </c>
      <c r="L10" s="22">
        <f>F10^2/162</f>
        <v>0.6172839506172839</v>
      </c>
      <c r="M10" s="21">
        <f>K10*L10</f>
        <v>43.14814814814815</v>
      </c>
      <c r="N10" s="22">
        <f>M10/1000</f>
        <v>0.04314814814814815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STR-007</t>
        </is>
      </c>
      <c r="D11" s="13" t="inlineStr">
        <is>
          <t>COL-01B (1 nos) 6th to 7th - links</t>
        </is>
      </c>
      <c r="E11" s="19" t="inlineStr">
        <is>
          <t>1002</t>
        </is>
      </c>
      <c r="F11" s="19" t="n">
        <v>10</v>
      </c>
      <c r="G11" s="19" t="n">
        <v>1</v>
      </c>
      <c r="H11" s="19" t="n">
        <v>60</v>
      </c>
      <c r="I11" s="13">
        <f>G11*H11</f>
        <v>60.0</v>
      </c>
      <c r="J11" s="20">
        <f>1330/1000</f>
        <v>1.33</v>
      </c>
      <c r="K11" s="21">
        <f>I11*J11</f>
        <v>79.80000000000001</v>
      </c>
      <c r="L11" s="22">
        <f>F11^2/162</f>
        <v>0.6172839506172839</v>
      </c>
      <c r="M11" s="21">
        <f>K11*L11</f>
        <v>49.25925925925927</v>
      </c>
      <c r="N11" s="22">
        <f>M11/1000</f>
        <v>0.049259259259259267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STR-007</t>
        </is>
      </c>
      <c r="D12" s="13" t="inlineStr">
        <is>
          <t>COL-01B (1 nos) 6th to 7th - links</t>
        </is>
      </c>
      <c r="E12" s="19" t="inlineStr">
        <is>
          <t>1003</t>
        </is>
      </c>
      <c r="F12" s="19" t="n">
        <v>10</v>
      </c>
      <c r="G12" s="19" t="n">
        <v>1</v>
      </c>
      <c r="H12" s="19" t="n">
        <v>30</v>
      </c>
      <c r="I12" s="13">
        <f>G12*H12</f>
        <v>30.0</v>
      </c>
      <c r="J12" s="20">
        <f>1830/1000</f>
        <v>1.83</v>
      </c>
      <c r="K12" s="21">
        <f>I12*J12</f>
        <v>54.900000000000006</v>
      </c>
      <c r="L12" s="22">
        <f>F12^2/162</f>
        <v>0.6172839506172839</v>
      </c>
      <c r="M12" s="21">
        <f>K12*L12</f>
        <v>33.88888888888889</v>
      </c>
      <c r="N12" s="22">
        <f>M12/1000</f>
        <v>0.03388888888888889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Columns</t>
        </is>
      </c>
      <c r="C13" s="13" t="inlineStr">
        <is>
          <t>STR-007</t>
        </is>
      </c>
      <c r="D13" s="13" t="inlineStr">
        <is>
          <t>COL-01B (1 nos) 6th to 7th - main bars</t>
        </is>
      </c>
      <c r="E13" s="19" t="inlineStr">
        <is>
          <t>2001</t>
        </is>
      </c>
      <c r="F13" s="19" t="n">
        <v>20</v>
      </c>
      <c r="G13" s="19" t="n">
        <v>1</v>
      </c>
      <c r="H13" s="19" t="n">
        <v>16</v>
      </c>
      <c r="I13" s="13">
        <f>G13*H13</f>
        <v>16.0</v>
      </c>
      <c r="J13" s="20">
        <f>4500/1000</f>
        <v>4.5</v>
      </c>
      <c r="K13" s="21">
        <f>I13*J13</f>
        <v>72.0</v>
      </c>
      <c r="L13" s="22">
        <f>F13^2/162</f>
        <v>2.4691358024691357</v>
      </c>
      <c r="M13" s="21">
        <f>K13*L13</f>
        <v>177.77777777777777</v>
      </c>
      <c r="N13" s="22">
        <f>M13/1000</f>
        <v>0.17777777777777778</v>
      </c>
      <c r="O13" s="13" t="inlineStr">
        <is>
          <t>Elevation + BBS length</t>
        </is>
      </c>
    </row>
    <row r="14">
      <c r="A14" s="13" t="n">
        <v>9</v>
      </c>
      <c r="B14" s="13" t="inlineStr">
        <is>
          <t>Columns</t>
        </is>
      </c>
      <c r="C14" s="13" t="inlineStr">
        <is>
          <t>STR-008</t>
        </is>
      </c>
      <c r="D14" s="13" t="inlineStr">
        <is>
          <t>COL-01C (2 nos) 6th to 7th - links</t>
        </is>
      </c>
      <c r="E14" s="19" t="inlineStr">
        <is>
          <t>1001</t>
        </is>
      </c>
      <c r="F14" s="19" t="n">
        <v>10</v>
      </c>
      <c r="G14" s="19" t="n">
        <v>2</v>
      </c>
      <c r="H14" s="19" t="n">
        <v>30</v>
      </c>
      <c r="I14" s="13">
        <f>G14*H14</f>
        <v>60.0</v>
      </c>
      <c r="J14" s="20">
        <f>2330/1000</f>
        <v>2.33</v>
      </c>
      <c r="K14" s="21">
        <f>I14*J14</f>
        <v>139.8</v>
      </c>
      <c r="L14" s="22">
        <f>F14^2/162</f>
        <v>0.6172839506172839</v>
      </c>
      <c r="M14" s="21">
        <f>K14*L14</f>
        <v>86.2962962962963</v>
      </c>
      <c r="N14" s="22">
        <f>M14/1000</f>
        <v>0.0862962962962963</v>
      </c>
      <c r="O14" s="13" t="inlineStr">
        <is>
          <t>Elevation + BBS length</t>
        </is>
      </c>
    </row>
    <row r="15">
      <c r="A15" s="13" t="n">
        <v>10</v>
      </c>
      <c r="B15" s="13" t="inlineStr">
        <is>
          <t>Columns</t>
        </is>
      </c>
      <c r="C15" s="13" t="inlineStr">
        <is>
          <t>STR-008</t>
        </is>
      </c>
      <c r="D15" s="13" t="inlineStr">
        <is>
          <t>COL-01C (2 nos) 6th to 7th - links</t>
        </is>
      </c>
      <c r="E15" s="19" t="inlineStr">
        <is>
          <t>1002</t>
        </is>
      </c>
      <c r="F15" s="19" t="n">
        <v>10</v>
      </c>
      <c r="G15" s="19" t="n">
        <v>2</v>
      </c>
      <c r="H15" s="19" t="n">
        <v>60</v>
      </c>
      <c r="I15" s="13">
        <f>G15*H15</f>
        <v>120.0</v>
      </c>
      <c r="J15" s="20">
        <f>1330/1000</f>
        <v>1.33</v>
      </c>
      <c r="K15" s="21">
        <f>I15*J15</f>
        <v>159.60000000000002</v>
      </c>
      <c r="L15" s="22">
        <f>F15^2/162</f>
        <v>0.6172839506172839</v>
      </c>
      <c r="M15" s="21">
        <f>K15*L15</f>
        <v>98.51851851851853</v>
      </c>
      <c r="N15" s="22">
        <f>M15/1000</f>
        <v>0.09851851851851853</v>
      </c>
      <c r="O15" s="13" t="inlineStr">
        <is>
          <t>Elevation + BBS length</t>
        </is>
      </c>
    </row>
    <row r="16">
      <c r="A16" s="13" t="n">
        <v>11</v>
      </c>
      <c r="B16" s="13" t="inlineStr">
        <is>
          <t>Columns</t>
        </is>
      </c>
      <c r="C16" s="13" t="inlineStr">
        <is>
          <t>STR-008</t>
        </is>
      </c>
      <c r="D16" s="13" t="inlineStr">
        <is>
          <t>COL-01C (2 nos) 6th to 7th - links</t>
        </is>
      </c>
      <c r="E16" s="19" t="inlineStr">
        <is>
          <t>1003</t>
        </is>
      </c>
      <c r="F16" s="19" t="n">
        <v>10</v>
      </c>
      <c r="G16" s="19" t="n">
        <v>2</v>
      </c>
      <c r="H16" s="19" t="n">
        <v>30</v>
      </c>
      <c r="I16" s="13">
        <f>G16*H16</f>
        <v>60.0</v>
      </c>
      <c r="J16" s="20">
        <f>1830/1000</f>
        <v>1.83</v>
      </c>
      <c r="K16" s="21">
        <f>I16*J16</f>
        <v>109.80000000000001</v>
      </c>
      <c r="L16" s="22">
        <f>F16^2/162</f>
        <v>0.6172839506172839</v>
      </c>
      <c r="M16" s="21">
        <f>K16*L16</f>
        <v>67.77777777777779</v>
      </c>
      <c r="N16" s="22">
        <f>M16/1000</f>
        <v>0.06777777777777778</v>
      </c>
      <c r="O16" s="13" t="inlineStr">
        <is>
          <t>Elevation + BBS length</t>
        </is>
      </c>
    </row>
    <row r="17">
      <c r="A17" s="13" t="n">
        <v>12</v>
      </c>
      <c r="B17" s="13" t="inlineStr">
        <is>
          <t>Columns</t>
        </is>
      </c>
      <c r="C17" s="13" t="inlineStr">
        <is>
          <t>STR-008</t>
        </is>
      </c>
      <c r="D17" s="13" t="inlineStr">
        <is>
          <t>COL-01C (2 nos) 6th to 7th - main bars</t>
        </is>
      </c>
      <c r="E17" s="19" t="inlineStr">
        <is>
          <t>2001</t>
        </is>
      </c>
      <c r="F17" s="19" t="n">
        <v>20</v>
      </c>
      <c r="G17" s="19" t="n">
        <v>2</v>
      </c>
      <c r="H17" s="19" t="n">
        <v>16</v>
      </c>
      <c r="I17" s="13">
        <f>G17*H17</f>
        <v>32.0</v>
      </c>
      <c r="J17" s="20">
        <f>4500/1000</f>
        <v>4.5</v>
      </c>
      <c r="K17" s="21">
        <f>I17*J17</f>
        <v>144.0</v>
      </c>
      <c r="L17" s="22">
        <f>F17^2/162</f>
        <v>2.4691358024691357</v>
      </c>
      <c r="M17" s="21">
        <f>K17*L17</f>
        <v>355.55555555555554</v>
      </c>
      <c r="N17" s="22">
        <f>M17/1000</f>
        <v>0.35555555555555557</v>
      </c>
      <c r="O17" s="13" t="inlineStr">
        <is>
          <t>Elevation + BBS length</t>
        </is>
      </c>
    </row>
    <row r="18">
      <c r="A18" s="13" t="n">
        <v>13</v>
      </c>
      <c r="B18" s="13" t="inlineStr">
        <is>
          <t>Columns</t>
        </is>
      </c>
      <c r="C18" s="13" t="inlineStr">
        <is>
          <t>STR-008</t>
        </is>
      </c>
      <c r="D18" s="13" t="inlineStr">
        <is>
          <t>COL-01D (1 nos) 6th to 7th - links</t>
        </is>
      </c>
      <c r="E18" s="19" t="inlineStr">
        <is>
          <t>1001</t>
        </is>
      </c>
      <c r="F18" s="19" t="n">
        <v>10</v>
      </c>
      <c r="G18" s="19" t="n">
        <v>1</v>
      </c>
      <c r="H18" s="19" t="n">
        <v>30</v>
      </c>
      <c r="I18" s="13">
        <f>G18*H18</f>
        <v>30.0</v>
      </c>
      <c r="J18" s="20">
        <f>2330/1000</f>
        <v>2.33</v>
      </c>
      <c r="K18" s="21">
        <f>I18*J18</f>
        <v>69.9</v>
      </c>
      <c r="L18" s="22">
        <f>F18^2/162</f>
        <v>0.6172839506172839</v>
      </c>
      <c r="M18" s="21">
        <f>K18*L18</f>
        <v>43.14814814814815</v>
      </c>
      <c r="N18" s="22">
        <f>M18/1000</f>
        <v>0.04314814814814815</v>
      </c>
      <c r="O18" s="13" t="inlineStr">
        <is>
          <t>Elevation + BBS length</t>
        </is>
      </c>
    </row>
    <row r="19">
      <c r="A19" s="13" t="n">
        <v>14</v>
      </c>
      <c r="B19" s="13" t="inlineStr">
        <is>
          <t>Columns</t>
        </is>
      </c>
      <c r="C19" s="13" t="inlineStr">
        <is>
          <t>STR-008</t>
        </is>
      </c>
      <c r="D19" s="13" t="inlineStr">
        <is>
          <t>COL-01D (1 nos) 6th to 7th - links</t>
        </is>
      </c>
      <c r="E19" s="19" t="inlineStr">
        <is>
          <t>1002</t>
        </is>
      </c>
      <c r="F19" s="19" t="n">
        <v>10</v>
      </c>
      <c r="G19" s="19" t="n">
        <v>1</v>
      </c>
      <c r="H19" s="19" t="n">
        <v>60</v>
      </c>
      <c r="I19" s="13">
        <f>G19*H19</f>
        <v>60.0</v>
      </c>
      <c r="J19" s="20">
        <f>1330/1000</f>
        <v>1.33</v>
      </c>
      <c r="K19" s="21">
        <f>I19*J19</f>
        <v>79.80000000000001</v>
      </c>
      <c r="L19" s="22">
        <f>F19^2/162</f>
        <v>0.6172839506172839</v>
      </c>
      <c r="M19" s="21">
        <f>K19*L19</f>
        <v>49.25925925925927</v>
      </c>
      <c r="N19" s="22">
        <f>M19/1000</f>
        <v>0.049259259259259267</v>
      </c>
      <c r="O19" s="13" t="inlineStr">
        <is>
          <t>Elevation + BBS length</t>
        </is>
      </c>
    </row>
    <row r="20">
      <c r="A20" s="13" t="n">
        <v>15</v>
      </c>
      <c r="B20" s="13" t="inlineStr">
        <is>
          <t>Columns</t>
        </is>
      </c>
      <c r="C20" s="13" t="inlineStr">
        <is>
          <t>STR-008</t>
        </is>
      </c>
      <c r="D20" s="13" t="inlineStr">
        <is>
          <t>COL-01D (1 nos) 6th to 7th - links</t>
        </is>
      </c>
      <c r="E20" s="19" t="inlineStr">
        <is>
          <t>1003</t>
        </is>
      </c>
      <c r="F20" s="19" t="n">
        <v>10</v>
      </c>
      <c r="G20" s="19" t="n">
        <v>1</v>
      </c>
      <c r="H20" s="19" t="n">
        <v>30</v>
      </c>
      <c r="I20" s="13">
        <f>G20*H20</f>
        <v>30.0</v>
      </c>
      <c r="J20" s="20">
        <f>1830/1000</f>
        <v>1.83</v>
      </c>
      <c r="K20" s="21">
        <f>I20*J20</f>
        <v>54.900000000000006</v>
      </c>
      <c r="L20" s="22">
        <f>F20^2/162</f>
        <v>0.6172839506172839</v>
      </c>
      <c r="M20" s="21">
        <f>K20*L20</f>
        <v>33.88888888888889</v>
      </c>
      <c r="N20" s="22">
        <f>M20/1000</f>
        <v>0.03388888888888889</v>
      </c>
      <c r="O20" s="13" t="inlineStr">
        <is>
          <t>Elevation + BBS length</t>
        </is>
      </c>
    </row>
    <row r="21">
      <c r="A21" s="13" t="n">
        <v>16</v>
      </c>
      <c r="B21" s="13" t="inlineStr">
        <is>
          <t>Columns</t>
        </is>
      </c>
      <c r="C21" s="13" t="inlineStr">
        <is>
          <t>STR-008</t>
        </is>
      </c>
      <c r="D21" s="13" t="inlineStr">
        <is>
          <t>COL-01D (1 nos) 6th to 7th - main bars</t>
        </is>
      </c>
      <c r="E21" s="19" t="inlineStr">
        <is>
          <t>2001</t>
        </is>
      </c>
      <c r="F21" s="19" t="n">
        <v>20</v>
      </c>
      <c r="G21" s="19" t="n">
        <v>1</v>
      </c>
      <c r="H21" s="19" t="n">
        <v>16</v>
      </c>
      <c r="I21" s="13">
        <f>G21*H21</f>
        <v>16.0</v>
      </c>
      <c r="J21" s="20">
        <f>4500/1000</f>
        <v>4.5</v>
      </c>
      <c r="K21" s="21">
        <f>I21*J21</f>
        <v>72.0</v>
      </c>
      <c r="L21" s="22">
        <f>F21^2/162</f>
        <v>2.4691358024691357</v>
      </c>
      <c r="M21" s="21">
        <f>K21*L21</f>
        <v>177.77777777777777</v>
      </c>
      <c r="N21" s="22">
        <f>M21/1000</f>
        <v>0.17777777777777778</v>
      </c>
      <c r="O21" s="13" t="inlineStr">
        <is>
          <t>Elevation + BBS length</t>
        </is>
      </c>
    </row>
    <row r="22">
      <c r="A22" s="13" t="n">
        <v>17</v>
      </c>
      <c r="B22" s="13" t="inlineStr">
        <is>
          <t>Columns</t>
        </is>
      </c>
      <c r="C22" s="13" t="inlineStr">
        <is>
          <t>STR-010</t>
        </is>
      </c>
      <c r="D22" s="13" t="inlineStr">
        <is>
          <t>COL-02A (3 nos) 6th to 7th - links</t>
        </is>
      </c>
      <c r="E22" s="19" t="inlineStr">
        <is>
          <t>1004</t>
        </is>
      </c>
      <c r="F22" s="19" t="n">
        <v>10</v>
      </c>
      <c r="G22" s="19" t="n">
        <v>3</v>
      </c>
      <c r="H22" s="19" t="n">
        <v>30</v>
      </c>
      <c r="I22" s="13">
        <f>G22*H22</f>
        <v>90.0</v>
      </c>
      <c r="J22" s="20">
        <f>2910/1000</f>
        <v>2.91</v>
      </c>
      <c r="K22" s="21">
        <f>I22*J22</f>
        <v>261.90000000000003</v>
      </c>
      <c r="L22" s="22">
        <f>F22^2/162</f>
        <v>0.6172839506172839</v>
      </c>
      <c r="M22" s="21">
        <f>K22*L22</f>
        <v>161.66666666666669</v>
      </c>
      <c r="N22" s="22">
        <f>M22/1000</f>
        <v>0.16166666666666668</v>
      </c>
      <c r="O22" s="13" t="inlineStr">
        <is>
          <t>Elevation + BBS length</t>
        </is>
      </c>
    </row>
    <row r="23">
      <c r="A23" s="13" t="n">
        <v>18</v>
      </c>
      <c r="B23" s="13" t="inlineStr">
        <is>
          <t>Columns</t>
        </is>
      </c>
      <c r="C23" s="13" t="inlineStr">
        <is>
          <t>STR-010</t>
        </is>
      </c>
      <c r="D23" s="13" t="inlineStr">
        <is>
          <t>COL-02A (3 nos) 6th to 7th - links</t>
        </is>
      </c>
      <c r="E23" s="19" t="inlineStr">
        <is>
          <t>1005</t>
        </is>
      </c>
      <c r="F23" s="19" t="n">
        <v>10</v>
      </c>
      <c r="G23" s="19" t="n">
        <v>3</v>
      </c>
      <c r="H23" s="19">
        <f>5*30</f>
        <v>150.0</v>
      </c>
      <c r="I23" s="13">
        <f>G23*H23</f>
        <v>450.0</v>
      </c>
      <c r="J23" s="20">
        <f>1008/1000</f>
        <v>1.008</v>
      </c>
      <c r="K23" s="21">
        <f>I23*J23</f>
        <v>453.6</v>
      </c>
      <c r="L23" s="22">
        <f>F23^2/162</f>
        <v>0.6172839506172839</v>
      </c>
      <c r="M23" s="21">
        <f>K23*L23</f>
        <v>280.0</v>
      </c>
      <c r="N23" s="22">
        <f>M23/1000</f>
        <v>0.28</v>
      </c>
      <c r="O23" s="13" t="inlineStr">
        <is>
          <t>Elevation + BBS length</t>
        </is>
      </c>
    </row>
    <row r="24">
      <c r="A24" s="13" t="n">
        <v>19</v>
      </c>
      <c r="B24" s="13" t="inlineStr">
        <is>
          <t>Columns</t>
        </is>
      </c>
      <c r="C24" s="13" t="inlineStr">
        <is>
          <t>STR-010</t>
        </is>
      </c>
      <c r="D24" s="13" t="inlineStr">
        <is>
          <t>COL-02A (3 nos) 6th to 7th - main bars</t>
        </is>
      </c>
      <c r="E24" s="19" t="inlineStr">
        <is>
          <t>2001</t>
        </is>
      </c>
      <c r="F24" s="19" t="n">
        <v>20</v>
      </c>
      <c r="G24" s="19" t="n">
        <v>3</v>
      </c>
      <c r="H24" s="19" t="n">
        <v>18</v>
      </c>
      <c r="I24" s="13">
        <f>G24*H24</f>
        <v>54.0</v>
      </c>
      <c r="J24" s="20">
        <f>4500/1000</f>
        <v>4.5</v>
      </c>
      <c r="K24" s="21">
        <f>I24*J24</f>
        <v>243.0</v>
      </c>
      <c r="L24" s="22">
        <f>F24^2/162</f>
        <v>2.4691358024691357</v>
      </c>
      <c r="M24" s="21">
        <f>K24*L24</f>
        <v>600.0</v>
      </c>
      <c r="N24" s="22">
        <f>M24/1000</f>
        <v>0.6</v>
      </c>
      <c r="O24" s="13" t="inlineStr">
        <is>
          <t>Elevation + BBS length</t>
        </is>
      </c>
    </row>
    <row r="25">
      <c r="A25" s="13" t="n">
        <v>20</v>
      </c>
      <c r="B25" s="13" t="inlineStr">
        <is>
          <t>Columns</t>
        </is>
      </c>
      <c r="C25" s="13" t="inlineStr">
        <is>
          <t>STR-010</t>
        </is>
      </c>
      <c r="D25" s="13" t="inlineStr">
        <is>
          <t>COL-02B (6 nos) 6th to 7th - links</t>
        </is>
      </c>
      <c r="E25" s="19" t="inlineStr">
        <is>
          <t>1004</t>
        </is>
      </c>
      <c r="F25" s="19" t="n">
        <v>10</v>
      </c>
      <c r="G25" s="19" t="n">
        <v>6</v>
      </c>
      <c r="H25" s="19" t="n">
        <v>30</v>
      </c>
      <c r="I25" s="13">
        <f>G25*H25</f>
        <v>180.0</v>
      </c>
      <c r="J25" s="20">
        <f>2910/1000</f>
        <v>2.91</v>
      </c>
      <c r="K25" s="21">
        <f>I25*J25</f>
        <v>523.8000000000001</v>
      </c>
      <c r="L25" s="22">
        <f>F25^2/162</f>
        <v>0.6172839506172839</v>
      </c>
      <c r="M25" s="21">
        <f>K25*L25</f>
        <v>323.33333333333337</v>
      </c>
      <c r="N25" s="22">
        <f>M25/1000</f>
        <v>0.32333333333333336</v>
      </c>
      <c r="O25" s="13" t="inlineStr">
        <is>
          <t>Elevation + BBS length</t>
        </is>
      </c>
    </row>
    <row r="26">
      <c r="A26" s="13" t="n">
        <v>21</v>
      </c>
      <c r="B26" s="13" t="inlineStr">
        <is>
          <t>Columns</t>
        </is>
      </c>
      <c r="C26" s="13" t="inlineStr">
        <is>
          <t>STR-010</t>
        </is>
      </c>
      <c r="D26" s="13" t="inlineStr">
        <is>
          <t>COL-02B (6 nos) 6th to 7th - links</t>
        </is>
      </c>
      <c r="E26" s="19" t="inlineStr">
        <is>
          <t>1005</t>
        </is>
      </c>
      <c r="F26" s="19" t="n">
        <v>10</v>
      </c>
      <c r="G26" s="19" t="n">
        <v>6</v>
      </c>
      <c r="H26" s="19">
        <f>5*30</f>
        <v>150.0</v>
      </c>
      <c r="I26" s="13">
        <f>G26*H26</f>
        <v>900.0</v>
      </c>
      <c r="J26" s="20">
        <f>1008/1000</f>
        <v>1.008</v>
      </c>
      <c r="K26" s="21">
        <f>I26*J26</f>
        <v>907.2</v>
      </c>
      <c r="L26" s="22">
        <f>F26^2/162</f>
        <v>0.6172839506172839</v>
      </c>
      <c r="M26" s="21">
        <f>K26*L26</f>
        <v>560.0</v>
      </c>
      <c r="N26" s="22">
        <f>M26/1000</f>
        <v>0.56</v>
      </c>
      <c r="O26" s="13" t="inlineStr">
        <is>
          <t>Elevation + BBS length</t>
        </is>
      </c>
    </row>
    <row r="27">
      <c r="A27" s="13" t="n">
        <v>22</v>
      </c>
      <c r="B27" s="13" t="inlineStr">
        <is>
          <t>Columns</t>
        </is>
      </c>
      <c r="C27" s="13" t="inlineStr">
        <is>
          <t>STR-010</t>
        </is>
      </c>
      <c r="D27" s="13" t="inlineStr">
        <is>
          <t>COL-02B (6 nos) 6th to 7th - main bars</t>
        </is>
      </c>
      <c r="E27" s="19" t="inlineStr">
        <is>
          <t>2001</t>
        </is>
      </c>
      <c r="F27" s="19" t="n">
        <v>20</v>
      </c>
      <c r="G27" s="19" t="n">
        <v>6</v>
      </c>
      <c r="H27" s="19" t="n">
        <v>18</v>
      </c>
      <c r="I27" s="13">
        <f>G27*H27</f>
        <v>108.0</v>
      </c>
      <c r="J27" s="20">
        <f>4500/1000</f>
        <v>4.5</v>
      </c>
      <c r="K27" s="21">
        <f>I27*J27</f>
        <v>486.0</v>
      </c>
      <c r="L27" s="22">
        <f>F27^2/162</f>
        <v>2.4691358024691357</v>
      </c>
      <c r="M27" s="21">
        <f>K27*L27</f>
        <v>1200.0</v>
      </c>
      <c r="N27" s="22">
        <f>M27/1000</f>
        <v>1.2</v>
      </c>
      <c r="O27" s="13" t="inlineStr">
        <is>
          <t>Elevation + BBS length</t>
        </is>
      </c>
    </row>
    <row r="28">
      <c r="A28" s="13" t="n">
        <v>23</v>
      </c>
      <c r="B28" s="13" t="inlineStr">
        <is>
          <t>Columns</t>
        </is>
      </c>
      <c r="C28" s="13" t="inlineStr">
        <is>
          <t>STR-011</t>
        </is>
      </c>
      <c r="D28" s="13" t="inlineStr">
        <is>
          <t>COL-02C (1 nos) 6th to 7th - links</t>
        </is>
      </c>
      <c r="E28" s="19" t="inlineStr">
        <is>
          <t>1004</t>
        </is>
      </c>
      <c r="F28" s="19" t="n">
        <v>10</v>
      </c>
      <c r="G28" s="19" t="n">
        <v>1</v>
      </c>
      <c r="H28" s="19" t="n">
        <v>30</v>
      </c>
      <c r="I28" s="13">
        <f>G28*H28</f>
        <v>30.0</v>
      </c>
      <c r="J28" s="20">
        <f>2910/1000</f>
        <v>2.91</v>
      </c>
      <c r="K28" s="21">
        <f>I28*J28</f>
        <v>87.30000000000001</v>
      </c>
      <c r="L28" s="22">
        <f>F28^2/162</f>
        <v>0.6172839506172839</v>
      </c>
      <c r="M28" s="21">
        <f>K28*L28</f>
        <v>53.88888888888889</v>
      </c>
      <c r="N28" s="22">
        <f>M28/1000</f>
        <v>0.053888888888888896</v>
      </c>
      <c r="O28" s="13" t="inlineStr">
        <is>
          <t>Elevation + BBS length</t>
        </is>
      </c>
    </row>
    <row r="29">
      <c r="A29" s="13" t="n">
        <v>24</v>
      </c>
      <c r="B29" s="13" t="inlineStr">
        <is>
          <t>Columns</t>
        </is>
      </c>
      <c r="C29" s="13" t="inlineStr">
        <is>
          <t>STR-011</t>
        </is>
      </c>
      <c r="D29" s="13" t="inlineStr">
        <is>
          <t>COL-02C (1 nos) 6th to 7th - links</t>
        </is>
      </c>
      <c r="E29" s="19" t="inlineStr">
        <is>
          <t>1005</t>
        </is>
      </c>
      <c r="F29" s="19" t="n">
        <v>10</v>
      </c>
      <c r="G29" s="19" t="n">
        <v>1</v>
      </c>
      <c r="H29" s="19">
        <f>3*30</f>
        <v>90.0</v>
      </c>
      <c r="I29" s="13">
        <f>G29*H29</f>
        <v>90.0</v>
      </c>
      <c r="J29" s="20">
        <f>1008/1000</f>
        <v>1.008</v>
      </c>
      <c r="K29" s="21">
        <f>I29*J29</f>
        <v>90.72</v>
      </c>
      <c r="L29" s="22">
        <f>F29^2/162</f>
        <v>0.6172839506172839</v>
      </c>
      <c r="M29" s="21">
        <f>K29*L29</f>
        <v>55.99999999999999</v>
      </c>
      <c r="N29" s="22">
        <f>M29/1000</f>
        <v>0.055999999999999994</v>
      </c>
      <c r="O29" s="13" t="inlineStr">
        <is>
          <t>Elevation + BBS length</t>
        </is>
      </c>
    </row>
    <row r="30">
      <c r="A30" s="13" t="n">
        <v>25</v>
      </c>
      <c r="B30" s="13" t="inlineStr">
        <is>
          <t>Columns</t>
        </is>
      </c>
      <c r="C30" s="13" t="inlineStr">
        <is>
          <t>STR-011</t>
        </is>
      </c>
      <c r="D30" s="13" t="inlineStr">
        <is>
          <t>COL-02C (1 nos) 6th to 7th - main bars</t>
        </is>
      </c>
      <c r="E30" s="19" t="inlineStr">
        <is>
          <t>2001</t>
        </is>
      </c>
      <c r="F30" s="19" t="n">
        <v>20</v>
      </c>
      <c r="G30" s="19" t="n">
        <v>1</v>
      </c>
      <c r="H30" s="19" t="n">
        <v>18</v>
      </c>
      <c r="I30" s="13">
        <f>G30*H30</f>
        <v>18.0</v>
      </c>
      <c r="J30" s="20">
        <f>4500/1000</f>
        <v>4.5</v>
      </c>
      <c r="K30" s="21">
        <f>I30*J30</f>
        <v>81.0</v>
      </c>
      <c r="L30" s="22">
        <f>F30^2/162</f>
        <v>2.4691358024691357</v>
      </c>
      <c r="M30" s="21">
        <f>K30*L30</f>
        <v>200.0</v>
      </c>
      <c r="N30" s="22">
        <f>M30/1000</f>
        <v>0.2</v>
      </c>
      <c r="O30" s="13" t="inlineStr">
        <is>
          <t>Elevation + BBS length</t>
        </is>
      </c>
    </row>
    <row r="31">
      <c r="A31" s="13" t="n">
        <v>26</v>
      </c>
      <c r="B31" s="13" t="inlineStr">
        <is>
          <t>Columns</t>
        </is>
      </c>
      <c r="C31" s="13" t="inlineStr">
        <is>
          <t>STR-011</t>
        </is>
      </c>
      <c r="D31" s="13" t="inlineStr">
        <is>
          <t>COL-02D (15 nos) 6th to 7th - links</t>
        </is>
      </c>
      <c r="E31" s="19" t="inlineStr">
        <is>
          <t>1004</t>
        </is>
      </c>
      <c r="F31" s="19" t="n">
        <v>10</v>
      </c>
      <c r="G31" s="19" t="n">
        <v>15</v>
      </c>
      <c r="H31" s="19" t="n">
        <v>30</v>
      </c>
      <c r="I31" s="13">
        <f>G31*H31</f>
        <v>450.0</v>
      </c>
      <c r="J31" s="20">
        <f>2910/1000</f>
        <v>2.91</v>
      </c>
      <c r="K31" s="21">
        <f>I31*J31</f>
        <v>1309.5</v>
      </c>
      <c r="L31" s="22">
        <f>F31^2/162</f>
        <v>0.6172839506172839</v>
      </c>
      <c r="M31" s="21">
        <f>K31*L31</f>
        <v>808.3333333333333</v>
      </c>
      <c r="N31" s="22">
        <f>M31/1000</f>
        <v>0.8083333333333332</v>
      </c>
      <c r="O31" s="13" t="inlineStr">
        <is>
          <t>Elevation + BBS length</t>
        </is>
      </c>
    </row>
    <row r="32">
      <c r="A32" s="13" t="n">
        <v>27</v>
      </c>
      <c r="B32" s="13" t="inlineStr">
        <is>
          <t>Columns</t>
        </is>
      </c>
      <c r="C32" s="13" t="inlineStr">
        <is>
          <t>STR-011</t>
        </is>
      </c>
      <c r="D32" s="13" t="inlineStr">
        <is>
          <t>COL-02D (15 nos) 6th to 7th - links</t>
        </is>
      </c>
      <c r="E32" s="19" t="inlineStr">
        <is>
          <t>1005</t>
        </is>
      </c>
      <c r="F32" s="19" t="n">
        <v>10</v>
      </c>
      <c r="G32" s="19" t="n">
        <v>15</v>
      </c>
      <c r="H32" s="19">
        <f>3*30</f>
        <v>90.0</v>
      </c>
      <c r="I32" s="13">
        <f>G32*H32</f>
        <v>1350.0</v>
      </c>
      <c r="J32" s="20">
        <f>1008/1000</f>
        <v>1.008</v>
      </c>
      <c r="K32" s="21">
        <f>I32*J32</f>
        <v>1360.8</v>
      </c>
      <c r="L32" s="22">
        <f>F32^2/162</f>
        <v>0.6172839506172839</v>
      </c>
      <c r="M32" s="21">
        <f>K32*L32</f>
        <v>839.9999999999999</v>
      </c>
      <c r="N32" s="22">
        <f>M32/1000</f>
        <v>0.8399999999999999</v>
      </c>
      <c r="O32" s="13" t="inlineStr">
        <is>
          <t>Elevation + BBS length</t>
        </is>
      </c>
    </row>
    <row r="33">
      <c r="A33" s="13" t="n">
        <v>28</v>
      </c>
      <c r="B33" s="13" t="inlineStr">
        <is>
          <t>Columns</t>
        </is>
      </c>
      <c r="C33" s="13" t="inlineStr">
        <is>
          <t>STR-011</t>
        </is>
      </c>
      <c r="D33" s="13" t="inlineStr">
        <is>
          <t>COL-02D (15 nos) 6th to 7th - main bars</t>
        </is>
      </c>
      <c r="E33" s="19" t="inlineStr">
        <is>
          <t>2001</t>
        </is>
      </c>
      <c r="F33" s="19" t="n">
        <v>20</v>
      </c>
      <c r="G33" s="19" t="n">
        <v>15</v>
      </c>
      <c r="H33" s="19" t="n">
        <v>18</v>
      </c>
      <c r="I33" s="13">
        <f>G33*H33</f>
        <v>270.0</v>
      </c>
      <c r="J33" s="20">
        <f>4500/1000</f>
        <v>4.5</v>
      </c>
      <c r="K33" s="21">
        <f>I33*J33</f>
        <v>1215.0</v>
      </c>
      <c r="L33" s="22">
        <f>F33^2/162</f>
        <v>2.4691358024691357</v>
      </c>
      <c r="M33" s="21">
        <f>K33*L33</f>
        <v>3000.0</v>
      </c>
      <c r="N33" s="22">
        <f>M33/1000</f>
        <v>3.0</v>
      </c>
      <c r="O33" s="13" t="inlineStr">
        <is>
          <t>Elevation + BBS length</t>
        </is>
      </c>
    </row>
    <row r="34">
      <c r="A34" s="13" t="n">
        <v>29</v>
      </c>
      <c r="B34" s="13" t="inlineStr">
        <is>
          <t>Columns</t>
        </is>
      </c>
      <c r="C34" s="13" t="inlineStr">
        <is>
          <t>STR-012</t>
        </is>
      </c>
      <c r="D34" s="13" t="inlineStr">
        <is>
          <t>SWC-01A (1 nos) 6th to 7th - links</t>
        </is>
      </c>
      <c r="E34" s="19" t="inlineStr">
        <is>
          <t>1001</t>
        </is>
      </c>
      <c r="F34" s="19" t="n">
        <v>10</v>
      </c>
      <c r="G34" s="19" t="n">
        <v>1</v>
      </c>
      <c r="H34" s="19" t="n">
        <v>30</v>
      </c>
      <c r="I34" s="13">
        <f>G34*H34</f>
        <v>30.0</v>
      </c>
      <c r="J34" s="20">
        <f>5930/1000</f>
        <v>5.93</v>
      </c>
      <c r="K34" s="21">
        <f>I34*J34</f>
        <v>177.89999999999998</v>
      </c>
      <c r="L34" s="22">
        <f>F34^2/162</f>
        <v>0.6172839506172839</v>
      </c>
      <c r="M34" s="21">
        <f>K34*L34</f>
        <v>109.8148148148148</v>
      </c>
      <c r="N34" s="22">
        <f>M34/1000</f>
        <v>0.1098148148148148</v>
      </c>
      <c r="O34" s="13" t="inlineStr">
        <is>
          <t>Elevation + BBS length</t>
        </is>
      </c>
    </row>
    <row r="35">
      <c r="A35" s="13" t="n">
        <v>30</v>
      </c>
      <c r="B35" s="13" t="inlineStr">
        <is>
          <t>Columns</t>
        </is>
      </c>
      <c r="C35" s="13" t="inlineStr">
        <is>
          <t>STR-012</t>
        </is>
      </c>
      <c r="D35" s="13" t="inlineStr">
        <is>
          <t>SWC-01A (1 nos) 6th to 7th - links</t>
        </is>
      </c>
      <c r="E35" s="19" t="inlineStr">
        <is>
          <t>1002</t>
        </is>
      </c>
      <c r="F35" s="19" t="n">
        <v>10</v>
      </c>
      <c r="G35" s="19" t="n">
        <v>1</v>
      </c>
      <c r="H35" s="19" t="n">
        <v>30</v>
      </c>
      <c r="I35" s="13">
        <f>G35*H35</f>
        <v>30.0</v>
      </c>
      <c r="J35" s="20">
        <f>2480/1000</f>
        <v>2.48</v>
      </c>
      <c r="K35" s="21">
        <f>I35*J35</f>
        <v>74.4</v>
      </c>
      <c r="L35" s="22">
        <f>F35^2/162</f>
        <v>0.6172839506172839</v>
      </c>
      <c r="M35" s="21">
        <f>K35*L35</f>
        <v>45.925925925925924</v>
      </c>
      <c r="N35" s="22">
        <f>M35/1000</f>
        <v>0.045925925925925926</v>
      </c>
      <c r="O35" s="13" t="inlineStr">
        <is>
          <t>Elevation + BBS length</t>
        </is>
      </c>
    </row>
    <row r="36">
      <c r="A36" s="13" t="n">
        <v>31</v>
      </c>
      <c r="B36" s="13" t="inlineStr">
        <is>
          <t>Columns</t>
        </is>
      </c>
      <c r="C36" s="13" t="inlineStr">
        <is>
          <t>STR-012</t>
        </is>
      </c>
      <c r="D36" s="13" t="inlineStr">
        <is>
          <t>SWC-01A (1 nos) 6th to 7th - links</t>
        </is>
      </c>
      <c r="E36" s="19" t="inlineStr">
        <is>
          <t>1003</t>
        </is>
      </c>
      <c r="F36" s="19" t="n">
        <v>10</v>
      </c>
      <c r="G36" s="19" t="n">
        <v>1</v>
      </c>
      <c r="H36" s="19">
        <f>7*30</f>
        <v>210.0</v>
      </c>
      <c r="I36" s="13">
        <f>G36*H36</f>
        <v>210.0</v>
      </c>
      <c r="J36" s="20">
        <f>910/1000</f>
        <v>0.91</v>
      </c>
      <c r="K36" s="21">
        <f>I36*J36</f>
        <v>191.1</v>
      </c>
      <c r="L36" s="22">
        <f>F36^2/162</f>
        <v>0.6172839506172839</v>
      </c>
      <c r="M36" s="21">
        <f>K36*L36</f>
        <v>117.96296296296295</v>
      </c>
      <c r="N36" s="22">
        <f>M36/1000</f>
        <v>0.11796296296296295</v>
      </c>
      <c r="O36" s="13" t="inlineStr">
        <is>
          <t>Elevation + BBS length</t>
        </is>
      </c>
    </row>
    <row r="37">
      <c r="A37" s="13" t="n">
        <v>32</v>
      </c>
      <c r="B37" s="13" t="inlineStr">
        <is>
          <t>Columns</t>
        </is>
      </c>
      <c r="C37" s="13" t="inlineStr">
        <is>
          <t>STR-012</t>
        </is>
      </c>
      <c r="D37" s="13" t="inlineStr">
        <is>
          <t>SWC-01A (1 nos) 6th to 7th - links</t>
        </is>
      </c>
      <c r="E37" s="19" t="inlineStr">
        <is>
          <t>1004</t>
        </is>
      </c>
      <c r="F37" s="19" t="n">
        <v>10</v>
      </c>
      <c r="G37" s="19" t="n">
        <v>1</v>
      </c>
      <c r="H37" s="19">
        <f>4*30</f>
        <v>120.0</v>
      </c>
      <c r="I37" s="13">
        <f>G37*H37</f>
        <v>120.0</v>
      </c>
      <c r="J37" s="20">
        <f>770/1000</f>
        <v>0.77</v>
      </c>
      <c r="K37" s="21">
        <f>I37*J37</f>
        <v>92.4</v>
      </c>
      <c r="L37" s="22">
        <f>F37^2/162</f>
        <v>0.6172839506172839</v>
      </c>
      <c r="M37" s="21">
        <f>K37*L37</f>
        <v>57.03703703703704</v>
      </c>
      <c r="N37" s="22">
        <f>M37/1000</f>
        <v>0.05703703703703704</v>
      </c>
      <c r="O37" s="13" t="inlineStr">
        <is>
          <t>Elevation + BBS length</t>
        </is>
      </c>
    </row>
    <row r="38">
      <c r="A38" s="13" t="n">
        <v>33</v>
      </c>
      <c r="B38" s="13" t="inlineStr">
        <is>
          <t>Columns</t>
        </is>
      </c>
      <c r="C38" s="13" t="inlineStr">
        <is>
          <t>STR-012</t>
        </is>
      </c>
      <c r="D38" s="13" t="inlineStr">
        <is>
          <t>SWC-01A (1 nos) 6th to 7th - main bars</t>
        </is>
      </c>
      <c r="E38" s="19" t="inlineStr">
        <is>
          <t>2001</t>
        </is>
      </c>
      <c r="F38" s="19" t="n">
        <v>20</v>
      </c>
      <c r="G38" s="19" t="n">
        <v>1</v>
      </c>
      <c r="H38" s="19" t="n">
        <v>48</v>
      </c>
      <c r="I38" s="13">
        <f>G38*H38</f>
        <v>48.0</v>
      </c>
      <c r="J38" s="20">
        <f>4500/1000</f>
        <v>4.5</v>
      </c>
      <c r="K38" s="21">
        <f>I38*J38</f>
        <v>216.0</v>
      </c>
      <c r="L38" s="22">
        <f>F38^2/162</f>
        <v>2.4691358024691357</v>
      </c>
      <c r="M38" s="21">
        <f>K38*L38</f>
        <v>533.3333333333333</v>
      </c>
      <c r="N38" s="22">
        <f>M38/1000</f>
        <v>0.5333333333333332</v>
      </c>
      <c r="O38" s="13" t="inlineStr">
        <is>
          <t>Elevation + BBS length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STR-015/016</t>
        </is>
      </c>
      <c r="D39" s="13" t="inlineStr">
        <is>
          <t>Main core CW-01 (L=3600mm) 6th to 7th - horizontal Y12@150 NF/FF</t>
        </is>
      </c>
      <c r="E39" s="19" t="inlineStr">
        <is>
          <t>H-Y12</t>
        </is>
      </c>
      <c r="F39" s="19" t="n">
        <v>12</v>
      </c>
      <c r="G39" s="19" t="n">
        <v>1</v>
      </c>
      <c r="H39" s="19">
        <f>2*20</f>
        <v>40.0</v>
      </c>
      <c r="I39" s="13">
        <f>G39*H39</f>
        <v>40.0</v>
      </c>
      <c r="J39" s="20">
        <f>(3600-2*30+40*12)/1000</f>
        <v>4.02</v>
      </c>
      <c r="K39" s="21">
        <f>I39*J39</f>
        <v>160.79999999999998</v>
      </c>
      <c r="L39" s="22">
        <f>F39^2/162</f>
        <v>0.8888888888888888</v>
      </c>
      <c r="M39" s="21">
        <f>K39*L39</f>
        <v>142.9333333333333</v>
      </c>
      <c r="N39" s="22">
        <f>M39/1000</f>
        <v>0.1429333333333333</v>
      </c>
      <c r="O39" s="13" t="inlineStr">
        <is>
          <t>Elevation count / plan length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STR-015/016</t>
        </is>
      </c>
      <c r="D40" s="13" t="inlineStr">
        <is>
          <t>Main core CW-01 6th to 7th - vertical Y20@150 NF/FF</t>
        </is>
      </c>
      <c r="E40" s="19" t="inlineStr">
        <is>
          <t>V-Y20</t>
        </is>
      </c>
      <c r="F40" s="19" t="n">
        <v>20</v>
      </c>
      <c r="G40" s="19" t="n">
        <v>1</v>
      </c>
      <c r="H40" s="19">
        <f>2*29</f>
        <v>58.0</v>
      </c>
      <c r="I40" s="13">
        <f>G40*H40</f>
        <v>58.0</v>
      </c>
      <c r="J40" s="20">
        <f>(3300+40*20)/1000</f>
        <v>4.1</v>
      </c>
      <c r="K40" s="21">
        <f>I40*J40</f>
        <v>237.79999999999998</v>
      </c>
      <c r="L40" s="22">
        <f>F40^2/162</f>
        <v>2.4691358024691357</v>
      </c>
      <c r="M40" s="21">
        <f>K40*L40</f>
        <v>587.1604938271604</v>
      </c>
      <c r="N40" s="22">
        <f>M40/1000</f>
        <v>0.5871604938271604</v>
      </c>
      <c r="O40" s="13" t="inlineStr">
        <is>
          <t>Elevation / plan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STR-015/016</t>
        </is>
      </c>
      <c r="D41" s="13" t="inlineStr">
        <is>
          <t>Main core CW-05 (L=7250mm) 6th to 7th - horizontal Y12@150 NF/FF</t>
        </is>
      </c>
      <c r="E41" s="19" t="inlineStr">
        <is>
          <t>H-Y12</t>
        </is>
      </c>
      <c r="F41" s="19" t="n">
        <v>12</v>
      </c>
      <c r="G41" s="19" t="n">
        <v>1</v>
      </c>
      <c r="H41" s="19">
        <f>2*20</f>
        <v>40.0</v>
      </c>
      <c r="I41" s="13">
        <f>G41*H41</f>
        <v>40.0</v>
      </c>
      <c r="J41" s="20">
        <f>(7250-2*30+40*12)/1000</f>
        <v>7.67</v>
      </c>
      <c r="K41" s="21">
        <f>I41*J41</f>
        <v>306.8</v>
      </c>
      <c r="L41" s="22">
        <f>F41^2/162</f>
        <v>0.8888888888888888</v>
      </c>
      <c r="M41" s="21">
        <f>K41*L41</f>
        <v>272.7111111111111</v>
      </c>
      <c r="N41" s="22">
        <f>M41/1000</f>
        <v>0.2727111111111111</v>
      </c>
      <c r="O41" s="13" t="inlineStr">
        <is>
          <t>Elevation count / plan length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STR-015/016</t>
        </is>
      </c>
      <c r="D42" s="13" t="inlineStr">
        <is>
          <t>Main core CW-05 6th to 7th - vertical Y20@150 NF/FF</t>
        </is>
      </c>
      <c r="E42" s="19" t="inlineStr">
        <is>
          <t>V-Y20</t>
        </is>
      </c>
      <c r="F42" s="19" t="n">
        <v>20</v>
      </c>
      <c r="G42" s="19" t="n">
        <v>1</v>
      </c>
      <c r="H42" s="19">
        <f>2*(ROUNDUP(7250/150,0)+1)</f>
        <v>100.0</v>
      </c>
      <c r="I42" s="13">
        <f>G42*H42</f>
        <v>100.0</v>
      </c>
      <c r="J42" s="20">
        <f>(3300+40*20)/1000</f>
        <v>4.1</v>
      </c>
      <c r="K42" s="21">
        <f>I42*J42</f>
        <v>409.99999999999994</v>
      </c>
      <c r="L42" s="22">
        <f>F42^2/162</f>
        <v>2.4691358024691357</v>
      </c>
      <c r="M42" s="21">
        <f>K42*L42</f>
        <v>1012.3456790123455</v>
      </c>
      <c r="N42" s="22">
        <f>M42/1000</f>
        <v>1.0123456790123455</v>
      </c>
      <c r="O42" s="13" t="inlineStr">
        <is>
          <t>Elevation / plan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STR-015/016</t>
        </is>
      </c>
      <c r="D43" s="13" t="inlineStr">
        <is>
          <t>Main core CW-07 (stair section) (L=7250mm) 6th to 7th - horizontal Y12@150 NF/FF</t>
        </is>
      </c>
      <c r="E43" s="19" t="inlineStr">
        <is>
          <t>H-Y12</t>
        </is>
      </c>
      <c r="F43" s="19" t="n">
        <v>12</v>
      </c>
      <c r="G43" s="19" t="n">
        <v>1</v>
      </c>
      <c r="H43" s="19">
        <f>2*20</f>
        <v>40.0</v>
      </c>
      <c r="I43" s="13">
        <f>G43*H43</f>
        <v>40.0</v>
      </c>
      <c r="J43" s="20">
        <f>(7250-2*30+40*12)/1000</f>
        <v>7.67</v>
      </c>
      <c r="K43" s="21">
        <f>I43*J43</f>
        <v>306.8</v>
      </c>
      <c r="L43" s="22">
        <f>F43^2/162</f>
        <v>0.8888888888888888</v>
      </c>
      <c r="M43" s="21">
        <f>K43*L43</f>
        <v>272.7111111111111</v>
      </c>
      <c r="N43" s="22">
        <f>M43/1000</f>
        <v>0.2727111111111111</v>
      </c>
      <c r="O43" s="13" t="inlineStr">
        <is>
          <t>Elevation count / plan length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STR-015/016</t>
        </is>
      </c>
      <c r="D44" s="13" t="inlineStr">
        <is>
          <t>Main core CW-07 (stair section) 6th to 7th - vertical Y20@150 NF/FF</t>
        </is>
      </c>
      <c r="E44" s="19" t="inlineStr">
        <is>
          <t>V-Y20</t>
        </is>
      </c>
      <c r="F44" s="19" t="n">
        <v>20</v>
      </c>
      <c r="G44" s="19" t="n">
        <v>1</v>
      </c>
      <c r="H44" s="19">
        <f>2*(ROUNDUP(7250/150,0)+1)</f>
        <v>100.0</v>
      </c>
      <c r="I44" s="13">
        <f>G44*H44</f>
        <v>100.0</v>
      </c>
      <c r="J44" s="20">
        <f>(3300+40*20)/1000</f>
        <v>4.1</v>
      </c>
      <c r="K44" s="21">
        <f>I44*J44</f>
        <v>409.99999999999994</v>
      </c>
      <c r="L44" s="22">
        <f>F44^2/162</f>
        <v>2.4691358024691357</v>
      </c>
      <c r="M44" s="21">
        <f>K44*L44</f>
        <v>1012.3456790123455</v>
      </c>
      <c r="N44" s="22">
        <f>M44/1000</f>
        <v>1.0123456790123455</v>
      </c>
      <c r="O44" s="13" t="inlineStr">
        <is>
          <t>Elevation / plan</t>
        </is>
      </c>
    </row>
    <row r="45">
      <c r="A45" s="13" t="n">
        <v>40</v>
      </c>
      <c r="B45" s="13" t="inlineStr">
        <is>
          <t>Shear Walls</t>
        </is>
      </c>
      <c r="C45" s="13" t="inlineStr">
        <is>
          <t>STR-015/016</t>
        </is>
      </c>
      <c r="D45" s="13" t="inlineStr">
        <is>
          <t>Main core CW-09 (L=1150mm) 6th to 7th - horizontal Y12@150 NF/FF</t>
        </is>
      </c>
      <c r="E45" s="19" t="inlineStr">
        <is>
          <t>H-Y12</t>
        </is>
      </c>
      <c r="F45" s="19" t="n">
        <v>12</v>
      </c>
      <c r="G45" s="19" t="n">
        <v>1</v>
      </c>
      <c r="H45" s="19">
        <f>2*20</f>
        <v>40.0</v>
      </c>
      <c r="I45" s="13">
        <f>G45*H45</f>
        <v>40.0</v>
      </c>
      <c r="J45" s="20">
        <f>(1150-2*30+40*12)/1000</f>
        <v>1.57</v>
      </c>
      <c r="K45" s="21">
        <f>I45*J45</f>
        <v>62.800000000000004</v>
      </c>
      <c r="L45" s="22">
        <f>F45^2/162</f>
        <v>0.8888888888888888</v>
      </c>
      <c r="M45" s="21">
        <f>K45*L45</f>
        <v>55.82222222222222</v>
      </c>
      <c r="N45" s="22">
        <f>M45/1000</f>
        <v>0.055822222222222224</v>
      </c>
      <c r="O45" s="13" t="inlineStr">
        <is>
          <t>Elevation count / plan length</t>
        </is>
      </c>
    </row>
    <row r="46">
      <c r="A46" s="13" t="n">
        <v>41</v>
      </c>
      <c r="B46" s="13" t="inlineStr">
        <is>
          <t>Shear Walls</t>
        </is>
      </c>
      <c r="C46" s="13" t="inlineStr">
        <is>
          <t>STR-015/016</t>
        </is>
      </c>
      <c r="D46" s="13" t="inlineStr">
        <is>
          <t>Main core CW-09 6th to 7th - vertical Y20@150 NF/FF</t>
        </is>
      </c>
      <c r="E46" s="19" t="inlineStr">
        <is>
          <t>V-Y20</t>
        </is>
      </c>
      <c r="F46" s="19" t="n">
        <v>20</v>
      </c>
      <c r="G46" s="19" t="n">
        <v>1</v>
      </c>
      <c r="H46" s="19">
        <f>2*(ROUNDUP(1150/150,0)+1)</f>
        <v>18.0</v>
      </c>
      <c r="I46" s="13">
        <f>G46*H46</f>
        <v>18.0</v>
      </c>
      <c r="J46" s="20">
        <f>(3300+40*20)/1000</f>
        <v>4.1</v>
      </c>
      <c r="K46" s="21">
        <f>I46*J46</f>
        <v>73.8</v>
      </c>
      <c r="L46" s="22">
        <f>F46^2/162</f>
        <v>2.4691358024691357</v>
      </c>
      <c r="M46" s="21">
        <f>K46*L46</f>
        <v>182.2222222222222</v>
      </c>
      <c r="N46" s="22">
        <f>M46/1000</f>
        <v>0.1822222222222222</v>
      </c>
      <c r="O46" s="13" t="inlineStr">
        <is>
          <t>Elevation / plan</t>
        </is>
      </c>
    </row>
    <row r="47">
      <c r="A47" s="13" t="n">
        <v>42</v>
      </c>
      <c r="B47" s="13" t="inlineStr">
        <is>
          <t>Shear Walls</t>
        </is>
      </c>
      <c r="C47" s="13" t="inlineStr">
        <is>
          <t>STR-015/016</t>
        </is>
      </c>
      <c r="D47" s="13" t="inlineStr">
        <is>
          <t>Main core CW-10 (L=1150mm) 6th to 7th - horizontal Y12@150 NF/FF</t>
        </is>
      </c>
      <c r="E47" s="19" t="inlineStr">
        <is>
          <t>H-Y12</t>
        </is>
      </c>
      <c r="F47" s="19" t="n">
        <v>12</v>
      </c>
      <c r="G47" s="19" t="n">
        <v>1</v>
      </c>
      <c r="H47" s="19">
        <f>2*20</f>
        <v>40.0</v>
      </c>
      <c r="I47" s="13">
        <f>G47*H47</f>
        <v>40.0</v>
      </c>
      <c r="J47" s="20">
        <f>(1150-2*30+40*12)/1000</f>
        <v>1.57</v>
      </c>
      <c r="K47" s="21">
        <f>I47*J47</f>
        <v>62.800000000000004</v>
      </c>
      <c r="L47" s="22">
        <f>F47^2/162</f>
        <v>0.8888888888888888</v>
      </c>
      <c r="M47" s="21">
        <f>K47*L47</f>
        <v>55.82222222222222</v>
      </c>
      <c r="N47" s="22">
        <f>M47/1000</f>
        <v>0.055822222222222224</v>
      </c>
      <c r="O47" s="13" t="inlineStr">
        <is>
          <t>Elevation count / plan length</t>
        </is>
      </c>
    </row>
    <row r="48">
      <c r="A48" s="13" t="n">
        <v>43</v>
      </c>
      <c r="B48" s="13" t="inlineStr">
        <is>
          <t>Shear Walls</t>
        </is>
      </c>
      <c r="C48" s="13" t="inlineStr">
        <is>
          <t>STR-015/016</t>
        </is>
      </c>
      <c r="D48" s="13" t="inlineStr">
        <is>
          <t>Main core CW-10 6th to 7th - vertical Y20@150 NF/FF</t>
        </is>
      </c>
      <c r="E48" s="19" t="inlineStr">
        <is>
          <t>V-Y20</t>
        </is>
      </c>
      <c r="F48" s="19" t="n">
        <v>20</v>
      </c>
      <c r="G48" s="19" t="n">
        <v>1</v>
      </c>
      <c r="H48" s="19">
        <f>2*(ROUNDUP(1150/150,0)+1)</f>
        <v>18.0</v>
      </c>
      <c r="I48" s="13">
        <f>G48*H48</f>
        <v>18.0</v>
      </c>
      <c r="J48" s="20">
        <f>(3300+40*20)/1000</f>
        <v>4.1</v>
      </c>
      <c r="K48" s="21">
        <f>I48*J48</f>
        <v>73.8</v>
      </c>
      <c r="L48" s="22">
        <f>F48^2/162</f>
        <v>2.4691358024691357</v>
      </c>
      <c r="M48" s="21">
        <f>K48*L48</f>
        <v>182.2222222222222</v>
      </c>
      <c r="N48" s="22">
        <f>M48/1000</f>
        <v>0.1822222222222222</v>
      </c>
      <c r="O48" s="13" t="inlineStr">
        <is>
          <t>Elevation / plan</t>
        </is>
      </c>
    </row>
    <row r="49">
      <c r="A49" s="13" t="n">
        <v>44</v>
      </c>
      <c r="B49" s="13" t="inlineStr">
        <is>
          <t>Shear Walls</t>
        </is>
      </c>
      <c r="C49" s="13" t="inlineStr">
        <is>
          <t>STR-015/016</t>
        </is>
      </c>
      <c r="D49" s="13" t="inlineStr">
        <is>
          <t>Main core CW-11 (L=1650mm) 6th to 7th - horizontal Y12@150 NF/FF</t>
        </is>
      </c>
      <c r="E49" s="19" t="inlineStr">
        <is>
          <t>H-Y12</t>
        </is>
      </c>
      <c r="F49" s="19" t="n">
        <v>12</v>
      </c>
      <c r="G49" s="19" t="n">
        <v>1</v>
      </c>
      <c r="H49" s="19">
        <f>2*20</f>
        <v>40.0</v>
      </c>
      <c r="I49" s="13">
        <f>G49*H49</f>
        <v>40.0</v>
      </c>
      <c r="J49" s="20">
        <f>(1650-2*30+40*12)/1000</f>
        <v>2.07</v>
      </c>
      <c r="K49" s="21">
        <f>I49*J49</f>
        <v>82.8</v>
      </c>
      <c r="L49" s="22">
        <f>F49^2/162</f>
        <v>0.8888888888888888</v>
      </c>
      <c r="M49" s="21">
        <f>K49*L49</f>
        <v>73.6</v>
      </c>
      <c r="N49" s="22">
        <f>M49/1000</f>
        <v>0.0736</v>
      </c>
      <c r="O49" s="13" t="inlineStr">
        <is>
          <t>Elevation count / plan length</t>
        </is>
      </c>
    </row>
    <row r="50">
      <c r="A50" s="13" t="n">
        <v>45</v>
      </c>
      <c r="B50" s="13" t="inlineStr">
        <is>
          <t>Shear Walls</t>
        </is>
      </c>
      <c r="C50" s="13" t="inlineStr">
        <is>
          <t>STR-015/016</t>
        </is>
      </c>
      <c r="D50" s="13" t="inlineStr">
        <is>
          <t>Main core CW-11 6th to 7th - vertical Y20@150 NF/FF</t>
        </is>
      </c>
      <c r="E50" s="19" t="inlineStr">
        <is>
          <t>V-Y20</t>
        </is>
      </c>
      <c r="F50" s="19" t="n">
        <v>20</v>
      </c>
      <c r="G50" s="19" t="n">
        <v>1</v>
      </c>
      <c r="H50" s="19">
        <f>2*(ROUNDUP(1650/150,0)+1)</f>
        <v>24.0</v>
      </c>
      <c r="I50" s="13">
        <f>G50*H50</f>
        <v>24.0</v>
      </c>
      <c r="J50" s="20">
        <f>(3300+40*20)/1000</f>
        <v>4.1</v>
      </c>
      <c r="K50" s="21">
        <f>I50*J50</f>
        <v>98.39999999999999</v>
      </c>
      <c r="L50" s="22">
        <f>F50^2/162</f>
        <v>2.4691358024691357</v>
      </c>
      <c r="M50" s="21">
        <f>K50*L50</f>
        <v>242.96296296296293</v>
      </c>
      <c r="N50" s="22">
        <f>M50/1000</f>
        <v>0.24296296296296294</v>
      </c>
      <c r="O50" s="13" t="inlineStr">
        <is>
          <t>Elevation / plan</t>
        </is>
      </c>
    </row>
    <row r="51">
      <c r="A51" s="13" t="n">
        <v>46</v>
      </c>
      <c r="B51" s="13" t="inlineStr">
        <is>
          <t>Shear Walls</t>
        </is>
      </c>
      <c r="C51" s="13" t="inlineStr">
        <is>
          <t>STR-015/016</t>
        </is>
      </c>
      <c r="D51" s="13" t="inlineStr">
        <is>
          <t>Main core confinement links Y10@150 (26 positions on plan) 6th to 7th</t>
        </is>
      </c>
      <c r="E51" s="19" t="inlineStr">
        <is>
          <t>LNK-Y10</t>
        </is>
      </c>
      <c r="F51" s="19" t="n">
        <v>10</v>
      </c>
      <c r="G51" s="19" t="n">
        <v>1</v>
      </c>
      <c r="H51" s="19">
        <f>26*ROUNDUP(3300/150,0)</f>
        <v>572.0</v>
      </c>
      <c r="I51" s="13">
        <f>G51*H51</f>
        <v>572.0</v>
      </c>
      <c r="J51" s="20">
        <f>1800/1000</f>
        <v>1.8</v>
      </c>
      <c r="K51" s="21">
        <f>I51*J51</f>
        <v>1029.6000000000001</v>
      </c>
      <c r="L51" s="22">
        <f>F51^2/162</f>
        <v>0.6172839506172839</v>
      </c>
      <c r="M51" s="21">
        <f>K51*L51</f>
        <v>635.5555555555557</v>
      </c>
      <c r="N51" s="22">
        <f>M51/1000</f>
        <v>0.6355555555555557</v>
      </c>
      <c r="O51" s="13" t="inlineStr">
        <is>
          <t>Assumed link cut length</t>
        </is>
      </c>
    </row>
    <row r="52">
      <c r="A52" s="13" t="n">
        <v>47</v>
      </c>
      <c r="B52" s="13" t="inlineStr">
        <is>
          <t>Shear Walls</t>
        </is>
      </c>
      <c r="C52" s="13" t="inlineStr">
        <is>
          <t>STR-013/014</t>
        </is>
      </c>
      <c r="D52" s="13" t="inlineStr">
        <is>
          <t>Emergency stair core CW-12 (L=7050mm) 6th to 7th - horizontal Y12@150 NF/FF</t>
        </is>
      </c>
      <c r="E52" s="19" t="inlineStr">
        <is>
          <t>H-Y12</t>
        </is>
      </c>
      <c r="F52" s="19" t="n">
        <v>12</v>
      </c>
      <c r="G52" s="19" t="n">
        <v>1</v>
      </c>
      <c r="H52" s="19">
        <f>2*20</f>
        <v>40.0</v>
      </c>
      <c r="I52" s="13">
        <f>G52*H52</f>
        <v>40.0</v>
      </c>
      <c r="J52" s="20">
        <f>(7050-2*30+40*12)/1000</f>
        <v>7.47</v>
      </c>
      <c r="K52" s="21">
        <f>I52*J52</f>
        <v>298.8</v>
      </c>
      <c r="L52" s="22">
        <f>F52^2/162</f>
        <v>0.8888888888888888</v>
      </c>
      <c r="M52" s="21">
        <f>K52*L52</f>
        <v>265.6</v>
      </c>
      <c r="N52" s="22">
        <f>M52/1000</f>
        <v>0.2656</v>
      </c>
      <c r="O52" s="13" t="inlineStr">
        <is>
          <t>Elevation count / plan length</t>
        </is>
      </c>
    </row>
    <row r="53">
      <c r="A53" s="13" t="n">
        <v>48</v>
      </c>
      <c r="B53" s="13" t="inlineStr">
        <is>
          <t>Shear Walls</t>
        </is>
      </c>
      <c r="C53" s="13" t="inlineStr">
        <is>
          <t>STR-013/014</t>
        </is>
      </c>
      <c r="D53" s="13" t="inlineStr">
        <is>
          <t>Emergency stair core CW-12 6th to 7th - vertical Y20@150 NF/FF</t>
        </is>
      </c>
      <c r="E53" s="19" t="inlineStr">
        <is>
          <t>V-Y20</t>
        </is>
      </c>
      <c r="F53" s="19" t="n">
        <v>20</v>
      </c>
      <c r="G53" s="19" t="n">
        <v>1</v>
      </c>
      <c r="H53" s="19">
        <f>2*(ROUNDUP(7050/150,0)+1)</f>
        <v>96.0</v>
      </c>
      <c r="I53" s="13">
        <f>G53*H53</f>
        <v>96.0</v>
      </c>
      <c r="J53" s="20">
        <f>(3300+40*20)/1000</f>
        <v>4.1</v>
      </c>
      <c r="K53" s="21">
        <f>I53*J53</f>
        <v>393.59999999999997</v>
      </c>
      <c r="L53" s="22">
        <f>F53^2/162</f>
        <v>2.4691358024691357</v>
      </c>
      <c r="M53" s="21">
        <f>K53*L53</f>
        <v>971.8518518518517</v>
      </c>
      <c r="N53" s="22">
        <f>M53/1000</f>
        <v>0.9718518518518517</v>
      </c>
      <c r="O53" s="13" t="inlineStr">
        <is>
          <t>Elevation / plan</t>
        </is>
      </c>
    </row>
    <row r="54">
      <c r="A54" s="13" t="n">
        <v>49</v>
      </c>
      <c r="B54" s="13" t="inlineStr">
        <is>
          <t>Shear Walls</t>
        </is>
      </c>
      <c r="C54" s="13" t="inlineStr">
        <is>
          <t>STR-013/014</t>
        </is>
      </c>
      <c r="D54" s="13" t="inlineStr">
        <is>
          <t>Emergency stair core CW-13 (L=7810mm) 6th to 7th - horizontal Y12@150 NF/FF</t>
        </is>
      </c>
      <c r="E54" s="19" t="inlineStr">
        <is>
          <t>H-Y12</t>
        </is>
      </c>
      <c r="F54" s="19" t="n">
        <v>12</v>
      </c>
      <c r="G54" s="19" t="n">
        <v>1</v>
      </c>
      <c r="H54" s="19">
        <f>2*20</f>
        <v>40.0</v>
      </c>
      <c r="I54" s="13">
        <f>G54*H54</f>
        <v>40.0</v>
      </c>
      <c r="J54" s="20">
        <f>(7810-2*30+40*12)/1000</f>
        <v>8.23</v>
      </c>
      <c r="K54" s="21">
        <f>I54*J54</f>
        <v>329.20000000000005</v>
      </c>
      <c r="L54" s="22">
        <f>F54^2/162</f>
        <v>0.8888888888888888</v>
      </c>
      <c r="M54" s="21">
        <f>K54*L54</f>
        <v>292.62222222222226</v>
      </c>
      <c r="N54" s="22">
        <f>M54/1000</f>
        <v>0.2926222222222223</v>
      </c>
      <c r="O54" s="13" t="inlineStr">
        <is>
          <t>Elevation count / plan length</t>
        </is>
      </c>
    </row>
    <row r="55">
      <c r="A55" s="13" t="n">
        <v>50</v>
      </c>
      <c r="B55" s="13" t="inlineStr">
        <is>
          <t>Shear Walls</t>
        </is>
      </c>
      <c r="C55" s="13" t="inlineStr">
        <is>
          <t>STR-013/014</t>
        </is>
      </c>
      <c r="D55" s="13" t="inlineStr">
        <is>
          <t>Emergency stair core CW-13 6th to 7th - vertical Y20@150 NF/FF</t>
        </is>
      </c>
      <c r="E55" s="19" t="inlineStr">
        <is>
          <t>V-Y20</t>
        </is>
      </c>
      <c r="F55" s="19" t="n">
        <v>20</v>
      </c>
      <c r="G55" s="19" t="n">
        <v>1</v>
      </c>
      <c r="H55" s="19">
        <f>2*52</f>
        <v>104.0</v>
      </c>
      <c r="I55" s="13">
        <f>G55*H55</f>
        <v>104.0</v>
      </c>
      <c r="J55" s="20">
        <f>(3300+40*20)/1000</f>
        <v>4.1</v>
      </c>
      <c r="K55" s="21">
        <f>I55*J55</f>
        <v>426.4</v>
      </c>
      <c r="L55" s="22">
        <f>F55^2/162</f>
        <v>2.4691358024691357</v>
      </c>
      <c r="M55" s="21">
        <f>K55*L55</f>
        <v>1052.8395061728395</v>
      </c>
      <c r="N55" s="22">
        <f>M55/1000</f>
        <v>1.0528395061728395</v>
      </c>
      <c r="O55" s="13" t="inlineStr">
        <is>
          <t>Elevation / plan</t>
        </is>
      </c>
    </row>
    <row r="56">
      <c r="A56" s="13" t="n">
        <v>51</v>
      </c>
      <c r="B56" s="13" t="inlineStr">
        <is>
          <t>Shear Walls</t>
        </is>
      </c>
      <c r="C56" s="13" t="inlineStr">
        <is>
          <t>STR-013/014</t>
        </is>
      </c>
      <c r="D56" s="13" t="inlineStr">
        <is>
          <t>Emergency stair core CW-14 (L=3450mm) 6th to 7th - horizontal Y12@150 NF/FF</t>
        </is>
      </c>
      <c r="E56" s="19" t="inlineStr">
        <is>
          <t>H-Y12</t>
        </is>
      </c>
      <c r="F56" s="19" t="n">
        <v>12</v>
      </c>
      <c r="G56" s="19" t="n">
        <v>1</v>
      </c>
      <c r="H56" s="19">
        <f>2*20</f>
        <v>40.0</v>
      </c>
      <c r="I56" s="13">
        <f>G56*H56</f>
        <v>40.0</v>
      </c>
      <c r="J56" s="20">
        <f>(3450-2*30+40*12)/1000</f>
        <v>3.87</v>
      </c>
      <c r="K56" s="21">
        <f>I56*J56</f>
        <v>154.8</v>
      </c>
      <c r="L56" s="22">
        <f>F56^2/162</f>
        <v>0.8888888888888888</v>
      </c>
      <c r="M56" s="21">
        <f>K56*L56</f>
        <v>137.6</v>
      </c>
      <c r="N56" s="22">
        <f>M56/1000</f>
        <v>0.1376</v>
      </c>
      <c r="O56" s="13" t="inlineStr">
        <is>
          <t>Elevation count / plan length</t>
        </is>
      </c>
    </row>
    <row r="57">
      <c r="A57" s="13" t="n">
        <v>52</v>
      </c>
      <c r="B57" s="13" t="inlineStr">
        <is>
          <t>Shear Walls</t>
        </is>
      </c>
      <c r="C57" s="13" t="inlineStr">
        <is>
          <t>STR-013/014</t>
        </is>
      </c>
      <c r="D57" s="13" t="inlineStr">
        <is>
          <t>Emergency stair core CW-14 6th to 7th - vertical Y20@150 NF/FF</t>
        </is>
      </c>
      <c r="E57" s="19" t="inlineStr">
        <is>
          <t>V-Y20</t>
        </is>
      </c>
      <c r="F57" s="19" t="n">
        <v>20</v>
      </c>
      <c r="G57" s="19" t="n">
        <v>1</v>
      </c>
      <c r="H57" s="19">
        <f>2*(ROUNDUP(3450/150,0)+1)</f>
        <v>48.0</v>
      </c>
      <c r="I57" s="13">
        <f>G57*H57</f>
        <v>48.0</v>
      </c>
      <c r="J57" s="20">
        <f>(3300+40*20)/1000</f>
        <v>4.1</v>
      </c>
      <c r="K57" s="21">
        <f>I57*J57</f>
        <v>196.79999999999998</v>
      </c>
      <c r="L57" s="22">
        <f>F57^2/162</f>
        <v>2.4691358024691357</v>
      </c>
      <c r="M57" s="21">
        <f>K57*L57</f>
        <v>485.92592592592587</v>
      </c>
      <c r="N57" s="22">
        <f>M57/1000</f>
        <v>0.4859259259259259</v>
      </c>
      <c r="O57" s="13" t="inlineStr">
        <is>
          <t>Elevation / plan</t>
        </is>
      </c>
    </row>
    <row r="58">
      <c r="A58" s="13" t="n">
        <v>53</v>
      </c>
      <c r="B58" s="13" t="inlineStr">
        <is>
          <t>Shear Walls</t>
        </is>
      </c>
      <c r="C58" s="13" t="inlineStr">
        <is>
          <t>STR-013/014</t>
        </is>
      </c>
      <c r="D58" s="13" t="inlineStr">
        <is>
          <t>Emergency stair core CW-15 (L=2425mm) 6th to 7th - horizontal Y12@150 NF/FF</t>
        </is>
      </c>
      <c r="E58" s="19" t="inlineStr">
        <is>
          <t>H-Y12</t>
        </is>
      </c>
      <c r="F58" s="19" t="n">
        <v>12</v>
      </c>
      <c r="G58" s="19" t="n">
        <v>1</v>
      </c>
      <c r="H58" s="19">
        <f>2*20</f>
        <v>40.0</v>
      </c>
      <c r="I58" s="13">
        <f>G58*H58</f>
        <v>40.0</v>
      </c>
      <c r="J58" s="20">
        <f>(2425-2*30+40*12)/1000</f>
        <v>2.845</v>
      </c>
      <c r="K58" s="21">
        <f>I58*J58</f>
        <v>113.80000000000001</v>
      </c>
      <c r="L58" s="22">
        <f>F58^2/162</f>
        <v>0.8888888888888888</v>
      </c>
      <c r="M58" s="21">
        <f>K58*L58</f>
        <v>101.15555555555557</v>
      </c>
      <c r="N58" s="22">
        <f>M58/1000</f>
        <v>0.10115555555555557</v>
      </c>
      <c r="O58" s="13" t="inlineStr">
        <is>
          <t>Elevation count / plan length</t>
        </is>
      </c>
    </row>
    <row r="59">
      <c r="A59" s="13" t="n">
        <v>54</v>
      </c>
      <c r="B59" s="13" t="inlineStr">
        <is>
          <t>Shear Walls</t>
        </is>
      </c>
      <c r="C59" s="13" t="inlineStr">
        <is>
          <t>STR-013/014</t>
        </is>
      </c>
      <c r="D59" s="13" t="inlineStr">
        <is>
          <t>Emergency stair core CW-15 6th to 7th - vertical Y20@150 NF/FF</t>
        </is>
      </c>
      <c r="E59" s="19" t="inlineStr">
        <is>
          <t>V-Y20</t>
        </is>
      </c>
      <c r="F59" s="19" t="n">
        <v>20</v>
      </c>
      <c r="G59" s="19" t="n">
        <v>1</v>
      </c>
      <c r="H59" s="19">
        <f>2*(ROUNDUP(2425/150,0)+1)</f>
        <v>36.0</v>
      </c>
      <c r="I59" s="13">
        <f>G59*H59</f>
        <v>36.0</v>
      </c>
      <c r="J59" s="20">
        <f>(3300+40*20)/1000</f>
        <v>4.1</v>
      </c>
      <c r="K59" s="21">
        <f>I59*J59</f>
        <v>147.6</v>
      </c>
      <c r="L59" s="22">
        <f>F59^2/162</f>
        <v>2.4691358024691357</v>
      </c>
      <c r="M59" s="21">
        <f>K59*L59</f>
        <v>364.4444444444444</v>
      </c>
      <c r="N59" s="22">
        <f>M59/1000</f>
        <v>0.3644444444444444</v>
      </c>
      <c r="O59" s="13" t="inlineStr">
        <is>
          <t>Elevation / plan</t>
        </is>
      </c>
    </row>
    <row r="60">
      <c r="A60" s="13" t="n">
        <v>55</v>
      </c>
      <c r="B60" s="13" t="inlineStr">
        <is>
          <t>Shear Walls</t>
        </is>
      </c>
      <c r="C60" s="13" t="inlineStr">
        <is>
          <t>STR-013/014</t>
        </is>
      </c>
      <c r="D60" s="13" t="inlineStr">
        <is>
          <t>Emergency stair core CW-16 (L=775mm) 6th to 7th - horizontal Y12@150 NF/FF</t>
        </is>
      </c>
      <c r="E60" s="19" t="inlineStr">
        <is>
          <t>H-Y12</t>
        </is>
      </c>
      <c r="F60" s="19" t="n">
        <v>12</v>
      </c>
      <c r="G60" s="19" t="n">
        <v>1</v>
      </c>
      <c r="H60" s="19">
        <f>2*20</f>
        <v>40.0</v>
      </c>
      <c r="I60" s="13">
        <f>G60*H60</f>
        <v>40.0</v>
      </c>
      <c r="J60" s="20">
        <f>(775-2*30+40*12)/1000</f>
        <v>1.195</v>
      </c>
      <c r="K60" s="21">
        <f>I60*J60</f>
        <v>47.800000000000004</v>
      </c>
      <c r="L60" s="22">
        <f>F60^2/162</f>
        <v>0.8888888888888888</v>
      </c>
      <c r="M60" s="21">
        <f>K60*L60</f>
        <v>42.48888888888889</v>
      </c>
      <c r="N60" s="22">
        <f>M60/1000</f>
        <v>0.04248888888888889</v>
      </c>
      <c r="O60" s="13" t="inlineStr">
        <is>
          <t>Elevation count / plan length</t>
        </is>
      </c>
    </row>
    <row r="61">
      <c r="A61" s="13" t="n">
        <v>56</v>
      </c>
      <c r="B61" s="13" t="inlineStr">
        <is>
          <t>Shear Walls</t>
        </is>
      </c>
      <c r="C61" s="13" t="inlineStr">
        <is>
          <t>STR-013/014</t>
        </is>
      </c>
      <c r="D61" s="13" t="inlineStr">
        <is>
          <t>Emergency stair core CW-16 6th to 7th - vertical Y20@150 NF/FF</t>
        </is>
      </c>
      <c r="E61" s="19" t="inlineStr">
        <is>
          <t>V-Y20</t>
        </is>
      </c>
      <c r="F61" s="19" t="n">
        <v>20</v>
      </c>
      <c r="G61" s="19" t="n">
        <v>1</v>
      </c>
      <c r="H61" s="19">
        <f>2*(ROUNDUP(775/150,0)+1)</f>
        <v>14.0</v>
      </c>
      <c r="I61" s="13">
        <f>G61*H61</f>
        <v>14.0</v>
      </c>
      <c r="J61" s="20">
        <f>(3300+40*20)/1000</f>
        <v>4.1</v>
      </c>
      <c r="K61" s="21">
        <f>I61*J61</f>
        <v>57.39999999999999</v>
      </c>
      <c r="L61" s="22">
        <f>F61^2/162</f>
        <v>2.4691358024691357</v>
      </c>
      <c r="M61" s="21">
        <f>K61*L61</f>
        <v>141.72839506172838</v>
      </c>
      <c r="N61" s="22">
        <f>M61/1000</f>
        <v>0.14172839506172838</v>
      </c>
      <c r="O61" s="13" t="inlineStr">
        <is>
          <t>Elevation / plan</t>
        </is>
      </c>
    </row>
    <row r="62">
      <c r="A62" s="13" t="n">
        <v>57</v>
      </c>
      <c r="B62" s="13" t="inlineStr">
        <is>
          <t>Shear Walls</t>
        </is>
      </c>
      <c r="C62" s="13" t="inlineStr">
        <is>
          <t>STR-013/014</t>
        </is>
      </c>
      <c r="D62" s="13" t="inlineStr">
        <is>
          <t>Emergency stair core CW-17 (L=360mm) 6th to 7th - horizontal Y12@150 NF/FF</t>
        </is>
      </c>
      <c r="E62" s="19" t="inlineStr">
        <is>
          <t>H-Y12</t>
        </is>
      </c>
      <c r="F62" s="19" t="n">
        <v>12</v>
      </c>
      <c r="G62" s="19" t="n">
        <v>1</v>
      </c>
      <c r="H62" s="19">
        <f>2*20</f>
        <v>40.0</v>
      </c>
      <c r="I62" s="13">
        <f>G62*H62</f>
        <v>40.0</v>
      </c>
      <c r="J62" s="20">
        <f>(360-2*30+40*12)/1000</f>
        <v>0.78</v>
      </c>
      <c r="K62" s="21">
        <f>I62*J62</f>
        <v>31.200000000000003</v>
      </c>
      <c r="L62" s="22">
        <f>F62^2/162</f>
        <v>0.8888888888888888</v>
      </c>
      <c r="M62" s="21">
        <f>K62*L62</f>
        <v>27.733333333333334</v>
      </c>
      <c r="N62" s="22">
        <f>M62/1000</f>
        <v>0.027733333333333336</v>
      </c>
      <c r="O62" s="13" t="inlineStr">
        <is>
          <t>Elevation count / plan length</t>
        </is>
      </c>
    </row>
    <row r="63">
      <c r="A63" s="13" t="n">
        <v>58</v>
      </c>
      <c r="B63" s="13" t="inlineStr">
        <is>
          <t>Shear Walls</t>
        </is>
      </c>
      <c r="C63" s="13" t="inlineStr">
        <is>
          <t>STR-013/014</t>
        </is>
      </c>
      <c r="D63" s="13" t="inlineStr">
        <is>
          <t>Emergency stair core CW-17 6th to 7th - vertical Y20@150 NF/FF</t>
        </is>
      </c>
      <c r="E63" s="19" t="inlineStr">
        <is>
          <t>V-Y20</t>
        </is>
      </c>
      <c r="F63" s="19" t="n">
        <v>20</v>
      </c>
      <c r="G63" s="19" t="n">
        <v>1</v>
      </c>
      <c r="H63" s="19">
        <f>2*(ROUNDUP(360/150,0)+1)</f>
        <v>8.0</v>
      </c>
      <c r="I63" s="13">
        <f>G63*H63</f>
        <v>8.0</v>
      </c>
      <c r="J63" s="20">
        <f>(3300+40*20)/1000</f>
        <v>4.1</v>
      </c>
      <c r="K63" s="21">
        <f>I63*J63</f>
        <v>32.8</v>
      </c>
      <c r="L63" s="22">
        <f>F63^2/162</f>
        <v>2.4691358024691357</v>
      </c>
      <c r="M63" s="21">
        <f>K63*L63</f>
        <v>80.98765432098764</v>
      </c>
      <c r="N63" s="22">
        <f>M63/1000</f>
        <v>0.08098765432098765</v>
      </c>
      <c r="O63" s="13" t="inlineStr">
        <is>
          <t>Elevation / plan</t>
        </is>
      </c>
    </row>
    <row r="64">
      <c r="A64" s="13" t="n">
        <v>59</v>
      </c>
      <c r="B64" s="13" t="inlineStr">
        <is>
          <t>Shear Walls</t>
        </is>
      </c>
      <c r="C64" s="13" t="inlineStr">
        <is>
          <t>STR-013/014</t>
        </is>
      </c>
      <c r="D64" s="13" t="inlineStr">
        <is>
          <t>Emergency stair core CW-18 (L=1300mm) 6th to 7th - horizontal Y12@150 NF/FF</t>
        </is>
      </c>
      <c r="E64" s="19" t="inlineStr">
        <is>
          <t>H-Y12</t>
        </is>
      </c>
      <c r="F64" s="19" t="n">
        <v>12</v>
      </c>
      <c r="G64" s="19" t="n">
        <v>1</v>
      </c>
      <c r="H64" s="19">
        <f>2*20</f>
        <v>40.0</v>
      </c>
      <c r="I64" s="13">
        <f>G64*H64</f>
        <v>40.0</v>
      </c>
      <c r="J64" s="20">
        <f>(1300-2*30+40*12)/1000</f>
        <v>1.72</v>
      </c>
      <c r="K64" s="21">
        <f>I64*J64</f>
        <v>68.8</v>
      </c>
      <c r="L64" s="22">
        <f>F64^2/162</f>
        <v>0.8888888888888888</v>
      </c>
      <c r="M64" s="21">
        <f>K64*L64</f>
        <v>61.15555555555555</v>
      </c>
      <c r="N64" s="22">
        <f>M64/1000</f>
        <v>0.06115555555555555</v>
      </c>
      <c r="O64" s="13" t="inlineStr">
        <is>
          <t>Elevation count / plan length</t>
        </is>
      </c>
    </row>
    <row r="65">
      <c r="A65" s="13" t="n">
        <v>60</v>
      </c>
      <c r="B65" s="13" t="inlineStr">
        <is>
          <t>Shear Walls</t>
        </is>
      </c>
      <c r="C65" s="13" t="inlineStr">
        <is>
          <t>STR-013/014</t>
        </is>
      </c>
      <c r="D65" s="13" t="inlineStr">
        <is>
          <t>Emergency stair core CW-18 6th to 7th - vertical Y20@150 NF/FF</t>
        </is>
      </c>
      <c r="E65" s="19" t="inlineStr">
        <is>
          <t>V-Y20</t>
        </is>
      </c>
      <c r="F65" s="19" t="n">
        <v>20</v>
      </c>
      <c r="G65" s="19" t="n">
        <v>1</v>
      </c>
      <c r="H65" s="19">
        <f>2*(ROUNDUP(1300/150,0)+1)</f>
        <v>20.0</v>
      </c>
      <c r="I65" s="13">
        <f>G65*H65</f>
        <v>20.0</v>
      </c>
      <c r="J65" s="20">
        <f>(3300+40*20)/1000</f>
        <v>4.1</v>
      </c>
      <c r="K65" s="21">
        <f>I65*J65</f>
        <v>82.0</v>
      </c>
      <c r="L65" s="22">
        <f>F65^2/162</f>
        <v>2.4691358024691357</v>
      </c>
      <c r="M65" s="21">
        <f>K65*L65</f>
        <v>202.4691358024691</v>
      </c>
      <c r="N65" s="22">
        <f>M65/1000</f>
        <v>0.2024691358024691</v>
      </c>
      <c r="O65" s="13" t="inlineStr">
        <is>
          <t>Elevation / plan</t>
        </is>
      </c>
    </row>
    <row r="66">
      <c r="A66" s="13" t="n">
        <v>61</v>
      </c>
      <c r="B66" s="13" t="inlineStr">
        <is>
          <t>Shear Walls</t>
        </is>
      </c>
      <c r="C66" s="13" t="inlineStr">
        <is>
          <t>STR-013/014</t>
        </is>
      </c>
      <c r="D66" s="13" t="inlineStr">
        <is>
          <t>Emergency stair core CW-19 (L=1100mm) 6th to 7th - horizontal Y12@150 NF/FF</t>
        </is>
      </c>
      <c r="E66" s="19" t="inlineStr">
        <is>
          <t>H-Y12</t>
        </is>
      </c>
      <c r="F66" s="19" t="n">
        <v>12</v>
      </c>
      <c r="G66" s="19" t="n">
        <v>1</v>
      </c>
      <c r="H66" s="19">
        <f>2*20</f>
        <v>40.0</v>
      </c>
      <c r="I66" s="13">
        <f>G66*H66</f>
        <v>40.0</v>
      </c>
      <c r="J66" s="20">
        <f>(1100-2*30+40*12)/1000</f>
        <v>1.52</v>
      </c>
      <c r="K66" s="21">
        <f>I66*J66</f>
        <v>60.8</v>
      </c>
      <c r="L66" s="22">
        <f>F66^2/162</f>
        <v>0.8888888888888888</v>
      </c>
      <c r="M66" s="21">
        <f>K66*L66</f>
        <v>54.04444444444444</v>
      </c>
      <c r="N66" s="22">
        <f>M66/1000</f>
        <v>0.05404444444444444</v>
      </c>
      <c r="O66" s="13" t="inlineStr">
        <is>
          <t>Elevation count / plan length</t>
        </is>
      </c>
    </row>
    <row r="67">
      <c r="A67" s="13" t="n">
        <v>62</v>
      </c>
      <c r="B67" s="13" t="inlineStr">
        <is>
          <t>Shear Walls</t>
        </is>
      </c>
      <c r="C67" s="13" t="inlineStr">
        <is>
          <t>STR-013/014</t>
        </is>
      </c>
      <c r="D67" s="13" t="inlineStr">
        <is>
          <t>Emergency stair core CW-19 6th to 7th - vertical Y20@150 NF/FF</t>
        </is>
      </c>
      <c r="E67" s="19" t="inlineStr">
        <is>
          <t>V-Y20</t>
        </is>
      </c>
      <c r="F67" s="19" t="n">
        <v>20</v>
      </c>
      <c r="G67" s="19" t="n">
        <v>1</v>
      </c>
      <c r="H67" s="19">
        <f>2*(ROUNDUP(1100/150,0)+1)</f>
        <v>18.0</v>
      </c>
      <c r="I67" s="13">
        <f>G67*H67</f>
        <v>18.0</v>
      </c>
      <c r="J67" s="20">
        <f>(3300+40*20)/1000</f>
        <v>4.1</v>
      </c>
      <c r="K67" s="21">
        <f>I67*J67</f>
        <v>73.8</v>
      </c>
      <c r="L67" s="22">
        <f>F67^2/162</f>
        <v>2.4691358024691357</v>
      </c>
      <c r="M67" s="21">
        <f>K67*L67</f>
        <v>182.2222222222222</v>
      </c>
      <c r="N67" s="22">
        <f>M67/1000</f>
        <v>0.1822222222222222</v>
      </c>
      <c r="O67" s="13" t="inlineStr">
        <is>
          <t>Elevation / plan</t>
        </is>
      </c>
    </row>
    <row r="68">
      <c r="A68" s="13" t="n">
        <v>63</v>
      </c>
      <c r="B68" s="13" t="inlineStr">
        <is>
          <t>Shear Walls</t>
        </is>
      </c>
      <c r="C68" s="13" t="inlineStr">
        <is>
          <t>STR-013/014</t>
        </is>
      </c>
      <c r="D68" s="13" t="inlineStr">
        <is>
          <t>Emergency stair core CW-20 (L=1300mm) 6th to 7th - horizontal Y12@150 NF/FF</t>
        </is>
      </c>
      <c r="E68" s="19" t="inlineStr">
        <is>
          <t>H-Y12</t>
        </is>
      </c>
      <c r="F68" s="19" t="n">
        <v>12</v>
      </c>
      <c r="G68" s="19" t="n">
        <v>1</v>
      </c>
      <c r="H68" s="19">
        <f>2*20</f>
        <v>40.0</v>
      </c>
      <c r="I68" s="13">
        <f>G68*H68</f>
        <v>40.0</v>
      </c>
      <c r="J68" s="20">
        <f>(1300-2*30+40*12)/1000</f>
        <v>1.72</v>
      </c>
      <c r="K68" s="21">
        <f>I68*J68</f>
        <v>68.8</v>
      </c>
      <c r="L68" s="22">
        <f>F68^2/162</f>
        <v>0.8888888888888888</v>
      </c>
      <c r="M68" s="21">
        <f>K68*L68</f>
        <v>61.15555555555555</v>
      </c>
      <c r="N68" s="22">
        <f>M68/1000</f>
        <v>0.06115555555555555</v>
      </c>
      <c r="O68" s="13" t="inlineStr">
        <is>
          <t>Elevation count / plan length</t>
        </is>
      </c>
    </row>
    <row r="69">
      <c r="A69" s="13" t="n">
        <v>64</v>
      </c>
      <c r="B69" s="13" t="inlineStr">
        <is>
          <t>Shear Walls</t>
        </is>
      </c>
      <c r="C69" s="13" t="inlineStr">
        <is>
          <t>STR-013/014</t>
        </is>
      </c>
      <c r="D69" s="13" t="inlineStr">
        <is>
          <t>Emergency stair core CW-20 6th to 7th - vertical Y20@150 NF/FF</t>
        </is>
      </c>
      <c r="E69" s="19" t="inlineStr">
        <is>
          <t>V-Y20</t>
        </is>
      </c>
      <c r="F69" s="19" t="n">
        <v>20</v>
      </c>
      <c r="G69" s="19" t="n">
        <v>1</v>
      </c>
      <c r="H69" s="19">
        <f>2*(ROUNDUP(1300/150,0)+1)</f>
        <v>20.0</v>
      </c>
      <c r="I69" s="13">
        <f>G69*H69</f>
        <v>20.0</v>
      </c>
      <c r="J69" s="20">
        <f>(3300+40*20)/1000</f>
        <v>4.1</v>
      </c>
      <c r="K69" s="21">
        <f>I69*J69</f>
        <v>82.0</v>
      </c>
      <c r="L69" s="22">
        <f>F69^2/162</f>
        <v>2.4691358024691357</v>
      </c>
      <c r="M69" s="21">
        <f>K69*L69</f>
        <v>202.4691358024691</v>
      </c>
      <c r="N69" s="22">
        <f>M69/1000</f>
        <v>0.2024691358024691</v>
      </c>
      <c r="O69" s="13" t="inlineStr">
        <is>
          <t>Elevation / plan</t>
        </is>
      </c>
    </row>
    <row r="70">
      <c r="A70" s="13" t="n">
        <v>65</v>
      </c>
      <c r="B70" s="13" t="inlineStr">
        <is>
          <t>Shear Walls</t>
        </is>
      </c>
      <c r="C70" s="13" t="inlineStr">
        <is>
          <t>STR-013/014</t>
        </is>
      </c>
      <c r="D70" s="13" t="inlineStr">
        <is>
          <t>Emergency stair core confinement links Y10@150 (33 positions on plan) 6th to 7th</t>
        </is>
      </c>
      <c r="E70" s="19" t="inlineStr">
        <is>
          <t>LNK-Y10</t>
        </is>
      </c>
      <c r="F70" s="19" t="n">
        <v>10</v>
      </c>
      <c r="G70" s="19" t="n">
        <v>1</v>
      </c>
      <c r="H70" s="19">
        <f>33*ROUNDUP(3300/150,0)</f>
        <v>726.0</v>
      </c>
      <c r="I70" s="13">
        <f>G70*H70</f>
        <v>726.0</v>
      </c>
      <c r="J70" s="20">
        <f>1800/1000</f>
        <v>1.8</v>
      </c>
      <c r="K70" s="21">
        <f>I70*J70</f>
        <v>1306.8</v>
      </c>
      <c r="L70" s="22">
        <f>F70^2/162</f>
        <v>0.6172839506172839</v>
      </c>
      <c r="M70" s="21">
        <f>K70*L70</f>
        <v>806.6666666666666</v>
      </c>
      <c r="N70" s="22">
        <f>M70/1000</f>
        <v>0.8066666666666666</v>
      </c>
      <c r="O70" s="13" t="inlineStr">
        <is>
          <t>Assumed link cut length</t>
        </is>
      </c>
    </row>
    <row r="71">
      <c r="A71" s="13" t="n">
        <v>66</v>
      </c>
      <c r="B71" s="13" t="inlineStr">
        <is>
          <t>Lift Walls</t>
        </is>
      </c>
      <c r="C71" s="13" t="inlineStr">
        <is>
          <t>STR-015/017</t>
        </is>
      </c>
      <c r="D71" s="13" t="inlineStr">
        <is>
          <t>Main core (lift shafts) CW-02 (L=3600mm) 6th to 7th - horizontal Y12@150 NF/FF</t>
        </is>
      </c>
      <c r="E71" s="19" t="inlineStr">
        <is>
          <t>H-Y12</t>
        </is>
      </c>
      <c r="F71" s="19" t="n">
        <v>12</v>
      </c>
      <c r="G71" s="19" t="n">
        <v>1</v>
      </c>
      <c r="H71" s="19">
        <f>2*20</f>
        <v>40.0</v>
      </c>
      <c r="I71" s="13">
        <f>G71*H71</f>
        <v>40.0</v>
      </c>
      <c r="J71" s="20">
        <f>(3600-2*30+40*12)/1000</f>
        <v>4.02</v>
      </c>
      <c r="K71" s="21">
        <f>I71*J71</f>
        <v>160.79999999999998</v>
      </c>
      <c r="L71" s="22">
        <f>F71^2/162</f>
        <v>0.8888888888888888</v>
      </c>
      <c r="M71" s="21">
        <f>K71*L71</f>
        <v>142.9333333333333</v>
      </c>
      <c r="N71" s="22">
        <f>M71/1000</f>
        <v>0.1429333333333333</v>
      </c>
      <c r="O71" s="13" t="inlineStr">
        <is>
          <t>Elevation count / plan length</t>
        </is>
      </c>
    </row>
    <row r="72">
      <c r="A72" s="13" t="n">
        <v>67</v>
      </c>
      <c r="B72" s="13" t="inlineStr">
        <is>
          <t>Lift Walls</t>
        </is>
      </c>
      <c r="C72" s="13" t="inlineStr">
        <is>
          <t>STR-015/017</t>
        </is>
      </c>
      <c r="D72" s="13" t="inlineStr">
        <is>
          <t>Main core (lift shafts) CW-02 6th to 7th - vertical Y20@150 NF/FF</t>
        </is>
      </c>
      <c r="E72" s="19" t="inlineStr">
        <is>
          <t>V-Y20</t>
        </is>
      </c>
      <c r="F72" s="19" t="n">
        <v>20</v>
      </c>
      <c r="G72" s="19" t="n">
        <v>1</v>
      </c>
      <c r="H72" s="19">
        <f>2*29</f>
        <v>58.0</v>
      </c>
      <c r="I72" s="13">
        <f>G72*H72</f>
        <v>58.0</v>
      </c>
      <c r="J72" s="20">
        <f>(3300+40*20)/1000</f>
        <v>4.1</v>
      </c>
      <c r="K72" s="21">
        <f>I72*J72</f>
        <v>237.79999999999998</v>
      </c>
      <c r="L72" s="22">
        <f>F72^2/162</f>
        <v>2.4691358024691357</v>
      </c>
      <c r="M72" s="21">
        <f>K72*L72</f>
        <v>587.1604938271604</v>
      </c>
      <c r="N72" s="22">
        <f>M72/1000</f>
        <v>0.5871604938271604</v>
      </c>
      <c r="O72" s="13" t="inlineStr">
        <is>
          <t>Elevation / plan</t>
        </is>
      </c>
    </row>
    <row r="73">
      <c r="A73" s="13" t="n">
        <v>68</v>
      </c>
      <c r="B73" s="13" t="inlineStr">
        <is>
          <t>Lift Walls</t>
        </is>
      </c>
      <c r="C73" s="13" t="inlineStr">
        <is>
          <t>STR-015/017</t>
        </is>
      </c>
      <c r="D73" s="13" t="inlineStr">
        <is>
          <t>Main core (lift shafts) CW-03 (L=3600mm) 6th to 7th - horizontal Y12@150 NF/FF</t>
        </is>
      </c>
      <c r="E73" s="19" t="inlineStr">
        <is>
          <t>H-Y12</t>
        </is>
      </c>
      <c r="F73" s="19" t="n">
        <v>12</v>
      </c>
      <c r="G73" s="19" t="n">
        <v>1</v>
      </c>
      <c r="H73" s="19">
        <f>2*20</f>
        <v>40.0</v>
      </c>
      <c r="I73" s="13">
        <f>G73*H73</f>
        <v>40.0</v>
      </c>
      <c r="J73" s="20">
        <f>(3600-2*30+40*12)/1000</f>
        <v>4.02</v>
      </c>
      <c r="K73" s="21">
        <f>I73*J73</f>
        <v>160.79999999999998</v>
      </c>
      <c r="L73" s="22">
        <f>F73^2/162</f>
        <v>0.8888888888888888</v>
      </c>
      <c r="M73" s="21">
        <f>K73*L73</f>
        <v>142.9333333333333</v>
      </c>
      <c r="N73" s="22">
        <f>M73/1000</f>
        <v>0.1429333333333333</v>
      </c>
      <c r="O73" s="13" t="inlineStr">
        <is>
          <t>Elevation count / plan length</t>
        </is>
      </c>
    </row>
    <row r="74">
      <c r="A74" s="13" t="n">
        <v>69</v>
      </c>
      <c r="B74" s="13" t="inlineStr">
        <is>
          <t>Lift Walls</t>
        </is>
      </c>
      <c r="C74" s="13" t="inlineStr">
        <is>
          <t>STR-015/017</t>
        </is>
      </c>
      <c r="D74" s="13" t="inlineStr">
        <is>
          <t>Main core (lift shafts) CW-03 6th to 7th - vertical Y20@150 NF/FF</t>
        </is>
      </c>
      <c r="E74" s="19" t="inlineStr">
        <is>
          <t>V-Y20</t>
        </is>
      </c>
      <c r="F74" s="19" t="n">
        <v>20</v>
      </c>
      <c r="G74" s="19" t="n">
        <v>1</v>
      </c>
      <c r="H74" s="19">
        <f>2*29</f>
        <v>58.0</v>
      </c>
      <c r="I74" s="13">
        <f>G74*H74</f>
        <v>58.0</v>
      </c>
      <c r="J74" s="20">
        <f>(3300+40*20)/1000</f>
        <v>4.1</v>
      </c>
      <c r="K74" s="21">
        <f>I74*J74</f>
        <v>237.79999999999998</v>
      </c>
      <c r="L74" s="22">
        <f>F74^2/162</f>
        <v>2.4691358024691357</v>
      </c>
      <c r="M74" s="21">
        <f>K74*L74</f>
        <v>587.1604938271604</v>
      </c>
      <c r="N74" s="22">
        <f>M74/1000</f>
        <v>0.5871604938271604</v>
      </c>
      <c r="O74" s="13" t="inlineStr">
        <is>
          <t>Elevation / plan</t>
        </is>
      </c>
    </row>
    <row r="75">
      <c r="A75" s="13" t="n">
        <v>70</v>
      </c>
      <c r="B75" s="13" t="inlineStr">
        <is>
          <t>Lift Walls</t>
        </is>
      </c>
      <c r="C75" s="13" t="inlineStr">
        <is>
          <t>STR-015/017</t>
        </is>
      </c>
      <c r="D75" s="13" t="inlineStr">
        <is>
          <t>Main core (lift shafts) CW-04 (L=3600mm) 6th to 7th - horizontal Y12@150 NF/FF</t>
        </is>
      </c>
      <c r="E75" s="19" t="inlineStr">
        <is>
          <t>H-Y12</t>
        </is>
      </c>
      <c r="F75" s="19" t="n">
        <v>12</v>
      </c>
      <c r="G75" s="19" t="n">
        <v>1</v>
      </c>
      <c r="H75" s="19">
        <f>2*20</f>
        <v>40.0</v>
      </c>
      <c r="I75" s="13">
        <f>G75*H75</f>
        <v>40.0</v>
      </c>
      <c r="J75" s="20">
        <f>(3600-2*30+40*12)/1000</f>
        <v>4.02</v>
      </c>
      <c r="K75" s="21">
        <f>I75*J75</f>
        <v>160.79999999999998</v>
      </c>
      <c r="L75" s="22">
        <f>F75^2/162</f>
        <v>0.8888888888888888</v>
      </c>
      <c r="M75" s="21">
        <f>K75*L75</f>
        <v>142.9333333333333</v>
      </c>
      <c r="N75" s="22">
        <f>M75/1000</f>
        <v>0.1429333333333333</v>
      </c>
      <c r="O75" s="13" t="inlineStr">
        <is>
          <t>Elevation count / plan length</t>
        </is>
      </c>
    </row>
    <row r="76">
      <c r="A76" s="13" t="n">
        <v>71</v>
      </c>
      <c r="B76" s="13" t="inlineStr">
        <is>
          <t>Lift Walls</t>
        </is>
      </c>
      <c r="C76" s="13" t="inlineStr">
        <is>
          <t>STR-015/017</t>
        </is>
      </c>
      <c r="D76" s="13" t="inlineStr">
        <is>
          <t>Main core (lift shafts) CW-04 6th to 7th - vertical Y20@150 NF/FF</t>
        </is>
      </c>
      <c r="E76" s="19" t="inlineStr">
        <is>
          <t>V-Y20</t>
        </is>
      </c>
      <c r="F76" s="19" t="n">
        <v>20</v>
      </c>
      <c r="G76" s="19" t="n">
        <v>1</v>
      </c>
      <c r="H76" s="19">
        <f>2*29</f>
        <v>58.0</v>
      </c>
      <c r="I76" s="13">
        <f>G76*H76</f>
        <v>58.0</v>
      </c>
      <c r="J76" s="20">
        <f>(3300+40*20)/1000</f>
        <v>4.1</v>
      </c>
      <c r="K76" s="21">
        <f>I76*J76</f>
        <v>237.79999999999998</v>
      </c>
      <c r="L76" s="22">
        <f>F76^2/162</f>
        <v>2.4691358024691357</v>
      </c>
      <c r="M76" s="21">
        <f>K76*L76</f>
        <v>587.1604938271604</v>
      </c>
      <c r="N76" s="22">
        <f>M76/1000</f>
        <v>0.5871604938271604</v>
      </c>
      <c r="O76" s="13" t="inlineStr">
        <is>
          <t>Elevation / plan</t>
        </is>
      </c>
    </row>
    <row r="77">
      <c r="A77" s="13" t="n">
        <v>72</v>
      </c>
      <c r="B77" s="13" t="inlineStr">
        <is>
          <t>Lift Walls</t>
        </is>
      </c>
      <c r="C77" s="13" t="inlineStr">
        <is>
          <t>STR-015/017</t>
        </is>
      </c>
      <c r="D77" s="13" t="inlineStr">
        <is>
          <t>Main core (lift shafts) CW-06 (L=2025mm) 6th to 7th - horizontal Y12@150 NF/FF</t>
        </is>
      </c>
      <c r="E77" s="19" t="inlineStr">
        <is>
          <t>H-Y12</t>
        </is>
      </c>
      <c r="F77" s="19" t="n">
        <v>12</v>
      </c>
      <c r="G77" s="19" t="n">
        <v>1</v>
      </c>
      <c r="H77" s="19">
        <f>2*20</f>
        <v>40.0</v>
      </c>
      <c r="I77" s="13">
        <f>G77*H77</f>
        <v>40.0</v>
      </c>
      <c r="J77" s="20">
        <f>(2025-2*30+40*12)/1000</f>
        <v>2.445</v>
      </c>
      <c r="K77" s="21">
        <f>I77*J77</f>
        <v>97.8</v>
      </c>
      <c r="L77" s="22">
        <f>F77^2/162</f>
        <v>0.8888888888888888</v>
      </c>
      <c r="M77" s="21">
        <f>K77*L77</f>
        <v>86.93333333333332</v>
      </c>
      <c r="N77" s="22">
        <f>M77/1000</f>
        <v>0.08693333333333332</v>
      </c>
      <c r="O77" s="13" t="inlineStr">
        <is>
          <t>Elevation count / plan length</t>
        </is>
      </c>
    </row>
    <row r="78">
      <c r="A78" s="13" t="n">
        <v>73</v>
      </c>
      <c r="B78" s="13" t="inlineStr">
        <is>
          <t>Lift Walls</t>
        </is>
      </c>
      <c r="C78" s="13" t="inlineStr">
        <is>
          <t>STR-015/017</t>
        </is>
      </c>
      <c r="D78" s="13" t="inlineStr">
        <is>
          <t>Main core (lift shafts) CW-06 6th to 7th - vertical Y20@150 NF/FF</t>
        </is>
      </c>
      <c r="E78" s="19" t="inlineStr">
        <is>
          <t>V-Y20</t>
        </is>
      </c>
      <c r="F78" s="19" t="n">
        <v>20</v>
      </c>
      <c r="G78" s="19" t="n">
        <v>1</v>
      </c>
      <c r="H78" s="19">
        <f>2*(ROUNDUP(2025/150,0)+1)</f>
        <v>30.0</v>
      </c>
      <c r="I78" s="13">
        <f>G78*H78</f>
        <v>30.0</v>
      </c>
      <c r="J78" s="20">
        <f>(3300+40*20)/1000</f>
        <v>4.1</v>
      </c>
      <c r="K78" s="21">
        <f>I78*J78</f>
        <v>122.99999999999999</v>
      </c>
      <c r="L78" s="22">
        <f>F78^2/162</f>
        <v>2.4691358024691357</v>
      </c>
      <c r="M78" s="21">
        <f>K78*L78</f>
        <v>303.70370370370364</v>
      </c>
      <c r="N78" s="22">
        <f>M78/1000</f>
        <v>0.30370370370370364</v>
      </c>
      <c r="O78" s="13" t="inlineStr">
        <is>
          <t>Elevation / plan</t>
        </is>
      </c>
    </row>
    <row r="79">
      <c r="A79" s="13" t="n">
        <v>74</v>
      </c>
      <c r="B79" s="13" t="inlineStr">
        <is>
          <t>Lift Walls</t>
        </is>
      </c>
      <c r="C79" s="13" t="inlineStr">
        <is>
          <t>STR-015/017</t>
        </is>
      </c>
      <c r="D79" s="13" t="inlineStr">
        <is>
          <t>Main core (lift shafts) CW-08 (L=4500mm) 6th to 7th - horizontal Y12@150 NF/FF</t>
        </is>
      </c>
      <c r="E79" s="19" t="inlineStr">
        <is>
          <t>H-Y12</t>
        </is>
      </c>
      <c r="F79" s="19" t="n">
        <v>12</v>
      </c>
      <c r="G79" s="19" t="n">
        <v>1</v>
      </c>
      <c r="H79" s="19">
        <f>2*20</f>
        <v>40.0</v>
      </c>
      <c r="I79" s="13">
        <f>G79*H79</f>
        <v>40.0</v>
      </c>
      <c r="J79" s="20">
        <f>(4500-2*30+40*12)/1000</f>
        <v>4.92</v>
      </c>
      <c r="K79" s="21">
        <f>I79*J79</f>
        <v>196.8</v>
      </c>
      <c r="L79" s="22">
        <f>F79^2/162</f>
        <v>0.8888888888888888</v>
      </c>
      <c r="M79" s="21">
        <f>K79*L79</f>
        <v>174.93333333333334</v>
      </c>
      <c r="N79" s="22">
        <f>M79/1000</f>
        <v>0.17493333333333333</v>
      </c>
      <c r="O79" s="13" t="inlineStr">
        <is>
          <t>Elevation count / plan length</t>
        </is>
      </c>
    </row>
    <row r="80">
      <c r="A80" s="13" t="n">
        <v>75</v>
      </c>
      <c r="B80" s="13" t="inlineStr">
        <is>
          <t>Lift Walls</t>
        </is>
      </c>
      <c r="C80" s="13" t="inlineStr">
        <is>
          <t>STR-015/017</t>
        </is>
      </c>
      <c r="D80" s="13" t="inlineStr">
        <is>
          <t>Main core (lift shafts) CW-08 6th to 7th - vertical Y20@150 NF/FF</t>
        </is>
      </c>
      <c r="E80" s="19" t="inlineStr">
        <is>
          <t>V-Y20</t>
        </is>
      </c>
      <c r="F80" s="19" t="n">
        <v>20</v>
      </c>
      <c r="G80" s="19" t="n">
        <v>1</v>
      </c>
      <c r="H80" s="19">
        <f>2*(ROUNDUP(4500/150,0)+1)</f>
        <v>62.0</v>
      </c>
      <c r="I80" s="13">
        <f>G80*H80</f>
        <v>62.0</v>
      </c>
      <c r="J80" s="20">
        <f>(3300+40*20)/1000</f>
        <v>4.1</v>
      </c>
      <c r="K80" s="21">
        <f>I80*J80</f>
        <v>254.2</v>
      </c>
      <c r="L80" s="22">
        <f>F80^2/162</f>
        <v>2.4691358024691357</v>
      </c>
      <c r="M80" s="21">
        <f>K80*L80</f>
        <v>627.6543209876543</v>
      </c>
      <c r="N80" s="22">
        <f>M80/1000</f>
        <v>0.6276543209876543</v>
      </c>
      <c r="O80" s="13" t="inlineStr">
        <is>
          <t>Elevation / plan</t>
        </is>
      </c>
    </row>
    <row r="81">
      <c r="A81" s="13" t="n">
        <v>76</v>
      </c>
      <c r="B81" s="13" t="inlineStr">
        <is>
          <t>Lift Walls</t>
        </is>
      </c>
      <c r="C81" s="13" t="inlineStr">
        <is>
          <t>STR-015/017</t>
        </is>
      </c>
      <c r="D81" s="13" t="inlineStr">
        <is>
          <t>Main core (lift shafts) CW-07 (lift section) (L=4500mm) 6th to 7th - horizontal Y12@150 NF/FF</t>
        </is>
      </c>
      <c r="E81" s="19" t="inlineStr">
        <is>
          <t>H-Y12</t>
        </is>
      </c>
      <c r="F81" s="19" t="n">
        <v>12</v>
      </c>
      <c r="G81" s="19" t="n">
        <v>1</v>
      </c>
      <c r="H81" s="19">
        <f>2*20</f>
        <v>40.0</v>
      </c>
      <c r="I81" s="13">
        <f>G81*H81</f>
        <v>40.0</v>
      </c>
      <c r="J81" s="20">
        <f>(4500-2*30+40*12)/1000</f>
        <v>4.92</v>
      </c>
      <c r="K81" s="21">
        <f>I81*J81</f>
        <v>196.8</v>
      </c>
      <c r="L81" s="22">
        <f>F81^2/162</f>
        <v>0.8888888888888888</v>
      </c>
      <c r="M81" s="21">
        <f>K81*L81</f>
        <v>174.93333333333334</v>
      </c>
      <c r="N81" s="22">
        <f>M81/1000</f>
        <v>0.17493333333333333</v>
      </c>
      <c r="O81" s="13" t="inlineStr">
        <is>
          <t>Elevation count / plan length</t>
        </is>
      </c>
    </row>
    <row r="82">
      <c r="A82" s="13" t="n">
        <v>77</v>
      </c>
      <c r="B82" s="13" t="inlineStr">
        <is>
          <t>Lift Walls</t>
        </is>
      </c>
      <c r="C82" s="13" t="inlineStr">
        <is>
          <t>STR-015/017</t>
        </is>
      </c>
      <c r="D82" s="13" t="inlineStr">
        <is>
          <t>Main core (lift shafts) CW-07 (lift section) 6th to 7th - vertical Y20@150 NF/FF</t>
        </is>
      </c>
      <c r="E82" s="19" t="inlineStr">
        <is>
          <t>V-Y20</t>
        </is>
      </c>
      <c r="F82" s="19" t="n">
        <v>20</v>
      </c>
      <c r="G82" s="19" t="n">
        <v>1</v>
      </c>
      <c r="H82" s="19">
        <f>2*(ROUNDUP(4500/150,0)+1)</f>
        <v>62.0</v>
      </c>
      <c r="I82" s="13">
        <f>G82*H82</f>
        <v>62.0</v>
      </c>
      <c r="J82" s="20">
        <f>(3300+40*20)/1000</f>
        <v>4.1</v>
      </c>
      <c r="K82" s="21">
        <f>I82*J82</f>
        <v>254.2</v>
      </c>
      <c r="L82" s="22">
        <f>F82^2/162</f>
        <v>2.4691358024691357</v>
      </c>
      <c r="M82" s="21">
        <f>K82*L82</f>
        <v>627.6543209876543</v>
      </c>
      <c r="N82" s="22">
        <f>M82/1000</f>
        <v>0.6276543209876543</v>
      </c>
      <c r="O82" s="13" t="inlineStr">
        <is>
          <t>Elevation / plan</t>
        </is>
      </c>
    </row>
    <row r="83">
      <c r="A83" s="13" t="n">
        <v>78</v>
      </c>
      <c r="B83" s="13" t="inlineStr">
        <is>
          <t>Lift Walls</t>
        </is>
      </c>
      <c r="C83" s="13" t="inlineStr">
        <is>
          <t>STR-015/017</t>
        </is>
      </c>
      <c r="D83" s="13" t="inlineStr">
        <is>
          <t>Main core (lift shafts) confinement links Y10@150 (26 positions on plan) 6th to 7th</t>
        </is>
      </c>
      <c r="E83" s="19" t="inlineStr">
        <is>
          <t>LNK-Y10</t>
        </is>
      </c>
      <c r="F83" s="19" t="n">
        <v>10</v>
      </c>
      <c r="G83" s="19" t="n">
        <v>1</v>
      </c>
      <c r="H83" s="19">
        <f>26*ROUNDUP(3300/150,0)</f>
        <v>572.0</v>
      </c>
      <c r="I83" s="13">
        <f>G83*H83</f>
        <v>572.0</v>
      </c>
      <c r="J83" s="20">
        <f>1800/1000</f>
        <v>1.8</v>
      </c>
      <c r="K83" s="21">
        <f>I83*J83</f>
        <v>1029.6000000000001</v>
      </c>
      <c r="L83" s="22">
        <f>F83^2/162</f>
        <v>0.6172839506172839</v>
      </c>
      <c r="M83" s="21">
        <f>K83*L83</f>
        <v>635.5555555555557</v>
      </c>
      <c r="N83" s="22">
        <f>M83/1000</f>
        <v>0.6355555555555557</v>
      </c>
      <c r="O83" s="13" t="inlineStr">
        <is>
          <t>Assumed link cut length</t>
        </is>
      </c>
    </row>
    <row r="84">
      <c r="A84" s="13" t="n">
        <v>79</v>
      </c>
      <c r="B84" s="13" t="inlineStr">
        <is>
          <t>Beams</t>
        </is>
      </c>
      <c r="C84" s="13" t="inlineStr">
        <is>
          <t>STR-078</t>
        </is>
      </c>
      <c r="D84" s="13" t="inlineStr">
        <is>
          <t>Typical 4th-8th floor beams (sheet 1 of 2)</t>
        </is>
      </c>
      <c r="E84" s="19" t="inlineStr">
        <is>
          <t>1001</t>
        </is>
      </c>
      <c r="F84" s="19" t="n">
        <v>10</v>
      </c>
      <c r="G84" s="19" t="n">
        <v>1</v>
      </c>
      <c r="H84" s="19" t="n">
        <v>876</v>
      </c>
      <c r="I84" s="13">
        <f>G84*H84</f>
        <v>876.0</v>
      </c>
      <c r="J84" s="20">
        <f>1700/1000</f>
        <v>1.7</v>
      </c>
      <c r="K84" s="21">
        <f>I84*J84</f>
        <v>1489.2</v>
      </c>
      <c r="L84" s="22">
        <f>F84^2/162</f>
        <v>0.6172839506172839</v>
      </c>
      <c r="M84" s="21">
        <f>K84*L84</f>
        <v>919.2592592592592</v>
      </c>
      <c r="N84" s="22">
        <f>M84/1000</f>
        <v>0.9192592592592592</v>
      </c>
      <c r="O84" s="13" t="inlineStr">
        <is>
          <t>BBS</t>
        </is>
      </c>
    </row>
    <row r="85">
      <c r="A85" s="13" t="n">
        <v>80</v>
      </c>
      <c r="B85" s="13" t="inlineStr">
        <is>
          <t>Beams</t>
        </is>
      </c>
      <c r="C85" s="13" t="inlineStr">
        <is>
          <t>STR-078</t>
        </is>
      </c>
      <c r="D85" s="13" t="inlineStr">
        <is>
          <t>Typical 4th-8th floor beams (sheet 1 of 2)</t>
        </is>
      </c>
      <c r="E85" s="19" t="inlineStr">
        <is>
          <t>1002</t>
        </is>
      </c>
      <c r="F85" s="19" t="n">
        <v>10</v>
      </c>
      <c r="G85" s="19" t="n">
        <v>1</v>
      </c>
      <c r="H85" s="19" t="n">
        <v>270</v>
      </c>
      <c r="I85" s="13">
        <f>G85*H85</f>
        <v>270.0</v>
      </c>
      <c r="J85" s="20">
        <f>1500/1000</f>
        <v>1.5</v>
      </c>
      <c r="K85" s="21">
        <f>I85*J85</f>
        <v>405.0</v>
      </c>
      <c r="L85" s="22">
        <f>F85^2/162</f>
        <v>0.6172839506172839</v>
      </c>
      <c r="M85" s="21">
        <f>K85*L85</f>
        <v>250.0</v>
      </c>
      <c r="N85" s="22">
        <f>M85/1000</f>
        <v>0.25</v>
      </c>
      <c r="O85" s="13" t="inlineStr">
        <is>
          <t>BBS</t>
        </is>
      </c>
    </row>
    <row r="86">
      <c r="A86" s="13" t="n">
        <v>81</v>
      </c>
      <c r="B86" s="13" t="inlineStr">
        <is>
          <t>Beams</t>
        </is>
      </c>
      <c r="C86" s="13" t="inlineStr">
        <is>
          <t>STR-078</t>
        </is>
      </c>
      <c r="D86" s="13" t="inlineStr">
        <is>
          <t>Typical 4th-8th floor beams (sheet 1 of 2)</t>
        </is>
      </c>
      <c r="E86" s="19" t="inlineStr">
        <is>
          <t>1601</t>
        </is>
      </c>
      <c r="F86" s="19" t="n">
        <v>16</v>
      </c>
      <c r="G86" s="19" t="n">
        <v>1</v>
      </c>
      <c r="H86" s="19" t="n">
        <v>12</v>
      </c>
      <c r="I86" s="13">
        <f>G86*H86</f>
        <v>12.0</v>
      </c>
      <c r="J86" s="20">
        <f>12000/1000</f>
        <v>12.0</v>
      </c>
      <c r="K86" s="21">
        <f>I86*J86</f>
        <v>144.0</v>
      </c>
      <c r="L86" s="22">
        <f>F86^2/162</f>
        <v>1.5802469135802468</v>
      </c>
      <c r="M86" s="21">
        <f>K86*L86</f>
        <v>227.55555555555554</v>
      </c>
      <c r="N86" s="22">
        <f>M86/1000</f>
        <v>0.22755555555555554</v>
      </c>
      <c r="O86" s="13" t="inlineStr">
        <is>
          <t>BBS</t>
        </is>
      </c>
    </row>
    <row r="87">
      <c r="A87" s="13" t="n">
        <v>82</v>
      </c>
      <c r="B87" s="13" t="inlineStr">
        <is>
          <t>Beams</t>
        </is>
      </c>
      <c r="C87" s="13" t="inlineStr">
        <is>
          <t>STR-078</t>
        </is>
      </c>
      <c r="D87" s="13" t="inlineStr">
        <is>
          <t>Typical 4th-8th floor beams (sheet 1 of 2)</t>
        </is>
      </c>
      <c r="E87" s="19" t="inlineStr">
        <is>
          <t>1602</t>
        </is>
      </c>
      <c r="F87" s="19" t="n">
        <v>16</v>
      </c>
      <c r="G87" s="19" t="n">
        <v>1</v>
      </c>
      <c r="H87" s="19" t="n">
        <v>2</v>
      </c>
      <c r="I87" s="13">
        <f>G87*H87</f>
        <v>2.0</v>
      </c>
      <c r="J87" s="20">
        <f>7275/1000</f>
        <v>7.275</v>
      </c>
      <c r="K87" s="21">
        <f>I87*J87</f>
        <v>14.55</v>
      </c>
      <c r="L87" s="22">
        <f>F87^2/162</f>
        <v>1.5802469135802468</v>
      </c>
      <c r="M87" s="21">
        <f>K87*L87</f>
        <v>22.992592592592594</v>
      </c>
      <c r="N87" s="22">
        <f>M87/1000</f>
        <v>0.022992592592592592</v>
      </c>
      <c r="O87" s="13" t="inlineStr">
        <is>
          <t>BBS</t>
        </is>
      </c>
    </row>
    <row r="88">
      <c r="A88" s="13" t="n">
        <v>83</v>
      </c>
      <c r="B88" s="13" t="inlineStr">
        <is>
          <t>Beams</t>
        </is>
      </c>
      <c r="C88" s="13" t="inlineStr">
        <is>
          <t>STR-078</t>
        </is>
      </c>
      <c r="D88" s="13" t="inlineStr">
        <is>
          <t>Typical 4th-8th floor beams (sheet 1 of 2)</t>
        </is>
      </c>
      <c r="E88" s="19" t="inlineStr">
        <is>
          <t>1603</t>
        </is>
      </c>
      <c r="F88" s="19" t="n">
        <v>16</v>
      </c>
      <c r="G88" s="19" t="n">
        <v>1</v>
      </c>
      <c r="H88" s="19" t="n">
        <v>4</v>
      </c>
      <c r="I88" s="13">
        <f>G88*H88</f>
        <v>4.0</v>
      </c>
      <c r="J88" s="20">
        <f>7850/1000</f>
        <v>7.85</v>
      </c>
      <c r="K88" s="21">
        <f>I88*J88</f>
        <v>31.4</v>
      </c>
      <c r="L88" s="22">
        <f>F88^2/162</f>
        <v>1.5802469135802468</v>
      </c>
      <c r="M88" s="21">
        <f>K88*L88</f>
        <v>49.61975308641975</v>
      </c>
      <c r="N88" s="22">
        <f>M88/1000</f>
        <v>0.04961975308641975</v>
      </c>
      <c r="O88" s="13" t="inlineStr">
        <is>
          <t>BBS</t>
        </is>
      </c>
    </row>
    <row r="89">
      <c r="A89" s="13" t="n">
        <v>84</v>
      </c>
      <c r="B89" s="13" t="inlineStr">
        <is>
          <t>Beams</t>
        </is>
      </c>
      <c r="C89" s="13" t="inlineStr">
        <is>
          <t>STR-078</t>
        </is>
      </c>
      <c r="D89" s="13" t="inlineStr">
        <is>
          <t>Typical 4th-8th floor beams (sheet 1 of 2)</t>
        </is>
      </c>
      <c r="E89" s="19" t="inlineStr">
        <is>
          <t>1604</t>
        </is>
      </c>
      <c r="F89" s="19" t="n">
        <v>16</v>
      </c>
      <c r="G89" s="19" t="n">
        <v>1</v>
      </c>
      <c r="H89" s="19" t="n">
        <v>4</v>
      </c>
      <c r="I89" s="13">
        <f>G89*H89</f>
        <v>4.0</v>
      </c>
      <c r="J89" s="20">
        <f>7400/1000</f>
        <v>7.4</v>
      </c>
      <c r="K89" s="21">
        <f>I89*J89</f>
        <v>29.6</v>
      </c>
      <c r="L89" s="22">
        <f>F89^2/162</f>
        <v>1.5802469135802468</v>
      </c>
      <c r="M89" s="21">
        <f>K89*L89</f>
        <v>46.77530864197531</v>
      </c>
      <c r="N89" s="22">
        <f>M89/1000</f>
        <v>0.04677530864197531</v>
      </c>
      <c r="O89" s="13" t="inlineStr">
        <is>
          <t>BBS</t>
        </is>
      </c>
    </row>
    <row r="90">
      <c r="A90" s="13" t="n">
        <v>85</v>
      </c>
      <c r="B90" s="13" t="inlineStr">
        <is>
          <t>Beams</t>
        </is>
      </c>
      <c r="C90" s="13" t="inlineStr">
        <is>
          <t>STR-078</t>
        </is>
      </c>
      <c r="D90" s="13" t="inlineStr">
        <is>
          <t>Typical 4th-8th floor beams (sheet 1 of 2)</t>
        </is>
      </c>
      <c r="E90" s="19" t="inlineStr">
        <is>
          <t>1605</t>
        </is>
      </c>
      <c r="F90" s="19" t="n">
        <v>16</v>
      </c>
      <c r="G90" s="19" t="n">
        <v>1</v>
      </c>
      <c r="H90" s="19" t="n">
        <v>3</v>
      </c>
      <c r="I90" s="13">
        <f>G90*H90</f>
        <v>3.0</v>
      </c>
      <c r="J90" s="20">
        <f>8900/1000</f>
        <v>8.9</v>
      </c>
      <c r="K90" s="21">
        <f>I90*J90</f>
        <v>26.700000000000003</v>
      </c>
      <c r="L90" s="22">
        <f>F90^2/162</f>
        <v>1.5802469135802468</v>
      </c>
      <c r="M90" s="21">
        <f>K90*L90</f>
        <v>42.1925925925926</v>
      </c>
      <c r="N90" s="22">
        <f>M90/1000</f>
        <v>0.042192592592592594</v>
      </c>
      <c r="O90" s="13" t="inlineStr">
        <is>
          <t>BBS</t>
        </is>
      </c>
    </row>
    <row r="91">
      <c r="A91" s="13" t="n">
        <v>86</v>
      </c>
      <c r="B91" s="13" t="inlineStr">
        <is>
          <t>Beams</t>
        </is>
      </c>
      <c r="C91" s="13" t="inlineStr">
        <is>
          <t>STR-078</t>
        </is>
      </c>
      <c r="D91" s="13" t="inlineStr">
        <is>
          <t>Typical 4th-8th floor beams (sheet 1 of 2)</t>
        </is>
      </c>
      <c r="E91" s="19" t="inlineStr">
        <is>
          <t>1606</t>
        </is>
      </c>
      <c r="F91" s="19" t="n">
        <v>16</v>
      </c>
      <c r="G91" s="19" t="n">
        <v>1</v>
      </c>
      <c r="H91" s="19" t="n">
        <v>3</v>
      </c>
      <c r="I91" s="13">
        <f>G91*H91</f>
        <v>3.0</v>
      </c>
      <c r="J91" s="20">
        <f>5600/1000</f>
        <v>5.6</v>
      </c>
      <c r="K91" s="21">
        <f>I91*J91</f>
        <v>16.799999999999997</v>
      </c>
      <c r="L91" s="22">
        <f>F91^2/162</f>
        <v>1.5802469135802468</v>
      </c>
      <c r="M91" s="21">
        <f>K91*L91</f>
        <v>26.548148148148144</v>
      </c>
      <c r="N91" s="22">
        <f>M91/1000</f>
        <v>0.026548148148148144</v>
      </c>
      <c r="O91" s="13" t="inlineStr">
        <is>
          <t>BBS</t>
        </is>
      </c>
    </row>
    <row r="92">
      <c r="A92" s="13" t="n">
        <v>87</v>
      </c>
      <c r="B92" s="13" t="inlineStr">
        <is>
          <t>Beams</t>
        </is>
      </c>
      <c r="C92" s="13" t="inlineStr">
        <is>
          <t>STR-078</t>
        </is>
      </c>
      <c r="D92" s="13" t="inlineStr">
        <is>
          <t>Typical 4th-8th floor beams (sheet 1 of 2)</t>
        </is>
      </c>
      <c r="E92" s="19" t="inlineStr">
        <is>
          <t>1607</t>
        </is>
      </c>
      <c r="F92" s="19" t="n">
        <v>16</v>
      </c>
      <c r="G92" s="19" t="n">
        <v>1</v>
      </c>
      <c r="H92" s="19" t="n">
        <v>3</v>
      </c>
      <c r="I92" s="13">
        <f>G92*H92</f>
        <v>3.0</v>
      </c>
      <c r="J92" s="20">
        <f>9300/1000</f>
        <v>9.3</v>
      </c>
      <c r="K92" s="21">
        <f>I92*J92</f>
        <v>27.900000000000002</v>
      </c>
      <c r="L92" s="22">
        <f>F92^2/162</f>
        <v>1.5802469135802468</v>
      </c>
      <c r="M92" s="21">
        <f>K92*L92</f>
        <v>44.08888888888889</v>
      </c>
      <c r="N92" s="22">
        <f>M92/1000</f>
        <v>0.044088888888888886</v>
      </c>
      <c r="O92" s="13" t="inlineStr">
        <is>
          <t>BBS</t>
        </is>
      </c>
    </row>
    <row r="93">
      <c r="A93" s="13" t="n">
        <v>88</v>
      </c>
      <c r="B93" s="13" t="inlineStr">
        <is>
          <t>Beams</t>
        </is>
      </c>
      <c r="C93" s="13" t="inlineStr">
        <is>
          <t>STR-078</t>
        </is>
      </c>
      <c r="D93" s="13" t="inlineStr">
        <is>
          <t>Typical 4th-8th floor beams (sheet 1 of 2)</t>
        </is>
      </c>
      <c r="E93" s="19" t="inlineStr">
        <is>
          <t>1608</t>
        </is>
      </c>
      <c r="F93" s="19" t="n">
        <v>16</v>
      </c>
      <c r="G93" s="19" t="n">
        <v>1</v>
      </c>
      <c r="H93" s="19" t="n">
        <v>4</v>
      </c>
      <c r="I93" s="13">
        <f>G93*H93</f>
        <v>4.0</v>
      </c>
      <c r="J93" s="20">
        <f>10300/1000</f>
        <v>10.3</v>
      </c>
      <c r="K93" s="21">
        <f>I93*J93</f>
        <v>41.2</v>
      </c>
      <c r="L93" s="22">
        <f>F93^2/162</f>
        <v>1.5802469135802468</v>
      </c>
      <c r="M93" s="21">
        <f>K93*L93</f>
        <v>65.10617283950617</v>
      </c>
      <c r="N93" s="22">
        <f>M93/1000</f>
        <v>0.06510617283950618</v>
      </c>
      <c r="O93" s="13" t="inlineStr">
        <is>
          <t>BBS</t>
        </is>
      </c>
    </row>
    <row r="94">
      <c r="A94" s="13" t="n">
        <v>89</v>
      </c>
      <c r="B94" s="13" t="inlineStr">
        <is>
          <t>Beams</t>
        </is>
      </c>
      <c r="C94" s="13" t="inlineStr">
        <is>
          <t>STR-078</t>
        </is>
      </c>
      <c r="D94" s="13" t="inlineStr">
        <is>
          <t>Typical 4th-8th floor beams (sheet 1 of 2)</t>
        </is>
      </c>
      <c r="E94" s="19" t="inlineStr">
        <is>
          <t>1609</t>
        </is>
      </c>
      <c r="F94" s="19" t="n">
        <v>16</v>
      </c>
      <c r="G94" s="19" t="n">
        <v>1</v>
      </c>
      <c r="H94" s="19" t="n">
        <v>2</v>
      </c>
      <c r="I94" s="13">
        <f>G94*H94</f>
        <v>2.0</v>
      </c>
      <c r="J94" s="20">
        <f>10850/1000</f>
        <v>10.85</v>
      </c>
      <c r="K94" s="21">
        <f>I94*J94</f>
        <v>21.7</v>
      </c>
      <c r="L94" s="22">
        <f>F94^2/162</f>
        <v>1.5802469135802468</v>
      </c>
      <c r="M94" s="21">
        <f>K94*L94</f>
        <v>34.291358024691355</v>
      </c>
      <c r="N94" s="22">
        <f>M94/1000</f>
        <v>0.034291358024691354</v>
      </c>
      <c r="O94" s="13" t="inlineStr">
        <is>
          <t>BBS</t>
        </is>
      </c>
    </row>
    <row r="95">
      <c r="A95" s="13" t="n">
        <v>90</v>
      </c>
      <c r="B95" s="13" t="inlineStr">
        <is>
          <t>Beams</t>
        </is>
      </c>
      <c r="C95" s="13" t="inlineStr">
        <is>
          <t>STR-078</t>
        </is>
      </c>
      <c r="D95" s="13" t="inlineStr">
        <is>
          <t>Typical 4th-8th floor beams (sheet 1 of 2)</t>
        </is>
      </c>
      <c r="E95" s="19" t="inlineStr">
        <is>
          <t>1610</t>
        </is>
      </c>
      <c r="F95" s="19" t="n">
        <v>16</v>
      </c>
      <c r="G95" s="19" t="n">
        <v>1</v>
      </c>
      <c r="H95" s="19" t="n">
        <v>2</v>
      </c>
      <c r="I95" s="13">
        <f>G95*H95</f>
        <v>2.0</v>
      </c>
      <c r="J95" s="20">
        <f>8000/1000</f>
        <v>8.0</v>
      </c>
      <c r="K95" s="21">
        <f>I95*J95</f>
        <v>16.0</v>
      </c>
      <c r="L95" s="22">
        <f>F95^2/162</f>
        <v>1.5802469135802468</v>
      </c>
      <c r="M95" s="21">
        <f>K95*L95</f>
        <v>25.28395061728395</v>
      </c>
      <c r="N95" s="22">
        <f>M95/1000</f>
        <v>0.02528395061728395</v>
      </c>
      <c r="O95" s="13" t="inlineStr">
        <is>
          <t>BBS</t>
        </is>
      </c>
    </row>
    <row r="96">
      <c r="A96" s="13" t="n">
        <v>91</v>
      </c>
      <c r="B96" s="13" t="inlineStr">
        <is>
          <t>Beams</t>
        </is>
      </c>
      <c r="C96" s="13" t="inlineStr">
        <is>
          <t>STR-078</t>
        </is>
      </c>
      <c r="D96" s="13" t="inlineStr">
        <is>
          <t>Typical 4th-8th floor beams (sheet 1 of 2)</t>
        </is>
      </c>
      <c r="E96" s="19" t="inlineStr">
        <is>
          <t>1611</t>
        </is>
      </c>
      <c r="F96" s="19" t="n">
        <v>16</v>
      </c>
      <c r="G96" s="19" t="n">
        <v>1</v>
      </c>
      <c r="H96" s="19" t="n">
        <v>2</v>
      </c>
      <c r="I96" s="13">
        <f>G96*H96</f>
        <v>2.0</v>
      </c>
      <c r="J96" s="20">
        <f>11675/1000</f>
        <v>11.675</v>
      </c>
      <c r="K96" s="21">
        <f>I96*J96</f>
        <v>23.35</v>
      </c>
      <c r="L96" s="22">
        <f>F96^2/162</f>
        <v>1.5802469135802468</v>
      </c>
      <c r="M96" s="21">
        <f>K96*L96</f>
        <v>36.89876543209876</v>
      </c>
      <c r="N96" s="22">
        <f>M96/1000</f>
        <v>0.03689876543209876</v>
      </c>
      <c r="O96" s="13" t="inlineStr">
        <is>
          <t>BBS</t>
        </is>
      </c>
    </row>
    <row r="97">
      <c r="A97" s="13" t="n">
        <v>92</v>
      </c>
      <c r="B97" s="13" t="inlineStr">
        <is>
          <t>Beams</t>
        </is>
      </c>
      <c r="C97" s="13" t="inlineStr">
        <is>
          <t>STR-078</t>
        </is>
      </c>
      <c r="D97" s="13" t="inlineStr">
        <is>
          <t>Typical 4th-8th floor beams (sheet 1 of 2)</t>
        </is>
      </c>
      <c r="E97" s="19" t="inlineStr">
        <is>
          <t>1612</t>
        </is>
      </c>
      <c r="F97" s="19" t="n">
        <v>16</v>
      </c>
      <c r="G97" s="19" t="n">
        <v>1</v>
      </c>
      <c r="H97" s="19" t="n">
        <v>2</v>
      </c>
      <c r="I97" s="13">
        <f>G97*H97</f>
        <v>2.0</v>
      </c>
      <c r="J97" s="20">
        <f>7525/1000</f>
        <v>7.525</v>
      </c>
      <c r="K97" s="21">
        <f>I97*J97</f>
        <v>15.05</v>
      </c>
      <c r="L97" s="22">
        <f>F97^2/162</f>
        <v>1.5802469135802468</v>
      </c>
      <c r="M97" s="21">
        <f>K97*L97</f>
        <v>23.782716049382717</v>
      </c>
      <c r="N97" s="22">
        <f>M97/1000</f>
        <v>0.023782716049382716</v>
      </c>
      <c r="O97" s="13" t="inlineStr">
        <is>
          <t>BBS</t>
        </is>
      </c>
    </row>
    <row r="98">
      <c r="A98" s="13" t="n">
        <v>93</v>
      </c>
      <c r="B98" s="13" t="inlineStr">
        <is>
          <t>Beams</t>
        </is>
      </c>
      <c r="C98" s="13" t="inlineStr">
        <is>
          <t>STR-078</t>
        </is>
      </c>
      <c r="D98" s="13" t="inlineStr">
        <is>
          <t>Typical 4th-8th floor beams (sheet 1 of 2)</t>
        </is>
      </c>
      <c r="E98" s="19" t="inlineStr">
        <is>
          <t>2001</t>
        </is>
      </c>
      <c r="F98" s="19" t="n">
        <v>20</v>
      </c>
      <c r="G98" s="19" t="n">
        <v>1</v>
      </c>
      <c r="H98" s="19" t="n">
        <v>3</v>
      </c>
      <c r="I98" s="13">
        <f>G98*H98</f>
        <v>3.0</v>
      </c>
      <c r="J98" s="20">
        <f>11100/1000</f>
        <v>11.1</v>
      </c>
      <c r="K98" s="21">
        <f>I98*J98</f>
        <v>33.3</v>
      </c>
      <c r="L98" s="22">
        <f>F98^2/162</f>
        <v>2.4691358024691357</v>
      </c>
      <c r="M98" s="21">
        <f>K98*L98</f>
        <v>82.22222222222221</v>
      </c>
      <c r="N98" s="22">
        <f>M98/1000</f>
        <v>0.08222222222222221</v>
      </c>
      <c r="O98" s="13" t="inlineStr">
        <is>
          <t>BBS</t>
        </is>
      </c>
    </row>
    <row r="99">
      <c r="A99" s="13" t="n">
        <v>94</v>
      </c>
      <c r="B99" s="13" t="inlineStr">
        <is>
          <t>Beams</t>
        </is>
      </c>
      <c r="C99" s="13" t="inlineStr">
        <is>
          <t>STR-078</t>
        </is>
      </c>
      <c r="D99" s="13" t="inlineStr">
        <is>
          <t>Typical 4th-8th floor beams (sheet 1 of 2)</t>
        </is>
      </c>
      <c r="E99" s="19" t="inlineStr">
        <is>
          <t>2002</t>
        </is>
      </c>
      <c r="F99" s="19" t="n">
        <v>20</v>
      </c>
      <c r="G99" s="19" t="n">
        <v>1</v>
      </c>
      <c r="H99" s="19" t="n">
        <v>3</v>
      </c>
      <c r="I99" s="13">
        <f>G99*H99</f>
        <v>3.0</v>
      </c>
      <c r="J99" s="20">
        <f>9300/1000</f>
        <v>9.3</v>
      </c>
      <c r="K99" s="21">
        <f>I99*J99</f>
        <v>27.900000000000002</v>
      </c>
      <c r="L99" s="22">
        <f>F99^2/162</f>
        <v>2.4691358024691357</v>
      </c>
      <c r="M99" s="21">
        <f>K99*L99</f>
        <v>68.88888888888889</v>
      </c>
      <c r="N99" s="22">
        <f>M99/1000</f>
        <v>0.06888888888888889</v>
      </c>
      <c r="O99" s="13" t="inlineStr">
        <is>
          <t>BBS</t>
        </is>
      </c>
    </row>
    <row r="100">
      <c r="A100" s="13" t="n">
        <v>95</v>
      </c>
      <c r="B100" s="13" t="inlineStr">
        <is>
          <t>Beams</t>
        </is>
      </c>
      <c r="C100" s="13" t="inlineStr">
        <is>
          <t>STR-078</t>
        </is>
      </c>
      <c r="D100" s="13" t="inlineStr">
        <is>
          <t>Typical 4th-8th floor beams (sheet 1 of 2)</t>
        </is>
      </c>
      <c r="E100" s="19" t="inlineStr">
        <is>
          <t>2003</t>
        </is>
      </c>
      <c r="F100" s="19" t="n">
        <v>20</v>
      </c>
      <c r="G100" s="19" t="n">
        <v>1</v>
      </c>
      <c r="H100" s="19" t="n">
        <v>3</v>
      </c>
      <c r="I100" s="13">
        <f>G100*H100</f>
        <v>3.0</v>
      </c>
      <c r="J100" s="20">
        <f>12000/1000</f>
        <v>12.0</v>
      </c>
      <c r="K100" s="21">
        <f>I100*J100</f>
        <v>36.0</v>
      </c>
      <c r="L100" s="22">
        <f>F100^2/162</f>
        <v>2.4691358024691357</v>
      </c>
      <c r="M100" s="21">
        <f>K100*L100</f>
        <v>88.88888888888889</v>
      </c>
      <c r="N100" s="22">
        <f>M100/1000</f>
        <v>0.08888888888888889</v>
      </c>
      <c r="O100" s="13" t="inlineStr">
        <is>
          <t>BBS</t>
        </is>
      </c>
    </row>
    <row r="101">
      <c r="A101" s="13" t="n">
        <v>96</v>
      </c>
      <c r="B101" s="13" t="inlineStr">
        <is>
          <t>Beams</t>
        </is>
      </c>
      <c r="C101" s="13" t="inlineStr">
        <is>
          <t>STR-078</t>
        </is>
      </c>
      <c r="D101" s="13" t="inlineStr">
        <is>
          <t>Typical 4th-8th floor beams (sheet 1 of 2)</t>
        </is>
      </c>
      <c r="E101" s="19" t="inlineStr">
        <is>
          <t>2004</t>
        </is>
      </c>
      <c r="F101" s="19" t="n">
        <v>20</v>
      </c>
      <c r="G101" s="19" t="n">
        <v>1</v>
      </c>
      <c r="H101" s="19" t="n">
        <v>3</v>
      </c>
      <c r="I101" s="13">
        <f>G101*H101</f>
        <v>3.0</v>
      </c>
      <c r="J101" s="20">
        <f>7000/1000</f>
        <v>7.0</v>
      </c>
      <c r="K101" s="21">
        <f>I101*J101</f>
        <v>21.0</v>
      </c>
      <c r="L101" s="22">
        <f>F101^2/162</f>
        <v>2.4691358024691357</v>
      </c>
      <c r="M101" s="21">
        <f>K101*L101</f>
        <v>51.85185185185185</v>
      </c>
      <c r="N101" s="22">
        <f>M101/1000</f>
        <v>0.05185185185185185</v>
      </c>
      <c r="O101" s="13" t="inlineStr">
        <is>
          <t>BBS</t>
        </is>
      </c>
    </row>
    <row r="102">
      <c r="A102" s="13" t="n">
        <v>97</v>
      </c>
      <c r="B102" s="13" t="inlineStr">
        <is>
          <t>Beams</t>
        </is>
      </c>
      <c r="C102" s="13" t="inlineStr">
        <is>
          <t>STR-078</t>
        </is>
      </c>
      <c r="D102" s="13" t="inlineStr">
        <is>
          <t>Typical 4th-8th floor beams (sheet 1 of 2)</t>
        </is>
      </c>
      <c r="E102" s="19" t="inlineStr">
        <is>
          <t>2005</t>
        </is>
      </c>
      <c r="F102" s="19" t="n">
        <v>20</v>
      </c>
      <c r="G102" s="19" t="n">
        <v>1</v>
      </c>
      <c r="H102" s="19" t="n">
        <v>6</v>
      </c>
      <c r="I102" s="13">
        <f>G102*H102</f>
        <v>6.0</v>
      </c>
      <c r="J102" s="20">
        <f>9300/1000</f>
        <v>9.3</v>
      </c>
      <c r="K102" s="21">
        <f>I102*J102</f>
        <v>55.800000000000004</v>
      </c>
      <c r="L102" s="22">
        <f>F102^2/162</f>
        <v>2.4691358024691357</v>
      </c>
      <c r="M102" s="21">
        <f>K102*L102</f>
        <v>137.77777777777777</v>
      </c>
      <c r="N102" s="22">
        <f>M102/1000</f>
        <v>0.13777777777777778</v>
      </c>
      <c r="O102" s="13" t="inlineStr">
        <is>
          <t>BBS</t>
        </is>
      </c>
    </row>
    <row r="103">
      <c r="A103" s="13" t="n">
        <v>98</v>
      </c>
      <c r="B103" s="13" t="inlineStr">
        <is>
          <t>Beams</t>
        </is>
      </c>
      <c r="C103" s="13" t="inlineStr">
        <is>
          <t>STR-078</t>
        </is>
      </c>
      <c r="D103" s="13" t="inlineStr">
        <is>
          <t>Typical 4th-8th floor beams (sheet 1 of 2)</t>
        </is>
      </c>
      <c r="E103" s="19" t="inlineStr">
        <is>
          <t>2006</t>
        </is>
      </c>
      <c r="F103" s="19" t="n">
        <v>20</v>
      </c>
      <c r="G103" s="19" t="n">
        <v>1</v>
      </c>
      <c r="H103" s="19" t="n">
        <v>3</v>
      </c>
      <c r="I103" s="13">
        <f>G103*H103</f>
        <v>3.0</v>
      </c>
      <c r="J103" s="20">
        <f>9000/1000</f>
        <v>9.0</v>
      </c>
      <c r="K103" s="21">
        <f>I103*J103</f>
        <v>27.0</v>
      </c>
      <c r="L103" s="22">
        <f>F103^2/162</f>
        <v>2.4691358024691357</v>
      </c>
      <c r="M103" s="21">
        <f>K103*L103</f>
        <v>66.66666666666666</v>
      </c>
      <c r="N103" s="22">
        <f>M103/1000</f>
        <v>0.06666666666666665</v>
      </c>
      <c r="O103" s="13" t="inlineStr">
        <is>
          <t>BBS</t>
        </is>
      </c>
    </row>
    <row r="104">
      <c r="A104" s="13" t="n">
        <v>99</v>
      </c>
      <c r="B104" s="13" t="inlineStr">
        <is>
          <t>Beams</t>
        </is>
      </c>
      <c r="C104" s="13" t="inlineStr">
        <is>
          <t>STR-078</t>
        </is>
      </c>
      <c r="D104" s="13" t="inlineStr">
        <is>
          <t>Typical 4th-8th floor beams (sheet 1 of 2)</t>
        </is>
      </c>
      <c r="E104" s="19" t="inlineStr">
        <is>
          <t>2007</t>
        </is>
      </c>
      <c r="F104" s="19" t="n">
        <v>20</v>
      </c>
      <c r="G104" s="19" t="n">
        <v>1</v>
      </c>
      <c r="H104" s="19" t="n">
        <v>5</v>
      </c>
      <c r="I104" s="13">
        <f>G104*H104</f>
        <v>5.0</v>
      </c>
      <c r="J104" s="20">
        <f>11750/1000</f>
        <v>11.75</v>
      </c>
      <c r="K104" s="21">
        <f>I104*J104</f>
        <v>58.75</v>
      </c>
      <c r="L104" s="22">
        <f>F104^2/162</f>
        <v>2.4691358024691357</v>
      </c>
      <c r="M104" s="21">
        <f>K104*L104</f>
        <v>145.06172839506172</v>
      </c>
      <c r="N104" s="22">
        <f>M104/1000</f>
        <v>0.14506172839506173</v>
      </c>
      <c r="O104" s="13" t="inlineStr">
        <is>
          <t>BBS</t>
        </is>
      </c>
    </row>
    <row r="105">
      <c r="A105" s="13" t="n">
        <v>100</v>
      </c>
      <c r="B105" s="13" t="inlineStr">
        <is>
          <t>Beams</t>
        </is>
      </c>
      <c r="C105" s="13" t="inlineStr">
        <is>
          <t>STR-078</t>
        </is>
      </c>
      <c r="D105" s="13" t="inlineStr">
        <is>
          <t>Typical 4th-8th floor beams (sheet 1 of 2)</t>
        </is>
      </c>
      <c r="E105" s="19" t="inlineStr">
        <is>
          <t>2008</t>
        </is>
      </c>
      <c r="F105" s="19" t="n">
        <v>20</v>
      </c>
      <c r="G105" s="19" t="n">
        <v>1</v>
      </c>
      <c r="H105" s="19" t="n">
        <v>5</v>
      </c>
      <c r="I105" s="13">
        <f>G105*H105</f>
        <v>5.0</v>
      </c>
      <c r="J105" s="20">
        <f>7300/1000</f>
        <v>7.3</v>
      </c>
      <c r="K105" s="21">
        <f>I105*J105</f>
        <v>36.5</v>
      </c>
      <c r="L105" s="22">
        <f>F105^2/162</f>
        <v>2.4691358024691357</v>
      </c>
      <c r="M105" s="21">
        <f>K105*L105</f>
        <v>90.12345679012346</v>
      </c>
      <c r="N105" s="22">
        <f>M105/1000</f>
        <v>0.09012345679012346</v>
      </c>
      <c r="O105" s="13" t="inlineStr">
        <is>
          <t>BBS</t>
        </is>
      </c>
    </row>
    <row r="106">
      <c r="A106" s="13" t="n">
        <v>101</v>
      </c>
      <c r="B106" s="13" t="inlineStr">
        <is>
          <t>Beams</t>
        </is>
      </c>
      <c r="C106" s="13" t="inlineStr">
        <is>
          <t>STR-078</t>
        </is>
      </c>
      <c r="D106" s="13" t="inlineStr">
        <is>
          <t>Typical 4th-8th floor beams (sheet 1 of 2)</t>
        </is>
      </c>
      <c r="E106" s="19" t="inlineStr">
        <is>
          <t>2009</t>
        </is>
      </c>
      <c r="F106" s="19" t="n">
        <v>20</v>
      </c>
      <c r="G106" s="19" t="n">
        <v>1</v>
      </c>
      <c r="H106" s="19" t="n">
        <v>10</v>
      </c>
      <c r="I106" s="13">
        <f>G106*H106</f>
        <v>10.0</v>
      </c>
      <c r="J106" s="20">
        <f>9600/1000</f>
        <v>9.6</v>
      </c>
      <c r="K106" s="21">
        <f>I106*J106</f>
        <v>96.0</v>
      </c>
      <c r="L106" s="22">
        <f>F106^2/162</f>
        <v>2.4691358024691357</v>
      </c>
      <c r="M106" s="21">
        <f>K106*L106</f>
        <v>237.037037037037</v>
      </c>
      <c r="N106" s="22">
        <f>M106/1000</f>
        <v>0.23703703703703702</v>
      </c>
      <c r="O106" s="13" t="inlineStr">
        <is>
          <t>BBS</t>
        </is>
      </c>
    </row>
    <row r="107">
      <c r="A107" s="13" t="n">
        <v>102</v>
      </c>
      <c r="B107" s="13" t="inlineStr">
        <is>
          <t>Beams</t>
        </is>
      </c>
      <c r="C107" s="13" t="inlineStr">
        <is>
          <t>STR-078</t>
        </is>
      </c>
      <c r="D107" s="13" t="inlineStr">
        <is>
          <t>Typical 4th-8th floor beams (sheet 1 of 2)</t>
        </is>
      </c>
      <c r="E107" s="19" t="inlineStr">
        <is>
          <t>2010</t>
        </is>
      </c>
      <c r="F107" s="19" t="n">
        <v>20</v>
      </c>
      <c r="G107" s="19" t="n">
        <v>1</v>
      </c>
      <c r="H107" s="19" t="n">
        <v>5</v>
      </c>
      <c r="I107" s="13">
        <f>G107*H107</f>
        <v>5.0</v>
      </c>
      <c r="J107" s="20">
        <f>11900/1000</f>
        <v>11.9</v>
      </c>
      <c r="K107" s="21">
        <f>I107*J107</f>
        <v>59.5</v>
      </c>
      <c r="L107" s="22">
        <f>F107^2/162</f>
        <v>2.4691358024691357</v>
      </c>
      <c r="M107" s="21">
        <f>K107*L107</f>
        <v>146.91358024691357</v>
      </c>
      <c r="N107" s="22">
        <f>M107/1000</f>
        <v>0.14691358024691356</v>
      </c>
      <c r="O107" s="13" t="inlineStr">
        <is>
          <t>BBS</t>
        </is>
      </c>
    </row>
    <row r="108">
      <c r="A108" s="13" t="n">
        <v>103</v>
      </c>
      <c r="B108" s="13" t="inlineStr">
        <is>
          <t>Beams</t>
        </is>
      </c>
      <c r="C108" s="13" t="inlineStr">
        <is>
          <t>STR-078</t>
        </is>
      </c>
      <c r="D108" s="13" t="inlineStr">
        <is>
          <t>Typical 4th-8th floor beams (sheet 1 of 2)</t>
        </is>
      </c>
      <c r="E108" s="19" t="inlineStr">
        <is>
          <t>2011</t>
        </is>
      </c>
      <c r="F108" s="19" t="n">
        <v>20</v>
      </c>
      <c r="G108" s="19" t="n">
        <v>1</v>
      </c>
      <c r="H108" s="19" t="n">
        <v>4</v>
      </c>
      <c r="I108" s="13">
        <f>G108*H108</f>
        <v>4.0</v>
      </c>
      <c r="J108" s="20">
        <f>11800/1000</f>
        <v>11.8</v>
      </c>
      <c r="K108" s="21">
        <f>I108*J108</f>
        <v>47.2</v>
      </c>
      <c r="L108" s="22">
        <f>F108^2/162</f>
        <v>2.4691358024691357</v>
      </c>
      <c r="M108" s="21">
        <f>K108*L108</f>
        <v>116.54320987654322</v>
      </c>
      <c r="N108" s="22">
        <f>M108/1000</f>
        <v>0.11654320987654322</v>
      </c>
      <c r="O108" s="13" t="inlineStr">
        <is>
          <t>BBS</t>
        </is>
      </c>
    </row>
    <row r="109">
      <c r="A109" s="13" t="n">
        <v>104</v>
      </c>
      <c r="B109" s="13" t="inlineStr">
        <is>
          <t>Beams</t>
        </is>
      </c>
      <c r="C109" s="13" t="inlineStr">
        <is>
          <t>STR-078</t>
        </is>
      </c>
      <c r="D109" s="13" t="inlineStr">
        <is>
          <t>Typical 4th-8th floor beams (sheet 1 of 2)</t>
        </is>
      </c>
      <c r="E109" s="19" t="inlineStr">
        <is>
          <t>2012</t>
        </is>
      </c>
      <c r="F109" s="19" t="n">
        <v>20</v>
      </c>
      <c r="G109" s="19" t="n">
        <v>1</v>
      </c>
      <c r="H109" s="19" t="n">
        <v>4</v>
      </c>
      <c r="I109" s="13">
        <f>G109*H109</f>
        <v>4.0</v>
      </c>
      <c r="J109" s="20">
        <f>7300/1000</f>
        <v>7.3</v>
      </c>
      <c r="K109" s="21">
        <f>I109*J109</f>
        <v>29.2</v>
      </c>
      <c r="L109" s="22">
        <f>F109^2/162</f>
        <v>2.4691358024691357</v>
      </c>
      <c r="M109" s="21">
        <f>K109*L109</f>
        <v>72.09876543209876</v>
      </c>
      <c r="N109" s="22">
        <f>M109/1000</f>
        <v>0.07209876543209875</v>
      </c>
      <c r="O109" s="13" t="inlineStr">
        <is>
          <t>BBS</t>
        </is>
      </c>
    </row>
    <row r="110">
      <c r="A110" s="13" t="n">
        <v>105</v>
      </c>
      <c r="B110" s="13" t="inlineStr">
        <is>
          <t>Beams</t>
        </is>
      </c>
      <c r="C110" s="13" t="inlineStr">
        <is>
          <t>STR-078</t>
        </is>
      </c>
      <c r="D110" s="13" t="inlineStr">
        <is>
          <t>Typical 4th-8th floor beams (sheet 1 of 2)</t>
        </is>
      </c>
      <c r="E110" s="19" t="inlineStr">
        <is>
          <t>2013</t>
        </is>
      </c>
      <c r="F110" s="19" t="n">
        <v>20</v>
      </c>
      <c r="G110" s="19" t="n">
        <v>1</v>
      </c>
      <c r="H110" s="19" t="n">
        <v>8</v>
      </c>
      <c r="I110" s="13">
        <f>G110*H110</f>
        <v>8.0</v>
      </c>
      <c r="J110" s="20">
        <f>9500/1000</f>
        <v>9.5</v>
      </c>
      <c r="K110" s="21">
        <f>I110*J110</f>
        <v>76.0</v>
      </c>
      <c r="L110" s="22">
        <f>F110^2/162</f>
        <v>2.4691358024691357</v>
      </c>
      <c r="M110" s="21">
        <f>K110*L110</f>
        <v>187.6543209876543</v>
      </c>
      <c r="N110" s="22">
        <f>M110/1000</f>
        <v>0.1876543209876543</v>
      </c>
      <c r="O110" s="13" t="inlineStr">
        <is>
          <t>BBS</t>
        </is>
      </c>
    </row>
    <row r="111">
      <c r="A111" s="13" t="n">
        <v>106</v>
      </c>
      <c r="B111" s="13" t="inlineStr">
        <is>
          <t>Beams</t>
        </is>
      </c>
      <c r="C111" s="13" t="inlineStr">
        <is>
          <t>STR-078</t>
        </is>
      </c>
      <c r="D111" s="13" t="inlineStr">
        <is>
          <t>Typical 4th-8th floor beams (sheet 1 of 2)</t>
        </is>
      </c>
      <c r="E111" s="19" t="inlineStr">
        <is>
          <t>2014</t>
        </is>
      </c>
      <c r="F111" s="19" t="n">
        <v>20</v>
      </c>
      <c r="G111" s="19" t="n">
        <v>1</v>
      </c>
      <c r="H111" s="19" t="n">
        <v>4</v>
      </c>
      <c r="I111" s="13">
        <f>G111*H111</f>
        <v>4.0</v>
      </c>
      <c r="J111" s="20">
        <f>12000/1000</f>
        <v>12.0</v>
      </c>
      <c r="K111" s="21">
        <f>I111*J111</f>
        <v>48.0</v>
      </c>
      <c r="L111" s="22">
        <f>F111^2/162</f>
        <v>2.4691358024691357</v>
      </c>
      <c r="M111" s="21">
        <f>K111*L111</f>
        <v>118.5185185185185</v>
      </c>
      <c r="N111" s="22">
        <f>M111/1000</f>
        <v>0.11851851851851851</v>
      </c>
      <c r="O111" s="13" t="inlineStr">
        <is>
          <t>BBS</t>
        </is>
      </c>
    </row>
    <row r="112">
      <c r="A112" s="13" t="n">
        <v>107</v>
      </c>
      <c r="B112" s="13" t="inlineStr">
        <is>
          <t>Beams</t>
        </is>
      </c>
      <c r="C112" s="13" t="inlineStr">
        <is>
          <t>STR-078</t>
        </is>
      </c>
      <c r="D112" s="13" t="inlineStr">
        <is>
          <t>Typical 4th-8th floor beams (sheet 1 of 2)</t>
        </is>
      </c>
      <c r="E112" s="19" t="inlineStr">
        <is>
          <t>2015</t>
        </is>
      </c>
      <c r="F112" s="19" t="n">
        <v>20</v>
      </c>
      <c r="G112" s="19" t="n">
        <v>1</v>
      </c>
      <c r="H112" s="19" t="n">
        <v>3</v>
      </c>
      <c r="I112" s="13">
        <f>G112*H112</f>
        <v>3.0</v>
      </c>
      <c r="J112" s="20">
        <f>6400/1000</f>
        <v>6.4</v>
      </c>
      <c r="K112" s="21">
        <f>I112*J112</f>
        <v>19.200000000000003</v>
      </c>
      <c r="L112" s="22">
        <f>F112^2/162</f>
        <v>2.4691358024691357</v>
      </c>
      <c r="M112" s="21">
        <f>K112*L112</f>
        <v>47.40740740740741</v>
      </c>
      <c r="N112" s="22">
        <f>M112/1000</f>
        <v>0.04740740740740741</v>
      </c>
      <c r="O112" s="13" t="inlineStr">
        <is>
          <t>BBS</t>
        </is>
      </c>
    </row>
    <row r="113">
      <c r="A113" s="13" t="n">
        <v>108</v>
      </c>
      <c r="B113" s="13" t="inlineStr">
        <is>
          <t>Beams</t>
        </is>
      </c>
      <c r="C113" s="13" t="inlineStr">
        <is>
          <t>STR-078</t>
        </is>
      </c>
      <c r="D113" s="13" t="inlineStr">
        <is>
          <t>Typical 4th-8th floor beams (sheet 1 of 2)</t>
        </is>
      </c>
      <c r="E113" s="19" t="inlineStr">
        <is>
          <t>2016</t>
        </is>
      </c>
      <c r="F113" s="19" t="n">
        <v>20</v>
      </c>
      <c r="G113" s="19" t="n">
        <v>1</v>
      </c>
      <c r="H113" s="19" t="n">
        <v>6</v>
      </c>
      <c r="I113" s="13">
        <f>G113*H113</f>
        <v>6.0</v>
      </c>
      <c r="J113" s="20">
        <f>11550/1000</f>
        <v>11.55</v>
      </c>
      <c r="K113" s="21">
        <f>I113*J113</f>
        <v>69.30000000000001</v>
      </c>
      <c r="L113" s="22">
        <f>F113^2/162</f>
        <v>2.4691358024691357</v>
      </c>
      <c r="M113" s="21">
        <f>K113*L113</f>
        <v>171.11111111111114</v>
      </c>
      <c r="N113" s="22">
        <f>M113/1000</f>
        <v>0.17111111111111113</v>
      </c>
      <c r="O113" s="13" t="inlineStr">
        <is>
          <t>BBS</t>
        </is>
      </c>
    </row>
    <row r="114">
      <c r="A114" s="13" t="n">
        <v>109</v>
      </c>
      <c r="B114" s="13" t="inlineStr">
        <is>
          <t>Beams</t>
        </is>
      </c>
      <c r="C114" s="13" t="inlineStr">
        <is>
          <t>STR-078</t>
        </is>
      </c>
      <c r="D114" s="13" t="inlineStr">
        <is>
          <t>Typical 4th-8th floor beams (sheet 1 of 2)</t>
        </is>
      </c>
      <c r="E114" s="19" t="inlineStr">
        <is>
          <t>2017</t>
        </is>
      </c>
      <c r="F114" s="19" t="n">
        <v>20</v>
      </c>
      <c r="G114" s="19" t="n">
        <v>1</v>
      </c>
      <c r="H114" s="19" t="n">
        <v>6</v>
      </c>
      <c r="I114" s="13">
        <f>G114*H114</f>
        <v>6.0</v>
      </c>
      <c r="J114" s="20">
        <f>6050/1000</f>
        <v>6.05</v>
      </c>
      <c r="K114" s="21">
        <f>I114*J114</f>
        <v>36.3</v>
      </c>
      <c r="L114" s="22">
        <f>F114^2/162</f>
        <v>2.4691358024691357</v>
      </c>
      <c r="M114" s="21">
        <f>K114*L114</f>
        <v>89.62962962962962</v>
      </c>
      <c r="N114" s="22">
        <f>M114/1000</f>
        <v>0.08962962962962961</v>
      </c>
      <c r="O114" s="13" t="inlineStr">
        <is>
          <t>BBS</t>
        </is>
      </c>
    </row>
    <row r="115">
      <c r="A115" s="13" t="n">
        <v>110</v>
      </c>
      <c r="B115" s="13" t="inlineStr">
        <is>
          <t>Beams</t>
        </is>
      </c>
      <c r="C115" s="13" t="inlineStr">
        <is>
          <t>STR-078</t>
        </is>
      </c>
      <c r="D115" s="13" t="inlineStr">
        <is>
          <t>Typical 4th-8th floor beams (sheet 1 of 2)</t>
        </is>
      </c>
      <c r="E115" s="19" t="inlineStr">
        <is>
          <t>2018</t>
        </is>
      </c>
      <c r="F115" s="19" t="n">
        <v>20</v>
      </c>
      <c r="G115" s="19" t="n">
        <v>1</v>
      </c>
      <c r="H115" s="19" t="n">
        <v>3</v>
      </c>
      <c r="I115" s="13">
        <f>G115*H115</f>
        <v>3.0</v>
      </c>
      <c r="J115" s="20">
        <f>6300/1000</f>
        <v>6.3</v>
      </c>
      <c r="K115" s="21">
        <f>I115*J115</f>
        <v>18.9</v>
      </c>
      <c r="L115" s="22">
        <f>F115^2/162</f>
        <v>2.4691358024691357</v>
      </c>
      <c r="M115" s="21">
        <f>K115*L115</f>
        <v>46.66666666666666</v>
      </c>
      <c r="N115" s="22">
        <f>M115/1000</f>
        <v>0.046666666666666655</v>
      </c>
      <c r="O115" s="13" t="inlineStr">
        <is>
          <t>BBS</t>
        </is>
      </c>
    </row>
    <row r="116">
      <c r="A116" s="13" t="n">
        <v>111</v>
      </c>
      <c r="B116" s="13" t="inlineStr">
        <is>
          <t>Beams</t>
        </is>
      </c>
      <c r="C116" s="13" t="inlineStr">
        <is>
          <t>STR-078</t>
        </is>
      </c>
      <c r="D116" s="13" t="inlineStr">
        <is>
          <t>Typical 4th-8th floor beams (sheet 1 of 2)</t>
        </is>
      </c>
      <c r="E116" s="19" t="inlineStr">
        <is>
          <t>2019</t>
        </is>
      </c>
      <c r="F116" s="19" t="n">
        <v>20</v>
      </c>
      <c r="G116" s="19" t="n">
        <v>1</v>
      </c>
      <c r="H116" s="19" t="n">
        <v>3</v>
      </c>
      <c r="I116" s="13">
        <f>G116*H116</f>
        <v>3.0</v>
      </c>
      <c r="J116" s="20">
        <f>5950/1000</f>
        <v>5.95</v>
      </c>
      <c r="K116" s="21">
        <f>I116*J116</f>
        <v>17.85</v>
      </c>
      <c r="L116" s="22">
        <f>F116^2/162</f>
        <v>2.4691358024691357</v>
      </c>
      <c r="M116" s="21">
        <f>K116*L116</f>
        <v>44.074074074074076</v>
      </c>
      <c r="N116" s="22">
        <f>M116/1000</f>
        <v>0.04407407407407408</v>
      </c>
      <c r="O116" s="13" t="inlineStr">
        <is>
          <t>BBS</t>
        </is>
      </c>
    </row>
    <row r="117">
      <c r="A117" s="13" t="n">
        <v>112</v>
      </c>
      <c r="B117" s="13" t="inlineStr">
        <is>
          <t>Beams</t>
        </is>
      </c>
      <c r="C117" s="13" t="inlineStr">
        <is>
          <t>STR-078</t>
        </is>
      </c>
      <c r="D117" s="13" t="inlineStr">
        <is>
          <t>Typical 4th-8th floor beams (sheet 1 of 2)</t>
        </is>
      </c>
      <c r="E117" s="19" t="inlineStr">
        <is>
          <t>2501</t>
        </is>
      </c>
      <c r="F117" s="19" t="n">
        <v>25</v>
      </c>
      <c r="G117" s="19" t="n">
        <v>1</v>
      </c>
      <c r="H117" s="19" t="n">
        <v>3</v>
      </c>
      <c r="I117" s="13">
        <f>G117*H117</f>
        <v>3.0</v>
      </c>
      <c r="J117" s="20">
        <f>11200/1000</f>
        <v>11.2</v>
      </c>
      <c r="K117" s="21">
        <f>I117*J117</f>
        <v>33.599999999999994</v>
      </c>
      <c r="L117" s="22">
        <f>F117^2/162</f>
        <v>3.8580246913580245</v>
      </c>
      <c r="M117" s="21">
        <f>K117*L117</f>
        <v>129.6296296296296</v>
      </c>
      <c r="N117" s="22">
        <f>M117/1000</f>
        <v>0.1296296296296296</v>
      </c>
      <c r="O117" s="13" t="inlineStr">
        <is>
          <t>BBS</t>
        </is>
      </c>
    </row>
    <row r="118">
      <c r="A118" s="13" t="n">
        <v>113</v>
      </c>
      <c r="B118" s="13" t="inlineStr">
        <is>
          <t>Beams</t>
        </is>
      </c>
      <c r="C118" s="13" t="inlineStr">
        <is>
          <t>STR-078</t>
        </is>
      </c>
      <c r="D118" s="13" t="inlineStr">
        <is>
          <t>Typical 4th-8th floor beams (sheet 1 of 2)</t>
        </is>
      </c>
      <c r="E118" s="19" t="inlineStr">
        <is>
          <t>2502</t>
        </is>
      </c>
      <c r="F118" s="19" t="n">
        <v>25</v>
      </c>
      <c r="G118" s="19" t="n">
        <v>1</v>
      </c>
      <c r="H118" s="19" t="n">
        <v>3</v>
      </c>
      <c r="I118" s="13">
        <f>G118*H118</f>
        <v>3.0</v>
      </c>
      <c r="J118" s="20">
        <f>9400/1000</f>
        <v>9.4</v>
      </c>
      <c r="K118" s="21">
        <f>I118*J118</f>
        <v>28.200000000000003</v>
      </c>
      <c r="L118" s="22">
        <f>F118^2/162</f>
        <v>3.8580246913580245</v>
      </c>
      <c r="M118" s="21">
        <f>K118*L118</f>
        <v>108.7962962962963</v>
      </c>
      <c r="N118" s="22">
        <f>M118/1000</f>
        <v>0.10879629629629631</v>
      </c>
      <c r="O118" s="13" t="inlineStr">
        <is>
          <t>BBS</t>
        </is>
      </c>
    </row>
    <row r="119">
      <c r="A119" s="13" t="n">
        <v>114</v>
      </c>
      <c r="B119" s="13" t="inlineStr">
        <is>
          <t>Beams</t>
        </is>
      </c>
      <c r="C119" s="13" t="inlineStr">
        <is>
          <t>STR-078</t>
        </is>
      </c>
      <c r="D119" s="13" t="inlineStr">
        <is>
          <t>Typical 4th-8th floor beams (sheet 1 of 2)</t>
        </is>
      </c>
      <c r="E119" s="19" t="inlineStr">
        <is>
          <t>2503</t>
        </is>
      </c>
      <c r="F119" s="19" t="n">
        <v>25</v>
      </c>
      <c r="G119" s="19" t="n">
        <v>1</v>
      </c>
      <c r="H119" s="19" t="n">
        <v>3</v>
      </c>
      <c r="I119" s="13">
        <f>G119*H119</f>
        <v>3.0</v>
      </c>
      <c r="J119" s="20">
        <f>12000/1000</f>
        <v>12.0</v>
      </c>
      <c r="K119" s="21">
        <f>I119*J119</f>
        <v>36.0</v>
      </c>
      <c r="L119" s="22">
        <f>F119^2/162</f>
        <v>3.8580246913580245</v>
      </c>
      <c r="M119" s="21">
        <f>K119*L119</f>
        <v>138.88888888888889</v>
      </c>
      <c r="N119" s="22">
        <f>M119/1000</f>
        <v>0.1388888888888889</v>
      </c>
      <c r="O119" s="13" t="inlineStr">
        <is>
          <t>BBS</t>
        </is>
      </c>
    </row>
    <row r="120">
      <c r="A120" s="13" t="n">
        <v>115</v>
      </c>
      <c r="B120" s="13" t="inlineStr">
        <is>
          <t>Beams</t>
        </is>
      </c>
      <c r="C120" s="13" t="inlineStr">
        <is>
          <t>STR-078</t>
        </is>
      </c>
      <c r="D120" s="13" t="inlineStr">
        <is>
          <t>Typical 4th-8th floor beams (sheet 1 of 2)</t>
        </is>
      </c>
      <c r="E120" s="19" t="inlineStr">
        <is>
          <t>2504</t>
        </is>
      </c>
      <c r="F120" s="19" t="n">
        <v>25</v>
      </c>
      <c r="G120" s="19" t="n">
        <v>1</v>
      </c>
      <c r="H120" s="19" t="n">
        <v>3</v>
      </c>
      <c r="I120" s="13">
        <f>G120*H120</f>
        <v>3.0</v>
      </c>
      <c r="J120" s="20">
        <f>7100/1000</f>
        <v>7.1</v>
      </c>
      <c r="K120" s="21">
        <f>I120*J120</f>
        <v>21.299999999999997</v>
      </c>
      <c r="L120" s="22">
        <f>F120^2/162</f>
        <v>3.8580246913580245</v>
      </c>
      <c r="M120" s="21">
        <f>K120*L120</f>
        <v>82.17592592592591</v>
      </c>
      <c r="N120" s="22">
        <f>M120/1000</f>
        <v>0.08217592592592592</v>
      </c>
      <c r="O120" s="13" t="inlineStr">
        <is>
          <t>BBS</t>
        </is>
      </c>
    </row>
    <row r="121">
      <c r="A121" s="13" t="n">
        <v>116</v>
      </c>
      <c r="B121" s="13" t="inlineStr">
        <is>
          <t>Beams</t>
        </is>
      </c>
      <c r="C121" s="13" t="inlineStr">
        <is>
          <t>STR-078</t>
        </is>
      </c>
      <c r="D121" s="13" t="inlineStr">
        <is>
          <t>Typical 4th-8th floor beams (sheet 1 of 2)</t>
        </is>
      </c>
      <c r="E121" s="19" t="inlineStr">
        <is>
          <t>2505</t>
        </is>
      </c>
      <c r="F121" s="19" t="n">
        <v>25</v>
      </c>
      <c r="G121" s="19" t="n">
        <v>1</v>
      </c>
      <c r="H121" s="19" t="n">
        <v>6</v>
      </c>
      <c r="I121" s="13">
        <f>G121*H121</f>
        <v>6.0</v>
      </c>
      <c r="J121" s="20">
        <f>9300/1000</f>
        <v>9.3</v>
      </c>
      <c r="K121" s="21">
        <f>I121*J121</f>
        <v>55.800000000000004</v>
      </c>
      <c r="L121" s="22">
        <f>F121^2/162</f>
        <v>3.8580246913580245</v>
      </c>
      <c r="M121" s="21">
        <f>K121*L121</f>
        <v>215.27777777777777</v>
      </c>
      <c r="N121" s="22">
        <f>M121/1000</f>
        <v>0.21527777777777776</v>
      </c>
      <c r="O121" s="13" t="inlineStr">
        <is>
          <t>BBS</t>
        </is>
      </c>
    </row>
    <row r="122">
      <c r="A122" s="13" t="n">
        <v>117</v>
      </c>
      <c r="B122" s="13" t="inlineStr">
        <is>
          <t>Beams</t>
        </is>
      </c>
      <c r="C122" s="13" t="inlineStr">
        <is>
          <t>STR-078</t>
        </is>
      </c>
      <c r="D122" s="13" t="inlineStr">
        <is>
          <t>Typical 4th-8th floor beams (sheet 1 of 2)</t>
        </is>
      </c>
      <c r="E122" s="19" t="inlineStr">
        <is>
          <t>2506</t>
        </is>
      </c>
      <c r="F122" s="19" t="n">
        <v>25</v>
      </c>
      <c r="G122" s="19" t="n">
        <v>1</v>
      </c>
      <c r="H122" s="19" t="n">
        <v>3</v>
      </c>
      <c r="I122" s="13">
        <f>G122*H122</f>
        <v>3.0</v>
      </c>
      <c r="J122" s="20">
        <f>9100/1000</f>
        <v>9.1</v>
      </c>
      <c r="K122" s="21">
        <f>I122*J122</f>
        <v>27.299999999999997</v>
      </c>
      <c r="L122" s="22">
        <f>F122^2/162</f>
        <v>3.8580246913580245</v>
      </c>
      <c r="M122" s="21">
        <f>K122*L122</f>
        <v>105.32407407407406</v>
      </c>
      <c r="N122" s="22">
        <f>M122/1000</f>
        <v>0.10532407407407406</v>
      </c>
      <c r="O122" s="13" t="inlineStr">
        <is>
          <t>BBS</t>
        </is>
      </c>
    </row>
    <row r="123">
      <c r="A123" s="13" t="n">
        <v>118</v>
      </c>
      <c r="B123" s="13" t="inlineStr">
        <is>
          <t>Beams</t>
        </is>
      </c>
      <c r="C123" s="13" t="inlineStr">
        <is>
          <t>STR-078</t>
        </is>
      </c>
      <c r="D123" s="13" t="inlineStr">
        <is>
          <t>Typical 4th-8th floor beams (sheet 1 of 2)</t>
        </is>
      </c>
      <c r="E123" s="19" t="inlineStr">
        <is>
          <t>2507</t>
        </is>
      </c>
      <c r="F123" s="19" t="n">
        <v>25</v>
      </c>
      <c r="G123" s="19" t="n">
        <v>1</v>
      </c>
      <c r="H123" s="19" t="n">
        <v>3</v>
      </c>
      <c r="I123" s="13">
        <f>G123*H123</f>
        <v>3.0</v>
      </c>
      <c r="J123" s="20">
        <f>5850/1000</f>
        <v>5.85</v>
      </c>
      <c r="K123" s="21">
        <f>I123*J123</f>
        <v>17.549999999999997</v>
      </c>
      <c r="L123" s="22">
        <f>F123^2/162</f>
        <v>3.8580246913580245</v>
      </c>
      <c r="M123" s="21">
        <f>K123*L123</f>
        <v>67.70833333333331</v>
      </c>
      <c r="N123" s="22">
        <f>M123/1000</f>
        <v>0.06770833333333331</v>
      </c>
      <c r="O123" s="13" t="inlineStr">
        <is>
          <t>BBS</t>
        </is>
      </c>
    </row>
    <row r="124">
      <c r="A124" s="13" t="n">
        <v>119</v>
      </c>
      <c r="B124" s="13" t="inlineStr">
        <is>
          <t>Beams</t>
        </is>
      </c>
      <c r="C124" s="13" t="inlineStr">
        <is>
          <t>STR-078</t>
        </is>
      </c>
      <c r="D124" s="13" t="inlineStr">
        <is>
          <t>Typical 4th-8th floor beams (sheet 1 of 2)</t>
        </is>
      </c>
      <c r="E124" s="19" t="inlineStr">
        <is>
          <t>2508</t>
        </is>
      </c>
      <c r="F124" s="19" t="n">
        <v>25</v>
      </c>
      <c r="G124" s="19" t="n">
        <v>1</v>
      </c>
      <c r="H124" s="19" t="n">
        <v>3</v>
      </c>
      <c r="I124" s="13">
        <f>G124*H124</f>
        <v>3.0</v>
      </c>
      <c r="J124" s="20">
        <f>8000/1000</f>
        <v>8.0</v>
      </c>
      <c r="K124" s="21">
        <f>I124*J124</f>
        <v>24.0</v>
      </c>
      <c r="L124" s="22">
        <f>F124^2/162</f>
        <v>3.8580246913580245</v>
      </c>
      <c r="M124" s="21">
        <f>K124*L124</f>
        <v>92.59259259259258</v>
      </c>
      <c r="N124" s="22">
        <f>M124/1000</f>
        <v>0.09259259259259259</v>
      </c>
      <c r="O124" s="13" t="inlineStr">
        <is>
          <t>BBS</t>
        </is>
      </c>
    </row>
    <row r="125">
      <c r="A125" s="13" t="n">
        <v>120</v>
      </c>
      <c r="B125" s="13" t="inlineStr">
        <is>
          <t>Beams</t>
        </is>
      </c>
      <c r="C125" s="13" t="inlineStr">
        <is>
          <t>STR-078</t>
        </is>
      </c>
      <c r="D125" s="13" t="inlineStr">
        <is>
          <t>Typical 4th-8th floor beams (sheet 1 of 2)</t>
        </is>
      </c>
      <c r="E125" s="19" t="inlineStr">
        <is>
          <t>2509</t>
        </is>
      </c>
      <c r="F125" s="19" t="n">
        <v>25</v>
      </c>
      <c r="G125" s="19" t="n">
        <v>1</v>
      </c>
      <c r="H125" s="19" t="n">
        <v>3</v>
      </c>
      <c r="I125" s="13">
        <f>G125*H125</f>
        <v>3.0</v>
      </c>
      <c r="J125" s="20">
        <f>8700/1000</f>
        <v>8.7</v>
      </c>
      <c r="K125" s="21">
        <f>I125*J125</f>
        <v>26.099999999999998</v>
      </c>
      <c r="L125" s="22">
        <f>F125^2/162</f>
        <v>3.8580246913580245</v>
      </c>
      <c r="M125" s="21">
        <f>K125*L125</f>
        <v>100.69444444444443</v>
      </c>
      <c r="N125" s="22">
        <f>M125/1000</f>
        <v>0.10069444444444443</v>
      </c>
      <c r="O125" s="13" t="inlineStr">
        <is>
          <t>BBS</t>
        </is>
      </c>
    </row>
    <row r="126">
      <c r="A126" s="13" t="n">
        <v>121</v>
      </c>
      <c r="B126" s="13" t="inlineStr">
        <is>
          <t>Beams</t>
        </is>
      </c>
      <c r="C126" s="13" t="inlineStr">
        <is>
          <t>STR-078</t>
        </is>
      </c>
      <c r="D126" s="13" t="inlineStr">
        <is>
          <t>Typical 4th-8th floor beams (sheet 1 of 2)</t>
        </is>
      </c>
      <c r="E126" s="19" t="inlineStr">
        <is>
          <t>2510</t>
        </is>
      </c>
      <c r="F126" s="19" t="n">
        <v>25</v>
      </c>
      <c r="G126" s="19" t="n">
        <v>1</v>
      </c>
      <c r="H126" s="19" t="n">
        <v>3</v>
      </c>
      <c r="I126" s="13">
        <f>G126*H126</f>
        <v>3.0</v>
      </c>
      <c r="J126" s="20">
        <f>5900/1000</f>
        <v>5.9</v>
      </c>
      <c r="K126" s="21">
        <f>I126*J126</f>
        <v>17.700000000000003</v>
      </c>
      <c r="L126" s="22">
        <f>F126^2/162</f>
        <v>3.8580246913580245</v>
      </c>
      <c r="M126" s="21">
        <f>K126*L126</f>
        <v>68.28703703703704</v>
      </c>
      <c r="N126" s="22">
        <f>M126/1000</f>
        <v>0.06828703703703703</v>
      </c>
      <c r="O126" s="13" t="inlineStr">
        <is>
          <t>BBS</t>
        </is>
      </c>
    </row>
    <row r="127">
      <c r="A127" s="13" t="n">
        <v>122</v>
      </c>
      <c r="B127" s="13" t="inlineStr">
        <is>
          <t>Beams</t>
        </is>
      </c>
      <c r="C127" s="13" t="inlineStr">
        <is>
          <t>STR-078</t>
        </is>
      </c>
      <c r="D127" s="13" t="inlineStr">
        <is>
          <t>Typical 4th-8th floor beams (sheet 1 of 2)</t>
        </is>
      </c>
      <c r="E127" s="19" t="inlineStr">
        <is>
          <t>2511</t>
        </is>
      </c>
      <c r="F127" s="19" t="n">
        <v>25</v>
      </c>
      <c r="G127" s="19" t="n">
        <v>1</v>
      </c>
      <c r="H127" s="19" t="n">
        <v>3</v>
      </c>
      <c r="I127" s="13">
        <f>G127*H127</f>
        <v>3.0</v>
      </c>
      <c r="J127" s="20">
        <f>5600/1000</f>
        <v>5.6</v>
      </c>
      <c r="K127" s="21">
        <f>I127*J127</f>
        <v>16.799999999999997</v>
      </c>
      <c r="L127" s="22">
        <f>F127^2/162</f>
        <v>3.8580246913580245</v>
      </c>
      <c r="M127" s="21">
        <f>K127*L127</f>
        <v>64.8148148148148</v>
      </c>
      <c r="N127" s="22">
        <f>M127/1000</f>
        <v>0.0648148148148148</v>
      </c>
      <c r="O127" s="13" t="inlineStr">
        <is>
          <t>BBS</t>
        </is>
      </c>
    </row>
    <row r="128">
      <c r="A128" s="13" t="n">
        <v>123</v>
      </c>
      <c r="B128" s="13" t="inlineStr">
        <is>
          <t>Beams</t>
        </is>
      </c>
      <c r="C128" s="13" t="inlineStr">
        <is>
          <t>STR-078</t>
        </is>
      </c>
      <c r="D128" s="13" t="inlineStr">
        <is>
          <t>Typical 4th-8th floor beams (sheet 1 of 2)</t>
        </is>
      </c>
      <c r="E128" s="19" t="inlineStr">
        <is>
          <t>2512</t>
        </is>
      </c>
      <c r="F128" s="19" t="n">
        <v>25</v>
      </c>
      <c r="G128" s="19" t="n">
        <v>1</v>
      </c>
      <c r="H128" s="19" t="n">
        <v>3</v>
      </c>
      <c r="I128" s="13">
        <f>G128*H128</f>
        <v>3.0</v>
      </c>
      <c r="J128" s="20">
        <f>11550/1000</f>
        <v>11.55</v>
      </c>
      <c r="K128" s="21">
        <f>I128*J128</f>
        <v>34.650000000000006</v>
      </c>
      <c r="L128" s="22">
        <f>F128^2/162</f>
        <v>3.8580246913580245</v>
      </c>
      <c r="M128" s="21">
        <f>K128*L128</f>
        <v>133.68055555555557</v>
      </c>
      <c r="N128" s="22">
        <f>M128/1000</f>
        <v>0.13368055555555558</v>
      </c>
      <c r="O128" s="13" t="inlineStr">
        <is>
          <t>BBS</t>
        </is>
      </c>
    </row>
    <row r="129">
      <c r="A129" s="13" t="n">
        <v>124</v>
      </c>
      <c r="B129" s="13" t="inlineStr">
        <is>
          <t>Beams</t>
        </is>
      </c>
      <c r="C129" s="13" t="inlineStr">
        <is>
          <t>STR-078</t>
        </is>
      </c>
      <c r="D129" s="13" t="inlineStr">
        <is>
          <t>Typical 4th-8th floor beams (sheet 1 of 2)</t>
        </is>
      </c>
      <c r="E129" s="19" t="inlineStr">
        <is>
          <t>2513</t>
        </is>
      </c>
      <c r="F129" s="19" t="n">
        <v>25</v>
      </c>
      <c r="G129" s="19" t="n">
        <v>1</v>
      </c>
      <c r="H129" s="19" t="n">
        <v>3</v>
      </c>
      <c r="I129" s="13">
        <f>G129*H129</f>
        <v>3.0</v>
      </c>
      <c r="J129" s="20">
        <f>6050/1000</f>
        <v>6.05</v>
      </c>
      <c r="K129" s="21">
        <f>I129*J129</f>
        <v>18.15</v>
      </c>
      <c r="L129" s="22">
        <f>F129^2/162</f>
        <v>3.8580246913580245</v>
      </c>
      <c r="M129" s="21">
        <f>K129*L129</f>
        <v>70.02314814814814</v>
      </c>
      <c r="N129" s="22">
        <f>M129/1000</f>
        <v>0.07002314814814814</v>
      </c>
      <c r="O129" s="13" t="inlineStr">
        <is>
          <t>BBS</t>
        </is>
      </c>
    </row>
    <row r="130">
      <c r="A130" s="13" t="n">
        <v>125</v>
      </c>
      <c r="B130" s="13" t="inlineStr">
        <is>
          <t>Beams</t>
        </is>
      </c>
      <c r="C130" s="13" t="inlineStr">
        <is>
          <t>STR-078</t>
        </is>
      </c>
      <c r="D130" s="13" t="inlineStr">
        <is>
          <t>Typical 4th-8th floor beams (sheet 1 of 2)</t>
        </is>
      </c>
      <c r="E130" s="19" t="inlineStr">
        <is>
          <t>2514</t>
        </is>
      </c>
      <c r="F130" s="19" t="n">
        <v>25</v>
      </c>
      <c r="G130" s="19" t="n">
        <v>1</v>
      </c>
      <c r="H130" s="19" t="n">
        <v>3</v>
      </c>
      <c r="I130" s="13">
        <f>G130*H130</f>
        <v>3.0</v>
      </c>
      <c r="J130" s="20">
        <f>9000/1000</f>
        <v>9.0</v>
      </c>
      <c r="K130" s="21">
        <f>I130*J130</f>
        <v>27.0</v>
      </c>
      <c r="L130" s="22">
        <f>F130^2/162</f>
        <v>3.8580246913580245</v>
      </c>
      <c r="M130" s="21">
        <f>K130*L130</f>
        <v>104.16666666666666</v>
      </c>
      <c r="N130" s="22">
        <f>M130/1000</f>
        <v>0.10416666666666666</v>
      </c>
      <c r="O130" s="13" t="inlineStr">
        <is>
          <t>BBS</t>
        </is>
      </c>
    </row>
    <row r="131">
      <c r="A131" s="13" t="n">
        <v>126</v>
      </c>
      <c r="B131" s="13" t="inlineStr">
        <is>
          <t>Beams</t>
        </is>
      </c>
      <c r="C131" s="13" t="inlineStr">
        <is>
          <t>STR-078</t>
        </is>
      </c>
      <c r="D131" s="13" t="inlineStr">
        <is>
          <t>Typical 4th-8th floor beams (sheet 1 of 2)</t>
        </is>
      </c>
      <c r="E131" s="19" t="inlineStr">
        <is>
          <t>2515</t>
        </is>
      </c>
      <c r="F131" s="19" t="n">
        <v>25</v>
      </c>
      <c r="G131" s="19" t="n">
        <v>1</v>
      </c>
      <c r="H131" s="19" t="n">
        <v>3</v>
      </c>
      <c r="I131" s="13">
        <f>G131*H131</f>
        <v>3.0</v>
      </c>
      <c r="J131" s="20">
        <f>5600/1000</f>
        <v>5.6</v>
      </c>
      <c r="K131" s="21">
        <f>I131*J131</f>
        <v>16.799999999999997</v>
      </c>
      <c r="L131" s="22">
        <f>F131^2/162</f>
        <v>3.8580246913580245</v>
      </c>
      <c r="M131" s="21">
        <f>K131*L131</f>
        <v>64.8148148148148</v>
      </c>
      <c r="N131" s="22">
        <f>M131/1000</f>
        <v>0.0648148148148148</v>
      </c>
      <c r="O131" s="13" t="inlineStr">
        <is>
          <t>BBS</t>
        </is>
      </c>
    </row>
    <row r="132">
      <c r="A132" s="13" t="n">
        <v>127</v>
      </c>
      <c r="B132" s="13" t="inlineStr">
        <is>
          <t>Beams</t>
        </is>
      </c>
      <c r="C132" s="13" t="inlineStr">
        <is>
          <t>STR-078</t>
        </is>
      </c>
      <c r="D132" s="13" t="inlineStr">
        <is>
          <t>Typical 4th-8th floor beams (sheet 1 of 2)</t>
        </is>
      </c>
      <c r="E132" s="19" t="inlineStr">
        <is>
          <t>2516</t>
        </is>
      </c>
      <c r="F132" s="19" t="n">
        <v>25</v>
      </c>
      <c r="G132" s="19" t="n">
        <v>1</v>
      </c>
      <c r="H132" s="19" t="n">
        <v>3</v>
      </c>
      <c r="I132" s="13">
        <f>G132*H132</f>
        <v>3.0</v>
      </c>
      <c r="J132" s="20">
        <f>9400/1000</f>
        <v>9.4</v>
      </c>
      <c r="K132" s="21">
        <f>I132*J132</f>
        <v>28.200000000000003</v>
      </c>
      <c r="L132" s="22">
        <f>F132^2/162</f>
        <v>3.8580246913580245</v>
      </c>
      <c r="M132" s="21">
        <f>K132*L132</f>
        <v>108.7962962962963</v>
      </c>
      <c r="N132" s="22">
        <f>M132/1000</f>
        <v>0.10879629629629631</v>
      </c>
      <c r="O132" s="13" t="inlineStr">
        <is>
          <t>BBS</t>
        </is>
      </c>
    </row>
    <row r="133">
      <c r="A133" s="13" t="n">
        <v>128</v>
      </c>
      <c r="B133" s="13" t="inlineStr">
        <is>
          <t>Beams</t>
        </is>
      </c>
      <c r="C133" s="13" t="inlineStr">
        <is>
          <t>STR-078</t>
        </is>
      </c>
      <c r="D133" s="13" t="inlineStr">
        <is>
          <t>Typical 4th-8th floor beams (sheet 1 of 2)</t>
        </is>
      </c>
      <c r="E133" s="19" t="inlineStr">
        <is>
          <t>2517</t>
        </is>
      </c>
      <c r="F133" s="19" t="n">
        <v>25</v>
      </c>
      <c r="G133" s="19" t="n">
        <v>1</v>
      </c>
      <c r="H133" s="19" t="n">
        <v>24</v>
      </c>
      <c r="I133" s="13">
        <f>G133*H133</f>
        <v>24.0</v>
      </c>
      <c r="J133" s="20">
        <f>9150/1000</f>
        <v>9.15</v>
      </c>
      <c r="K133" s="21">
        <f>I133*J133</f>
        <v>219.60000000000002</v>
      </c>
      <c r="L133" s="22">
        <f>F133^2/162</f>
        <v>3.8580246913580245</v>
      </c>
      <c r="M133" s="21">
        <f>K133*L133</f>
        <v>847.2222222222223</v>
      </c>
      <c r="N133" s="22">
        <f>M133/1000</f>
        <v>0.8472222222222223</v>
      </c>
      <c r="O133" s="13" t="inlineStr">
        <is>
          <t>BBS</t>
        </is>
      </c>
    </row>
    <row r="134">
      <c r="A134" s="13" t="n">
        <v>129</v>
      </c>
      <c r="B134" s="13" t="inlineStr">
        <is>
          <t>Beams</t>
        </is>
      </c>
      <c r="C134" s="13" t="inlineStr">
        <is>
          <t>STR-078</t>
        </is>
      </c>
      <c r="D134" s="13" t="inlineStr">
        <is>
          <t>Typical 4th-8th floor beams (sheet 1 of 2)</t>
        </is>
      </c>
      <c r="E134" s="19" t="inlineStr">
        <is>
          <t>2518</t>
        </is>
      </c>
      <c r="F134" s="19" t="n">
        <v>25</v>
      </c>
      <c r="G134" s="19" t="n">
        <v>1</v>
      </c>
      <c r="H134" s="19" t="n">
        <v>3</v>
      </c>
      <c r="I134" s="13">
        <f>G134*H134</f>
        <v>3.0</v>
      </c>
      <c r="J134" s="20">
        <f>9800/1000</f>
        <v>9.8</v>
      </c>
      <c r="K134" s="21">
        <f>I134*J134</f>
        <v>29.400000000000002</v>
      </c>
      <c r="L134" s="22">
        <f>F134^2/162</f>
        <v>3.8580246913580245</v>
      </c>
      <c r="M134" s="21">
        <f>K134*L134</f>
        <v>113.42592592592592</v>
      </c>
      <c r="N134" s="22">
        <f>M134/1000</f>
        <v>0.11342592592592593</v>
      </c>
      <c r="O134" s="13" t="inlineStr">
        <is>
          <t>BBS</t>
        </is>
      </c>
    </row>
    <row r="135">
      <c r="A135" s="13" t="n">
        <v>130</v>
      </c>
      <c r="B135" s="13" t="inlineStr">
        <is>
          <t>Beams</t>
        </is>
      </c>
      <c r="C135" s="13" t="inlineStr">
        <is>
          <t>STR-078</t>
        </is>
      </c>
      <c r="D135" s="13" t="inlineStr">
        <is>
          <t>Typical 4th-8th floor beams (sheet 1 of 2)</t>
        </is>
      </c>
      <c r="E135" s="19" t="inlineStr">
        <is>
          <t>2519</t>
        </is>
      </c>
      <c r="F135" s="19" t="n">
        <v>25</v>
      </c>
      <c r="G135" s="19" t="n">
        <v>1</v>
      </c>
      <c r="H135" s="19" t="n">
        <v>3</v>
      </c>
      <c r="I135" s="13">
        <f>G135*H135</f>
        <v>3.0</v>
      </c>
      <c r="J135" s="20">
        <f>8125/1000</f>
        <v>8.125</v>
      </c>
      <c r="K135" s="21">
        <f>I135*J135</f>
        <v>24.375</v>
      </c>
      <c r="L135" s="22">
        <f>F135^2/162</f>
        <v>3.8580246913580245</v>
      </c>
      <c r="M135" s="21">
        <f>K135*L135</f>
        <v>94.03935185185185</v>
      </c>
      <c r="N135" s="22">
        <f>M135/1000</f>
        <v>0.09403935185185185</v>
      </c>
      <c r="O135" s="13" t="inlineStr">
        <is>
          <t>BBS</t>
        </is>
      </c>
    </row>
    <row r="136">
      <c r="A136" s="13" t="n">
        <v>131</v>
      </c>
      <c r="B136" s="13" t="inlineStr">
        <is>
          <t>Beams</t>
        </is>
      </c>
      <c r="C136" s="13" t="inlineStr">
        <is>
          <t>STR-078</t>
        </is>
      </c>
      <c r="D136" s="13" t="inlineStr">
        <is>
          <t>Typical 4th-8th floor beams (sheet 1 of 2)</t>
        </is>
      </c>
      <c r="E136" s="19" t="inlineStr">
        <is>
          <t>2520</t>
        </is>
      </c>
      <c r="F136" s="19" t="n">
        <v>25</v>
      </c>
      <c r="G136" s="19" t="n">
        <v>1</v>
      </c>
      <c r="H136" s="19" t="n">
        <v>24</v>
      </c>
      <c r="I136" s="13">
        <f>G136*H136</f>
        <v>24.0</v>
      </c>
      <c r="J136" s="20">
        <f>8025/1000</f>
        <v>8.025</v>
      </c>
      <c r="K136" s="21">
        <f>I136*J136</f>
        <v>192.60000000000002</v>
      </c>
      <c r="L136" s="22">
        <f>F136^2/162</f>
        <v>3.8580246913580245</v>
      </c>
      <c r="M136" s="21">
        <f>K136*L136</f>
        <v>743.0555555555557</v>
      </c>
      <c r="N136" s="22">
        <f>M136/1000</f>
        <v>0.7430555555555557</v>
      </c>
      <c r="O136" s="13" t="inlineStr">
        <is>
          <t>BBS</t>
        </is>
      </c>
    </row>
    <row r="137">
      <c r="A137" s="13" t="n">
        <v>132</v>
      </c>
      <c r="B137" s="13" t="inlineStr">
        <is>
          <t>Beams</t>
        </is>
      </c>
      <c r="C137" s="13" t="inlineStr">
        <is>
          <t>STR-079</t>
        </is>
      </c>
      <c r="D137" s="13" t="inlineStr">
        <is>
          <t>Typical 4th-8th floor beams (sheet 2 of 2)</t>
        </is>
      </c>
      <c r="E137" s="19" t="inlineStr">
        <is>
          <t>1001</t>
        </is>
      </c>
      <c r="F137" s="19" t="n">
        <v>10</v>
      </c>
      <c r="G137" s="19" t="n">
        <v>1</v>
      </c>
      <c r="H137" s="19" t="n">
        <v>607</v>
      </c>
      <c r="I137" s="13">
        <f>G137*H137</f>
        <v>607.0</v>
      </c>
      <c r="J137" s="20">
        <f>1700/1000</f>
        <v>1.7</v>
      </c>
      <c r="K137" s="21">
        <f>I137*J137</f>
        <v>1031.8999999999999</v>
      </c>
      <c r="L137" s="22">
        <f>F137^2/162</f>
        <v>0.6172839506172839</v>
      </c>
      <c r="M137" s="21">
        <f>K137*L137</f>
        <v>636.9753086419752</v>
      </c>
      <c r="N137" s="22">
        <f>M137/1000</f>
        <v>0.6369753086419752</v>
      </c>
      <c r="O137" s="13" t="inlineStr">
        <is>
          <t>BBS</t>
        </is>
      </c>
    </row>
    <row r="138">
      <c r="A138" s="13" t="n">
        <v>133</v>
      </c>
      <c r="B138" s="13" t="inlineStr">
        <is>
          <t>Beams</t>
        </is>
      </c>
      <c r="C138" s="13" t="inlineStr">
        <is>
          <t>STR-079</t>
        </is>
      </c>
      <c r="D138" s="13" t="inlineStr">
        <is>
          <t>Typical 4th-8th floor beams (sheet 2 of 2)</t>
        </is>
      </c>
      <c r="E138" s="19" t="inlineStr">
        <is>
          <t>1601</t>
        </is>
      </c>
      <c r="F138" s="19" t="n">
        <v>16</v>
      </c>
      <c r="G138" s="19" t="n">
        <v>1</v>
      </c>
      <c r="H138" s="19" t="n">
        <v>4</v>
      </c>
      <c r="I138" s="13">
        <f>G138*H138</f>
        <v>4.0</v>
      </c>
      <c r="J138" s="20">
        <f>11800/1000</f>
        <v>11.8</v>
      </c>
      <c r="K138" s="21">
        <f>I138*J138</f>
        <v>47.2</v>
      </c>
      <c r="L138" s="22">
        <f>F138^2/162</f>
        <v>1.5802469135802468</v>
      </c>
      <c r="M138" s="21">
        <f>K138*L138</f>
        <v>74.58765432098765</v>
      </c>
      <c r="N138" s="22">
        <f>M138/1000</f>
        <v>0.07458765432098766</v>
      </c>
      <c r="O138" s="13" t="inlineStr">
        <is>
          <t>BBS</t>
        </is>
      </c>
    </row>
    <row r="139">
      <c r="A139" s="13" t="n">
        <v>134</v>
      </c>
      <c r="B139" s="13" t="inlineStr">
        <is>
          <t>Beams</t>
        </is>
      </c>
      <c r="C139" s="13" t="inlineStr">
        <is>
          <t>STR-079</t>
        </is>
      </c>
      <c r="D139" s="13" t="inlineStr">
        <is>
          <t>Typical 4th-8th floor beams (sheet 2 of 2)</t>
        </is>
      </c>
      <c r="E139" s="19" t="inlineStr">
        <is>
          <t>1602</t>
        </is>
      </c>
      <c r="F139" s="19" t="n">
        <v>16</v>
      </c>
      <c r="G139" s="19" t="n">
        <v>1</v>
      </c>
      <c r="H139" s="19" t="n">
        <v>3</v>
      </c>
      <c r="I139" s="13">
        <f>G139*H139</f>
        <v>3.0</v>
      </c>
      <c r="J139" s="20">
        <f>11550/1000</f>
        <v>11.55</v>
      </c>
      <c r="K139" s="21">
        <f>I139*J139</f>
        <v>34.650000000000006</v>
      </c>
      <c r="L139" s="22">
        <f>F139^2/162</f>
        <v>1.5802469135802468</v>
      </c>
      <c r="M139" s="21">
        <f>K139*L139</f>
        <v>54.75555555555556</v>
      </c>
      <c r="N139" s="22">
        <f>M139/1000</f>
        <v>0.05475555555555556</v>
      </c>
      <c r="O139" s="13" t="inlineStr">
        <is>
          <t>BBS</t>
        </is>
      </c>
    </row>
    <row r="140">
      <c r="A140" s="13" t="n">
        <v>135</v>
      </c>
      <c r="B140" s="13" t="inlineStr">
        <is>
          <t>Beams</t>
        </is>
      </c>
      <c r="C140" s="13" t="inlineStr">
        <is>
          <t>STR-079</t>
        </is>
      </c>
      <c r="D140" s="13" t="inlineStr">
        <is>
          <t>Typical 4th-8th floor beams (sheet 2 of 2)</t>
        </is>
      </c>
      <c r="E140" s="19" t="inlineStr">
        <is>
          <t>1603</t>
        </is>
      </c>
      <c r="F140" s="19" t="n">
        <v>16</v>
      </c>
      <c r="G140" s="19" t="n">
        <v>1</v>
      </c>
      <c r="H140" s="19" t="n">
        <v>3</v>
      </c>
      <c r="I140" s="13">
        <f>G140*H140</f>
        <v>3.0</v>
      </c>
      <c r="J140" s="20">
        <f>6450/1000</f>
        <v>6.45</v>
      </c>
      <c r="K140" s="21">
        <f>I140*J140</f>
        <v>19.35</v>
      </c>
      <c r="L140" s="22">
        <f>F140^2/162</f>
        <v>1.5802469135802468</v>
      </c>
      <c r="M140" s="21">
        <f>K140*L140</f>
        <v>30.57777777777778</v>
      </c>
      <c r="N140" s="22">
        <f>M140/1000</f>
        <v>0.03057777777777778</v>
      </c>
      <c r="O140" s="13" t="inlineStr">
        <is>
          <t>BBS</t>
        </is>
      </c>
    </row>
    <row r="141">
      <c r="A141" s="13" t="n">
        <v>136</v>
      </c>
      <c r="B141" s="13" t="inlineStr">
        <is>
          <t>Beams</t>
        </is>
      </c>
      <c r="C141" s="13" t="inlineStr">
        <is>
          <t>STR-079</t>
        </is>
      </c>
      <c r="D141" s="13" t="inlineStr">
        <is>
          <t>Typical 4th-8th floor beams (sheet 2 of 2)</t>
        </is>
      </c>
      <c r="E141" s="19" t="inlineStr">
        <is>
          <t>1604</t>
        </is>
      </c>
      <c r="F141" s="19" t="n">
        <v>16</v>
      </c>
      <c r="G141" s="19" t="n">
        <v>1</v>
      </c>
      <c r="H141" s="19" t="n">
        <v>3</v>
      </c>
      <c r="I141" s="13">
        <f>G141*H141</f>
        <v>3.0</v>
      </c>
      <c r="J141" s="20">
        <f>7600/1000</f>
        <v>7.6</v>
      </c>
      <c r="K141" s="21">
        <f>I141*J141</f>
        <v>22.799999999999997</v>
      </c>
      <c r="L141" s="22">
        <f>F141^2/162</f>
        <v>1.5802469135802468</v>
      </c>
      <c r="M141" s="21">
        <f>K141*L141</f>
        <v>36.029629629629625</v>
      </c>
      <c r="N141" s="22">
        <f>M141/1000</f>
        <v>0.03602962962962963</v>
      </c>
      <c r="O141" s="13" t="inlineStr">
        <is>
          <t>BBS</t>
        </is>
      </c>
    </row>
    <row r="142">
      <c r="A142" s="13" t="n">
        <v>137</v>
      </c>
      <c r="B142" s="13" t="inlineStr">
        <is>
          <t>Beams</t>
        </is>
      </c>
      <c r="C142" s="13" t="inlineStr">
        <is>
          <t>STR-079</t>
        </is>
      </c>
      <c r="D142" s="13" t="inlineStr">
        <is>
          <t>Typical 4th-8th floor beams (sheet 2 of 2)</t>
        </is>
      </c>
      <c r="E142" s="19" t="inlineStr">
        <is>
          <t>1605</t>
        </is>
      </c>
      <c r="F142" s="19" t="n">
        <v>16</v>
      </c>
      <c r="G142" s="19" t="n">
        <v>1</v>
      </c>
      <c r="H142" s="19" t="n">
        <v>4</v>
      </c>
      <c r="I142" s="13">
        <f>G142*H142</f>
        <v>4.0</v>
      </c>
      <c r="J142" s="20">
        <f>1200/1000</f>
        <v>1.2</v>
      </c>
      <c r="K142" s="21">
        <f>I142*J142</f>
        <v>4.8</v>
      </c>
      <c r="L142" s="22">
        <f>F142^2/162</f>
        <v>1.5802469135802468</v>
      </c>
      <c r="M142" s="21">
        <f>K142*L142</f>
        <v>7.585185185185185</v>
      </c>
      <c r="N142" s="22">
        <f>M142/1000</f>
        <v>0.007585185185185184</v>
      </c>
      <c r="O142" s="13" t="inlineStr">
        <is>
          <t>BBS</t>
        </is>
      </c>
    </row>
    <row r="143">
      <c r="A143" s="13" t="n">
        <v>138</v>
      </c>
      <c r="B143" s="13" t="inlineStr">
        <is>
          <t>Beams</t>
        </is>
      </c>
      <c r="C143" s="13" t="inlineStr">
        <is>
          <t>STR-079</t>
        </is>
      </c>
      <c r="D143" s="13" t="inlineStr">
        <is>
          <t>Typical 4th-8th floor beams (sheet 2 of 2)</t>
        </is>
      </c>
      <c r="E143" s="19" t="inlineStr">
        <is>
          <t>1606</t>
        </is>
      </c>
      <c r="F143" s="19" t="n">
        <v>16</v>
      </c>
      <c r="G143" s="19" t="n">
        <v>1</v>
      </c>
      <c r="H143" s="19" t="n">
        <v>3</v>
      </c>
      <c r="I143" s="13">
        <f>G143*H143</f>
        <v>3.0</v>
      </c>
      <c r="J143" s="20">
        <f>11300/1000</f>
        <v>11.3</v>
      </c>
      <c r="K143" s="21">
        <f>I143*J143</f>
        <v>33.900000000000006</v>
      </c>
      <c r="L143" s="22">
        <f>F143^2/162</f>
        <v>1.5802469135802468</v>
      </c>
      <c r="M143" s="21">
        <f>K143*L143</f>
        <v>53.57037037037038</v>
      </c>
      <c r="N143" s="22">
        <f>M143/1000</f>
        <v>0.05357037037037038</v>
      </c>
      <c r="O143" s="13" t="inlineStr">
        <is>
          <t>BBS</t>
        </is>
      </c>
    </row>
    <row r="144">
      <c r="A144" s="13" t="n">
        <v>139</v>
      </c>
      <c r="B144" s="13" t="inlineStr">
        <is>
          <t>Beams</t>
        </is>
      </c>
      <c r="C144" s="13" t="inlineStr">
        <is>
          <t>STR-079</t>
        </is>
      </c>
      <c r="D144" s="13" t="inlineStr">
        <is>
          <t>Typical 4th-8th floor beams (sheet 2 of 2)</t>
        </is>
      </c>
      <c r="E144" s="19" t="inlineStr">
        <is>
          <t>1607</t>
        </is>
      </c>
      <c r="F144" s="19" t="n">
        <v>16</v>
      </c>
      <c r="G144" s="19" t="n">
        <v>1</v>
      </c>
      <c r="H144" s="19" t="n">
        <v>2</v>
      </c>
      <c r="I144" s="13">
        <f>G144*H144</f>
        <v>2.0</v>
      </c>
      <c r="J144" s="20">
        <f>7400/1000</f>
        <v>7.4</v>
      </c>
      <c r="K144" s="21">
        <f>I144*J144</f>
        <v>14.8</v>
      </c>
      <c r="L144" s="22">
        <f>F144^2/162</f>
        <v>1.5802469135802468</v>
      </c>
      <c r="M144" s="21">
        <f>K144*L144</f>
        <v>23.387654320987654</v>
      </c>
      <c r="N144" s="22">
        <f>M144/1000</f>
        <v>0.023387654320987654</v>
      </c>
      <c r="O144" s="13" t="inlineStr">
        <is>
          <t>BBS</t>
        </is>
      </c>
    </row>
    <row r="145">
      <c r="A145" s="13" t="n">
        <v>140</v>
      </c>
      <c r="B145" s="13" t="inlineStr">
        <is>
          <t>Beams</t>
        </is>
      </c>
      <c r="C145" s="13" t="inlineStr">
        <is>
          <t>STR-079</t>
        </is>
      </c>
      <c r="D145" s="13" t="inlineStr">
        <is>
          <t>Typical 4th-8th floor beams (sheet 2 of 2)</t>
        </is>
      </c>
      <c r="E145" s="19" t="inlineStr">
        <is>
          <t>1608</t>
        </is>
      </c>
      <c r="F145" s="19" t="n">
        <v>16</v>
      </c>
      <c r="G145" s="19" t="n">
        <v>1</v>
      </c>
      <c r="H145" s="19" t="n">
        <v>6</v>
      </c>
      <c r="I145" s="13">
        <f>G145*H145</f>
        <v>6.0</v>
      </c>
      <c r="J145" s="20">
        <f>9050/1000</f>
        <v>9.05</v>
      </c>
      <c r="K145" s="21">
        <f>I145*J145</f>
        <v>54.300000000000004</v>
      </c>
      <c r="L145" s="22">
        <f>F145^2/162</f>
        <v>1.5802469135802468</v>
      </c>
      <c r="M145" s="21">
        <f>K145*L145</f>
        <v>85.80740740740741</v>
      </c>
      <c r="N145" s="22">
        <f>M145/1000</f>
        <v>0.08580740740740742</v>
      </c>
      <c r="O145" s="13" t="inlineStr">
        <is>
          <t>BBS</t>
        </is>
      </c>
    </row>
    <row r="146">
      <c r="A146" s="13" t="n">
        <v>141</v>
      </c>
      <c r="B146" s="13" t="inlineStr">
        <is>
          <t>Beams</t>
        </is>
      </c>
      <c r="C146" s="13" t="inlineStr">
        <is>
          <t>STR-079</t>
        </is>
      </c>
      <c r="D146" s="13" t="inlineStr">
        <is>
          <t>Typical 4th-8th floor beams (sheet 2 of 2)</t>
        </is>
      </c>
      <c r="E146" s="19" t="inlineStr">
        <is>
          <t>1609</t>
        </is>
      </c>
      <c r="F146" s="19" t="n">
        <v>16</v>
      </c>
      <c r="G146" s="19" t="n">
        <v>1</v>
      </c>
      <c r="H146" s="19" t="n">
        <v>3</v>
      </c>
      <c r="I146" s="13">
        <f>G146*H146</f>
        <v>3.0</v>
      </c>
      <c r="J146" s="20">
        <f>9800/1000</f>
        <v>9.8</v>
      </c>
      <c r="K146" s="21">
        <f>I146*J146</f>
        <v>29.400000000000002</v>
      </c>
      <c r="L146" s="22">
        <f>F146^2/162</f>
        <v>1.5802469135802468</v>
      </c>
      <c r="M146" s="21">
        <f>K146*L146</f>
        <v>46.45925925925926</v>
      </c>
      <c r="N146" s="22">
        <f>M146/1000</f>
        <v>0.04645925925925926</v>
      </c>
      <c r="O146" s="13" t="inlineStr">
        <is>
          <t>BBS</t>
        </is>
      </c>
    </row>
    <row r="147">
      <c r="A147" s="13" t="n">
        <v>142</v>
      </c>
      <c r="B147" s="13" t="inlineStr">
        <is>
          <t>Beams</t>
        </is>
      </c>
      <c r="C147" s="13" t="inlineStr">
        <is>
          <t>STR-079</t>
        </is>
      </c>
      <c r="D147" s="13" t="inlineStr">
        <is>
          <t>Typical 4th-8th floor beams (sheet 2 of 2)</t>
        </is>
      </c>
      <c r="E147" s="19" t="inlineStr">
        <is>
          <t>1610</t>
        </is>
      </c>
      <c r="F147" s="19" t="n">
        <v>16</v>
      </c>
      <c r="G147" s="19" t="n">
        <v>1</v>
      </c>
      <c r="H147" s="19" t="n">
        <v>2</v>
      </c>
      <c r="I147" s="13">
        <f>G147*H147</f>
        <v>2.0</v>
      </c>
      <c r="J147" s="20">
        <f>7900/1000</f>
        <v>7.9</v>
      </c>
      <c r="K147" s="21">
        <f>I147*J147</f>
        <v>15.8</v>
      </c>
      <c r="L147" s="22">
        <f>F147^2/162</f>
        <v>1.5802469135802468</v>
      </c>
      <c r="M147" s="21">
        <f>K147*L147</f>
        <v>24.9679012345679</v>
      </c>
      <c r="N147" s="22">
        <f>M147/1000</f>
        <v>0.0249679012345679</v>
      </c>
      <c r="O147" s="13" t="inlineStr">
        <is>
          <t>BBS</t>
        </is>
      </c>
    </row>
    <row r="148">
      <c r="A148" s="13" t="n">
        <v>143</v>
      </c>
      <c r="B148" s="13" t="inlineStr">
        <is>
          <t>Beams</t>
        </is>
      </c>
      <c r="C148" s="13" t="inlineStr">
        <is>
          <t>STR-079</t>
        </is>
      </c>
      <c r="D148" s="13" t="inlineStr">
        <is>
          <t>Typical 4th-8th floor beams (sheet 2 of 2)</t>
        </is>
      </c>
      <c r="E148" s="19" t="inlineStr">
        <is>
          <t>1611</t>
        </is>
      </c>
      <c r="F148" s="19" t="n">
        <v>16</v>
      </c>
      <c r="G148" s="19" t="n">
        <v>1</v>
      </c>
      <c r="H148" s="19" t="n">
        <v>18</v>
      </c>
      <c r="I148" s="13">
        <f>G148*H148</f>
        <v>18.0</v>
      </c>
      <c r="J148" s="20">
        <f>3350/1000</f>
        <v>3.35</v>
      </c>
      <c r="K148" s="21">
        <f>I148*J148</f>
        <v>60.300000000000004</v>
      </c>
      <c r="L148" s="22">
        <f>F148^2/162</f>
        <v>1.5802469135802468</v>
      </c>
      <c r="M148" s="21">
        <f>K148*L148</f>
        <v>95.28888888888889</v>
      </c>
      <c r="N148" s="22">
        <f>M148/1000</f>
        <v>0.0952888888888889</v>
      </c>
      <c r="O148" s="13" t="inlineStr">
        <is>
          <t>BBS</t>
        </is>
      </c>
    </row>
    <row r="149">
      <c r="A149" s="13" t="n">
        <v>144</v>
      </c>
      <c r="B149" s="13" t="inlineStr">
        <is>
          <t>Beams</t>
        </is>
      </c>
      <c r="C149" s="13" t="inlineStr">
        <is>
          <t>STR-079</t>
        </is>
      </c>
      <c r="D149" s="13" t="inlineStr">
        <is>
          <t>Typical 4th-8th floor beams (sheet 2 of 2)</t>
        </is>
      </c>
      <c r="E149" s="19" t="inlineStr">
        <is>
          <t>1612</t>
        </is>
      </c>
      <c r="F149" s="19" t="n">
        <v>16</v>
      </c>
      <c r="G149" s="19" t="n">
        <v>1</v>
      </c>
      <c r="H149" s="19" t="n">
        <v>2</v>
      </c>
      <c r="I149" s="13">
        <f>G149*H149</f>
        <v>2.0</v>
      </c>
      <c r="J149" s="20">
        <f>2400/1000</f>
        <v>2.4</v>
      </c>
      <c r="K149" s="21">
        <f>I149*J149</f>
        <v>4.8</v>
      </c>
      <c r="L149" s="22">
        <f>F149^2/162</f>
        <v>1.5802469135802468</v>
      </c>
      <c r="M149" s="21">
        <f>K149*L149</f>
        <v>7.585185185185185</v>
      </c>
      <c r="N149" s="22">
        <f>M149/1000</f>
        <v>0.007585185185185184</v>
      </c>
      <c r="O149" s="13" t="inlineStr">
        <is>
          <t>BBS</t>
        </is>
      </c>
    </row>
    <row r="150">
      <c r="A150" s="13" t="n">
        <v>145</v>
      </c>
      <c r="B150" s="13" t="inlineStr">
        <is>
          <t>Beams</t>
        </is>
      </c>
      <c r="C150" s="13" t="inlineStr">
        <is>
          <t>STR-079</t>
        </is>
      </c>
      <c r="D150" s="13" t="inlineStr">
        <is>
          <t>Typical 4th-8th floor beams (sheet 2 of 2)</t>
        </is>
      </c>
      <c r="E150" s="19" t="inlineStr">
        <is>
          <t>1613</t>
        </is>
      </c>
      <c r="F150" s="19" t="n">
        <v>16</v>
      </c>
      <c r="G150" s="19" t="n">
        <v>1</v>
      </c>
      <c r="H150" s="19" t="n">
        <v>2</v>
      </c>
      <c r="I150" s="13">
        <f>G150*H150</f>
        <v>2.0</v>
      </c>
      <c r="J150" s="20">
        <f>10550/1000</f>
        <v>10.55</v>
      </c>
      <c r="K150" s="21">
        <f>I150*J150</f>
        <v>21.1</v>
      </c>
      <c r="L150" s="22">
        <f>F150^2/162</f>
        <v>1.5802469135802468</v>
      </c>
      <c r="M150" s="21">
        <f>K150*L150</f>
        <v>33.34320987654321</v>
      </c>
      <c r="N150" s="22">
        <f>M150/1000</f>
        <v>0.03334320987654321</v>
      </c>
      <c r="O150" s="13" t="inlineStr">
        <is>
          <t>BBS</t>
        </is>
      </c>
    </row>
    <row r="151">
      <c r="A151" s="13" t="n">
        <v>146</v>
      </c>
      <c r="B151" s="13" t="inlineStr">
        <is>
          <t>Beams</t>
        </is>
      </c>
      <c r="C151" s="13" t="inlineStr">
        <is>
          <t>STR-079</t>
        </is>
      </c>
      <c r="D151" s="13" t="inlineStr">
        <is>
          <t>Typical 4th-8th floor beams (sheet 2 of 2)</t>
        </is>
      </c>
      <c r="E151" s="19" t="inlineStr">
        <is>
          <t>1614</t>
        </is>
      </c>
      <c r="F151" s="19" t="n">
        <v>16</v>
      </c>
      <c r="G151" s="19" t="n">
        <v>1</v>
      </c>
      <c r="H151" s="19" t="n">
        <v>2</v>
      </c>
      <c r="I151" s="13">
        <f>G151*H151</f>
        <v>2.0</v>
      </c>
      <c r="J151" s="20">
        <f>9050/1000</f>
        <v>9.05</v>
      </c>
      <c r="K151" s="21">
        <f>I151*J151</f>
        <v>18.1</v>
      </c>
      <c r="L151" s="22">
        <f>F151^2/162</f>
        <v>1.5802469135802468</v>
      </c>
      <c r="M151" s="21">
        <f>K151*L151</f>
        <v>28.60246913580247</v>
      </c>
      <c r="N151" s="22">
        <f>M151/1000</f>
        <v>0.02860246913580247</v>
      </c>
      <c r="O151" s="13" t="inlineStr">
        <is>
          <t>BBS</t>
        </is>
      </c>
    </row>
    <row r="152">
      <c r="A152" s="13" t="n">
        <v>147</v>
      </c>
      <c r="B152" s="13" t="inlineStr">
        <is>
          <t>Beams</t>
        </is>
      </c>
      <c r="C152" s="13" t="inlineStr">
        <is>
          <t>STR-079</t>
        </is>
      </c>
      <c r="D152" s="13" t="inlineStr">
        <is>
          <t>Typical 4th-8th floor beams (sheet 2 of 2)</t>
        </is>
      </c>
      <c r="E152" s="19" t="inlineStr">
        <is>
          <t>2001</t>
        </is>
      </c>
      <c r="F152" s="19" t="n">
        <v>20</v>
      </c>
      <c r="G152" s="19" t="n">
        <v>1</v>
      </c>
      <c r="H152" s="19" t="n">
        <v>6</v>
      </c>
      <c r="I152" s="13">
        <f>G152*H152</f>
        <v>6.0</v>
      </c>
      <c r="J152" s="20">
        <f>8500/1000</f>
        <v>8.5</v>
      </c>
      <c r="K152" s="21">
        <f>I152*J152</f>
        <v>51.0</v>
      </c>
      <c r="L152" s="22">
        <f>F152^2/162</f>
        <v>2.4691358024691357</v>
      </c>
      <c r="M152" s="21">
        <f>K152*L152</f>
        <v>125.92592592592592</v>
      </c>
      <c r="N152" s="22">
        <f>M152/1000</f>
        <v>0.1259259259259259</v>
      </c>
      <c r="O152" s="13" t="inlineStr">
        <is>
          <t>BBS</t>
        </is>
      </c>
    </row>
    <row r="153">
      <c r="A153" s="13" t="n">
        <v>148</v>
      </c>
      <c r="B153" s="13" t="inlineStr">
        <is>
          <t>Beams</t>
        </is>
      </c>
      <c r="C153" s="13" t="inlineStr">
        <is>
          <t>STR-079</t>
        </is>
      </c>
      <c r="D153" s="13" t="inlineStr">
        <is>
          <t>Typical 4th-8th floor beams (sheet 2 of 2)</t>
        </is>
      </c>
      <c r="E153" s="19" t="inlineStr">
        <is>
          <t>2501</t>
        </is>
      </c>
      <c r="F153" s="19" t="n">
        <v>25</v>
      </c>
      <c r="G153" s="19" t="n">
        <v>1</v>
      </c>
      <c r="H153" s="19" t="n">
        <v>3</v>
      </c>
      <c r="I153" s="13">
        <f>G153*H153</f>
        <v>3.0</v>
      </c>
      <c r="J153" s="20">
        <f>5850/1000</f>
        <v>5.85</v>
      </c>
      <c r="K153" s="21">
        <f>I153*J153</f>
        <v>17.549999999999997</v>
      </c>
      <c r="L153" s="22">
        <f>F153^2/162</f>
        <v>3.8580246913580245</v>
      </c>
      <c r="M153" s="21">
        <f>K153*L153</f>
        <v>67.70833333333331</v>
      </c>
      <c r="N153" s="22">
        <f>M153/1000</f>
        <v>0.06770833333333331</v>
      </c>
      <c r="O153" s="13" t="inlineStr">
        <is>
          <t>BBS</t>
        </is>
      </c>
    </row>
    <row r="154">
      <c r="A154" s="13" t="n">
        <v>149</v>
      </c>
      <c r="B154" s="13" t="inlineStr">
        <is>
          <t>Beams</t>
        </is>
      </c>
      <c r="C154" s="13" t="inlineStr">
        <is>
          <t>STR-079</t>
        </is>
      </c>
      <c r="D154" s="13" t="inlineStr">
        <is>
          <t>Typical 4th-8th floor beams (sheet 2 of 2)</t>
        </is>
      </c>
      <c r="E154" s="19" t="inlineStr">
        <is>
          <t>2502</t>
        </is>
      </c>
      <c r="F154" s="19" t="n">
        <v>25</v>
      </c>
      <c r="G154" s="19" t="n">
        <v>1</v>
      </c>
      <c r="H154" s="19" t="n">
        <v>3</v>
      </c>
      <c r="I154" s="13">
        <f>G154*H154</f>
        <v>3.0</v>
      </c>
      <c r="J154" s="20">
        <f>8000/1000</f>
        <v>8.0</v>
      </c>
      <c r="K154" s="21">
        <f>I154*J154</f>
        <v>24.0</v>
      </c>
      <c r="L154" s="22">
        <f>F154^2/162</f>
        <v>3.8580246913580245</v>
      </c>
      <c r="M154" s="21">
        <f>K154*L154</f>
        <v>92.59259259259258</v>
      </c>
      <c r="N154" s="22">
        <f>M154/1000</f>
        <v>0.09259259259259259</v>
      </c>
      <c r="O154" s="13" t="inlineStr">
        <is>
          <t>BBS</t>
        </is>
      </c>
    </row>
    <row r="155">
      <c r="A155" s="13" t="n">
        <v>150</v>
      </c>
      <c r="B155" s="13" t="inlineStr">
        <is>
          <t>Beams</t>
        </is>
      </c>
      <c r="C155" s="13" t="inlineStr">
        <is>
          <t>STR-079</t>
        </is>
      </c>
      <c r="D155" s="13" t="inlineStr">
        <is>
          <t>Typical 4th-8th floor beams (sheet 2 of 2)</t>
        </is>
      </c>
      <c r="E155" s="19" t="inlineStr">
        <is>
          <t>2503</t>
        </is>
      </c>
      <c r="F155" s="19" t="n">
        <v>25</v>
      </c>
      <c r="G155" s="19" t="n">
        <v>1</v>
      </c>
      <c r="H155" s="19" t="n">
        <v>3</v>
      </c>
      <c r="I155" s="13">
        <f>G155*H155</f>
        <v>3.0</v>
      </c>
      <c r="J155" s="20">
        <f>8700/1000</f>
        <v>8.7</v>
      </c>
      <c r="K155" s="21">
        <f>I155*J155</f>
        <v>26.099999999999998</v>
      </c>
      <c r="L155" s="22">
        <f>F155^2/162</f>
        <v>3.8580246913580245</v>
      </c>
      <c r="M155" s="21">
        <f>K155*L155</f>
        <v>100.69444444444443</v>
      </c>
      <c r="N155" s="22">
        <f>M155/1000</f>
        <v>0.10069444444444443</v>
      </c>
      <c r="O155" s="13" t="inlineStr">
        <is>
          <t>BBS</t>
        </is>
      </c>
    </row>
    <row r="156">
      <c r="A156" s="13" t="n">
        <v>151</v>
      </c>
      <c r="B156" s="13" t="inlineStr">
        <is>
          <t>Beams</t>
        </is>
      </c>
      <c r="C156" s="13" t="inlineStr">
        <is>
          <t>STR-079</t>
        </is>
      </c>
      <c r="D156" s="13" t="inlineStr">
        <is>
          <t>Typical 4th-8th floor beams (sheet 2 of 2)</t>
        </is>
      </c>
      <c r="E156" s="19" t="inlineStr">
        <is>
          <t>2504</t>
        </is>
      </c>
      <c r="F156" s="19" t="n">
        <v>25</v>
      </c>
      <c r="G156" s="19" t="n">
        <v>1</v>
      </c>
      <c r="H156" s="19" t="n">
        <v>3</v>
      </c>
      <c r="I156" s="13">
        <f>G156*H156</f>
        <v>3.0</v>
      </c>
      <c r="J156" s="20">
        <f>5900/1000</f>
        <v>5.9</v>
      </c>
      <c r="K156" s="21">
        <f>I156*J156</f>
        <v>17.700000000000003</v>
      </c>
      <c r="L156" s="22">
        <f>F156^2/162</f>
        <v>3.8580246913580245</v>
      </c>
      <c r="M156" s="21">
        <f>K156*L156</f>
        <v>68.28703703703704</v>
      </c>
      <c r="N156" s="22">
        <f>M156/1000</f>
        <v>0.06828703703703703</v>
      </c>
      <c r="O156" s="13" t="inlineStr">
        <is>
          <t>BBS</t>
        </is>
      </c>
    </row>
    <row r="157">
      <c r="A157" s="13" t="n">
        <v>152</v>
      </c>
      <c r="B157" s="13" t="inlineStr">
        <is>
          <t>Beams</t>
        </is>
      </c>
      <c r="C157" s="13" t="inlineStr">
        <is>
          <t>STR-079</t>
        </is>
      </c>
      <c r="D157" s="13" t="inlineStr">
        <is>
          <t>Typical 4th-8th floor beams (sheet 2 of 2)</t>
        </is>
      </c>
      <c r="E157" s="19" t="inlineStr">
        <is>
          <t>2505</t>
        </is>
      </c>
      <c r="F157" s="19" t="n">
        <v>25</v>
      </c>
      <c r="G157" s="19" t="n">
        <v>1</v>
      </c>
      <c r="H157" s="19" t="n">
        <v>3</v>
      </c>
      <c r="I157" s="13">
        <f>G157*H157</f>
        <v>3.0</v>
      </c>
      <c r="J157" s="20">
        <f>7750/1000</f>
        <v>7.75</v>
      </c>
      <c r="K157" s="21">
        <f>I157*J157</f>
        <v>23.25</v>
      </c>
      <c r="L157" s="22">
        <f>F157^2/162</f>
        <v>3.8580246913580245</v>
      </c>
      <c r="M157" s="21">
        <f>K157*L157</f>
        <v>89.69907407407408</v>
      </c>
      <c r="N157" s="22">
        <f>M157/1000</f>
        <v>0.08969907407407407</v>
      </c>
      <c r="O157" s="13" t="inlineStr">
        <is>
          <t>BBS</t>
        </is>
      </c>
    </row>
    <row r="158">
      <c r="A158" s="13" t="n">
        <v>153</v>
      </c>
      <c r="B158" s="13" t="inlineStr">
        <is>
          <t>Beams</t>
        </is>
      </c>
      <c r="C158" s="13" t="inlineStr">
        <is>
          <t>STR-079</t>
        </is>
      </c>
      <c r="D158" s="13" t="inlineStr">
        <is>
          <t>Typical 4th-8th floor beams (sheet 2 of 2)</t>
        </is>
      </c>
      <c r="E158" s="19" t="inlineStr">
        <is>
          <t>2506</t>
        </is>
      </c>
      <c r="F158" s="19" t="n">
        <v>25</v>
      </c>
      <c r="G158" s="19" t="n">
        <v>1</v>
      </c>
      <c r="H158" s="19" t="n">
        <v>3</v>
      </c>
      <c r="I158" s="13">
        <f>G158*H158</f>
        <v>3.0</v>
      </c>
      <c r="J158" s="20">
        <f>6500/1000</f>
        <v>6.5</v>
      </c>
      <c r="K158" s="21">
        <f>I158*J158</f>
        <v>19.5</v>
      </c>
      <c r="L158" s="22">
        <f>F158^2/162</f>
        <v>3.8580246913580245</v>
      </c>
      <c r="M158" s="21">
        <f>K158*L158</f>
        <v>75.23148148148148</v>
      </c>
      <c r="N158" s="22">
        <f>M158/1000</f>
        <v>0.07523148148148148</v>
      </c>
      <c r="O158" s="13" t="inlineStr">
        <is>
          <t>BBS</t>
        </is>
      </c>
    </row>
    <row r="159">
      <c r="A159" s="13" t="n">
        <v>154</v>
      </c>
      <c r="B159" s="13" t="inlineStr">
        <is>
          <t>Beams</t>
        </is>
      </c>
      <c r="C159" s="13" t="inlineStr">
        <is>
          <t>STR-079</t>
        </is>
      </c>
      <c r="D159" s="13" t="inlineStr">
        <is>
          <t>Typical 4th-8th floor beams (sheet 2 of 2)</t>
        </is>
      </c>
      <c r="E159" s="19" t="inlineStr">
        <is>
          <t>2507</t>
        </is>
      </c>
      <c r="F159" s="19" t="n">
        <v>25</v>
      </c>
      <c r="G159" s="19" t="n">
        <v>1</v>
      </c>
      <c r="H159" s="19" t="n">
        <v>3</v>
      </c>
      <c r="I159" s="13">
        <f>G159*H159</f>
        <v>3.0</v>
      </c>
      <c r="J159" s="20">
        <f>9850/1000</f>
        <v>9.85</v>
      </c>
      <c r="K159" s="21">
        <f>I159*J159</f>
        <v>29.549999999999997</v>
      </c>
      <c r="L159" s="22">
        <f>F159^2/162</f>
        <v>3.8580246913580245</v>
      </c>
      <c r="M159" s="21">
        <f>K159*L159</f>
        <v>114.00462962962962</v>
      </c>
      <c r="N159" s="22">
        <f>M159/1000</f>
        <v>0.11400462962962962</v>
      </c>
      <c r="O159" s="13" t="inlineStr">
        <is>
          <t>BBS</t>
        </is>
      </c>
    </row>
    <row r="160">
      <c r="A160" s="13" t="n">
        <v>155</v>
      </c>
      <c r="B160" s="13" t="inlineStr">
        <is>
          <t>Beams</t>
        </is>
      </c>
      <c r="C160" s="13" t="inlineStr">
        <is>
          <t>STR-079</t>
        </is>
      </c>
      <c r="D160" s="13" t="inlineStr">
        <is>
          <t>Typical 4th-8th floor beams (sheet 2 of 2)</t>
        </is>
      </c>
      <c r="E160" s="19" t="inlineStr">
        <is>
          <t>2508</t>
        </is>
      </c>
      <c r="F160" s="19" t="n">
        <v>25</v>
      </c>
      <c r="G160" s="19" t="n">
        <v>1</v>
      </c>
      <c r="H160" s="19" t="n">
        <v>3</v>
      </c>
      <c r="I160" s="13">
        <f>G160*H160</f>
        <v>3.0</v>
      </c>
      <c r="J160" s="20">
        <f>11650/1000</f>
        <v>11.65</v>
      </c>
      <c r="K160" s="21">
        <f>I160*J160</f>
        <v>34.95</v>
      </c>
      <c r="L160" s="22">
        <f>F160^2/162</f>
        <v>3.8580246913580245</v>
      </c>
      <c r="M160" s="21">
        <f>K160*L160</f>
        <v>134.83796296296296</v>
      </c>
      <c r="N160" s="22">
        <f>M160/1000</f>
        <v>0.13483796296296297</v>
      </c>
      <c r="O160" s="13" t="inlineStr">
        <is>
          <t>BBS</t>
        </is>
      </c>
    </row>
    <row r="161">
      <c r="A161" s="13" t="n">
        <v>156</v>
      </c>
      <c r="B161" s="13" t="inlineStr">
        <is>
          <t>Beams</t>
        </is>
      </c>
      <c r="C161" s="13" t="inlineStr">
        <is>
          <t>STR-079</t>
        </is>
      </c>
      <c r="D161" s="13" t="inlineStr">
        <is>
          <t>Typical 4th-8th floor beams (sheet 2 of 2)</t>
        </is>
      </c>
      <c r="E161" s="19" t="inlineStr">
        <is>
          <t>2509</t>
        </is>
      </c>
      <c r="F161" s="19" t="n">
        <v>25</v>
      </c>
      <c r="G161" s="19" t="n">
        <v>1</v>
      </c>
      <c r="H161" s="19" t="n">
        <v>3</v>
      </c>
      <c r="I161" s="13">
        <f>G161*H161</f>
        <v>3.0</v>
      </c>
      <c r="J161" s="20">
        <f>6450/1000</f>
        <v>6.45</v>
      </c>
      <c r="K161" s="21">
        <f>I161*J161</f>
        <v>19.35</v>
      </c>
      <c r="L161" s="22">
        <f>F161^2/162</f>
        <v>3.8580246913580245</v>
      </c>
      <c r="M161" s="21">
        <f>K161*L161</f>
        <v>74.65277777777779</v>
      </c>
      <c r="N161" s="22">
        <f>M161/1000</f>
        <v>0.07465277777777779</v>
      </c>
      <c r="O161" s="13" t="inlineStr">
        <is>
          <t>BBS</t>
        </is>
      </c>
    </row>
    <row r="162">
      <c r="A162" s="13" t="n">
        <v>157</v>
      </c>
      <c r="B162" s="13" t="inlineStr">
        <is>
          <t>Beams</t>
        </is>
      </c>
      <c r="C162" s="13" t="inlineStr">
        <is>
          <t>STR-079</t>
        </is>
      </c>
      <c r="D162" s="13" t="inlineStr">
        <is>
          <t>Typical 4th-8th floor beams (sheet 2 of 2)</t>
        </is>
      </c>
      <c r="E162" s="19" t="inlineStr">
        <is>
          <t>2510</t>
        </is>
      </c>
      <c r="F162" s="19" t="n">
        <v>25</v>
      </c>
      <c r="G162" s="19" t="n">
        <v>1</v>
      </c>
      <c r="H162" s="19" t="n">
        <v>3</v>
      </c>
      <c r="I162" s="13">
        <f>G162*H162</f>
        <v>3.0</v>
      </c>
      <c r="J162" s="20">
        <f>7700/1000</f>
        <v>7.7</v>
      </c>
      <c r="K162" s="21">
        <f>I162*J162</f>
        <v>23.1</v>
      </c>
      <c r="L162" s="22">
        <f>F162^2/162</f>
        <v>3.8580246913580245</v>
      </c>
      <c r="M162" s="21">
        <f>K162*L162</f>
        <v>89.12037037037037</v>
      </c>
      <c r="N162" s="22">
        <f>M162/1000</f>
        <v>0.08912037037037036</v>
      </c>
      <c r="O162" s="13" t="inlineStr">
        <is>
          <t>BBS</t>
        </is>
      </c>
    </row>
    <row r="163">
      <c r="A163" s="13" t="n">
        <v>158</v>
      </c>
      <c r="B163" s="13" t="inlineStr">
        <is>
          <t>Beams</t>
        </is>
      </c>
      <c r="C163" s="13" t="inlineStr">
        <is>
          <t>STR-079</t>
        </is>
      </c>
      <c r="D163" s="13" t="inlineStr">
        <is>
          <t>Typical 4th-8th floor beams (sheet 2 of 2)</t>
        </is>
      </c>
      <c r="E163" s="19" t="inlineStr">
        <is>
          <t>2511</t>
        </is>
      </c>
      <c r="F163" s="19" t="n">
        <v>25</v>
      </c>
      <c r="G163" s="19" t="n">
        <v>1</v>
      </c>
      <c r="H163" s="19" t="n">
        <v>24</v>
      </c>
      <c r="I163" s="13">
        <f>G163*H163</f>
        <v>24.0</v>
      </c>
      <c r="J163" s="20">
        <f>3550/1000</f>
        <v>3.55</v>
      </c>
      <c r="K163" s="21">
        <f>I163*J163</f>
        <v>85.19999999999999</v>
      </c>
      <c r="L163" s="22">
        <f>F163^2/162</f>
        <v>3.8580246913580245</v>
      </c>
      <c r="M163" s="21">
        <f>K163*L163</f>
        <v>328.70370370370364</v>
      </c>
      <c r="N163" s="22">
        <f>M163/1000</f>
        <v>0.32870370370370366</v>
      </c>
      <c r="O163" s="13" t="inlineStr">
        <is>
          <t>BBS</t>
        </is>
      </c>
    </row>
    <row r="164">
      <c r="A164" s="13" t="n">
        <v>159</v>
      </c>
      <c r="B164" s="13" t="inlineStr">
        <is>
          <t>Beams</t>
        </is>
      </c>
      <c r="C164" s="13" t="inlineStr">
        <is>
          <t>STR-079</t>
        </is>
      </c>
      <c r="D164" s="13" t="inlineStr">
        <is>
          <t>Typical 4th-8th floor beams (sheet 2 of 2)</t>
        </is>
      </c>
      <c r="E164" s="19" t="inlineStr">
        <is>
          <t>2512</t>
        </is>
      </c>
      <c r="F164" s="19" t="n">
        <v>25</v>
      </c>
      <c r="G164" s="19" t="n">
        <v>1</v>
      </c>
      <c r="H164" s="19" t="n">
        <v>3</v>
      </c>
      <c r="I164" s="13">
        <f>G164*H164</f>
        <v>3.0</v>
      </c>
      <c r="J164" s="20">
        <f>7750/1000</f>
        <v>7.75</v>
      </c>
      <c r="K164" s="21">
        <f>I164*J164</f>
        <v>23.25</v>
      </c>
      <c r="L164" s="22">
        <f>F164^2/162</f>
        <v>3.8580246913580245</v>
      </c>
      <c r="M164" s="21">
        <f>K164*L164</f>
        <v>89.69907407407408</v>
      </c>
      <c r="N164" s="22">
        <f>M164/1000</f>
        <v>0.08969907407407407</v>
      </c>
      <c r="O164" s="13" t="inlineStr">
        <is>
          <t>BBS</t>
        </is>
      </c>
    </row>
    <row r="165">
      <c r="A165" s="13" t="n">
        <v>160</v>
      </c>
      <c r="B165" s="13" t="inlineStr">
        <is>
          <t>Beams</t>
        </is>
      </c>
      <c r="C165" s="13" t="inlineStr">
        <is>
          <t>STR-079</t>
        </is>
      </c>
      <c r="D165" s="13" t="inlineStr">
        <is>
          <t>Typical 4th-8th floor beams (sheet 2 of 2)</t>
        </is>
      </c>
      <c r="E165" s="19" t="inlineStr">
        <is>
          <t>2513</t>
        </is>
      </c>
      <c r="F165" s="19" t="n">
        <v>25</v>
      </c>
      <c r="G165" s="19" t="n">
        <v>1</v>
      </c>
      <c r="H165" s="19" t="n">
        <v>6</v>
      </c>
      <c r="I165" s="13">
        <f>G165*H165</f>
        <v>6.0</v>
      </c>
      <c r="J165" s="20">
        <f>6350/1000</f>
        <v>6.35</v>
      </c>
      <c r="K165" s="21">
        <f>I165*J165</f>
        <v>38.099999999999994</v>
      </c>
      <c r="L165" s="22">
        <f>F165^2/162</f>
        <v>3.8580246913580245</v>
      </c>
      <c r="M165" s="21">
        <f>K165*L165</f>
        <v>146.9907407407407</v>
      </c>
      <c r="N165" s="22">
        <f>M165/1000</f>
        <v>0.1469907407407407</v>
      </c>
      <c r="O165" s="13" t="inlineStr">
        <is>
          <t>BBS</t>
        </is>
      </c>
    </row>
    <row r="166">
      <c r="A166" s="13" t="n">
        <v>161</v>
      </c>
      <c r="B166" s="13" t="inlineStr">
        <is>
          <t>Beams</t>
        </is>
      </c>
      <c r="C166" s="13" t="inlineStr">
        <is>
          <t>STR-079</t>
        </is>
      </c>
      <c r="D166" s="13" t="inlineStr">
        <is>
          <t>Typical 4th-8th floor beams (sheet 2 of 2)</t>
        </is>
      </c>
      <c r="E166" s="19" t="inlineStr">
        <is>
          <t>2514</t>
        </is>
      </c>
      <c r="F166" s="19" t="n">
        <v>25</v>
      </c>
      <c r="G166" s="19" t="n">
        <v>1</v>
      </c>
      <c r="H166" s="19" t="n">
        <v>3</v>
      </c>
      <c r="I166" s="13">
        <f>G166*H166</f>
        <v>3.0</v>
      </c>
      <c r="J166" s="20">
        <f>10450/1000</f>
        <v>10.45</v>
      </c>
      <c r="K166" s="21">
        <f>I166*J166</f>
        <v>31.349999999999998</v>
      </c>
      <c r="L166" s="22">
        <f>F166^2/162</f>
        <v>3.8580246913580245</v>
      </c>
      <c r="M166" s="21">
        <f>K166*L166</f>
        <v>120.94907407407406</v>
      </c>
      <c r="N166" s="22">
        <f>M166/1000</f>
        <v>0.12094907407407406</v>
      </c>
      <c r="O166" s="13" t="inlineStr">
        <is>
          <t>BBS</t>
        </is>
      </c>
    </row>
    <row r="167">
      <c r="A167" s="13" t="n">
        <v>162</v>
      </c>
      <c r="B167" s="13" t="inlineStr">
        <is>
          <t>Beams</t>
        </is>
      </c>
      <c r="C167" s="13" t="inlineStr">
        <is>
          <t>STR-079</t>
        </is>
      </c>
      <c r="D167" s="13" t="inlineStr">
        <is>
          <t>Typical 4th-8th floor beams (sheet 2 of 2)</t>
        </is>
      </c>
      <c r="E167" s="19" t="inlineStr">
        <is>
          <t>2515</t>
        </is>
      </c>
      <c r="F167" s="19" t="n">
        <v>25</v>
      </c>
      <c r="G167" s="19" t="n">
        <v>1</v>
      </c>
      <c r="H167" s="19" t="n">
        <v>3</v>
      </c>
      <c r="I167" s="13">
        <f>G167*H167</f>
        <v>3.0</v>
      </c>
      <c r="J167" s="20">
        <f>11200/1000</f>
        <v>11.2</v>
      </c>
      <c r="K167" s="21">
        <f>I167*J167</f>
        <v>33.599999999999994</v>
      </c>
      <c r="L167" s="22">
        <f>F167^2/162</f>
        <v>3.8580246913580245</v>
      </c>
      <c r="M167" s="21">
        <f>K167*L167</f>
        <v>129.6296296296296</v>
      </c>
      <c r="N167" s="22">
        <f>M167/1000</f>
        <v>0.1296296296296296</v>
      </c>
      <c r="O167" s="13" t="inlineStr">
        <is>
          <t>BBS</t>
        </is>
      </c>
    </row>
    <row r="168">
      <c r="A168" s="13" t="n">
        <v>163</v>
      </c>
      <c r="B168" s="13" t="inlineStr">
        <is>
          <t>Beams</t>
        </is>
      </c>
      <c r="C168" s="13" t="inlineStr">
        <is>
          <t>STR-079</t>
        </is>
      </c>
      <c r="D168" s="13" t="inlineStr">
        <is>
          <t>Typical 4th-8th floor beams (sheet 2 of 2)</t>
        </is>
      </c>
      <c r="E168" s="19" t="inlineStr">
        <is>
          <t>2516</t>
        </is>
      </c>
      <c r="F168" s="19" t="n">
        <v>25</v>
      </c>
      <c r="G168" s="19" t="n">
        <v>1</v>
      </c>
      <c r="H168" s="19" t="n">
        <v>3</v>
      </c>
      <c r="I168" s="13">
        <f>G168*H168</f>
        <v>3.0</v>
      </c>
      <c r="J168" s="20">
        <f>8275/1000</f>
        <v>8.275</v>
      </c>
      <c r="K168" s="21">
        <f>I168*J168</f>
        <v>24.825000000000003</v>
      </c>
      <c r="L168" s="22">
        <f>F168^2/162</f>
        <v>3.8580246913580245</v>
      </c>
      <c r="M168" s="21">
        <f>K168*L168</f>
        <v>95.77546296296298</v>
      </c>
      <c r="N168" s="22">
        <f>M168/1000</f>
        <v>0.09577546296296298</v>
      </c>
      <c r="O168" s="13" t="inlineStr">
        <is>
          <t>BBS</t>
        </is>
      </c>
    </row>
    <row r="169">
      <c r="A169" s="13" t="n">
        <v>164</v>
      </c>
      <c r="B169" s="13" t="inlineStr">
        <is>
          <t>Beams</t>
        </is>
      </c>
      <c r="C169" s="13" t="inlineStr">
        <is>
          <t>STR-079</t>
        </is>
      </c>
      <c r="D169" s="13" t="inlineStr">
        <is>
          <t>Typical 4th-8th floor beams (sheet 2 of 2)</t>
        </is>
      </c>
      <c r="E169" s="19" t="inlineStr">
        <is>
          <t>2517</t>
        </is>
      </c>
      <c r="F169" s="19" t="n">
        <v>25</v>
      </c>
      <c r="G169" s="19" t="n">
        <v>1</v>
      </c>
      <c r="H169" s="19" t="n">
        <v>6</v>
      </c>
      <c r="I169" s="13">
        <f>G169*H169</f>
        <v>6.0</v>
      </c>
      <c r="J169" s="20">
        <f>10150/1000</f>
        <v>10.15</v>
      </c>
      <c r="K169" s="21">
        <f>I169*J169</f>
        <v>60.900000000000006</v>
      </c>
      <c r="L169" s="22">
        <f>F169^2/162</f>
        <v>3.8580246913580245</v>
      </c>
      <c r="M169" s="21">
        <f>K169*L169</f>
        <v>234.95370370370372</v>
      </c>
      <c r="N169" s="22">
        <f>M169/1000</f>
        <v>0.23495370370370372</v>
      </c>
      <c r="O169" s="13" t="inlineStr">
        <is>
          <t>BBS</t>
        </is>
      </c>
    </row>
    <row r="170">
      <c r="A170" s="13" t="n">
        <v>165</v>
      </c>
      <c r="B170" s="13" t="inlineStr">
        <is>
          <t>Floor Slabs</t>
        </is>
      </c>
      <c r="C170" s="13" t="inlineStr">
        <is>
          <t>STR-080</t>
        </is>
      </c>
      <c r="D170" s="13" t="inlineStr">
        <is>
          <t>Typical 4th-8th slab - bottom</t>
        </is>
      </c>
      <c r="E170" s="19" t="inlineStr">
        <is>
          <t>1201</t>
        </is>
      </c>
      <c r="F170" s="19" t="n">
        <v>12</v>
      </c>
      <c r="G170" s="19" t="n">
        <v>1</v>
      </c>
      <c r="H170" s="19" t="n">
        <v>306</v>
      </c>
      <c r="I170" s="13">
        <f>G170*H170</f>
        <v>306.0</v>
      </c>
      <c r="J170" s="20">
        <f>9900/1000</f>
        <v>9.9</v>
      </c>
      <c r="K170" s="21">
        <f>I170*J170</f>
        <v>3029.4</v>
      </c>
      <c r="L170" s="22">
        <f>F170^2/162</f>
        <v>0.8888888888888888</v>
      </c>
      <c r="M170" s="21">
        <f>K170*L170</f>
        <v>2692.7999999999997</v>
      </c>
      <c r="N170" s="22">
        <f>M170/1000</f>
        <v>2.6927999999999996</v>
      </c>
      <c r="O170" s="13" t="inlineStr">
        <is>
          <t>BBS</t>
        </is>
      </c>
    </row>
    <row r="171">
      <c r="A171" s="13" t="n">
        <v>166</v>
      </c>
      <c r="B171" s="13" t="inlineStr">
        <is>
          <t>Floor Slabs</t>
        </is>
      </c>
      <c r="C171" s="13" t="inlineStr">
        <is>
          <t>STR-080</t>
        </is>
      </c>
      <c r="D171" s="13" t="inlineStr">
        <is>
          <t>Typical 4th-8th slab - bottom</t>
        </is>
      </c>
      <c r="E171" s="19" t="inlineStr">
        <is>
          <t>1202</t>
        </is>
      </c>
      <c r="F171" s="19" t="n">
        <v>12</v>
      </c>
      <c r="G171" s="19" t="n">
        <v>1</v>
      </c>
      <c r="H171" s="19" t="n">
        <v>349</v>
      </c>
      <c r="I171" s="13">
        <f>G171*H171</f>
        <v>349.0</v>
      </c>
      <c r="J171" s="20">
        <f>5500/1000</f>
        <v>5.5</v>
      </c>
      <c r="K171" s="21">
        <f>I171*J171</f>
        <v>1919.5</v>
      </c>
      <c r="L171" s="22">
        <f>F171^2/162</f>
        <v>0.8888888888888888</v>
      </c>
      <c r="M171" s="21">
        <f>K171*L171</f>
        <v>1706.2222222222222</v>
      </c>
      <c r="N171" s="22">
        <f>M171/1000</f>
        <v>1.706222222222222</v>
      </c>
      <c r="O171" s="13" t="inlineStr">
        <is>
          <t>BBS</t>
        </is>
      </c>
    </row>
    <row r="172">
      <c r="A172" s="13" t="n">
        <v>167</v>
      </c>
      <c r="B172" s="13" t="inlineStr">
        <is>
          <t>Floor Slabs</t>
        </is>
      </c>
      <c r="C172" s="13" t="inlineStr">
        <is>
          <t>STR-080</t>
        </is>
      </c>
      <c r="D172" s="13" t="inlineStr">
        <is>
          <t>Typical 4th-8th slab - bottom</t>
        </is>
      </c>
      <c r="E172" s="19" t="inlineStr">
        <is>
          <t>1203</t>
        </is>
      </c>
      <c r="F172" s="19" t="n">
        <v>12</v>
      </c>
      <c r="G172" s="19" t="n">
        <v>1</v>
      </c>
      <c r="H172" s="19" t="n">
        <v>16</v>
      </c>
      <c r="I172" s="13">
        <f>G172*H172</f>
        <v>16.0</v>
      </c>
      <c r="J172" s="20">
        <f>4450/1000</f>
        <v>4.45</v>
      </c>
      <c r="K172" s="21">
        <f>I172*J172</f>
        <v>71.2</v>
      </c>
      <c r="L172" s="22">
        <f>F172^2/162</f>
        <v>0.8888888888888888</v>
      </c>
      <c r="M172" s="21">
        <f>K172*L172</f>
        <v>63.28888888888889</v>
      </c>
      <c r="N172" s="22">
        <f>M172/1000</f>
        <v>0.0632888888888889</v>
      </c>
      <c r="O172" s="13" t="inlineStr">
        <is>
          <t>BBS</t>
        </is>
      </c>
    </row>
    <row r="173">
      <c r="A173" s="13" t="n">
        <v>168</v>
      </c>
      <c r="B173" s="13" t="inlineStr">
        <is>
          <t>Floor Slabs</t>
        </is>
      </c>
      <c r="C173" s="13" t="inlineStr">
        <is>
          <t>STR-080</t>
        </is>
      </c>
      <c r="D173" s="13" t="inlineStr">
        <is>
          <t>Typical 4th-8th slab - bottom</t>
        </is>
      </c>
      <c r="E173" s="19" t="inlineStr">
        <is>
          <t>1204</t>
        </is>
      </c>
      <c r="F173" s="19" t="n">
        <v>12</v>
      </c>
      <c r="G173" s="19" t="n">
        <v>1</v>
      </c>
      <c r="H173" s="19" t="n">
        <v>371</v>
      </c>
      <c r="I173" s="13">
        <f>G173*H173</f>
        <v>371.0</v>
      </c>
      <c r="J173" s="20">
        <f>9050/1000</f>
        <v>9.05</v>
      </c>
      <c r="K173" s="21">
        <f>I173*J173</f>
        <v>3357.55</v>
      </c>
      <c r="L173" s="22">
        <f>F173^2/162</f>
        <v>0.8888888888888888</v>
      </c>
      <c r="M173" s="21">
        <f>K173*L173</f>
        <v>2984.488888888889</v>
      </c>
      <c r="N173" s="22">
        <f>M173/1000</f>
        <v>2.984488888888889</v>
      </c>
      <c r="O173" s="13" t="inlineStr">
        <is>
          <t>BBS</t>
        </is>
      </c>
    </row>
    <row r="174">
      <c r="A174" s="13" t="n">
        <v>169</v>
      </c>
      <c r="B174" s="13" t="inlineStr">
        <is>
          <t>Floor Slabs</t>
        </is>
      </c>
      <c r="C174" s="13" t="inlineStr">
        <is>
          <t>STR-080</t>
        </is>
      </c>
      <c r="D174" s="13" t="inlineStr">
        <is>
          <t>Typical 4th-8th slab - bottom</t>
        </is>
      </c>
      <c r="E174" s="19" t="inlineStr">
        <is>
          <t>1205</t>
        </is>
      </c>
      <c r="F174" s="19" t="n">
        <v>12</v>
      </c>
      <c r="G174" s="19" t="n">
        <v>1</v>
      </c>
      <c r="H174" s="19" t="n">
        <v>16</v>
      </c>
      <c r="I174" s="13">
        <f>G174*H174</f>
        <v>16.0</v>
      </c>
      <c r="J174" s="20">
        <f>3400/1000</f>
        <v>3.4</v>
      </c>
      <c r="K174" s="21">
        <f>I174*J174</f>
        <v>54.4</v>
      </c>
      <c r="L174" s="22">
        <f>F174^2/162</f>
        <v>0.8888888888888888</v>
      </c>
      <c r="M174" s="21">
        <f>K174*L174</f>
        <v>48.355555555555554</v>
      </c>
      <c r="N174" s="22">
        <f>M174/1000</f>
        <v>0.048355555555555554</v>
      </c>
      <c r="O174" s="13" t="inlineStr">
        <is>
          <t>BBS</t>
        </is>
      </c>
    </row>
    <row r="175">
      <c r="A175" s="13" t="n">
        <v>170</v>
      </c>
      <c r="B175" s="13" t="inlineStr">
        <is>
          <t>Floor Slabs</t>
        </is>
      </c>
      <c r="C175" s="13" t="inlineStr">
        <is>
          <t>STR-080</t>
        </is>
      </c>
      <c r="D175" s="13" t="inlineStr">
        <is>
          <t>Typical 4th-8th slab - bottom</t>
        </is>
      </c>
      <c r="E175" s="19" t="inlineStr">
        <is>
          <t>1206</t>
        </is>
      </c>
      <c r="F175" s="19" t="n">
        <v>12</v>
      </c>
      <c r="G175" s="19" t="n">
        <v>1</v>
      </c>
      <c r="H175" s="19" t="n">
        <v>37</v>
      </c>
      <c r="I175" s="13">
        <f>G175*H175</f>
        <v>37.0</v>
      </c>
      <c r="J175" s="20">
        <f>4600/1000</f>
        <v>4.6</v>
      </c>
      <c r="K175" s="21">
        <f>I175*J175</f>
        <v>170.2</v>
      </c>
      <c r="L175" s="22">
        <f>F175^2/162</f>
        <v>0.8888888888888888</v>
      </c>
      <c r="M175" s="21">
        <f>K175*L175</f>
        <v>151.28888888888886</v>
      </c>
      <c r="N175" s="22">
        <f>M175/1000</f>
        <v>0.15128888888888886</v>
      </c>
      <c r="O175" s="13" t="inlineStr">
        <is>
          <t>BBS</t>
        </is>
      </c>
    </row>
    <row r="176">
      <c r="A176" s="13" t="n">
        <v>171</v>
      </c>
      <c r="B176" s="13" t="inlineStr">
        <is>
          <t>Floor Slabs</t>
        </is>
      </c>
      <c r="C176" s="13" t="inlineStr">
        <is>
          <t>STR-080</t>
        </is>
      </c>
      <c r="D176" s="13" t="inlineStr">
        <is>
          <t>Typical 4th-8th slab - bottom</t>
        </is>
      </c>
      <c r="E176" s="19" t="inlineStr">
        <is>
          <t>1207</t>
        </is>
      </c>
      <c r="F176" s="19" t="n">
        <v>12</v>
      </c>
      <c r="G176" s="19" t="n">
        <v>1</v>
      </c>
      <c r="H176" s="19" t="n">
        <v>21</v>
      </c>
      <c r="I176" s="13">
        <f>G176*H176</f>
        <v>21.0</v>
      </c>
      <c r="J176" s="20">
        <f>4575/1000</f>
        <v>4.575</v>
      </c>
      <c r="K176" s="21">
        <f>I176*J176</f>
        <v>96.075</v>
      </c>
      <c r="L176" s="22">
        <f>F176^2/162</f>
        <v>0.8888888888888888</v>
      </c>
      <c r="M176" s="21">
        <f>K176*L176</f>
        <v>85.39999999999999</v>
      </c>
      <c r="N176" s="22">
        <f>M176/1000</f>
        <v>0.08539999999999999</v>
      </c>
      <c r="O176" s="13" t="inlineStr">
        <is>
          <t>BBS</t>
        </is>
      </c>
    </row>
    <row r="177">
      <c r="A177" s="13" t="n">
        <v>172</v>
      </c>
      <c r="B177" s="13" t="inlineStr">
        <is>
          <t>Floor Slabs</t>
        </is>
      </c>
      <c r="C177" s="13" t="inlineStr">
        <is>
          <t>STR-080</t>
        </is>
      </c>
      <c r="D177" s="13" t="inlineStr">
        <is>
          <t>Typical 4th-8th slab - bottom</t>
        </is>
      </c>
      <c r="E177" s="19" t="inlineStr">
        <is>
          <t>1208</t>
        </is>
      </c>
      <c r="F177" s="19" t="n">
        <v>12</v>
      </c>
      <c r="G177" s="19" t="n">
        <v>1</v>
      </c>
      <c r="H177" s="19" t="n">
        <v>47</v>
      </c>
      <c r="I177" s="13">
        <f>G177*H177</f>
        <v>47.0</v>
      </c>
      <c r="J177" s="20">
        <f>5325/1000</f>
        <v>5.325</v>
      </c>
      <c r="K177" s="21">
        <f>I177*J177</f>
        <v>250.275</v>
      </c>
      <c r="L177" s="22">
        <f>F177^2/162</f>
        <v>0.8888888888888888</v>
      </c>
      <c r="M177" s="21">
        <f>K177*L177</f>
        <v>222.46666666666667</v>
      </c>
      <c r="N177" s="22">
        <f>M177/1000</f>
        <v>0.22246666666666667</v>
      </c>
      <c r="O177" s="13" t="inlineStr">
        <is>
          <t>BBS</t>
        </is>
      </c>
    </row>
    <row r="178">
      <c r="A178" s="13" t="n">
        <v>173</v>
      </c>
      <c r="B178" s="13" t="inlineStr">
        <is>
          <t>Floor Slabs</t>
        </is>
      </c>
      <c r="C178" s="13" t="inlineStr">
        <is>
          <t>STR-080</t>
        </is>
      </c>
      <c r="D178" s="13" t="inlineStr">
        <is>
          <t>Typical 4th-8th slab - bottom</t>
        </is>
      </c>
      <c r="E178" s="19" t="inlineStr">
        <is>
          <t>1209</t>
        </is>
      </c>
      <c r="F178" s="19" t="n">
        <v>12</v>
      </c>
      <c r="G178" s="19" t="n">
        <v>1</v>
      </c>
      <c r="H178" s="19" t="n">
        <v>124</v>
      </c>
      <c r="I178" s="13">
        <f>G178*H178</f>
        <v>124.0</v>
      </c>
      <c r="J178" s="20">
        <f>8700/1000</f>
        <v>8.7</v>
      </c>
      <c r="K178" s="21">
        <f>I178*J178</f>
        <v>1078.8</v>
      </c>
      <c r="L178" s="22">
        <f>F178^2/162</f>
        <v>0.8888888888888888</v>
      </c>
      <c r="M178" s="21">
        <f>K178*L178</f>
        <v>958.9333333333333</v>
      </c>
      <c r="N178" s="22">
        <f>M178/1000</f>
        <v>0.9589333333333333</v>
      </c>
      <c r="O178" s="13" t="inlineStr">
        <is>
          <t>BBS</t>
        </is>
      </c>
    </row>
    <row r="179">
      <c r="A179" s="13" t="n">
        <v>174</v>
      </c>
      <c r="B179" s="13" t="inlineStr">
        <is>
          <t>Floor Slabs</t>
        </is>
      </c>
      <c r="C179" s="13" t="inlineStr">
        <is>
          <t>STR-080</t>
        </is>
      </c>
      <c r="D179" s="13" t="inlineStr">
        <is>
          <t>Typical 4th-8th slab - bottom</t>
        </is>
      </c>
      <c r="E179" s="19" t="inlineStr">
        <is>
          <t>1210</t>
        </is>
      </c>
      <c r="F179" s="19" t="n">
        <v>12</v>
      </c>
      <c r="G179" s="19" t="n">
        <v>1</v>
      </c>
      <c r="H179" s="19" t="n">
        <v>80</v>
      </c>
      <c r="I179" s="13">
        <f>G179*H179</f>
        <v>80.0</v>
      </c>
      <c r="J179" s="20">
        <f>9050/1000</f>
        <v>9.05</v>
      </c>
      <c r="K179" s="21">
        <f>I179*J179</f>
        <v>724.0</v>
      </c>
      <c r="L179" s="22">
        <f>F179^2/162</f>
        <v>0.8888888888888888</v>
      </c>
      <c r="M179" s="21">
        <f>K179*L179</f>
        <v>643.5555555555555</v>
      </c>
      <c r="N179" s="22">
        <f>M179/1000</f>
        <v>0.6435555555555555</v>
      </c>
      <c r="O179" s="13" t="inlineStr">
        <is>
          <t>BBS</t>
        </is>
      </c>
    </row>
    <row r="180">
      <c r="A180" s="13" t="n">
        <v>175</v>
      </c>
      <c r="B180" s="13" t="inlineStr">
        <is>
          <t>Floor Slabs</t>
        </is>
      </c>
      <c r="C180" s="13" t="inlineStr">
        <is>
          <t>STR-080</t>
        </is>
      </c>
      <c r="D180" s="13" t="inlineStr">
        <is>
          <t>Typical 4th-8th slab - bottom</t>
        </is>
      </c>
      <c r="E180" s="19" t="inlineStr">
        <is>
          <t>1211</t>
        </is>
      </c>
      <c r="F180" s="19" t="n">
        <v>12</v>
      </c>
      <c r="G180" s="19" t="n">
        <v>1</v>
      </c>
      <c r="H180" s="19" t="n">
        <v>15</v>
      </c>
      <c r="I180" s="13">
        <f>G180*H180</f>
        <v>15.0</v>
      </c>
      <c r="J180" s="20">
        <f>8650/1000</f>
        <v>8.65</v>
      </c>
      <c r="K180" s="21">
        <f>I180*J180</f>
        <v>129.75</v>
      </c>
      <c r="L180" s="22">
        <f>F180^2/162</f>
        <v>0.8888888888888888</v>
      </c>
      <c r="M180" s="21">
        <f>K180*L180</f>
        <v>115.33333333333333</v>
      </c>
      <c r="N180" s="22">
        <f>M180/1000</f>
        <v>0.11533333333333333</v>
      </c>
      <c r="O180" s="13" t="inlineStr">
        <is>
          <t>BBS</t>
        </is>
      </c>
    </row>
    <row r="181">
      <c r="A181" s="13" t="n">
        <v>176</v>
      </c>
      <c r="B181" s="13" t="inlineStr">
        <is>
          <t>Floor Slabs</t>
        </is>
      </c>
      <c r="C181" s="13" t="inlineStr">
        <is>
          <t>STR-080</t>
        </is>
      </c>
      <c r="D181" s="13" t="inlineStr">
        <is>
          <t>Typical 4th-8th slab - bottom</t>
        </is>
      </c>
      <c r="E181" s="19" t="inlineStr">
        <is>
          <t>1212</t>
        </is>
      </c>
      <c r="F181" s="19" t="n">
        <v>12</v>
      </c>
      <c r="G181" s="19" t="n">
        <v>1</v>
      </c>
      <c r="H181" s="19" t="n">
        <v>23</v>
      </c>
      <c r="I181" s="13">
        <f>G181*H181</f>
        <v>23.0</v>
      </c>
      <c r="J181" s="20">
        <f>8750/1000</f>
        <v>8.75</v>
      </c>
      <c r="K181" s="21">
        <f>I181*J181</f>
        <v>201.25</v>
      </c>
      <c r="L181" s="22">
        <f>F181^2/162</f>
        <v>0.8888888888888888</v>
      </c>
      <c r="M181" s="21">
        <f>K181*L181</f>
        <v>178.88888888888889</v>
      </c>
      <c r="N181" s="22">
        <f>M181/1000</f>
        <v>0.17888888888888888</v>
      </c>
      <c r="O181" s="13" t="inlineStr">
        <is>
          <t>BBS</t>
        </is>
      </c>
    </row>
    <row r="182">
      <c r="A182" s="13" t="n">
        <v>177</v>
      </c>
      <c r="B182" s="13" t="inlineStr">
        <is>
          <t>Floor Slabs</t>
        </is>
      </c>
      <c r="C182" s="13" t="inlineStr">
        <is>
          <t>STR-080</t>
        </is>
      </c>
      <c r="D182" s="13" t="inlineStr">
        <is>
          <t>Typical 4th-8th slab - bottom</t>
        </is>
      </c>
      <c r="E182" s="19" t="inlineStr">
        <is>
          <t>1213</t>
        </is>
      </c>
      <c r="F182" s="19" t="n">
        <v>12</v>
      </c>
      <c r="G182" s="19" t="n">
        <v>1</v>
      </c>
      <c r="H182" s="19" t="n">
        <v>24</v>
      </c>
      <c r="I182" s="13">
        <f>G182*H182</f>
        <v>24.0</v>
      </c>
      <c r="J182" s="20">
        <f>8700/1000</f>
        <v>8.7</v>
      </c>
      <c r="K182" s="21">
        <f>I182*J182</f>
        <v>208.79999999999998</v>
      </c>
      <c r="L182" s="22">
        <f>F182^2/162</f>
        <v>0.8888888888888888</v>
      </c>
      <c r="M182" s="21">
        <f>K182*L182</f>
        <v>185.59999999999997</v>
      </c>
      <c r="N182" s="22">
        <f>M182/1000</f>
        <v>0.18559999999999996</v>
      </c>
      <c r="O182" s="13" t="inlineStr">
        <is>
          <t>BBS</t>
        </is>
      </c>
    </row>
    <row r="183">
      <c r="A183" s="13" t="n">
        <v>178</v>
      </c>
      <c r="B183" s="13" t="inlineStr">
        <is>
          <t>Floor Slabs</t>
        </is>
      </c>
      <c r="C183" s="13" t="inlineStr">
        <is>
          <t>STR-080</t>
        </is>
      </c>
      <c r="D183" s="13" t="inlineStr">
        <is>
          <t>Typical 4th-8th slab - bottom</t>
        </is>
      </c>
      <c r="E183" s="19" t="inlineStr">
        <is>
          <t>1214</t>
        </is>
      </c>
      <c r="F183" s="19" t="n">
        <v>12</v>
      </c>
      <c r="G183" s="19" t="n">
        <v>1</v>
      </c>
      <c r="H183" s="19" t="n">
        <v>7</v>
      </c>
      <c r="I183" s="13">
        <f>G183*H183</f>
        <v>7.0</v>
      </c>
      <c r="J183" s="20">
        <f>10000/1000</f>
        <v>10.0</v>
      </c>
      <c r="K183" s="21">
        <f>I183*J183</f>
        <v>70.0</v>
      </c>
      <c r="L183" s="22">
        <f>F183^2/162</f>
        <v>0.8888888888888888</v>
      </c>
      <c r="M183" s="21">
        <f>K183*L183</f>
        <v>62.22222222222222</v>
      </c>
      <c r="N183" s="22">
        <f>M183/1000</f>
        <v>0.06222222222222222</v>
      </c>
      <c r="O183" s="13" t="inlineStr">
        <is>
          <t>BBS</t>
        </is>
      </c>
    </row>
    <row r="184">
      <c r="A184" s="13" t="n">
        <v>179</v>
      </c>
      <c r="B184" s="13" t="inlineStr">
        <is>
          <t>Floor Slabs</t>
        </is>
      </c>
      <c r="C184" s="13" t="inlineStr">
        <is>
          <t>STR-080</t>
        </is>
      </c>
      <c r="D184" s="13" t="inlineStr">
        <is>
          <t>Typical 4th-8th slab - bottom</t>
        </is>
      </c>
      <c r="E184" s="19" t="inlineStr">
        <is>
          <t>1215</t>
        </is>
      </c>
      <c r="F184" s="19" t="n">
        <v>12</v>
      </c>
      <c r="G184" s="19" t="n">
        <v>1</v>
      </c>
      <c r="H184" s="19" t="n">
        <v>202</v>
      </c>
      <c r="I184" s="13">
        <f>G184*H184</f>
        <v>202.0</v>
      </c>
      <c r="J184" s="20">
        <f>10000/1000</f>
        <v>10.0</v>
      </c>
      <c r="K184" s="21">
        <f>I184*J184</f>
        <v>2020.0</v>
      </c>
      <c r="L184" s="22">
        <f>F184^2/162</f>
        <v>0.8888888888888888</v>
      </c>
      <c r="M184" s="21">
        <f>K184*L184</f>
        <v>1795.5555555555554</v>
      </c>
      <c r="N184" s="22">
        <f>M184/1000</f>
        <v>1.7955555555555553</v>
      </c>
      <c r="O184" s="13" t="inlineStr">
        <is>
          <t>BBS</t>
        </is>
      </c>
    </row>
    <row r="185">
      <c r="A185" s="13" t="n">
        <v>180</v>
      </c>
      <c r="B185" s="13" t="inlineStr">
        <is>
          <t>Floor Slabs</t>
        </is>
      </c>
      <c r="C185" s="13" t="inlineStr">
        <is>
          <t>STR-080</t>
        </is>
      </c>
      <c r="D185" s="13" t="inlineStr">
        <is>
          <t>Typical 4th-8th slab - bottom</t>
        </is>
      </c>
      <c r="E185" s="19" t="inlineStr">
        <is>
          <t>1216</t>
        </is>
      </c>
      <c r="F185" s="19" t="n">
        <v>12</v>
      </c>
      <c r="G185" s="19" t="n">
        <v>1</v>
      </c>
      <c r="H185" s="19" t="n">
        <v>162</v>
      </c>
      <c r="I185" s="13">
        <f>G185*H185</f>
        <v>162.0</v>
      </c>
      <c r="J185" s="20">
        <f>9550/1000</f>
        <v>9.55</v>
      </c>
      <c r="K185" s="21">
        <f>I185*J185</f>
        <v>1547.1000000000001</v>
      </c>
      <c r="L185" s="22">
        <f>F185^2/162</f>
        <v>0.8888888888888888</v>
      </c>
      <c r="M185" s="21">
        <f>K185*L185</f>
        <v>1375.2</v>
      </c>
      <c r="N185" s="22">
        <f>M185/1000</f>
        <v>1.3752</v>
      </c>
      <c r="O185" s="13" t="inlineStr">
        <is>
          <t>BBS</t>
        </is>
      </c>
    </row>
    <row r="186">
      <c r="A186" s="13" t="n">
        <v>181</v>
      </c>
      <c r="B186" s="13" t="inlineStr">
        <is>
          <t>Floor Slabs</t>
        </is>
      </c>
      <c r="C186" s="13" t="inlineStr">
        <is>
          <t>STR-080</t>
        </is>
      </c>
      <c r="D186" s="13" t="inlineStr">
        <is>
          <t>Typical 4th-8th slab - bottom</t>
        </is>
      </c>
      <c r="E186" s="19" t="inlineStr">
        <is>
          <t>1217</t>
        </is>
      </c>
      <c r="F186" s="19" t="n">
        <v>12</v>
      </c>
      <c r="G186" s="19" t="n">
        <v>1</v>
      </c>
      <c r="H186" s="19" t="n">
        <v>31</v>
      </c>
      <c r="I186" s="13">
        <f>G186*H186</f>
        <v>31.0</v>
      </c>
      <c r="J186" s="20">
        <f>7250/1000</f>
        <v>7.25</v>
      </c>
      <c r="K186" s="21">
        <f>I186*J186</f>
        <v>224.75</v>
      </c>
      <c r="L186" s="22">
        <f>F186^2/162</f>
        <v>0.8888888888888888</v>
      </c>
      <c r="M186" s="21">
        <f>K186*L186</f>
        <v>199.77777777777777</v>
      </c>
      <c r="N186" s="22">
        <f>M186/1000</f>
        <v>0.19977777777777778</v>
      </c>
      <c r="O186" s="13" t="inlineStr">
        <is>
          <t>BBS</t>
        </is>
      </c>
    </row>
    <row r="187">
      <c r="A187" s="13" t="n">
        <v>182</v>
      </c>
      <c r="B187" s="13" t="inlineStr">
        <is>
          <t>Floor Slabs</t>
        </is>
      </c>
      <c r="C187" s="13" t="inlineStr">
        <is>
          <t>STR-080</t>
        </is>
      </c>
      <c r="D187" s="13" t="inlineStr">
        <is>
          <t>Typical 4th-8th slab - bottom</t>
        </is>
      </c>
      <c r="E187" s="19" t="inlineStr">
        <is>
          <t>1218</t>
        </is>
      </c>
      <c r="F187" s="19" t="n">
        <v>12</v>
      </c>
      <c r="G187" s="19" t="n">
        <v>1</v>
      </c>
      <c r="H187" s="19" t="n">
        <v>205</v>
      </c>
      <c r="I187" s="13">
        <f>G187*H187</f>
        <v>205.0</v>
      </c>
      <c r="J187" s="20">
        <f>7775/1000</f>
        <v>7.775</v>
      </c>
      <c r="K187" s="21">
        <f>I187*J187</f>
        <v>1593.875</v>
      </c>
      <c r="L187" s="22">
        <f>F187^2/162</f>
        <v>0.8888888888888888</v>
      </c>
      <c r="M187" s="21">
        <f>K187*L187</f>
        <v>1416.7777777777776</v>
      </c>
      <c r="N187" s="22">
        <f>M187/1000</f>
        <v>1.4167777777777777</v>
      </c>
      <c r="O187" s="13" t="inlineStr">
        <is>
          <t>BBS</t>
        </is>
      </c>
    </row>
    <row r="188">
      <c r="A188" s="13" t="n">
        <v>183</v>
      </c>
      <c r="B188" s="13" t="inlineStr">
        <is>
          <t>Floor Slabs</t>
        </is>
      </c>
      <c r="C188" s="13" t="inlineStr">
        <is>
          <t>STR-080</t>
        </is>
      </c>
      <c r="D188" s="13" t="inlineStr">
        <is>
          <t>Typical 4th-8th slab - bottom</t>
        </is>
      </c>
      <c r="E188" s="19" t="inlineStr">
        <is>
          <t>1219</t>
        </is>
      </c>
      <c r="F188" s="19" t="n">
        <v>12</v>
      </c>
      <c r="G188" s="19" t="n">
        <v>1</v>
      </c>
      <c r="H188" s="19" t="n">
        <v>44</v>
      </c>
      <c r="I188" s="13">
        <f>G188*H188</f>
        <v>44.0</v>
      </c>
      <c r="J188" s="20">
        <f>8000/1000</f>
        <v>8.0</v>
      </c>
      <c r="K188" s="21">
        <f>I188*J188</f>
        <v>352.0</v>
      </c>
      <c r="L188" s="22">
        <f>F188^2/162</f>
        <v>0.8888888888888888</v>
      </c>
      <c r="M188" s="21">
        <f>K188*L188</f>
        <v>312.88888888888886</v>
      </c>
      <c r="N188" s="22">
        <f>M188/1000</f>
        <v>0.3128888888888889</v>
      </c>
      <c r="O188" s="13" t="inlineStr">
        <is>
          <t>BBS</t>
        </is>
      </c>
    </row>
    <row r="189">
      <c r="A189" s="13" t="n">
        <v>184</v>
      </c>
      <c r="B189" s="13" t="inlineStr">
        <is>
          <t>Floor Slabs</t>
        </is>
      </c>
      <c r="C189" s="13" t="inlineStr">
        <is>
          <t>STR-080</t>
        </is>
      </c>
      <c r="D189" s="13" t="inlineStr">
        <is>
          <t>Typical 4th-8th slab - bottom</t>
        </is>
      </c>
      <c r="E189" s="19" t="inlineStr">
        <is>
          <t>1220</t>
        </is>
      </c>
      <c r="F189" s="19" t="n">
        <v>12</v>
      </c>
      <c r="G189" s="19" t="n">
        <v>1</v>
      </c>
      <c r="H189" s="19" t="n">
        <v>23</v>
      </c>
      <c r="I189" s="13">
        <f>G189*H189</f>
        <v>23.0</v>
      </c>
      <c r="J189" s="20">
        <f>12000/1000</f>
        <v>12.0</v>
      </c>
      <c r="K189" s="21">
        <f>I189*J189</f>
        <v>276.0</v>
      </c>
      <c r="L189" s="22">
        <f>F189^2/162</f>
        <v>0.8888888888888888</v>
      </c>
      <c r="M189" s="21">
        <f>K189*L189</f>
        <v>245.33333333333331</v>
      </c>
      <c r="N189" s="22">
        <f>M189/1000</f>
        <v>0.24533333333333332</v>
      </c>
      <c r="O189" s="13" t="inlineStr">
        <is>
          <t>BBS</t>
        </is>
      </c>
    </row>
    <row r="190">
      <c r="A190" s="13" t="n">
        <v>185</v>
      </c>
      <c r="B190" s="13" t="inlineStr">
        <is>
          <t>Floor Slabs</t>
        </is>
      </c>
      <c r="C190" s="13" t="inlineStr">
        <is>
          <t>STR-080</t>
        </is>
      </c>
      <c r="D190" s="13" t="inlineStr">
        <is>
          <t>Typical 4th-8th slab - bottom</t>
        </is>
      </c>
      <c r="E190" s="19" t="inlineStr">
        <is>
          <t>1221</t>
        </is>
      </c>
      <c r="F190" s="19" t="n">
        <v>12</v>
      </c>
      <c r="G190" s="19" t="n">
        <v>1</v>
      </c>
      <c r="H190" s="19" t="n">
        <v>212</v>
      </c>
      <c r="I190" s="13">
        <f>G190*H190</f>
        <v>212.0</v>
      </c>
      <c r="J190" s="20">
        <f>6000/1000</f>
        <v>6.0</v>
      </c>
      <c r="K190" s="21">
        <f>I190*J190</f>
        <v>1272.0</v>
      </c>
      <c r="L190" s="22">
        <f>F190^2/162</f>
        <v>0.8888888888888888</v>
      </c>
      <c r="M190" s="21">
        <f>K190*L190</f>
        <v>1130.6666666666665</v>
      </c>
      <c r="N190" s="22">
        <f>M190/1000</f>
        <v>1.1306666666666665</v>
      </c>
      <c r="O190" s="13" t="inlineStr">
        <is>
          <t>BBS</t>
        </is>
      </c>
    </row>
    <row r="191">
      <c r="A191" s="13" t="n">
        <v>186</v>
      </c>
      <c r="B191" s="13" t="inlineStr">
        <is>
          <t>Floor Slabs</t>
        </is>
      </c>
      <c r="C191" s="13" t="inlineStr">
        <is>
          <t>STR-080</t>
        </is>
      </c>
      <c r="D191" s="13" t="inlineStr">
        <is>
          <t>Typical 4th-8th slab - bottom</t>
        </is>
      </c>
      <c r="E191" s="19" t="inlineStr">
        <is>
          <t>1222</t>
        </is>
      </c>
      <c r="F191" s="19" t="n">
        <v>12</v>
      </c>
      <c r="G191" s="19" t="n">
        <v>1</v>
      </c>
      <c r="H191" s="19" t="n">
        <v>13</v>
      </c>
      <c r="I191" s="13">
        <f>G191*H191</f>
        <v>13.0</v>
      </c>
      <c r="J191" s="20">
        <f>7325/1000</f>
        <v>7.325</v>
      </c>
      <c r="K191" s="21">
        <f>I191*J191</f>
        <v>95.22500000000001</v>
      </c>
      <c r="L191" s="22">
        <f>F191^2/162</f>
        <v>0.8888888888888888</v>
      </c>
      <c r="M191" s="21">
        <f>K191*L191</f>
        <v>84.64444444444445</v>
      </c>
      <c r="N191" s="22">
        <f>M191/1000</f>
        <v>0.08464444444444444</v>
      </c>
      <c r="O191" s="13" t="inlineStr">
        <is>
          <t>BBS</t>
        </is>
      </c>
    </row>
    <row r="192">
      <c r="A192" s="13" t="n">
        <v>187</v>
      </c>
      <c r="B192" s="13" t="inlineStr">
        <is>
          <t>Floor Slabs</t>
        </is>
      </c>
      <c r="C192" s="13" t="inlineStr">
        <is>
          <t>STR-080</t>
        </is>
      </c>
      <c r="D192" s="13" t="inlineStr">
        <is>
          <t>Typical 4th-8th slab - bottom</t>
        </is>
      </c>
      <c r="E192" s="19" t="inlineStr">
        <is>
          <t>1223</t>
        </is>
      </c>
      <c r="F192" s="19" t="n">
        <v>12</v>
      </c>
      <c r="G192" s="19" t="n">
        <v>1</v>
      </c>
      <c r="H192" s="19" t="n">
        <v>149</v>
      </c>
      <c r="I192" s="13">
        <f>G192*H192</f>
        <v>149.0</v>
      </c>
      <c r="J192" s="20">
        <f>12000/1000</f>
        <v>12.0</v>
      </c>
      <c r="K192" s="21">
        <f>I192*J192</f>
        <v>1788.0</v>
      </c>
      <c r="L192" s="22">
        <f>F192^2/162</f>
        <v>0.8888888888888888</v>
      </c>
      <c r="M192" s="21">
        <f>K192*L192</f>
        <v>1589.3333333333333</v>
      </c>
      <c r="N192" s="22">
        <f>M192/1000</f>
        <v>1.5893333333333333</v>
      </c>
      <c r="O192" s="13" t="inlineStr">
        <is>
          <t>BBS</t>
        </is>
      </c>
    </row>
    <row r="193">
      <c r="A193" s="13" t="n">
        <v>188</v>
      </c>
      <c r="B193" s="13" t="inlineStr">
        <is>
          <t>Floor Slabs</t>
        </is>
      </c>
      <c r="C193" s="13" t="inlineStr">
        <is>
          <t>STR-080</t>
        </is>
      </c>
      <c r="D193" s="13" t="inlineStr">
        <is>
          <t>Typical 4th-8th slab - bottom</t>
        </is>
      </c>
      <c r="E193" s="19" t="inlineStr">
        <is>
          <t>1224</t>
        </is>
      </c>
      <c r="F193" s="19" t="n">
        <v>12</v>
      </c>
      <c r="G193" s="19" t="n">
        <v>1</v>
      </c>
      <c r="H193" s="19" t="n">
        <v>85</v>
      </c>
      <c r="I193" s="13">
        <f>G193*H193</f>
        <v>85.0</v>
      </c>
      <c r="J193" s="20">
        <f>7375/1000</f>
        <v>7.375</v>
      </c>
      <c r="K193" s="21">
        <f>I193*J193</f>
        <v>626.875</v>
      </c>
      <c r="L193" s="22">
        <f>F193^2/162</f>
        <v>0.8888888888888888</v>
      </c>
      <c r="M193" s="21">
        <f>K193*L193</f>
        <v>557.2222222222222</v>
      </c>
      <c r="N193" s="22">
        <f>M193/1000</f>
        <v>0.5572222222222222</v>
      </c>
      <c r="O193" s="13" t="inlineStr">
        <is>
          <t>BBS</t>
        </is>
      </c>
    </row>
    <row r="194">
      <c r="A194" s="13" t="n">
        <v>189</v>
      </c>
      <c r="B194" s="13" t="inlineStr">
        <is>
          <t>Floor Slabs</t>
        </is>
      </c>
      <c r="C194" s="13" t="inlineStr">
        <is>
          <t>STR-080</t>
        </is>
      </c>
      <c r="D194" s="13" t="inlineStr">
        <is>
          <t>Typical 4th-8th slab - bottom</t>
        </is>
      </c>
      <c r="E194" s="19" t="inlineStr">
        <is>
          <t>1225</t>
        </is>
      </c>
      <c r="F194" s="19" t="n">
        <v>12</v>
      </c>
      <c r="G194" s="19" t="n">
        <v>1</v>
      </c>
      <c r="H194" s="19" t="n">
        <v>13</v>
      </c>
      <c r="I194" s="13">
        <f>G194*H194</f>
        <v>13.0</v>
      </c>
      <c r="J194" s="20">
        <f>3950/1000</f>
        <v>3.95</v>
      </c>
      <c r="K194" s="21">
        <f>I194*J194</f>
        <v>51.35</v>
      </c>
      <c r="L194" s="22">
        <f>F194^2/162</f>
        <v>0.8888888888888888</v>
      </c>
      <c r="M194" s="21">
        <f>K194*L194</f>
        <v>45.644444444444446</v>
      </c>
      <c r="N194" s="22">
        <f>M194/1000</f>
        <v>0.045644444444444446</v>
      </c>
      <c r="O194" s="13" t="inlineStr">
        <is>
          <t>BBS</t>
        </is>
      </c>
    </row>
    <row r="195">
      <c r="A195" s="13" t="n">
        <v>190</v>
      </c>
      <c r="B195" s="13" t="inlineStr">
        <is>
          <t>Floor Slabs</t>
        </is>
      </c>
      <c r="C195" s="13" t="inlineStr">
        <is>
          <t>STR-080</t>
        </is>
      </c>
      <c r="D195" s="13" t="inlineStr">
        <is>
          <t>Typical 4th-8th slab - bottom</t>
        </is>
      </c>
      <c r="E195" s="19" t="inlineStr">
        <is>
          <t>1226</t>
        </is>
      </c>
      <c r="F195" s="19" t="n">
        <v>12</v>
      </c>
      <c r="G195" s="19" t="n">
        <v>1</v>
      </c>
      <c r="H195" s="19" t="n">
        <v>357</v>
      </c>
      <c r="I195" s="13">
        <f>G195*H195</f>
        <v>357.0</v>
      </c>
      <c r="J195" s="20">
        <f>6200/1000</f>
        <v>6.2</v>
      </c>
      <c r="K195" s="21">
        <f>I195*J195</f>
        <v>2213.4</v>
      </c>
      <c r="L195" s="22">
        <f>F195^2/162</f>
        <v>0.8888888888888888</v>
      </c>
      <c r="M195" s="21">
        <f>K195*L195</f>
        <v>1967.4666666666667</v>
      </c>
      <c r="N195" s="22">
        <f>M195/1000</f>
        <v>1.9674666666666667</v>
      </c>
      <c r="O195" s="13" t="inlineStr">
        <is>
          <t>BBS</t>
        </is>
      </c>
    </row>
    <row r="196">
      <c r="A196" s="13" t="n">
        <v>191</v>
      </c>
      <c r="B196" s="13" t="inlineStr">
        <is>
          <t>Floor Slabs</t>
        </is>
      </c>
      <c r="C196" s="13" t="inlineStr">
        <is>
          <t>STR-080</t>
        </is>
      </c>
      <c r="D196" s="13" t="inlineStr">
        <is>
          <t>Typical 4th-8th slab - bottom</t>
        </is>
      </c>
      <c r="E196" s="19" t="inlineStr">
        <is>
          <t>1227</t>
        </is>
      </c>
      <c r="F196" s="19" t="n">
        <v>12</v>
      </c>
      <c r="G196" s="19" t="n">
        <v>1</v>
      </c>
      <c r="H196" s="19" t="n">
        <v>212</v>
      </c>
      <c r="I196" s="13">
        <f>G196*H196</f>
        <v>212.0</v>
      </c>
      <c r="J196" s="20">
        <f>9475/1000</f>
        <v>9.475</v>
      </c>
      <c r="K196" s="21">
        <f>I196*J196</f>
        <v>2008.6999999999998</v>
      </c>
      <c r="L196" s="22">
        <f>F196^2/162</f>
        <v>0.8888888888888888</v>
      </c>
      <c r="M196" s="21">
        <f>K196*L196</f>
        <v>1785.511111111111</v>
      </c>
      <c r="N196" s="22">
        <f>M196/1000</f>
        <v>1.785511111111111</v>
      </c>
      <c r="O196" s="13" t="inlineStr">
        <is>
          <t>BBS</t>
        </is>
      </c>
    </row>
    <row r="197">
      <c r="A197" s="13" t="n">
        <v>192</v>
      </c>
      <c r="B197" s="13" t="inlineStr">
        <is>
          <t>Floor Slabs</t>
        </is>
      </c>
      <c r="C197" s="13" t="inlineStr">
        <is>
          <t>STR-080</t>
        </is>
      </c>
      <c r="D197" s="13" t="inlineStr">
        <is>
          <t>Typical 4th-8th slab - bottom</t>
        </is>
      </c>
      <c r="E197" s="19" t="inlineStr">
        <is>
          <t>1228</t>
        </is>
      </c>
      <c r="F197" s="19" t="n">
        <v>12</v>
      </c>
      <c r="G197" s="19" t="n">
        <v>1</v>
      </c>
      <c r="H197" s="19" t="n">
        <v>75</v>
      </c>
      <c r="I197" s="13">
        <f>G197*H197</f>
        <v>75.0</v>
      </c>
      <c r="J197" s="20">
        <f>7250/1000</f>
        <v>7.25</v>
      </c>
      <c r="K197" s="21">
        <f>I197*J197</f>
        <v>543.75</v>
      </c>
      <c r="L197" s="22">
        <f>F197^2/162</f>
        <v>0.8888888888888888</v>
      </c>
      <c r="M197" s="21">
        <f>K197*L197</f>
        <v>483.3333333333333</v>
      </c>
      <c r="N197" s="22">
        <f>M197/1000</f>
        <v>0.48333333333333334</v>
      </c>
      <c r="O197" s="13" t="inlineStr">
        <is>
          <t>BBS</t>
        </is>
      </c>
    </row>
    <row r="198">
      <c r="A198" s="13" t="n">
        <v>193</v>
      </c>
      <c r="B198" s="13" t="inlineStr">
        <is>
          <t>Floor Slabs</t>
        </is>
      </c>
      <c r="C198" s="13" t="inlineStr">
        <is>
          <t>STR-080</t>
        </is>
      </c>
      <c r="D198" s="13" t="inlineStr">
        <is>
          <t>Typical 4th-8th slab - bottom</t>
        </is>
      </c>
      <c r="E198" s="19" t="inlineStr">
        <is>
          <t>1229</t>
        </is>
      </c>
      <c r="F198" s="19" t="n">
        <v>12</v>
      </c>
      <c r="G198" s="19" t="n">
        <v>1</v>
      </c>
      <c r="H198" s="19" t="n">
        <v>7</v>
      </c>
      <c r="I198" s="13">
        <f>G198*H198</f>
        <v>7.0</v>
      </c>
      <c r="J198" s="20">
        <f>4800/1000</f>
        <v>4.8</v>
      </c>
      <c r="K198" s="21">
        <f>I198*J198</f>
        <v>33.6</v>
      </c>
      <c r="L198" s="22">
        <f>F198^2/162</f>
        <v>0.8888888888888888</v>
      </c>
      <c r="M198" s="21">
        <f>K198*L198</f>
        <v>29.866666666666667</v>
      </c>
      <c r="N198" s="22">
        <f>M198/1000</f>
        <v>0.029866666666666666</v>
      </c>
      <c r="O198" s="13" t="inlineStr">
        <is>
          <t>BBS</t>
        </is>
      </c>
    </row>
    <row r="199">
      <c r="A199" s="13" t="n">
        <v>194</v>
      </c>
      <c r="B199" s="13" t="inlineStr">
        <is>
          <t>Floor Slabs</t>
        </is>
      </c>
      <c r="C199" s="13" t="inlineStr">
        <is>
          <t>STR-080</t>
        </is>
      </c>
      <c r="D199" s="13" t="inlineStr">
        <is>
          <t>Typical 4th-8th slab - bottom</t>
        </is>
      </c>
      <c r="E199" s="19" t="inlineStr">
        <is>
          <t>1230</t>
        </is>
      </c>
      <c r="F199" s="19" t="n">
        <v>12</v>
      </c>
      <c r="G199" s="19" t="n">
        <v>1</v>
      </c>
      <c r="H199" s="19" t="n">
        <v>73</v>
      </c>
      <c r="I199" s="13">
        <f>G199*H199</f>
        <v>73.0</v>
      </c>
      <c r="J199" s="20">
        <f>7400/1000</f>
        <v>7.4</v>
      </c>
      <c r="K199" s="21">
        <f>I199*J199</f>
        <v>540.2</v>
      </c>
      <c r="L199" s="22">
        <f>F199^2/162</f>
        <v>0.8888888888888888</v>
      </c>
      <c r="M199" s="21">
        <f>K199*L199</f>
        <v>480.1777777777778</v>
      </c>
      <c r="N199" s="22">
        <f>M199/1000</f>
        <v>0.4801777777777778</v>
      </c>
      <c r="O199" s="13" t="inlineStr">
        <is>
          <t>BBS</t>
        </is>
      </c>
    </row>
    <row r="200">
      <c r="A200" s="13" t="n">
        <v>195</v>
      </c>
      <c r="B200" s="13" t="inlineStr">
        <is>
          <t>Floor Slabs</t>
        </is>
      </c>
      <c r="C200" s="13" t="inlineStr">
        <is>
          <t>STR-080</t>
        </is>
      </c>
      <c r="D200" s="13" t="inlineStr">
        <is>
          <t>Typical 4th-8th slab - bottom</t>
        </is>
      </c>
      <c r="E200" s="19" t="inlineStr">
        <is>
          <t>1231</t>
        </is>
      </c>
      <c r="F200" s="19" t="n">
        <v>12</v>
      </c>
      <c r="G200" s="19" t="n">
        <v>1</v>
      </c>
      <c r="H200" s="19" t="n">
        <v>13</v>
      </c>
      <c r="I200" s="13">
        <f>G200*H200</f>
        <v>13.0</v>
      </c>
      <c r="J200" s="20">
        <f>6900/1000</f>
        <v>6.9</v>
      </c>
      <c r="K200" s="21">
        <f>I200*J200</f>
        <v>89.7</v>
      </c>
      <c r="L200" s="22">
        <f>F200^2/162</f>
        <v>0.8888888888888888</v>
      </c>
      <c r="M200" s="21">
        <f>K200*L200</f>
        <v>79.73333333333333</v>
      </c>
      <c r="N200" s="22">
        <f>M200/1000</f>
        <v>0.07973333333333334</v>
      </c>
      <c r="O200" s="13" t="inlineStr">
        <is>
          <t>BBS</t>
        </is>
      </c>
    </row>
    <row r="201">
      <c r="A201" s="13" t="n">
        <v>196</v>
      </c>
      <c r="B201" s="13" t="inlineStr">
        <is>
          <t>Floor Slabs</t>
        </is>
      </c>
      <c r="C201" s="13" t="inlineStr">
        <is>
          <t>STR-080</t>
        </is>
      </c>
      <c r="D201" s="13" t="inlineStr">
        <is>
          <t>Typical 4th-8th slab - bottom</t>
        </is>
      </c>
      <c r="E201" s="19" t="inlineStr">
        <is>
          <t>1232</t>
        </is>
      </c>
      <c r="F201" s="19" t="n">
        <v>12</v>
      </c>
      <c r="G201" s="19" t="n">
        <v>1</v>
      </c>
      <c r="H201" s="19" t="n">
        <v>12</v>
      </c>
      <c r="I201" s="13">
        <f>G201*H201</f>
        <v>12.0</v>
      </c>
      <c r="J201" s="20">
        <f>5900/1000</f>
        <v>5.9</v>
      </c>
      <c r="K201" s="21">
        <f>I201*J201</f>
        <v>70.80000000000001</v>
      </c>
      <c r="L201" s="22">
        <f>F201^2/162</f>
        <v>0.8888888888888888</v>
      </c>
      <c r="M201" s="21">
        <f>K201*L201</f>
        <v>62.93333333333334</v>
      </c>
      <c r="N201" s="22">
        <f>M201/1000</f>
        <v>0.06293333333333334</v>
      </c>
      <c r="O201" s="13" t="inlineStr">
        <is>
          <t>BBS</t>
        </is>
      </c>
    </row>
    <row r="202">
      <c r="A202" s="13" t="n">
        <v>197</v>
      </c>
      <c r="B202" s="13" t="inlineStr">
        <is>
          <t>Floor Slabs</t>
        </is>
      </c>
      <c r="C202" s="13" t="inlineStr">
        <is>
          <t>STR-080</t>
        </is>
      </c>
      <c r="D202" s="13" t="inlineStr">
        <is>
          <t>Typical 4th-8th slab - bottom</t>
        </is>
      </c>
      <c r="E202" s="19" t="inlineStr">
        <is>
          <t>1233</t>
        </is>
      </c>
      <c r="F202" s="19" t="n">
        <v>12</v>
      </c>
      <c r="G202" s="19" t="n">
        <v>1</v>
      </c>
      <c r="H202" s="19" t="n">
        <v>13</v>
      </c>
      <c r="I202" s="13">
        <f>G202*H202</f>
        <v>13.0</v>
      </c>
      <c r="J202" s="20">
        <f>4200/1000</f>
        <v>4.2</v>
      </c>
      <c r="K202" s="21">
        <f>I202*J202</f>
        <v>54.6</v>
      </c>
      <c r="L202" s="22">
        <f>F202^2/162</f>
        <v>0.8888888888888888</v>
      </c>
      <c r="M202" s="21">
        <f>K202*L202</f>
        <v>48.53333333333333</v>
      </c>
      <c r="N202" s="22">
        <f>M202/1000</f>
        <v>0.04853333333333333</v>
      </c>
      <c r="O202" s="13" t="inlineStr">
        <is>
          <t>BBS</t>
        </is>
      </c>
    </row>
    <row r="203">
      <c r="A203" s="13" t="n">
        <v>198</v>
      </c>
      <c r="B203" s="13" t="inlineStr">
        <is>
          <t>Floor Slabs</t>
        </is>
      </c>
      <c r="C203" s="13" t="inlineStr">
        <is>
          <t>STR-080</t>
        </is>
      </c>
      <c r="D203" s="13" t="inlineStr">
        <is>
          <t>Typical 4th-8th slab - bottom</t>
        </is>
      </c>
      <c r="E203" s="19" t="inlineStr">
        <is>
          <t>1234</t>
        </is>
      </c>
      <c r="F203" s="19" t="n">
        <v>12</v>
      </c>
      <c r="G203" s="19" t="n">
        <v>1</v>
      </c>
      <c r="H203" s="19" t="n">
        <v>73</v>
      </c>
      <c r="I203" s="13">
        <f>G203*H203</f>
        <v>73.0</v>
      </c>
      <c r="J203" s="20">
        <f>6000/1000</f>
        <v>6.0</v>
      </c>
      <c r="K203" s="21">
        <f>I203*J203</f>
        <v>438.0</v>
      </c>
      <c r="L203" s="22">
        <f>F203^2/162</f>
        <v>0.8888888888888888</v>
      </c>
      <c r="M203" s="21">
        <f>K203*L203</f>
        <v>389.3333333333333</v>
      </c>
      <c r="N203" s="22">
        <f>M203/1000</f>
        <v>0.3893333333333333</v>
      </c>
      <c r="O203" s="13" t="inlineStr">
        <is>
          <t>BBS</t>
        </is>
      </c>
    </row>
    <row r="204">
      <c r="A204" s="13" t="n">
        <v>199</v>
      </c>
      <c r="B204" s="13" t="inlineStr">
        <is>
          <t>Floor Slabs</t>
        </is>
      </c>
      <c r="C204" s="13" t="inlineStr">
        <is>
          <t>STR-080</t>
        </is>
      </c>
      <c r="D204" s="13" t="inlineStr">
        <is>
          <t>Typical 4th-8th slab - bottom</t>
        </is>
      </c>
      <c r="E204" s="19" t="inlineStr">
        <is>
          <t>1235</t>
        </is>
      </c>
      <c r="F204" s="19" t="n">
        <v>12</v>
      </c>
      <c r="G204" s="19" t="n">
        <v>1</v>
      </c>
      <c r="H204" s="19" t="n">
        <v>43</v>
      </c>
      <c r="I204" s="13">
        <f>G204*H204</f>
        <v>43.0</v>
      </c>
      <c r="J204" s="20">
        <f>11750/1000</f>
        <v>11.75</v>
      </c>
      <c r="K204" s="21">
        <f>I204*J204</f>
        <v>505.25</v>
      </c>
      <c r="L204" s="22">
        <f>F204^2/162</f>
        <v>0.8888888888888888</v>
      </c>
      <c r="M204" s="21">
        <f>K204*L204</f>
        <v>449.1111111111111</v>
      </c>
      <c r="N204" s="22">
        <f>M204/1000</f>
        <v>0.44911111111111107</v>
      </c>
      <c r="O204" s="13" t="inlineStr">
        <is>
          <t>BBS</t>
        </is>
      </c>
    </row>
    <row r="205">
      <c r="A205" s="13" t="n">
        <v>200</v>
      </c>
      <c r="B205" s="13" t="inlineStr">
        <is>
          <t>Floor Slabs</t>
        </is>
      </c>
      <c r="C205" s="13" t="inlineStr">
        <is>
          <t>STR-080</t>
        </is>
      </c>
      <c r="D205" s="13" t="inlineStr">
        <is>
          <t>Typical 4th-8th slab - bottom</t>
        </is>
      </c>
      <c r="E205" s="19" t="inlineStr">
        <is>
          <t>1236</t>
        </is>
      </c>
      <c r="F205" s="19" t="n">
        <v>12</v>
      </c>
      <c r="G205" s="19" t="n">
        <v>1</v>
      </c>
      <c r="H205" s="19" t="n">
        <v>12</v>
      </c>
      <c r="I205" s="13">
        <f>G205*H205</f>
        <v>12.0</v>
      </c>
      <c r="J205" s="20">
        <f>8350/1000</f>
        <v>8.35</v>
      </c>
      <c r="K205" s="21">
        <f>I205*J205</f>
        <v>100.19999999999999</v>
      </c>
      <c r="L205" s="22">
        <f>F205^2/162</f>
        <v>0.8888888888888888</v>
      </c>
      <c r="M205" s="21">
        <f>K205*L205</f>
        <v>89.06666666666665</v>
      </c>
      <c r="N205" s="22">
        <f>M205/1000</f>
        <v>0.08906666666666666</v>
      </c>
      <c r="O205" s="13" t="inlineStr">
        <is>
          <t>BBS</t>
        </is>
      </c>
    </row>
    <row r="206">
      <c r="A206" s="13" t="n">
        <v>201</v>
      </c>
      <c r="B206" s="13" t="inlineStr">
        <is>
          <t>Floor Slabs</t>
        </is>
      </c>
      <c r="C206" s="13" t="inlineStr">
        <is>
          <t>STR-080</t>
        </is>
      </c>
      <c r="D206" s="13" t="inlineStr">
        <is>
          <t>Typical 4th-8th slab - bottom</t>
        </is>
      </c>
      <c r="E206" s="19" t="inlineStr">
        <is>
          <t>1237</t>
        </is>
      </c>
      <c r="F206" s="19" t="n">
        <v>12</v>
      </c>
      <c r="G206" s="19" t="n">
        <v>1</v>
      </c>
      <c r="H206" s="19" t="n">
        <v>75</v>
      </c>
      <c r="I206" s="13">
        <f>G206*H206</f>
        <v>75.0</v>
      </c>
      <c r="J206" s="20">
        <f>11250/1000</f>
        <v>11.25</v>
      </c>
      <c r="K206" s="21">
        <f>I206*J206</f>
        <v>843.75</v>
      </c>
      <c r="L206" s="22">
        <f>F206^2/162</f>
        <v>0.8888888888888888</v>
      </c>
      <c r="M206" s="21">
        <f>K206*L206</f>
        <v>750.0</v>
      </c>
      <c r="N206" s="22">
        <f>M206/1000</f>
        <v>0.75</v>
      </c>
      <c r="O206" s="13" t="inlineStr">
        <is>
          <t>BBS</t>
        </is>
      </c>
    </row>
    <row r="207">
      <c r="A207" s="13" t="n">
        <v>202</v>
      </c>
      <c r="B207" s="13" t="inlineStr">
        <is>
          <t>Floor Slabs</t>
        </is>
      </c>
      <c r="C207" s="13" t="inlineStr">
        <is>
          <t>STR-081</t>
        </is>
      </c>
      <c r="D207" s="13" t="inlineStr">
        <is>
          <t>Typical 4th-8th slab - top</t>
        </is>
      </c>
      <c r="E207" s="19" t="inlineStr">
        <is>
          <t>1238</t>
        </is>
      </c>
      <c r="F207" s="19" t="n">
        <v>12</v>
      </c>
      <c r="G207" s="19" t="n">
        <v>1</v>
      </c>
      <c r="H207" s="19" t="n">
        <v>16</v>
      </c>
      <c r="I207" s="13">
        <f>G207*H207</f>
        <v>16.0</v>
      </c>
      <c r="J207" s="20">
        <f>1925/1000</f>
        <v>1.925</v>
      </c>
      <c r="K207" s="21">
        <f>I207*J207</f>
        <v>30.8</v>
      </c>
      <c r="L207" s="22">
        <f>F207^2/162</f>
        <v>0.8888888888888888</v>
      </c>
      <c r="M207" s="21">
        <f>K207*L207</f>
        <v>27.377777777777776</v>
      </c>
      <c r="N207" s="22">
        <f>M207/1000</f>
        <v>0.027377777777777775</v>
      </c>
      <c r="O207" s="13" t="inlineStr">
        <is>
          <t>BBS</t>
        </is>
      </c>
    </row>
    <row r="208">
      <c r="A208" s="13" t="n">
        <v>203</v>
      </c>
      <c r="B208" s="13" t="inlineStr">
        <is>
          <t>Floor Slabs</t>
        </is>
      </c>
      <c r="C208" s="13" t="inlineStr">
        <is>
          <t>STR-081</t>
        </is>
      </c>
      <c r="D208" s="13" t="inlineStr">
        <is>
          <t>Typical 4th-8th slab - top</t>
        </is>
      </c>
      <c r="E208" s="19" t="inlineStr">
        <is>
          <t>1239</t>
        </is>
      </c>
      <c r="F208" s="19" t="n">
        <v>12</v>
      </c>
      <c r="G208" s="19" t="n">
        <v>1</v>
      </c>
      <c r="H208" s="19" t="n">
        <v>230</v>
      </c>
      <c r="I208" s="13">
        <f>G208*H208</f>
        <v>230.0</v>
      </c>
      <c r="J208" s="20">
        <f>11650/1000</f>
        <v>11.65</v>
      </c>
      <c r="K208" s="21">
        <f>I208*J208</f>
        <v>2679.5</v>
      </c>
      <c r="L208" s="22">
        <f>F208^2/162</f>
        <v>0.8888888888888888</v>
      </c>
      <c r="M208" s="21">
        <f>K208*L208</f>
        <v>2381.777777777778</v>
      </c>
      <c r="N208" s="22">
        <f>M208/1000</f>
        <v>2.3817777777777778</v>
      </c>
      <c r="O208" s="13" t="inlineStr">
        <is>
          <t>BBS</t>
        </is>
      </c>
    </row>
    <row r="209">
      <c r="A209" s="13" t="n">
        <v>204</v>
      </c>
      <c r="B209" s="13" t="inlineStr">
        <is>
          <t>Floor Slabs</t>
        </is>
      </c>
      <c r="C209" s="13" t="inlineStr">
        <is>
          <t>STR-081</t>
        </is>
      </c>
      <c r="D209" s="13" t="inlineStr">
        <is>
          <t>Typical 4th-8th slab - top</t>
        </is>
      </c>
      <c r="E209" s="19" t="inlineStr">
        <is>
          <t>1240</t>
        </is>
      </c>
      <c r="F209" s="19" t="n">
        <v>12</v>
      </c>
      <c r="G209" s="19" t="n">
        <v>1</v>
      </c>
      <c r="H209" s="19" t="n">
        <v>74</v>
      </c>
      <c r="I209" s="13">
        <f>G209*H209</f>
        <v>74.0</v>
      </c>
      <c r="J209" s="20">
        <f>5850/1000</f>
        <v>5.85</v>
      </c>
      <c r="K209" s="21">
        <f>I209*J209</f>
        <v>432.9</v>
      </c>
      <c r="L209" s="22">
        <f>F209^2/162</f>
        <v>0.8888888888888888</v>
      </c>
      <c r="M209" s="21">
        <f>K209*L209</f>
        <v>384.79999999999995</v>
      </c>
      <c r="N209" s="22">
        <f>M209/1000</f>
        <v>0.3848</v>
      </c>
      <c r="O209" s="13" t="inlineStr">
        <is>
          <t>BBS</t>
        </is>
      </c>
    </row>
    <row r="210">
      <c r="A210" s="13" t="n">
        <v>205</v>
      </c>
      <c r="B210" s="13" t="inlineStr">
        <is>
          <t>Floor Slabs</t>
        </is>
      </c>
      <c r="C210" s="13" t="inlineStr">
        <is>
          <t>STR-081</t>
        </is>
      </c>
      <c r="D210" s="13" t="inlineStr">
        <is>
          <t>Typical 4th-8th slab - top</t>
        </is>
      </c>
      <c r="E210" s="19" t="inlineStr">
        <is>
          <t>1241</t>
        </is>
      </c>
      <c r="F210" s="19" t="n">
        <v>12</v>
      </c>
      <c r="G210" s="19" t="n">
        <v>1</v>
      </c>
      <c r="H210" s="19" t="n">
        <v>21</v>
      </c>
      <c r="I210" s="13">
        <f>G210*H210</f>
        <v>21.0</v>
      </c>
      <c r="J210" s="20">
        <f>8050/1000</f>
        <v>8.05</v>
      </c>
      <c r="K210" s="21">
        <f>I210*J210</f>
        <v>169.05</v>
      </c>
      <c r="L210" s="22">
        <f>F210^2/162</f>
        <v>0.8888888888888888</v>
      </c>
      <c r="M210" s="21">
        <f>K210*L210</f>
        <v>150.26666666666668</v>
      </c>
      <c r="N210" s="22">
        <f>M210/1000</f>
        <v>0.1502666666666667</v>
      </c>
      <c r="O210" s="13" t="inlineStr">
        <is>
          <t>BBS</t>
        </is>
      </c>
    </row>
    <row r="211">
      <c r="A211" s="13" t="n">
        <v>206</v>
      </c>
      <c r="B211" s="13" t="inlineStr">
        <is>
          <t>Floor Slabs</t>
        </is>
      </c>
      <c r="C211" s="13" t="inlineStr">
        <is>
          <t>STR-081</t>
        </is>
      </c>
      <c r="D211" s="13" t="inlineStr">
        <is>
          <t>Typical 4th-8th slab - top</t>
        </is>
      </c>
      <c r="E211" s="19" t="inlineStr">
        <is>
          <t>1242</t>
        </is>
      </c>
      <c r="F211" s="19" t="n">
        <v>12</v>
      </c>
      <c r="G211" s="19" t="n">
        <v>1</v>
      </c>
      <c r="H211" s="19" t="n">
        <v>263</v>
      </c>
      <c r="I211" s="13">
        <f>G211*H211</f>
        <v>263.0</v>
      </c>
      <c r="J211" s="20">
        <f>8000/1000</f>
        <v>8.0</v>
      </c>
      <c r="K211" s="21">
        <f>I211*J211</f>
        <v>2104.0</v>
      </c>
      <c r="L211" s="22">
        <f>F211^2/162</f>
        <v>0.8888888888888888</v>
      </c>
      <c r="M211" s="21">
        <f>K211*L211</f>
        <v>1870.2222222222222</v>
      </c>
      <c r="N211" s="22">
        <f>M211/1000</f>
        <v>1.8702222222222222</v>
      </c>
      <c r="O211" s="13" t="inlineStr">
        <is>
          <t>BBS</t>
        </is>
      </c>
    </row>
    <row r="212">
      <c r="A212" s="13" t="n">
        <v>207</v>
      </c>
      <c r="B212" s="13" t="inlineStr">
        <is>
          <t>Floor Slabs</t>
        </is>
      </c>
      <c r="C212" s="13" t="inlineStr">
        <is>
          <t>STR-081</t>
        </is>
      </c>
      <c r="D212" s="13" t="inlineStr">
        <is>
          <t>Typical 4th-8th slab - top</t>
        </is>
      </c>
      <c r="E212" s="19" t="inlineStr">
        <is>
          <t>1243</t>
        </is>
      </c>
      <c r="F212" s="19" t="n">
        <v>12</v>
      </c>
      <c r="G212" s="19" t="n">
        <v>1</v>
      </c>
      <c r="H212" s="19" t="n">
        <v>226</v>
      </c>
      <c r="I212" s="13">
        <f>G212*H212</f>
        <v>226.0</v>
      </c>
      <c r="J212" s="20">
        <f>8800/1000</f>
        <v>8.8</v>
      </c>
      <c r="K212" s="21">
        <f>I212*J212</f>
        <v>1988.8000000000002</v>
      </c>
      <c r="L212" s="22">
        <f>F212^2/162</f>
        <v>0.8888888888888888</v>
      </c>
      <c r="M212" s="21">
        <f>K212*L212</f>
        <v>1767.8222222222223</v>
      </c>
      <c r="N212" s="22">
        <f>M212/1000</f>
        <v>1.7678222222222224</v>
      </c>
      <c r="O212" s="13" t="inlineStr">
        <is>
          <t>BBS</t>
        </is>
      </c>
    </row>
    <row r="213">
      <c r="A213" s="13" t="n">
        <v>208</v>
      </c>
      <c r="B213" s="13" t="inlineStr">
        <is>
          <t>Floor Slabs</t>
        </is>
      </c>
      <c r="C213" s="13" t="inlineStr">
        <is>
          <t>STR-081</t>
        </is>
      </c>
      <c r="D213" s="13" t="inlineStr">
        <is>
          <t>Typical 4th-8th slab - top</t>
        </is>
      </c>
      <c r="E213" s="19" t="inlineStr">
        <is>
          <t>1244</t>
        </is>
      </c>
      <c r="F213" s="19" t="n">
        <v>12</v>
      </c>
      <c r="G213" s="19" t="n">
        <v>1</v>
      </c>
      <c r="H213" s="19" t="n">
        <v>21</v>
      </c>
      <c r="I213" s="13">
        <f>G213*H213</f>
        <v>21.0</v>
      </c>
      <c r="J213" s="20">
        <f>7350/1000</f>
        <v>7.35</v>
      </c>
      <c r="K213" s="21">
        <f>I213*J213</f>
        <v>154.35</v>
      </c>
      <c r="L213" s="22">
        <f>F213^2/162</f>
        <v>0.8888888888888888</v>
      </c>
      <c r="M213" s="21">
        <f>K213*L213</f>
        <v>137.2</v>
      </c>
      <c r="N213" s="22">
        <f>M213/1000</f>
        <v>0.1372</v>
      </c>
      <c r="O213" s="13" t="inlineStr">
        <is>
          <t>BBS</t>
        </is>
      </c>
    </row>
    <row r="214">
      <c r="A214" s="13" t="n">
        <v>209</v>
      </c>
      <c r="B214" s="13" t="inlineStr">
        <is>
          <t>Floor Slabs</t>
        </is>
      </c>
      <c r="C214" s="13" t="inlineStr">
        <is>
          <t>STR-081</t>
        </is>
      </c>
      <c r="D214" s="13" t="inlineStr">
        <is>
          <t>Typical 4th-8th slab - top</t>
        </is>
      </c>
      <c r="E214" s="19" t="inlineStr">
        <is>
          <t>1245</t>
        </is>
      </c>
      <c r="F214" s="19" t="n">
        <v>12</v>
      </c>
      <c r="G214" s="19" t="n">
        <v>1</v>
      </c>
      <c r="H214" s="19" t="n">
        <v>21</v>
      </c>
      <c r="I214" s="13">
        <f>G214*H214</f>
        <v>21.0</v>
      </c>
      <c r="J214" s="20">
        <f>8650/1000</f>
        <v>8.65</v>
      </c>
      <c r="K214" s="21">
        <f>I214*J214</f>
        <v>181.65</v>
      </c>
      <c r="L214" s="22">
        <f>F214^2/162</f>
        <v>0.8888888888888888</v>
      </c>
      <c r="M214" s="21">
        <f>K214*L214</f>
        <v>161.46666666666667</v>
      </c>
      <c r="N214" s="22">
        <f>M214/1000</f>
        <v>0.16146666666666668</v>
      </c>
      <c r="O214" s="13" t="inlineStr">
        <is>
          <t>BBS</t>
        </is>
      </c>
    </row>
    <row r="215">
      <c r="A215" s="13" t="n">
        <v>210</v>
      </c>
      <c r="B215" s="13" t="inlineStr">
        <is>
          <t>Floor Slabs</t>
        </is>
      </c>
      <c r="C215" s="13" t="inlineStr">
        <is>
          <t>STR-081</t>
        </is>
      </c>
      <c r="D215" s="13" t="inlineStr">
        <is>
          <t>Typical 4th-8th slab - top</t>
        </is>
      </c>
      <c r="E215" s="19" t="inlineStr">
        <is>
          <t>1246</t>
        </is>
      </c>
      <c r="F215" s="19" t="n">
        <v>12</v>
      </c>
      <c r="G215" s="19" t="n">
        <v>1</v>
      </c>
      <c r="H215" s="19" t="n">
        <v>27</v>
      </c>
      <c r="I215" s="13">
        <f>G215*H215</f>
        <v>27.0</v>
      </c>
      <c r="J215" s="20">
        <f>4575/1000</f>
        <v>4.575</v>
      </c>
      <c r="K215" s="21">
        <f>I215*J215</f>
        <v>123.525</v>
      </c>
      <c r="L215" s="22">
        <f>F215^2/162</f>
        <v>0.8888888888888888</v>
      </c>
      <c r="M215" s="21">
        <f>K215*L215</f>
        <v>109.8</v>
      </c>
      <c r="N215" s="22">
        <f>M215/1000</f>
        <v>0.1098</v>
      </c>
      <c r="O215" s="13" t="inlineStr">
        <is>
          <t>BBS</t>
        </is>
      </c>
    </row>
    <row r="216">
      <c r="A216" s="13" t="n">
        <v>211</v>
      </c>
      <c r="B216" s="13" t="inlineStr">
        <is>
          <t>Floor Slabs</t>
        </is>
      </c>
      <c r="C216" s="13" t="inlineStr">
        <is>
          <t>STR-081</t>
        </is>
      </c>
      <c r="D216" s="13" t="inlineStr">
        <is>
          <t>Typical 4th-8th slab - top</t>
        </is>
      </c>
      <c r="E216" s="19" t="inlineStr">
        <is>
          <t>1247</t>
        </is>
      </c>
      <c r="F216" s="19" t="n">
        <v>12</v>
      </c>
      <c r="G216" s="19" t="n">
        <v>1</v>
      </c>
      <c r="H216" s="19" t="n">
        <v>65</v>
      </c>
      <c r="I216" s="13">
        <f>G216*H216</f>
        <v>65.0</v>
      </c>
      <c r="J216" s="20">
        <f>5325/1000</f>
        <v>5.325</v>
      </c>
      <c r="K216" s="21">
        <f>I216*J216</f>
        <v>346.125</v>
      </c>
      <c r="L216" s="22">
        <f>F216^2/162</f>
        <v>0.8888888888888888</v>
      </c>
      <c r="M216" s="21">
        <f>K216*L216</f>
        <v>307.66666666666663</v>
      </c>
      <c r="N216" s="22">
        <f>M216/1000</f>
        <v>0.30766666666666664</v>
      </c>
      <c r="O216" s="13" t="inlineStr">
        <is>
          <t>BBS</t>
        </is>
      </c>
    </row>
    <row r="217">
      <c r="A217" s="13" t="n">
        <v>212</v>
      </c>
      <c r="B217" s="13" t="inlineStr">
        <is>
          <t>Floor Slabs</t>
        </is>
      </c>
      <c r="C217" s="13" t="inlineStr">
        <is>
          <t>STR-081</t>
        </is>
      </c>
      <c r="D217" s="13" t="inlineStr">
        <is>
          <t>Typical 4th-8th slab - top</t>
        </is>
      </c>
      <c r="E217" s="19" t="inlineStr">
        <is>
          <t>1248</t>
        </is>
      </c>
      <c r="F217" s="19" t="n">
        <v>12</v>
      </c>
      <c r="G217" s="19" t="n">
        <v>1</v>
      </c>
      <c r="H217" s="19" t="n">
        <v>15</v>
      </c>
      <c r="I217" s="13">
        <f>G217*H217</f>
        <v>15.0</v>
      </c>
      <c r="J217" s="20">
        <f>4700/1000</f>
        <v>4.7</v>
      </c>
      <c r="K217" s="21">
        <f>I217*J217</f>
        <v>70.5</v>
      </c>
      <c r="L217" s="22">
        <f>F217^2/162</f>
        <v>0.8888888888888888</v>
      </c>
      <c r="M217" s="21">
        <f>K217*L217</f>
        <v>62.666666666666664</v>
      </c>
      <c r="N217" s="22">
        <f>M217/1000</f>
        <v>0.06266666666666666</v>
      </c>
      <c r="O217" s="13" t="inlineStr">
        <is>
          <t>BBS</t>
        </is>
      </c>
    </row>
    <row r="218">
      <c r="A218" s="13" t="n">
        <v>213</v>
      </c>
      <c r="B218" s="13" t="inlineStr">
        <is>
          <t>Floor Slabs</t>
        </is>
      </c>
      <c r="C218" s="13" t="inlineStr">
        <is>
          <t>STR-081</t>
        </is>
      </c>
      <c r="D218" s="13" t="inlineStr">
        <is>
          <t>Typical 4th-8th slab - top</t>
        </is>
      </c>
      <c r="E218" s="19" t="inlineStr">
        <is>
          <t>1249</t>
        </is>
      </c>
      <c r="F218" s="19" t="n">
        <v>12</v>
      </c>
      <c r="G218" s="19" t="n">
        <v>1</v>
      </c>
      <c r="H218" s="19" t="n">
        <v>23</v>
      </c>
      <c r="I218" s="13">
        <f>G218*H218</f>
        <v>23.0</v>
      </c>
      <c r="J218" s="20">
        <f>12000/1000</f>
        <v>12.0</v>
      </c>
      <c r="K218" s="21">
        <f>I218*J218</f>
        <v>276.0</v>
      </c>
      <c r="L218" s="22">
        <f>F218^2/162</f>
        <v>0.8888888888888888</v>
      </c>
      <c r="M218" s="21">
        <f>K218*L218</f>
        <v>245.33333333333331</v>
      </c>
      <c r="N218" s="22">
        <f>M218/1000</f>
        <v>0.24533333333333332</v>
      </c>
      <c r="O218" s="13" t="inlineStr">
        <is>
          <t>BBS</t>
        </is>
      </c>
    </row>
    <row r="219">
      <c r="A219" s="13" t="n">
        <v>214</v>
      </c>
      <c r="B219" s="13" t="inlineStr">
        <is>
          <t>Floor Slabs</t>
        </is>
      </c>
      <c r="C219" s="13" t="inlineStr">
        <is>
          <t>STR-081</t>
        </is>
      </c>
      <c r="D219" s="13" t="inlineStr">
        <is>
          <t>Typical 4th-8th slab - top</t>
        </is>
      </c>
      <c r="E219" s="19" t="inlineStr">
        <is>
          <t>1250</t>
        </is>
      </c>
      <c r="F219" s="19" t="n">
        <v>12</v>
      </c>
      <c r="G219" s="19" t="n">
        <v>1</v>
      </c>
      <c r="H219" s="19" t="n">
        <v>9</v>
      </c>
      <c r="I219" s="13">
        <f>G219*H219</f>
        <v>9.0</v>
      </c>
      <c r="J219" s="20">
        <f>10000/1000</f>
        <v>10.0</v>
      </c>
      <c r="K219" s="21">
        <f>I219*J219</f>
        <v>90.0</v>
      </c>
      <c r="L219" s="22">
        <f>F219^2/162</f>
        <v>0.8888888888888888</v>
      </c>
      <c r="M219" s="21">
        <f>K219*L219</f>
        <v>80.0</v>
      </c>
      <c r="N219" s="22">
        <f>M219/1000</f>
        <v>0.08</v>
      </c>
      <c r="O219" s="13" t="inlineStr">
        <is>
          <t>BBS</t>
        </is>
      </c>
    </row>
    <row r="220">
      <c r="A220" s="13" t="n">
        <v>215</v>
      </c>
      <c r="B220" s="13" t="inlineStr">
        <is>
          <t>Floor Slabs</t>
        </is>
      </c>
      <c r="C220" s="13" t="inlineStr">
        <is>
          <t>STR-081</t>
        </is>
      </c>
      <c r="D220" s="13" t="inlineStr">
        <is>
          <t>Typical 4th-8th slab - top</t>
        </is>
      </c>
      <c r="E220" s="19" t="inlineStr">
        <is>
          <t>1251</t>
        </is>
      </c>
      <c r="F220" s="19" t="n">
        <v>12</v>
      </c>
      <c r="G220" s="19" t="n">
        <v>1</v>
      </c>
      <c r="H220" s="19" t="n">
        <v>234</v>
      </c>
      <c r="I220" s="13">
        <f>G220*H220</f>
        <v>234.0</v>
      </c>
      <c r="J220" s="20">
        <f>8650/1000</f>
        <v>8.65</v>
      </c>
      <c r="K220" s="21">
        <f>I220*J220</f>
        <v>2024.1000000000001</v>
      </c>
      <c r="L220" s="22">
        <f>F220^2/162</f>
        <v>0.8888888888888888</v>
      </c>
      <c r="M220" s="21">
        <f>K220*L220</f>
        <v>1799.2</v>
      </c>
      <c r="N220" s="22">
        <f>M220/1000</f>
        <v>1.7992000000000001</v>
      </c>
      <c r="O220" s="13" t="inlineStr">
        <is>
          <t>BBS</t>
        </is>
      </c>
    </row>
    <row r="221">
      <c r="A221" s="13" t="n">
        <v>216</v>
      </c>
      <c r="B221" s="13" t="inlineStr">
        <is>
          <t>Floor Slabs</t>
        </is>
      </c>
      <c r="C221" s="13" t="inlineStr">
        <is>
          <t>STR-081</t>
        </is>
      </c>
      <c r="D221" s="13" t="inlineStr">
        <is>
          <t>Typical 4th-8th slab - top</t>
        </is>
      </c>
      <c r="E221" s="19" t="inlineStr">
        <is>
          <t>1252</t>
        </is>
      </c>
      <c r="F221" s="19" t="n">
        <v>12</v>
      </c>
      <c r="G221" s="19" t="n">
        <v>1</v>
      </c>
      <c r="H221" s="19" t="n">
        <v>24</v>
      </c>
      <c r="I221" s="13">
        <f>G221*H221</f>
        <v>24.0</v>
      </c>
      <c r="J221" s="20">
        <f>4600/1000</f>
        <v>4.6</v>
      </c>
      <c r="K221" s="21">
        <f>I221*J221</f>
        <v>110.39999999999999</v>
      </c>
      <c r="L221" s="22">
        <f>F221^2/162</f>
        <v>0.8888888888888888</v>
      </c>
      <c r="M221" s="21">
        <f>K221*L221</f>
        <v>98.13333333333333</v>
      </c>
      <c r="N221" s="22">
        <f>M221/1000</f>
        <v>0.09813333333333332</v>
      </c>
      <c r="O221" s="13" t="inlineStr">
        <is>
          <t>BBS</t>
        </is>
      </c>
    </row>
    <row r="222">
      <c r="A222" s="13" t="n">
        <v>217</v>
      </c>
      <c r="B222" s="13" t="inlineStr">
        <is>
          <t>Floor Slabs</t>
        </is>
      </c>
      <c r="C222" s="13" t="inlineStr">
        <is>
          <t>STR-081</t>
        </is>
      </c>
      <c r="D222" s="13" t="inlineStr">
        <is>
          <t>Typical 4th-8th slab - top</t>
        </is>
      </c>
      <c r="E222" s="19" t="inlineStr">
        <is>
          <t>1253</t>
        </is>
      </c>
      <c r="F222" s="19" t="n">
        <v>12</v>
      </c>
      <c r="G222" s="19" t="n">
        <v>1</v>
      </c>
      <c r="H222" s="19" t="n">
        <v>152</v>
      </c>
      <c r="I222" s="13">
        <f>G222*H222</f>
        <v>152.0</v>
      </c>
      <c r="J222" s="20">
        <f>5900/1000</f>
        <v>5.9</v>
      </c>
      <c r="K222" s="21">
        <f>I222*J222</f>
        <v>896.8000000000001</v>
      </c>
      <c r="L222" s="22">
        <f>F222^2/162</f>
        <v>0.8888888888888888</v>
      </c>
      <c r="M222" s="21">
        <f>K222*L222</f>
        <v>797.1555555555556</v>
      </c>
      <c r="N222" s="22">
        <f>M222/1000</f>
        <v>0.7971555555555556</v>
      </c>
      <c r="O222" s="13" t="inlineStr">
        <is>
          <t>BBS</t>
        </is>
      </c>
    </row>
    <row r="223">
      <c r="A223" s="13" t="n">
        <v>218</v>
      </c>
      <c r="B223" s="13" t="inlineStr">
        <is>
          <t>Floor Slabs</t>
        </is>
      </c>
      <c r="C223" s="13" t="inlineStr">
        <is>
          <t>STR-081</t>
        </is>
      </c>
      <c r="D223" s="13" t="inlineStr">
        <is>
          <t>Typical 4th-8th slab - top</t>
        </is>
      </c>
      <c r="E223" s="19" t="inlineStr">
        <is>
          <t>1254</t>
        </is>
      </c>
      <c r="F223" s="19" t="n">
        <v>12</v>
      </c>
      <c r="G223" s="19" t="n">
        <v>1</v>
      </c>
      <c r="H223" s="19" t="n">
        <v>119</v>
      </c>
      <c r="I223" s="13">
        <f>G223*H223</f>
        <v>119.0</v>
      </c>
      <c r="J223" s="20">
        <f>9525/1000</f>
        <v>9.525</v>
      </c>
      <c r="K223" s="21">
        <f>I223*J223</f>
        <v>1133.4750000000001</v>
      </c>
      <c r="L223" s="22">
        <f>F223^2/162</f>
        <v>0.8888888888888888</v>
      </c>
      <c r="M223" s="21">
        <f>K223*L223</f>
        <v>1007.5333333333334</v>
      </c>
      <c r="N223" s="22">
        <f>M223/1000</f>
        <v>1.0075333333333334</v>
      </c>
      <c r="O223" s="13" t="inlineStr">
        <is>
          <t>BBS</t>
        </is>
      </c>
    </row>
    <row r="224">
      <c r="A224" s="13" t="n">
        <v>219</v>
      </c>
      <c r="B224" s="13" t="inlineStr">
        <is>
          <t>Floor Slabs</t>
        </is>
      </c>
      <c r="C224" s="13" t="inlineStr">
        <is>
          <t>STR-081</t>
        </is>
      </c>
      <c r="D224" s="13" t="inlineStr">
        <is>
          <t>Typical 4th-8th slab - top</t>
        </is>
      </c>
      <c r="E224" s="19" t="inlineStr">
        <is>
          <t>1255</t>
        </is>
      </c>
      <c r="F224" s="19" t="n">
        <v>12</v>
      </c>
      <c r="G224" s="19" t="n">
        <v>1</v>
      </c>
      <c r="H224" s="19" t="n">
        <v>206</v>
      </c>
      <c r="I224" s="13">
        <f>G224*H224</f>
        <v>206.0</v>
      </c>
      <c r="J224" s="20">
        <f>4275/1000</f>
        <v>4.275</v>
      </c>
      <c r="K224" s="21">
        <f>I224*J224</f>
        <v>880.6500000000001</v>
      </c>
      <c r="L224" s="22">
        <f>F224^2/162</f>
        <v>0.8888888888888888</v>
      </c>
      <c r="M224" s="21">
        <f>K224*L224</f>
        <v>782.8000000000001</v>
      </c>
      <c r="N224" s="22">
        <f>M224/1000</f>
        <v>0.7828</v>
      </c>
      <c r="O224" s="13" t="inlineStr">
        <is>
          <t>BBS</t>
        </is>
      </c>
    </row>
    <row r="225">
      <c r="A225" s="13" t="n">
        <v>220</v>
      </c>
      <c r="B225" s="13" t="inlineStr">
        <is>
          <t>Floor Slabs</t>
        </is>
      </c>
      <c r="C225" s="13" t="inlineStr">
        <is>
          <t>STR-081</t>
        </is>
      </c>
      <c r="D225" s="13" t="inlineStr">
        <is>
          <t>Typical 4th-8th slab - top</t>
        </is>
      </c>
      <c r="E225" s="19" t="inlineStr">
        <is>
          <t>1256</t>
        </is>
      </c>
      <c r="F225" s="19" t="n">
        <v>12</v>
      </c>
      <c r="G225" s="19" t="n">
        <v>1</v>
      </c>
      <c r="H225" s="19" t="n">
        <v>31</v>
      </c>
      <c r="I225" s="13">
        <f>G225*H225</f>
        <v>31.0</v>
      </c>
      <c r="J225" s="20">
        <f>3750/1000</f>
        <v>3.75</v>
      </c>
      <c r="K225" s="21">
        <f>I225*J225</f>
        <v>116.25</v>
      </c>
      <c r="L225" s="22">
        <f>F225^2/162</f>
        <v>0.8888888888888888</v>
      </c>
      <c r="M225" s="21">
        <f>K225*L225</f>
        <v>103.33333333333333</v>
      </c>
      <c r="N225" s="22">
        <f>M225/1000</f>
        <v>0.10333333333333333</v>
      </c>
      <c r="O225" s="13" t="inlineStr">
        <is>
          <t>BBS</t>
        </is>
      </c>
    </row>
    <row r="226">
      <c r="A226" s="13" t="n">
        <v>221</v>
      </c>
      <c r="B226" s="13" t="inlineStr">
        <is>
          <t>Floor Slabs</t>
        </is>
      </c>
      <c r="C226" s="13" t="inlineStr">
        <is>
          <t>STR-081</t>
        </is>
      </c>
      <c r="D226" s="13" t="inlineStr">
        <is>
          <t>Typical 4th-8th slab - top</t>
        </is>
      </c>
      <c r="E226" s="19" t="inlineStr">
        <is>
          <t>1257</t>
        </is>
      </c>
      <c r="F226" s="19" t="n">
        <v>12</v>
      </c>
      <c r="G226" s="19" t="n">
        <v>1</v>
      </c>
      <c r="H226" s="19" t="n">
        <v>36</v>
      </c>
      <c r="I226" s="13">
        <f>G226*H226</f>
        <v>36.0</v>
      </c>
      <c r="J226" s="20">
        <f>10400/1000</f>
        <v>10.4</v>
      </c>
      <c r="K226" s="21">
        <f>I226*J226</f>
        <v>374.40000000000003</v>
      </c>
      <c r="L226" s="22">
        <f>F226^2/162</f>
        <v>0.8888888888888888</v>
      </c>
      <c r="M226" s="21">
        <f>K226*L226</f>
        <v>332.8</v>
      </c>
      <c r="N226" s="22">
        <f>M226/1000</f>
        <v>0.3328</v>
      </c>
      <c r="O226" s="13" t="inlineStr">
        <is>
          <t>BBS</t>
        </is>
      </c>
    </row>
    <row r="227">
      <c r="A227" s="13" t="n">
        <v>222</v>
      </c>
      <c r="B227" s="13" t="inlineStr">
        <is>
          <t>Floor Slabs</t>
        </is>
      </c>
      <c r="C227" s="13" t="inlineStr">
        <is>
          <t>STR-081</t>
        </is>
      </c>
      <c r="D227" s="13" t="inlineStr">
        <is>
          <t>Typical 4th-8th slab - top</t>
        </is>
      </c>
      <c r="E227" s="19" t="inlineStr">
        <is>
          <t>1258</t>
        </is>
      </c>
      <c r="F227" s="19" t="n">
        <v>12</v>
      </c>
      <c r="G227" s="19" t="n">
        <v>1</v>
      </c>
      <c r="H227" s="19" t="n">
        <v>23</v>
      </c>
      <c r="I227" s="13">
        <f>G227*H227</f>
        <v>23.0</v>
      </c>
      <c r="J227" s="20">
        <f>3450/1000</f>
        <v>3.45</v>
      </c>
      <c r="K227" s="21">
        <f>I227*J227</f>
        <v>79.35000000000001</v>
      </c>
      <c r="L227" s="22">
        <f>F227^2/162</f>
        <v>0.8888888888888888</v>
      </c>
      <c r="M227" s="21">
        <f>K227*L227</f>
        <v>70.53333333333333</v>
      </c>
      <c r="N227" s="22">
        <f>M227/1000</f>
        <v>0.07053333333333334</v>
      </c>
      <c r="O227" s="13" t="inlineStr">
        <is>
          <t>BBS</t>
        </is>
      </c>
    </row>
    <row r="228">
      <c r="A228" s="13" t="n">
        <v>223</v>
      </c>
      <c r="B228" s="13" t="inlineStr">
        <is>
          <t>Floor Slabs</t>
        </is>
      </c>
      <c r="C228" s="13" t="inlineStr">
        <is>
          <t>STR-081</t>
        </is>
      </c>
      <c r="D228" s="13" t="inlineStr">
        <is>
          <t>Typical 4th-8th slab - top</t>
        </is>
      </c>
      <c r="E228" s="19" t="inlineStr">
        <is>
          <t>1259</t>
        </is>
      </c>
      <c r="F228" s="19" t="n">
        <v>12</v>
      </c>
      <c r="G228" s="19" t="n">
        <v>1</v>
      </c>
      <c r="H228" s="19" t="n">
        <v>212</v>
      </c>
      <c r="I228" s="13">
        <f>G228*H228</f>
        <v>212.0</v>
      </c>
      <c r="J228" s="20">
        <f>9500/1000</f>
        <v>9.5</v>
      </c>
      <c r="K228" s="21">
        <f>I228*J228</f>
        <v>2014.0</v>
      </c>
      <c r="L228" s="22">
        <f>F228^2/162</f>
        <v>0.8888888888888888</v>
      </c>
      <c r="M228" s="21">
        <f>K228*L228</f>
        <v>1790.2222222222222</v>
      </c>
      <c r="N228" s="22">
        <f>M228/1000</f>
        <v>1.7902222222222222</v>
      </c>
      <c r="O228" s="13" t="inlineStr">
        <is>
          <t>BBS</t>
        </is>
      </c>
    </row>
    <row r="229">
      <c r="A229" s="13" t="n">
        <v>224</v>
      </c>
      <c r="B229" s="13" t="inlineStr">
        <is>
          <t>Floor Slabs</t>
        </is>
      </c>
      <c r="C229" s="13" t="inlineStr">
        <is>
          <t>STR-081</t>
        </is>
      </c>
      <c r="D229" s="13" t="inlineStr">
        <is>
          <t>Typical 4th-8th slab - top</t>
        </is>
      </c>
      <c r="E229" s="19" t="inlineStr">
        <is>
          <t>1260</t>
        </is>
      </c>
      <c r="F229" s="19" t="n">
        <v>12</v>
      </c>
      <c r="G229" s="19" t="n">
        <v>1</v>
      </c>
      <c r="H229" s="19" t="n">
        <v>49</v>
      </c>
      <c r="I229" s="13">
        <f>G229*H229</f>
        <v>49.0</v>
      </c>
      <c r="J229" s="20">
        <f>7300/1000</f>
        <v>7.3</v>
      </c>
      <c r="K229" s="21">
        <f>I229*J229</f>
        <v>357.7</v>
      </c>
      <c r="L229" s="22">
        <f>F229^2/162</f>
        <v>0.8888888888888888</v>
      </c>
      <c r="M229" s="21">
        <f>K229*L229</f>
        <v>317.9555555555555</v>
      </c>
      <c r="N229" s="22">
        <f>M229/1000</f>
        <v>0.31795555555555555</v>
      </c>
      <c r="O229" s="13" t="inlineStr">
        <is>
          <t>BBS</t>
        </is>
      </c>
    </row>
    <row r="230">
      <c r="A230" s="13" t="n">
        <v>225</v>
      </c>
      <c r="B230" s="13" t="inlineStr">
        <is>
          <t>Floor Slabs</t>
        </is>
      </c>
      <c r="C230" s="13" t="inlineStr">
        <is>
          <t>STR-081</t>
        </is>
      </c>
      <c r="D230" s="13" t="inlineStr">
        <is>
          <t>Typical 4th-8th slab - top</t>
        </is>
      </c>
      <c r="E230" s="19" t="inlineStr">
        <is>
          <t>1261</t>
        </is>
      </c>
      <c r="F230" s="19" t="n">
        <v>12</v>
      </c>
      <c r="G230" s="19" t="n">
        <v>1</v>
      </c>
      <c r="H230" s="19" t="n">
        <v>113</v>
      </c>
      <c r="I230" s="13">
        <f>G230*H230</f>
        <v>113.0</v>
      </c>
      <c r="J230" s="20">
        <f>8750/1000</f>
        <v>8.75</v>
      </c>
      <c r="K230" s="21">
        <f>I230*J230</f>
        <v>988.75</v>
      </c>
      <c r="L230" s="22">
        <f>F230^2/162</f>
        <v>0.8888888888888888</v>
      </c>
      <c r="M230" s="21">
        <f>K230*L230</f>
        <v>878.8888888888888</v>
      </c>
      <c r="N230" s="22">
        <f>M230/1000</f>
        <v>0.8788888888888888</v>
      </c>
      <c r="O230" s="13" t="inlineStr">
        <is>
          <t>BBS</t>
        </is>
      </c>
    </row>
    <row r="231">
      <c r="A231" s="13" t="n">
        <v>226</v>
      </c>
      <c r="B231" s="13" t="inlineStr">
        <is>
          <t>Floor Slabs</t>
        </is>
      </c>
      <c r="C231" s="13" t="inlineStr">
        <is>
          <t>STR-081</t>
        </is>
      </c>
      <c r="D231" s="13" t="inlineStr">
        <is>
          <t>Typical 4th-8th slab - top</t>
        </is>
      </c>
      <c r="E231" s="19" t="inlineStr">
        <is>
          <t>1262</t>
        </is>
      </c>
      <c r="F231" s="19" t="n">
        <v>12</v>
      </c>
      <c r="G231" s="19" t="n">
        <v>1</v>
      </c>
      <c r="H231" s="19" t="n">
        <v>85</v>
      </c>
      <c r="I231" s="13">
        <f>G231*H231</f>
        <v>85.0</v>
      </c>
      <c r="J231" s="20">
        <f>3750/1000</f>
        <v>3.75</v>
      </c>
      <c r="K231" s="21">
        <f>I231*J231</f>
        <v>318.75</v>
      </c>
      <c r="L231" s="22">
        <f>F231^2/162</f>
        <v>0.8888888888888888</v>
      </c>
      <c r="M231" s="21">
        <f>K231*L231</f>
        <v>283.3333333333333</v>
      </c>
      <c r="N231" s="22">
        <f>M231/1000</f>
        <v>0.2833333333333333</v>
      </c>
      <c r="O231" s="13" t="inlineStr">
        <is>
          <t>BBS</t>
        </is>
      </c>
    </row>
    <row r="232">
      <c r="A232" s="13" t="n">
        <v>227</v>
      </c>
      <c r="B232" s="13" t="inlineStr">
        <is>
          <t>Floor Slabs</t>
        </is>
      </c>
      <c r="C232" s="13" t="inlineStr">
        <is>
          <t>STR-081</t>
        </is>
      </c>
      <c r="D232" s="13" t="inlineStr">
        <is>
          <t>Typical 4th-8th slab - top</t>
        </is>
      </c>
      <c r="E232" s="19" t="inlineStr">
        <is>
          <t>1263</t>
        </is>
      </c>
      <c r="F232" s="19" t="n">
        <v>12</v>
      </c>
      <c r="G232" s="19" t="n">
        <v>1</v>
      </c>
      <c r="H232" s="19" t="n">
        <v>13</v>
      </c>
      <c r="I232" s="13">
        <f>G232*H232</f>
        <v>13.0</v>
      </c>
      <c r="J232" s="20">
        <f>4100/1000</f>
        <v>4.1</v>
      </c>
      <c r="K232" s="21">
        <f>I232*J232</f>
        <v>53.3</v>
      </c>
      <c r="L232" s="22">
        <f>F232^2/162</f>
        <v>0.8888888888888888</v>
      </c>
      <c r="M232" s="21">
        <f>K232*L232</f>
        <v>47.37777777777777</v>
      </c>
      <c r="N232" s="22">
        <f>M232/1000</f>
        <v>0.047377777777777776</v>
      </c>
      <c r="O232" s="13" t="inlineStr">
        <is>
          <t>BBS</t>
        </is>
      </c>
    </row>
    <row r="233">
      <c r="A233" s="13" t="n">
        <v>228</v>
      </c>
      <c r="B233" s="13" t="inlineStr">
        <is>
          <t>Floor Slabs</t>
        </is>
      </c>
      <c r="C233" s="13" t="inlineStr">
        <is>
          <t>STR-081</t>
        </is>
      </c>
      <c r="D233" s="13" t="inlineStr">
        <is>
          <t>Typical 4th-8th slab - top</t>
        </is>
      </c>
      <c r="E233" s="19" t="inlineStr">
        <is>
          <t>1264</t>
        </is>
      </c>
      <c r="F233" s="19" t="n">
        <v>12</v>
      </c>
      <c r="G233" s="19" t="n">
        <v>1</v>
      </c>
      <c r="H233" s="19" t="n">
        <v>13</v>
      </c>
      <c r="I233" s="13">
        <f>G233*H233</f>
        <v>13.0</v>
      </c>
      <c r="J233" s="20">
        <f>4200/1000</f>
        <v>4.2</v>
      </c>
      <c r="K233" s="21">
        <f>I233*J233</f>
        <v>54.6</v>
      </c>
      <c r="L233" s="22">
        <f>F233^2/162</f>
        <v>0.8888888888888888</v>
      </c>
      <c r="M233" s="21">
        <f>K233*L233</f>
        <v>48.53333333333333</v>
      </c>
      <c r="N233" s="22">
        <f>M233/1000</f>
        <v>0.04853333333333333</v>
      </c>
      <c r="O233" s="13" t="inlineStr">
        <is>
          <t>BBS</t>
        </is>
      </c>
    </row>
    <row r="234">
      <c r="A234" s="13" t="n">
        <v>229</v>
      </c>
      <c r="B234" s="13" t="inlineStr">
        <is>
          <t>Floor Slabs</t>
        </is>
      </c>
      <c r="C234" s="13" t="inlineStr">
        <is>
          <t>STR-081</t>
        </is>
      </c>
      <c r="D234" s="13" t="inlineStr">
        <is>
          <t>Typical 4th-8th slab - top</t>
        </is>
      </c>
      <c r="E234" s="19" t="inlineStr">
        <is>
          <t>1265</t>
        </is>
      </c>
      <c r="F234" s="19" t="n">
        <v>12</v>
      </c>
      <c r="G234" s="19" t="n">
        <v>1</v>
      </c>
      <c r="H234" s="19" t="n">
        <v>357</v>
      </c>
      <c r="I234" s="13">
        <f>G234*H234</f>
        <v>357.0</v>
      </c>
      <c r="J234" s="20">
        <f>9200/1000</f>
        <v>9.2</v>
      </c>
      <c r="K234" s="21">
        <f>I234*J234</f>
        <v>3284.3999999999996</v>
      </c>
      <c r="L234" s="22">
        <f>F234^2/162</f>
        <v>0.8888888888888888</v>
      </c>
      <c r="M234" s="21">
        <f>K234*L234</f>
        <v>2919.4666666666662</v>
      </c>
      <c r="N234" s="22">
        <f>M234/1000</f>
        <v>2.919466666666666</v>
      </c>
      <c r="O234" s="13" t="inlineStr">
        <is>
          <t>BBS</t>
        </is>
      </c>
    </row>
    <row r="235">
      <c r="A235" s="13" t="n">
        <v>230</v>
      </c>
      <c r="B235" s="13" t="inlineStr">
        <is>
          <t>Floor Slabs</t>
        </is>
      </c>
      <c r="C235" s="13" t="inlineStr">
        <is>
          <t>STR-081</t>
        </is>
      </c>
      <c r="D235" s="13" t="inlineStr">
        <is>
          <t>Typical 4th-8th slab - top</t>
        </is>
      </c>
      <c r="E235" s="19" t="inlineStr">
        <is>
          <t>1266</t>
        </is>
      </c>
      <c r="F235" s="19" t="n">
        <v>12</v>
      </c>
      <c r="G235" s="19" t="n">
        <v>1</v>
      </c>
      <c r="H235" s="19" t="n">
        <v>12</v>
      </c>
      <c r="I235" s="13">
        <f>G235*H235</f>
        <v>12.0</v>
      </c>
      <c r="J235" s="20">
        <f>9475/1000</f>
        <v>9.475</v>
      </c>
      <c r="K235" s="21">
        <f>I235*J235</f>
        <v>113.69999999999999</v>
      </c>
      <c r="L235" s="22">
        <f>F235^2/162</f>
        <v>0.8888888888888888</v>
      </c>
      <c r="M235" s="21">
        <f>K235*L235</f>
        <v>101.06666666666665</v>
      </c>
      <c r="N235" s="22">
        <f>M235/1000</f>
        <v>0.10106666666666665</v>
      </c>
      <c r="O235" s="13" t="inlineStr">
        <is>
          <t>BBS</t>
        </is>
      </c>
    </row>
    <row r="236">
      <c r="A236" s="13" t="n">
        <v>231</v>
      </c>
      <c r="B236" s="13" t="inlineStr">
        <is>
          <t>Floor Slabs</t>
        </is>
      </c>
      <c r="C236" s="13" t="inlineStr">
        <is>
          <t>STR-081</t>
        </is>
      </c>
      <c r="D236" s="13" t="inlineStr">
        <is>
          <t>Typical 4th-8th slab - top</t>
        </is>
      </c>
      <c r="E236" s="19" t="inlineStr">
        <is>
          <t>1267</t>
        </is>
      </c>
      <c r="F236" s="19" t="n">
        <v>12</v>
      </c>
      <c r="G236" s="19" t="n">
        <v>1</v>
      </c>
      <c r="H236" s="19" t="n">
        <v>101</v>
      </c>
      <c r="I236" s="13">
        <f>G236*H236</f>
        <v>101.0</v>
      </c>
      <c r="J236" s="20">
        <f>2200/1000</f>
        <v>2.2</v>
      </c>
      <c r="K236" s="21">
        <f>I236*J236</f>
        <v>222.20000000000002</v>
      </c>
      <c r="L236" s="22">
        <f>F236^2/162</f>
        <v>0.8888888888888888</v>
      </c>
      <c r="M236" s="21">
        <f>K236*L236</f>
        <v>197.51111111111112</v>
      </c>
      <c r="N236" s="22">
        <f>M236/1000</f>
        <v>0.1975111111111111</v>
      </c>
      <c r="O236" s="13" t="inlineStr">
        <is>
          <t>BBS</t>
        </is>
      </c>
    </row>
    <row r="237">
      <c r="A237" s="13" t="n">
        <v>232</v>
      </c>
      <c r="B237" s="13" t="inlineStr">
        <is>
          <t>Floor Slabs</t>
        </is>
      </c>
      <c r="C237" s="13" t="inlineStr">
        <is>
          <t>STR-081</t>
        </is>
      </c>
      <c r="D237" s="13" t="inlineStr">
        <is>
          <t>Typical 4th-8th slab - top</t>
        </is>
      </c>
      <c r="E237" s="19" t="inlineStr">
        <is>
          <t>1268</t>
        </is>
      </c>
      <c r="F237" s="19" t="n">
        <v>12</v>
      </c>
      <c r="G237" s="19" t="n">
        <v>1</v>
      </c>
      <c r="H237" s="19" t="n">
        <v>9</v>
      </c>
      <c r="I237" s="13">
        <f>G237*H237</f>
        <v>9.0</v>
      </c>
      <c r="J237" s="20">
        <f>8500/1000</f>
        <v>8.5</v>
      </c>
      <c r="K237" s="21">
        <f>I237*J237</f>
        <v>76.5</v>
      </c>
      <c r="L237" s="22">
        <f>F237^2/162</f>
        <v>0.8888888888888888</v>
      </c>
      <c r="M237" s="21">
        <f>K237*L237</f>
        <v>68.0</v>
      </c>
      <c r="N237" s="22">
        <f>M237/1000</f>
        <v>0.068</v>
      </c>
      <c r="O237" s="13" t="inlineStr">
        <is>
          <t>BBS</t>
        </is>
      </c>
    </row>
    <row r="238">
      <c r="A238" s="13" t="n">
        <v>233</v>
      </c>
      <c r="B238" s="13" t="inlineStr">
        <is>
          <t>Floor Slabs</t>
        </is>
      </c>
      <c r="C238" s="13" t="inlineStr">
        <is>
          <t>STR-081</t>
        </is>
      </c>
      <c r="D238" s="13" t="inlineStr">
        <is>
          <t>Typical 4th-8th slab - top</t>
        </is>
      </c>
      <c r="E238" s="19" t="inlineStr">
        <is>
          <t>1269</t>
        </is>
      </c>
      <c r="F238" s="19" t="n">
        <v>12</v>
      </c>
      <c r="G238" s="19" t="n">
        <v>1</v>
      </c>
      <c r="H238" s="19" t="n">
        <v>87</v>
      </c>
      <c r="I238" s="13">
        <f>G238*H238</f>
        <v>87.0</v>
      </c>
      <c r="J238" s="20">
        <f>4550/1000</f>
        <v>4.55</v>
      </c>
      <c r="K238" s="21">
        <f>I238*J238</f>
        <v>395.84999999999997</v>
      </c>
      <c r="L238" s="22">
        <f>F238^2/162</f>
        <v>0.8888888888888888</v>
      </c>
      <c r="M238" s="21">
        <f>K238*L238</f>
        <v>351.8666666666666</v>
      </c>
      <c r="N238" s="22">
        <f>M238/1000</f>
        <v>0.3518666666666666</v>
      </c>
      <c r="O238" s="13" t="inlineStr">
        <is>
          <t>BBS</t>
        </is>
      </c>
    </row>
    <row r="239">
      <c r="A239" s="13" t="n">
        <v>234</v>
      </c>
      <c r="B239" s="13" t="inlineStr">
        <is>
          <t>Floor Slabs</t>
        </is>
      </c>
      <c r="C239" s="13" t="inlineStr">
        <is>
          <t>STR-081</t>
        </is>
      </c>
      <c r="D239" s="13" t="inlineStr">
        <is>
          <t>Typical 4th-8th slab - top</t>
        </is>
      </c>
      <c r="E239" s="19" t="inlineStr">
        <is>
          <t>1270</t>
        </is>
      </c>
      <c r="F239" s="19" t="n">
        <v>12</v>
      </c>
      <c r="G239" s="19" t="n">
        <v>1</v>
      </c>
      <c r="H239" s="19" t="n">
        <v>48</v>
      </c>
      <c r="I239" s="13">
        <f>G239*H239</f>
        <v>48.0</v>
      </c>
      <c r="J239" s="20">
        <f>8727/1000</f>
        <v>8.727</v>
      </c>
      <c r="K239" s="21">
        <f>I239*J239</f>
        <v>418.896</v>
      </c>
      <c r="L239" s="22">
        <f>F239^2/162</f>
        <v>0.8888888888888888</v>
      </c>
      <c r="M239" s="21">
        <f>K239*L239</f>
        <v>372.352</v>
      </c>
      <c r="N239" s="22">
        <f>M239/1000</f>
        <v>0.37235199999999996</v>
      </c>
      <c r="O239" s="13" t="inlineStr">
        <is>
          <t>BBS</t>
        </is>
      </c>
    </row>
    <row r="240">
      <c r="A240" s="13" t="n">
        <v>235</v>
      </c>
      <c r="B240" s="13" t="inlineStr">
        <is>
          <t>Floor Slabs</t>
        </is>
      </c>
      <c r="C240" s="13" t="inlineStr">
        <is>
          <t>STR-081</t>
        </is>
      </c>
      <c r="D240" s="13" t="inlineStr">
        <is>
          <t>Typical 4th-8th slab - top</t>
        </is>
      </c>
      <c r="E240" s="19" t="inlineStr">
        <is>
          <t>1271</t>
        </is>
      </c>
      <c r="F240" s="19" t="n">
        <v>12</v>
      </c>
      <c r="G240" s="19" t="n">
        <v>1</v>
      </c>
      <c r="H240" s="19" t="n">
        <v>74</v>
      </c>
      <c r="I240" s="13">
        <f>G240*H240</f>
        <v>74.0</v>
      </c>
      <c r="J240" s="20">
        <f>12000/1000</f>
        <v>12.0</v>
      </c>
      <c r="K240" s="21">
        <f>I240*J240</f>
        <v>888.0</v>
      </c>
      <c r="L240" s="22">
        <f>F240^2/162</f>
        <v>0.8888888888888888</v>
      </c>
      <c r="M240" s="21">
        <f>K240*L240</f>
        <v>789.3333333333333</v>
      </c>
      <c r="N240" s="22">
        <f>M240/1000</f>
        <v>0.7893333333333332</v>
      </c>
      <c r="O240" s="13" t="inlineStr">
        <is>
          <t>BBS</t>
        </is>
      </c>
    </row>
    <row r="241">
      <c r="A241" s="13" t="n">
        <v>236</v>
      </c>
      <c r="B241" s="13" t="inlineStr">
        <is>
          <t>Floor Slabs</t>
        </is>
      </c>
      <c r="C241" s="13" t="inlineStr">
        <is>
          <t>STR-081</t>
        </is>
      </c>
      <c r="D241" s="13" t="inlineStr">
        <is>
          <t>Typical 4th-8th slab - top</t>
        </is>
      </c>
      <c r="E241" s="19" t="inlineStr">
        <is>
          <t>1272</t>
        </is>
      </c>
      <c r="F241" s="19" t="n">
        <v>12</v>
      </c>
      <c r="G241" s="19" t="n">
        <v>1</v>
      </c>
      <c r="H241" s="19" t="n">
        <v>43</v>
      </c>
      <c r="I241" s="13">
        <f>G241*H241</f>
        <v>43.0</v>
      </c>
      <c r="J241" s="20">
        <f>11750/1000</f>
        <v>11.75</v>
      </c>
      <c r="K241" s="21">
        <f>I241*J241</f>
        <v>505.25</v>
      </c>
      <c r="L241" s="22">
        <f>F241^2/162</f>
        <v>0.8888888888888888</v>
      </c>
      <c r="M241" s="21">
        <f>K241*L241</f>
        <v>449.1111111111111</v>
      </c>
      <c r="N241" s="22">
        <f>M241/1000</f>
        <v>0.44911111111111107</v>
      </c>
      <c r="O241" s="13" t="inlineStr">
        <is>
          <t>BBS</t>
        </is>
      </c>
    </row>
    <row r="242">
      <c r="A242" s="13" t="n">
        <v>237</v>
      </c>
      <c r="B242" s="13" t="inlineStr">
        <is>
          <t>Floor Slabs</t>
        </is>
      </c>
      <c r="C242" s="13" t="inlineStr">
        <is>
          <t>STR-081</t>
        </is>
      </c>
      <c r="D242" s="13" t="inlineStr">
        <is>
          <t>Typical 4th-8th slab - top</t>
        </is>
      </c>
      <c r="E242" s="19" t="inlineStr">
        <is>
          <t>1273</t>
        </is>
      </c>
      <c r="F242" s="19" t="n">
        <v>12</v>
      </c>
      <c r="G242" s="19" t="n">
        <v>1</v>
      </c>
      <c r="H242" s="19" t="n">
        <v>12</v>
      </c>
      <c r="I242" s="13">
        <f>G242*H242</f>
        <v>12.0</v>
      </c>
      <c r="J242" s="20">
        <f>8800/1000</f>
        <v>8.8</v>
      </c>
      <c r="K242" s="21">
        <f>I242*J242</f>
        <v>105.60000000000001</v>
      </c>
      <c r="L242" s="22">
        <f>F242^2/162</f>
        <v>0.8888888888888888</v>
      </c>
      <c r="M242" s="21">
        <f>K242*L242</f>
        <v>93.86666666666667</v>
      </c>
      <c r="N242" s="22">
        <f>M242/1000</f>
        <v>0.09386666666666667</v>
      </c>
      <c r="O242" s="13" t="inlineStr">
        <is>
          <t>BBS</t>
        </is>
      </c>
    </row>
    <row r="243">
      <c r="A243" s="13" t="n">
        <v>238</v>
      </c>
      <c r="B243" s="13" t="inlineStr">
        <is>
          <t>Floor Slabs</t>
        </is>
      </c>
      <c r="C243" s="13" t="inlineStr">
        <is>
          <t>STR-081</t>
        </is>
      </c>
      <c r="D243" s="13" t="inlineStr">
        <is>
          <t>Typical 4th-8th slab - top</t>
        </is>
      </c>
      <c r="E243" s="19" t="inlineStr">
        <is>
          <t>1274</t>
        </is>
      </c>
      <c r="F243" s="19" t="n">
        <v>12</v>
      </c>
      <c r="G243" s="19" t="n">
        <v>1</v>
      </c>
      <c r="H243" s="19" t="n">
        <v>75</v>
      </c>
      <c r="I243" s="13">
        <f>G243*H243</f>
        <v>75.0</v>
      </c>
      <c r="J243" s="20">
        <f>7900/1000</f>
        <v>7.9</v>
      </c>
      <c r="K243" s="21">
        <f>I243*J243</f>
        <v>592.5</v>
      </c>
      <c r="L243" s="22">
        <f>F243^2/162</f>
        <v>0.8888888888888888</v>
      </c>
      <c r="M243" s="21">
        <f>K243*L243</f>
        <v>526.6666666666666</v>
      </c>
      <c r="N243" s="22">
        <f>M243/1000</f>
        <v>0.5266666666666666</v>
      </c>
      <c r="O243" s="13" t="inlineStr">
        <is>
          <t>BBS</t>
        </is>
      </c>
    </row>
    <row r="244">
      <c r="A244" s="13" t="n">
        <v>239</v>
      </c>
      <c r="B244" s="13" t="inlineStr">
        <is>
          <t>Floor Slabs</t>
        </is>
      </c>
      <c r="C244" s="13" t="inlineStr">
        <is>
          <t>STR-082</t>
        </is>
      </c>
      <c r="D244" s="13" t="inlineStr">
        <is>
          <t>Typical 4th-8th slab - additional top</t>
        </is>
      </c>
      <c r="E244" s="19" t="inlineStr">
        <is>
          <t>1275</t>
        </is>
      </c>
      <c r="F244" s="19" t="n">
        <v>12</v>
      </c>
      <c r="G244" s="19" t="n">
        <v>1</v>
      </c>
      <c r="H244" s="19" t="n">
        <v>59</v>
      </c>
      <c r="I244" s="13">
        <f>G244*H244</f>
        <v>59.0</v>
      </c>
      <c r="J244" s="20">
        <f>11000/1000</f>
        <v>11.0</v>
      </c>
      <c r="K244" s="21">
        <f>I244*J244</f>
        <v>649.0</v>
      </c>
      <c r="L244" s="22">
        <f>F244^2/162</f>
        <v>0.8888888888888888</v>
      </c>
      <c r="M244" s="21">
        <f>K244*L244</f>
        <v>576.8888888888888</v>
      </c>
      <c r="N244" s="22">
        <f>M244/1000</f>
        <v>0.5768888888888888</v>
      </c>
      <c r="O244" s="13" t="inlineStr">
        <is>
          <t>BBS</t>
        </is>
      </c>
    </row>
    <row r="245">
      <c r="A245" s="13" t="n">
        <v>240</v>
      </c>
      <c r="B245" s="13" t="inlineStr">
        <is>
          <t>Floor Slabs</t>
        </is>
      </c>
      <c r="C245" s="13" t="inlineStr">
        <is>
          <t>STR-082</t>
        </is>
      </c>
      <c r="D245" s="13" t="inlineStr">
        <is>
          <t>Typical 4th-8th slab - additional top</t>
        </is>
      </c>
      <c r="E245" s="19" t="inlineStr">
        <is>
          <t>1276</t>
        </is>
      </c>
      <c r="F245" s="19" t="n">
        <v>12</v>
      </c>
      <c r="G245" s="19" t="n">
        <v>1</v>
      </c>
      <c r="H245" s="19" t="n">
        <v>296</v>
      </c>
      <c r="I245" s="13">
        <f>G245*H245</f>
        <v>296.0</v>
      </c>
      <c r="J245" s="20">
        <f>3000/1000</f>
        <v>3.0</v>
      </c>
      <c r="K245" s="21">
        <f>I245*J245</f>
        <v>888.0</v>
      </c>
      <c r="L245" s="22">
        <f>F245^2/162</f>
        <v>0.8888888888888888</v>
      </c>
      <c r="M245" s="21">
        <f>K245*L245</f>
        <v>789.3333333333333</v>
      </c>
      <c r="N245" s="22">
        <f>M245/1000</f>
        <v>0.7893333333333332</v>
      </c>
      <c r="O245" s="13" t="inlineStr">
        <is>
          <t>BBS</t>
        </is>
      </c>
    </row>
    <row r="246">
      <c r="A246" s="13" t="n">
        <v>241</v>
      </c>
      <c r="B246" s="13" t="inlineStr">
        <is>
          <t>Floor Slabs</t>
        </is>
      </c>
      <c r="C246" s="13" t="inlineStr">
        <is>
          <t>STR-082</t>
        </is>
      </c>
      <c r="D246" s="13" t="inlineStr">
        <is>
          <t>Typical 4th-8th slab - additional top</t>
        </is>
      </c>
      <c r="E246" s="19" t="inlineStr">
        <is>
          <t>1277</t>
        </is>
      </c>
      <c r="F246" s="19" t="n">
        <v>12</v>
      </c>
      <c r="G246" s="19" t="n">
        <v>1</v>
      </c>
      <c r="H246" s="19" t="n">
        <v>15</v>
      </c>
      <c r="I246" s="13">
        <f>G246*H246</f>
        <v>15.0</v>
      </c>
      <c r="J246" s="20">
        <f>2900/1000</f>
        <v>2.9</v>
      </c>
      <c r="K246" s="21">
        <f>I246*J246</f>
        <v>43.5</v>
      </c>
      <c r="L246" s="22">
        <f>F246^2/162</f>
        <v>0.8888888888888888</v>
      </c>
      <c r="M246" s="21">
        <f>K246*L246</f>
        <v>38.666666666666664</v>
      </c>
      <c r="N246" s="22">
        <f>M246/1000</f>
        <v>0.03866666666666666</v>
      </c>
      <c r="O246" s="13" t="inlineStr">
        <is>
          <t>BBS</t>
        </is>
      </c>
    </row>
    <row r="247">
      <c r="A247" s="13" t="n">
        <v>242</v>
      </c>
      <c r="B247" s="13" t="inlineStr">
        <is>
          <t>Floor Slabs</t>
        </is>
      </c>
      <c r="C247" s="13" t="inlineStr">
        <is>
          <t>STR-082</t>
        </is>
      </c>
      <c r="D247" s="13" t="inlineStr">
        <is>
          <t>Typical 4th-8th slab - additional top</t>
        </is>
      </c>
      <c r="E247" s="19" t="inlineStr">
        <is>
          <t>1278</t>
        </is>
      </c>
      <c r="F247" s="19" t="n">
        <v>12</v>
      </c>
      <c r="G247" s="19" t="n">
        <v>1</v>
      </c>
      <c r="H247" s="19" t="n">
        <v>15</v>
      </c>
      <c r="I247" s="13">
        <f>G247*H247</f>
        <v>15.0</v>
      </c>
      <c r="J247" s="20">
        <f>4150/1000</f>
        <v>4.15</v>
      </c>
      <c r="K247" s="21">
        <f>I247*J247</f>
        <v>62.25000000000001</v>
      </c>
      <c r="L247" s="22">
        <f>F247^2/162</f>
        <v>0.8888888888888888</v>
      </c>
      <c r="M247" s="21">
        <f>K247*L247</f>
        <v>55.333333333333336</v>
      </c>
      <c r="N247" s="22">
        <f>M247/1000</f>
        <v>0.05533333333333334</v>
      </c>
      <c r="O247" s="13" t="inlineStr">
        <is>
          <t>BBS</t>
        </is>
      </c>
    </row>
    <row r="248">
      <c r="A248" s="13" t="n">
        <v>243</v>
      </c>
      <c r="B248" s="13" t="inlineStr">
        <is>
          <t>Floor Slabs</t>
        </is>
      </c>
      <c r="C248" s="13" t="inlineStr">
        <is>
          <t>STR-082</t>
        </is>
      </c>
      <c r="D248" s="13" t="inlineStr">
        <is>
          <t>Typical 4th-8th slab - additional top</t>
        </is>
      </c>
      <c r="E248" s="19" t="inlineStr">
        <is>
          <t>1279</t>
        </is>
      </c>
      <c r="F248" s="19" t="n">
        <v>12</v>
      </c>
      <c r="G248" s="19" t="n">
        <v>1</v>
      </c>
      <c r="H248" s="19" t="n">
        <v>73</v>
      </c>
      <c r="I248" s="13">
        <f>G248*H248</f>
        <v>73.0</v>
      </c>
      <c r="J248" s="20">
        <f>4500/1000</f>
        <v>4.5</v>
      </c>
      <c r="K248" s="21">
        <f>I248*J248</f>
        <v>328.5</v>
      </c>
      <c r="L248" s="22">
        <f>F248^2/162</f>
        <v>0.8888888888888888</v>
      </c>
      <c r="M248" s="21">
        <f>K248*L248</f>
        <v>292.0</v>
      </c>
      <c r="N248" s="22">
        <f>M248/1000</f>
        <v>0.292</v>
      </c>
      <c r="O248" s="13" t="inlineStr">
        <is>
          <t>BBS</t>
        </is>
      </c>
    </row>
    <row r="249">
      <c r="A249" s="13" t="n">
        <v>244</v>
      </c>
      <c r="B249" s="13" t="inlineStr">
        <is>
          <t>Floor Slabs</t>
        </is>
      </c>
      <c r="C249" s="13" t="inlineStr">
        <is>
          <t>STR-082</t>
        </is>
      </c>
      <c r="D249" s="13" t="inlineStr">
        <is>
          <t>Typical 4th-8th slab - additional top</t>
        </is>
      </c>
      <c r="E249" s="19" t="inlineStr">
        <is>
          <t>1280</t>
        </is>
      </c>
      <c r="F249" s="19" t="n">
        <v>12</v>
      </c>
      <c r="G249" s="19" t="n">
        <v>1</v>
      </c>
      <c r="H249" s="19" t="n">
        <v>75</v>
      </c>
      <c r="I249" s="13">
        <f>G249*H249</f>
        <v>75.0</v>
      </c>
      <c r="J249" s="20">
        <f>6000/1000</f>
        <v>6.0</v>
      </c>
      <c r="K249" s="21">
        <f>I249*J249</f>
        <v>450.0</v>
      </c>
      <c r="L249" s="22">
        <f>F249^2/162</f>
        <v>0.8888888888888888</v>
      </c>
      <c r="M249" s="21">
        <f>K249*L249</f>
        <v>400.0</v>
      </c>
      <c r="N249" s="22">
        <f>M249/1000</f>
        <v>0.4</v>
      </c>
      <c r="O249" s="13" t="inlineStr">
        <is>
          <t>BBS</t>
        </is>
      </c>
    </row>
    <row r="250">
      <c r="A250" s="13" t="n">
        <v>245</v>
      </c>
      <c r="B250" s="13" t="inlineStr">
        <is>
          <t>Floor Slabs</t>
        </is>
      </c>
      <c r="C250" s="13" t="inlineStr">
        <is>
          <t>STR-082</t>
        </is>
      </c>
      <c r="D250" s="13" t="inlineStr">
        <is>
          <t>Typical 4th-8th slab - additional top</t>
        </is>
      </c>
      <c r="E250" s="19" t="inlineStr">
        <is>
          <t>1281</t>
        </is>
      </c>
      <c r="F250" s="19" t="n">
        <v>12</v>
      </c>
      <c r="G250" s="19" t="n">
        <v>1</v>
      </c>
      <c r="H250" s="19" t="n">
        <v>60</v>
      </c>
      <c r="I250" s="13">
        <f>G250*H250</f>
        <v>60.0</v>
      </c>
      <c r="J250" s="20">
        <f>4900/1000</f>
        <v>4.9</v>
      </c>
      <c r="K250" s="21">
        <f>I250*J250</f>
        <v>294.0</v>
      </c>
      <c r="L250" s="22">
        <f>F250^2/162</f>
        <v>0.8888888888888888</v>
      </c>
      <c r="M250" s="21">
        <f>K250*L250</f>
        <v>261.3333333333333</v>
      </c>
      <c r="N250" s="22">
        <f>M250/1000</f>
        <v>0.2613333333333333</v>
      </c>
      <c r="O250" s="13" t="inlineStr">
        <is>
          <t>BBS</t>
        </is>
      </c>
    </row>
    <row r="251">
      <c r="A251" s="13" t="n">
        <v>246</v>
      </c>
      <c r="B251" s="13" t="inlineStr">
        <is>
          <t>Floor Slabs</t>
        </is>
      </c>
      <c r="C251" s="13" t="inlineStr">
        <is>
          <t>STR-082</t>
        </is>
      </c>
      <c r="D251" s="13" t="inlineStr">
        <is>
          <t>Typical 4th-8th slab - additional top</t>
        </is>
      </c>
      <c r="E251" s="19" t="inlineStr">
        <is>
          <t>1282</t>
        </is>
      </c>
      <c r="F251" s="19" t="n">
        <v>12</v>
      </c>
      <c r="G251" s="19" t="n">
        <v>1</v>
      </c>
      <c r="H251" s="19" t="n">
        <v>8</v>
      </c>
      <c r="I251" s="13">
        <f>G251*H251</f>
        <v>8.0</v>
      </c>
      <c r="J251" s="20">
        <f>1475/1000</f>
        <v>1.475</v>
      </c>
      <c r="K251" s="21">
        <f>I251*J251</f>
        <v>11.8</v>
      </c>
      <c r="L251" s="22">
        <f>F251^2/162</f>
        <v>0.8888888888888888</v>
      </c>
      <c r="M251" s="21">
        <f>K251*L251</f>
        <v>10.488888888888889</v>
      </c>
      <c r="N251" s="22">
        <f>M251/1000</f>
        <v>0.01048888888888889</v>
      </c>
      <c r="O251" s="13" t="inlineStr">
        <is>
          <t>BBS</t>
        </is>
      </c>
    </row>
    <row r="252">
      <c r="A252" s="13" t="n">
        <v>247</v>
      </c>
      <c r="B252" s="13" t="inlineStr">
        <is>
          <t>Floor Slabs</t>
        </is>
      </c>
      <c r="C252" s="13" t="inlineStr">
        <is>
          <t>STR-082</t>
        </is>
      </c>
      <c r="D252" s="13" t="inlineStr">
        <is>
          <t>Typical 4th-8th slab - additional top</t>
        </is>
      </c>
      <c r="E252" s="19" t="inlineStr">
        <is>
          <t>1601</t>
        </is>
      </c>
      <c r="F252" s="19" t="n">
        <v>16</v>
      </c>
      <c r="G252" s="19" t="n">
        <v>1</v>
      </c>
      <c r="H252" s="19" t="n">
        <v>6</v>
      </c>
      <c r="I252" s="13">
        <f>G252*H252</f>
        <v>6.0</v>
      </c>
      <c r="J252" s="20">
        <f>3675/1000</f>
        <v>3.675</v>
      </c>
      <c r="K252" s="21">
        <f>I252*J252</f>
        <v>22.049999999999997</v>
      </c>
      <c r="L252" s="22">
        <f>F252^2/162</f>
        <v>1.5802469135802468</v>
      </c>
      <c r="M252" s="21">
        <f>K252*L252</f>
        <v>34.84444444444444</v>
      </c>
      <c r="N252" s="22">
        <f>M252/1000</f>
        <v>0.03484444444444444</v>
      </c>
      <c r="O252" s="13" t="inlineStr">
        <is>
          <t>BBS</t>
        </is>
      </c>
    </row>
    <row r="253">
      <c r="A253" s="13" t="n">
        <v>248</v>
      </c>
      <c r="B253" s="13" t="inlineStr">
        <is>
          <t>Floor Slabs</t>
        </is>
      </c>
      <c r="C253" s="13" t="inlineStr">
        <is>
          <t>STR-082</t>
        </is>
      </c>
      <c r="D253" s="13" t="inlineStr">
        <is>
          <t>Typical 4th-8th slab - additional top</t>
        </is>
      </c>
      <c r="E253" s="19" t="inlineStr">
        <is>
          <t>1602</t>
        </is>
      </c>
      <c r="F253" s="19" t="n">
        <v>16</v>
      </c>
      <c r="G253" s="19" t="n">
        <v>1</v>
      </c>
      <c r="H253" s="19" t="n">
        <v>6</v>
      </c>
      <c r="I253" s="13">
        <f>G253*H253</f>
        <v>6.0</v>
      </c>
      <c r="J253" s="20">
        <f>6675/1000</f>
        <v>6.675</v>
      </c>
      <c r="K253" s="21">
        <f>I253*J253</f>
        <v>40.05</v>
      </c>
      <c r="L253" s="22">
        <f>F253^2/162</f>
        <v>1.5802469135802468</v>
      </c>
      <c r="M253" s="21">
        <f>K253*L253</f>
        <v>63.288888888888884</v>
      </c>
      <c r="N253" s="22">
        <f>M253/1000</f>
        <v>0.06328888888888888</v>
      </c>
      <c r="O253" s="13" t="inlineStr">
        <is>
          <t>BBS</t>
        </is>
      </c>
    </row>
    <row r="254">
      <c r="A254" s="13" t="n">
        <v>249</v>
      </c>
      <c r="B254" s="13" t="inlineStr">
        <is>
          <t>Floor Slabs</t>
        </is>
      </c>
      <c r="C254" s="13" t="inlineStr">
        <is>
          <t>STR-082</t>
        </is>
      </c>
      <c r="D254" s="13" t="inlineStr">
        <is>
          <t>Typical 4th-8th slab - additional top</t>
        </is>
      </c>
      <c r="E254" s="19" t="inlineStr">
        <is>
          <t>1603</t>
        </is>
      </c>
      <c r="F254" s="19" t="n">
        <v>16</v>
      </c>
      <c r="G254" s="19" t="n">
        <v>1</v>
      </c>
      <c r="H254" s="19" t="n">
        <v>3</v>
      </c>
      <c r="I254" s="13">
        <f>G254*H254</f>
        <v>3.0</v>
      </c>
      <c r="J254" s="20">
        <f>3000/1000</f>
        <v>3.0</v>
      </c>
      <c r="K254" s="21">
        <f>I254*J254</f>
        <v>9.0</v>
      </c>
      <c r="L254" s="22">
        <f>F254^2/162</f>
        <v>1.5802469135802468</v>
      </c>
      <c r="M254" s="21">
        <f>K254*L254</f>
        <v>14.222222222222221</v>
      </c>
      <c r="N254" s="22">
        <f>M254/1000</f>
        <v>0.014222222222222221</v>
      </c>
      <c r="O254" s="13" t="inlineStr">
        <is>
          <t>BBS</t>
        </is>
      </c>
    </row>
    <row r="255">
      <c r="A255" s="13" t="n">
        <v>250</v>
      </c>
      <c r="B255" s="13" t="inlineStr">
        <is>
          <t>Floor Slabs</t>
        </is>
      </c>
      <c r="C255" s="13" t="inlineStr">
        <is>
          <t>STR-082</t>
        </is>
      </c>
      <c r="D255" s="13" t="inlineStr">
        <is>
          <t>Typical 4th-8th slab - additional top</t>
        </is>
      </c>
      <c r="E255" s="19" t="inlineStr">
        <is>
          <t>1604</t>
        </is>
      </c>
      <c r="F255" s="19" t="n">
        <v>16</v>
      </c>
      <c r="G255" s="19" t="n">
        <v>1</v>
      </c>
      <c r="H255" s="19" t="n">
        <v>6</v>
      </c>
      <c r="I255" s="13">
        <f>G255*H255</f>
        <v>6.0</v>
      </c>
      <c r="J255" s="20">
        <f>4025/1000</f>
        <v>4.025</v>
      </c>
      <c r="K255" s="21">
        <f>I255*J255</f>
        <v>24.150000000000002</v>
      </c>
      <c r="L255" s="22">
        <f>F255^2/162</f>
        <v>1.5802469135802468</v>
      </c>
      <c r="M255" s="21">
        <f>K255*L255</f>
        <v>38.162962962962965</v>
      </c>
      <c r="N255" s="22">
        <f>M255/1000</f>
        <v>0.03816296296296297</v>
      </c>
      <c r="O255" s="13" t="inlineStr">
        <is>
          <t>BBS</t>
        </is>
      </c>
    </row>
    <row r="256">
      <c r="A256" s="13" t="n">
        <v>251</v>
      </c>
      <c r="B256" s="13" t="inlineStr">
        <is>
          <t>Staircases</t>
        </is>
      </c>
      <c r="C256" s="13" t="inlineStr">
        <is>
          <t>STR-027</t>
        </is>
      </c>
      <c r="D256" s="13" t="inlineStr">
        <is>
          <t>Main staircase typical flight (4th to 10th, one storey)</t>
        </is>
      </c>
      <c r="E256" s="19" t="inlineStr">
        <is>
          <t>1201</t>
        </is>
      </c>
      <c r="F256" s="19" t="n">
        <v>12</v>
      </c>
      <c r="G256" s="19" t="n">
        <v>1</v>
      </c>
      <c r="H256" s="19" t="n">
        <v>30</v>
      </c>
      <c r="I256" s="13">
        <f>G256*H256</f>
        <v>30.0</v>
      </c>
      <c r="J256" s="20">
        <f>6200/1000</f>
        <v>6.2</v>
      </c>
      <c r="K256" s="21">
        <f>I256*J256</f>
        <v>186.0</v>
      </c>
      <c r="L256" s="22">
        <f>F256^2/162</f>
        <v>0.8888888888888888</v>
      </c>
      <c r="M256" s="21">
        <f>K256*L256</f>
        <v>165.33333333333331</v>
      </c>
      <c r="N256" s="22">
        <f>M256/1000</f>
        <v>0.1653333333333333</v>
      </c>
      <c r="O256" s="13" t="inlineStr">
        <is>
          <t>BBS</t>
        </is>
      </c>
    </row>
    <row r="257">
      <c r="A257" s="13" t="n">
        <v>252</v>
      </c>
      <c r="B257" s="13" t="inlineStr">
        <is>
          <t>Staircases</t>
        </is>
      </c>
      <c r="C257" s="13" t="inlineStr">
        <is>
          <t>STR-027</t>
        </is>
      </c>
      <c r="D257" s="13" t="inlineStr">
        <is>
          <t>Main staircase typical flight (4th to 10th, one storey)</t>
        </is>
      </c>
      <c r="E257" s="19" t="inlineStr">
        <is>
          <t>1202</t>
        </is>
      </c>
      <c r="F257" s="19" t="n">
        <v>12</v>
      </c>
      <c r="G257" s="19" t="n">
        <v>1</v>
      </c>
      <c r="H257" s="19" t="n">
        <v>80</v>
      </c>
      <c r="I257" s="13">
        <f>G257*H257</f>
        <v>80.0</v>
      </c>
      <c r="J257" s="20">
        <f>2300/1000</f>
        <v>2.3</v>
      </c>
      <c r="K257" s="21">
        <f>I257*J257</f>
        <v>184.0</v>
      </c>
      <c r="L257" s="22">
        <f>F257^2/162</f>
        <v>0.8888888888888888</v>
      </c>
      <c r="M257" s="21">
        <f>K257*L257</f>
        <v>163.55555555555554</v>
      </c>
      <c r="N257" s="22">
        <f>M257/1000</f>
        <v>0.16355555555555554</v>
      </c>
      <c r="O257" s="13" t="inlineStr">
        <is>
          <t>BBS</t>
        </is>
      </c>
    </row>
    <row r="258">
      <c r="A258" s="13" t="n">
        <v>253</v>
      </c>
      <c r="B258" s="13" t="inlineStr">
        <is>
          <t>Staircases</t>
        </is>
      </c>
      <c r="C258" s="13" t="inlineStr">
        <is>
          <t>STR-027</t>
        </is>
      </c>
      <c r="D258" s="13" t="inlineStr">
        <is>
          <t>Main staircase typical flight (4th to 10th, one storey)</t>
        </is>
      </c>
      <c r="E258" s="19" t="inlineStr">
        <is>
          <t>1203</t>
        </is>
      </c>
      <c r="F258" s="19" t="n">
        <v>12</v>
      </c>
      <c r="G258" s="19" t="n">
        <v>1</v>
      </c>
      <c r="H258" s="19" t="n">
        <v>26</v>
      </c>
      <c r="I258" s="13">
        <f>G258*H258</f>
        <v>26.0</v>
      </c>
      <c r="J258" s="20">
        <f>4800/1000</f>
        <v>4.8</v>
      </c>
      <c r="K258" s="21">
        <f>I258*J258</f>
        <v>124.8</v>
      </c>
      <c r="L258" s="22">
        <f>F258^2/162</f>
        <v>0.8888888888888888</v>
      </c>
      <c r="M258" s="21">
        <f>K258*L258</f>
        <v>110.93333333333332</v>
      </c>
      <c r="N258" s="22">
        <f>M258/1000</f>
        <v>0.11093333333333333</v>
      </c>
      <c r="O258" s="13" t="inlineStr">
        <is>
          <t>BBS</t>
        </is>
      </c>
    </row>
    <row r="259">
      <c r="A259" s="13" t="n">
        <v>254</v>
      </c>
      <c r="B259" s="13" t="inlineStr">
        <is>
          <t>Staircases</t>
        </is>
      </c>
      <c r="C259" s="13" t="inlineStr">
        <is>
          <t>STR-027</t>
        </is>
      </c>
      <c r="D259" s="13" t="inlineStr">
        <is>
          <t>Main staircase typical flight (4th to 10th, one storey)</t>
        </is>
      </c>
      <c r="E259" s="19" t="inlineStr">
        <is>
          <t>1601</t>
        </is>
      </c>
      <c r="F259" s="19" t="n">
        <v>16</v>
      </c>
      <c r="G259" s="19" t="n">
        <v>1</v>
      </c>
      <c r="H259" s="19" t="n">
        <v>11</v>
      </c>
      <c r="I259" s="13">
        <f>G259*H259</f>
        <v>11.0</v>
      </c>
      <c r="J259" s="20">
        <f>8450/1000</f>
        <v>8.45</v>
      </c>
      <c r="K259" s="21">
        <f>I259*J259</f>
        <v>92.94999999999999</v>
      </c>
      <c r="L259" s="22">
        <f>F259^2/162</f>
        <v>1.5802469135802468</v>
      </c>
      <c r="M259" s="21">
        <f>K259*L259</f>
        <v>146.88395061728392</v>
      </c>
      <c r="N259" s="22">
        <f>M259/1000</f>
        <v>0.1468839506172839</v>
      </c>
      <c r="O259" s="13" t="inlineStr">
        <is>
          <t>BBS</t>
        </is>
      </c>
    </row>
    <row r="260">
      <c r="A260" s="13" t="n">
        <v>255</v>
      </c>
      <c r="B260" s="13" t="inlineStr">
        <is>
          <t>Staircases</t>
        </is>
      </c>
      <c r="C260" s="13" t="inlineStr">
        <is>
          <t>STR-027</t>
        </is>
      </c>
      <c r="D260" s="13" t="inlineStr">
        <is>
          <t>Main staircase typical flight (4th to 10th, one storey)</t>
        </is>
      </c>
      <c r="E260" s="19" t="inlineStr">
        <is>
          <t>1602</t>
        </is>
      </c>
      <c r="F260" s="19" t="n">
        <v>16</v>
      </c>
      <c r="G260" s="19" t="n">
        <v>1</v>
      </c>
      <c r="H260" s="19" t="n">
        <v>11</v>
      </c>
      <c r="I260" s="13">
        <f>G260*H260</f>
        <v>11.0</v>
      </c>
      <c r="J260" s="20">
        <f>4475/1000</f>
        <v>4.475</v>
      </c>
      <c r="K260" s="21">
        <f>I260*J260</f>
        <v>49.224999999999994</v>
      </c>
      <c r="L260" s="22">
        <f>F260^2/162</f>
        <v>1.5802469135802468</v>
      </c>
      <c r="M260" s="21">
        <f>K260*L260</f>
        <v>77.78765432098764</v>
      </c>
      <c r="N260" s="22">
        <f>M260/1000</f>
        <v>0.07778765432098764</v>
      </c>
      <c r="O260" s="13" t="inlineStr">
        <is>
          <t>BBS</t>
        </is>
      </c>
    </row>
    <row r="261">
      <c r="A261" s="13" t="n">
        <v>256</v>
      </c>
      <c r="B261" s="13" t="inlineStr">
        <is>
          <t>Staircases</t>
        </is>
      </c>
      <c r="C261" s="13" t="inlineStr">
        <is>
          <t>STR-027</t>
        </is>
      </c>
      <c r="D261" s="13" t="inlineStr">
        <is>
          <t>Main staircase typical flight (4th to 10th, one storey)</t>
        </is>
      </c>
      <c r="E261" s="19" t="inlineStr">
        <is>
          <t>1603</t>
        </is>
      </c>
      <c r="F261" s="19" t="n">
        <v>16</v>
      </c>
      <c r="G261" s="19" t="n">
        <v>1</v>
      </c>
      <c r="H261" s="19" t="n">
        <v>11</v>
      </c>
      <c r="I261" s="13">
        <f>G261*H261</f>
        <v>11.0</v>
      </c>
      <c r="J261" s="20">
        <f>2400/1000</f>
        <v>2.4</v>
      </c>
      <c r="K261" s="21">
        <f>I261*J261</f>
        <v>26.4</v>
      </c>
      <c r="L261" s="22">
        <f>F261^2/162</f>
        <v>1.5802469135802468</v>
      </c>
      <c r="M261" s="21">
        <f>K261*L261</f>
        <v>41.718518518518515</v>
      </c>
      <c r="N261" s="22">
        <f>M261/1000</f>
        <v>0.041718518518518516</v>
      </c>
      <c r="O261" s="13" t="inlineStr">
        <is>
          <t>BBS</t>
        </is>
      </c>
    </row>
    <row r="262">
      <c r="A262" s="13" t="n">
        <v>257</v>
      </c>
      <c r="B262" s="13" t="inlineStr">
        <is>
          <t>Staircases</t>
        </is>
      </c>
      <c r="C262" s="13" t="inlineStr">
        <is>
          <t>STR-027</t>
        </is>
      </c>
      <c r="D262" s="13" t="inlineStr">
        <is>
          <t>Main staircase typical flight (4th to 10th, one storey)</t>
        </is>
      </c>
      <c r="E262" s="19" t="inlineStr">
        <is>
          <t>1604</t>
        </is>
      </c>
      <c r="F262" s="19" t="n">
        <v>16</v>
      </c>
      <c r="G262" s="19" t="n">
        <v>1</v>
      </c>
      <c r="H262" s="19" t="n">
        <v>11</v>
      </c>
      <c r="I262" s="13">
        <f>G262*H262</f>
        <v>11.0</v>
      </c>
      <c r="J262" s="20">
        <f>4250/1000</f>
        <v>4.25</v>
      </c>
      <c r="K262" s="21">
        <f>I262*J262</f>
        <v>46.75</v>
      </c>
      <c r="L262" s="22">
        <f>F262^2/162</f>
        <v>1.5802469135802468</v>
      </c>
      <c r="M262" s="21">
        <f>K262*L262</f>
        <v>73.87654320987654</v>
      </c>
      <c r="N262" s="22">
        <f>M262/1000</f>
        <v>0.07387654320987655</v>
      </c>
      <c r="O262" s="13" t="inlineStr">
        <is>
          <t>BBS</t>
        </is>
      </c>
    </row>
    <row r="263">
      <c r="A263" s="13" t="n">
        <v>258</v>
      </c>
      <c r="B263" s="13" t="inlineStr">
        <is>
          <t>Staircases</t>
        </is>
      </c>
      <c r="C263" s="13" t="inlineStr">
        <is>
          <t>STR-027</t>
        </is>
      </c>
      <c r="D263" s="13" t="inlineStr">
        <is>
          <t>Main staircase typical flight (4th to 10th, one storey)</t>
        </is>
      </c>
      <c r="E263" s="19" t="inlineStr">
        <is>
          <t>1605</t>
        </is>
      </c>
      <c r="F263" s="19" t="n">
        <v>16</v>
      </c>
      <c r="G263" s="19" t="n">
        <v>1</v>
      </c>
      <c r="H263" s="19" t="n">
        <v>11</v>
      </c>
      <c r="I263" s="13">
        <f>G263*H263</f>
        <v>11.0</v>
      </c>
      <c r="J263" s="20">
        <f>2100/1000</f>
        <v>2.1</v>
      </c>
      <c r="K263" s="21">
        <f>I263*J263</f>
        <v>23.1</v>
      </c>
      <c r="L263" s="22">
        <f>F263^2/162</f>
        <v>1.5802469135802468</v>
      </c>
      <c r="M263" s="21">
        <f>K263*L263</f>
        <v>36.50370370370371</v>
      </c>
      <c r="N263" s="22">
        <f>M263/1000</f>
        <v>0.036503703703703705</v>
      </c>
      <c r="O263" s="13" t="inlineStr">
        <is>
          <t>BBS</t>
        </is>
      </c>
    </row>
    <row r="264">
      <c r="A264" s="13" t="n">
        <v>259</v>
      </c>
      <c r="B264" s="13" t="inlineStr">
        <is>
          <t>Staircases</t>
        </is>
      </c>
      <c r="C264" s="13" t="inlineStr">
        <is>
          <t>STR-027</t>
        </is>
      </c>
      <c r="D264" s="13" t="inlineStr">
        <is>
          <t>Main staircase typical flight (4th to 10th, one storey)</t>
        </is>
      </c>
      <c r="E264" s="19" t="inlineStr">
        <is>
          <t>1606</t>
        </is>
      </c>
      <c r="F264" s="19" t="n">
        <v>16</v>
      </c>
      <c r="G264" s="19" t="n">
        <v>1</v>
      </c>
      <c r="H264" s="19" t="n">
        <v>11</v>
      </c>
      <c r="I264" s="13">
        <f>G264*H264</f>
        <v>11.0</v>
      </c>
      <c r="J264" s="20">
        <f>6950/1000</f>
        <v>6.95</v>
      </c>
      <c r="K264" s="21">
        <f>I264*J264</f>
        <v>76.45</v>
      </c>
      <c r="L264" s="22">
        <f>F264^2/162</f>
        <v>1.5802469135802468</v>
      </c>
      <c r="M264" s="21">
        <f>K264*L264</f>
        <v>120.80987654320987</v>
      </c>
      <c r="N264" s="22">
        <f>M264/1000</f>
        <v>0.12080987654320986</v>
      </c>
      <c r="O264" s="13" t="inlineStr">
        <is>
          <t>BBS</t>
        </is>
      </c>
    </row>
    <row r="265">
      <c r="A265" s="13" t="n">
        <v>260</v>
      </c>
      <c r="B265" s="13" t="inlineStr">
        <is>
          <t>Staircases</t>
        </is>
      </c>
      <c r="C265" s="13" t="inlineStr">
        <is>
          <t>STR-027</t>
        </is>
      </c>
      <c r="D265" s="13" t="inlineStr">
        <is>
          <t>Main staircase typical flight (4th to 10th, one storey)</t>
        </is>
      </c>
      <c r="E265" s="19" t="inlineStr">
        <is>
          <t>1607</t>
        </is>
      </c>
      <c r="F265" s="19" t="n">
        <v>16</v>
      </c>
      <c r="G265" s="19" t="n">
        <v>1</v>
      </c>
      <c r="H265" s="19" t="n">
        <v>11</v>
      </c>
      <c r="I265" s="13">
        <f>G265*H265</f>
        <v>11.0</v>
      </c>
      <c r="J265" s="20">
        <f>3300/1000</f>
        <v>3.3</v>
      </c>
      <c r="K265" s="21">
        <f>I265*J265</f>
        <v>36.3</v>
      </c>
      <c r="L265" s="22">
        <f>F265^2/162</f>
        <v>1.5802469135802468</v>
      </c>
      <c r="M265" s="21">
        <f>K265*L265</f>
        <v>57.36296296296295</v>
      </c>
      <c r="N265" s="22">
        <f>M265/1000</f>
        <v>0.057362962962962956</v>
      </c>
      <c r="O265" s="13" t="inlineStr">
        <is>
          <t>BBS</t>
        </is>
      </c>
    </row>
    <row r="266">
      <c r="A266" s="13" t="n">
        <v>261</v>
      </c>
      <c r="B266" s="13" t="inlineStr">
        <is>
          <t>Staircases</t>
        </is>
      </c>
      <c r="C266" s="13" t="inlineStr">
        <is>
          <t>STR-027</t>
        </is>
      </c>
      <c r="D266" s="13" t="inlineStr">
        <is>
          <t>Main staircase typical flight (4th to 10th, one storey)</t>
        </is>
      </c>
      <c r="E266" s="19" t="inlineStr">
        <is>
          <t>1608</t>
        </is>
      </c>
      <c r="F266" s="19" t="n">
        <v>16</v>
      </c>
      <c r="G266" s="19" t="n">
        <v>1</v>
      </c>
      <c r="H266" s="19" t="n">
        <v>11</v>
      </c>
      <c r="I266" s="13">
        <f>G266*H266</f>
        <v>11.0</v>
      </c>
      <c r="J266" s="20">
        <f>1200/1000</f>
        <v>1.2</v>
      </c>
      <c r="K266" s="21">
        <f>I266*J266</f>
        <v>13.2</v>
      </c>
      <c r="L266" s="22">
        <f>F266^2/162</f>
        <v>1.5802469135802468</v>
      </c>
      <c r="M266" s="21">
        <f>K266*L266</f>
        <v>20.859259259259257</v>
      </c>
      <c r="N266" s="22">
        <f>M266/1000</f>
        <v>0.020859259259259258</v>
      </c>
      <c r="O266" s="13" t="inlineStr">
        <is>
          <t>BBS</t>
        </is>
      </c>
    </row>
    <row r="267">
      <c r="A267" s="13" t="n">
        <v>262</v>
      </c>
      <c r="B267" s="13" t="inlineStr">
        <is>
          <t>Staircases</t>
        </is>
      </c>
      <c r="C267" s="13" t="inlineStr">
        <is>
          <t>STR-027</t>
        </is>
      </c>
      <c r="D267" s="13" t="inlineStr">
        <is>
          <t>Main staircase typical flight (4th to 10th, one storey)</t>
        </is>
      </c>
      <c r="E267" s="19" t="inlineStr">
        <is>
          <t>1609</t>
        </is>
      </c>
      <c r="F267" s="19" t="n">
        <v>16</v>
      </c>
      <c r="G267" s="19" t="n">
        <v>1</v>
      </c>
      <c r="H267" s="19" t="n">
        <v>11</v>
      </c>
      <c r="I267" s="13">
        <f>G267*H267</f>
        <v>11.0</v>
      </c>
      <c r="J267" s="20">
        <f>6225/1000</f>
        <v>6.225</v>
      </c>
      <c r="K267" s="21">
        <f>I267*J267</f>
        <v>68.475</v>
      </c>
      <c r="L267" s="22">
        <f>F267^2/162</f>
        <v>1.5802469135802468</v>
      </c>
      <c r="M267" s="21">
        <f>K267*L267</f>
        <v>108.20740740740739</v>
      </c>
      <c r="N267" s="22">
        <f>M267/1000</f>
        <v>0.10820740740740739</v>
      </c>
      <c r="O267" s="13" t="inlineStr">
        <is>
          <t>BBS</t>
        </is>
      </c>
    </row>
    <row r="268">
      <c r="A268" s="13" t="n">
        <v>263</v>
      </c>
      <c r="B268" s="13" t="inlineStr">
        <is>
          <t>Staircases</t>
        </is>
      </c>
      <c r="C268" s="13" t="inlineStr">
        <is>
          <t>STR-027</t>
        </is>
      </c>
      <c r="D268" s="13" t="inlineStr">
        <is>
          <t>Main staircase typical flight (4th to 10th, one storey)</t>
        </is>
      </c>
      <c r="E268" s="19" t="inlineStr">
        <is>
          <t>1610</t>
        </is>
      </c>
      <c r="F268" s="19" t="n">
        <v>16</v>
      </c>
      <c r="G268" s="19" t="n">
        <v>1</v>
      </c>
      <c r="H268" s="19" t="n">
        <v>11</v>
      </c>
      <c r="I268" s="13">
        <f>G268*H268</f>
        <v>11.0</v>
      </c>
      <c r="J268" s="20">
        <f>3225/1000</f>
        <v>3.225</v>
      </c>
      <c r="K268" s="21">
        <f>I268*J268</f>
        <v>35.475</v>
      </c>
      <c r="L268" s="22">
        <f>F268^2/162</f>
        <v>1.5802469135802468</v>
      </c>
      <c r="M268" s="21">
        <f>K268*L268</f>
        <v>56.05925925925926</v>
      </c>
      <c r="N268" s="22">
        <f>M268/1000</f>
        <v>0.05605925925925926</v>
      </c>
      <c r="O268" s="13" t="inlineStr">
        <is>
          <t>BBS</t>
        </is>
      </c>
    </row>
    <row r="269">
      <c r="A269" s="13" t="n">
        <v>264</v>
      </c>
      <c r="B269" s="13" t="inlineStr">
        <is>
          <t>Staircases</t>
        </is>
      </c>
      <c r="C269" s="13" t="inlineStr">
        <is>
          <t>STR-037</t>
        </is>
      </c>
      <c r="D269" s="13" t="inlineStr">
        <is>
          <t>Emergency staircase typical flight (4th to 10th, one storey)</t>
        </is>
      </c>
      <c r="E269" s="19" t="inlineStr">
        <is>
          <t>1201</t>
        </is>
      </c>
      <c r="F269" s="19" t="n">
        <v>12</v>
      </c>
      <c r="G269" s="19" t="n">
        <v>1</v>
      </c>
      <c r="H269" s="19" t="n">
        <v>30</v>
      </c>
      <c r="I269" s="13">
        <f>G269*H269</f>
        <v>30.0</v>
      </c>
      <c r="J269" s="20">
        <f>6200/1000</f>
        <v>6.2</v>
      </c>
      <c r="K269" s="21">
        <f>I269*J269</f>
        <v>186.0</v>
      </c>
      <c r="L269" s="22">
        <f>F269^2/162</f>
        <v>0.8888888888888888</v>
      </c>
      <c r="M269" s="21">
        <f>K269*L269</f>
        <v>165.33333333333331</v>
      </c>
      <c r="N269" s="22">
        <f>M269/1000</f>
        <v>0.1653333333333333</v>
      </c>
      <c r="O269" s="13" t="inlineStr">
        <is>
          <t>BBS</t>
        </is>
      </c>
    </row>
    <row r="270">
      <c r="A270" s="13" t="n">
        <v>265</v>
      </c>
      <c r="B270" s="13" t="inlineStr">
        <is>
          <t>Staircases</t>
        </is>
      </c>
      <c r="C270" s="13" t="inlineStr">
        <is>
          <t>STR-037</t>
        </is>
      </c>
      <c r="D270" s="13" t="inlineStr">
        <is>
          <t>Emergency staircase typical flight (4th to 10th, one storey)</t>
        </is>
      </c>
      <c r="E270" s="19" t="inlineStr">
        <is>
          <t>1202</t>
        </is>
      </c>
      <c r="F270" s="19" t="n">
        <v>12</v>
      </c>
      <c r="G270" s="19" t="n">
        <v>1</v>
      </c>
      <c r="H270" s="19" t="n">
        <v>80</v>
      </c>
      <c r="I270" s="13">
        <f>G270*H270</f>
        <v>80.0</v>
      </c>
      <c r="J270" s="20">
        <f>2300/1000</f>
        <v>2.3</v>
      </c>
      <c r="K270" s="21">
        <f>I270*J270</f>
        <v>184.0</v>
      </c>
      <c r="L270" s="22">
        <f>F270^2/162</f>
        <v>0.8888888888888888</v>
      </c>
      <c r="M270" s="21">
        <f>K270*L270</f>
        <v>163.55555555555554</v>
      </c>
      <c r="N270" s="22">
        <f>M270/1000</f>
        <v>0.16355555555555554</v>
      </c>
      <c r="O270" s="13" t="inlineStr">
        <is>
          <t>BBS</t>
        </is>
      </c>
    </row>
    <row r="271">
      <c r="A271" s="13" t="n">
        <v>266</v>
      </c>
      <c r="B271" s="13" t="inlineStr">
        <is>
          <t>Staircases</t>
        </is>
      </c>
      <c r="C271" s="13" t="inlineStr">
        <is>
          <t>STR-037</t>
        </is>
      </c>
      <c r="D271" s="13" t="inlineStr">
        <is>
          <t>Emergency staircase typical flight (4th to 10th, one storey)</t>
        </is>
      </c>
      <c r="E271" s="19" t="inlineStr">
        <is>
          <t>1203</t>
        </is>
      </c>
      <c r="F271" s="19" t="n">
        <v>12</v>
      </c>
      <c r="G271" s="19" t="n">
        <v>1</v>
      </c>
      <c r="H271" s="19" t="n">
        <v>26</v>
      </c>
      <c r="I271" s="13">
        <f>G271*H271</f>
        <v>26.0</v>
      </c>
      <c r="J271" s="20">
        <f>4800/1000</f>
        <v>4.8</v>
      </c>
      <c r="K271" s="21">
        <f>I271*J271</f>
        <v>124.8</v>
      </c>
      <c r="L271" s="22">
        <f>F271^2/162</f>
        <v>0.8888888888888888</v>
      </c>
      <c r="M271" s="21">
        <f>K271*L271</f>
        <v>110.93333333333332</v>
      </c>
      <c r="N271" s="22">
        <f>M271/1000</f>
        <v>0.11093333333333333</v>
      </c>
      <c r="O271" s="13" t="inlineStr">
        <is>
          <t>BBS</t>
        </is>
      </c>
    </row>
    <row r="272">
      <c r="A272" s="13" t="n">
        <v>267</v>
      </c>
      <c r="B272" s="13" t="inlineStr">
        <is>
          <t>Staircases</t>
        </is>
      </c>
      <c r="C272" s="13" t="inlineStr">
        <is>
          <t>STR-037</t>
        </is>
      </c>
      <c r="D272" s="13" t="inlineStr">
        <is>
          <t>Emergency staircase typical flight (4th to 10th, one storey)</t>
        </is>
      </c>
      <c r="E272" s="19" t="inlineStr">
        <is>
          <t>1601</t>
        </is>
      </c>
      <c r="F272" s="19" t="n">
        <v>16</v>
      </c>
      <c r="G272" s="19" t="n">
        <v>1</v>
      </c>
      <c r="H272" s="19" t="n">
        <v>11</v>
      </c>
      <c r="I272" s="13">
        <f>G272*H272</f>
        <v>11.0</v>
      </c>
      <c r="J272" s="20">
        <f>8175/1000</f>
        <v>8.175</v>
      </c>
      <c r="K272" s="21">
        <f>I272*J272</f>
        <v>89.92500000000001</v>
      </c>
      <c r="L272" s="22">
        <f>F272^2/162</f>
        <v>1.5802469135802468</v>
      </c>
      <c r="M272" s="21">
        <f>K272*L272</f>
        <v>142.1037037037037</v>
      </c>
      <c r="N272" s="22">
        <f>M272/1000</f>
        <v>0.1421037037037037</v>
      </c>
      <c r="O272" s="13" t="inlineStr">
        <is>
          <t>BBS</t>
        </is>
      </c>
    </row>
    <row r="273">
      <c r="A273" s="13" t="n">
        <v>268</v>
      </c>
      <c r="B273" s="13" t="inlineStr">
        <is>
          <t>Staircases</t>
        </is>
      </c>
      <c r="C273" s="13" t="inlineStr">
        <is>
          <t>STR-037</t>
        </is>
      </c>
      <c r="D273" s="13" t="inlineStr">
        <is>
          <t>Emergency staircase typical flight (4th to 10th, one storey)</t>
        </is>
      </c>
      <c r="E273" s="19" t="inlineStr">
        <is>
          <t>1602</t>
        </is>
      </c>
      <c r="F273" s="19" t="n">
        <v>16</v>
      </c>
      <c r="G273" s="19" t="n">
        <v>1</v>
      </c>
      <c r="H273" s="19" t="n">
        <v>11</v>
      </c>
      <c r="I273" s="13">
        <f>G273*H273</f>
        <v>11.0</v>
      </c>
      <c r="J273" s="20">
        <f>2650/1000</f>
        <v>2.65</v>
      </c>
      <c r="K273" s="21">
        <f>I273*J273</f>
        <v>29.15</v>
      </c>
      <c r="L273" s="22">
        <f>F273^2/162</f>
        <v>1.5802469135802468</v>
      </c>
      <c r="M273" s="21">
        <f>K273*L273</f>
        <v>46.06419753086419</v>
      </c>
      <c r="N273" s="22">
        <f>M273/1000</f>
        <v>0.046064197530864194</v>
      </c>
      <c r="O273" s="13" t="inlineStr">
        <is>
          <t>BBS</t>
        </is>
      </c>
    </row>
    <row r="274">
      <c r="A274" s="13" t="n">
        <v>269</v>
      </c>
      <c r="B274" s="13" t="inlineStr">
        <is>
          <t>Staircases</t>
        </is>
      </c>
      <c r="C274" s="13" t="inlineStr">
        <is>
          <t>STR-037</t>
        </is>
      </c>
      <c r="D274" s="13" t="inlineStr">
        <is>
          <t>Emergency staircase typical flight (4th to 10th, one storey)</t>
        </is>
      </c>
      <c r="E274" s="19" t="inlineStr">
        <is>
          <t>1603</t>
        </is>
      </c>
      <c r="F274" s="19" t="n">
        <v>16</v>
      </c>
      <c r="G274" s="19" t="n">
        <v>1</v>
      </c>
      <c r="H274" s="19" t="n">
        <v>11</v>
      </c>
      <c r="I274" s="13">
        <f>G274*H274</f>
        <v>11.0</v>
      </c>
      <c r="J274" s="20">
        <f>2400/1000</f>
        <v>2.4</v>
      </c>
      <c r="K274" s="21">
        <f>I274*J274</f>
        <v>26.4</v>
      </c>
      <c r="L274" s="22">
        <f>F274^2/162</f>
        <v>1.5802469135802468</v>
      </c>
      <c r="M274" s="21">
        <f>K274*L274</f>
        <v>41.718518518518515</v>
      </c>
      <c r="N274" s="22">
        <f>M274/1000</f>
        <v>0.041718518518518516</v>
      </c>
      <c r="O274" s="13" t="inlineStr">
        <is>
          <t>BBS</t>
        </is>
      </c>
    </row>
    <row r="275">
      <c r="A275" s="13" t="n">
        <v>270</v>
      </c>
      <c r="B275" s="13" t="inlineStr">
        <is>
          <t>Staircases</t>
        </is>
      </c>
      <c r="C275" s="13" t="inlineStr">
        <is>
          <t>STR-037</t>
        </is>
      </c>
      <c r="D275" s="13" t="inlineStr">
        <is>
          <t>Emergency staircase typical flight (4th to 10th, one storey)</t>
        </is>
      </c>
      <c r="E275" s="19" t="inlineStr">
        <is>
          <t>1604</t>
        </is>
      </c>
      <c r="F275" s="19" t="n">
        <v>16</v>
      </c>
      <c r="G275" s="19" t="n">
        <v>1</v>
      </c>
      <c r="H275" s="19" t="n">
        <v>11</v>
      </c>
      <c r="I275" s="13">
        <f>G275*H275</f>
        <v>11.0</v>
      </c>
      <c r="J275" s="20">
        <f>4300/1000</f>
        <v>4.3</v>
      </c>
      <c r="K275" s="21">
        <f>I275*J275</f>
        <v>47.3</v>
      </c>
      <c r="L275" s="22">
        <f>F275^2/162</f>
        <v>1.5802469135802468</v>
      </c>
      <c r="M275" s="21">
        <f>K275*L275</f>
        <v>74.74567901234568</v>
      </c>
      <c r="N275" s="22">
        <f>M275/1000</f>
        <v>0.07474567901234568</v>
      </c>
      <c r="O275" s="13" t="inlineStr">
        <is>
          <t>BBS</t>
        </is>
      </c>
    </row>
    <row r="276">
      <c r="A276" s="13" t="n">
        <v>271</v>
      </c>
      <c r="B276" s="13" t="inlineStr">
        <is>
          <t>Staircases</t>
        </is>
      </c>
      <c r="C276" s="13" t="inlineStr">
        <is>
          <t>STR-037</t>
        </is>
      </c>
      <c r="D276" s="13" t="inlineStr">
        <is>
          <t>Emergency staircase typical flight (4th to 10th, one storey)</t>
        </is>
      </c>
      <c r="E276" s="19" t="inlineStr">
        <is>
          <t>1605</t>
        </is>
      </c>
      <c r="F276" s="19" t="n">
        <v>16</v>
      </c>
      <c r="G276" s="19" t="n">
        <v>1</v>
      </c>
      <c r="H276" s="19" t="n">
        <v>11</v>
      </c>
      <c r="I276" s="13">
        <f>G276*H276</f>
        <v>11.0</v>
      </c>
      <c r="J276" s="20">
        <f>2100/1000</f>
        <v>2.1</v>
      </c>
      <c r="K276" s="21">
        <f>I276*J276</f>
        <v>23.1</v>
      </c>
      <c r="L276" s="22">
        <f>F276^2/162</f>
        <v>1.5802469135802468</v>
      </c>
      <c r="M276" s="21">
        <f>K276*L276</f>
        <v>36.50370370370371</v>
      </c>
      <c r="N276" s="22">
        <f>M276/1000</f>
        <v>0.036503703703703705</v>
      </c>
      <c r="O276" s="13" t="inlineStr">
        <is>
          <t>BBS</t>
        </is>
      </c>
    </row>
    <row r="277">
      <c r="A277" s="13" t="n">
        <v>272</v>
      </c>
      <c r="B277" s="13" t="inlineStr">
        <is>
          <t>Staircases</t>
        </is>
      </c>
      <c r="C277" s="13" t="inlineStr">
        <is>
          <t>STR-037</t>
        </is>
      </c>
      <c r="D277" s="13" t="inlineStr">
        <is>
          <t>Emergency staircase typical flight (4th to 10th, one storey)</t>
        </is>
      </c>
      <c r="E277" s="19" t="inlineStr">
        <is>
          <t>1606</t>
        </is>
      </c>
      <c r="F277" s="19" t="n">
        <v>16</v>
      </c>
      <c r="G277" s="19" t="n">
        <v>1</v>
      </c>
      <c r="H277" s="19" t="n">
        <v>11</v>
      </c>
      <c r="I277" s="13">
        <f>G277*H277</f>
        <v>11.0</v>
      </c>
      <c r="J277" s="20">
        <f>6900/1000</f>
        <v>6.9</v>
      </c>
      <c r="K277" s="21">
        <f>I277*J277</f>
        <v>75.9</v>
      </c>
      <c r="L277" s="22">
        <f>F277^2/162</f>
        <v>1.5802469135802468</v>
      </c>
      <c r="M277" s="21">
        <f>K277*L277</f>
        <v>119.94074074074074</v>
      </c>
      <c r="N277" s="22">
        <f>M277/1000</f>
        <v>0.11994074074074074</v>
      </c>
      <c r="O277" s="13" t="inlineStr">
        <is>
          <t>BBS</t>
        </is>
      </c>
    </row>
    <row r="278">
      <c r="A278" s="13" t="n">
        <v>273</v>
      </c>
      <c r="B278" s="13" t="inlineStr">
        <is>
          <t>Staircases</t>
        </is>
      </c>
      <c r="C278" s="13" t="inlineStr">
        <is>
          <t>STR-037</t>
        </is>
      </c>
      <c r="D278" s="13" t="inlineStr">
        <is>
          <t>Emergency staircase typical flight (4th to 10th, one storey)</t>
        </is>
      </c>
      <c r="E278" s="19" t="inlineStr">
        <is>
          <t>1607</t>
        </is>
      </c>
      <c r="F278" s="19" t="n">
        <v>16</v>
      </c>
      <c r="G278" s="19" t="n">
        <v>1</v>
      </c>
      <c r="H278" s="19" t="n">
        <v>11</v>
      </c>
      <c r="I278" s="13">
        <f>G278*H278</f>
        <v>11.0</v>
      </c>
      <c r="J278" s="20">
        <f>4800/1000</f>
        <v>4.8</v>
      </c>
      <c r="K278" s="21">
        <f>I278*J278</f>
        <v>52.8</v>
      </c>
      <c r="L278" s="22">
        <f>F278^2/162</f>
        <v>1.5802469135802468</v>
      </c>
      <c r="M278" s="21">
        <f>K278*L278</f>
        <v>83.43703703703703</v>
      </c>
      <c r="N278" s="22">
        <f>M278/1000</f>
        <v>0.08343703703703703</v>
      </c>
      <c r="O278" s="13" t="inlineStr">
        <is>
          <t>BBS</t>
        </is>
      </c>
    </row>
    <row r="279">
      <c r="A279" s="13" t="n">
        <v>274</v>
      </c>
      <c r="B279" s="13" t="inlineStr">
        <is>
          <t>Staircases</t>
        </is>
      </c>
      <c r="C279" s="13" t="inlineStr">
        <is>
          <t>STR-037</t>
        </is>
      </c>
      <c r="D279" s="13" t="inlineStr">
        <is>
          <t>Emergency staircase typical flight (4th to 10th, one storey)</t>
        </is>
      </c>
      <c r="E279" s="19" t="inlineStr">
        <is>
          <t>1608</t>
        </is>
      </c>
      <c r="F279" s="19" t="n">
        <v>16</v>
      </c>
      <c r="G279" s="19" t="n">
        <v>1</v>
      </c>
      <c r="H279" s="19" t="n">
        <v>11</v>
      </c>
      <c r="I279" s="13">
        <f>G279*H279</f>
        <v>11.0</v>
      </c>
      <c r="J279" s="20">
        <f>3400/1000</f>
        <v>3.4</v>
      </c>
      <c r="K279" s="21">
        <f>I279*J279</f>
        <v>37.4</v>
      </c>
      <c r="L279" s="22">
        <f>F279^2/162</f>
        <v>1.5802469135802468</v>
      </c>
      <c r="M279" s="21">
        <f>K279*L279</f>
        <v>59.10123456790123</v>
      </c>
      <c r="N279" s="22">
        <f>M279/1000</f>
        <v>0.05910123456790123</v>
      </c>
      <c r="O279" s="13" t="inlineStr">
        <is>
          <t>BBS</t>
        </is>
      </c>
    </row>
    <row r="280">
      <c r="A280" s="13" t="n">
        <v>275</v>
      </c>
      <c r="B280" s="13" t="inlineStr">
        <is>
          <t>Staircases</t>
        </is>
      </c>
      <c r="C280" s="13" t="inlineStr">
        <is>
          <t>STR-037</t>
        </is>
      </c>
      <c r="D280" s="13" t="inlineStr">
        <is>
          <t>Emergency staircase typical flight (4th to 10th, one storey)</t>
        </is>
      </c>
      <c r="E280" s="19" t="inlineStr">
        <is>
          <t>1609</t>
        </is>
      </c>
      <c r="F280" s="19" t="n">
        <v>16</v>
      </c>
      <c r="G280" s="19" t="n">
        <v>1</v>
      </c>
      <c r="H280" s="19" t="n">
        <v>11</v>
      </c>
      <c r="I280" s="13">
        <f>G280*H280</f>
        <v>11.0</v>
      </c>
      <c r="J280" s="20">
        <f>3200/1000</f>
        <v>3.2</v>
      </c>
      <c r="K280" s="21">
        <f>I280*J280</f>
        <v>35.2</v>
      </c>
      <c r="L280" s="22">
        <f>F280^2/162</f>
        <v>1.5802469135802468</v>
      </c>
      <c r="M280" s="21">
        <f>K280*L280</f>
        <v>55.62469135802469</v>
      </c>
      <c r="N280" s="22">
        <f>M280/1000</f>
        <v>0.05562469135802469</v>
      </c>
      <c r="O280" s="13" t="inlineStr">
        <is>
          <t>BBS</t>
        </is>
      </c>
    </row>
    <row r="281">
      <c r="A281" s="13" t="n">
        <v>276</v>
      </c>
      <c r="B281" s="13" t="inlineStr">
        <is>
          <t>Staircases</t>
        </is>
      </c>
      <c r="C281" s="13" t="inlineStr">
        <is>
          <t>STR-037</t>
        </is>
      </c>
      <c r="D281" s="13" t="inlineStr">
        <is>
          <t>Emergency staircase typical flight (4th to 10th, one storey)</t>
        </is>
      </c>
      <c r="E281" s="19" t="inlineStr">
        <is>
          <t>1610</t>
        </is>
      </c>
      <c r="F281" s="19" t="n">
        <v>16</v>
      </c>
      <c r="G281" s="19" t="n">
        <v>1</v>
      </c>
      <c r="H281" s="19" t="n">
        <v>11</v>
      </c>
      <c r="I281" s="13">
        <f>G281*H281</f>
        <v>11.0</v>
      </c>
      <c r="J281" s="20">
        <f>2000/1000</f>
        <v>2.0</v>
      </c>
      <c r="K281" s="21">
        <f>I281*J281</f>
        <v>22.0</v>
      </c>
      <c r="L281" s="22">
        <f>F281^2/162</f>
        <v>1.5802469135802468</v>
      </c>
      <c r="M281" s="21">
        <f>K281*L281</f>
        <v>34.76543209876543</v>
      </c>
      <c r="N281" s="22">
        <f>M281/1000</f>
        <v>0.03476543209876543</v>
      </c>
      <c r="O281" s="13" t="inlineStr">
        <is>
          <t>BBS</t>
        </is>
      </c>
    </row>
    <row r="283">
      <c r="D283" s="10" t="inlineStr">
        <is>
          <t>SUMMARY - SIXTH FLOOR: ELEMENT BY BAR SIZE (TONNES)</t>
        </is>
      </c>
    </row>
    <row r="284">
      <c r="D284" s="23" t="inlineStr">
        <is>
          <t>Element</t>
        </is>
      </c>
      <c r="E284" s="24" t="n">
        <v>10</v>
      </c>
      <c r="F284" s="24" t="n">
        <v>12</v>
      </c>
      <c r="G284" s="24" t="n">
        <v>16</v>
      </c>
      <c r="H284" s="24" t="n">
        <v>20</v>
      </c>
      <c r="I284" s="24" t="n">
        <v>25</v>
      </c>
      <c r="J284" s="23" t="inlineStr">
        <is>
          <t>Total (t)</t>
        </is>
      </c>
    </row>
    <row r="285">
      <c r="D285" s="13" t="inlineStr">
        <is>
          <t>Raft Foundation</t>
        </is>
      </c>
      <c r="E285" s="25">
        <f>SUMIFS($N$6:$N$281,$B$6:$B$281,$D285,$F$6:$F$281,E$284)</f>
        <v>0.0</v>
      </c>
      <c r="F285" s="25">
        <f>SUMIFS($N$6:$N$281,$B$6:$B$281,$D285,$F$6:$F$281,F$284)</f>
        <v>0.0</v>
      </c>
      <c r="G285" s="25">
        <f>SUMIFS($N$6:$N$281,$B$6:$B$281,$D285,$F$6:$F$281,G$284)</f>
        <v>0.0</v>
      </c>
      <c r="H285" s="25">
        <f>SUMIFS($N$6:$N$281,$B$6:$B$281,$D285,$F$6:$F$281,H$284)</f>
        <v>0.0</v>
      </c>
      <c r="I285" s="25">
        <f>SUMIFS($N$6:$N$281,$B$6:$B$281,$D285,$F$6:$F$281,I$284)</f>
        <v>0.0</v>
      </c>
      <c r="J285" s="17">
        <f>SUM(E285:I285)</f>
        <v>0.0</v>
      </c>
    </row>
    <row r="286">
      <c r="D286" s="13" t="inlineStr">
        <is>
          <t>Columns</t>
        </is>
      </c>
      <c r="E286" s="25">
        <f>SUMIFS($N$6:$N$281,$B$6:$B$281,$D286,$F$6:$F$281,E$284)</f>
        <v>4.550629629629629</v>
      </c>
      <c r="F286" s="25">
        <f>SUMIFS($N$6:$N$281,$B$6:$B$281,$D286,$F$6:$F$281,F$284)</f>
        <v>0.0</v>
      </c>
      <c r="G286" s="25">
        <f>SUMIFS($N$6:$N$281,$B$6:$B$281,$D286,$F$6:$F$281,G$284)</f>
        <v>0.0</v>
      </c>
      <c r="H286" s="25">
        <f>SUMIFS($N$6:$N$281,$B$6:$B$281,$D286,$F$6:$F$281,H$284)</f>
        <v>7.133333333333333</v>
      </c>
      <c r="I286" s="25">
        <f>SUMIFS($N$6:$N$281,$B$6:$B$281,$D286,$F$6:$F$281,I$284)</f>
        <v>0.0</v>
      </c>
      <c r="J286" s="17">
        <f>SUM(E286:I286)</f>
        <v>11.683962962962962</v>
      </c>
    </row>
    <row r="287">
      <c r="D287" s="13" t="inlineStr">
        <is>
          <t>Shear Walls</t>
        </is>
      </c>
      <c r="E287" s="25">
        <f>SUMIFS($N$6:$N$281,$B$6:$B$281,$D287,$F$6:$F$281,E$284)</f>
        <v>1.4422222222222223</v>
      </c>
      <c r="F287" s="25">
        <f>SUMIFS($N$6:$N$281,$B$6:$B$281,$D287,$F$6:$F$281,F$284)</f>
        <v>1.9171555555555557</v>
      </c>
      <c r="G287" s="25">
        <f>SUMIFS($N$6:$N$281,$B$6:$B$281,$D287,$F$6:$F$281,G$284)</f>
        <v>0.0</v>
      </c>
      <c r="H287" s="25">
        <f>SUMIFS($N$6:$N$281,$B$6:$B$281,$D287,$F$6:$F$281,H$284)</f>
        <v>6.904197530864199</v>
      </c>
      <c r="I287" s="25">
        <f>SUMIFS($N$6:$N$281,$B$6:$B$281,$D287,$F$6:$F$281,I$284)</f>
        <v>0.0</v>
      </c>
      <c r="J287" s="17">
        <f>SUM(E287:I287)</f>
        <v>10.263575308641977</v>
      </c>
    </row>
    <row r="288">
      <c r="D288" s="13" t="inlineStr">
        <is>
          <t>Lift Walls</t>
        </is>
      </c>
      <c r="E288" s="25">
        <f>SUMIFS($N$6:$N$281,$B$6:$B$281,$D288,$F$6:$F$281,E$284)</f>
        <v>0.6355555555555557</v>
      </c>
      <c r="F288" s="25">
        <f>SUMIFS($N$6:$N$281,$B$6:$B$281,$D288,$F$6:$F$281,F$284)</f>
        <v>0.8655999999999999</v>
      </c>
      <c r="G288" s="25">
        <f>SUMIFS($N$6:$N$281,$B$6:$B$281,$D288,$F$6:$F$281,G$284)</f>
        <v>0.0</v>
      </c>
      <c r="H288" s="25">
        <f>SUMIFS($N$6:$N$281,$B$6:$B$281,$D288,$F$6:$F$281,H$284)</f>
        <v>3.320493827160494</v>
      </c>
      <c r="I288" s="25">
        <f>SUMIFS($N$6:$N$281,$B$6:$B$281,$D288,$F$6:$F$281,I$284)</f>
        <v>0.0</v>
      </c>
      <c r="J288" s="17">
        <f>SUM(E288:I288)</f>
        <v>4.82164938271605</v>
      </c>
    </row>
    <row r="289">
      <c r="D289" s="13" t="inlineStr">
        <is>
          <t>Retaining / Ramp Walls</t>
        </is>
      </c>
      <c r="E289" s="25">
        <f>SUMIFS($N$6:$N$281,$B$6:$B$281,$D289,$F$6:$F$281,E$284)</f>
        <v>0.0</v>
      </c>
      <c r="F289" s="25">
        <f>SUMIFS($N$6:$N$281,$B$6:$B$281,$D289,$F$6:$F$281,F$284)</f>
        <v>0.0</v>
      </c>
      <c r="G289" s="25">
        <f>SUMIFS($N$6:$N$281,$B$6:$B$281,$D289,$F$6:$F$281,G$284)</f>
        <v>0.0</v>
      </c>
      <c r="H289" s="25">
        <f>SUMIFS($N$6:$N$281,$B$6:$B$281,$D289,$F$6:$F$281,H$284)</f>
        <v>0.0</v>
      </c>
      <c r="I289" s="25">
        <f>SUMIFS($N$6:$N$281,$B$6:$B$281,$D289,$F$6:$F$281,I$284)</f>
        <v>0.0</v>
      </c>
      <c r="J289" s="17">
        <f>SUM(E289:I289)</f>
        <v>0.0</v>
      </c>
    </row>
    <row r="290">
      <c r="D290" s="13" t="inlineStr">
        <is>
          <t>Beams</t>
        </is>
      </c>
      <c r="E290" s="25">
        <f>SUMIFS($N$6:$N$281,$B$6:$B$281,$D290,$F$6:$F$281,E$284)</f>
        <v>1.8062345679012344</v>
      </c>
      <c r="F290" s="25">
        <f>SUMIFS($N$6:$N$281,$B$6:$B$281,$D290,$F$6:$F$281,F$284)</f>
        <v>0.0</v>
      </c>
      <c r="G290" s="25">
        <f>SUMIFS($N$6:$N$281,$B$6:$B$281,$D290,$F$6:$F$281,G$284)</f>
        <v>1.2476839506172839</v>
      </c>
      <c r="H290" s="25">
        <f>SUMIFS($N$6:$N$281,$B$6:$B$281,$D290,$F$6:$F$281,H$284)</f>
        <v>2.1350617283950615</v>
      </c>
      <c r="I290" s="25">
        <f>SUMIFS($N$6:$N$281,$B$6:$B$281,$D290,$F$6:$F$281,I$284)</f>
        <v>5.506944444444445</v>
      </c>
      <c r="J290" s="17">
        <f>SUM(E290:I290)</f>
        <v>10.695924691358025</v>
      </c>
    </row>
    <row r="291">
      <c r="D291" s="13" t="inlineStr">
        <is>
          <t>Floor Slabs</t>
        </is>
      </c>
      <c r="E291" s="25">
        <f>SUMIFS($N$6:$N$281,$B$6:$B$281,$D291,$F$6:$F$281,E$284)</f>
        <v>0.0</v>
      </c>
      <c r="F291" s="25">
        <f>SUMIFS($N$6:$N$281,$B$6:$B$281,$D291,$F$6:$F$281,F$284)</f>
        <v>49.804440888888884</v>
      </c>
      <c r="G291" s="25">
        <f>SUMIFS($N$6:$N$281,$B$6:$B$281,$D291,$F$6:$F$281,G$284)</f>
        <v>0.1505185185185185</v>
      </c>
      <c r="H291" s="25">
        <f>SUMIFS($N$6:$N$281,$B$6:$B$281,$D291,$F$6:$F$281,H$284)</f>
        <v>0.0</v>
      </c>
      <c r="I291" s="25">
        <f>SUMIFS($N$6:$N$281,$B$6:$B$281,$D291,$F$6:$F$281,I$284)</f>
        <v>0.0</v>
      </c>
      <c r="J291" s="17">
        <f>SUM(E291:I291)</f>
        <v>49.9549594074074</v>
      </c>
    </row>
    <row r="292">
      <c r="D292" s="13" t="inlineStr">
        <is>
          <t>Staircases</t>
        </is>
      </c>
      <c r="E292" s="25">
        <f>SUMIFS($N$6:$N$281,$B$6:$B$281,$D292,$F$6:$F$281,E$284)</f>
        <v>0.0</v>
      </c>
      <c r="F292" s="25">
        <f>SUMIFS($N$6:$N$281,$B$6:$B$281,$D292,$F$6:$F$281,F$284)</f>
        <v>0.8796444444444443</v>
      </c>
      <c r="G292" s="25">
        <f>SUMIFS($N$6:$N$281,$B$6:$B$281,$D292,$F$6:$F$281,G$284)</f>
        <v>1.4340740740740738</v>
      </c>
      <c r="H292" s="25">
        <f>SUMIFS($N$6:$N$281,$B$6:$B$281,$D292,$F$6:$F$281,H$284)</f>
        <v>0.0</v>
      </c>
      <c r="I292" s="25">
        <f>SUMIFS($N$6:$N$281,$B$6:$B$281,$D292,$F$6:$F$281,I$284)</f>
        <v>0.0</v>
      </c>
      <c r="J292" s="17">
        <f>SUM(E292:I292)</f>
        <v>2.313718518518518</v>
      </c>
    </row>
    <row r="293">
      <c r="D293" s="13" t="inlineStr">
        <is>
          <t>Lift Core Roof Slab</t>
        </is>
      </c>
      <c r="E293" s="25">
        <f>SUMIFS($N$6:$N$281,$B$6:$B$281,$D293,$F$6:$F$281,E$284)</f>
        <v>0.0</v>
      </c>
      <c r="F293" s="25">
        <f>SUMIFS($N$6:$N$281,$B$6:$B$281,$D293,$F$6:$F$281,F$284)</f>
        <v>0.0</v>
      </c>
      <c r="G293" s="25">
        <f>SUMIFS($N$6:$N$281,$B$6:$B$281,$D293,$F$6:$F$281,G$284)</f>
        <v>0.0</v>
      </c>
      <c r="H293" s="25">
        <f>SUMIFS($N$6:$N$281,$B$6:$B$281,$D293,$F$6:$F$281,H$284)</f>
        <v>0.0</v>
      </c>
      <c r="I293" s="25">
        <f>SUMIFS($N$6:$N$281,$B$6:$B$281,$D293,$F$6:$F$281,I$284)</f>
        <v>0.0</v>
      </c>
      <c r="J293" s="17">
        <f>SUM(E293:I293)</f>
        <v>0.0</v>
      </c>
    </row>
    <row r="294">
      <c r="D294" s="16" t="inlineStr">
        <is>
          <t>TOTAL - SIXTH FLOOR</t>
        </is>
      </c>
      <c r="E294" s="26">
        <f>SUM(E285:E293)</f>
        <v>8.43464197530864</v>
      </c>
      <c r="F294" s="26">
        <f>SUM(F285:F293)</f>
        <v>53.46684088888888</v>
      </c>
      <c r="G294" s="26">
        <f>SUM(G285:G293)</f>
        <v>2.8322765432098764</v>
      </c>
      <c r="H294" s="26">
        <f>SUM(H285:H293)</f>
        <v>19.493086419753087</v>
      </c>
      <c r="I294" s="26">
        <f>SUM(I285:I293)</f>
        <v>5.506944444444445</v>
      </c>
      <c r="J294" s="26">
        <f>SUM(J285:J293)</f>
        <v>89.73379027160493</v>
      </c>
      <c r="K294" s="7" t="inlineStr">
        <is>
          <t>Check vs detail (should be 0):</t>
        </is>
      </c>
      <c r="N294" s="7">
        <f>ROUND(SUM(N6:N281)-J294,6)</f>
        <v>0.0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O29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SEVENTH FLOOR (+24100) - TYPICAL 4TH-8TH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STR-007</t>
        </is>
      </c>
      <c r="D6" s="13" t="inlineStr">
        <is>
          <t>COL-01A (5 nos) 7th to 8th - links</t>
        </is>
      </c>
      <c r="E6" s="19" t="inlineStr">
        <is>
          <t>1001</t>
        </is>
      </c>
      <c r="F6" s="19" t="n">
        <v>10</v>
      </c>
      <c r="G6" s="19" t="n">
        <v>5</v>
      </c>
      <c r="H6" s="19" t="n">
        <v>30</v>
      </c>
      <c r="I6" s="13">
        <f>G6*H6</f>
        <v>150.0</v>
      </c>
      <c r="J6" s="20">
        <f>2330/1000</f>
        <v>2.33</v>
      </c>
      <c r="K6" s="21">
        <f>I6*J6</f>
        <v>349.5</v>
      </c>
      <c r="L6" s="22">
        <f>F6^2/162</f>
        <v>0.6172839506172839</v>
      </c>
      <c r="M6" s="21">
        <f>K6*L6</f>
        <v>215.74074074074073</v>
      </c>
      <c r="N6" s="22">
        <f>M6/1000</f>
        <v>0.21574074074074073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STR-007</t>
        </is>
      </c>
      <c r="D7" s="13" t="inlineStr">
        <is>
          <t>COL-01A (5 nos) 7th to 8th - links</t>
        </is>
      </c>
      <c r="E7" s="19" t="inlineStr">
        <is>
          <t>1002</t>
        </is>
      </c>
      <c r="F7" s="19" t="n">
        <v>10</v>
      </c>
      <c r="G7" s="19" t="n">
        <v>5</v>
      </c>
      <c r="H7" s="19" t="n">
        <v>60</v>
      </c>
      <c r="I7" s="13">
        <f>G7*H7</f>
        <v>300.0</v>
      </c>
      <c r="J7" s="20">
        <f>1330/1000</f>
        <v>1.33</v>
      </c>
      <c r="K7" s="21">
        <f>I7*J7</f>
        <v>399.0</v>
      </c>
      <c r="L7" s="22">
        <f>F7^2/162</f>
        <v>0.6172839506172839</v>
      </c>
      <c r="M7" s="21">
        <f>K7*L7</f>
        <v>246.29629629629628</v>
      </c>
      <c r="N7" s="22">
        <f>M7/1000</f>
        <v>0.24629629629629626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STR-007</t>
        </is>
      </c>
      <c r="D8" s="13" t="inlineStr">
        <is>
          <t>COL-01A (5 nos) 7th to 8th - links</t>
        </is>
      </c>
      <c r="E8" s="19" t="inlineStr">
        <is>
          <t>1003</t>
        </is>
      </c>
      <c r="F8" s="19" t="n">
        <v>10</v>
      </c>
      <c r="G8" s="19" t="n">
        <v>5</v>
      </c>
      <c r="H8" s="19" t="n">
        <v>30</v>
      </c>
      <c r="I8" s="13">
        <f>G8*H8</f>
        <v>150.0</v>
      </c>
      <c r="J8" s="20">
        <f>1830/1000</f>
        <v>1.83</v>
      </c>
      <c r="K8" s="21">
        <f>I8*J8</f>
        <v>274.5</v>
      </c>
      <c r="L8" s="22">
        <f>F8^2/162</f>
        <v>0.6172839506172839</v>
      </c>
      <c r="M8" s="21">
        <f>K8*L8</f>
        <v>169.44444444444443</v>
      </c>
      <c r="N8" s="22">
        <f>M8/1000</f>
        <v>0.16944444444444443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STR-007</t>
        </is>
      </c>
      <c r="D9" s="13" t="inlineStr">
        <is>
          <t>COL-01A (5 nos) 7th to 8th - main bars</t>
        </is>
      </c>
      <c r="E9" s="19" t="inlineStr">
        <is>
          <t>2001</t>
        </is>
      </c>
      <c r="F9" s="19" t="n">
        <v>20</v>
      </c>
      <c r="G9" s="19" t="n">
        <v>5</v>
      </c>
      <c r="H9" s="19" t="n">
        <v>16</v>
      </c>
      <c r="I9" s="13">
        <f>G9*H9</f>
        <v>80.0</v>
      </c>
      <c r="J9" s="20">
        <f>4500/1000</f>
        <v>4.5</v>
      </c>
      <c r="K9" s="21">
        <f>I9*J9</f>
        <v>360.0</v>
      </c>
      <c r="L9" s="22">
        <f>F9^2/162</f>
        <v>2.4691358024691357</v>
      </c>
      <c r="M9" s="21">
        <f>K9*L9</f>
        <v>888.8888888888888</v>
      </c>
      <c r="N9" s="22">
        <f>M9/1000</f>
        <v>0.8888888888888888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STR-007</t>
        </is>
      </c>
      <c r="D10" s="13" t="inlineStr">
        <is>
          <t>COL-01B (1 nos) 7th to 8th - links</t>
        </is>
      </c>
      <c r="E10" s="19" t="inlineStr">
        <is>
          <t>1001</t>
        </is>
      </c>
      <c r="F10" s="19" t="n">
        <v>10</v>
      </c>
      <c r="G10" s="19" t="n">
        <v>1</v>
      </c>
      <c r="H10" s="19" t="n">
        <v>30</v>
      </c>
      <c r="I10" s="13">
        <f>G10*H10</f>
        <v>30.0</v>
      </c>
      <c r="J10" s="20">
        <f>2330/1000</f>
        <v>2.33</v>
      </c>
      <c r="K10" s="21">
        <f>I10*J10</f>
        <v>69.9</v>
      </c>
      <c r="L10" s="22">
        <f>F10^2/162</f>
        <v>0.6172839506172839</v>
      </c>
      <c r="M10" s="21">
        <f>K10*L10</f>
        <v>43.14814814814815</v>
      </c>
      <c r="N10" s="22">
        <f>M10/1000</f>
        <v>0.04314814814814815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STR-007</t>
        </is>
      </c>
      <c r="D11" s="13" t="inlineStr">
        <is>
          <t>COL-01B (1 nos) 7th to 8th - links</t>
        </is>
      </c>
      <c r="E11" s="19" t="inlineStr">
        <is>
          <t>1002</t>
        </is>
      </c>
      <c r="F11" s="19" t="n">
        <v>10</v>
      </c>
      <c r="G11" s="19" t="n">
        <v>1</v>
      </c>
      <c r="H11" s="19" t="n">
        <v>60</v>
      </c>
      <c r="I11" s="13">
        <f>G11*H11</f>
        <v>60.0</v>
      </c>
      <c r="J11" s="20">
        <f>1330/1000</f>
        <v>1.33</v>
      </c>
      <c r="K11" s="21">
        <f>I11*J11</f>
        <v>79.80000000000001</v>
      </c>
      <c r="L11" s="22">
        <f>F11^2/162</f>
        <v>0.6172839506172839</v>
      </c>
      <c r="M11" s="21">
        <f>K11*L11</f>
        <v>49.25925925925927</v>
      </c>
      <c r="N11" s="22">
        <f>M11/1000</f>
        <v>0.049259259259259267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STR-007</t>
        </is>
      </c>
      <c r="D12" s="13" t="inlineStr">
        <is>
          <t>COL-01B (1 nos) 7th to 8th - links</t>
        </is>
      </c>
      <c r="E12" s="19" t="inlineStr">
        <is>
          <t>1003</t>
        </is>
      </c>
      <c r="F12" s="19" t="n">
        <v>10</v>
      </c>
      <c r="G12" s="19" t="n">
        <v>1</v>
      </c>
      <c r="H12" s="19" t="n">
        <v>30</v>
      </c>
      <c r="I12" s="13">
        <f>G12*H12</f>
        <v>30.0</v>
      </c>
      <c r="J12" s="20">
        <f>1830/1000</f>
        <v>1.83</v>
      </c>
      <c r="K12" s="21">
        <f>I12*J12</f>
        <v>54.900000000000006</v>
      </c>
      <c r="L12" s="22">
        <f>F12^2/162</f>
        <v>0.6172839506172839</v>
      </c>
      <c r="M12" s="21">
        <f>K12*L12</f>
        <v>33.88888888888889</v>
      </c>
      <c r="N12" s="22">
        <f>M12/1000</f>
        <v>0.03388888888888889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Columns</t>
        </is>
      </c>
      <c r="C13" s="13" t="inlineStr">
        <is>
          <t>STR-007</t>
        </is>
      </c>
      <c r="D13" s="13" t="inlineStr">
        <is>
          <t>COL-01B (1 nos) 7th to 8th - main bars</t>
        </is>
      </c>
      <c r="E13" s="19" t="inlineStr">
        <is>
          <t>2001</t>
        </is>
      </c>
      <c r="F13" s="19" t="n">
        <v>20</v>
      </c>
      <c r="G13" s="19" t="n">
        <v>1</v>
      </c>
      <c r="H13" s="19" t="n">
        <v>16</v>
      </c>
      <c r="I13" s="13">
        <f>G13*H13</f>
        <v>16.0</v>
      </c>
      <c r="J13" s="20">
        <f>4500/1000</f>
        <v>4.5</v>
      </c>
      <c r="K13" s="21">
        <f>I13*J13</f>
        <v>72.0</v>
      </c>
      <c r="L13" s="22">
        <f>F13^2/162</f>
        <v>2.4691358024691357</v>
      </c>
      <c r="M13" s="21">
        <f>K13*L13</f>
        <v>177.77777777777777</v>
      </c>
      <c r="N13" s="22">
        <f>M13/1000</f>
        <v>0.17777777777777778</v>
      </c>
      <c r="O13" s="13" t="inlineStr">
        <is>
          <t>Elevation + BBS length</t>
        </is>
      </c>
    </row>
    <row r="14">
      <c r="A14" s="13" t="n">
        <v>9</v>
      </c>
      <c r="B14" s="13" t="inlineStr">
        <is>
          <t>Columns</t>
        </is>
      </c>
      <c r="C14" s="13" t="inlineStr">
        <is>
          <t>STR-008</t>
        </is>
      </c>
      <c r="D14" s="13" t="inlineStr">
        <is>
          <t>COL-01C (2 nos) 7th to 8th - links</t>
        </is>
      </c>
      <c r="E14" s="19" t="inlineStr">
        <is>
          <t>1001</t>
        </is>
      </c>
      <c r="F14" s="19" t="n">
        <v>10</v>
      </c>
      <c r="G14" s="19" t="n">
        <v>2</v>
      </c>
      <c r="H14" s="19" t="n">
        <v>30</v>
      </c>
      <c r="I14" s="13">
        <f>G14*H14</f>
        <v>60.0</v>
      </c>
      <c r="J14" s="20">
        <f>2330/1000</f>
        <v>2.33</v>
      </c>
      <c r="K14" s="21">
        <f>I14*J14</f>
        <v>139.8</v>
      </c>
      <c r="L14" s="22">
        <f>F14^2/162</f>
        <v>0.6172839506172839</v>
      </c>
      <c r="M14" s="21">
        <f>K14*L14</f>
        <v>86.2962962962963</v>
      </c>
      <c r="N14" s="22">
        <f>M14/1000</f>
        <v>0.0862962962962963</v>
      </c>
      <c r="O14" s="13" t="inlineStr">
        <is>
          <t>Elevation + BBS length</t>
        </is>
      </c>
    </row>
    <row r="15">
      <c r="A15" s="13" t="n">
        <v>10</v>
      </c>
      <c r="B15" s="13" t="inlineStr">
        <is>
          <t>Columns</t>
        </is>
      </c>
      <c r="C15" s="13" t="inlineStr">
        <is>
          <t>STR-008</t>
        </is>
      </c>
      <c r="D15" s="13" t="inlineStr">
        <is>
          <t>COL-01C (2 nos) 7th to 8th - links</t>
        </is>
      </c>
      <c r="E15" s="19" t="inlineStr">
        <is>
          <t>1002</t>
        </is>
      </c>
      <c r="F15" s="19" t="n">
        <v>10</v>
      </c>
      <c r="G15" s="19" t="n">
        <v>2</v>
      </c>
      <c r="H15" s="19" t="n">
        <v>60</v>
      </c>
      <c r="I15" s="13">
        <f>G15*H15</f>
        <v>120.0</v>
      </c>
      <c r="J15" s="20">
        <f>1330/1000</f>
        <v>1.33</v>
      </c>
      <c r="K15" s="21">
        <f>I15*J15</f>
        <v>159.60000000000002</v>
      </c>
      <c r="L15" s="22">
        <f>F15^2/162</f>
        <v>0.6172839506172839</v>
      </c>
      <c r="M15" s="21">
        <f>K15*L15</f>
        <v>98.51851851851853</v>
      </c>
      <c r="N15" s="22">
        <f>M15/1000</f>
        <v>0.09851851851851853</v>
      </c>
      <c r="O15" s="13" t="inlineStr">
        <is>
          <t>Elevation + BBS length</t>
        </is>
      </c>
    </row>
    <row r="16">
      <c r="A16" s="13" t="n">
        <v>11</v>
      </c>
      <c r="B16" s="13" t="inlineStr">
        <is>
          <t>Columns</t>
        </is>
      </c>
      <c r="C16" s="13" t="inlineStr">
        <is>
          <t>STR-008</t>
        </is>
      </c>
      <c r="D16" s="13" t="inlineStr">
        <is>
          <t>COL-01C (2 nos) 7th to 8th - links</t>
        </is>
      </c>
      <c r="E16" s="19" t="inlineStr">
        <is>
          <t>1003</t>
        </is>
      </c>
      <c r="F16" s="19" t="n">
        <v>10</v>
      </c>
      <c r="G16" s="19" t="n">
        <v>2</v>
      </c>
      <c r="H16" s="19" t="n">
        <v>30</v>
      </c>
      <c r="I16" s="13">
        <f>G16*H16</f>
        <v>60.0</v>
      </c>
      <c r="J16" s="20">
        <f>1830/1000</f>
        <v>1.83</v>
      </c>
      <c r="K16" s="21">
        <f>I16*J16</f>
        <v>109.80000000000001</v>
      </c>
      <c r="L16" s="22">
        <f>F16^2/162</f>
        <v>0.6172839506172839</v>
      </c>
      <c r="M16" s="21">
        <f>K16*L16</f>
        <v>67.77777777777779</v>
      </c>
      <c r="N16" s="22">
        <f>M16/1000</f>
        <v>0.06777777777777778</v>
      </c>
      <c r="O16" s="13" t="inlineStr">
        <is>
          <t>Elevation + BBS length</t>
        </is>
      </c>
    </row>
    <row r="17">
      <c r="A17" s="13" t="n">
        <v>12</v>
      </c>
      <c r="B17" s="13" t="inlineStr">
        <is>
          <t>Columns</t>
        </is>
      </c>
      <c r="C17" s="13" t="inlineStr">
        <is>
          <t>STR-008</t>
        </is>
      </c>
      <c r="D17" s="13" t="inlineStr">
        <is>
          <t>COL-01C (2 nos) 7th to 8th - main bars</t>
        </is>
      </c>
      <c r="E17" s="19" t="inlineStr">
        <is>
          <t>2001</t>
        </is>
      </c>
      <c r="F17" s="19" t="n">
        <v>20</v>
      </c>
      <c r="G17" s="19" t="n">
        <v>2</v>
      </c>
      <c r="H17" s="19" t="n">
        <v>16</v>
      </c>
      <c r="I17" s="13">
        <f>G17*H17</f>
        <v>32.0</v>
      </c>
      <c r="J17" s="20">
        <f>4500/1000</f>
        <v>4.5</v>
      </c>
      <c r="K17" s="21">
        <f>I17*J17</f>
        <v>144.0</v>
      </c>
      <c r="L17" s="22">
        <f>F17^2/162</f>
        <v>2.4691358024691357</v>
      </c>
      <c r="M17" s="21">
        <f>K17*L17</f>
        <v>355.55555555555554</v>
      </c>
      <c r="N17" s="22">
        <f>M17/1000</f>
        <v>0.35555555555555557</v>
      </c>
      <c r="O17" s="13" t="inlineStr">
        <is>
          <t>Elevation + BBS length</t>
        </is>
      </c>
    </row>
    <row r="18">
      <c r="A18" s="13" t="n">
        <v>13</v>
      </c>
      <c r="B18" s="13" t="inlineStr">
        <is>
          <t>Columns</t>
        </is>
      </c>
      <c r="C18" s="13" t="inlineStr">
        <is>
          <t>STR-008</t>
        </is>
      </c>
      <c r="D18" s="13" t="inlineStr">
        <is>
          <t>COL-01D (1 nos) 7th to 8th - links</t>
        </is>
      </c>
      <c r="E18" s="19" t="inlineStr">
        <is>
          <t>1001</t>
        </is>
      </c>
      <c r="F18" s="19" t="n">
        <v>10</v>
      </c>
      <c r="G18" s="19" t="n">
        <v>1</v>
      </c>
      <c r="H18" s="19" t="n">
        <v>30</v>
      </c>
      <c r="I18" s="13">
        <f>G18*H18</f>
        <v>30.0</v>
      </c>
      <c r="J18" s="20">
        <f>2330/1000</f>
        <v>2.33</v>
      </c>
      <c r="K18" s="21">
        <f>I18*J18</f>
        <v>69.9</v>
      </c>
      <c r="L18" s="22">
        <f>F18^2/162</f>
        <v>0.6172839506172839</v>
      </c>
      <c r="M18" s="21">
        <f>K18*L18</f>
        <v>43.14814814814815</v>
      </c>
      <c r="N18" s="22">
        <f>M18/1000</f>
        <v>0.04314814814814815</v>
      </c>
      <c r="O18" s="13" t="inlineStr">
        <is>
          <t>Elevation + BBS length</t>
        </is>
      </c>
    </row>
    <row r="19">
      <c r="A19" s="13" t="n">
        <v>14</v>
      </c>
      <c r="B19" s="13" t="inlineStr">
        <is>
          <t>Columns</t>
        </is>
      </c>
      <c r="C19" s="13" t="inlineStr">
        <is>
          <t>STR-008</t>
        </is>
      </c>
      <c r="D19" s="13" t="inlineStr">
        <is>
          <t>COL-01D (1 nos) 7th to 8th - links</t>
        </is>
      </c>
      <c r="E19" s="19" t="inlineStr">
        <is>
          <t>1002</t>
        </is>
      </c>
      <c r="F19" s="19" t="n">
        <v>10</v>
      </c>
      <c r="G19" s="19" t="n">
        <v>1</v>
      </c>
      <c r="H19" s="19" t="n">
        <v>60</v>
      </c>
      <c r="I19" s="13">
        <f>G19*H19</f>
        <v>60.0</v>
      </c>
      <c r="J19" s="20">
        <f>1330/1000</f>
        <v>1.33</v>
      </c>
      <c r="K19" s="21">
        <f>I19*J19</f>
        <v>79.80000000000001</v>
      </c>
      <c r="L19" s="22">
        <f>F19^2/162</f>
        <v>0.6172839506172839</v>
      </c>
      <c r="M19" s="21">
        <f>K19*L19</f>
        <v>49.25925925925927</v>
      </c>
      <c r="N19" s="22">
        <f>M19/1000</f>
        <v>0.049259259259259267</v>
      </c>
      <c r="O19" s="13" t="inlineStr">
        <is>
          <t>Elevation + BBS length</t>
        </is>
      </c>
    </row>
    <row r="20">
      <c r="A20" s="13" t="n">
        <v>15</v>
      </c>
      <c r="B20" s="13" t="inlineStr">
        <is>
          <t>Columns</t>
        </is>
      </c>
      <c r="C20" s="13" t="inlineStr">
        <is>
          <t>STR-008</t>
        </is>
      </c>
      <c r="D20" s="13" t="inlineStr">
        <is>
          <t>COL-01D (1 nos) 7th to 8th - links</t>
        </is>
      </c>
      <c r="E20" s="19" t="inlineStr">
        <is>
          <t>1003</t>
        </is>
      </c>
      <c r="F20" s="19" t="n">
        <v>10</v>
      </c>
      <c r="G20" s="19" t="n">
        <v>1</v>
      </c>
      <c r="H20" s="19" t="n">
        <v>30</v>
      </c>
      <c r="I20" s="13">
        <f>G20*H20</f>
        <v>30.0</v>
      </c>
      <c r="J20" s="20">
        <f>1830/1000</f>
        <v>1.83</v>
      </c>
      <c r="K20" s="21">
        <f>I20*J20</f>
        <v>54.900000000000006</v>
      </c>
      <c r="L20" s="22">
        <f>F20^2/162</f>
        <v>0.6172839506172839</v>
      </c>
      <c r="M20" s="21">
        <f>K20*L20</f>
        <v>33.88888888888889</v>
      </c>
      <c r="N20" s="22">
        <f>M20/1000</f>
        <v>0.03388888888888889</v>
      </c>
      <c r="O20" s="13" t="inlineStr">
        <is>
          <t>Elevation + BBS length</t>
        </is>
      </c>
    </row>
    <row r="21">
      <c r="A21" s="13" t="n">
        <v>16</v>
      </c>
      <c r="B21" s="13" t="inlineStr">
        <is>
          <t>Columns</t>
        </is>
      </c>
      <c r="C21" s="13" t="inlineStr">
        <is>
          <t>STR-008</t>
        </is>
      </c>
      <c r="D21" s="13" t="inlineStr">
        <is>
          <t>COL-01D (1 nos) 7th to 8th - main bars</t>
        </is>
      </c>
      <c r="E21" s="19" t="inlineStr">
        <is>
          <t>2001</t>
        </is>
      </c>
      <c r="F21" s="19" t="n">
        <v>20</v>
      </c>
      <c r="G21" s="19" t="n">
        <v>1</v>
      </c>
      <c r="H21" s="19" t="n">
        <v>16</v>
      </c>
      <c r="I21" s="13">
        <f>G21*H21</f>
        <v>16.0</v>
      </c>
      <c r="J21" s="20">
        <f>4500/1000</f>
        <v>4.5</v>
      </c>
      <c r="K21" s="21">
        <f>I21*J21</f>
        <v>72.0</v>
      </c>
      <c r="L21" s="22">
        <f>F21^2/162</f>
        <v>2.4691358024691357</v>
      </c>
      <c r="M21" s="21">
        <f>K21*L21</f>
        <v>177.77777777777777</v>
      </c>
      <c r="N21" s="22">
        <f>M21/1000</f>
        <v>0.17777777777777778</v>
      </c>
      <c r="O21" s="13" t="inlineStr">
        <is>
          <t>Elevation + BBS length</t>
        </is>
      </c>
    </row>
    <row r="22">
      <c r="A22" s="13" t="n">
        <v>17</v>
      </c>
      <c r="B22" s="13" t="inlineStr">
        <is>
          <t>Columns</t>
        </is>
      </c>
      <c r="C22" s="13" t="inlineStr">
        <is>
          <t>STR-010</t>
        </is>
      </c>
      <c r="D22" s="13" t="inlineStr">
        <is>
          <t>COL-02A (3 nos) 7th to 8th - links</t>
        </is>
      </c>
      <c r="E22" s="19" t="inlineStr">
        <is>
          <t>1004</t>
        </is>
      </c>
      <c r="F22" s="19" t="n">
        <v>10</v>
      </c>
      <c r="G22" s="19" t="n">
        <v>3</v>
      </c>
      <c r="H22" s="19" t="n">
        <v>30</v>
      </c>
      <c r="I22" s="13">
        <f>G22*H22</f>
        <v>90.0</v>
      </c>
      <c r="J22" s="20">
        <f>2910/1000</f>
        <v>2.91</v>
      </c>
      <c r="K22" s="21">
        <f>I22*J22</f>
        <v>261.90000000000003</v>
      </c>
      <c r="L22" s="22">
        <f>F22^2/162</f>
        <v>0.6172839506172839</v>
      </c>
      <c r="M22" s="21">
        <f>K22*L22</f>
        <v>161.66666666666669</v>
      </c>
      <c r="N22" s="22">
        <f>M22/1000</f>
        <v>0.16166666666666668</v>
      </c>
      <c r="O22" s="13" t="inlineStr">
        <is>
          <t>Elevation + BBS length</t>
        </is>
      </c>
    </row>
    <row r="23">
      <c r="A23" s="13" t="n">
        <v>18</v>
      </c>
      <c r="B23" s="13" t="inlineStr">
        <is>
          <t>Columns</t>
        </is>
      </c>
      <c r="C23" s="13" t="inlineStr">
        <is>
          <t>STR-010</t>
        </is>
      </c>
      <c r="D23" s="13" t="inlineStr">
        <is>
          <t>COL-02A (3 nos) 7th to 8th - links</t>
        </is>
      </c>
      <c r="E23" s="19" t="inlineStr">
        <is>
          <t>1005</t>
        </is>
      </c>
      <c r="F23" s="19" t="n">
        <v>10</v>
      </c>
      <c r="G23" s="19" t="n">
        <v>3</v>
      </c>
      <c r="H23" s="19">
        <f>5*30</f>
        <v>150.0</v>
      </c>
      <c r="I23" s="13">
        <f>G23*H23</f>
        <v>450.0</v>
      </c>
      <c r="J23" s="20">
        <f>1008/1000</f>
        <v>1.008</v>
      </c>
      <c r="K23" s="21">
        <f>I23*J23</f>
        <v>453.6</v>
      </c>
      <c r="L23" s="22">
        <f>F23^2/162</f>
        <v>0.6172839506172839</v>
      </c>
      <c r="M23" s="21">
        <f>K23*L23</f>
        <v>280.0</v>
      </c>
      <c r="N23" s="22">
        <f>M23/1000</f>
        <v>0.28</v>
      </c>
      <c r="O23" s="13" t="inlineStr">
        <is>
          <t>Elevation + BBS length</t>
        </is>
      </c>
    </row>
    <row r="24">
      <c r="A24" s="13" t="n">
        <v>19</v>
      </c>
      <c r="B24" s="13" t="inlineStr">
        <is>
          <t>Columns</t>
        </is>
      </c>
      <c r="C24" s="13" t="inlineStr">
        <is>
          <t>STR-010</t>
        </is>
      </c>
      <c r="D24" s="13" t="inlineStr">
        <is>
          <t>COL-02A (3 nos) 7th to 8th - main bars</t>
        </is>
      </c>
      <c r="E24" s="19" t="inlineStr">
        <is>
          <t>2001</t>
        </is>
      </c>
      <c r="F24" s="19" t="n">
        <v>20</v>
      </c>
      <c r="G24" s="19" t="n">
        <v>3</v>
      </c>
      <c r="H24" s="19" t="n">
        <v>18</v>
      </c>
      <c r="I24" s="13">
        <f>G24*H24</f>
        <v>54.0</v>
      </c>
      <c r="J24" s="20">
        <f>4500/1000</f>
        <v>4.5</v>
      </c>
      <c r="K24" s="21">
        <f>I24*J24</f>
        <v>243.0</v>
      </c>
      <c r="L24" s="22">
        <f>F24^2/162</f>
        <v>2.4691358024691357</v>
      </c>
      <c r="M24" s="21">
        <f>K24*L24</f>
        <v>600.0</v>
      </c>
      <c r="N24" s="22">
        <f>M24/1000</f>
        <v>0.6</v>
      </c>
      <c r="O24" s="13" t="inlineStr">
        <is>
          <t>Elevation + BBS length</t>
        </is>
      </c>
    </row>
    <row r="25">
      <c r="A25" s="13" t="n">
        <v>20</v>
      </c>
      <c r="B25" s="13" t="inlineStr">
        <is>
          <t>Columns</t>
        </is>
      </c>
      <c r="C25" s="13" t="inlineStr">
        <is>
          <t>STR-010</t>
        </is>
      </c>
      <c r="D25" s="13" t="inlineStr">
        <is>
          <t>COL-02B (6 nos) 7th to 8th - links</t>
        </is>
      </c>
      <c r="E25" s="19" t="inlineStr">
        <is>
          <t>1004</t>
        </is>
      </c>
      <c r="F25" s="19" t="n">
        <v>10</v>
      </c>
      <c r="G25" s="19" t="n">
        <v>6</v>
      </c>
      <c r="H25" s="19" t="n">
        <v>30</v>
      </c>
      <c r="I25" s="13">
        <f>G25*H25</f>
        <v>180.0</v>
      </c>
      <c r="J25" s="20">
        <f>2910/1000</f>
        <v>2.91</v>
      </c>
      <c r="K25" s="21">
        <f>I25*J25</f>
        <v>523.8000000000001</v>
      </c>
      <c r="L25" s="22">
        <f>F25^2/162</f>
        <v>0.6172839506172839</v>
      </c>
      <c r="M25" s="21">
        <f>K25*L25</f>
        <v>323.33333333333337</v>
      </c>
      <c r="N25" s="22">
        <f>M25/1000</f>
        <v>0.32333333333333336</v>
      </c>
      <c r="O25" s="13" t="inlineStr">
        <is>
          <t>Elevation + BBS length</t>
        </is>
      </c>
    </row>
    <row r="26">
      <c r="A26" s="13" t="n">
        <v>21</v>
      </c>
      <c r="B26" s="13" t="inlineStr">
        <is>
          <t>Columns</t>
        </is>
      </c>
      <c r="C26" s="13" t="inlineStr">
        <is>
          <t>STR-010</t>
        </is>
      </c>
      <c r="D26" s="13" t="inlineStr">
        <is>
          <t>COL-02B (6 nos) 7th to 8th - links</t>
        </is>
      </c>
      <c r="E26" s="19" t="inlineStr">
        <is>
          <t>1005</t>
        </is>
      </c>
      <c r="F26" s="19" t="n">
        <v>10</v>
      </c>
      <c r="G26" s="19" t="n">
        <v>6</v>
      </c>
      <c r="H26" s="19">
        <f>5*30</f>
        <v>150.0</v>
      </c>
      <c r="I26" s="13">
        <f>G26*H26</f>
        <v>900.0</v>
      </c>
      <c r="J26" s="20">
        <f>1008/1000</f>
        <v>1.008</v>
      </c>
      <c r="K26" s="21">
        <f>I26*J26</f>
        <v>907.2</v>
      </c>
      <c r="L26" s="22">
        <f>F26^2/162</f>
        <v>0.6172839506172839</v>
      </c>
      <c r="M26" s="21">
        <f>K26*L26</f>
        <v>560.0</v>
      </c>
      <c r="N26" s="22">
        <f>M26/1000</f>
        <v>0.56</v>
      </c>
      <c r="O26" s="13" t="inlineStr">
        <is>
          <t>Elevation + BBS length</t>
        </is>
      </c>
    </row>
    <row r="27">
      <c r="A27" s="13" t="n">
        <v>22</v>
      </c>
      <c r="B27" s="13" t="inlineStr">
        <is>
          <t>Columns</t>
        </is>
      </c>
      <c r="C27" s="13" t="inlineStr">
        <is>
          <t>STR-010</t>
        </is>
      </c>
      <c r="D27" s="13" t="inlineStr">
        <is>
          <t>COL-02B (6 nos) 7th to 8th - main bars</t>
        </is>
      </c>
      <c r="E27" s="19" t="inlineStr">
        <is>
          <t>2001</t>
        </is>
      </c>
      <c r="F27" s="19" t="n">
        <v>20</v>
      </c>
      <c r="G27" s="19" t="n">
        <v>6</v>
      </c>
      <c r="H27" s="19" t="n">
        <v>18</v>
      </c>
      <c r="I27" s="13">
        <f>G27*H27</f>
        <v>108.0</v>
      </c>
      <c r="J27" s="20">
        <f>4500/1000</f>
        <v>4.5</v>
      </c>
      <c r="K27" s="21">
        <f>I27*J27</f>
        <v>486.0</v>
      </c>
      <c r="L27" s="22">
        <f>F27^2/162</f>
        <v>2.4691358024691357</v>
      </c>
      <c r="M27" s="21">
        <f>K27*L27</f>
        <v>1200.0</v>
      </c>
      <c r="N27" s="22">
        <f>M27/1000</f>
        <v>1.2</v>
      </c>
      <c r="O27" s="13" t="inlineStr">
        <is>
          <t>Elevation + BBS length</t>
        </is>
      </c>
    </row>
    <row r="28">
      <c r="A28" s="13" t="n">
        <v>23</v>
      </c>
      <c r="B28" s="13" t="inlineStr">
        <is>
          <t>Columns</t>
        </is>
      </c>
      <c r="C28" s="13" t="inlineStr">
        <is>
          <t>STR-011</t>
        </is>
      </c>
      <c r="D28" s="13" t="inlineStr">
        <is>
          <t>COL-02C (1 nos) 7th to 8th - links</t>
        </is>
      </c>
      <c r="E28" s="19" t="inlineStr">
        <is>
          <t>1004</t>
        </is>
      </c>
      <c r="F28" s="19" t="n">
        <v>10</v>
      </c>
      <c r="G28" s="19" t="n">
        <v>1</v>
      </c>
      <c r="H28" s="19" t="n">
        <v>30</v>
      </c>
      <c r="I28" s="13">
        <f>G28*H28</f>
        <v>30.0</v>
      </c>
      <c r="J28" s="20">
        <f>2910/1000</f>
        <v>2.91</v>
      </c>
      <c r="K28" s="21">
        <f>I28*J28</f>
        <v>87.30000000000001</v>
      </c>
      <c r="L28" s="22">
        <f>F28^2/162</f>
        <v>0.6172839506172839</v>
      </c>
      <c r="M28" s="21">
        <f>K28*L28</f>
        <v>53.88888888888889</v>
      </c>
      <c r="N28" s="22">
        <f>M28/1000</f>
        <v>0.053888888888888896</v>
      </c>
      <c r="O28" s="13" t="inlineStr">
        <is>
          <t>Elevation + BBS length</t>
        </is>
      </c>
    </row>
    <row r="29">
      <c r="A29" s="13" t="n">
        <v>24</v>
      </c>
      <c r="B29" s="13" t="inlineStr">
        <is>
          <t>Columns</t>
        </is>
      </c>
      <c r="C29" s="13" t="inlineStr">
        <is>
          <t>STR-011</t>
        </is>
      </c>
      <c r="D29" s="13" t="inlineStr">
        <is>
          <t>COL-02C (1 nos) 7th to 8th - links</t>
        </is>
      </c>
      <c r="E29" s="19" t="inlineStr">
        <is>
          <t>1005</t>
        </is>
      </c>
      <c r="F29" s="19" t="n">
        <v>10</v>
      </c>
      <c r="G29" s="19" t="n">
        <v>1</v>
      </c>
      <c r="H29" s="19">
        <f>3*30</f>
        <v>90.0</v>
      </c>
      <c r="I29" s="13">
        <f>G29*H29</f>
        <v>90.0</v>
      </c>
      <c r="J29" s="20">
        <f>1008/1000</f>
        <v>1.008</v>
      </c>
      <c r="K29" s="21">
        <f>I29*J29</f>
        <v>90.72</v>
      </c>
      <c r="L29" s="22">
        <f>F29^2/162</f>
        <v>0.6172839506172839</v>
      </c>
      <c r="M29" s="21">
        <f>K29*L29</f>
        <v>55.99999999999999</v>
      </c>
      <c r="N29" s="22">
        <f>M29/1000</f>
        <v>0.055999999999999994</v>
      </c>
      <c r="O29" s="13" t="inlineStr">
        <is>
          <t>Elevation + BBS length</t>
        </is>
      </c>
    </row>
    <row r="30">
      <c r="A30" s="13" t="n">
        <v>25</v>
      </c>
      <c r="B30" s="13" t="inlineStr">
        <is>
          <t>Columns</t>
        </is>
      </c>
      <c r="C30" s="13" t="inlineStr">
        <is>
          <t>STR-011</t>
        </is>
      </c>
      <c r="D30" s="13" t="inlineStr">
        <is>
          <t>COL-02C (1 nos) 7th to 8th - main bars</t>
        </is>
      </c>
      <c r="E30" s="19" t="inlineStr">
        <is>
          <t>2001</t>
        </is>
      </c>
      <c r="F30" s="19" t="n">
        <v>20</v>
      </c>
      <c r="G30" s="19" t="n">
        <v>1</v>
      </c>
      <c r="H30" s="19" t="n">
        <v>18</v>
      </c>
      <c r="I30" s="13">
        <f>G30*H30</f>
        <v>18.0</v>
      </c>
      <c r="J30" s="20">
        <f>4500/1000</f>
        <v>4.5</v>
      </c>
      <c r="K30" s="21">
        <f>I30*J30</f>
        <v>81.0</v>
      </c>
      <c r="L30" s="22">
        <f>F30^2/162</f>
        <v>2.4691358024691357</v>
      </c>
      <c r="M30" s="21">
        <f>K30*L30</f>
        <v>200.0</v>
      </c>
      <c r="N30" s="22">
        <f>M30/1000</f>
        <v>0.2</v>
      </c>
      <c r="O30" s="13" t="inlineStr">
        <is>
          <t>Elevation + BBS length</t>
        </is>
      </c>
    </row>
    <row r="31">
      <c r="A31" s="13" t="n">
        <v>26</v>
      </c>
      <c r="B31" s="13" t="inlineStr">
        <is>
          <t>Columns</t>
        </is>
      </c>
      <c r="C31" s="13" t="inlineStr">
        <is>
          <t>STR-011</t>
        </is>
      </c>
      <c r="D31" s="13" t="inlineStr">
        <is>
          <t>COL-02D (15 nos) 7th to 8th - links</t>
        </is>
      </c>
      <c r="E31" s="19" t="inlineStr">
        <is>
          <t>1004</t>
        </is>
      </c>
      <c r="F31" s="19" t="n">
        <v>10</v>
      </c>
      <c r="G31" s="19" t="n">
        <v>15</v>
      </c>
      <c r="H31" s="19" t="n">
        <v>30</v>
      </c>
      <c r="I31" s="13">
        <f>G31*H31</f>
        <v>450.0</v>
      </c>
      <c r="J31" s="20">
        <f>2910/1000</f>
        <v>2.91</v>
      </c>
      <c r="K31" s="21">
        <f>I31*J31</f>
        <v>1309.5</v>
      </c>
      <c r="L31" s="22">
        <f>F31^2/162</f>
        <v>0.6172839506172839</v>
      </c>
      <c r="M31" s="21">
        <f>K31*L31</f>
        <v>808.3333333333333</v>
      </c>
      <c r="N31" s="22">
        <f>M31/1000</f>
        <v>0.8083333333333332</v>
      </c>
      <c r="O31" s="13" t="inlineStr">
        <is>
          <t>Elevation + BBS length</t>
        </is>
      </c>
    </row>
    <row r="32">
      <c r="A32" s="13" t="n">
        <v>27</v>
      </c>
      <c r="B32" s="13" t="inlineStr">
        <is>
          <t>Columns</t>
        </is>
      </c>
      <c r="C32" s="13" t="inlineStr">
        <is>
          <t>STR-011</t>
        </is>
      </c>
      <c r="D32" s="13" t="inlineStr">
        <is>
          <t>COL-02D (15 nos) 7th to 8th - links</t>
        </is>
      </c>
      <c r="E32" s="19" t="inlineStr">
        <is>
          <t>1005</t>
        </is>
      </c>
      <c r="F32" s="19" t="n">
        <v>10</v>
      </c>
      <c r="G32" s="19" t="n">
        <v>15</v>
      </c>
      <c r="H32" s="19">
        <f>3*30</f>
        <v>90.0</v>
      </c>
      <c r="I32" s="13">
        <f>G32*H32</f>
        <v>1350.0</v>
      </c>
      <c r="J32" s="20">
        <f>1008/1000</f>
        <v>1.008</v>
      </c>
      <c r="K32" s="21">
        <f>I32*J32</f>
        <v>1360.8</v>
      </c>
      <c r="L32" s="22">
        <f>F32^2/162</f>
        <v>0.6172839506172839</v>
      </c>
      <c r="M32" s="21">
        <f>K32*L32</f>
        <v>839.9999999999999</v>
      </c>
      <c r="N32" s="22">
        <f>M32/1000</f>
        <v>0.8399999999999999</v>
      </c>
      <c r="O32" s="13" t="inlineStr">
        <is>
          <t>Elevation + BBS length</t>
        </is>
      </c>
    </row>
    <row r="33">
      <c r="A33" s="13" t="n">
        <v>28</v>
      </c>
      <c r="B33" s="13" t="inlineStr">
        <is>
          <t>Columns</t>
        </is>
      </c>
      <c r="C33" s="13" t="inlineStr">
        <is>
          <t>STR-011</t>
        </is>
      </c>
      <c r="D33" s="13" t="inlineStr">
        <is>
          <t>COL-02D (15 nos) 7th to 8th - main bars</t>
        </is>
      </c>
      <c r="E33" s="19" t="inlineStr">
        <is>
          <t>2001</t>
        </is>
      </c>
      <c r="F33" s="19" t="n">
        <v>20</v>
      </c>
      <c r="G33" s="19" t="n">
        <v>15</v>
      </c>
      <c r="H33" s="19" t="n">
        <v>18</v>
      </c>
      <c r="I33" s="13">
        <f>G33*H33</f>
        <v>270.0</v>
      </c>
      <c r="J33" s="20">
        <f>4500/1000</f>
        <v>4.5</v>
      </c>
      <c r="K33" s="21">
        <f>I33*J33</f>
        <v>1215.0</v>
      </c>
      <c r="L33" s="22">
        <f>F33^2/162</f>
        <v>2.4691358024691357</v>
      </c>
      <c r="M33" s="21">
        <f>K33*L33</f>
        <v>3000.0</v>
      </c>
      <c r="N33" s="22">
        <f>M33/1000</f>
        <v>3.0</v>
      </c>
      <c r="O33" s="13" t="inlineStr">
        <is>
          <t>Elevation + BBS length</t>
        </is>
      </c>
    </row>
    <row r="34">
      <c r="A34" s="13" t="n">
        <v>29</v>
      </c>
      <c r="B34" s="13" t="inlineStr">
        <is>
          <t>Columns</t>
        </is>
      </c>
      <c r="C34" s="13" t="inlineStr">
        <is>
          <t>STR-012</t>
        </is>
      </c>
      <c r="D34" s="13" t="inlineStr">
        <is>
          <t>SWC-01A (1 nos) 7th to 8th - links</t>
        </is>
      </c>
      <c r="E34" s="19" t="inlineStr">
        <is>
          <t>1001</t>
        </is>
      </c>
      <c r="F34" s="19" t="n">
        <v>10</v>
      </c>
      <c r="G34" s="19" t="n">
        <v>1</v>
      </c>
      <c r="H34" s="19" t="n">
        <v>30</v>
      </c>
      <c r="I34" s="13">
        <f>G34*H34</f>
        <v>30.0</v>
      </c>
      <c r="J34" s="20">
        <f>5930/1000</f>
        <v>5.93</v>
      </c>
      <c r="K34" s="21">
        <f>I34*J34</f>
        <v>177.89999999999998</v>
      </c>
      <c r="L34" s="22">
        <f>F34^2/162</f>
        <v>0.6172839506172839</v>
      </c>
      <c r="M34" s="21">
        <f>K34*L34</f>
        <v>109.8148148148148</v>
      </c>
      <c r="N34" s="22">
        <f>M34/1000</f>
        <v>0.1098148148148148</v>
      </c>
      <c r="O34" s="13" t="inlineStr">
        <is>
          <t>Elevation + BBS length</t>
        </is>
      </c>
    </row>
    <row r="35">
      <c r="A35" s="13" t="n">
        <v>30</v>
      </c>
      <c r="B35" s="13" t="inlineStr">
        <is>
          <t>Columns</t>
        </is>
      </c>
      <c r="C35" s="13" t="inlineStr">
        <is>
          <t>STR-012</t>
        </is>
      </c>
      <c r="D35" s="13" t="inlineStr">
        <is>
          <t>SWC-01A (1 nos) 7th to 8th - links</t>
        </is>
      </c>
      <c r="E35" s="19" t="inlineStr">
        <is>
          <t>1002</t>
        </is>
      </c>
      <c r="F35" s="19" t="n">
        <v>10</v>
      </c>
      <c r="G35" s="19" t="n">
        <v>1</v>
      </c>
      <c r="H35" s="19" t="n">
        <v>30</v>
      </c>
      <c r="I35" s="13">
        <f>G35*H35</f>
        <v>30.0</v>
      </c>
      <c r="J35" s="20">
        <f>2480/1000</f>
        <v>2.48</v>
      </c>
      <c r="K35" s="21">
        <f>I35*J35</f>
        <v>74.4</v>
      </c>
      <c r="L35" s="22">
        <f>F35^2/162</f>
        <v>0.6172839506172839</v>
      </c>
      <c r="M35" s="21">
        <f>K35*L35</f>
        <v>45.925925925925924</v>
      </c>
      <c r="N35" s="22">
        <f>M35/1000</f>
        <v>0.045925925925925926</v>
      </c>
      <c r="O35" s="13" t="inlineStr">
        <is>
          <t>Elevation + BBS length</t>
        </is>
      </c>
    </row>
    <row r="36">
      <c r="A36" s="13" t="n">
        <v>31</v>
      </c>
      <c r="B36" s="13" t="inlineStr">
        <is>
          <t>Columns</t>
        </is>
      </c>
      <c r="C36" s="13" t="inlineStr">
        <is>
          <t>STR-012</t>
        </is>
      </c>
      <c r="D36" s="13" t="inlineStr">
        <is>
          <t>SWC-01A (1 nos) 7th to 8th - links</t>
        </is>
      </c>
      <c r="E36" s="19" t="inlineStr">
        <is>
          <t>1003</t>
        </is>
      </c>
      <c r="F36" s="19" t="n">
        <v>10</v>
      </c>
      <c r="G36" s="19" t="n">
        <v>1</v>
      </c>
      <c r="H36" s="19">
        <f>7*30</f>
        <v>210.0</v>
      </c>
      <c r="I36" s="13">
        <f>G36*H36</f>
        <v>210.0</v>
      </c>
      <c r="J36" s="20">
        <f>910/1000</f>
        <v>0.91</v>
      </c>
      <c r="K36" s="21">
        <f>I36*J36</f>
        <v>191.1</v>
      </c>
      <c r="L36" s="22">
        <f>F36^2/162</f>
        <v>0.6172839506172839</v>
      </c>
      <c r="M36" s="21">
        <f>K36*L36</f>
        <v>117.96296296296295</v>
      </c>
      <c r="N36" s="22">
        <f>M36/1000</f>
        <v>0.11796296296296295</v>
      </c>
      <c r="O36" s="13" t="inlineStr">
        <is>
          <t>Elevation + BBS length</t>
        </is>
      </c>
    </row>
    <row r="37">
      <c r="A37" s="13" t="n">
        <v>32</v>
      </c>
      <c r="B37" s="13" t="inlineStr">
        <is>
          <t>Columns</t>
        </is>
      </c>
      <c r="C37" s="13" t="inlineStr">
        <is>
          <t>STR-012</t>
        </is>
      </c>
      <c r="D37" s="13" t="inlineStr">
        <is>
          <t>SWC-01A (1 nos) 7th to 8th - links</t>
        </is>
      </c>
      <c r="E37" s="19" t="inlineStr">
        <is>
          <t>1004</t>
        </is>
      </c>
      <c r="F37" s="19" t="n">
        <v>10</v>
      </c>
      <c r="G37" s="19" t="n">
        <v>1</v>
      </c>
      <c r="H37" s="19">
        <f>4*30</f>
        <v>120.0</v>
      </c>
      <c r="I37" s="13">
        <f>G37*H37</f>
        <v>120.0</v>
      </c>
      <c r="J37" s="20">
        <f>770/1000</f>
        <v>0.77</v>
      </c>
      <c r="K37" s="21">
        <f>I37*J37</f>
        <v>92.4</v>
      </c>
      <c r="L37" s="22">
        <f>F37^2/162</f>
        <v>0.6172839506172839</v>
      </c>
      <c r="M37" s="21">
        <f>K37*L37</f>
        <v>57.03703703703704</v>
      </c>
      <c r="N37" s="22">
        <f>M37/1000</f>
        <v>0.05703703703703704</v>
      </c>
      <c r="O37" s="13" t="inlineStr">
        <is>
          <t>Elevation + BBS length</t>
        </is>
      </c>
    </row>
    <row r="38">
      <c r="A38" s="13" t="n">
        <v>33</v>
      </c>
      <c r="B38" s="13" t="inlineStr">
        <is>
          <t>Columns</t>
        </is>
      </c>
      <c r="C38" s="13" t="inlineStr">
        <is>
          <t>STR-012</t>
        </is>
      </c>
      <c r="D38" s="13" t="inlineStr">
        <is>
          <t>SWC-01A (1 nos) 7th to 8th - main bars</t>
        </is>
      </c>
      <c r="E38" s="19" t="inlineStr">
        <is>
          <t>2001</t>
        </is>
      </c>
      <c r="F38" s="19" t="n">
        <v>20</v>
      </c>
      <c r="G38" s="19" t="n">
        <v>1</v>
      </c>
      <c r="H38" s="19" t="n">
        <v>48</v>
      </c>
      <c r="I38" s="13">
        <f>G38*H38</f>
        <v>48.0</v>
      </c>
      <c r="J38" s="20">
        <f>4500/1000</f>
        <v>4.5</v>
      </c>
      <c r="K38" s="21">
        <f>I38*J38</f>
        <v>216.0</v>
      </c>
      <c r="L38" s="22">
        <f>F38^2/162</f>
        <v>2.4691358024691357</v>
      </c>
      <c r="M38" s="21">
        <f>K38*L38</f>
        <v>533.3333333333333</v>
      </c>
      <c r="N38" s="22">
        <f>M38/1000</f>
        <v>0.5333333333333332</v>
      </c>
      <c r="O38" s="13" t="inlineStr">
        <is>
          <t>Elevation + BBS length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STR-015/016</t>
        </is>
      </c>
      <c r="D39" s="13" t="inlineStr">
        <is>
          <t>Main core CW-01 (L=3600mm) 7th to 8th - horizontal Y12@150 NF/FF</t>
        </is>
      </c>
      <c r="E39" s="19" t="inlineStr">
        <is>
          <t>H-Y12</t>
        </is>
      </c>
      <c r="F39" s="19" t="n">
        <v>12</v>
      </c>
      <c r="G39" s="19" t="n">
        <v>1</v>
      </c>
      <c r="H39" s="19">
        <f>2*20</f>
        <v>40.0</v>
      </c>
      <c r="I39" s="13">
        <f>G39*H39</f>
        <v>40.0</v>
      </c>
      <c r="J39" s="20">
        <f>(3600-2*30+40*12)/1000</f>
        <v>4.02</v>
      </c>
      <c r="K39" s="21">
        <f>I39*J39</f>
        <v>160.79999999999998</v>
      </c>
      <c r="L39" s="22">
        <f>F39^2/162</f>
        <v>0.8888888888888888</v>
      </c>
      <c r="M39" s="21">
        <f>K39*L39</f>
        <v>142.9333333333333</v>
      </c>
      <c r="N39" s="22">
        <f>M39/1000</f>
        <v>0.1429333333333333</v>
      </c>
      <c r="O39" s="13" t="inlineStr">
        <is>
          <t>Elevation count / plan length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STR-015/016</t>
        </is>
      </c>
      <c r="D40" s="13" t="inlineStr">
        <is>
          <t>Main core CW-01 7th to 8th - vertical Y20@150 NF/FF</t>
        </is>
      </c>
      <c r="E40" s="19" t="inlineStr">
        <is>
          <t>V-Y20</t>
        </is>
      </c>
      <c r="F40" s="19" t="n">
        <v>20</v>
      </c>
      <c r="G40" s="19" t="n">
        <v>1</v>
      </c>
      <c r="H40" s="19">
        <f>2*29</f>
        <v>58.0</v>
      </c>
      <c r="I40" s="13">
        <f>G40*H40</f>
        <v>58.0</v>
      </c>
      <c r="J40" s="20">
        <f>(3300+40*20)/1000</f>
        <v>4.1</v>
      </c>
      <c r="K40" s="21">
        <f>I40*J40</f>
        <v>237.79999999999998</v>
      </c>
      <c r="L40" s="22">
        <f>F40^2/162</f>
        <v>2.4691358024691357</v>
      </c>
      <c r="M40" s="21">
        <f>K40*L40</f>
        <v>587.1604938271604</v>
      </c>
      <c r="N40" s="22">
        <f>M40/1000</f>
        <v>0.5871604938271604</v>
      </c>
      <c r="O40" s="13" t="inlineStr">
        <is>
          <t>Elevation / plan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STR-015/016</t>
        </is>
      </c>
      <c r="D41" s="13" t="inlineStr">
        <is>
          <t>Main core CW-05 (L=7250mm) 7th to 8th - horizontal Y12@150 NF/FF</t>
        </is>
      </c>
      <c r="E41" s="19" t="inlineStr">
        <is>
          <t>H-Y12</t>
        </is>
      </c>
      <c r="F41" s="19" t="n">
        <v>12</v>
      </c>
      <c r="G41" s="19" t="n">
        <v>1</v>
      </c>
      <c r="H41" s="19">
        <f>2*20</f>
        <v>40.0</v>
      </c>
      <c r="I41" s="13">
        <f>G41*H41</f>
        <v>40.0</v>
      </c>
      <c r="J41" s="20">
        <f>(7250-2*30+40*12)/1000</f>
        <v>7.67</v>
      </c>
      <c r="K41" s="21">
        <f>I41*J41</f>
        <v>306.8</v>
      </c>
      <c r="L41" s="22">
        <f>F41^2/162</f>
        <v>0.8888888888888888</v>
      </c>
      <c r="M41" s="21">
        <f>K41*L41</f>
        <v>272.7111111111111</v>
      </c>
      <c r="N41" s="22">
        <f>M41/1000</f>
        <v>0.2727111111111111</v>
      </c>
      <c r="O41" s="13" t="inlineStr">
        <is>
          <t>Elevation count / plan length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STR-015/016</t>
        </is>
      </c>
      <c r="D42" s="13" t="inlineStr">
        <is>
          <t>Main core CW-05 7th to 8th - vertical Y20@150 NF/FF</t>
        </is>
      </c>
      <c r="E42" s="19" t="inlineStr">
        <is>
          <t>V-Y20</t>
        </is>
      </c>
      <c r="F42" s="19" t="n">
        <v>20</v>
      </c>
      <c r="G42" s="19" t="n">
        <v>1</v>
      </c>
      <c r="H42" s="19">
        <f>2*(ROUNDUP(7250/150,0)+1)</f>
        <v>100.0</v>
      </c>
      <c r="I42" s="13">
        <f>G42*H42</f>
        <v>100.0</v>
      </c>
      <c r="J42" s="20">
        <f>(3300+40*20)/1000</f>
        <v>4.1</v>
      </c>
      <c r="K42" s="21">
        <f>I42*J42</f>
        <v>409.99999999999994</v>
      </c>
      <c r="L42" s="22">
        <f>F42^2/162</f>
        <v>2.4691358024691357</v>
      </c>
      <c r="M42" s="21">
        <f>K42*L42</f>
        <v>1012.3456790123455</v>
      </c>
      <c r="N42" s="22">
        <f>M42/1000</f>
        <v>1.0123456790123455</v>
      </c>
      <c r="O42" s="13" t="inlineStr">
        <is>
          <t>Elevation / plan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STR-015/016</t>
        </is>
      </c>
      <c r="D43" s="13" t="inlineStr">
        <is>
          <t>Main core CW-07 (stair section) (L=7250mm) 7th to 8th - horizontal Y12@150 NF/FF</t>
        </is>
      </c>
      <c r="E43" s="19" t="inlineStr">
        <is>
          <t>H-Y12</t>
        </is>
      </c>
      <c r="F43" s="19" t="n">
        <v>12</v>
      </c>
      <c r="G43" s="19" t="n">
        <v>1</v>
      </c>
      <c r="H43" s="19">
        <f>2*20</f>
        <v>40.0</v>
      </c>
      <c r="I43" s="13">
        <f>G43*H43</f>
        <v>40.0</v>
      </c>
      <c r="J43" s="20">
        <f>(7250-2*30+40*12)/1000</f>
        <v>7.67</v>
      </c>
      <c r="K43" s="21">
        <f>I43*J43</f>
        <v>306.8</v>
      </c>
      <c r="L43" s="22">
        <f>F43^2/162</f>
        <v>0.8888888888888888</v>
      </c>
      <c r="M43" s="21">
        <f>K43*L43</f>
        <v>272.7111111111111</v>
      </c>
      <c r="N43" s="22">
        <f>M43/1000</f>
        <v>0.2727111111111111</v>
      </c>
      <c r="O43" s="13" t="inlineStr">
        <is>
          <t>Elevation count / plan length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STR-015/016</t>
        </is>
      </c>
      <c r="D44" s="13" t="inlineStr">
        <is>
          <t>Main core CW-07 (stair section) 7th to 8th - vertical Y20@150 NF/FF</t>
        </is>
      </c>
      <c r="E44" s="19" t="inlineStr">
        <is>
          <t>V-Y20</t>
        </is>
      </c>
      <c r="F44" s="19" t="n">
        <v>20</v>
      </c>
      <c r="G44" s="19" t="n">
        <v>1</v>
      </c>
      <c r="H44" s="19">
        <f>2*(ROUNDUP(7250/150,0)+1)</f>
        <v>100.0</v>
      </c>
      <c r="I44" s="13">
        <f>G44*H44</f>
        <v>100.0</v>
      </c>
      <c r="J44" s="20">
        <f>(3300+40*20)/1000</f>
        <v>4.1</v>
      </c>
      <c r="K44" s="21">
        <f>I44*J44</f>
        <v>409.99999999999994</v>
      </c>
      <c r="L44" s="22">
        <f>F44^2/162</f>
        <v>2.4691358024691357</v>
      </c>
      <c r="M44" s="21">
        <f>K44*L44</f>
        <v>1012.3456790123455</v>
      </c>
      <c r="N44" s="22">
        <f>M44/1000</f>
        <v>1.0123456790123455</v>
      </c>
      <c r="O44" s="13" t="inlineStr">
        <is>
          <t>Elevation / plan</t>
        </is>
      </c>
    </row>
    <row r="45">
      <c r="A45" s="13" t="n">
        <v>40</v>
      </c>
      <c r="B45" s="13" t="inlineStr">
        <is>
          <t>Shear Walls</t>
        </is>
      </c>
      <c r="C45" s="13" t="inlineStr">
        <is>
          <t>STR-015/016</t>
        </is>
      </c>
      <c r="D45" s="13" t="inlineStr">
        <is>
          <t>Main core CW-09 (L=1150mm) 7th to 8th - horizontal Y12@150 NF/FF</t>
        </is>
      </c>
      <c r="E45" s="19" t="inlineStr">
        <is>
          <t>H-Y12</t>
        </is>
      </c>
      <c r="F45" s="19" t="n">
        <v>12</v>
      </c>
      <c r="G45" s="19" t="n">
        <v>1</v>
      </c>
      <c r="H45" s="19">
        <f>2*20</f>
        <v>40.0</v>
      </c>
      <c r="I45" s="13">
        <f>G45*H45</f>
        <v>40.0</v>
      </c>
      <c r="J45" s="20">
        <f>(1150-2*30+40*12)/1000</f>
        <v>1.57</v>
      </c>
      <c r="K45" s="21">
        <f>I45*J45</f>
        <v>62.800000000000004</v>
      </c>
      <c r="L45" s="22">
        <f>F45^2/162</f>
        <v>0.8888888888888888</v>
      </c>
      <c r="M45" s="21">
        <f>K45*L45</f>
        <v>55.82222222222222</v>
      </c>
      <c r="N45" s="22">
        <f>M45/1000</f>
        <v>0.055822222222222224</v>
      </c>
      <c r="O45" s="13" t="inlineStr">
        <is>
          <t>Elevation count / plan length</t>
        </is>
      </c>
    </row>
    <row r="46">
      <c r="A46" s="13" t="n">
        <v>41</v>
      </c>
      <c r="B46" s="13" t="inlineStr">
        <is>
          <t>Shear Walls</t>
        </is>
      </c>
      <c r="C46" s="13" t="inlineStr">
        <is>
          <t>STR-015/016</t>
        </is>
      </c>
      <c r="D46" s="13" t="inlineStr">
        <is>
          <t>Main core CW-09 7th to 8th - vertical Y20@150 NF/FF</t>
        </is>
      </c>
      <c r="E46" s="19" t="inlineStr">
        <is>
          <t>V-Y20</t>
        </is>
      </c>
      <c r="F46" s="19" t="n">
        <v>20</v>
      </c>
      <c r="G46" s="19" t="n">
        <v>1</v>
      </c>
      <c r="H46" s="19">
        <f>2*(ROUNDUP(1150/150,0)+1)</f>
        <v>18.0</v>
      </c>
      <c r="I46" s="13">
        <f>G46*H46</f>
        <v>18.0</v>
      </c>
      <c r="J46" s="20">
        <f>(3300+40*20)/1000</f>
        <v>4.1</v>
      </c>
      <c r="K46" s="21">
        <f>I46*J46</f>
        <v>73.8</v>
      </c>
      <c r="L46" s="22">
        <f>F46^2/162</f>
        <v>2.4691358024691357</v>
      </c>
      <c r="M46" s="21">
        <f>K46*L46</f>
        <v>182.2222222222222</v>
      </c>
      <c r="N46" s="22">
        <f>M46/1000</f>
        <v>0.1822222222222222</v>
      </c>
      <c r="O46" s="13" t="inlineStr">
        <is>
          <t>Elevation / plan</t>
        </is>
      </c>
    </row>
    <row r="47">
      <c r="A47" s="13" t="n">
        <v>42</v>
      </c>
      <c r="B47" s="13" t="inlineStr">
        <is>
          <t>Shear Walls</t>
        </is>
      </c>
      <c r="C47" s="13" t="inlineStr">
        <is>
          <t>STR-015/016</t>
        </is>
      </c>
      <c r="D47" s="13" t="inlineStr">
        <is>
          <t>Main core CW-10 (L=1150mm) 7th to 8th - horizontal Y12@150 NF/FF</t>
        </is>
      </c>
      <c r="E47" s="19" t="inlineStr">
        <is>
          <t>H-Y12</t>
        </is>
      </c>
      <c r="F47" s="19" t="n">
        <v>12</v>
      </c>
      <c r="G47" s="19" t="n">
        <v>1</v>
      </c>
      <c r="H47" s="19">
        <f>2*20</f>
        <v>40.0</v>
      </c>
      <c r="I47" s="13">
        <f>G47*H47</f>
        <v>40.0</v>
      </c>
      <c r="J47" s="20">
        <f>(1150-2*30+40*12)/1000</f>
        <v>1.57</v>
      </c>
      <c r="K47" s="21">
        <f>I47*J47</f>
        <v>62.800000000000004</v>
      </c>
      <c r="L47" s="22">
        <f>F47^2/162</f>
        <v>0.8888888888888888</v>
      </c>
      <c r="M47" s="21">
        <f>K47*L47</f>
        <v>55.82222222222222</v>
      </c>
      <c r="N47" s="22">
        <f>M47/1000</f>
        <v>0.055822222222222224</v>
      </c>
      <c r="O47" s="13" t="inlineStr">
        <is>
          <t>Elevation count / plan length</t>
        </is>
      </c>
    </row>
    <row r="48">
      <c r="A48" s="13" t="n">
        <v>43</v>
      </c>
      <c r="B48" s="13" t="inlineStr">
        <is>
          <t>Shear Walls</t>
        </is>
      </c>
      <c r="C48" s="13" t="inlineStr">
        <is>
          <t>STR-015/016</t>
        </is>
      </c>
      <c r="D48" s="13" t="inlineStr">
        <is>
          <t>Main core CW-10 7th to 8th - vertical Y20@150 NF/FF</t>
        </is>
      </c>
      <c r="E48" s="19" t="inlineStr">
        <is>
          <t>V-Y20</t>
        </is>
      </c>
      <c r="F48" s="19" t="n">
        <v>20</v>
      </c>
      <c r="G48" s="19" t="n">
        <v>1</v>
      </c>
      <c r="H48" s="19">
        <f>2*(ROUNDUP(1150/150,0)+1)</f>
        <v>18.0</v>
      </c>
      <c r="I48" s="13">
        <f>G48*H48</f>
        <v>18.0</v>
      </c>
      <c r="J48" s="20">
        <f>(3300+40*20)/1000</f>
        <v>4.1</v>
      </c>
      <c r="K48" s="21">
        <f>I48*J48</f>
        <v>73.8</v>
      </c>
      <c r="L48" s="22">
        <f>F48^2/162</f>
        <v>2.4691358024691357</v>
      </c>
      <c r="M48" s="21">
        <f>K48*L48</f>
        <v>182.2222222222222</v>
      </c>
      <c r="N48" s="22">
        <f>M48/1000</f>
        <v>0.1822222222222222</v>
      </c>
      <c r="O48" s="13" t="inlineStr">
        <is>
          <t>Elevation / plan</t>
        </is>
      </c>
    </row>
    <row r="49">
      <c r="A49" s="13" t="n">
        <v>44</v>
      </c>
      <c r="B49" s="13" t="inlineStr">
        <is>
          <t>Shear Walls</t>
        </is>
      </c>
      <c r="C49" s="13" t="inlineStr">
        <is>
          <t>STR-015/016</t>
        </is>
      </c>
      <c r="D49" s="13" t="inlineStr">
        <is>
          <t>Main core CW-11 (L=1650mm) 7th to 8th - horizontal Y12@150 NF/FF</t>
        </is>
      </c>
      <c r="E49" s="19" t="inlineStr">
        <is>
          <t>H-Y12</t>
        </is>
      </c>
      <c r="F49" s="19" t="n">
        <v>12</v>
      </c>
      <c r="G49" s="19" t="n">
        <v>1</v>
      </c>
      <c r="H49" s="19">
        <f>2*20</f>
        <v>40.0</v>
      </c>
      <c r="I49" s="13">
        <f>G49*H49</f>
        <v>40.0</v>
      </c>
      <c r="J49" s="20">
        <f>(1650-2*30+40*12)/1000</f>
        <v>2.07</v>
      </c>
      <c r="K49" s="21">
        <f>I49*J49</f>
        <v>82.8</v>
      </c>
      <c r="L49" s="22">
        <f>F49^2/162</f>
        <v>0.8888888888888888</v>
      </c>
      <c r="M49" s="21">
        <f>K49*L49</f>
        <v>73.6</v>
      </c>
      <c r="N49" s="22">
        <f>M49/1000</f>
        <v>0.0736</v>
      </c>
      <c r="O49" s="13" t="inlineStr">
        <is>
          <t>Elevation count / plan length</t>
        </is>
      </c>
    </row>
    <row r="50">
      <c r="A50" s="13" t="n">
        <v>45</v>
      </c>
      <c r="B50" s="13" t="inlineStr">
        <is>
          <t>Shear Walls</t>
        </is>
      </c>
      <c r="C50" s="13" t="inlineStr">
        <is>
          <t>STR-015/016</t>
        </is>
      </c>
      <c r="D50" s="13" t="inlineStr">
        <is>
          <t>Main core CW-11 7th to 8th - vertical Y20@150 NF/FF</t>
        </is>
      </c>
      <c r="E50" s="19" t="inlineStr">
        <is>
          <t>V-Y20</t>
        </is>
      </c>
      <c r="F50" s="19" t="n">
        <v>20</v>
      </c>
      <c r="G50" s="19" t="n">
        <v>1</v>
      </c>
      <c r="H50" s="19">
        <f>2*(ROUNDUP(1650/150,0)+1)</f>
        <v>24.0</v>
      </c>
      <c r="I50" s="13">
        <f>G50*H50</f>
        <v>24.0</v>
      </c>
      <c r="J50" s="20">
        <f>(3300+40*20)/1000</f>
        <v>4.1</v>
      </c>
      <c r="K50" s="21">
        <f>I50*J50</f>
        <v>98.39999999999999</v>
      </c>
      <c r="L50" s="22">
        <f>F50^2/162</f>
        <v>2.4691358024691357</v>
      </c>
      <c r="M50" s="21">
        <f>K50*L50</f>
        <v>242.96296296296293</v>
      </c>
      <c r="N50" s="22">
        <f>M50/1000</f>
        <v>0.24296296296296294</v>
      </c>
      <c r="O50" s="13" t="inlineStr">
        <is>
          <t>Elevation / plan</t>
        </is>
      </c>
    </row>
    <row r="51">
      <c r="A51" s="13" t="n">
        <v>46</v>
      </c>
      <c r="B51" s="13" t="inlineStr">
        <is>
          <t>Shear Walls</t>
        </is>
      </c>
      <c r="C51" s="13" t="inlineStr">
        <is>
          <t>STR-015/016</t>
        </is>
      </c>
      <c r="D51" s="13" t="inlineStr">
        <is>
          <t>Main core confinement links Y10@150 (26 positions on plan) 7th to 8th</t>
        </is>
      </c>
      <c r="E51" s="19" t="inlineStr">
        <is>
          <t>LNK-Y10</t>
        </is>
      </c>
      <c r="F51" s="19" t="n">
        <v>10</v>
      </c>
      <c r="G51" s="19" t="n">
        <v>1</v>
      </c>
      <c r="H51" s="19">
        <f>26*ROUNDUP(3300/150,0)</f>
        <v>572.0</v>
      </c>
      <c r="I51" s="13">
        <f>G51*H51</f>
        <v>572.0</v>
      </c>
      <c r="J51" s="20">
        <f>1800/1000</f>
        <v>1.8</v>
      </c>
      <c r="K51" s="21">
        <f>I51*J51</f>
        <v>1029.6000000000001</v>
      </c>
      <c r="L51" s="22">
        <f>F51^2/162</f>
        <v>0.6172839506172839</v>
      </c>
      <c r="M51" s="21">
        <f>K51*L51</f>
        <v>635.5555555555557</v>
      </c>
      <c r="N51" s="22">
        <f>M51/1000</f>
        <v>0.6355555555555557</v>
      </c>
      <c r="O51" s="13" t="inlineStr">
        <is>
          <t>Assumed link cut length</t>
        </is>
      </c>
    </row>
    <row r="52">
      <c r="A52" s="13" t="n">
        <v>47</v>
      </c>
      <c r="B52" s="13" t="inlineStr">
        <is>
          <t>Shear Walls</t>
        </is>
      </c>
      <c r="C52" s="13" t="inlineStr">
        <is>
          <t>STR-013/014</t>
        </is>
      </c>
      <c r="D52" s="13" t="inlineStr">
        <is>
          <t>Emergency stair core CW-12 (L=7050mm) 7th to 8th - horizontal Y12@150 NF/FF</t>
        </is>
      </c>
      <c r="E52" s="19" t="inlineStr">
        <is>
          <t>H-Y12</t>
        </is>
      </c>
      <c r="F52" s="19" t="n">
        <v>12</v>
      </c>
      <c r="G52" s="19" t="n">
        <v>1</v>
      </c>
      <c r="H52" s="19">
        <f>2*20</f>
        <v>40.0</v>
      </c>
      <c r="I52" s="13">
        <f>G52*H52</f>
        <v>40.0</v>
      </c>
      <c r="J52" s="20">
        <f>(7050-2*30+40*12)/1000</f>
        <v>7.47</v>
      </c>
      <c r="K52" s="21">
        <f>I52*J52</f>
        <v>298.8</v>
      </c>
      <c r="L52" s="22">
        <f>F52^2/162</f>
        <v>0.8888888888888888</v>
      </c>
      <c r="M52" s="21">
        <f>K52*L52</f>
        <v>265.6</v>
      </c>
      <c r="N52" s="22">
        <f>M52/1000</f>
        <v>0.2656</v>
      </c>
      <c r="O52" s="13" t="inlineStr">
        <is>
          <t>Elevation count / plan length</t>
        </is>
      </c>
    </row>
    <row r="53">
      <c r="A53" s="13" t="n">
        <v>48</v>
      </c>
      <c r="B53" s="13" t="inlineStr">
        <is>
          <t>Shear Walls</t>
        </is>
      </c>
      <c r="C53" s="13" t="inlineStr">
        <is>
          <t>STR-013/014</t>
        </is>
      </c>
      <c r="D53" s="13" t="inlineStr">
        <is>
          <t>Emergency stair core CW-12 7th to 8th - vertical Y20@150 NF/FF</t>
        </is>
      </c>
      <c r="E53" s="19" t="inlineStr">
        <is>
          <t>V-Y20</t>
        </is>
      </c>
      <c r="F53" s="19" t="n">
        <v>20</v>
      </c>
      <c r="G53" s="19" t="n">
        <v>1</v>
      </c>
      <c r="H53" s="19">
        <f>2*(ROUNDUP(7050/150,0)+1)</f>
        <v>96.0</v>
      </c>
      <c r="I53" s="13">
        <f>G53*H53</f>
        <v>96.0</v>
      </c>
      <c r="J53" s="20">
        <f>(3300+40*20)/1000</f>
        <v>4.1</v>
      </c>
      <c r="K53" s="21">
        <f>I53*J53</f>
        <v>393.59999999999997</v>
      </c>
      <c r="L53" s="22">
        <f>F53^2/162</f>
        <v>2.4691358024691357</v>
      </c>
      <c r="M53" s="21">
        <f>K53*L53</f>
        <v>971.8518518518517</v>
      </c>
      <c r="N53" s="22">
        <f>M53/1000</f>
        <v>0.9718518518518517</v>
      </c>
      <c r="O53" s="13" t="inlineStr">
        <is>
          <t>Elevation / plan</t>
        </is>
      </c>
    </row>
    <row r="54">
      <c r="A54" s="13" t="n">
        <v>49</v>
      </c>
      <c r="B54" s="13" t="inlineStr">
        <is>
          <t>Shear Walls</t>
        </is>
      </c>
      <c r="C54" s="13" t="inlineStr">
        <is>
          <t>STR-013/014</t>
        </is>
      </c>
      <c r="D54" s="13" t="inlineStr">
        <is>
          <t>Emergency stair core CW-13 (L=7810mm) 7th to 8th - horizontal Y12@150 NF/FF</t>
        </is>
      </c>
      <c r="E54" s="19" t="inlineStr">
        <is>
          <t>H-Y12</t>
        </is>
      </c>
      <c r="F54" s="19" t="n">
        <v>12</v>
      </c>
      <c r="G54" s="19" t="n">
        <v>1</v>
      </c>
      <c r="H54" s="19">
        <f>2*20</f>
        <v>40.0</v>
      </c>
      <c r="I54" s="13">
        <f>G54*H54</f>
        <v>40.0</v>
      </c>
      <c r="J54" s="20">
        <f>(7810-2*30+40*12)/1000</f>
        <v>8.23</v>
      </c>
      <c r="K54" s="21">
        <f>I54*J54</f>
        <v>329.20000000000005</v>
      </c>
      <c r="L54" s="22">
        <f>F54^2/162</f>
        <v>0.8888888888888888</v>
      </c>
      <c r="M54" s="21">
        <f>K54*L54</f>
        <v>292.62222222222226</v>
      </c>
      <c r="N54" s="22">
        <f>M54/1000</f>
        <v>0.2926222222222223</v>
      </c>
      <c r="O54" s="13" t="inlineStr">
        <is>
          <t>Elevation count / plan length</t>
        </is>
      </c>
    </row>
    <row r="55">
      <c r="A55" s="13" t="n">
        <v>50</v>
      </c>
      <c r="B55" s="13" t="inlineStr">
        <is>
          <t>Shear Walls</t>
        </is>
      </c>
      <c r="C55" s="13" t="inlineStr">
        <is>
          <t>STR-013/014</t>
        </is>
      </c>
      <c r="D55" s="13" t="inlineStr">
        <is>
          <t>Emergency stair core CW-13 7th to 8th - vertical Y20@150 NF/FF</t>
        </is>
      </c>
      <c r="E55" s="19" t="inlineStr">
        <is>
          <t>V-Y20</t>
        </is>
      </c>
      <c r="F55" s="19" t="n">
        <v>20</v>
      </c>
      <c r="G55" s="19" t="n">
        <v>1</v>
      </c>
      <c r="H55" s="19">
        <f>2*52</f>
        <v>104.0</v>
      </c>
      <c r="I55" s="13">
        <f>G55*H55</f>
        <v>104.0</v>
      </c>
      <c r="J55" s="20">
        <f>(3300+40*20)/1000</f>
        <v>4.1</v>
      </c>
      <c r="K55" s="21">
        <f>I55*J55</f>
        <v>426.4</v>
      </c>
      <c r="L55" s="22">
        <f>F55^2/162</f>
        <v>2.4691358024691357</v>
      </c>
      <c r="M55" s="21">
        <f>K55*L55</f>
        <v>1052.8395061728395</v>
      </c>
      <c r="N55" s="22">
        <f>M55/1000</f>
        <v>1.0528395061728395</v>
      </c>
      <c r="O55" s="13" t="inlineStr">
        <is>
          <t>Elevation / plan</t>
        </is>
      </c>
    </row>
    <row r="56">
      <c r="A56" s="13" t="n">
        <v>51</v>
      </c>
      <c r="B56" s="13" t="inlineStr">
        <is>
          <t>Shear Walls</t>
        </is>
      </c>
      <c r="C56" s="13" t="inlineStr">
        <is>
          <t>STR-013/014</t>
        </is>
      </c>
      <c r="D56" s="13" t="inlineStr">
        <is>
          <t>Emergency stair core CW-14 (L=3450mm) 7th to 8th - horizontal Y12@150 NF/FF</t>
        </is>
      </c>
      <c r="E56" s="19" t="inlineStr">
        <is>
          <t>H-Y12</t>
        </is>
      </c>
      <c r="F56" s="19" t="n">
        <v>12</v>
      </c>
      <c r="G56" s="19" t="n">
        <v>1</v>
      </c>
      <c r="H56" s="19">
        <f>2*20</f>
        <v>40.0</v>
      </c>
      <c r="I56" s="13">
        <f>G56*H56</f>
        <v>40.0</v>
      </c>
      <c r="J56" s="20">
        <f>(3450-2*30+40*12)/1000</f>
        <v>3.87</v>
      </c>
      <c r="K56" s="21">
        <f>I56*J56</f>
        <v>154.8</v>
      </c>
      <c r="L56" s="22">
        <f>F56^2/162</f>
        <v>0.8888888888888888</v>
      </c>
      <c r="M56" s="21">
        <f>K56*L56</f>
        <v>137.6</v>
      </c>
      <c r="N56" s="22">
        <f>M56/1000</f>
        <v>0.1376</v>
      </c>
      <c r="O56" s="13" t="inlineStr">
        <is>
          <t>Elevation count / plan length</t>
        </is>
      </c>
    </row>
    <row r="57">
      <c r="A57" s="13" t="n">
        <v>52</v>
      </c>
      <c r="B57" s="13" t="inlineStr">
        <is>
          <t>Shear Walls</t>
        </is>
      </c>
      <c r="C57" s="13" t="inlineStr">
        <is>
          <t>STR-013/014</t>
        </is>
      </c>
      <c r="D57" s="13" t="inlineStr">
        <is>
          <t>Emergency stair core CW-14 7th to 8th - vertical Y20@150 NF/FF</t>
        </is>
      </c>
      <c r="E57" s="19" t="inlineStr">
        <is>
          <t>V-Y20</t>
        </is>
      </c>
      <c r="F57" s="19" t="n">
        <v>20</v>
      </c>
      <c r="G57" s="19" t="n">
        <v>1</v>
      </c>
      <c r="H57" s="19">
        <f>2*(ROUNDUP(3450/150,0)+1)</f>
        <v>48.0</v>
      </c>
      <c r="I57" s="13">
        <f>G57*H57</f>
        <v>48.0</v>
      </c>
      <c r="J57" s="20">
        <f>(3300+40*20)/1000</f>
        <v>4.1</v>
      </c>
      <c r="K57" s="21">
        <f>I57*J57</f>
        <v>196.79999999999998</v>
      </c>
      <c r="L57" s="22">
        <f>F57^2/162</f>
        <v>2.4691358024691357</v>
      </c>
      <c r="M57" s="21">
        <f>K57*L57</f>
        <v>485.92592592592587</v>
      </c>
      <c r="N57" s="22">
        <f>M57/1000</f>
        <v>0.4859259259259259</v>
      </c>
      <c r="O57" s="13" t="inlineStr">
        <is>
          <t>Elevation / plan</t>
        </is>
      </c>
    </row>
    <row r="58">
      <c r="A58" s="13" t="n">
        <v>53</v>
      </c>
      <c r="B58" s="13" t="inlineStr">
        <is>
          <t>Shear Walls</t>
        </is>
      </c>
      <c r="C58" s="13" t="inlineStr">
        <is>
          <t>STR-013/014</t>
        </is>
      </c>
      <c r="D58" s="13" t="inlineStr">
        <is>
          <t>Emergency stair core CW-15 (L=2425mm) 7th to 8th - horizontal Y12@150 NF/FF</t>
        </is>
      </c>
      <c r="E58" s="19" t="inlineStr">
        <is>
          <t>H-Y12</t>
        </is>
      </c>
      <c r="F58" s="19" t="n">
        <v>12</v>
      </c>
      <c r="G58" s="19" t="n">
        <v>1</v>
      </c>
      <c r="H58" s="19">
        <f>2*20</f>
        <v>40.0</v>
      </c>
      <c r="I58" s="13">
        <f>G58*H58</f>
        <v>40.0</v>
      </c>
      <c r="J58" s="20">
        <f>(2425-2*30+40*12)/1000</f>
        <v>2.845</v>
      </c>
      <c r="K58" s="21">
        <f>I58*J58</f>
        <v>113.80000000000001</v>
      </c>
      <c r="L58" s="22">
        <f>F58^2/162</f>
        <v>0.8888888888888888</v>
      </c>
      <c r="M58" s="21">
        <f>K58*L58</f>
        <v>101.15555555555557</v>
      </c>
      <c r="N58" s="22">
        <f>M58/1000</f>
        <v>0.10115555555555557</v>
      </c>
      <c r="O58" s="13" t="inlineStr">
        <is>
          <t>Elevation count / plan length</t>
        </is>
      </c>
    </row>
    <row r="59">
      <c r="A59" s="13" t="n">
        <v>54</v>
      </c>
      <c r="B59" s="13" t="inlineStr">
        <is>
          <t>Shear Walls</t>
        </is>
      </c>
      <c r="C59" s="13" t="inlineStr">
        <is>
          <t>STR-013/014</t>
        </is>
      </c>
      <c r="D59" s="13" t="inlineStr">
        <is>
          <t>Emergency stair core CW-15 7th to 8th - vertical Y20@150 NF/FF</t>
        </is>
      </c>
      <c r="E59" s="19" t="inlineStr">
        <is>
          <t>V-Y20</t>
        </is>
      </c>
      <c r="F59" s="19" t="n">
        <v>20</v>
      </c>
      <c r="G59" s="19" t="n">
        <v>1</v>
      </c>
      <c r="H59" s="19">
        <f>2*(ROUNDUP(2425/150,0)+1)</f>
        <v>36.0</v>
      </c>
      <c r="I59" s="13">
        <f>G59*H59</f>
        <v>36.0</v>
      </c>
      <c r="J59" s="20">
        <f>(3300+40*20)/1000</f>
        <v>4.1</v>
      </c>
      <c r="K59" s="21">
        <f>I59*J59</f>
        <v>147.6</v>
      </c>
      <c r="L59" s="22">
        <f>F59^2/162</f>
        <v>2.4691358024691357</v>
      </c>
      <c r="M59" s="21">
        <f>K59*L59</f>
        <v>364.4444444444444</v>
      </c>
      <c r="N59" s="22">
        <f>M59/1000</f>
        <v>0.3644444444444444</v>
      </c>
      <c r="O59" s="13" t="inlineStr">
        <is>
          <t>Elevation / plan</t>
        </is>
      </c>
    </row>
    <row r="60">
      <c r="A60" s="13" t="n">
        <v>55</v>
      </c>
      <c r="B60" s="13" t="inlineStr">
        <is>
          <t>Shear Walls</t>
        </is>
      </c>
      <c r="C60" s="13" t="inlineStr">
        <is>
          <t>STR-013/014</t>
        </is>
      </c>
      <c r="D60" s="13" t="inlineStr">
        <is>
          <t>Emergency stair core CW-16 (L=775mm) 7th to 8th - horizontal Y12@150 NF/FF</t>
        </is>
      </c>
      <c r="E60" s="19" t="inlineStr">
        <is>
          <t>H-Y12</t>
        </is>
      </c>
      <c r="F60" s="19" t="n">
        <v>12</v>
      </c>
      <c r="G60" s="19" t="n">
        <v>1</v>
      </c>
      <c r="H60" s="19">
        <f>2*20</f>
        <v>40.0</v>
      </c>
      <c r="I60" s="13">
        <f>G60*H60</f>
        <v>40.0</v>
      </c>
      <c r="J60" s="20">
        <f>(775-2*30+40*12)/1000</f>
        <v>1.195</v>
      </c>
      <c r="K60" s="21">
        <f>I60*J60</f>
        <v>47.800000000000004</v>
      </c>
      <c r="L60" s="22">
        <f>F60^2/162</f>
        <v>0.8888888888888888</v>
      </c>
      <c r="M60" s="21">
        <f>K60*L60</f>
        <v>42.48888888888889</v>
      </c>
      <c r="N60" s="22">
        <f>M60/1000</f>
        <v>0.04248888888888889</v>
      </c>
      <c r="O60" s="13" t="inlineStr">
        <is>
          <t>Elevation count / plan length</t>
        </is>
      </c>
    </row>
    <row r="61">
      <c r="A61" s="13" t="n">
        <v>56</v>
      </c>
      <c r="B61" s="13" t="inlineStr">
        <is>
          <t>Shear Walls</t>
        </is>
      </c>
      <c r="C61" s="13" t="inlineStr">
        <is>
          <t>STR-013/014</t>
        </is>
      </c>
      <c r="D61" s="13" t="inlineStr">
        <is>
          <t>Emergency stair core CW-16 7th to 8th - vertical Y20@150 NF/FF</t>
        </is>
      </c>
      <c r="E61" s="19" t="inlineStr">
        <is>
          <t>V-Y20</t>
        </is>
      </c>
      <c r="F61" s="19" t="n">
        <v>20</v>
      </c>
      <c r="G61" s="19" t="n">
        <v>1</v>
      </c>
      <c r="H61" s="19">
        <f>2*(ROUNDUP(775/150,0)+1)</f>
        <v>14.0</v>
      </c>
      <c r="I61" s="13">
        <f>G61*H61</f>
        <v>14.0</v>
      </c>
      <c r="J61" s="20">
        <f>(3300+40*20)/1000</f>
        <v>4.1</v>
      </c>
      <c r="K61" s="21">
        <f>I61*J61</f>
        <v>57.39999999999999</v>
      </c>
      <c r="L61" s="22">
        <f>F61^2/162</f>
        <v>2.4691358024691357</v>
      </c>
      <c r="M61" s="21">
        <f>K61*L61</f>
        <v>141.72839506172838</v>
      </c>
      <c r="N61" s="22">
        <f>M61/1000</f>
        <v>0.14172839506172838</v>
      </c>
      <c r="O61" s="13" t="inlineStr">
        <is>
          <t>Elevation / plan</t>
        </is>
      </c>
    </row>
    <row r="62">
      <c r="A62" s="13" t="n">
        <v>57</v>
      </c>
      <c r="B62" s="13" t="inlineStr">
        <is>
          <t>Shear Walls</t>
        </is>
      </c>
      <c r="C62" s="13" t="inlineStr">
        <is>
          <t>STR-013/014</t>
        </is>
      </c>
      <c r="D62" s="13" t="inlineStr">
        <is>
          <t>Emergency stair core CW-17 (L=360mm) 7th to 8th - horizontal Y12@150 NF/FF</t>
        </is>
      </c>
      <c r="E62" s="19" t="inlineStr">
        <is>
          <t>H-Y12</t>
        </is>
      </c>
      <c r="F62" s="19" t="n">
        <v>12</v>
      </c>
      <c r="G62" s="19" t="n">
        <v>1</v>
      </c>
      <c r="H62" s="19">
        <f>2*20</f>
        <v>40.0</v>
      </c>
      <c r="I62" s="13">
        <f>G62*H62</f>
        <v>40.0</v>
      </c>
      <c r="J62" s="20">
        <f>(360-2*30+40*12)/1000</f>
        <v>0.78</v>
      </c>
      <c r="K62" s="21">
        <f>I62*J62</f>
        <v>31.200000000000003</v>
      </c>
      <c r="L62" s="22">
        <f>F62^2/162</f>
        <v>0.8888888888888888</v>
      </c>
      <c r="M62" s="21">
        <f>K62*L62</f>
        <v>27.733333333333334</v>
      </c>
      <c r="N62" s="22">
        <f>M62/1000</f>
        <v>0.027733333333333336</v>
      </c>
      <c r="O62" s="13" t="inlineStr">
        <is>
          <t>Elevation count / plan length</t>
        </is>
      </c>
    </row>
    <row r="63">
      <c r="A63" s="13" t="n">
        <v>58</v>
      </c>
      <c r="B63" s="13" t="inlineStr">
        <is>
          <t>Shear Walls</t>
        </is>
      </c>
      <c r="C63" s="13" t="inlineStr">
        <is>
          <t>STR-013/014</t>
        </is>
      </c>
      <c r="D63" s="13" t="inlineStr">
        <is>
          <t>Emergency stair core CW-17 7th to 8th - vertical Y20@150 NF/FF</t>
        </is>
      </c>
      <c r="E63" s="19" t="inlineStr">
        <is>
          <t>V-Y20</t>
        </is>
      </c>
      <c r="F63" s="19" t="n">
        <v>20</v>
      </c>
      <c r="G63" s="19" t="n">
        <v>1</v>
      </c>
      <c r="H63" s="19">
        <f>2*(ROUNDUP(360/150,0)+1)</f>
        <v>8.0</v>
      </c>
      <c r="I63" s="13">
        <f>G63*H63</f>
        <v>8.0</v>
      </c>
      <c r="J63" s="20">
        <f>(3300+40*20)/1000</f>
        <v>4.1</v>
      </c>
      <c r="K63" s="21">
        <f>I63*J63</f>
        <v>32.8</v>
      </c>
      <c r="L63" s="22">
        <f>F63^2/162</f>
        <v>2.4691358024691357</v>
      </c>
      <c r="M63" s="21">
        <f>K63*L63</f>
        <v>80.98765432098764</v>
      </c>
      <c r="N63" s="22">
        <f>M63/1000</f>
        <v>0.08098765432098765</v>
      </c>
      <c r="O63" s="13" t="inlineStr">
        <is>
          <t>Elevation / plan</t>
        </is>
      </c>
    </row>
    <row r="64">
      <c r="A64" s="13" t="n">
        <v>59</v>
      </c>
      <c r="B64" s="13" t="inlineStr">
        <is>
          <t>Shear Walls</t>
        </is>
      </c>
      <c r="C64" s="13" t="inlineStr">
        <is>
          <t>STR-013/014</t>
        </is>
      </c>
      <c r="D64" s="13" t="inlineStr">
        <is>
          <t>Emergency stair core CW-18 (L=1300mm) 7th to 8th - horizontal Y12@150 NF/FF</t>
        </is>
      </c>
      <c r="E64" s="19" t="inlineStr">
        <is>
          <t>H-Y12</t>
        </is>
      </c>
      <c r="F64" s="19" t="n">
        <v>12</v>
      </c>
      <c r="G64" s="19" t="n">
        <v>1</v>
      </c>
      <c r="H64" s="19">
        <f>2*20</f>
        <v>40.0</v>
      </c>
      <c r="I64" s="13">
        <f>G64*H64</f>
        <v>40.0</v>
      </c>
      <c r="J64" s="20">
        <f>(1300-2*30+40*12)/1000</f>
        <v>1.72</v>
      </c>
      <c r="K64" s="21">
        <f>I64*J64</f>
        <v>68.8</v>
      </c>
      <c r="L64" s="22">
        <f>F64^2/162</f>
        <v>0.8888888888888888</v>
      </c>
      <c r="M64" s="21">
        <f>K64*L64</f>
        <v>61.15555555555555</v>
      </c>
      <c r="N64" s="22">
        <f>M64/1000</f>
        <v>0.06115555555555555</v>
      </c>
      <c r="O64" s="13" t="inlineStr">
        <is>
          <t>Elevation count / plan length</t>
        </is>
      </c>
    </row>
    <row r="65">
      <c r="A65" s="13" t="n">
        <v>60</v>
      </c>
      <c r="B65" s="13" t="inlineStr">
        <is>
          <t>Shear Walls</t>
        </is>
      </c>
      <c r="C65" s="13" t="inlineStr">
        <is>
          <t>STR-013/014</t>
        </is>
      </c>
      <c r="D65" s="13" t="inlineStr">
        <is>
          <t>Emergency stair core CW-18 7th to 8th - vertical Y20@150 NF/FF</t>
        </is>
      </c>
      <c r="E65" s="19" t="inlineStr">
        <is>
          <t>V-Y20</t>
        </is>
      </c>
      <c r="F65" s="19" t="n">
        <v>20</v>
      </c>
      <c r="G65" s="19" t="n">
        <v>1</v>
      </c>
      <c r="H65" s="19">
        <f>2*(ROUNDUP(1300/150,0)+1)</f>
        <v>20.0</v>
      </c>
      <c r="I65" s="13">
        <f>G65*H65</f>
        <v>20.0</v>
      </c>
      <c r="J65" s="20">
        <f>(3300+40*20)/1000</f>
        <v>4.1</v>
      </c>
      <c r="K65" s="21">
        <f>I65*J65</f>
        <v>82.0</v>
      </c>
      <c r="L65" s="22">
        <f>F65^2/162</f>
        <v>2.4691358024691357</v>
      </c>
      <c r="M65" s="21">
        <f>K65*L65</f>
        <v>202.4691358024691</v>
      </c>
      <c r="N65" s="22">
        <f>M65/1000</f>
        <v>0.2024691358024691</v>
      </c>
      <c r="O65" s="13" t="inlineStr">
        <is>
          <t>Elevation / plan</t>
        </is>
      </c>
    </row>
    <row r="66">
      <c r="A66" s="13" t="n">
        <v>61</v>
      </c>
      <c r="B66" s="13" t="inlineStr">
        <is>
          <t>Shear Walls</t>
        </is>
      </c>
      <c r="C66" s="13" t="inlineStr">
        <is>
          <t>STR-013/014</t>
        </is>
      </c>
      <c r="D66" s="13" t="inlineStr">
        <is>
          <t>Emergency stair core CW-19 (L=1100mm) 7th to 8th - horizontal Y12@150 NF/FF</t>
        </is>
      </c>
      <c r="E66" s="19" t="inlineStr">
        <is>
          <t>H-Y12</t>
        </is>
      </c>
      <c r="F66" s="19" t="n">
        <v>12</v>
      </c>
      <c r="G66" s="19" t="n">
        <v>1</v>
      </c>
      <c r="H66" s="19">
        <f>2*20</f>
        <v>40.0</v>
      </c>
      <c r="I66" s="13">
        <f>G66*H66</f>
        <v>40.0</v>
      </c>
      <c r="J66" s="20">
        <f>(1100-2*30+40*12)/1000</f>
        <v>1.52</v>
      </c>
      <c r="K66" s="21">
        <f>I66*J66</f>
        <v>60.8</v>
      </c>
      <c r="L66" s="22">
        <f>F66^2/162</f>
        <v>0.8888888888888888</v>
      </c>
      <c r="M66" s="21">
        <f>K66*L66</f>
        <v>54.04444444444444</v>
      </c>
      <c r="N66" s="22">
        <f>M66/1000</f>
        <v>0.05404444444444444</v>
      </c>
      <c r="O66" s="13" t="inlineStr">
        <is>
          <t>Elevation count / plan length</t>
        </is>
      </c>
    </row>
    <row r="67">
      <c r="A67" s="13" t="n">
        <v>62</v>
      </c>
      <c r="B67" s="13" t="inlineStr">
        <is>
          <t>Shear Walls</t>
        </is>
      </c>
      <c r="C67" s="13" t="inlineStr">
        <is>
          <t>STR-013/014</t>
        </is>
      </c>
      <c r="D67" s="13" t="inlineStr">
        <is>
          <t>Emergency stair core CW-19 7th to 8th - vertical Y20@150 NF/FF</t>
        </is>
      </c>
      <c r="E67" s="19" t="inlineStr">
        <is>
          <t>V-Y20</t>
        </is>
      </c>
      <c r="F67" s="19" t="n">
        <v>20</v>
      </c>
      <c r="G67" s="19" t="n">
        <v>1</v>
      </c>
      <c r="H67" s="19">
        <f>2*(ROUNDUP(1100/150,0)+1)</f>
        <v>18.0</v>
      </c>
      <c r="I67" s="13">
        <f>G67*H67</f>
        <v>18.0</v>
      </c>
      <c r="J67" s="20">
        <f>(3300+40*20)/1000</f>
        <v>4.1</v>
      </c>
      <c r="K67" s="21">
        <f>I67*J67</f>
        <v>73.8</v>
      </c>
      <c r="L67" s="22">
        <f>F67^2/162</f>
        <v>2.4691358024691357</v>
      </c>
      <c r="M67" s="21">
        <f>K67*L67</f>
        <v>182.2222222222222</v>
      </c>
      <c r="N67" s="22">
        <f>M67/1000</f>
        <v>0.1822222222222222</v>
      </c>
      <c r="O67" s="13" t="inlineStr">
        <is>
          <t>Elevation / plan</t>
        </is>
      </c>
    </row>
    <row r="68">
      <c r="A68" s="13" t="n">
        <v>63</v>
      </c>
      <c r="B68" s="13" t="inlineStr">
        <is>
          <t>Shear Walls</t>
        </is>
      </c>
      <c r="C68" s="13" t="inlineStr">
        <is>
          <t>STR-013/014</t>
        </is>
      </c>
      <c r="D68" s="13" t="inlineStr">
        <is>
          <t>Emergency stair core CW-20 (L=1300mm) 7th to 8th - horizontal Y12@150 NF/FF</t>
        </is>
      </c>
      <c r="E68" s="19" t="inlineStr">
        <is>
          <t>H-Y12</t>
        </is>
      </c>
      <c r="F68" s="19" t="n">
        <v>12</v>
      </c>
      <c r="G68" s="19" t="n">
        <v>1</v>
      </c>
      <c r="H68" s="19">
        <f>2*20</f>
        <v>40.0</v>
      </c>
      <c r="I68" s="13">
        <f>G68*H68</f>
        <v>40.0</v>
      </c>
      <c r="J68" s="20">
        <f>(1300-2*30+40*12)/1000</f>
        <v>1.72</v>
      </c>
      <c r="K68" s="21">
        <f>I68*J68</f>
        <v>68.8</v>
      </c>
      <c r="L68" s="22">
        <f>F68^2/162</f>
        <v>0.8888888888888888</v>
      </c>
      <c r="M68" s="21">
        <f>K68*L68</f>
        <v>61.15555555555555</v>
      </c>
      <c r="N68" s="22">
        <f>M68/1000</f>
        <v>0.06115555555555555</v>
      </c>
      <c r="O68" s="13" t="inlineStr">
        <is>
          <t>Elevation count / plan length</t>
        </is>
      </c>
    </row>
    <row r="69">
      <c r="A69" s="13" t="n">
        <v>64</v>
      </c>
      <c r="B69" s="13" t="inlineStr">
        <is>
          <t>Shear Walls</t>
        </is>
      </c>
      <c r="C69" s="13" t="inlineStr">
        <is>
          <t>STR-013/014</t>
        </is>
      </c>
      <c r="D69" s="13" t="inlineStr">
        <is>
          <t>Emergency stair core CW-20 7th to 8th - vertical Y20@150 NF/FF</t>
        </is>
      </c>
      <c r="E69" s="19" t="inlineStr">
        <is>
          <t>V-Y20</t>
        </is>
      </c>
      <c r="F69" s="19" t="n">
        <v>20</v>
      </c>
      <c r="G69" s="19" t="n">
        <v>1</v>
      </c>
      <c r="H69" s="19">
        <f>2*(ROUNDUP(1300/150,0)+1)</f>
        <v>20.0</v>
      </c>
      <c r="I69" s="13">
        <f>G69*H69</f>
        <v>20.0</v>
      </c>
      <c r="J69" s="20">
        <f>(3300+40*20)/1000</f>
        <v>4.1</v>
      </c>
      <c r="K69" s="21">
        <f>I69*J69</f>
        <v>82.0</v>
      </c>
      <c r="L69" s="22">
        <f>F69^2/162</f>
        <v>2.4691358024691357</v>
      </c>
      <c r="M69" s="21">
        <f>K69*L69</f>
        <v>202.4691358024691</v>
      </c>
      <c r="N69" s="22">
        <f>M69/1000</f>
        <v>0.2024691358024691</v>
      </c>
      <c r="O69" s="13" t="inlineStr">
        <is>
          <t>Elevation / plan</t>
        </is>
      </c>
    </row>
    <row r="70">
      <c r="A70" s="13" t="n">
        <v>65</v>
      </c>
      <c r="B70" s="13" t="inlineStr">
        <is>
          <t>Shear Walls</t>
        </is>
      </c>
      <c r="C70" s="13" t="inlineStr">
        <is>
          <t>STR-013/014</t>
        </is>
      </c>
      <c r="D70" s="13" t="inlineStr">
        <is>
          <t>Emergency stair core confinement links Y10@150 (33 positions on plan) 7th to 8th</t>
        </is>
      </c>
      <c r="E70" s="19" t="inlineStr">
        <is>
          <t>LNK-Y10</t>
        </is>
      </c>
      <c r="F70" s="19" t="n">
        <v>10</v>
      </c>
      <c r="G70" s="19" t="n">
        <v>1</v>
      </c>
      <c r="H70" s="19">
        <f>33*ROUNDUP(3300/150,0)</f>
        <v>726.0</v>
      </c>
      <c r="I70" s="13">
        <f>G70*H70</f>
        <v>726.0</v>
      </c>
      <c r="J70" s="20">
        <f>1800/1000</f>
        <v>1.8</v>
      </c>
      <c r="K70" s="21">
        <f>I70*J70</f>
        <v>1306.8</v>
      </c>
      <c r="L70" s="22">
        <f>F70^2/162</f>
        <v>0.6172839506172839</v>
      </c>
      <c r="M70" s="21">
        <f>K70*L70</f>
        <v>806.6666666666666</v>
      </c>
      <c r="N70" s="22">
        <f>M70/1000</f>
        <v>0.8066666666666666</v>
      </c>
      <c r="O70" s="13" t="inlineStr">
        <is>
          <t>Assumed link cut length</t>
        </is>
      </c>
    </row>
    <row r="71">
      <c r="A71" s="13" t="n">
        <v>66</v>
      </c>
      <c r="B71" s="13" t="inlineStr">
        <is>
          <t>Lift Walls</t>
        </is>
      </c>
      <c r="C71" s="13" t="inlineStr">
        <is>
          <t>STR-015/017</t>
        </is>
      </c>
      <c r="D71" s="13" t="inlineStr">
        <is>
          <t>Main core (lift shafts) CW-02 (L=3600mm) 7th to 8th - horizontal Y12@150 NF/FF</t>
        </is>
      </c>
      <c r="E71" s="19" t="inlineStr">
        <is>
          <t>H-Y12</t>
        </is>
      </c>
      <c r="F71" s="19" t="n">
        <v>12</v>
      </c>
      <c r="G71" s="19" t="n">
        <v>1</v>
      </c>
      <c r="H71" s="19">
        <f>2*20</f>
        <v>40.0</v>
      </c>
      <c r="I71" s="13">
        <f>G71*H71</f>
        <v>40.0</v>
      </c>
      <c r="J71" s="20">
        <f>(3600-2*30+40*12)/1000</f>
        <v>4.02</v>
      </c>
      <c r="K71" s="21">
        <f>I71*J71</f>
        <v>160.79999999999998</v>
      </c>
      <c r="L71" s="22">
        <f>F71^2/162</f>
        <v>0.8888888888888888</v>
      </c>
      <c r="M71" s="21">
        <f>K71*L71</f>
        <v>142.9333333333333</v>
      </c>
      <c r="N71" s="22">
        <f>M71/1000</f>
        <v>0.1429333333333333</v>
      </c>
      <c r="O71" s="13" t="inlineStr">
        <is>
          <t>Elevation count / plan length</t>
        </is>
      </c>
    </row>
    <row r="72">
      <c r="A72" s="13" t="n">
        <v>67</v>
      </c>
      <c r="B72" s="13" t="inlineStr">
        <is>
          <t>Lift Walls</t>
        </is>
      </c>
      <c r="C72" s="13" t="inlineStr">
        <is>
          <t>STR-015/017</t>
        </is>
      </c>
      <c r="D72" s="13" t="inlineStr">
        <is>
          <t>Main core (lift shafts) CW-02 7th to 8th - vertical Y20@150 NF/FF</t>
        </is>
      </c>
      <c r="E72" s="19" t="inlineStr">
        <is>
          <t>V-Y20</t>
        </is>
      </c>
      <c r="F72" s="19" t="n">
        <v>20</v>
      </c>
      <c r="G72" s="19" t="n">
        <v>1</v>
      </c>
      <c r="H72" s="19">
        <f>2*29</f>
        <v>58.0</v>
      </c>
      <c r="I72" s="13">
        <f>G72*H72</f>
        <v>58.0</v>
      </c>
      <c r="J72" s="20">
        <f>(3300+40*20)/1000</f>
        <v>4.1</v>
      </c>
      <c r="K72" s="21">
        <f>I72*J72</f>
        <v>237.79999999999998</v>
      </c>
      <c r="L72" s="22">
        <f>F72^2/162</f>
        <v>2.4691358024691357</v>
      </c>
      <c r="M72" s="21">
        <f>K72*L72</f>
        <v>587.1604938271604</v>
      </c>
      <c r="N72" s="22">
        <f>M72/1000</f>
        <v>0.5871604938271604</v>
      </c>
      <c r="O72" s="13" t="inlineStr">
        <is>
          <t>Elevation / plan</t>
        </is>
      </c>
    </row>
    <row r="73">
      <c r="A73" s="13" t="n">
        <v>68</v>
      </c>
      <c r="B73" s="13" t="inlineStr">
        <is>
          <t>Lift Walls</t>
        </is>
      </c>
      <c r="C73" s="13" t="inlineStr">
        <is>
          <t>STR-015/017</t>
        </is>
      </c>
      <c r="D73" s="13" t="inlineStr">
        <is>
          <t>Main core (lift shafts) CW-03 (L=3600mm) 7th to 8th - horizontal Y12@150 NF/FF</t>
        </is>
      </c>
      <c r="E73" s="19" t="inlineStr">
        <is>
          <t>H-Y12</t>
        </is>
      </c>
      <c r="F73" s="19" t="n">
        <v>12</v>
      </c>
      <c r="G73" s="19" t="n">
        <v>1</v>
      </c>
      <c r="H73" s="19">
        <f>2*20</f>
        <v>40.0</v>
      </c>
      <c r="I73" s="13">
        <f>G73*H73</f>
        <v>40.0</v>
      </c>
      <c r="J73" s="20">
        <f>(3600-2*30+40*12)/1000</f>
        <v>4.02</v>
      </c>
      <c r="K73" s="21">
        <f>I73*J73</f>
        <v>160.79999999999998</v>
      </c>
      <c r="L73" s="22">
        <f>F73^2/162</f>
        <v>0.8888888888888888</v>
      </c>
      <c r="M73" s="21">
        <f>K73*L73</f>
        <v>142.9333333333333</v>
      </c>
      <c r="N73" s="22">
        <f>M73/1000</f>
        <v>0.1429333333333333</v>
      </c>
      <c r="O73" s="13" t="inlineStr">
        <is>
          <t>Elevation count / plan length</t>
        </is>
      </c>
    </row>
    <row r="74">
      <c r="A74" s="13" t="n">
        <v>69</v>
      </c>
      <c r="B74" s="13" t="inlineStr">
        <is>
          <t>Lift Walls</t>
        </is>
      </c>
      <c r="C74" s="13" t="inlineStr">
        <is>
          <t>STR-015/017</t>
        </is>
      </c>
      <c r="D74" s="13" t="inlineStr">
        <is>
          <t>Main core (lift shafts) CW-03 7th to 8th - vertical Y20@150 NF/FF</t>
        </is>
      </c>
      <c r="E74" s="19" t="inlineStr">
        <is>
          <t>V-Y20</t>
        </is>
      </c>
      <c r="F74" s="19" t="n">
        <v>20</v>
      </c>
      <c r="G74" s="19" t="n">
        <v>1</v>
      </c>
      <c r="H74" s="19">
        <f>2*29</f>
        <v>58.0</v>
      </c>
      <c r="I74" s="13">
        <f>G74*H74</f>
        <v>58.0</v>
      </c>
      <c r="J74" s="20">
        <f>(3300+40*20)/1000</f>
        <v>4.1</v>
      </c>
      <c r="K74" s="21">
        <f>I74*J74</f>
        <v>237.79999999999998</v>
      </c>
      <c r="L74" s="22">
        <f>F74^2/162</f>
        <v>2.4691358024691357</v>
      </c>
      <c r="M74" s="21">
        <f>K74*L74</f>
        <v>587.1604938271604</v>
      </c>
      <c r="N74" s="22">
        <f>M74/1000</f>
        <v>0.5871604938271604</v>
      </c>
      <c r="O74" s="13" t="inlineStr">
        <is>
          <t>Elevation / plan</t>
        </is>
      </c>
    </row>
    <row r="75">
      <c r="A75" s="13" t="n">
        <v>70</v>
      </c>
      <c r="B75" s="13" t="inlineStr">
        <is>
          <t>Lift Walls</t>
        </is>
      </c>
      <c r="C75" s="13" t="inlineStr">
        <is>
          <t>STR-015/017</t>
        </is>
      </c>
      <c r="D75" s="13" t="inlineStr">
        <is>
          <t>Main core (lift shafts) CW-04 (L=3600mm) 7th to 8th - horizontal Y12@150 NF/FF</t>
        </is>
      </c>
      <c r="E75" s="19" t="inlineStr">
        <is>
          <t>H-Y12</t>
        </is>
      </c>
      <c r="F75" s="19" t="n">
        <v>12</v>
      </c>
      <c r="G75" s="19" t="n">
        <v>1</v>
      </c>
      <c r="H75" s="19">
        <f>2*20</f>
        <v>40.0</v>
      </c>
      <c r="I75" s="13">
        <f>G75*H75</f>
        <v>40.0</v>
      </c>
      <c r="J75" s="20">
        <f>(3600-2*30+40*12)/1000</f>
        <v>4.02</v>
      </c>
      <c r="K75" s="21">
        <f>I75*J75</f>
        <v>160.79999999999998</v>
      </c>
      <c r="L75" s="22">
        <f>F75^2/162</f>
        <v>0.8888888888888888</v>
      </c>
      <c r="M75" s="21">
        <f>K75*L75</f>
        <v>142.9333333333333</v>
      </c>
      <c r="N75" s="22">
        <f>M75/1000</f>
        <v>0.1429333333333333</v>
      </c>
      <c r="O75" s="13" t="inlineStr">
        <is>
          <t>Elevation count / plan length</t>
        </is>
      </c>
    </row>
    <row r="76">
      <c r="A76" s="13" t="n">
        <v>71</v>
      </c>
      <c r="B76" s="13" t="inlineStr">
        <is>
          <t>Lift Walls</t>
        </is>
      </c>
      <c r="C76" s="13" t="inlineStr">
        <is>
          <t>STR-015/017</t>
        </is>
      </c>
      <c r="D76" s="13" t="inlineStr">
        <is>
          <t>Main core (lift shafts) CW-04 7th to 8th - vertical Y20@150 NF/FF</t>
        </is>
      </c>
      <c r="E76" s="19" t="inlineStr">
        <is>
          <t>V-Y20</t>
        </is>
      </c>
      <c r="F76" s="19" t="n">
        <v>20</v>
      </c>
      <c r="G76" s="19" t="n">
        <v>1</v>
      </c>
      <c r="H76" s="19">
        <f>2*29</f>
        <v>58.0</v>
      </c>
      <c r="I76" s="13">
        <f>G76*H76</f>
        <v>58.0</v>
      </c>
      <c r="J76" s="20">
        <f>(3300+40*20)/1000</f>
        <v>4.1</v>
      </c>
      <c r="K76" s="21">
        <f>I76*J76</f>
        <v>237.79999999999998</v>
      </c>
      <c r="L76" s="22">
        <f>F76^2/162</f>
        <v>2.4691358024691357</v>
      </c>
      <c r="M76" s="21">
        <f>K76*L76</f>
        <v>587.1604938271604</v>
      </c>
      <c r="N76" s="22">
        <f>M76/1000</f>
        <v>0.5871604938271604</v>
      </c>
      <c r="O76" s="13" t="inlineStr">
        <is>
          <t>Elevation / plan</t>
        </is>
      </c>
    </row>
    <row r="77">
      <c r="A77" s="13" t="n">
        <v>72</v>
      </c>
      <c r="B77" s="13" t="inlineStr">
        <is>
          <t>Lift Walls</t>
        </is>
      </c>
      <c r="C77" s="13" t="inlineStr">
        <is>
          <t>STR-015/017</t>
        </is>
      </c>
      <c r="D77" s="13" t="inlineStr">
        <is>
          <t>Main core (lift shafts) CW-06 (L=2025mm) 7th to 8th - horizontal Y12@150 NF/FF</t>
        </is>
      </c>
      <c r="E77" s="19" t="inlineStr">
        <is>
          <t>H-Y12</t>
        </is>
      </c>
      <c r="F77" s="19" t="n">
        <v>12</v>
      </c>
      <c r="G77" s="19" t="n">
        <v>1</v>
      </c>
      <c r="H77" s="19">
        <f>2*20</f>
        <v>40.0</v>
      </c>
      <c r="I77" s="13">
        <f>G77*H77</f>
        <v>40.0</v>
      </c>
      <c r="J77" s="20">
        <f>(2025-2*30+40*12)/1000</f>
        <v>2.445</v>
      </c>
      <c r="K77" s="21">
        <f>I77*J77</f>
        <v>97.8</v>
      </c>
      <c r="L77" s="22">
        <f>F77^2/162</f>
        <v>0.8888888888888888</v>
      </c>
      <c r="M77" s="21">
        <f>K77*L77</f>
        <v>86.93333333333332</v>
      </c>
      <c r="N77" s="22">
        <f>M77/1000</f>
        <v>0.08693333333333332</v>
      </c>
      <c r="O77" s="13" t="inlineStr">
        <is>
          <t>Elevation count / plan length</t>
        </is>
      </c>
    </row>
    <row r="78">
      <c r="A78" s="13" t="n">
        <v>73</v>
      </c>
      <c r="B78" s="13" t="inlineStr">
        <is>
          <t>Lift Walls</t>
        </is>
      </c>
      <c r="C78" s="13" t="inlineStr">
        <is>
          <t>STR-015/017</t>
        </is>
      </c>
      <c r="D78" s="13" t="inlineStr">
        <is>
          <t>Main core (lift shafts) CW-06 7th to 8th - vertical Y20@150 NF/FF</t>
        </is>
      </c>
      <c r="E78" s="19" t="inlineStr">
        <is>
          <t>V-Y20</t>
        </is>
      </c>
      <c r="F78" s="19" t="n">
        <v>20</v>
      </c>
      <c r="G78" s="19" t="n">
        <v>1</v>
      </c>
      <c r="H78" s="19">
        <f>2*(ROUNDUP(2025/150,0)+1)</f>
        <v>30.0</v>
      </c>
      <c r="I78" s="13">
        <f>G78*H78</f>
        <v>30.0</v>
      </c>
      <c r="J78" s="20">
        <f>(3300+40*20)/1000</f>
        <v>4.1</v>
      </c>
      <c r="K78" s="21">
        <f>I78*J78</f>
        <v>122.99999999999999</v>
      </c>
      <c r="L78" s="22">
        <f>F78^2/162</f>
        <v>2.4691358024691357</v>
      </c>
      <c r="M78" s="21">
        <f>K78*L78</f>
        <v>303.70370370370364</v>
      </c>
      <c r="N78" s="22">
        <f>M78/1000</f>
        <v>0.30370370370370364</v>
      </c>
      <c r="O78" s="13" t="inlineStr">
        <is>
          <t>Elevation / plan</t>
        </is>
      </c>
    </row>
    <row r="79">
      <c r="A79" s="13" t="n">
        <v>74</v>
      </c>
      <c r="B79" s="13" t="inlineStr">
        <is>
          <t>Lift Walls</t>
        </is>
      </c>
      <c r="C79" s="13" t="inlineStr">
        <is>
          <t>STR-015/017</t>
        </is>
      </c>
      <c r="D79" s="13" t="inlineStr">
        <is>
          <t>Main core (lift shafts) CW-08 (L=4500mm) 7th to 8th - horizontal Y12@150 NF/FF</t>
        </is>
      </c>
      <c r="E79" s="19" t="inlineStr">
        <is>
          <t>H-Y12</t>
        </is>
      </c>
      <c r="F79" s="19" t="n">
        <v>12</v>
      </c>
      <c r="G79" s="19" t="n">
        <v>1</v>
      </c>
      <c r="H79" s="19">
        <f>2*20</f>
        <v>40.0</v>
      </c>
      <c r="I79" s="13">
        <f>G79*H79</f>
        <v>40.0</v>
      </c>
      <c r="J79" s="20">
        <f>(4500-2*30+40*12)/1000</f>
        <v>4.92</v>
      </c>
      <c r="K79" s="21">
        <f>I79*J79</f>
        <v>196.8</v>
      </c>
      <c r="L79" s="22">
        <f>F79^2/162</f>
        <v>0.8888888888888888</v>
      </c>
      <c r="M79" s="21">
        <f>K79*L79</f>
        <v>174.93333333333334</v>
      </c>
      <c r="N79" s="22">
        <f>M79/1000</f>
        <v>0.17493333333333333</v>
      </c>
      <c r="O79" s="13" t="inlineStr">
        <is>
          <t>Elevation count / plan length</t>
        </is>
      </c>
    </row>
    <row r="80">
      <c r="A80" s="13" t="n">
        <v>75</v>
      </c>
      <c r="B80" s="13" t="inlineStr">
        <is>
          <t>Lift Walls</t>
        </is>
      </c>
      <c r="C80" s="13" t="inlineStr">
        <is>
          <t>STR-015/017</t>
        </is>
      </c>
      <c r="D80" s="13" t="inlineStr">
        <is>
          <t>Main core (lift shafts) CW-08 7th to 8th - vertical Y20@150 NF/FF</t>
        </is>
      </c>
      <c r="E80" s="19" t="inlineStr">
        <is>
          <t>V-Y20</t>
        </is>
      </c>
      <c r="F80" s="19" t="n">
        <v>20</v>
      </c>
      <c r="G80" s="19" t="n">
        <v>1</v>
      </c>
      <c r="H80" s="19">
        <f>2*(ROUNDUP(4500/150,0)+1)</f>
        <v>62.0</v>
      </c>
      <c r="I80" s="13">
        <f>G80*H80</f>
        <v>62.0</v>
      </c>
      <c r="J80" s="20">
        <f>(3300+40*20)/1000</f>
        <v>4.1</v>
      </c>
      <c r="K80" s="21">
        <f>I80*J80</f>
        <v>254.2</v>
      </c>
      <c r="L80" s="22">
        <f>F80^2/162</f>
        <v>2.4691358024691357</v>
      </c>
      <c r="M80" s="21">
        <f>K80*L80</f>
        <v>627.6543209876543</v>
      </c>
      <c r="N80" s="22">
        <f>M80/1000</f>
        <v>0.6276543209876543</v>
      </c>
      <c r="O80" s="13" t="inlineStr">
        <is>
          <t>Elevation / plan</t>
        </is>
      </c>
    </row>
    <row r="81">
      <c r="A81" s="13" t="n">
        <v>76</v>
      </c>
      <c r="B81" s="13" t="inlineStr">
        <is>
          <t>Lift Walls</t>
        </is>
      </c>
      <c r="C81" s="13" t="inlineStr">
        <is>
          <t>STR-015/017</t>
        </is>
      </c>
      <c r="D81" s="13" t="inlineStr">
        <is>
          <t>Main core (lift shafts) CW-07 (lift section) (L=4500mm) 7th to 8th - horizontal Y12@150 NF/FF</t>
        </is>
      </c>
      <c r="E81" s="19" t="inlineStr">
        <is>
          <t>H-Y12</t>
        </is>
      </c>
      <c r="F81" s="19" t="n">
        <v>12</v>
      </c>
      <c r="G81" s="19" t="n">
        <v>1</v>
      </c>
      <c r="H81" s="19">
        <f>2*20</f>
        <v>40.0</v>
      </c>
      <c r="I81" s="13">
        <f>G81*H81</f>
        <v>40.0</v>
      </c>
      <c r="J81" s="20">
        <f>(4500-2*30+40*12)/1000</f>
        <v>4.92</v>
      </c>
      <c r="K81" s="21">
        <f>I81*J81</f>
        <v>196.8</v>
      </c>
      <c r="L81" s="22">
        <f>F81^2/162</f>
        <v>0.8888888888888888</v>
      </c>
      <c r="M81" s="21">
        <f>K81*L81</f>
        <v>174.93333333333334</v>
      </c>
      <c r="N81" s="22">
        <f>M81/1000</f>
        <v>0.17493333333333333</v>
      </c>
      <c r="O81" s="13" t="inlineStr">
        <is>
          <t>Elevation count / plan length</t>
        </is>
      </c>
    </row>
    <row r="82">
      <c r="A82" s="13" t="n">
        <v>77</v>
      </c>
      <c r="B82" s="13" t="inlineStr">
        <is>
          <t>Lift Walls</t>
        </is>
      </c>
      <c r="C82" s="13" t="inlineStr">
        <is>
          <t>STR-015/017</t>
        </is>
      </c>
      <c r="D82" s="13" t="inlineStr">
        <is>
          <t>Main core (lift shafts) CW-07 (lift section) 7th to 8th - vertical Y20@150 NF/FF</t>
        </is>
      </c>
      <c r="E82" s="19" t="inlineStr">
        <is>
          <t>V-Y20</t>
        </is>
      </c>
      <c r="F82" s="19" t="n">
        <v>20</v>
      </c>
      <c r="G82" s="19" t="n">
        <v>1</v>
      </c>
      <c r="H82" s="19">
        <f>2*(ROUNDUP(4500/150,0)+1)</f>
        <v>62.0</v>
      </c>
      <c r="I82" s="13">
        <f>G82*H82</f>
        <v>62.0</v>
      </c>
      <c r="J82" s="20">
        <f>(3300+40*20)/1000</f>
        <v>4.1</v>
      </c>
      <c r="K82" s="21">
        <f>I82*J82</f>
        <v>254.2</v>
      </c>
      <c r="L82" s="22">
        <f>F82^2/162</f>
        <v>2.4691358024691357</v>
      </c>
      <c r="M82" s="21">
        <f>K82*L82</f>
        <v>627.6543209876543</v>
      </c>
      <c r="N82" s="22">
        <f>M82/1000</f>
        <v>0.6276543209876543</v>
      </c>
      <c r="O82" s="13" t="inlineStr">
        <is>
          <t>Elevation / plan</t>
        </is>
      </c>
    </row>
    <row r="83">
      <c r="A83" s="13" t="n">
        <v>78</v>
      </c>
      <c r="B83" s="13" t="inlineStr">
        <is>
          <t>Lift Walls</t>
        </is>
      </c>
      <c r="C83" s="13" t="inlineStr">
        <is>
          <t>STR-015/017</t>
        </is>
      </c>
      <c r="D83" s="13" t="inlineStr">
        <is>
          <t>Main core (lift shafts) confinement links Y10@150 (26 positions on plan) 7th to 8th</t>
        </is>
      </c>
      <c r="E83" s="19" t="inlineStr">
        <is>
          <t>LNK-Y10</t>
        </is>
      </c>
      <c r="F83" s="19" t="n">
        <v>10</v>
      </c>
      <c r="G83" s="19" t="n">
        <v>1</v>
      </c>
      <c r="H83" s="19">
        <f>26*ROUNDUP(3300/150,0)</f>
        <v>572.0</v>
      </c>
      <c r="I83" s="13">
        <f>G83*H83</f>
        <v>572.0</v>
      </c>
      <c r="J83" s="20">
        <f>1800/1000</f>
        <v>1.8</v>
      </c>
      <c r="K83" s="21">
        <f>I83*J83</f>
        <v>1029.6000000000001</v>
      </c>
      <c r="L83" s="22">
        <f>F83^2/162</f>
        <v>0.6172839506172839</v>
      </c>
      <c r="M83" s="21">
        <f>K83*L83</f>
        <v>635.5555555555557</v>
      </c>
      <c r="N83" s="22">
        <f>M83/1000</f>
        <v>0.6355555555555557</v>
      </c>
      <c r="O83" s="13" t="inlineStr">
        <is>
          <t>Assumed link cut length</t>
        </is>
      </c>
    </row>
    <row r="84">
      <c r="A84" s="13" t="n">
        <v>79</v>
      </c>
      <c r="B84" s="13" t="inlineStr">
        <is>
          <t>Beams</t>
        </is>
      </c>
      <c r="C84" s="13" t="inlineStr">
        <is>
          <t>STR-078</t>
        </is>
      </c>
      <c r="D84" s="13" t="inlineStr">
        <is>
          <t>Typical 4th-8th floor beams (sheet 1 of 2)</t>
        </is>
      </c>
      <c r="E84" s="19" t="inlineStr">
        <is>
          <t>1001</t>
        </is>
      </c>
      <c r="F84" s="19" t="n">
        <v>10</v>
      </c>
      <c r="G84" s="19" t="n">
        <v>1</v>
      </c>
      <c r="H84" s="19" t="n">
        <v>876</v>
      </c>
      <c r="I84" s="13">
        <f>G84*H84</f>
        <v>876.0</v>
      </c>
      <c r="J84" s="20">
        <f>1700/1000</f>
        <v>1.7</v>
      </c>
      <c r="K84" s="21">
        <f>I84*J84</f>
        <v>1489.2</v>
      </c>
      <c r="L84" s="22">
        <f>F84^2/162</f>
        <v>0.6172839506172839</v>
      </c>
      <c r="M84" s="21">
        <f>K84*L84</f>
        <v>919.2592592592592</v>
      </c>
      <c r="N84" s="22">
        <f>M84/1000</f>
        <v>0.9192592592592592</v>
      </c>
      <c r="O84" s="13" t="inlineStr">
        <is>
          <t>BBS</t>
        </is>
      </c>
    </row>
    <row r="85">
      <c r="A85" s="13" t="n">
        <v>80</v>
      </c>
      <c r="B85" s="13" t="inlineStr">
        <is>
          <t>Beams</t>
        </is>
      </c>
      <c r="C85" s="13" t="inlineStr">
        <is>
          <t>STR-078</t>
        </is>
      </c>
      <c r="D85" s="13" t="inlineStr">
        <is>
          <t>Typical 4th-8th floor beams (sheet 1 of 2)</t>
        </is>
      </c>
      <c r="E85" s="19" t="inlineStr">
        <is>
          <t>1002</t>
        </is>
      </c>
      <c r="F85" s="19" t="n">
        <v>10</v>
      </c>
      <c r="G85" s="19" t="n">
        <v>1</v>
      </c>
      <c r="H85" s="19" t="n">
        <v>270</v>
      </c>
      <c r="I85" s="13">
        <f>G85*H85</f>
        <v>270.0</v>
      </c>
      <c r="J85" s="20">
        <f>1500/1000</f>
        <v>1.5</v>
      </c>
      <c r="K85" s="21">
        <f>I85*J85</f>
        <v>405.0</v>
      </c>
      <c r="L85" s="22">
        <f>F85^2/162</f>
        <v>0.6172839506172839</v>
      </c>
      <c r="M85" s="21">
        <f>K85*L85</f>
        <v>250.0</v>
      </c>
      <c r="N85" s="22">
        <f>M85/1000</f>
        <v>0.25</v>
      </c>
      <c r="O85" s="13" t="inlineStr">
        <is>
          <t>BBS</t>
        </is>
      </c>
    </row>
    <row r="86">
      <c r="A86" s="13" t="n">
        <v>81</v>
      </c>
      <c r="B86" s="13" t="inlineStr">
        <is>
          <t>Beams</t>
        </is>
      </c>
      <c r="C86" s="13" t="inlineStr">
        <is>
          <t>STR-078</t>
        </is>
      </c>
      <c r="D86" s="13" t="inlineStr">
        <is>
          <t>Typical 4th-8th floor beams (sheet 1 of 2)</t>
        </is>
      </c>
      <c r="E86" s="19" t="inlineStr">
        <is>
          <t>1601</t>
        </is>
      </c>
      <c r="F86" s="19" t="n">
        <v>16</v>
      </c>
      <c r="G86" s="19" t="n">
        <v>1</v>
      </c>
      <c r="H86" s="19" t="n">
        <v>12</v>
      </c>
      <c r="I86" s="13">
        <f>G86*H86</f>
        <v>12.0</v>
      </c>
      <c r="J86" s="20">
        <f>12000/1000</f>
        <v>12.0</v>
      </c>
      <c r="K86" s="21">
        <f>I86*J86</f>
        <v>144.0</v>
      </c>
      <c r="L86" s="22">
        <f>F86^2/162</f>
        <v>1.5802469135802468</v>
      </c>
      <c r="M86" s="21">
        <f>K86*L86</f>
        <v>227.55555555555554</v>
      </c>
      <c r="N86" s="22">
        <f>M86/1000</f>
        <v>0.22755555555555554</v>
      </c>
      <c r="O86" s="13" t="inlineStr">
        <is>
          <t>BBS</t>
        </is>
      </c>
    </row>
    <row r="87">
      <c r="A87" s="13" t="n">
        <v>82</v>
      </c>
      <c r="B87" s="13" t="inlineStr">
        <is>
          <t>Beams</t>
        </is>
      </c>
      <c r="C87" s="13" t="inlineStr">
        <is>
          <t>STR-078</t>
        </is>
      </c>
      <c r="D87" s="13" t="inlineStr">
        <is>
          <t>Typical 4th-8th floor beams (sheet 1 of 2)</t>
        </is>
      </c>
      <c r="E87" s="19" t="inlineStr">
        <is>
          <t>1602</t>
        </is>
      </c>
      <c r="F87" s="19" t="n">
        <v>16</v>
      </c>
      <c r="G87" s="19" t="n">
        <v>1</v>
      </c>
      <c r="H87" s="19" t="n">
        <v>2</v>
      </c>
      <c r="I87" s="13">
        <f>G87*H87</f>
        <v>2.0</v>
      </c>
      <c r="J87" s="20">
        <f>7275/1000</f>
        <v>7.275</v>
      </c>
      <c r="K87" s="21">
        <f>I87*J87</f>
        <v>14.55</v>
      </c>
      <c r="L87" s="22">
        <f>F87^2/162</f>
        <v>1.5802469135802468</v>
      </c>
      <c r="M87" s="21">
        <f>K87*L87</f>
        <v>22.992592592592594</v>
      </c>
      <c r="N87" s="22">
        <f>M87/1000</f>
        <v>0.022992592592592592</v>
      </c>
      <c r="O87" s="13" t="inlineStr">
        <is>
          <t>BBS</t>
        </is>
      </c>
    </row>
    <row r="88">
      <c r="A88" s="13" t="n">
        <v>83</v>
      </c>
      <c r="B88" s="13" t="inlineStr">
        <is>
          <t>Beams</t>
        </is>
      </c>
      <c r="C88" s="13" t="inlineStr">
        <is>
          <t>STR-078</t>
        </is>
      </c>
      <c r="D88" s="13" t="inlineStr">
        <is>
          <t>Typical 4th-8th floor beams (sheet 1 of 2)</t>
        </is>
      </c>
      <c r="E88" s="19" t="inlineStr">
        <is>
          <t>1603</t>
        </is>
      </c>
      <c r="F88" s="19" t="n">
        <v>16</v>
      </c>
      <c r="G88" s="19" t="n">
        <v>1</v>
      </c>
      <c r="H88" s="19" t="n">
        <v>4</v>
      </c>
      <c r="I88" s="13">
        <f>G88*H88</f>
        <v>4.0</v>
      </c>
      <c r="J88" s="20">
        <f>7850/1000</f>
        <v>7.85</v>
      </c>
      <c r="K88" s="21">
        <f>I88*J88</f>
        <v>31.4</v>
      </c>
      <c r="L88" s="22">
        <f>F88^2/162</f>
        <v>1.5802469135802468</v>
      </c>
      <c r="M88" s="21">
        <f>K88*L88</f>
        <v>49.61975308641975</v>
      </c>
      <c r="N88" s="22">
        <f>M88/1000</f>
        <v>0.04961975308641975</v>
      </c>
      <c r="O88" s="13" t="inlineStr">
        <is>
          <t>BBS</t>
        </is>
      </c>
    </row>
    <row r="89">
      <c r="A89" s="13" t="n">
        <v>84</v>
      </c>
      <c r="B89" s="13" t="inlineStr">
        <is>
          <t>Beams</t>
        </is>
      </c>
      <c r="C89" s="13" t="inlineStr">
        <is>
          <t>STR-078</t>
        </is>
      </c>
      <c r="D89" s="13" t="inlineStr">
        <is>
          <t>Typical 4th-8th floor beams (sheet 1 of 2)</t>
        </is>
      </c>
      <c r="E89" s="19" t="inlineStr">
        <is>
          <t>1604</t>
        </is>
      </c>
      <c r="F89" s="19" t="n">
        <v>16</v>
      </c>
      <c r="G89" s="19" t="n">
        <v>1</v>
      </c>
      <c r="H89" s="19" t="n">
        <v>4</v>
      </c>
      <c r="I89" s="13">
        <f>G89*H89</f>
        <v>4.0</v>
      </c>
      <c r="J89" s="20">
        <f>7400/1000</f>
        <v>7.4</v>
      </c>
      <c r="K89" s="21">
        <f>I89*J89</f>
        <v>29.6</v>
      </c>
      <c r="L89" s="22">
        <f>F89^2/162</f>
        <v>1.5802469135802468</v>
      </c>
      <c r="M89" s="21">
        <f>K89*L89</f>
        <v>46.77530864197531</v>
      </c>
      <c r="N89" s="22">
        <f>M89/1000</f>
        <v>0.04677530864197531</v>
      </c>
      <c r="O89" s="13" t="inlineStr">
        <is>
          <t>BBS</t>
        </is>
      </c>
    </row>
    <row r="90">
      <c r="A90" s="13" t="n">
        <v>85</v>
      </c>
      <c r="B90" s="13" t="inlineStr">
        <is>
          <t>Beams</t>
        </is>
      </c>
      <c r="C90" s="13" t="inlineStr">
        <is>
          <t>STR-078</t>
        </is>
      </c>
      <c r="D90" s="13" t="inlineStr">
        <is>
          <t>Typical 4th-8th floor beams (sheet 1 of 2)</t>
        </is>
      </c>
      <c r="E90" s="19" t="inlineStr">
        <is>
          <t>1605</t>
        </is>
      </c>
      <c r="F90" s="19" t="n">
        <v>16</v>
      </c>
      <c r="G90" s="19" t="n">
        <v>1</v>
      </c>
      <c r="H90" s="19" t="n">
        <v>3</v>
      </c>
      <c r="I90" s="13">
        <f>G90*H90</f>
        <v>3.0</v>
      </c>
      <c r="J90" s="20">
        <f>8900/1000</f>
        <v>8.9</v>
      </c>
      <c r="K90" s="21">
        <f>I90*J90</f>
        <v>26.700000000000003</v>
      </c>
      <c r="L90" s="22">
        <f>F90^2/162</f>
        <v>1.5802469135802468</v>
      </c>
      <c r="M90" s="21">
        <f>K90*L90</f>
        <v>42.1925925925926</v>
      </c>
      <c r="N90" s="22">
        <f>M90/1000</f>
        <v>0.042192592592592594</v>
      </c>
      <c r="O90" s="13" t="inlineStr">
        <is>
          <t>BBS</t>
        </is>
      </c>
    </row>
    <row r="91">
      <c r="A91" s="13" t="n">
        <v>86</v>
      </c>
      <c r="B91" s="13" t="inlineStr">
        <is>
          <t>Beams</t>
        </is>
      </c>
      <c r="C91" s="13" t="inlineStr">
        <is>
          <t>STR-078</t>
        </is>
      </c>
      <c r="D91" s="13" t="inlineStr">
        <is>
          <t>Typical 4th-8th floor beams (sheet 1 of 2)</t>
        </is>
      </c>
      <c r="E91" s="19" t="inlineStr">
        <is>
          <t>1606</t>
        </is>
      </c>
      <c r="F91" s="19" t="n">
        <v>16</v>
      </c>
      <c r="G91" s="19" t="n">
        <v>1</v>
      </c>
      <c r="H91" s="19" t="n">
        <v>3</v>
      </c>
      <c r="I91" s="13">
        <f>G91*H91</f>
        <v>3.0</v>
      </c>
      <c r="J91" s="20">
        <f>5600/1000</f>
        <v>5.6</v>
      </c>
      <c r="K91" s="21">
        <f>I91*J91</f>
        <v>16.799999999999997</v>
      </c>
      <c r="L91" s="22">
        <f>F91^2/162</f>
        <v>1.5802469135802468</v>
      </c>
      <c r="M91" s="21">
        <f>K91*L91</f>
        <v>26.548148148148144</v>
      </c>
      <c r="N91" s="22">
        <f>M91/1000</f>
        <v>0.026548148148148144</v>
      </c>
      <c r="O91" s="13" t="inlineStr">
        <is>
          <t>BBS</t>
        </is>
      </c>
    </row>
    <row r="92">
      <c r="A92" s="13" t="n">
        <v>87</v>
      </c>
      <c r="B92" s="13" t="inlineStr">
        <is>
          <t>Beams</t>
        </is>
      </c>
      <c r="C92" s="13" t="inlineStr">
        <is>
          <t>STR-078</t>
        </is>
      </c>
      <c r="D92" s="13" t="inlineStr">
        <is>
          <t>Typical 4th-8th floor beams (sheet 1 of 2)</t>
        </is>
      </c>
      <c r="E92" s="19" t="inlineStr">
        <is>
          <t>1607</t>
        </is>
      </c>
      <c r="F92" s="19" t="n">
        <v>16</v>
      </c>
      <c r="G92" s="19" t="n">
        <v>1</v>
      </c>
      <c r="H92" s="19" t="n">
        <v>3</v>
      </c>
      <c r="I92" s="13">
        <f>G92*H92</f>
        <v>3.0</v>
      </c>
      <c r="J92" s="20">
        <f>9300/1000</f>
        <v>9.3</v>
      </c>
      <c r="K92" s="21">
        <f>I92*J92</f>
        <v>27.900000000000002</v>
      </c>
      <c r="L92" s="22">
        <f>F92^2/162</f>
        <v>1.5802469135802468</v>
      </c>
      <c r="M92" s="21">
        <f>K92*L92</f>
        <v>44.08888888888889</v>
      </c>
      <c r="N92" s="22">
        <f>M92/1000</f>
        <v>0.044088888888888886</v>
      </c>
      <c r="O92" s="13" t="inlineStr">
        <is>
          <t>BBS</t>
        </is>
      </c>
    </row>
    <row r="93">
      <c r="A93" s="13" t="n">
        <v>88</v>
      </c>
      <c r="B93" s="13" t="inlineStr">
        <is>
          <t>Beams</t>
        </is>
      </c>
      <c r="C93" s="13" t="inlineStr">
        <is>
          <t>STR-078</t>
        </is>
      </c>
      <c r="D93" s="13" t="inlineStr">
        <is>
          <t>Typical 4th-8th floor beams (sheet 1 of 2)</t>
        </is>
      </c>
      <c r="E93" s="19" t="inlineStr">
        <is>
          <t>1608</t>
        </is>
      </c>
      <c r="F93" s="19" t="n">
        <v>16</v>
      </c>
      <c r="G93" s="19" t="n">
        <v>1</v>
      </c>
      <c r="H93" s="19" t="n">
        <v>4</v>
      </c>
      <c r="I93" s="13">
        <f>G93*H93</f>
        <v>4.0</v>
      </c>
      <c r="J93" s="20">
        <f>10300/1000</f>
        <v>10.3</v>
      </c>
      <c r="K93" s="21">
        <f>I93*J93</f>
        <v>41.2</v>
      </c>
      <c r="L93" s="22">
        <f>F93^2/162</f>
        <v>1.5802469135802468</v>
      </c>
      <c r="M93" s="21">
        <f>K93*L93</f>
        <v>65.10617283950617</v>
      </c>
      <c r="N93" s="22">
        <f>M93/1000</f>
        <v>0.06510617283950618</v>
      </c>
      <c r="O93" s="13" t="inlineStr">
        <is>
          <t>BBS</t>
        </is>
      </c>
    </row>
    <row r="94">
      <c r="A94" s="13" t="n">
        <v>89</v>
      </c>
      <c r="B94" s="13" t="inlineStr">
        <is>
          <t>Beams</t>
        </is>
      </c>
      <c r="C94" s="13" t="inlineStr">
        <is>
          <t>STR-078</t>
        </is>
      </c>
      <c r="D94" s="13" t="inlineStr">
        <is>
          <t>Typical 4th-8th floor beams (sheet 1 of 2)</t>
        </is>
      </c>
      <c r="E94" s="19" t="inlineStr">
        <is>
          <t>1609</t>
        </is>
      </c>
      <c r="F94" s="19" t="n">
        <v>16</v>
      </c>
      <c r="G94" s="19" t="n">
        <v>1</v>
      </c>
      <c r="H94" s="19" t="n">
        <v>2</v>
      </c>
      <c r="I94" s="13">
        <f>G94*H94</f>
        <v>2.0</v>
      </c>
      <c r="J94" s="20">
        <f>10850/1000</f>
        <v>10.85</v>
      </c>
      <c r="K94" s="21">
        <f>I94*J94</f>
        <v>21.7</v>
      </c>
      <c r="L94" s="22">
        <f>F94^2/162</f>
        <v>1.5802469135802468</v>
      </c>
      <c r="M94" s="21">
        <f>K94*L94</f>
        <v>34.291358024691355</v>
      </c>
      <c r="N94" s="22">
        <f>M94/1000</f>
        <v>0.034291358024691354</v>
      </c>
      <c r="O94" s="13" t="inlineStr">
        <is>
          <t>BBS</t>
        </is>
      </c>
    </row>
    <row r="95">
      <c r="A95" s="13" t="n">
        <v>90</v>
      </c>
      <c r="B95" s="13" t="inlineStr">
        <is>
          <t>Beams</t>
        </is>
      </c>
      <c r="C95" s="13" t="inlineStr">
        <is>
          <t>STR-078</t>
        </is>
      </c>
      <c r="D95" s="13" t="inlineStr">
        <is>
          <t>Typical 4th-8th floor beams (sheet 1 of 2)</t>
        </is>
      </c>
      <c r="E95" s="19" t="inlineStr">
        <is>
          <t>1610</t>
        </is>
      </c>
      <c r="F95" s="19" t="n">
        <v>16</v>
      </c>
      <c r="G95" s="19" t="n">
        <v>1</v>
      </c>
      <c r="H95" s="19" t="n">
        <v>2</v>
      </c>
      <c r="I95" s="13">
        <f>G95*H95</f>
        <v>2.0</v>
      </c>
      <c r="J95" s="20">
        <f>8000/1000</f>
        <v>8.0</v>
      </c>
      <c r="K95" s="21">
        <f>I95*J95</f>
        <v>16.0</v>
      </c>
      <c r="L95" s="22">
        <f>F95^2/162</f>
        <v>1.5802469135802468</v>
      </c>
      <c r="M95" s="21">
        <f>K95*L95</f>
        <v>25.28395061728395</v>
      </c>
      <c r="N95" s="22">
        <f>M95/1000</f>
        <v>0.02528395061728395</v>
      </c>
      <c r="O95" s="13" t="inlineStr">
        <is>
          <t>BBS</t>
        </is>
      </c>
    </row>
    <row r="96">
      <c r="A96" s="13" t="n">
        <v>91</v>
      </c>
      <c r="B96" s="13" t="inlineStr">
        <is>
          <t>Beams</t>
        </is>
      </c>
      <c r="C96" s="13" t="inlineStr">
        <is>
          <t>STR-078</t>
        </is>
      </c>
      <c r="D96" s="13" t="inlineStr">
        <is>
          <t>Typical 4th-8th floor beams (sheet 1 of 2)</t>
        </is>
      </c>
      <c r="E96" s="19" t="inlineStr">
        <is>
          <t>1611</t>
        </is>
      </c>
      <c r="F96" s="19" t="n">
        <v>16</v>
      </c>
      <c r="G96" s="19" t="n">
        <v>1</v>
      </c>
      <c r="H96" s="19" t="n">
        <v>2</v>
      </c>
      <c r="I96" s="13">
        <f>G96*H96</f>
        <v>2.0</v>
      </c>
      <c r="J96" s="20">
        <f>11675/1000</f>
        <v>11.675</v>
      </c>
      <c r="K96" s="21">
        <f>I96*J96</f>
        <v>23.35</v>
      </c>
      <c r="L96" s="22">
        <f>F96^2/162</f>
        <v>1.5802469135802468</v>
      </c>
      <c r="M96" s="21">
        <f>K96*L96</f>
        <v>36.89876543209876</v>
      </c>
      <c r="N96" s="22">
        <f>M96/1000</f>
        <v>0.03689876543209876</v>
      </c>
      <c r="O96" s="13" t="inlineStr">
        <is>
          <t>BBS</t>
        </is>
      </c>
    </row>
    <row r="97">
      <c r="A97" s="13" t="n">
        <v>92</v>
      </c>
      <c r="B97" s="13" t="inlineStr">
        <is>
          <t>Beams</t>
        </is>
      </c>
      <c r="C97" s="13" t="inlineStr">
        <is>
          <t>STR-078</t>
        </is>
      </c>
      <c r="D97" s="13" t="inlineStr">
        <is>
          <t>Typical 4th-8th floor beams (sheet 1 of 2)</t>
        </is>
      </c>
      <c r="E97" s="19" t="inlineStr">
        <is>
          <t>1612</t>
        </is>
      </c>
      <c r="F97" s="19" t="n">
        <v>16</v>
      </c>
      <c r="G97" s="19" t="n">
        <v>1</v>
      </c>
      <c r="H97" s="19" t="n">
        <v>2</v>
      </c>
      <c r="I97" s="13">
        <f>G97*H97</f>
        <v>2.0</v>
      </c>
      <c r="J97" s="20">
        <f>7525/1000</f>
        <v>7.525</v>
      </c>
      <c r="K97" s="21">
        <f>I97*J97</f>
        <v>15.05</v>
      </c>
      <c r="L97" s="22">
        <f>F97^2/162</f>
        <v>1.5802469135802468</v>
      </c>
      <c r="M97" s="21">
        <f>K97*L97</f>
        <v>23.782716049382717</v>
      </c>
      <c r="N97" s="22">
        <f>M97/1000</f>
        <v>0.023782716049382716</v>
      </c>
      <c r="O97" s="13" t="inlineStr">
        <is>
          <t>BBS</t>
        </is>
      </c>
    </row>
    <row r="98">
      <c r="A98" s="13" t="n">
        <v>93</v>
      </c>
      <c r="B98" s="13" t="inlineStr">
        <is>
          <t>Beams</t>
        </is>
      </c>
      <c r="C98" s="13" t="inlineStr">
        <is>
          <t>STR-078</t>
        </is>
      </c>
      <c r="D98" s="13" t="inlineStr">
        <is>
          <t>Typical 4th-8th floor beams (sheet 1 of 2)</t>
        </is>
      </c>
      <c r="E98" s="19" t="inlineStr">
        <is>
          <t>2001</t>
        </is>
      </c>
      <c r="F98" s="19" t="n">
        <v>20</v>
      </c>
      <c r="G98" s="19" t="n">
        <v>1</v>
      </c>
      <c r="H98" s="19" t="n">
        <v>3</v>
      </c>
      <c r="I98" s="13">
        <f>G98*H98</f>
        <v>3.0</v>
      </c>
      <c r="J98" s="20">
        <f>11100/1000</f>
        <v>11.1</v>
      </c>
      <c r="K98" s="21">
        <f>I98*J98</f>
        <v>33.3</v>
      </c>
      <c r="L98" s="22">
        <f>F98^2/162</f>
        <v>2.4691358024691357</v>
      </c>
      <c r="M98" s="21">
        <f>K98*L98</f>
        <v>82.22222222222221</v>
      </c>
      <c r="N98" s="22">
        <f>M98/1000</f>
        <v>0.08222222222222221</v>
      </c>
      <c r="O98" s="13" t="inlineStr">
        <is>
          <t>BBS</t>
        </is>
      </c>
    </row>
    <row r="99">
      <c r="A99" s="13" t="n">
        <v>94</v>
      </c>
      <c r="B99" s="13" t="inlineStr">
        <is>
          <t>Beams</t>
        </is>
      </c>
      <c r="C99" s="13" t="inlineStr">
        <is>
          <t>STR-078</t>
        </is>
      </c>
      <c r="D99" s="13" t="inlineStr">
        <is>
          <t>Typical 4th-8th floor beams (sheet 1 of 2)</t>
        </is>
      </c>
      <c r="E99" s="19" t="inlineStr">
        <is>
          <t>2002</t>
        </is>
      </c>
      <c r="F99" s="19" t="n">
        <v>20</v>
      </c>
      <c r="G99" s="19" t="n">
        <v>1</v>
      </c>
      <c r="H99" s="19" t="n">
        <v>3</v>
      </c>
      <c r="I99" s="13">
        <f>G99*H99</f>
        <v>3.0</v>
      </c>
      <c r="J99" s="20">
        <f>9300/1000</f>
        <v>9.3</v>
      </c>
      <c r="K99" s="21">
        <f>I99*J99</f>
        <v>27.900000000000002</v>
      </c>
      <c r="L99" s="22">
        <f>F99^2/162</f>
        <v>2.4691358024691357</v>
      </c>
      <c r="M99" s="21">
        <f>K99*L99</f>
        <v>68.88888888888889</v>
      </c>
      <c r="N99" s="22">
        <f>M99/1000</f>
        <v>0.06888888888888889</v>
      </c>
      <c r="O99" s="13" t="inlineStr">
        <is>
          <t>BBS</t>
        </is>
      </c>
    </row>
    <row r="100">
      <c r="A100" s="13" t="n">
        <v>95</v>
      </c>
      <c r="B100" s="13" t="inlineStr">
        <is>
          <t>Beams</t>
        </is>
      </c>
      <c r="C100" s="13" t="inlineStr">
        <is>
          <t>STR-078</t>
        </is>
      </c>
      <c r="D100" s="13" t="inlineStr">
        <is>
          <t>Typical 4th-8th floor beams (sheet 1 of 2)</t>
        </is>
      </c>
      <c r="E100" s="19" t="inlineStr">
        <is>
          <t>2003</t>
        </is>
      </c>
      <c r="F100" s="19" t="n">
        <v>20</v>
      </c>
      <c r="G100" s="19" t="n">
        <v>1</v>
      </c>
      <c r="H100" s="19" t="n">
        <v>3</v>
      </c>
      <c r="I100" s="13">
        <f>G100*H100</f>
        <v>3.0</v>
      </c>
      <c r="J100" s="20">
        <f>12000/1000</f>
        <v>12.0</v>
      </c>
      <c r="K100" s="21">
        <f>I100*J100</f>
        <v>36.0</v>
      </c>
      <c r="L100" s="22">
        <f>F100^2/162</f>
        <v>2.4691358024691357</v>
      </c>
      <c r="M100" s="21">
        <f>K100*L100</f>
        <v>88.88888888888889</v>
      </c>
      <c r="N100" s="22">
        <f>M100/1000</f>
        <v>0.08888888888888889</v>
      </c>
      <c r="O100" s="13" t="inlineStr">
        <is>
          <t>BBS</t>
        </is>
      </c>
    </row>
    <row r="101">
      <c r="A101" s="13" t="n">
        <v>96</v>
      </c>
      <c r="B101" s="13" t="inlineStr">
        <is>
          <t>Beams</t>
        </is>
      </c>
      <c r="C101" s="13" t="inlineStr">
        <is>
          <t>STR-078</t>
        </is>
      </c>
      <c r="D101" s="13" t="inlineStr">
        <is>
          <t>Typical 4th-8th floor beams (sheet 1 of 2)</t>
        </is>
      </c>
      <c r="E101" s="19" t="inlineStr">
        <is>
          <t>2004</t>
        </is>
      </c>
      <c r="F101" s="19" t="n">
        <v>20</v>
      </c>
      <c r="G101" s="19" t="n">
        <v>1</v>
      </c>
      <c r="H101" s="19" t="n">
        <v>3</v>
      </c>
      <c r="I101" s="13">
        <f>G101*H101</f>
        <v>3.0</v>
      </c>
      <c r="J101" s="20">
        <f>7000/1000</f>
        <v>7.0</v>
      </c>
      <c r="K101" s="21">
        <f>I101*J101</f>
        <v>21.0</v>
      </c>
      <c r="L101" s="22">
        <f>F101^2/162</f>
        <v>2.4691358024691357</v>
      </c>
      <c r="M101" s="21">
        <f>K101*L101</f>
        <v>51.85185185185185</v>
      </c>
      <c r="N101" s="22">
        <f>M101/1000</f>
        <v>0.05185185185185185</v>
      </c>
      <c r="O101" s="13" t="inlineStr">
        <is>
          <t>BBS</t>
        </is>
      </c>
    </row>
    <row r="102">
      <c r="A102" s="13" t="n">
        <v>97</v>
      </c>
      <c r="B102" s="13" t="inlineStr">
        <is>
          <t>Beams</t>
        </is>
      </c>
      <c r="C102" s="13" t="inlineStr">
        <is>
          <t>STR-078</t>
        </is>
      </c>
      <c r="D102" s="13" t="inlineStr">
        <is>
          <t>Typical 4th-8th floor beams (sheet 1 of 2)</t>
        </is>
      </c>
      <c r="E102" s="19" t="inlineStr">
        <is>
          <t>2005</t>
        </is>
      </c>
      <c r="F102" s="19" t="n">
        <v>20</v>
      </c>
      <c r="G102" s="19" t="n">
        <v>1</v>
      </c>
      <c r="H102" s="19" t="n">
        <v>6</v>
      </c>
      <c r="I102" s="13">
        <f>G102*H102</f>
        <v>6.0</v>
      </c>
      <c r="J102" s="20">
        <f>9300/1000</f>
        <v>9.3</v>
      </c>
      <c r="K102" s="21">
        <f>I102*J102</f>
        <v>55.800000000000004</v>
      </c>
      <c r="L102" s="22">
        <f>F102^2/162</f>
        <v>2.4691358024691357</v>
      </c>
      <c r="M102" s="21">
        <f>K102*L102</f>
        <v>137.77777777777777</v>
      </c>
      <c r="N102" s="22">
        <f>M102/1000</f>
        <v>0.13777777777777778</v>
      </c>
      <c r="O102" s="13" t="inlineStr">
        <is>
          <t>BBS</t>
        </is>
      </c>
    </row>
    <row r="103">
      <c r="A103" s="13" t="n">
        <v>98</v>
      </c>
      <c r="B103" s="13" t="inlineStr">
        <is>
          <t>Beams</t>
        </is>
      </c>
      <c r="C103" s="13" t="inlineStr">
        <is>
          <t>STR-078</t>
        </is>
      </c>
      <c r="D103" s="13" t="inlineStr">
        <is>
          <t>Typical 4th-8th floor beams (sheet 1 of 2)</t>
        </is>
      </c>
      <c r="E103" s="19" t="inlineStr">
        <is>
          <t>2006</t>
        </is>
      </c>
      <c r="F103" s="19" t="n">
        <v>20</v>
      </c>
      <c r="G103" s="19" t="n">
        <v>1</v>
      </c>
      <c r="H103" s="19" t="n">
        <v>3</v>
      </c>
      <c r="I103" s="13">
        <f>G103*H103</f>
        <v>3.0</v>
      </c>
      <c r="J103" s="20">
        <f>9000/1000</f>
        <v>9.0</v>
      </c>
      <c r="K103" s="21">
        <f>I103*J103</f>
        <v>27.0</v>
      </c>
      <c r="L103" s="22">
        <f>F103^2/162</f>
        <v>2.4691358024691357</v>
      </c>
      <c r="M103" s="21">
        <f>K103*L103</f>
        <v>66.66666666666666</v>
      </c>
      <c r="N103" s="22">
        <f>M103/1000</f>
        <v>0.06666666666666665</v>
      </c>
      <c r="O103" s="13" t="inlineStr">
        <is>
          <t>BBS</t>
        </is>
      </c>
    </row>
    <row r="104">
      <c r="A104" s="13" t="n">
        <v>99</v>
      </c>
      <c r="B104" s="13" t="inlineStr">
        <is>
          <t>Beams</t>
        </is>
      </c>
      <c r="C104" s="13" t="inlineStr">
        <is>
          <t>STR-078</t>
        </is>
      </c>
      <c r="D104" s="13" t="inlineStr">
        <is>
          <t>Typical 4th-8th floor beams (sheet 1 of 2)</t>
        </is>
      </c>
      <c r="E104" s="19" t="inlineStr">
        <is>
          <t>2007</t>
        </is>
      </c>
      <c r="F104" s="19" t="n">
        <v>20</v>
      </c>
      <c r="G104" s="19" t="n">
        <v>1</v>
      </c>
      <c r="H104" s="19" t="n">
        <v>5</v>
      </c>
      <c r="I104" s="13">
        <f>G104*H104</f>
        <v>5.0</v>
      </c>
      <c r="J104" s="20">
        <f>11750/1000</f>
        <v>11.75</v>
      </c>
      <c r="K104" s="21">
        <f>I104*J104</f>
        <v>58.75</v>
      </c>
      <c r="L104" s="22">
        <f>F104^2/162</f>
        <v>2.4691358024691357</v>
      </c>
      <c r="M104" s="21">
        <f>K104*L104</f>
        <v>145.06172839506172</v>
      </c>
      <c r="N104" s="22">
        <f>M104/1000</f>
        <v>0.14506172839506173</v>
      </c>
      <c r="O104" s="13" t="inlineStr">
        <is>
          <t>BBS</t>
        </is>
      </c>
    </row>
    <row r="105">
      <c r="A105" s="13" t="n">
        <v>100</v>
      </c>
      <c r="B105" s="13" t="inlineStr">
        <is>
          <t>Beams</t>
        </is>
      </c>
      <c r="C105" s="13" t="inlineStr">
        <is>
          <t>STR-078</t>
        </is>
      </c>
      <c r="D105" s="13" t="inlineStr">
        <is>
          <t>Typical 4th-8th floor beams (sheet 1 of 2)</t>
        </is>
      </c>
      <c r="E105" s="19" t="inlineStr">
        <is>
          <t>2008</t>
        </is>
      </c>
      <c r="F105" s="19" t="n">
        <v>20</v>
      </c>
      <c r="G105" s="19" t="n">
        <v>1</v>
      </c>
      <c r="H105" s="19" t="n">
        <v>5</v>
      </c>
      <c r="I105" s="13">
        <f>G105*H105</f>
        <v>5.0</v>
      </c>
      <c r="J105" s="20">
        <f>7300/1000</f>
        <v>7.3</v>
      </c>
      <c r="K105" s="21">
        <f>I105*J105</f>
        <v>36.5</v>
      </c>
      <c r="L105" s="22">
        <f>F105^2/162</f>
        <v>2.4691358024691357</v>
      </c>
      <c r="M105" s="21">
        <f>K105*L105</f>
        <v>90.12345679012346</v>
      </c>
      <c r="N105" s="22">
        <f>M105/1000</f>
        <v>0.09012345679012346</v>
      </c>
      <c r="O105" s="13" t="inlineStr">
        <is>
          <t>BBS</t>
        </is>
      </c>
    </row>
    <row r="106">
      <c r="A106" s="13" t="n">
        <v>101</v>
      </c>
      <c r="B106" s="13" t="inlineStr">
        <is>
          <t>Beams</t>
        </is>
      </c>
      <c r="C106" s="13" t="inlineStr">
        <is>
          <t>STR-078</t>
        </is>
      </c>
      <c r="D106" s="13" t="inlineStr">
        <is>
          <t>Typical 4th-8th floor beams (sheet 1 of 2)</t>
        </is>
      </c>
      <c r="E106" s="19" t="inlineStr">
        <is>
          <t>2009</t>
        </is>
      </c>
      <c r="F106" s="19" t="n">
        <v>20</v>
      </c>
      <c r="G106" s="19" t="n">
        <v>1</v>
      </c>
      <c r="H106" s="19" t="n">
        <v>10</v>
      </c>
      <c r="I106" s="13">
        <f>G106*H106</f>
        <v>10.0</v>
      </c>
      <c r="J106" s="20">
        <f>9600/1000</f>
        <v>9.6</v>
      </c>
      <c r="K106" s="21">
        <f>I106*J106</f>
        <v>96.0</v>
      </c>
      <c r="L106" s="22">
        <f>F106^2/162</f>
        <v>2.4691358024691357</v>
      </c>
      <c r="M106" s="21">
        <f>K106*L106</f>
        <v>237.037037037037</v>
      </c>
      <c r="N106" s="22">
        <f>M106/1000</f>
        <v>0.23703703703703702</v>
      </c>
      <c r="O106" s="13" t="inlineStr">
        <is>
          <t>BBS</t>
        </is>
      </c>
    </row>
    <row r="107">
      <c r="A107" s="13" t="n">
        <v>102</v>
      </c>
      <c r="B107" s="13" t="inlineStr">
        <is>
          <t>Beams</t>
        </is>
      </c>
      <c r="C107" s="13" t="inlineStr">
        <is>
          <t>STR-078</t>
        </is>
      </c>
      <c r="D107" s="13" t="inlineStr">
        <is>
          <t>Typical 4th-8th floor beams (sheet 1 of 2)</t>
        </is>
      </c>
      <c r="E107" s="19" t="inlineStr">
        <is>
          <t>2010</t>
        </is>
      </c>
      <c r="F107" s="19" t="n">
        <v>20</v>
      </c>
      <c r="G107" s="19" t="n">
        <v>1</v>
      </c>
      <c r="H107" s="19" t="n">
        <v>5</v>
      </c>
      <c r="I107" s="13">
        <f>G107*H107</f>
        <v>5.0</v>
      </c>
      <c r="J107" s="20">
        <f>11900/1000</f>
        <v>11.9</v>
      </c>
      <c r="K107" s="21">
        <f>I107*J107</f>
        <v>59.5</v>
      </c>
      <c r="L107" s="22">
        <f>F107^2/162</f>
        <v>2.4691358024691357</v>
      </c>
      <c r="M107" s="21">
        <f>K107*L107</f>
        <v>146.91358024691357</v>
      </c>
      <c r="N107" s="22">
        <f>M107/1000</f>
        <v>0.14691358024691356</v>
      </c>
      <c r="O107" s="13" t="inlineStr">
        <is>
          <t>BBS</t>
        </is>
      </c>
    </row>
    <row r="108">
      <c r="A108" s="13" t="n">
        <v>103</v>
      </c>
      <c r="B108" s="13" t="inlineStr">
        <is>
          <t>Beams</t>
        </is>
      </c>
      <c r="C108" s="13" t="inlineStr">
        <is>
          <t>STR-078</t>
        </is>
      </c>
      <c r="D108" s="13" t="inlineStr">
        <is>
          <t>Typical 4th-8th floor beams (sheet 1 of 2)</t>
        </is>
      </c>
      <c r="E108" s="19" t="inlineStr">
        <is>
          <t>2011</t>
        </is>
      </c>
      <c r="F108" s="19" t="n">
        <v>20</v>
      </c>
      <c r="G108" s="19" t="n">
        <v>1</v>
      </c>
      <c r="H108" s="19" t="n">
        <v>4</v>
      </c>
      <c r="I108" s="13">
        <f>G108*H108</f>
        <v>4.0</v>
      </c>
      <c r="J108" s="20">
        <f>11800/1000</f>
        <v>11.8</v>
      </c>
      <c r="K108" s="21">
        <f>I108*J108</f>
        <v>47.2</v>
      </c>
      <c r="L108" s="22">
        <f>F108^2/162</f>
        <v>2.4691358024691357</v>
      </c>
      <c r="M108" s="21">
        <f>K108*L108</f>
        <v>116.54320987654322</v>
      </c>
      <c r="N108" s="22">
        <f>M108/1000</f>
        <v>0.11654320987654322</v>
      </c>
      <c r="O108" s="13" t="inlineStr">
        <is>
          <t>BBS</t>
        </is>
      </c>
    </row>
    <row r="109">
      <c r="A109" s="13" t="n">
        <v>104</v>
      </c>
      <c r="B109" s="13" t="inlineStr">
        <is>
          <t>Beams</t>
        </is>
      </c>
      <c r="C109" s="13" t="inlineStr">
        <is>
          <t>STR-078</t>
        </is>
      </c>
      <c r="D109" s="13" t="inlineStr">
        <is>
          <t>Typical 4th-8th floor beams (sheet 1 of 2)</t>
        </is>
      </c>
      <c r="E109" s="19" t="inlineStr">
        <is>
          <t>2012</t>
        </is>
      </c>
      <c r="F109" s="19" t="n">
        <v>20</v>
      </c>
      <c r="G109" s="19" t="n">
        <v>1</v>
      </c>
      <c r="H109" s="19" t="n">
        <v>4</v>
      </c>
      <c r="I109" s="13">
        <f>G109*H109</f>
        <v>4.0</v>
      </c>
      <c r="J109" s="20">
        <f>7300/1000</f>
        <v>7.3</v>
      </c>
      <c r="K109" s="21">
        <f>I109*J109</f>
        <v>29.2</v>
      </c>
      <c r="L109" s="22">
        <f>F109^2/162</f>
        <v>2.4691358024691357</v>
      </c>
      <c r="M109" s="21">
        <f>K109*L109</f>
        <v>72.09876543209876</v>
      </c>
      <c r="N109" s="22">
        <f>M109/1000</f>
        <v>0.07209876543209875</v>
      </c>
      <c r="O109" s="13" t="inlineStr">
        <is>
          <t>BBS</t>
        </is>
      </c>
    </row>
    <row r="110">
      <c r="A110" s="13" t="n">
        <v>105</v>
      </c>
      <c r="B110" s="13" t="inlineStr">
        <is>
          <t>Beams</t>
        </is>
      </c>
      <c r="C110" s="13" t="inlineStr">
        <is>
          <t>STR-078</t>
        </is>
      </c>
      <c r="D110" s="13" t="inlineStr">
        <is>
          <t>Typical 4th-8th floor beams (sheet 1 of 2)</t>
        </is>
      </c>
      <c r="E110" s="19" t="inlineStr">
        <is>
          <t>2013</t>
        </is>
      </c>
      <c r="F110" s="19" t="n">
        <v>20</v>
      </c>
      <c r="G110" s="19" t="n">
        <v>1</v>
      </c>
      <c r="H110" s="19" t="n">
        <v>8</v>
      </c>
      <c r="I110" s="13">
        <f>G110*H110</f>
        <v>8.0</v>
      </c>
      <c r="J110" s="20">
        <f>9500/1000</f>
        <v>9.5</v>
      </c>
      <c r="K110" s="21">
        <f>I110*J110</f>
        <v>76.0</v>
      </c>
      <c r="L110" s="22">
        <f>F110^2/162</f>
        <v>2.4691358024691357</v>
      </c>
      <c r="M110" s="21">
        <f>K110*L110</f>
        <v>187.6543209876543</v>
      </c>
      <c r="N110" s="22">
        <f>M110/1000</f>
        <v>0.1876543209876543</v>
      </c>
      <c r="O110" s="13" t="inlineStr">
        <is>
          <t>BBS</t>
        </is>
      </c>
    </row>
    <row r="111">
      <c r="A111" s="13" t="n">
        <v>106</v>
      </c>
      <c r="B111" s="13" t="inlineStr">
        <is>
          <t>Beams</t>
        </is>
      </c>
      <c r="C111" s="13" t="inlineStr">
        <is>
          <t>STR-078</t>
        </is>
      </c>
      <c r="D111" s="13" t="inlineStr">
        <is>
          <t>Typical 4th-8th floor beams (sheet 1 of 2)</t>
        </is>
      </c>
      <c r="E111" s="19" t="inlineStr">
        <is>
          <t>2014</t>
        </is>
      </c>
      <c r="F111" s="19" t="n">
        <v>20</v>
      </c>
      <c r="G111" s="19" t="n">
        <v>1</v>
      </c>
      <c r="H111" s="19" t="n">
        <v>4</v>
      </c>
      <c r="I111" s="13">
        <f>G111*H111</f>
        <v>4.0</v>
      </c>
      <c r="J111" s="20">
        <f>12000/1000</f>
        <v>12.0</v>
      </c>
      <c r="K111" s="21">
        <f>I111*J111</f>
        <v>48.0</v>
      </c>
      <c r="L111" s="22">
        <f>F111^2/162</f>
        <v>2.4691358024691357</v>
      </c>
      <c r="M111" s="21">
        <f>K111*L111</f>
        <v>118.5185185185185</v>
      </c>
      <c r="N111" s="22">
        <f>M111/1000</f>
        <v>0.11851851851851851</v>
      </c>
      <c r="O111" s="13" t="inlineStr">
        <is>
          <t>BBS</t>
        </is>
      </c>
    </row>
    <row r="112">
      <c r="A112" s="13" t="n">
        <v>107</v>
      </c>
      <c r="B112" s="13" t="inlineStr">
        <is>
          <t>Beams</t>
        </is>
      </c>
      <c r="C112" s="13" t="inlineStr">
        <is>
          <t>STR-078</t>
        </is>
      </c>
      <c r="D112" s="13" t="inlineStr">
        <is>
          <t>Typical 4th-8th floor beams (sheet 1 of 2)</t>
        </is>
      </c>
      <c r="E112" s="19" t="inlineStr">
        <is>
          <t>2015</t>
        </is>
      </c>
      <c r="F112" s="19" t="n">
        <v>20</v>
      </c>
      <c r="G112" s="19" t="n">
        <v>1</v>
      </c>
      <c r="H112" s="19" t="n">
        <v>3</v>
      </c>
      <c r="I112" s="13">
        <f>G112*H112</f>
        <v>3.0</v>
      </c>
      <c r="J112" s="20">
        <f>6400/1000</f>
        <v>6.4</v>
      </c>
      <c r="K112" s="21">
        <f>I112*J112</f>
        <v>19.200000000000003</v>
      </c>
      <c r="L112" s="22">
        <f>F112^2/162</f>
        <v>2.4691358024691357</v>
      </c>
      <c r="M112" s="21">
        <f>K112*L112</f>
        <v>47.40740740740741</v>
      </c>
      <c r="N112" s="22">
        <f>M112/1000</f>
        <v>0.04740740740740741</v>
      </c>
      <c r="O112" s="13" t="inlineStr">
        <is>
          <t>BBS</t>
        </is>
      </c>
    </row>
    <row r="113">
      <c r="A113" s="13" t="n">
        <v>108</v>
      </c>
      <c r="B113" s="13" t="inlineStr">
        <is>
          <t>Beams</t>
        </is>
      </c>
      <c r="C113" s="13" t="inlineStr">
        <is>
          <t>STR-078</t>
        </is>
      </c>
      <c r="D113" s="13" t="inlineStr">
        <is>
          <t>Typical 4th-8th floor beams (sheet 1 of 2)</t>
        </is>
      </c>
      <c r="E113" s="19" t="inlineStr">
        <is>
          <t>2016</t>
        </is>
      </c>
      <c r="F113" s="19" t="n">
        <v>20</v>
      </c>
      <c r="G113" s="19" t="n">
        <v>1</v>
      </c>
      <c r="H113" s="19" t="n">
        <v>6</v>
      </c>
      <c r="I113" s="13">
        <f>G113*H113</f>
        <v>6.0</v>
      </c>
      <c r="J113" s="20">
        <f>11550/1000</f>
        <v>11.55</v>
      </c>
      <c r="K113" s="21">
        <f>I113*J113</f>
        <v>69.30000000000001</v>
      </c>
      <c r="L113" s="22">
        <f>F113^2/162</f>
        <v>2.4691358024691357</v>
      </c>
      <c r="M113" s="21">
        <f>K113*L113</f>
        <v>171.11111111111114</v>
      </c>
      <c r="N113" s="22">
        <f>M113/1000</f>
        <v>0.17111111111111113</v>
      </c>
      <c r="O113" s="13" t="inlineStr">
        <is>
          <t>BBS</t>
        </is>
      </c>
    </row>
    <row r="114">
      <c r="A114" s="13" t="n">
        <v>109</v>
      </c>
      <c r="B114" s="13" t="inlineStr">
        <is>
          <t>Beams</t>
        </is>
      </c>
      <c r="C114" s="13" t="inlineStr">
        <is>
          <t>STR-078</t>
        </is>
      </c>
      <c r="D114" s="13" t="inlineStr">
        <is>
          <t>Typical 4th-8th floor beams (sheet 1 of 2)</t>
        </is>
      </c>
      <c r="E114" s="19" t="inlineStr">
        <is>
          <t>2017</t>
        </is>
      </c>
      <c r="F114" s="19" t="n">
        <v>20</v>
      </c>
      <c r="G114" s="19" t="n">
        <v>1</v>
      </c>
      <c r="H114" s="19" t="n">
        <v>6</v>
      </c>
      <c r="I114" s="13">
        <f>G114*H114</f>
        <v>6.0</v>
      </c>
      <c r="J114" s="20">
        <f>6050/1000</f>
        <v>6.05</v>
      </c>
      <c r="K114" s="21">
        <f>I114*J114</f>
        <v>36.3</v>
      </c>
      <c r="L114" s="22">
        <f>F114^2/162</f>
        <v>2.4691358024691357</v>
      </c>
      <c r="M114" s="21">
        <f>K114*L114</f>
        <v>89.62962962962962</v>
      </c>
      <c r="N114" s="22">
        <f>M114/1000</f>
        <v>0.08962962962962961</v>
      </c>
      <c r="O114" s="13" t="inlineStr">
        <is>
          <t>BBS</t>
        </is>
      </c>
    </row>
    <row r="115">
      <c r="A115" s="13" t="n">
        <v>110</v>
      </c>
      <c r="B115" s="13" t="inlineStr">
        <is>
          <t>Beams</t>
        </is>
      </c>
      <c r="C115" s="13" t="inlineStr">
        <is>
          <t>STR-078</t>
        </is>
      </c>
      <c r="D115" s="13" t="inlineStr">
        <is>
          <t>Typical 4th-8th floor beams (sheet 1 of 2)</t>
        </is>
      </c>
      <c r="E115" s="19" t="inlineStr">
        <is>
          <t>2018</t>
        </is>
      </c>
      <c r="F115" s="19" t="n">
        <v>20</v>
      </c>
      <c r="G115" s="19" t="n">
        <v>1</v>
      </c>
      <c r="H115" s="19" t="n">
        <v>3</v>
      </c>
      <c r="I115" s="13">
        <f>G115*H115</f>
        <v>3.0</v>
      </c>
      <c r="J115" s="20">
        <f>6300/1000</f>
        <v>6.3</v>
      </c>
      <c r="K115" s="21">
        <f>I115*J115</f>
        <v>18.9</v>
      </c>
      <c r="L115" s="22">
        <f>F115^2/162</f>
        <v>2.4691358024691357</v>
      </c>
      <c r="M115" s="21">
        <f>K115*L115</f>
        <v>46.66666666666666</v>
      </c>
      <c r="N115" s="22">
        <f>M115/1000</f>
        <v>0.046666666666666655</v>
      </c>
      <c r="O115" s="13" t="inlineStr">
        <is>
          <t>BBS</t>
        </is>
      </c>
    </row>
    <row r="116">
      <c r="A116" s="13" t="n">
        <v>111</v>
      </c>
      <c r="B116" s="13" t="inlineStr">
        <is>
          <t>Beams</t>
        </is>
      </c>
      <c r="C116" s="13" t="inlineStr">
        <is>
          <t>STR-078</t>
        </is>
      </c>
      <c r="D116" s="13" t="inlineStr">
        <is>
          <t>Typical 4th-8th floor beams (sheet 1 of 2)</t>
        </is>
      </c>
      <c r="E116" s="19" t="inlineStr">
        <is>
          <t>2019</t>
        </is>
      </c>
      <c r="F116" s="19" t="n">
        <v>20</v>
      </c>
      <c r="G116" s="19" t="n">
        <v>1</v>
      </c>
      <c r="H116" s="19" t="n">
        <v>3</v>
      </c>
      <c r="I116" s="13">
        <f>G116*H116</f>
        <v>3.0</v>
      </c>
      <c r="J116" s="20">
        <f>5950/1000</f>
        <v>5.95</v>
      </c>
      <c r="K116" s="21">
        <f>I116*J116</f>
        <v>17.85</v>
      </c>
      <c r="L116" s="22">
        <f>F116^2/162</f>
        <v>2.4691358024691357</v>
      </c>
      <c r="M116" s="21">
        <f>K116*L116</f>
        <v>44.074074074074076</v>
      </c>
      <c r="N116" s="22">
        <f>M116/1000</f>
        <v>0.04407407407407408</v>
      </c>
      <c r="O116" s="13" t="inlineStr">
        <is>
          <t>BBS</t>
        </is>
      </c>
    </row>
    <row r="117">
      <c r="A117" s="13" t="n">
        <v>112</v>
      </c>
      <c r="B117" s="13" t="inlineStr">
        <is>
          <t>Beams</t>
        </is>
      </c>
      <c r="C117" s="13" t="inlineStr">
        <is>
          <t>STR-078</t>
        </is>
      </c>
      <c r="D117" s="13" t="inlineStr">
        <is>
          <t>Typical 4th-8th floor beams (sheet 1 of 2)</t>
        </is>
      </c>
      <c r="E117" s="19" t="inlineStr">
        <is>
          <t>2501</t>
        </is>
      </c>
      <c r="F117" s="19" t="n">
        <v>25</v>
      </c>
      <c r="G117" s="19" t="n">
        <v>1</v>
      </c>
      <c r="H117" s="19" t="n">
        <v>3</v>
      </c>
      <c r="I117" s="13">
        <f>G117*H117</f>
        <v>3.0</v>
      </c>
      <c r="J117" s="20">
        <f>11200/1000</f>
        <v>11.2</v>
      </c>
      <c r="K117" s="21">
        <f>I117*J117</f>
        <v>33.599999999999994</v>
      </c>
      <c r="L117" s="22">
        <f>F117^2/162</f>
        <v>3.8580246913580245</v>
      </c>
      <c r="M117" s="21">
        <f>K117*L117</f>
        <v>129.6296296296296</v>
      </c>
      <c r="N117" s="22">
        <f>M117/1000</f>
        <v>0.1296296296296296</v>
      </c>
      <c r="O117" s="13" t="inlineStr">
        <is>
          <t>BBS</t>
        </is>
      </c>
    </row>
    <row r="118">
      <c r="A118" s="13" t="n">
        <v>113</v>
      </c>
      <c r="B118" s="13" t="inlineStr">
        <is>
          <t>Beams</t>
        </is>
      </c>
      <c r="C118" s="13" t="inlineStr">
        <is>
          <t>STR-078</t>
        </is>
      </c>
      <c r="D118" s="13" t="inlineStr">
        <is>
          <t>Typical 4th-8th floor beams (sheet 1 of 2)</t>
        </is>
      </c>
      <c r="E118" s="19" t="inlineStr">
        <is>
          <t>2502</t>
        </is>
      </c>
      <c r="F118" s="19" t="n">
        <v>25</v>
      </c>
      <c r="G118" s="19" t="n">
        <v>1</v>
      </c>
      <c r="H118" s="19" t="n">
        <v>3</v>
      </c>
      <c r="I118" s="13">
        <f>G118*H118</f>
        <v>3.0</v>
      </c>
      <c r="J118" s="20">
        <f>9400/1000</f>
        <v>9.4</v>
      </c>
      <c r="K118" s="21">
        <f>I118*J118</f>
        <v>28.200000000000003</v>
      </c>
      <c r="L118" s="22">
        <f>F118^2/162</f>
        <v>3.8580246913580245</v>
      </c>
      <c r="M118" s="21">
        <f>K118*L118</f>
        <v>108.7962962962963</v>
      </c>
      <c r="N118" s="22">
        <f>M118/1000</f>
        <v>0.10879629629629631</v>
      </c>
      <c r="O118" s="13" t="inlineStr">
        <is>
          <t>BBS</t>
        </is>
      </c>
    </row>
    <row r="119">
      <c r="A119" s="13" t="n">
        <v>114</v>
      </c>
      <c r="B119" s="13" t="inlineStr">
        <is>
          <t>Beams</t>
        </is>
      </c>
      <c r="C119" s="13" t="inlineStr">
        <is>
          <t>STR-078</t>
        </is>
      </c>
      <c r="D119" s="13" t="inlineStr">
        <is>
          <t>Typical 4th-8th floor beams (sheet 1 of 2)</t>
        </is>
      </c>
      <c r="E119" s="19" t="inlineStr">
        <is>
          <t>2503</t>
        </is>
      </c>
      <c r="F119" s="19" t="n">
        <v>25</v>
      </c>
      <c r="G119" s="19" t="n">
        <v>1</v>
      </c>
      <c r="H119" s="19" t="n">
        <v>3</v>
      </c>
      <c r="I119" s="13">
        <f>G119*H119</f>
        <v>3.0</v>
      </c>
      <c r="J119" s="20">
        <f>12000/1000</f>
        <v>12.0</v>
      </c>
      <c r="K119" s="21">
        <f>I119*J119</f>
        <v>36.0</v>
      </c>
      <c r="L119" s="22">
        <f>F119^2/162</f>
        <v>3.8580246913580245</v>
      </c>
      <c r="M119" s="21">
        <f>K119*L119</f>
        <v>138.88888888888889</v>
      </c>
      <c r="N119" s="22">
        <f>M119/1000</f>
        <v>0.1388888888888889</v>
      </c>
      <c r="O119" s="13" t="inlineStr">
        <is>
          <t>BBS</t>
        </is>
      </c>
    </row>
    <row r="120">
      <c r="A120" s="13" t="n">
        <v>115</v>
      </c>
      <c r="B120" s="13" t="inlineStr">
        <is>
          <t>Beams</t>
        </is>
      </c>
      <c r="C120" s="13" t="inlineStr">
        <is>
          <t>STR-078</t>
        </is>
      </c>
      <c r="D120" s="13" t="inlineStr">
        <is>
          <t>Typical 4th-8th floor beams (sheet 1 of 2)</t>
        </is>
      </c>
      <c r="E120" s="19" t="inlineStr">
        <is>
          <t>2504</t>
        </is>
      </c>
      <c r="F120" s="19" t="n">
        <v>25</v>
      </c>
      <c r="G120" s="19" t="n">
        <v>1</v>
      </c>
      <c r="H120" s="19" t="n">
        <v>3</v>
      </c>
      <c r="I120" s="13">
        <f>G120*H120</f>
        <v>3.0</v>
      </c>
      <c r="J120" s="20">
        <f>7100/1000</f>
        <v>7.1</v>
      </c>
      <c r="K120" s="21">
        <f>I120*J120</f>
        <v>21.299999999999997</v>
      </c>
      <c r="L120" s="22">
        <f>F120^2/162</f>
        <v>3.8580246913580245</v>
      </c>
      <c r="M120" s="21">
        <f>K120*L120</f>
        <v>82.17592592592591</v>
      </c>
      <c r="N120" s="22">
        <f>M120/1000</f>
        <v>0.08217592592592592</v>
      </c>
      <c r="O120" s="13" t="inlineStr">
        <is>
          <t>BBS</t>
        </is>
      </c>
    </row>
    <row r="121">
      <c r="A121" s="13" t="n">
        <v>116</v>
      </c>
      <c r="B121" s="13" t="inlineStr">
        <is>
          <t>Beams</t>
        </is>
      </c>
      <c r="C121" s="13" t="inlineStr">
        <is>
          <t>STR-078</t>
        </is>
      </c>
      <c r="D121" s="13" t="inlineStr">
        <is>
          <t>Typical 4th-8th floor beams (sheet 1 of 2)</t>
        </is>
      </c>
      <c r="E121" s="19" t="inlineStr">
        <is>
          <t>2505</t>
        </is>
      </c>
      <c r="F121" s="19" t="n">
        <v>25</v>
      </c>
      <c r="G121" s="19" t="n">
        <v>1</v>
      </c>
      <c r="H121" s="19" t="n">
        <v>6</v>
      </c>
      <c r="I121" s="13">
        <f>G121*H121</f>
        <v>6.0</v>
      </c>
      <c r="J121" s="20">
        <f>9300/1000</f>
        <v>9.3</v>
      </c>
      <c r="K121" s="21">
        <f>I121*J121</f>
        <v>55.800000000000004</v>
      </c>
      <c r="L121" s="22">
        <f>F121^2/162</f>
        <v>3.8580246913580245</v>
      </c>
      <c r="M121" s="21">
        <f>K121*L121</f>
        <v>215.27777777777777</v>
      </c>
      <c r="N121" s="22">
        <f>M121/1000</f>
        <v>0.21527777777777776</v>
      </c>
      <c r="O121" s="13" t="inlineStr">
        <is>
          <t>BBS</t>
        </is>
      </c>
    </row>
    <row r="122">
      <c r="A122" s="13" t="n">
        <v>117</v>
      </c>
      <c r="B122" s="13" t="inlineStr">
        <is>
          <t>Beams</t>
        </is>
      </c>
      <c r="C122" s="13" t="inlineStr">
        <is>
          <t>STR-078</t>
        </is>
      </c>
      <c r="D122" s="13" t="inlineStr">
        <is>
          <t>Typical 4th-8th floor beams (sheet 1 of 2)</t>
        </is>
      </c>
      <c r="E122" s="19" t="inlineStr">
        <is>
          <t>2506</t>
        </is>
      </c>
      <c r="F122" s="19" t="n">
        <v>25</v>
      </c>
      <c r="G122" s="19" t="n">
        <v>1</v>
      </c>
      <c r="H122" s="19" t="n">
        <v>3</v>
      </c>
      <c r="I122" s="13">
        <f>G122*H122</f>
        <v>3.0</v>
      </c>
      <c r="J122" s="20">
        <f>9100/1000</f>
        <v>9.1</v>
      </c>
      <c r="K122" s="21">
        <f>I122*J122</f>
        <v>27.299999999999997</v>
      </c>
      <c r="L122" s="22">
        <f>F122^2/162</f>
        <v>3.8580246913580245</v>
      </c>
      <c r="M122" s="21">
        <f>K122*L122</f>
        <v>105.32407407407406</v>
      </c>
      <c r="N122" s="22">
        <f>M122/1000</f>
        <v>0.10532407407407406</v>
      </c>
      <c r="O122" s="13" t="inlineStr">
        <is>
          <t>BBS</t>
        </is>
      </c>
    </row>
    <row r="123">
      <c r="A123" s="13" t="n">
        <v>118</v>
      </c>
      <c r="B123" s="13" t="inlineStr">
        <is>
          <t>Beams</t>
        </is>
      </c>
      <c r="C123" s="13" t="inlineStr">
        <is>
          <t>STR-078</t>
        </is>
      </c>
      <c r="D123" s="13" t="inlineStr">
        <is>
          <t>Typical 4th-8th floor beams (sheet 1 of 2)</t>
        </is>
      </c>
      <c r="E123" s="19" t="inlineStr">
        <is>
          <t>2507</t>
        </is>
      </c>
      <c r="F123" s="19" t="n">
        <v>25</v>
      </c>
      <c r="G123" s="19" t="n">
        <v>1</v>
      </c>
      <c r="H123" s="19" t="n">
        <v>3</v>
      </c>
      <c r="I123" s="13">
        <f>G123*H123</f>
        <v>3.0</v>
      </c>
      <c r="J123" s="20">
        <f>5850/1000</f>
        <v>5.85</v>
      </c>
      <c r="K123" s="21">
        <f>I123*J123</f>
        <v>17.549999999999997</v>
      </c>
      <c r="L123" s="22">
        <f>F123^2/162</f>
        <v>3.8580246913580245</v>
      </c>
      <c r="M123" s="21">
        <f>K123*L123</f>
        <v>67.70833333333331</v>
      </c>
      <c r="N123" s="22">
        <f>M123/1000</f>
        <v>0.06770833333333331</v>
      </c>
      <c r="O123" s="13" t="inlineStr">
        <is>
          <t>BBS</t>
        </is>
      </c>
    </row>
    <row r="124">
      <c r="A124" s="13" t="n">
        <v>119</v>
      </c>
      <c r="B124" s="13" t="inlineStr">
        <is>
          <t>Beams</t>
        </is>
      </c>
      <c r="C124" s="13" t="inlineStr">
        <is>
          <t>STR-078</t>
        </is>
      </c>
      <c r="D124" s="13" t="inlineStr">
        <is>
          <t>Typical 4th-8th floor beams (sheet 1 of 2)</t>
        </is>
      </c>
      <c r="E124" s="19" t="inlineStr">
        <is>
          <t>2508</t>
        </is>
      </c>
      <c r="F124" s="19" t="n">
        <v>25</v>
      </c>
      <c r="G124" s="19" t="n">
        <v>1</v>
      </c>
      <c r="H124" s="19" t="n">
        <v>3</v>
      </c>
      <c r="I124" s="13">
        <f>G124*H124</f>
        <v>3.0</v>
      </c>
      <c r="J124" s="20">
        <f>8000/1000</f>
        <v>8.0</v>
      </c>
      <c r="K124" s="21">
        <f>I124*J124</f>
        <v>24.0</v>
      </c>
      <c r="L124" s="22">
        <f>F124^2/162</f>
        <v>3.8580246913580245</v>
      </c>
      <c r="M124" s="21">
        <f>K124*L124</f>
        <v>92.59259259259258</v>
      </c>
      <c r="N124" s="22">
        <f>M124/1000</f>
        <v>0.09259259259259259</v>
      </c>
      <c r="O124" s="13" t="inlineStr">
        <is>
          <t>BBS</t>
        </is>
      </c>
    </row>
    <row r="125">
      <c r="A125" s="13" t="n">
        <v>120</v>
      </c>
      <c r="B125" s="13" t="inlineStr">
        <is>
          <t>Beams</t>
        </is>
      </c>
      <c r="C125" s="13" t="inlineStr">
        <is>
          <t>STR-078</t>
        </is>
      </c>
      <c r="D125" s="13" t="inlineStr">
        <is>
          <t>Typical 4th-8th floor beams (sheet 1 of 2)</t>
        </is>
      </c>
      <c r="E125" s="19" t="inlineStr">
        <is>
          <t>2509</t>
        </is>
      </c>
      <c r="F125" s="19" t="n">
        <v>25</v>
      </c>
      <c r="G125" s="19" t="n">
        <v>1</v>
      </c>
      <c r="H125" s="19" t="n">
        <v>3</v>
      </c>
      <c r="I125" s="13">
        <f>G125*H125</f>
        <v>3.0</v>
      </c>
      <c r="J125" s="20">
        <f>8700/1000</f>
        <v>8.7</v>
      </c>
      <c r="K125" s="21">
        <f>I125*J125</f>
        <v>26.099999999999998</v>
      </c>
      <c r="L125" s="22">
        <f>F125^2/162</f>
        <v>3.8580246913580245</v>
      </c>
      <c r="M125" s="21">
        <f>K125*L125</f>
        <v>100.69444444444443</v>
      </c>
      <c r="N125" s="22">
        <f>M125/1000</f>
        <v>0.10069444444444443</v>
      </c>
      <c r="O125" s="13" t="inlineStr">
        <is>
          <t>BBS</t>
        </is>
      </c>
    </row>
    <row r="126">
      <c r="A126" s="13" t="n">
        <v>121</v>
      </c>
      <c r="B126" s="13" t="inlineStr">
        <is>
          <t>Beams</t>
        </is>
      </c>
      <c r="C126" s="13" t="inlineStr">
        <is>
          <t>STR-078</t>
        </is>
      </c>
      <c r="D126" s="13" t="inlineStr">
        <is>
          <t>Typical 4th-8th floor beams (sheet 1 of 2)</t>
        </is>
      </c>
      <c r="E126" s="19" t="inlineStr">
        <is>
          <t>2510</t>
        </is>
      </c>
      <c r="F126" s="19" t="n">
        <v>25</v>
      </c>
      <c r="G126" s="19" t="n">
        <v>1</v>
      </c>
      <c r="H126" s="19" t="n">
        <v>3</v>
      </c>
      <c r="I126" s="13">
        <f>G126*H126</f>
        <v>3.0</v>
      </c>
      <c r="J126" s="20">
        <f>5900/1000</f>
        <v>5.9</v>
      </c>
      <c r="K126" s="21">
        <f>I126*J126</f>
        <v>17.700000000000003</v>
      </c>
      <c r="L126" s="22">
        <f>F126^2/162</f>
        <v>3.8580246913580245</v>
      </c>
      <c r="M126" s="21">
        <f>K126*L126</f>
        <v>68.28703703703704</v>
      </c>
      <c r="N126" s="22">
        <f>M126/1000</f>
        <v>0.06828703703703703</v>
      </c>
      <c r="O126" s="13" t="inlineStr">
        <is>
          <t>BBS</t>
        </is>
      </c>
    </row>
    <row r="127">
      <c r="A127" s="13" t="n">
        <v>122</v>
      </c>
      <c r="B127" s="13" t="inlineStr">
        <is>
          <t>Beams</t>
        </is>
      </c>
      <c r="C127" s="13" t="inlineStr">
        <is>
          <t>STR-078</t>
        </is>
      </c>
      <c r="D127" s="13" t="inlineStr">
        <is>
          <t>Typical 4th-8th floor beams (sheet 1 of 2)</t>
        </is>
      </c>
      <c r="E127" s="19" t="inlineStr">
        <is>
          <t>2511</t>
        </is>
      </c>
      <c r="F127" s="19" t="n">
        <v>25</v>
      </c>
      <c r="G127" s="19" t="n">
        <v>1</v>
      </c>
      <c r="H127" s="19" t="n">
        <v>3</v>
      </c>
      <c r="I127" s="13">
        <f>G127*H127</f>
        <v>3.0</v>
      </c>
      <c r="J127" s="20">
        <f>5600/1000</f>
        <v>5.6</v>
      </c>
      <c r="K127" s="21">
        <f>I127*J127</f>
        <v>16.799999999999997</v>
      </c>
      <c r="L127" s="22">
        <f>F127^2/162</f>
        <v>3.8580246913580245</v>
      </c>
      <c r="M127" s="21">
        <f>K127*L127</f>
        <v>64.8148148148148</v>
      </c>
      <c r="N127" s="22">
        <f>M127/1000</f>
        <v>0.0648148148148148</v>
      </c>
      <c r="O127" s="13" t="inlineStr">
        <is>
          <t>BBS</t>
        </is>
      </c>
    </row>
    <row r="128">
      <c r="A128" s="13" t="n">
        <v>123</v>
      </c>
      <c r="B128" s="13" t="inlineStr">
        <is>
          <t>Beams</t>
        </is>
      </c>
      <c r="C128" s="13" t="inlineStr">
        <is>
          <t>STR-078</t>
        </is>
      </c>
      <c r="D128" s="13" t="inlineStr">
        <is>
          <t>Typical 4th-8th floor beams (sheet 1 of 2)</t>
        </is>
      </c>
      <c r="E128" s="19" t="inlineStr">
        <is>
          <t>2512</t>
        </is>
      </c>
      <c r="F128" s="19" t="n">
        <v>25</v>
      </c>
      <c r="G128" s="19" t="n">
        <v>1</v>
      </c>
      <c r="H128" s="19" t="n">
        <v>3</v>
      </c>
      <c r="I128" s="13">
        <f>G128*H128</f>
        <v>3.0</v>
      </c>
      <c r="J128" s="20">
        <f>11550/1000</f>
        <v>11.55</v>
      </c>
      <c r="K128" s="21">
        <f>I128*J128</f>
        <v>34.650000000000006</v>
      </c>
      <c r="L128" s="22">
        <f>F128^2/162</f>
        <v>3.8580246913580245</v>
      </c>
      <c r="M128" s="21">
        <f>K128*L128</f>
        <v>133.68055555555557</v>
      </c>
      <c r="N128" s="22">
        <f>M128/1000</f>
        <v>0.13368055555555558</v>
      </c>
      <c r="O128" s="13" t="inlineStr">
        <is>
          <t>BBS</t>
        </is>
      </c>
    </row>
    <row r="129">
      <c r="A129" s="13" t="n">
        <v>124</v>
      </c>
      <c r="B129" s="13" t="inlineStr">
        <is>
          <t>Beams</t>
        </is>
      </c>
      <c r="C129" s="13" t="inlineStr">
        <is>
          <t>STR-078</t>
        </is>
      </c>
      <c r="D129" s="13" t="inlineStr">
        <is>
          <t>Typical 4th-8th floor beams (sheet 1 of 2)</t>
        </is>
      </c>
      <c r="E129" s="19" t="inlineStr">
        <is>
          <t>2513</t>
        </is>
      </c>
      <c r="F129" s="19" t="n">
        <v>25</v>
      </c>
      <c r="G129" s="19" t="n">
        <v>1</v>
      </c>
      <c r="H129" s="19" t="n">
        <v>3</v>
      </c>
      <c r="I129" s="13">
        <f>G129*H129</f>
        <v>3.0</v>
      </c>
      <c r="J129" s="20">
        <f>6050/1000</f>
        <v>6.05</v>
      </c>
      <c r="K129" s="21">
        <f>I129*J129</f>
        <v>18.15</v>
      </c>
      <c r="L129" s="22">
        <f>F129^2/162</f>
        <v>3.8580246913580245</v>
      </c>
      <c r="M129" s="21">
        <f>K129*L129</f>
        <v>70.02314814814814</v>
      </c>
      <c r="N129" s="22">
        <f>M129/1000</f>
        <v>0.07002314814814814</v>
      </c>
      <c r="O129" s="13" t="inlineStr">
        <is>
          <t>BBS</t>
        </is>
      </c>
    </row>
    <row r="130">
      <c r="A130" s="13" t="n">
        <v>125</v>
      </c>
      <c r="B130" s="13" t="inlineStr">
        <is>
          <t>Beams</t>
        </is>
      </c>
      <c r="C130" s="13" t="inlineStr">
        <is>
          <t>STR-078</t>
        </is>
      </c>
      <c r="D130" s="13" t="inlineStr">
        <is>
          <t>Typical 4th-8th floor beams (sheet 1 of 2)</t>
        </is>
      </c>
      <c r="E130" s="19" t="inlineStr">
        <is>
          <t>2514</t>
        </is>
      </c>
      <c r="F130" s="19" t="n">
        <v>25</v>
      </c>
      <c r="G130" s="19" t="n">
        <v>1</v>
      </c>
      <c r="H130" s="19" t="n">
        <v>3</v>
      </c>
      <c r="I130" s="13">
        <f>G130*H130</f>
        <v>3.0</v>
      </c>
      <c r="J130" s="20">
        <f>9000/1000</f>
        <v>9.0</v>
      </c>
      <c r="K130" s="21">
        <f>I130*J130</f>
        <v>27.0</v>
      </c>
      <c r="L130" s="22">
        <f>F130^2/162</f>
        <v>3.8580246913580245</v>
      </c>
      <c r="M130" s="21">
        <f>K130*L130</f>
        <v>104.16666666666666</v>
      </c>
      <c r="N130" s="22">
        <f>M130/1000</f>
        <v>0.10416666666666666</v>
      </c>
      <c r="O130" s="13" t="inlineStr">
        <is>
          <t>BBS</t>
        </is>
      </c>
    </row>
    <row r="131">
      <c r="A131" s="13" t="n">
        <v>126</v>
      </c>
      <c r="B131" s="13" t="inlineStr">
        <is>
          <t>Beams</t>
        </is>
      </c>
      <c r="C131" s="13" t="inlineStr">
        <is>
          <t>STR-078</t>
        </is>
      </c>
      <c r="D131" s="13" t="inlineStr">
        <is>
          <t>Typical 4th-8th floor beams (sheet 1 of 2)</t>
        </is>
      </c>
      <c r="E131" s="19" t="inlineStr">
        <is>
          <t>2515</t>
        </is>
      </c>
      <c r="F131" s="19" t="n">
        <v>25</v>
      </c>
      <c r="G131" s="19" t="n">
        <v>1</v>
      </c>
      <c r="H131" s="19" t="n">
        <v>3</v>
      </c>
      <c r="I131" s="13">
        <f>G131*H131</f>
        <v>3.0</v>
      </c>
      <c r="J131" s="20">
        <f>5600/1000</f>
        <v>5.6</v>
      </c>
      <c r="K131" s="21">
        <f>I131*J131</f>
        <v>16.799999999999997</v>
      </c>
      <c r="L131" s="22">
        <f>F131^2/162</f>
        <v>3.8580246913580245</v>
      </c>
      <c r="M131" s="21">
        <f>K131*L131</f>
        <v>64.8148148148148</v>
      </c>
      <c r="N131" s="22">
        <f>M131/1000</f>
        <v>0.0648148148148148</v>
      </c>
      <c r="O131" s="13" t="inlineStr">
        <is>
          <t>BBS</t>
        </is>
      </c>
    </row>
    <row r="132">
      <c r="A132" s="13" t="n">
        <v>127</v>
      </c>
      <c r="B132" s="13" t="inlineStr">
        <is>
          <t>Beams</t>
        </is>
      </c>
      <c r="C132" s="13" t="inlineStr">
        <is>
          <t>STR-078</t>
        </is>
      </c>
      <c r="D132" s="13" t="inlineStr">
        <is>
          <t>Typical 4th-8th floor beams (sheet 1 of 2)</t>
        </is>
      </c>
      <c r="E132" s="19" t="inlineStr">
        <is>
          <t>2516</t>
        </is>
      </c>
      <c r="F132" s="19" t="n">
        <v>25</v>
      </c>
      <c r="G132" s="19" t="n">
        <v>1</v>
      </c>
      <c r="H132" s="19" t="n">
        <v>3</v>
      </c>
      <c r="I132" s="13">
        <f>G132*H132</f>
        <v>3.0</v>
      </c>
      <c r="J132" s="20">
        <f>9400/1000</f>
        <v>9.4</v>
      </c>
      <c r="K132" s="21">
        <f>I132*J132</f>
        <v>28.200000000000003</v>
      </c>
      <c r="L132" s="22">
        <f>F132^2/162</f>
        <v>3.8580246913580245</v>
      </c>
      <c r="M132" s="21">
        <f>K132*L132</f>
        <v>108.7962962962963</v>
      </c>
      <c r="N132" s="22">
        <f>M132/1000</f>
        <v>0.10879629629629631</v>
      </c>
      <c r="O132" s="13" t="inlineStr">
        <is>
          <t>BBS</t>
        </is>
      </c>
    </row>
    <row r="133">
      <c r="A133" s="13" t="n">
        <v>128</v>
      </c>
      <c r="B133" s="13" t="inlineStr">
        <is>
          <t>Beams</t>
        </is>
      </c>
      <c r="C133" s="13" t="inlineStr">
        <is>
          <t>STR-078</t>
        </is>
      </c>
      <c r="D133" s="13" t="inlineStr">
        <is>
          <t>Typical 4th-8th floor beams (sheet 1 of 2)</t>
        </is>
      </c>
      <c r="E133" s="19" t="inlineStr">
        <is>
          <t>2517</t>
        </is>
      </c>
      <c r="F133" s="19" t="n">
        <v>25</v>
      </c>
      <c r="G133" s="19" t="n">
        <v>1</v>
      </c>
      <c r="H133" s="19" t="n">
        <v>24</v>
      </c>
      <c r="I133" s="13">
        <f>G133*H133</f>
        <v>24.0</v>
      </c>
      <c r="J133" s="20">
        <f>9150/1000</f>
        <v>9.15</v>
      </c>
      <c r="K133" s="21">
        <f>I133*J133</f>
        <v>219.60000000000002</v>
      </c>
      <c r="L133" s="22">
        <f>F133^2/162</f>
        <v>3.8580246913580245</v>
      </c>
      <c r="M133" s="21">
        <f>K133*L133</f>
        <v>847.2222222222223</v>
      </c>
      <c r="N133" s="22">
        <f>M133/1000</f>
        <v>0.8472222222222223</v>
      </c>
      <c r="O133" s="13" t="inlineStr">
        <is>
          <t>BBS</t>
        </is>
      </c>
    </row>
    <row r="134">
      <c r="A134" s="13" t="n">
        <v>129</v>
      </c>
      <c r="B134" s="13" t="inlineStr">
        <is>
          <t>Beams</t>
        </is>
      </c>
      <c r="C134" s="13" t="inlineStr">
        <is>
          <t>STR-078</t>
        </is>
      </c>
      <c r="D134" s="13" t="inlineStr">
        <is>
          <t>Typical 4th-8th floor beams (sheet 1 of 2)</t>
        </is>
      </c>
      <c r="E134" s="19" t="inlineStr">
        <is>
          <t>2518</t>
        </is>
      </c>
      <c r="F134" s="19" t="n">
        <v>25</v>
      </c>
      <c r="G134" s="19" t="n">
        <v>1</v>
      </c>
      <c r="H134" s="19" t="n">
        <v>3</v>
      </c>
      <c r="I134" s="13">
        <f>G134*H134</f>
        <v>3.0</v>
      </c>
      <c r="J134" s="20">
        <f>9800/1000</f>
        <v>9.8</v>
      </c>
      <c r="K134" s="21">
        <f>I134*J134</f>
        <v>29.400000000000002</v>
      </c>
      <c r="L134" s="22">
        <f>F134^2/162</f>
        <v>3.8580246913580245</v>
      </c>
      <c r="M134" s="21">
        <f>K134*L134</f>
        <v>113.42592592592592</v>
      </c>
      <c r="N134" s="22">
        <f>M134/1000</f>
        <v>0.11342592592592593</v>
      </c>
      <c r="O134" s="13" t="inlineStr">
        <is>
          <t>BBS</t>
        </is>
      </c>
    </row>
    <row r="135">
      <c r="A135" s="13" t="n">
        <v>130</v>
      </c>
      <c r="B135" s="13" t="inlineStr">
        <is>
          <t>Beams</t>
        </is>
      </c>
      <c r="C135" s="13" t="inlineStr">
        <is>
          <t>STR-078</t>
        </is>
      </c>
      <c r="D135" s="13" t="inlineStr">
        <is>
          <t>Typical 4th-8th floor beams (sheet 1 of 2)</t>
        </is>
      </c>
      <c r="E135" s="19" t="inlineStr">
        <is>
          <t>2519</t>
        </is>
      </c>
      <c r="F135" s="19" t="n">
        <v>25</v>
      </c>
      <c r="G135" s="19" t="n">
        <v>1</v>
      </c>
      <c r="H135" s="19" t="n">
        <v>3</v>
      </c>
      <c r="I135" s="13">
        <f>G135*H135</f>
        <v>3.0</v>
      </c>
      <c r="J135" s="20">
        <f>8125/1000</f>
        <v>8.125</v>
      </c>
      <c r="K135" s="21">
        <f>I135*J135</f>
        <v>24.375</v>
      </c>
      <c r="L135" s="22">
        <f>F135^2/162</f>
        <v>3.8580246913580245</v>
      </c>
      <c r="M135" s="21">
        <f>K135*L135</f>
        <v>94.03935185185185</v>
      </c>
      <c r="N135" s="22">
        <f>M135/1000</f>
        <v>0.09403935185185185</v>
      </c>
      <c r="O135" s="13" t="inlineStr">
        <is>
          <t>BBS</t>
        </is>
      </c>
    </row>
    <row r="136">
      <c r="A136" s="13" t="n">
        <v>131</v>
      </c>
      <c r="B136" s="13" t="inlineStr">
        <is>
          <t>Beams</t>
        </is>
      </c>
      <c r="C136" s="13" t="inlineStr">
        <is>
          <t>STR-078</t>
        </is>
      </c>
      <c r="D136" s="13" t="inlineStr">
        <is>
          <t>Typical 4th-8th floor beams (sheet 1 of 2)</t>
        </is>
      </c>
      <c r="E136" s="19" t="inlineStr">
        <is>
          <t>2520</t>
        </is>
      </c>
      <c r="F136" s="19" t="n">
        <v>25</v>
      </c>
      <c r="G136" s="19" t="n">
        <v>1</v>
      </c>
      <c r="H136" s="19" t="n">
        <v>24</v>
      </c>
      <c r="I136" s="13">
        <f>G136*H136</f>
        <v>24.0</v>
      </c>
      <c r="J136" s="20">
        <f>8025/1000</f>
        <v>8.025</v>
      </c>
      <c r="K136" s="21">
        <f>I136*J136</f>
        <v>192.60000000000002</v>
      </c>
      <c r="L136" s="22">
        <f>F136^2/162</f>
        <v>3.8580246913580245</v>
      </c>
      <c r="M136" s="21">
        <f>K136*L136</f>
        <v>743.0555555555557</v>
      </c>
      <c r="N136" s="22">
        <f>M136/1000</f>
        <v>0.7430555555555557</v>
      </c>
      <c r="O136" s="13" t="inlineStr">
        <is>
          <t>BBS</t>
        </is>
      </c>
    </row>
    <row r="137">
      <c r="A137" s="13" t="n">
        <v>132</v>
      </c>
      <c r="B137" s="13" t="inlineStr">
        <is>
          <t>Beams</t>
        </is>
      </c>
      <c r="C137" s="13" t="inlineStr">
        <is>
          <t>STR-079</t>
        </is>
      </c>
      <c r="D137" s="13" t="inlineStr">
        <is>
          <t>Typical 4th-8th floor beams (sheet 2 of 2)</t>
        </is>
      </c>
      <c r="E137" s="19" t="inlineStr">
        <is>
          <t>1001</t>
        </is>
      </c>
      <c r="F137" s="19" t="n">
        <v>10</v>
      </c>
      <c r="G137" s="19" t="n">
        <v>1</v>
      </c>
      <c r="H137" s="19" t="n">
        <v>607</v>
      </c>
      <c r="I137" s="13">
        <f>G137*H137</f>
        <v>607.0</v>
      </c>
      <c r="J137" s="20">
        <f>1700/1000</f>
        <v>1.7</v>
      </c>
      <c r="K137" s="21">
        <f>I137*J137</f>
        <v>1031.8999999999999</v>
      </c>
      <c r="L137" s="22">
        <f>F137^2/162</f>
        <v>0.6172839506172839</v>
      </c>
      <c r="M137" s="21">
        <f>K137*L137</f>
        <v>636.9753086419752</v>
      </c>
      <c r="N137" s="22">
        <f>M137/1000</f>
        <v>0.6369753086419752</v>
      </c>
      <c r="O137" s="13" t="inlineStr">
        <is>
          <t>BBS</t>
        </is>
      </c>
    </row>
    <row r="138">
      <c r="A138" s="13" t="n">
        <v>133</v>
      </c>
      <c r="B138" s="13" t="inlineStr">
        <is>
          <t>Beams</t>
        </is>
      </c>
      <c r="C138" s="13" t="inlineStr">
        <is>
          <t>STR-079</t>
        </is>
      </c>
      <c r="D138" s="13" t="inlineStr">
        <is>
          <t>Typical 4th-8th floor beams (sheet 2 of 2)</t>
        </is>
      </c>
      <c r="E138" s="19" t="inlineStr">
        <is>
          <t>1601</t>
        </is>
      </c>
      <c r="F138" s="19" t="n">
        <v>16</v>
      </c>
      <c r="G138" s="19" t="n">
        <v>1</v>
      </c>
      <c r="H138" s="19" t="n">
        <v>4</v>
      </c>
      <c r="I138" s="13">
        <f>G138*H138</f>
        <v>4.0</v>
      </c>
      <c r="J138" s="20">
        <f>11800/1000</f>
        <v>11.8</v>
      </c>
      <c r="K138" s="21">
        <f>I138*J138</f>
        <v>47.2</v>
      </c>
      <c r="L138" s="22">
        <f>F138^2/162</f>
        <v>1.5802469135802468</v>
      </c>
      <c r="M138" s="21">
        <f>K138*L138</f>
        <v>74.58765432098765</v>
      </c>
      <c r="N138" s="22">
        <f>M138/1000</f>
        <v>0.07458765432098766</v>
      </c>
      <c r="O138" s="13" t="inlineStr">
        <is>
          <t>BBS</t>
        </is>
      </c>
    </row>
    <row r="139">
      <c r="A139" s="13" t="n">
        <v>134</v>
      </c>
      <c r="B139" s="13" t="inlineStr">
        <is>
          <t>Beams</t>
        </is>
      </c>
      <c r="C139" s="13" t="inlineStr">
        <is>
          <t>STR-079</t>
        </is>
      </c>
      <c r="D139" s="13" t="inlineStr">
        <is>
          <t>Typical 4th-8th floor beams (sheet 2 of 2)</t>
        </is>
      </c>
      <c r="E139" s="19" t="inlineStr">
        <is>
          <t>1602</t>
        </is>
      </c>
      <c r="F139" s="19" t="n">
        <v>16</v>
      </c>
      <c r="G139" s="19" t="n">
        <v>1</v>
      </c>
      <c r="H139" s="19" t="n">
        <v>3</v>
      </c>
      <c r="I139" s="13">
        <f>G139*H139</f>
        <v>3.0</v>
      </c>
      <c r="J139" s="20">
        <f>11550/1000</f>
        <v>11.55</v>
      </c>
      <c r="K139" s="21">
        <f>I139*J139</f>
        <v>34.650000000000006</v>
      </c>
      <c r="L139" s="22">
        <f>F139^2/162</f>
        <v>1.5802469135802468</v>
      </c>
      <c r="M139" s="21">
        <f>K139*L139</f>
        <v>54.75555555555556</v>
      </c>
      <c r="N139" s="22">
        <f>M139/1000</f>
        <v>0.05475555555555556</v>
      </c>
      <c r="O139" s="13" t="inlineStr">
        <is>
          <t>BBS</t>
        </is>
      </c>
    </row>
    <row r="140">
      <c r="A140" s="13" t="n">
        <v>135</v>
      </c>
      <c r="B140" s="13" t="inlineStr">
        <is>
          <t>Beams</t>
        </is>
      </c>
      <c r="C140" s="13" t="inlineStr">
        <is>
          <t>STR-079</t>
        </is>
      </c>
      <c r="D140" s="13" t="inlineStr">
        <is>
          <t>Typical 4th-8th floor beams (sheet 2 of 2)</t>
        </is>
      </c>
      <c r="E140" s="19" t="inlineStr">
        <is>
          <t>1603</t>
        </is>
      </c>
      <c r="F140" s="19" t="n">
        <v>16</v>
      </c>
      <c r="G140" s="19" t="n">
        <v>1</v>
      </c>
      <c r="H140" s="19" t="n">
        <v>3</v>
      </c>
      <c r="I140" s="13">
        <f>G140*H140</f>
        <v>3.0</v>
      </c>
      <c r="J140" s="20">
        <f>6450/1000</f>
        <v>6.45</v>
      </c>
      <c r="K140" s="21">
        <f>I140*J140</f>
        <v>19.35</v>
      </c>
      <c r="L140" s="22">
        <f>F140^2/162</f>
        <v>1.5802469135802468</v>
      </c>
      <c r="M140" s="21">
        <f>K140*L140</f>
        <v>30.57777777777778</v>
      </c>
      <c r="N140" s="22">
        <f>M140/1000</f>
        <v>0.03057777777777778</v>
      </c>
      <c r="O140" s="13" t="inlineStr">
        <is>
          <t>BBS</t>
        </is>
      </c>
    </row>
    <row r="141">
      <c r="A141" s="13" t="n">
        <v>136</v>
      </c>
      <c r="B141" s="13" t="inlineStr">
        <is>
          <t>Beams</t>
        </is>
      </c>
      <c r="C141" s="13" t="inlineStr">
        <is>
          <t>STR-079</t>
        </is>
      </c>
      <c r="D141" s="13" t="inlineStr">
        <is>
          <t>Typical 4th-8th floor beams (sheet 2 of 2)</t>
        </is>
      </c>
      <c r="E141" s="19" t="inlineStr">
        <is>
          <t>1604</t>
        </is>
      </c>
      <c r="F141" s="19" t="n">
        <v>16</v>
      </c>
      <c r="G141" s="19" t="n">
        <v>1</v>
      </c>
      <c r="H141" s="19" t="n">
        <v>3</v>
      </c>
      <c r="I141" s="13">
        <f>G141*H141</f>
        <v>3.0</v>
      </c>
      <c r="J141" s="20">
        <f>7600/1000</f>
        <v>7.6</v>
      </c>
      <c r="K141" s="21">
        <f>I141*J141</f>
        <v>22.799999999999997</v>
      </c>
      <c r="L141" s="22">
        <f>F141^2/162</f>
        <v>1.5802469135802468</v>
      </c>
      <c r="M141" s="21">
        <f>K141*L141</f>
        <v>36.029629629629625</v>
      </c>
      <c r="N141" s="22">
        <f>M141/1000</f>
        <v>0.03602962962962963</v>
      </c>
      <c r="O141" s="13" t="inlineStr">
        <is>
          <t>BBS</t>
        </is>
      </c>
    </row>
    <row r="142">
      <c r="A142" s="13" t="n">
        <v>137</v>
      </c>
      <c r="B142" s="13" t="inlineStr">
        <is>
          <t>Beams</t>
        </is>
      </c>
      <c r="C142" s="13" t="inlineStr">
        <is>
          <t>STR-079</t>
        </is>
      </c>
      <c r="D142" s="13" t="inlineStr">
        <is>
          <t>Typical 4th-8th floor beams (sheet 2 of 2)</t>
        </is>
      </c>
      <c r="E142" s="19" t="inlineStr">
        <is>
          <t>1605</t>
        </is>
      </c>
      <c r="F142" s="19" t="n">
        <v>16</v>
      </c>
      <c r="G142" s="19" t="n">
        <v>1</v>
      </c>
      <c r="H142" s="19" t="n">
        <v>4</v>
      </c>
      <c r="I142" s="13">
        <f>G142*H142</f>
        <v>4.0</v>
      </c>
      <c r="J142" s="20">
        <f>1200/1000</f>
        <v>1.2</v>
      </c>
      <c r="K142" s="21">
        <f>I142*J142</f>
        <v>4.8</v>
      </c>
      <c r="L142" s="22">
        <f>F142^2/162</f>
        <v>1.5802469135802468</v>
      </c>
      <c r="M142" s="21">
        <f>K142*L142</f>
        <v>7.585185185185185</v>
      </c>
      <c r="N142" s="22">
        <f>M142/1000</f>
        <v>0.007585185185185184</v>
      </c>
      <c r="O142" s="13" t="inlineStr">
        <is>
          <t>BBS</t>
        </is>
      </c>
    </row>
    <row r="143">
      <c r="A143" s="13" t="n">
        <v>138</v>
      </c>
      <c r="B143" s="13" t="inlineStr">
        <is>
          <t>Beams</t>
        </is>
      </c>
      <c r="C143" s="13" t="inlineStr">
        <is>
          <t>STR-079</t>
        </is>
      </c>
      <c r="D143" s="13" t="inlineStr">
        <is>
          <t>Typical 4th-8th floor beams (sheet 2 of 2)</t>
        </is>
      </c>
      <c r="E143" s="19" t="inlineStr">
        <is>
          <t>1606</t>
        </is>
      </c>
      <c r="F143" s="19" t="n">
        <v>16</v>
      </c>
      <c r="G143" s="19" t="n">
        <v>1</v>
      </c>
      <c r="H143" s="19" t="n">
        <v>3</v>
      </c>
      <c r="I143" s="13">
        <f>G143*H143</f>
        <v>3.0</v>
      </c>
      <c r="J143" s="20">
        <f>11300/1000</f>
        <v>11.3</v>
      </c>
      <c r="K143" s="21">
        <f>I143*J143</f>
        <v>33.900000000000006</v>
      </c>
      <c r="L143" s="22">
        <f>F143^2/162</f>
        <v>1.5802469135802468</v>
      </c>
      <c r="M143" s="21">
        <f>K143*L143</f>
        <v>53.57037037037038</v>
      </c>
      <c r="N143" s="22">
        <f>M143/1000</f>
        <v>0.05357037037037038</v>
      </c>
      <c r="O143" s="13" t="inlineStr">
        <is>
          <t>BBS</t>
        </is>
      </c>
    </row>
    <row r="144">
      <c r="A144" s="13" t="n">
        <v>139</v>
      </c>
      <c r="B144" s="13" t="inlineStr">
        <is>
          <t>Beams</t>
        </is>
      </c>
      <c r="C144" s="13" t="inlineStr">
        <is>
          <t>STR-079</t>
        </is>
      </c>
      <c r="D144" s="13" t="inlineStr">
        <is>
          <t>Typical 4th-8th floor beams (sheet 2 of 2)</t>
        </is>
      </c>
      <c r="E144" s="19" t="inlineStr">
        <is>
          <t>1607</t>
        </is>
      </c>
      <c r="F144" s="19" t="n">
        <v>16</v>
      </c>
      <c r="G144" s="19" t="n">
        <v>1</v>
      </c>
      <c r="H144" s="19" t="n">
        <v>2</v>
      </c>
      <c r="I144" s="13">
        <f>G144*H144</f>
        <v>2.0</v>
      </c>
      <c r="J144" s="20">
        <f>7400/1000</f>
        <v>7.4</v>
      </c>
      <c r="K144" s="21">
        <f>I144*J144</f>
        <v>14.8</v>
      </c>
      <c r="L144" s="22">
        <f>F144^2/162</f>
        <v>1.5802469135802468</v>
      </c>
      <c r="M144" s="21">
        <f>K144*L144</f>
        <v>23.387654320987654</v>
      </c>
      <c r="N144" s="22">
        <f>M144/1000</f>
        <v>0.023387654320987654</v>
      </c>
      <c r="O144" s="13" t="inlineStr">
        <is>
          <t>BBS</t>
        </is>
      </c>
    </row>
    <row r="145">
      <c r="A145" s="13" t="n">
        <v>140</v>
      </c>
      <c r="B145" s="13" t="inlineStr">
        <is>
          <t>Beams</t>
        </is>
      </c>
      <c r="C145" s="13" t="inlineStr">
        <is>
          <t>STR-079</t>
        </is>
      </c>
      <c r="D145" s="13" t="inlineStr">
        <is>
          <t>Typical 4th-8th floor beams (sheet 2 of 2)</t>
        </is>
      </c>
      <c r="E145" s="19" t="inlineStr">
        <is>
          <t>1608</t>
        </is>
      </c>
      <c r="F145" s="19" t="n">
        <v>16</v>
      </c>
      <c r="G145" s="19" t="n">
        <v>1</v>
      </c>
      <c r="H145" s="19" t="n">
        <v>6</v>
      </c>
      <c r="I145" s="13">
        <f>G145*H145</f>
        <v>6.0</v>
      </c>
      <c r="J145" s="20">
        <f>9050/1000</f>
        <v>9.05</v>
      </c>
      <c r="K145" s="21">
        <f>I145*J145</f>
        <v>54.300000000000004</v>
      </c>
      <c r="L145" s="22">
        <f>F145^2/162</f>
        <v>1.5802469135802468</v>
      </c>
      <c r="M145" s="21">
        <f>K145*L145</f>
        <v>85.80740740740741</v>
      </c>
      <c r="N145" s="22">
        <f>M145/1000</f>
        <v>0.08580740740740742</v>
      </c>
      <c r="O145" s="13" t="inlineStr">
        <is>
          <t>BBS</t>
        </is>
      </c>
    </row>
    <row r="146">
      <c r="A146" s="13" t="n">
        <v>141</v>
      </c>
      <c r="B146" s="13" t="inlineStr">
        <is>
          <t>Beams</t>
        </is>
      </c>
      <c r="C146" s="13" t="inlineStr">
        <is>
          <t>STR-079</t>
        </is>
      </c>
      <c r="D146" s="13" t="inlineStr">
        <is>
          <t>Typical 4th-8th floor beams (sheet 2 of 2)</t>
        </is>
      </c>
      <c r="E146" s="19" t="inlineStr">
        <is>
          <t>1609</t>
        </is>
      </c>
      <c r="F146" s="19" t="n">
        <v>16</v>
      </c>
      <c r="G146" s="19" t="n">
        <v>1</v>
      </c>
      <c r="H146" s="19" t="n">
        <v>3</v>
      </c>
      <c r="I146" s="13">
        <f>G146*H146</f>
        <v>3.0</v>
      </c>
      <c r="J146" s="20">
        <f>9800/1000</f>
        <v>9.8</v>
      </c>
      <c r="K146" s="21">
        <f>I146*J146</f>
        <v>29.400000000000002</v>
      </c>
      <c r="L146" s="22">
        <f>F146^2/162</f>
        <v>1.5802469135802468</v>
      </c>
      <c r="M146" s="21">
        <f>K146*L146</f>
        <v>46.45925925925926</v>
      </c>
      <c r="N146" s="22">
        <f>M146/1000</f>
        <v>0.04645925925925926</v>
      </c>
      <c r="O146" s="13" t="inlineStr">
        <is>
          <t>BBS</t>
        </is>
      </c>
    </row>
    <row r="147">
      <c r="A147" s="13" t="n">
        <v>142</v>
      </c>
      <c r="B147" s="13" t="inlineStr">
        <is>
          <t>Beams</t>
        </is>
      </c>
      <c r="C147" s="13" t="inlineStr">
        <is>
          <t>STR-079</t>
        </is>
      </c>
      <c r="D147" s="13" t="inlineStr">
        <is>
          <t>Typical 4th-8th floor beams (sheet 2 of 2)</t>
        </is>
      </c>
      <c r="E147" s="19" t="inlineStr">
        <is>
          <t>1610</t>
        </is>
      </c>
      <c r="F147" s="19" t="n">
        <v>16</v>
      </c>
      <c r="G147" s="19" t="n">
        <v>1</v>
      </c>
      <c r="H147" s="19" t="n">
        <v>2</v>
      </c>
      <c r="I147" s="13">
        <f>G147*H147</f>
        <v>2.0</v>
      </c>
      <c r="J147" s="20">
        <f>7900/1000</f>
        <v>7.9</v>
      </c>
      <c r="K147" s="21">
        <f>I147*J147</f>
        <v>15.8</v>
      </c>
      <c r="L147" s="22">
        <f>F147^2/162</f>
        <v>1.5802469135802468</v>
      </c>
      <c r="M147" s="21">
        <f>K147*L147</f>
        <v>24.9679012345679</v>
      </c>
      <c r="N147" s="22">
        <f>M147/1000</f>
        <v>0.0249679012345679</v>
      </c>
      <c r="O147" s="13" t="inlineStr">
        <is>
          <t>BBS</t>
        </is>
      </c>
    </row>
    <row r="148">
      <c r="A148" s="13" t="n">
        <v>143</v>
      </c>
      <c r="B148" s="13" t="inlineStr">
        <is>
          <t>Beams</t>
        </is>
      </c>
      <c r="C148" s="13" t="inlineStr">
        <is>
          <t>STR-079</t>
        </is>
      </c>
      <c r="D148" s="13" t="inlineStr">
        <is>
          <t>Typical 4th-8th floor beams (sheet 2 of 2)</t>
        </is>
      </c>
      <c r="E148" s="19" t="inlineStr">
        <is>
          <t>1611</t>
        </is>
      </c>
      <c r="F148" s="19" t="n">
        <v>16</v>
      </c>
      <c r="G148" s="19" t="n">
        <v>1</v>
      </c>
      <c r="H148" s="19" t="n">
        <v>18</v>
      </c>
      <c r="I148" s="13">
        <f>G148*H148</f>
        <v>18.0</v>
      </c>
      <c r="J148" s="20">
        <f>3350/1000</f>
        <v>3.35</v>
      </c>
      <c r="K148" s="21">
        <f>I148*J148</f>
        <v>60.300000000000004</v>
      </c>
      <c r="L148" s="22">
        <f>F148^2/162</f>
        <v>1.5802469135802468</v>
      </c>
      <c r="M148" s="21">
        <f>K148*L148</f>
        <v>95.28888888888889</v>
      </c>
      <c r="N148" s="22">
        <f>M148/1000</f>
        <v>0.0952888888888889</v>
      </c>
      <c r="O148" s="13" t="inlineStr">
        <is>
          <t>BBS</t>
        </is>
      </c>
    </row>
    <row r="149">
      <c r="A149" s="13" t="n">
        <v>144</v>
      </c>
      <c r="B149" s="13" t="inlineStr">
        <is>
          <t>Beams</t>
        </is>
      </c>
      <c r="C149" s="13" t="inlineStr">
        <is>
          <t>STR-079</t>
        </is>
      </c>
      <c r="D149" s="13" t="inlineStr">
        <is>
          <t>Typical 4th-8th floor beams (sheet 2 of 2)</t>
        </is>
      </c>
      <c r="E149" s="19" t="inlineStr">
        <is>
          <t>1612</t>
        </is>
      </c>
      <c r="F149" s="19" t="n">
        <v>16</v>
      </c>
      <c r="G149" s="19" t="n">
        <v>1</v>
      </c>
      <c r="H149" s="19" t="n">
        <v>2</v>
      </c>
      <c r="I149" s="13">
        <f>G149*H149</f>
        <v>2.0</v>
      </c>
      <c r="J149" s="20">
        <f>2400/1000</f>
        <v>2.4</v>
      </c>
      <c r="K149" s="21">
        <f>I149*J149</f>
        <v>4.8</v>
      </c>
      <c r="L149" s="22">
        <f>F149^2/162</f>
        <v>1.5802469135802468</v>
      </c>
      <c r="M149" s="21">
        <f>K149*L149</f>
        <v>7.585185185185185</v>
      </c>
      <c r="N149" s="22">
        <f>M149/1000</f>
        <v>0.007585185185185184</v>
      </c>
      <c r="O149" s="13" t="inlineStr">
        <is>
          <t>BBS</t>
        </is>
      </c>
    </row>
    <row r="150">
      <c r="A150" s="13" t="n">
        <v>145</v>
      </c>
      <c r="B150" s="13" t="inlineStr">
        <is>
          <t>Beams</t>
        </is>
      </c>
      <c r="C150" s="13" t="inlineStr">
        <is>
          <t>STR-079</t>
        </is>
      </c>
      <c r="D150" s="13" t="inlineStr">
        <is>
          <t>Typical 4th-8th floor beams (sheet 2 of 2)</t>
        </is>
      </c>
      <c r="E150" s="19" t="inlineStr">
        <is>
          <t>1613</t>
        </is>
      </c>
      <c r="F150" s="19" t="n">
        <v>16</v>
      </c>
      <c r="G150" s="19" t="n">
        <v>1</v>
      </c>
      <c r="H150" s="19" t="n">
        <v>2</v>
      </c>
      <c r="I150" s="13">
        <f>G150*H150</f>
        <v>2.0</v>
      </c>
      <c r="J150" s="20">
        <f>10550/1000</f>
        <v>10.55</v>
      </c>
      <c r="K150" s="21">
        <f>I150*J150</f>
        <v>21.1</v>
      </c>
      <c r="L150" s="22">
        <f>F150^2/162</f>
        <v>1.5802469135802468</v>
      </c>
      <c r="M150" s="21">
        <f>K150*L150</f>
        <v>33.34320987654321</v>
      </c>
      <c r="N150" s="22">
        <f>M150/1000</f>
        <v>0.03334320987654321</v>
      </c>
      <c r="O150" s="13" t="inlineStr">
        <is>
          <t>BBS</t>
        </is>
      </c>
    </row>
    <row r="151">
      <c r="A151" s="13" t="n">
        <v>146</v>
      </c>
      <c r="B151" s="13" t="inlineStr">
        <is>
          <t>Beams</t>
        </is>
      </c>
      <c r="C151" s="13" t="inlineStr">
        <is>
          <t>STR-079</t>
        </is>
      </c>
      <c r="D151" s="13" t="inlineStr">
        <is>
          <t>Typical 4th-8th floor beams (sheet 2 of 2)</t>
        </is>
      </c>
      <c r="E151" s="19" t="inlineStr">
        <is>
          <t>1614</t>
        </is>
      </c>
      <c r="F151" s="19" t="n">
        <v>16</v>
      </c>
      <c r="G151" s="19" t="n">
        <v>1</v>
      </c>
      <c r="H151" s="19" t="n">
        <v>2</v>
      </c>
      <c r="I151" s="13">
        <f>G151*H151</f>
        <v>2.0</v>
      </c>
      <c r="J151" s="20">
        <f>9050/1000</f>
        <v>9.05</v>
      </c>
      <c r="K151" s="21">
        <f>I151*J151</f>
        <v>18.1</v>
      </c>
      <c r="L151" s="22">
        <f>F151^2/162</f>
        <v>1.5802469135802468</v>
      </c>
      <c r="M151" s="21">
        <f>K151*L151</f>
        <v>28.60246913580247</v>
      </c>
      <c r="N151" s="22">
        <f>M151/1000</f>
        <v>0.02860246913580247</v>
      </c>
      <c r="O151" s="13" t="inlineStr">
        <is>
          <t>BBS</t>
        </is>
      </c>
    </row>
    <row r="152">
      <c r="A152" s="13" t="n">
        <v>147</v>
      </c>
      <c r="B152" s="13" t="inlineStr">
        <is>
          <t>Beams</t>
        </is>
      </c>
      <c r="C152" s="13" t="inlineStr">
        <is>
          <t>STR-079</t>
        </is>
      </c>
      <c r="D152" s="13" t="inlineStr">
        <is>
          <t>Typical 4th-8th floor beams (sheet 2 of 2)</t>
        </is>
      </c>
      <c r="E152" s="19" t="inlineStr">
        <is>
          <t>2001</t>
        </is>
      </c>
      <c r="F152" s="19" t="n">
        <v>20</v>
      </c>
      <c r="G152" s="19" t="n">
        <v>1</v>
      </c>
      <c r="H152" s="19" t="n">
        <v>6</v>
      </c>
      <c r="I152" s="13">
        <f>G152*H152</f>
        <v>6.0</v>
      </c>
      <c r="J152" s="20">
        <f>8500/1000</f>
        <v>8.5</v>
      </c>
      <c r="K152" s="21">
        <f>I152*J152</f>
        <v>51.0</v>
      </c>
      <c r="L152" s="22">
        <f>F152^2/162</f>
        <v>2.4691358024691357</v>
      </c>
      <c r="M152" s="21">
        <f>K152*L152</f>
        <v>125.92592592592592</v>
      </c>
      <c r="N152" s="22">
        <f>M152/1000</f>
        <v>0.1259259259259259</v>
      </c>
      <c r="O152" s="13" t="inlineStr">
        <is>
          <t>BBS</t>
        </is>
      </c>
    </row>
    <row r="153">
      <c r="A153" s="13" t="n">
        <v>148</v>
      </c>
      <c r="B153" s="13" t="inlineStr">
        <is>
          <t>Beams</t>
        </is>
      </c>
      <c r="C153" s="13" t="inlineStr">
        <is>
          <t>STR-079</t>
        </is>
      </c>
      <c r="D153" s="13" t="inlineStr">
        <is>
          <t>Typical 4th-8th floor beams (sheet 2 of 2)</t>
        </is>
      </c>
      <c r="E153" s="19" t="inlineStr">
        <is>
          <t>2501</t>
        </is>
      </c>
      <c r="F153" s="19" t="n">
        <v>25</v>
      </c>
      <c r="G153" s="19" t="n">
        <v>1</v>
      </c>
      <c r="H153" s="19" t="n">
        <v>3</v>
      </c>
      <c r="I153" s="13">
        <f>G153*H153</f>
        <v>3.0</v>
      </c>
      <c r="J153" s="20">
        <f>5850/1000</f>
        <v>5.85</v>
      </c>
      <c r="K153" s="21">
        <f>I153*J153</f>
        <v>17.549999999999997</v>
      </c>
      <c r="L153" s="22">
        <f>F153^2/162</f>
        <v>3.8580246913580245</v>
      </c>
      <c r="M153" s="21">
        <f>K153*L153</f>
        <v>67.70833333333331</v>
      </c>
      <c r="N153" s="22">
        <f>M153/1000</f>
        <v>0.06770833333333331</v>
      </c>
      <c r="O153" s="13" t="inlineStr">
        <is>
          <t>BBS</t>
        </is>
      </c>
    </row>
    <row r="154">
      <c r="A154" s="13" t="n">
        <v>149</v>
      </c>
      <c r="B154" s="13" t="inlineStr">
        <is>
          <t>Beams</t>
        </is>
      </c>
      <c r="C154" s="13" t="inlineStr">
        <is>
          <t>STR-079</t>
        </is>
      </c>
      <c r="D154" s="13" t="inlineStr">
        <is>
          <t>Typical 4th-8th floor beams (sheet 2 of 2)</t>
        </is>
      </c>
      <c r="E154" s="19" t="inlineStr">
        <is>
          <t>2502</t>
        </is>
      </c>
      <c r="F154" s="19" t="n">
        <v>25</v>
      </c>
      <c r="G154" s="19" t="n">
        <v>1</v>
      </c>
      <c r="H154" s="19" t="n">
        <v>3</v>
      </c>
      <c r="I154" s="13">
        <f>G154*H154</f>
        <v>3.0</v>
      </c>
      <c r="J154" s="20">
        <f>8000/1000</f>
        <v>8.0</v>
      </c>
      <c r="K154" s="21">
        <f>I154*J154</f>
        <v>24.0</v>
      </c>
      <c r="L154" s="22">
        <f>F154^2/162</f>
        <v>3.8580246913580245</v>
      </c>
      <c r="M154" s="21">
        <f>K154*L154</f>
        <v>92.59259259259258</v>
      </c>
      <c r="N154" s="22">
        <f>M154/1000</f>
        <v>0.09259259259259259</v>
      </c>
      <c r="O154" s="13" t="inlineStr">
        <is>
          <t>BBS</t>
        </is>
      </c>
    </row>
    <row r="155">
      <c r="A155" s="13" t="n">
        <v>150</v>
      </c>
      <c r="B155" s="13" t="inlineStr">
        <is>
          <t>Beams</t>
        </is>
      </c>
      <c r="C155" s="13" t="inlineStr">
        <is>
          <t>STR-079</t>
        </is>
      </c>
      <c r="D155" s="13" t="inlineStr">
        <is>
          <t>Typical 4th-8th floor beams (sheet 2 of 2)</t>
        </is>
      </c>
      <c r="E155" s="19" t="inlineStr">
        <is>
          <t>2503</t>
        </is>
      </c>
      <c r="F155" s="19" t="n">
        <v>25</v>
      </c>
      <c r="G155" s="19" t="n">
        <v>1</v>
      </c>
      <c r="H155" s="19" t="n">
        <v>3</v>
      </c>
      <c r="I155" s="13">
        <f>G155*H155</f>
        <v>3.0</v>
      </c>
      <c r="J155" s="20">
        <f>8700/1000</f>
        <v>8.7</v>
      </c>
      <c r="K155" s="21">
        <f>I155*J155</f>
        <v>26.099999999999998</v>
      </c>
      <c r="L155" s="22">
        <f>F155^2/162</f>
        <v>3.8580246913580245</v>
      </c>
      <c r="M155" s="21">
        <f>K155*L155</f>
        <v>100.69444444444443</v>
      </c>
      <c r="N155" s="22">
        <f>M155/1000</f>
        <v>0.10069444444444443</v>
      </c>
      <c r="O155" s="13" t="inlineStr">
        <is>
          <t>BBS</t>
        </is>
      </c>
    </row>
    <row r="156">
      <c r="A156" s="13" t="n">
        <v>151</v>
      </c>
      <c r="B156" s="13" t="inlineStr">
        <is>
          <t>Beams</t>
        </is>
      </c>
      <c r="C156" s="13" t="inlineStr">
        <is>
          <t>STR-079</t>
        </is>
      </c>
      <c r="D156" s="13" t="inlineStr">
        <is>
          <t>Typical 4th-8th floor beams (sheet 2 of 2)</t>
        </is>
      </c>
      <c r="E156" s="19" t="inlineStr">
        <is>
          <t>2504</t>
        </is>
      </c>
      <c r="F156" s="19" t="n">
        <v>25</v>
      </c>
      <c r="G156" s="19" t="n">
        <v>1</v>
      </c>
      <c r="H156" s="19" t="n">
        <v>3</v>
      </c>
      <c r="I156" s="13">
        <f>G156*H156</f>
        <v>3.0</v>
      </c>
      <c r="J156" s="20">
        <f>5900/1000</f>
        <v>5.9</v>
      </c>
      <c r="K156" s="21">
        <f>I156*J156</f>
        <v>17.700000000000003</v>
      </c>
      <c r="L156" s="22">
        <f>F156^2/162</f>
        <v>3.8580246913580245</v>
      </c>
      <c r="M156" s="21">
        <f>K156*L156</f>
        <v>68.28703703703704</v>
      </c>
      <c r="N156" s="22">
        <f>M156/1000</f>
        <v>0.06828703703703703</v>
      </c>
      <c r="O156" s="13" t="inlineStr">
        <is>
          <t>BBS</t>
        </is>
      </c>
    </row>
    <row r="157">
      <c r="A157" s="13" t="n">
        <v>152</v>
      </c>
      <c r="B157" s="13" t="inlineStr">
        <is>
          <t>Beams</t>
        </is>
      </c>
      <c r="C157" s="13" t="inlineStr">
        <is>
          <t>STR-079</t>
        </is>
      </c>
      <c r="D157" s="13" t="inlineStr">
        <is>
          <t>Typical 4th-8th floor beams (sheet 2 of 2)</t>
        </is>
      </c>
      <c r="E157" s="19" t="inlineStr">
        <is>
          <t>2505</t>
        </is>
      </c>
      <c r="F157" s="19" t="n">
        <v>25</v>
      </c>
      <c r="G157" s="19" t="n">
        <v>1</v>
      </c>
      <c r="H157" s="19" t="n">
        <v>3</v>
      </c>
      <c r="I157" s="13">
        <f>G157*H157</f>
        <v>3.0</v>
      </c>
      <c r="J157" s="20">
        <f>7750/1000</f>
        <v>7.75</v>
      </c>
      <c r="K157" s="21">
        <f>I157*J157</f>
        <v>23.25</v>
      </c>
      <c r="L157" s="22">
        <f>F157^2/162</f>
        <v>3.8580246913580245</v>
      </c>
      <c r="M157" s="21">
        <f>K157*L157</f>
        <v>89.69907407407408</v>
      </c>
      <c r="N157" s="22">
        <f>M157/1000</f>
        <v>0.08969907407407407</v>
      </c>
      <c r="O157" s="13" t="inlineStr">
        <is>
          <t>BBS</t>
        </is>
      </c>
    </row>
    <row r="158">
      <c r="A158" s="13" t="n">
        <v>153</v>
      </c>
      <c r="B158" s="13" t="inlineStr">
        <is>
          <t>Beams</t>
        </is>
      </c>
      <c r="C158" s="13" t="inlineStr">
        <is>
          <t>STR-079</t>
        </is>
      </c>
      <c r="D158" s="13" t="inlineStr">
        <is>
          <t>Typical 4th-8th floor beams (sheet 2 of 2)</t>
        </is>
      </c>
      <c r="E158" s="19" t="inlineStr">
        <is>
          <t>2506</t>
        </is>
      </c>
      <c r="F158" s="19" t="n">
        <v>25</v>
      </c>
      <c r="G158" s="19" t="n">
        <v>1</v>
      </c>
      <c r="H158" s="19" t="n">
        <v>3</v>
      </c>
      <c r="I158" s="13">
        <f>G158*H158</f>
        <v>3.0</v>
      </c>
      <c r="J158" s="20">
        <f>6500/1000</f>
        <v>6.5</v>
      </c>
      <c r="K158" s="21">
        <f>I158*J158</f>
        <v>19.5</v>
      </c>
      <c r="L158" s="22">
        <f>F158^2/162</f>
        <v>3.8580246913580245</v>
      </c>
      <c r="M158" s="21">
        <f>K158*L158</f>
        <v>75.23148148148148</v>
      </c>
      <c r="N158" s="22">
        <f>M158/1000</f>
        <v>0.07523148148148148</v>
      </c>
      <c r="O158" s="13" t="inlineStr">
        <is>
          <t>BBS</t>
        </is>
      </c>
    </row>
    <row r="159">
      <c r="A159" s="13" t="n">
        <v>154</v>
      </c>
      <c r="B159" s="13" t="inlineStr">
        <is>
          <t>Beams</t>
        </is>
      </c>
      <c r="C159" s="13" t="inlineStr">
        <is>
          <t>STR-079</t>
        </is>
      </c>
      <c r="D159" s="13" t="inlineStr">
        <is>
          <t>Typical 4th-8th floor beams (sheet 2 of 2)</t>
        </is>
      </c>
      <c r="E159" s="19" t="inlineStr">
        <is>
          <t>2507</t>
        </is>
      </c>
      <c r="F159" s="19" t="n">
        <v>25</v>
      </c>
      <c r="G159" s="19" t="n">
        <v>1</v>
      </c>
      <c r="H159" s="19" t="n">
        <v>3</v>
      </c>
      <c r="I159" s="13">
        <f>G159*H159</f>
        <v>3.0</v>
      </c>
      <c r="J159" s="20">
        <f>9850/1000</f>
        <v>9.85</v>
      </c>
      <c r="K159" s="21">
        <f>I159*J159</f>
        <v>29.549999999999997</v>
      </c>
      <c r="L159" s="22">
        <f>F159^2/162</f>
        <v>3.8580246913580245</v>
      </c>
      <c r="M159" s="21">
        <f>K159*L159</f>
        <v>114.00462962962962</v>
      </c>
      <c r="N159" s="22">
        <f>M159/1000</f>
        <v>0.11400462962962962</v>
      </c>
      <c r="O159" s="13" t="inlineStr">
        <is>
          <t>BBS</t>
        </is>
      </c>
    </row>
    <row r="160">
      <c r="A160" s="13" t="n">
        <v>155</v>
      </c>
      <c r="B160" s="13" t="inlineStr">
        <is>
          <t>Beams</t>
        </is>
      </c>
      <c r="C160" s="13" t="inlineStr">
        <is>
          <t>STR-079</t>
        </is>
      </c>
      <c r="D160" s="13" t="inlineStr">
        <is>
          <t>Typical 4th-8th floor beams (sheet 2 of 2)</t>
        </is>
      </c>
      <c r="E160" s="19" t="inlineStr">
        <is>
          <t>2508</t>
        </is>
      </c>
      <c r="F160" s="19" t="n">
        <v>25</v>
      </c>
      <c r="G160" s="19" t="n">
        <v>1</v>
      </c>
      <c r="H160" s="19" t="n">
        <v>3</v>
      </c>
      <c r="I160" s="13">
        <f>G160*H160</f>
        <v>3.0</v>
      </c>
      <c r="J160" s="20">
        <f>11650/1000</f>
        <v>11.65</v>
      </c>
      <c r="K160" s="21">
        <f>I160*J160</f>
        <v>34.95</v>
      </c>
      <c r="L160" s="22">
        <f>F160^2/162</f>
        <v>3.8580246913580245</v>
      </c>
      <c r="M160" s="21">
        <f>K160*L160</f>
        <v>134.83796296296296</v>
      </c>
      <c r="N160" s="22">
        <f>M160/1000</f>
        <v>0.13483796296296297</v>
      </c>
      <c r="O160" s="13" t="inlineStr">
        <is>
          <t>BBS</t>
        </is>
      </c>
    </row>
    <row r="161">
      <c r="A161" s="13" t="n">
        <v>156</v>
      </c>
      <c r="B161" s="13" t="inlineStr">
        <is>
          <t>Beams</t>
        </is>
      </c>
      <c r="C161" s="13" t="inlineStr">
        <is>
          <t>STR-079</t>
        </is>
      </c>
      <c r="D161" s="13" t="inlineStr">
        <is>
          <t>Typical 4th-8th floor beams (sheet 2 of 2)</t>
        </is>
      </c>
      <c r="E161" s="19" t="inlineStr">
        <is>
          <t>2509</t>
        </is>
      </c>
      <c r="F161" s="19" t="n">
        <v>25</v>
      </c>
      <c r="G161" s="19" t="n">
        <v>1</v>
      </c>
      <c r="H161" s="19" t="n">
        <v>3</v>
      </c>
      <c r="I161" s="13">
        <f>G161*H161</f>
        <v>3.0</v>
      </c>
      <c r="J161" s="20">
        <f>6450/1000</f>
        <v>6.45</v>
      </c>
      <c r="K161" s="21">
        <f>I161*J161</f>
        <v>19.35</v>
      </c>
      <c r="L161" s="22">
        <f>F161^2/162</f>
        <v>3.8580246913580245</v>
      </c>
      <c r="M161" s="21">
        <f>K161*L161</f>
        <v>74.65277777777779</v>
      </c>
      <c r="N161" s="22">
        <f>M161/1000</f>
        <v>0.07465277777777779</v>
      </c>
      <c r="O161" s="13" t="inlineStr">
        <is>
          <t>BBS</t>
        </is>
      </c>
    </row>
    <row r="162">
      <c r="A162" s="13" t="n">
        <v>157</v>
      </c>
      <c r="B162" s="13" t="inlineStr">
        <is>
          <t>Beams</t>
        </is>
      </c>
      <c r="C162" s="13" t="inlineStr">
        <is>
          <t>STR-079</t>
        </is>
      </c>
      <c r="D162" s="13" t="inlineStr">
        <is>
          <t>Typical 4th-8th floor beams (sheet 2 of 2)</t>
        </is>
      </c>
      <c r="E162" s="19" t="inlineStr">
        <is>
          <t>2510</t>
        </is>
      </c>
      <c r="F162" s="19" t="n">
        <v>25</v>
      </c>
      <c r="G162" s="19" t="n">
        <v>1</v>
      </c>
      <c r="H162" s="19" t="n">
        <v>3</v>
      </c>
      <c r="I162" s="13">
        <f>G162*H162</f>
        <v>3.0</v>
      </c>
      <c r="J162" s="20">
        <f>7700/1000</f>
        <v>7.7</v>
      </c>
      <c r="K162" s="21">
        <f>I162*J162</f>
        <v>23.1</v>
      </c>
      <c r="L162" s="22">
        <f>F162^2/162</f>
        <v>3.8580246913580245</v>
      </c>
      <c r="M162" s="21">
        <f>K162*L162</f>
        <v>89.12037037037037</v>
      </c>
      <c r="N162" s="22">
        <f>M162/1000</f>
        <v>0.08912037037037036</v>
      </c>
      <c r="O162" s="13" t="inlineStr">
        <is>
          <t>BBS</t>
        </is>
      </c>
    </row>
    <row r="163">
      <c r="A163" s="13" t="n">
        <v>158</v>
      </c>
      <c r="B163" s="13" t="inlineStr">
        <is>
          <t>Beams</t>
        </is>
      </c>
      <c r="C163" s="13" t="inlineStr">
        <is>
          <t>STR-079</t>
        </is>
      </c>
      <c r="D163" s="13" t="inlineStr">
        <is>
          <t>Typical 4th-8th floor beams (sheet 2 of 2)</t>
        </is>
      </c>
      <c r="E163" s="19" t="inlineStr">
        <is>
          <t>2511</t>
        </is>
      </c>
      <c r="F163" s="19" t="n">
        <v>25</v>
      </c>
      <c r="G163" s="19" t="n">
        <v>1</v>
      </c>
      <c r="H163" s="19" t="n">
        <v>24</v>
      </c>
      <c r="I163" s="13">
        <f>G163*H163</f>
        <v>24.0</v>
      </c>
      <c r="J163" s="20">
        <f>3550/1000</f>
        <v>3.55</v>
      </c>
      <c r="K163" s="21">
        <f>I163*J163</f>
        <v>85.19999999999999</v>
      </c>
      <c r="L163" s="22">
        <f>F163^2/162</f>
        <v>3.8580246913580245</v>
      </c>
      <c r="M163" s="21">
        <f>K163*L163</f>
        <v>328.70370370370364</v>
      </c>
      <c r="N163" s="22">
        <f>M163/1000</f>
        <v>0.32870370370370366</v>
      </c>
      <c r="O163" s="13" t="inlineStr">
        <is>
          <t>BBS</t>
        </is>
      </c>
    </row>
    <row r="164">
      <c r="A164" s="13" t="n">
        <v>159</v>
      </c>
      <c r="B164" s="13" t="inlineStr">
        <is>
          <t>Beams</t>
        </is>
      </c>
      <c r="C164" s="13" t="inlineStr">
        <is>
          <t>STR-079</t>
        </is>
      </c>
      <c r="D164" s="13" t="inlineStr">
        <is>
          <t>Typical 4th-8th floor beams (sheet 2 of 2)</t>
        </is>
      </c>
      <c r="E164" s="19" t="inlineStr">
        <is>
          <t>2512</t>
        </is>
      </c>
      <c r="F164" s="19" t="n">
        <v>25</v>
      </c>
      <c r="G164" s="19" t="n">
        <v>1</v>
      </c>
      <c r="H164" s="19" t="n">
        <v>3</v>
      </c>
      <c r="I164" s="13">
        <f>G164*H164</f>
        <v>3.0</v>
      </c>
      <c r="J164" s="20">
        <f>7750/1000</f>
        <v>7.75</v>
      </c>
      <c r="K164" s="21">
        <f>I164*J164</f>
        <v>23.25</v>
      </c>
      <c r="L164" s="22">
        <f>F164^2/162</f>
        <v>3.8580246913580245</v>
      </c>
      <c r="M164" s="21">
        <f>K164*L164</f>
        <v>89.69907407407408</v>
      </c>
      <c r="N164" s="22">
        <f>M164/1000</f>
        <v>0.08969907407407407</v>
      </c>
      <c r="O164" s="13" t="inlineStr">
        <is>
          <t>BBS</t>
        </is>
      </c>
    </row>
    <row r="165">
      <c r="A165" s="13" t="n">
        <v>160</v>
      </c>
      <c r="B165" s="13" t="inlineStr">
        <is>
          <t>Beams</t>
        </is>
      </c>
      <c r="C165" s="13" t="inlineStr">
        <is>
          <t>STR-079</t>
        </is>
      </c>
      <c r="D165" s="13" t="inlineStr">
        <is>
          <t>Typical 4th-8th floor beams (sheet 2 of 2)</t>
        </is>
      </c>
      <c r="E165" s="19" t="inlineStr">
        <is>
          <t>2513</t>
        </is>
      </c>
      <c r="F165" s="19" t="n">
        <v>25</v>
      </c>
      <c r="G165" s="19" t="n">
        <v>1</v>
      </c>
      <c r="H165" s="19" t="n">
        <v>6</v>
      </c>
      <c r="I165" s="13">
        <f>G165*H165</f>
        <v>6.0</v>
      </c>
      <c r="J165" s="20">
        <f>6350/1000</f>
        <v>6.35</v>
      </c>
      <c r="K165" s="21">
        <f>I165*J165</f>
        <v>38.099999999999994</v>
      </c>
      <c r="L165" s="22">
        <f>F165^2/162</f>
        <v>3.8580246913580245</v>
      </c>
      <c r="M165" s="21">
        <f>K165*L165</f>
        <v>146.9907407407407</v>
      </c>
      <c r="N165" s="22">
        <f>M165/1000</f>
        <v>0.1469907407407407</v>
      </c>
      <c r="O165" s="13" t="inlineStr">
        <is>
          <t>BBS</t>
        </is>
      </c>
    </row>
    <row r="166">
      <c r="A166" s="13" t="n">
        <v>161</v>
      </c>
      <c r="B166" s="13" t="inlineStr">
        <is>
          <t>Beams</t>
        </is>
      </c>
      <c r="C166" s="13" t="inlineStr">
        <is>
          <t>STR-079</t>
        </is>
      </c>
      <c r="D166" s="13" t="inlineStr">
        <is>
          <t>Typical 4th-8th floor beams (sheet 2 of 2)</t>
        </is>
      </c>
      <c r="E166" s="19" t="inlineStr">
        <is>
          <t>2514</t>
        </is>
      </c>
      <c r="F166" s="19" t="n">
        <v>25</v>
      </c>
      <c r="G166" s="19" t="n">
        <v>1</v>
      </c>
      <c r="H166" s="19" t="n">
        <v>3</v>
      </c>
      <c r="I166" s="13">
        <f>G166*H166</f>
        <v>3.0</v>
      </c>
      <c r="J166" s="20">
        <f>10450/1000</f>
        <v>10.45</v>
      </c>
      <c r="K166" s="21">
        <f>I166*J166</f>
        <v>31.349999999999998</v>
      </c>
      <c r="L166" s="22">
        <f>F166^2/162</f>
        <v>3.8580246913580245</v>
      </c>
      <c r="M166" s="21">
        <f>K166*L166</f>
        <v>120.94907407407406</v>
      </c>
      <c r="N166" s="22">
        <f>M166/1000</f>
        <v>0.12094907407407406</v>
      </c>
      <c r="O166" s="13" t="inlineStr">
        <is>
          <t>BBS</t>
        </is>
      </c>
    </row>
    <row r="167">
      <c r="A167" s="13" t="n">
        <v>162</v>
      </c>
      <c r="B167" s="13" t="inlineStr">
        <is>
          <t>Beams</t>
        </is>
      </c>
      <c r="C167" s="13" t="inlineStr">
        <is>
          <t>STR-079</t>
        </is>
      </c>
      <c r="D167" s="13" t="inlineStr">
        <is>
          <t>Typical 4th-8th floor beams (sheet 2 of 2)</t>
        </is>
      </c>
      <c r="E167" s="19" t="inlineStr">
        <is>
          <t>2515</t>
        </is>
      </c>
      <c r="F167" s="19" t="n">
        <v>25</v>
      </c>
      <c r="G167" s="19" t="n">
        <v>1</v>
      </c>
      <c r="H167" s="19" t="n">
        <v>3</v>
      </c>
      <c r="I167" s="13">
        <f>G167*H167</f>
        <v>3.0</v>
      </c>
      <c r="J167" s="20">
        <f>11200/1000</f>
        <v>11.2</v>
      </c>
      <c r="K167" s="21">
        <f>I167*J167</f>
        <v>33.599999999999994</v>
      </c>
      <c r="L167" s="22">
        <f>F167^2/162</f>
        <v>3.8580246913580245</v>
      </c>
      <c r="M167" s="21">
        <f>K167*L167</f>
        <v>129.6296296296296</v>
      </c>
      <c r="N167" s="22">
        <f>M167/1000</f>
        <v>0.1296296296296296</v>
      </c>
      <c r="O167" s="13" t="inlineStr">
        <is>
          <t>BBS</t>
        </is>
      </c>
    </row>
    <row r="168">
      <c r="A168" s="13" t="n">
        <v>163</v>
      </c>
      <c r="B168" s="13" t="inlineStr">
        <is>
          <t>Beams</t>
        </is>
      </c>
      <c r="C168" s="13" t="inlineStr">
        <is>
          <t>STR-079</t>
        </is>
      </c>
      <c r="D168" s="13" t="inlineStr">
        <is>
          <t>Typical 4th-8th floor beams (sheet 2 of 2)</t>
        </is>
      </c>
      <c r="E168" s="19" t="inlineStr">
        <is>
          <t>2516</t>
        </is>
      </c>
      <c r="F168" s="19" t="n">
        <v>25</v>
      </c>
      <c r="G168" s="19" t="n">
        <v>1</v>
      </c>
      <c r="H168" s="19" t="n">
        <v>3</v>
      </c>
      <c r="I168" s="13">
        <f>G168*H168</f>
        <v>3.0</v>
      </c>
      <c r="J168" s="20">
        <f>8275/1000</f>
        <v>8.275</v>
      </c>
      <c r="K168" s="21">
        <f>I168*J168</f>
        <v>24.825000000000003</v>
      </c>
      <c r="L168" s="22">
        <f>F168^2/162</f>
        <v>3.8580246913580245</v>
      </c>
      <c r="M168" s="21">
        <f>K168*L168</f>
        <v>95.77546296296298</v>
      </c>
      <c r="N168" s="22">
        <f>M168/1000</f>
        <v>0.09577546296296298</v>
      </c>
      <c r="O168" s="13" t="inlineStr">
        <is>
          <t>BBS</t>
        </is>
      </c>
    </row>
    <row r="169">
      <c r="A169" s="13" t="n">
        <v>164</v>
      </c>
      <c r="B169" s="13" t="inlineStr">
        <is>
          <t>Beams</t>
        </is>
      </c>
      <c r="C169" s="13" t="inlineStr">
        <is>
          <t>STR-079</t>
        </is>
      </c>
      <c r="D169" s="13" t="inlineStr">
        <is>
          <t>Typical 4th-8th floor beams (sheet 2 of 2)</t>
        </is>
      </c>
      <c r="E169" s="19" t="inlineStr">
        <is>
          <t>2517</t>
        </is>
      </c>
      <c r="F169" s="19" t="n">
        <v>25</v>
      </c>
      <c r="G169" s="19" t="n">
        <v>1</v>
      </c>
      <c r="H169" s="19" t="n">
        <v>6</v>
      </c>
      <c r="I169" s="13">
        <f>G169*H169</f>
        <v>6.0</v>
      </c>
      <c r="J169" s="20">
        <f>10150/1000</f>
        <v>10.15</v>
      </c>
      <c r="K169" s="21">
        <f>I169*J169</f>
        <v>60.900000000000006</v>
      </c>
      <c r="L169" s="22">
        <f>F169^2/162</f>
        <v>3.8580246913580245</v>
      </c>
      <c r="M169" s="21">
        <f>K169*L169</f>
        <v>234.95370370370372</v>
      </c>
      <c r="N169" s="22">
        <f>M169/1000</f>
        <v>0.23495370370370372</v>
      </c>
      <c r="O169" s="13" t="inlineStr">
        <is>
          <t>BBS</t>
        </is>
      </c>
    </row>
    <row r="170">
      <c r="A170" s="13" t="n">
        <v>165</v>
      </c>
      <c r="B170" s="13" t="inlineStr">
        <is>
          <t>Floor Slabs</t>
        </is>
      </c>
      <c r="C170" s="13" t="inlineStr">
        <is>
          <t>STR-080</t>
        </is>
      </c>
      <c r="D170" s="13" t="inlineStr">
        <is>
          <t>Typical 4th-8th slab - bottom</t>
        </is>
      </c>
      <c r="E170" s="19" t="inlineStr">
        <is>
          <t>1201</t>
        </is>
      </c>
      <c r="F170" s="19" t="n">
        <v>12</v>
      </c>
      <c r="G170" s="19" t="n">
        <v>1</v>
      </c>
      <c r="H170" s="19" t="n">
        <v>306</v>
      </c>
      <c r="I170" s="13">
        <f>G170*H170</f>
        <v>306.0</v>
      </c>
      <c r="J170" s="20">
        <f>9900/1000</f>
        <v>9.9</v>
      </c>
      <c r="K170" s="21">
        <f>I170*J170</f>
        <v>3029.4</v>
      </c>
      <c r="L170" s="22">
        <f>F170^2/162</f>
        <v>0.8888888888888888</v>
      </c>
      <c r="M170" s="21">
        <f>K170*L170</f>
        <v>2692.7999999999997</v>
      </c>
      <c r="N170" s="22">
        <f>M170/1000</f>
        <v>2.6927999999999996</v>
      </c>
      <c r="O170" s="13" t="inlineStr">
        <is>
          <t>BBS</t>
        </is>
      </c>
    </row>
    <row r="171">
      <c r="A171" s="13" t="n">
        <v>166</v>
      </c>
      <c r="B171" s="13" t="inlineStr">
        <is>
          <t>Floor Slabs</t>
        </is>
      </c>
      <c r="C171" s="13" t="inlineStr">
        <is>
          <t>STR-080</t>
        </is>
      </c>
      <c r="D171" s="13" t="inlineStr">
        <is>
          <t>Typical 4th-8th slab - bottom</t>
        </is>
      </c>
      <c r="E171" s="19" t="inlineStr">
        <is>
          <t>1202</t>
        </is>
      </c>
      <c r="F171" s="19" t="n">
        <v>12</v>
      </c>
      <c r="G171" s="19" t="n">
        <v>1</v>
      </c>
      <c r="H171" s="19" t="n">
        <v>349</v>
      </c>
      <c r="I171" s="13">
        <f>G171*H171</f>
        <v>349.0</v>
      </c>
      <c r="J171" s="20">
        <f>5500/1000</f>
        <v>5.5</v>
      </c>
      <c r="K171" s="21">
        <f>I171*J171</f>
        <v>1919.5</v>
      </c>
      <c r="L171" s="22">
        <f>F171^2/162</f>
        <v>0.8888888888888888</v>
      </c>
      <c r="M171" s="21">
        <f>K171*L171</f>
        <v>1706.2222222222222</v>
      </c>
      <c r="N171" s="22">
        <f>M171/1000</f>
        <v>1.706222222222222</v>
      </c>
      <c r="O171" s="13" t="inlineStr">
        <is>
          <t>BBS</t>
        </is>
      </c>
    </row>
    <row r="172">
      <c r="A172" s="13" t="n">
        <v>167</v>
      </c>
      <c r="B172" s="13" t="inlineStr">
        <is>
          <t>Floor Slabs</t>
        </is>
      </c>
      <c r="C172" s="13" t="inlineStr">
        <is>
          <t>STR-080</t>
        </is>
      </c>
      <c r="D172" s="13" t="inlineStr">
        <is>
          <t>Typical 4th-8th slab - bottom</t>
        </is>
      </c>
      <c r="E172" s="19" t="inlineStr">
        <is>
          <t>1203</t>
        </is>
      </c>
      <c r="F172" s="19" t="n">
        <v>12</v>
      </c>
      <c r="G172" s="19" t="n">
        <v>1</v>
      </c>
      <c r="H172" s="19" t="n">
        <v>16</v>
      </c>
      <c r="I172" s="13">
        <f>G172*H172</f>
        <v>16.0</v>
      </c>
      <c r="J172" s="20">
        <f>4450/1000</f>
        <v>4.45</v>
      </c>
      <c r="K172" s="21">
        <f>I172*J172</f>
        <v>71.2</v>
      </c>
      <c r="L172" s="22">
        <f>F172^2/162</f>
        <v>0.8888888888888888</v>
      </c>
      <c r="M172" s="21">
        <f>K172*L172</f>
        <v>63.28888888888889</v>
      </c>
      <c r="N172" s="22">
        <f>M172/1000</f>
        <v>0.0632888888888889</v>
      </c>
      <c r="O172" s="13" t="inlineStr">
        <is>
          <t>BBS</t>
        </is>
      </c>
    </row>
    <row r="173">
      <c r="A173" s="13" t="n">
        <v>168</v>
      </c>
      <c r="B173" s="13" t="inlineStr">
        <is>
          <t>Floor Slabs</t>
        </is>
      </c>
      <c r="C173" s="13" t="inlineStr">
        <is>
          <t>STR-080</t>
        </is>
      </c>
      <c r="D173" s="13" t="inlineStr">
        <is>
          <t>Typical 4th-8th slab - bottom</t>
        </is>
      </c>
      <c r="E173" s="19" t="inlineStr">
        <is>
          <t>1204</t>
        </is>
      </c>
      <c r="F173" s="19" t="n">
        <v>12</v>
      </c>
      <c r="G173" s="19" t="n">
        <v>1</v>
      </c>
      <c r="H173" s="19" t="n">
        <v>371</v>
      </c>
      <c r="I173" s="13">
        <f>G173*H173</f>
        <v>371.0</v>
      </c>
      <c r="J173" s="20">
        <f>9050/1000</f>
        <v>9.05</v>
      </c>
      <c r="K173" s="21">
        <f>I173*J173</f>
        <v>3357.55</v>
      </c>
      <c r="L173" s="22">
        <f>F173^2/162</f>
        <v>0.8888888888888888</v>
      </c>
      <c r="M173" s="21">
        <f>K173*L173</f>
        <v>2984.488888888889</v>
      </c>
      <c r="N173" s="22">
        <f>M173/1000</f>
        <v>2.984488888888889</v>
      </c>
      <c r="O173" s="13" t="inlineStr">
        <is>
          <t>BBS</t>
        </is>
      </c>
    </row>
    <row r="174">
      <c r="A174" s="13" t="n">
        <v>169</v>
      </c>
      <c r="B174" s="13" t="inlineStr">
        <is>
          <t>Floor Slabs</t>
        </is>
      </c>
      <c r="C174" s="13" t="inlineStr">
        <is>
          <t>STR-080</t>
        </is>
      </c>
      <c r="D174" s="13" t="inlineStr">
        <is>
          <t>Typical 4th-8th slab - bottom</t>
        </is>
      </c>
      <c r="E174" s="19" t="inlineStr">
        <is>
          <t>1205</t>
        </is>
      </c>
      <c r="F174" s="19" t="n">
        <v>12</v>
      </c>
      <c r="G174" s="19" t="n">
        <v>1</v>
      </c>
      <c r="H174" s="19" t="n">
        <v>16</v>
      </c>
      <c r="I174" s="13">
        <f>G174*H174</f>
        <v>16.0</v>
      </c>
      <c r="J174" s="20">
        <f>3400/1000</f>
        <v>3.4</v>
      </c>
      <c r="K174" s="21">
        <f>I174*J174</f>
        <v>54.4</v>
      </c>
      <c r="L174" s="22">
        <f>F174^2/162</f>
        <v>0.8888888888888888</v>
      </c>
      <c r="M174" s="21">
        <f>K174*L174</f>
        <v>48.355555555555554</v>
      </c>
      <c r="N174" s="22">
        <f>M174/1000</f>
        <v>0.048355555555555554</v>
      </c>
      <c r="O174" s="13" t="inlineStr">
        <is>
          <t>BBS</t>
        </is>
      </c>
    </row>
    <row r="175">
      <c r="A175" s="13" t="n">
        <v>170</v>
      </c>
      <c r="B175" s="13" t="inlineStr">
        <is>
          <t>Floor Slabs</t>
        </is>
      </c>
      <c r="C175" s="13" t="inlineStr">
        <is>
          <t>STR-080</t>
        </is>
      </c>
      <c r="D175" s="13" t="inlineStr">
        <is>
          <t>Typical 4th-8th slab - bottom</t>
        </is>
      </c>
      <c r="E175" s="19" t="inlineStr">
        <is>
          <t>1206</t>
        </is>
      </c>
      <c r="F175" s="19" t="n">
        <v>12</v>
      </c>
      <c r="G175" s="19" t="n">
        <v>1</v>
      </c>
      <c r="H175" s="19" t="n">
        <v>37</v>
      </c>
      <c r="I175" s="13">
        <f>G175*H175</f>
        <v>37.0</v>
      </c>
      <c r="J175" s="20">
        <f>4600/1000</f>
        <v>4.6</v>
      </c>
      <c r="K175" s="21">
        <f>I175*J175</f>
        <v>170.2</v>
      </c>
      <c r="L175" s="22">
        <f>F175^2/162</f>
        <v>0.8888888888888888</v>
      </c>
      <c r="M175" s="21">
        <f>K175*L175</f>
        <v>151.28888888888886</v>
      </c>
      <c r="N175" s="22">
        <f>M175/1000</f>
        <v>0.15128888888888886</v>
      </c>
      <c r="O175" s="13" t="inlineStr">
        <is>
          <t>BBS</t>
        </is>
      </c>
    </row>
    <row r="176">
      <c r="A176" s="13" t="n">
        <v>171</v>
      </c>
      <c r="B176" s="13" t="inlineStr">
        <is>
          <t>Floor Slabs</t>
        </is>
      </c>
      <c r="C176" s="13" t="inlineStr">
        <is>
          <t>STR-080</t>
        </is>
      </c>
      <c r="D176" s="13" t="inlineStr">
        <is>
          <t>Typical 4th-8th slab - bottom</t>
        </is>
      </c>
      <c r="E176" s="19" t="inlineStr">
        <is>
          <t>1207</t>
        </is>
      </c>
      <c r="F176" s="19" t="n">
        <v>12</v>
      </c>
      <c r="G176" s="19" t="n">
        <v>1</v>
      </c>
      <c r="H176" s="19" t="n">
        <v>21</v>
      </c>
      <c r="I176" s="13">
        <f>G176*H176</f>
        <v>21.0</v>
      </c>
      <c r="J176" s="20">
        <f>4575/1000</f>
        <v>4.575</v>
      </c>
      <c r="K176" s="21">
        <f>I176*J176</f>
        <v>96.075</v>
      </c>
      <c r="L176" s="22">
        <f>F176^2/162</f>
        <v>0.8888888888888888</v>
      </c>
      <c r="M176" s="21">
        <f>K176*L176</f>
        <v>85.39999999999999</v>
      </c>
      <c r="N176" s="22">
        <f>M176/1000</f>
        <v>0.08539999999999999</v>
      </c>
      <c r="O176" s="13" t="inlineStr">
        <is>
          <t>BBS</t>
        </is>
      </c>
    </row>
    <row r="177">
      <c r="A177" s="13" t="n">
        <v>172</v>
      </c>
      <c r="B177" s="13" t="inlineStr">
        <is>
          <t>Floor Slabs</t>
        </is>
      </c>
      <c r="C177" s="13" t="inlineStr">
        <is>
          <t>STR-080</t>
        </is>
      </c>
      <c r="D177" s="13" t="inlineStr">
        <is>
          <t>Typical 4th-8th slab - bottom</t>
        </is>
      </c>
      <c r="E177" s="19" t="inlineStr">
        <is>
          <t>1208</t>
        </is>
      </c>
      <c r="F177" s="19" t="n">
        <v>12</v>
      </c>
      <c r="G177" s="19" t="n">
        <v>1</v>
      </c>
      <c r="H177" s="19" t="n">
        <v>47</v>
      </c>
      <c r="I177" s="13">
        <f>G177*H177</f>
        <v>47.0</v>
      </c>
      <c r="J177" s="20">
        <f>5325/1000</f>
        <v>5.325</v>
      </c>
      <c r="K177" s="21">
        <f>I177*J177</f>
        <v>250.275</v>
      </c>
      <c r="L177" s="22">
        <f>F177^2/162</f>
        <v>0.8888888888888888</v>
      </c>
      <c r="M177" s="21">
        <f>K177*L177</f>
        <v>222.46666666666667</v>
      </c>
      <c r="N177" s="22">
        <f>M177/1000</f>
        <v>0.22246666666666667</v>
      </c>
      <c r="O177" s="13" t="inlineStr">
        <is>
          <t>BBS</t>
        </is>
      </c>
    </row>
    <row r="178">
      <c r="A178" s="13" t="n">
        <v>173</v>
      </c>
      <c r="B178" s="13" t="inlineStr">
        <is>
          <t>Floor Slabs</t>
        </is>
      </c>
      <c r="C178" s="13" t="inlineStr">
        <is>
          <t>STR-080</t>
        </is>
      </c>
      <c r="D178" s="13" t="inlineStr">
        <is>
          <t>Typical 4th-8th slab - bottom</t>
        </is>
      </c>
      <c r="E178" s="19" t="inlineStr">
        <is>
          <t>1209</t>
        </is>
      </c>
      <c r="F178" s="19" t="n">
        <v>12</v>
      </c>
      <c r="G178" s="19" t="n">
        <v>1</v>
      </c>
      <c r="H178" s="19" t="n">
        <v>124</v>
      </c>
      <c r="I178" s="13">
        <f>G178*H178</f>
        <v>124.0</v>
      </c>
      <c r="J178" s="20">
        <f>8700/1000</f>
        <v>8.7</v>
      </c>
      <c r="K178" s="21">
        <f>I178*J178</f>
        <v>1078.8</v>
      </c>
      <c r="L178" s="22">
        <f>F178^2/162</f>
        <v>0.8888888888888888</v>
      </c>
      <c r="M178" s="21">
        <f>K178*L178</f>
        <v>958.9333333333333</v>
      </c>
      <c r="N178" s="22">
        <f>M178/1000</f>
        <v>0.9589333333333333</v>
      </c>
      <c r="O178" s="13" t="inlineStr">
        <is>
          <t>BBS</t>
        </is>
      </c>
    </row>
    <row r="179">
      <c r="A179" s="13" t="n">
        <v>174</v>
      </c>
      <c r="B179" s="13" t="inlineStr">
        <is>
          <t>Floor Slabs</t>
        </is>
      </c>
      <c r="C179" s="13" t="inlineStr">
        <is>
          <t>STR-080</t>
        </is>
      </c>
      <c r="D179" s="13" t="inlineStr">
        <is>
          <t>Typical 4th-8th slab - bottom</t>
        </is>
      </c>
      <c r="E179" s="19" t="inlineStr">
        <is>
          <t>1210</t>
        </is>
      </c>
      <c r="F179" s="19" t="n">
        <v>12</v>
      </c>
      <c r="G179" s="19" t="n">
        <v>1</v>
      </c>
      <c r="H179" s="19" t="n">
        <v>80</v>
      </c>
      <c r="I179" s="13">
        <f>G179*H179</f>
        <v>80.0</v>
      </c>
      <c r="J179" s="20">
        <f>9050/1000</f>
        <v>9.05</v>
      </c>
      <c r="K179" s="21">
        <f>I179*J179</f>
        <v>724.0</v>
      </c>
      <c r="L179" s="22">
        <f>F179^2/162</f>
        <v>0.8888888888888888</v>
      </c>
      <c r="M179" s="21">
        <f>K179*L179</f>
        <v>643.5555555555555</v>
      </c>
      <c r="N179" s="22">
        <f>M179/1000</f>
        <v>0.6435555555555555</v>
      </c>
      <c r="O179" s="13" t="inlineStr">
        <is>
          <t>BBS</t>
        </is>
      </c>
    </row>
    <row r="180">
      <c r="A180" s="13" t="n">
        <v>175</v>
      </c>
      <c r="B180" s="13" t="inlineStr">
        <is>
          <t>Floor Slabs</t>
        </is>
      </c>
      <c r="C180" s="13" t="inlineStr">
        <is>
          <t>STR-080</t>
        </is>
      </c>
      <c r="D180" s="13" t="inlineStr">
        <is>
          <t>Typical 4th-8th slab - bottom</t>
        </is>
      </c>
      <c r="E180" s="19" t="inlineStr">
        <is>
          <t>1211</t>
        </is>
      </c>
      <c r="F180" s="19" t="n">
        <v>12</v>
      </c>
      <c r="G180" s="19" t="n">
        <v>1</v>
      </c>
      <c r="H180" s="19" t="n">
        <v>15</v>
      </c>
      <c r="I180" s="13">
        <f>G180*H180</f>
        <v>15.0</v>
      </c>
      <c r="J180" s="20">
        <f>8650/1000</f>
        <v>8.65</v>
      </c>
      <c r="K180" s="21">
        <f>I180*J180</f>
        <v>129.75</v>
      </c>
      <c r="L180" s="22">
        <f>F180^2/162</f>
        <v>0.8888888888888888</v>
      </c>
      <c r="M180" s="21">
        <f>K180*L180</f>
        <v>115.33333333333333</v>
      </c>
      <c r="N180" s="22">
        <f>M180/1000</f>
        <v>0.11533333333333333</v>
      </c>
      <c r="O180" s="13" t="inlineStr">
        <is>
          <t>BBS</t>
        </is>
      </c>
    </row>
    <row r="181">
      <c r="A181" s="13" t="n">
        <v>176</v>
      </c>
      <c r="B181" s="13" t="inlineStr">
        <is>
          <t>Floor Slabs</t>
        </is>
      </c>
      <c r="C181" s="13" t="inlineStr">
        <is>
          <t>STR-080</t>
        </is>
      </c>
      <c r="D181" s="13" t="inlineStr">
        <is>
          <t>Typical 4th-8th slab - bottom</t>
        </is>
      </c>
      <c r="E181" s="19" t="inlineStr">
        <is>
          <t>1212</t>
        </is>
      </c>
      <c r="F181" s="19" t="n">
        <v>12</v>
      </c>
      <c r="G181" s="19" t="n">
        <v>1</v>
      </c>
      <c r="H181" s="19" t="n">
        <v>23</v>
      </c>
      <c r="I181" s="13">
        <f>G181*H181</f>
        <v>23.0</v>
      </c>
      <c r="J181" s="20">
        <f>8750/1000</f>
        <v>8.75</v>
      </c>
      <c r="K181" s="21">
        <f>I181*J181</f>
        <v>201.25</v>
      </c>
      <c r="L181" s="22">
        <f>F181^2/162</f>
        <v>0.8888888888888888</v>
      </c>
      <c r="M181" s="21">
        <f>K181*L181</f>
        <v>178.88888888888889</v>
      </c>
      <c r="N181" s="22">
        <f>M181/1000</f>
        <v>0.17888888888888888</v>
      </c>
      <c r="O181" s="13" t="inlineStr">
        <is>
          <t>BBS</t>
        </is>
      </c>
    </row>
    <row r="182">
      <c r="A182" s="13" t="n">
        <v>177</v>
      </c>
      <c r="B182" s="13" t="inlineStr">
        <is>
          <t>Floor Slabs</t>
        </is>
      </c>
      <c r="C182" s="13" t="inlineStr">
        <is>
          <t>STR-080</t>
        </is>
      </c>
      <c r="D182" s="13" t="inlineStr">
        <is>
          <t>Typical 4th-8th slab - bottom</t>
        </is>
      </c>
      <c r="E182" s="19" t="inlineStr">
        <is>
          <t>1213</t>
        </is>
      </c>
      <c r="F182" s="19" t="n">
        <v>12</v>
      </c>
      <c r="G182" s="19" t="n">
        <v>1</v>
      </c>
      <c r="H182" s="19" t="n">
        <v>24</v>
      </c>
      <c r="I182" s="13">
        <f>G182*H182</f>
        <v>24.0</v>
      </c>
      <c r="J182" s="20">
        <f>8700/1000</f>
        <v>8.7</v>
      </c>
      <c r="K182" s="21">
        <f>I182*J182</f>
        <v>208.79999999999998</v>
      </c>
      <c r="L182" s="22">
        <f>F182^2/162</f>
        <v>0.8888888888888888</v>
      </c>
      <c r="M182" s="21">
        <f>K182*L182</f>
        <v>185.59999999999997</v>
      </c>
      <c r="N182" s="22">
        <f>M182/1000</f>
        <v>0.18559999999999996</v>
      </c>
      <c r="O182" s="13" t="inlineStr">
        <is>
          <t>BBS</t>
        </is>
      </c>
    </row>
    <row r="183">
      <c r="A183" s="13" t="n">
        <v>178</v>
      </c>
      <c r="B183" s="13" t="inlineStr">
        <is>
          <t>Floor Slabs</t>
        </is>
      </c>
      <c r="C183" s="13" t="inlineStr">
        <is>
          <t>STR-080</t>
        </is>
      </c>
      <c r="D183" s="13" t="inlineStr">
        <is>
          <t>Typical 4th-8th slab - bottom</t>
        </is>
      </c>
      <c r="E183" s="19" t="inlineStr">
        <is>
          <t>1214</t>
        </is>
      </c>
      <c r="F183" s="19" t="n">
        <v>12</v>
      </c>
      <c r="G183" s="19" t="n">
        <v>1</v>
      </c>
      <c r="H183" s="19" t="n">
        <v>7</v>
      </c>
      <c r="I183" s="13">
        <f>G183*H183</f>
        <v>7.0</v>
      </c>
      <c r="J183" s="20">
        <f>10000/1000</f>
        <v>10.0</v>
      </c>
      <c r="K183" s="21">
        <f>I183*J183</f>
        <v>70.0</v>
      </c>
      <c r="L183" s="22">
        <f>F183^2/162</f>
        <v>0.8888888888888888</v>
      </c>
      <c r="M183" s="21">
        <f>K183*L183</f>
        <v>62.22222222222222</v>
      </c>
      <c r="N183" s="22">
        <f>M183/1000</f>
        <v>0.06222222222222222</v>
      </c>
      <c r="O183" s="13" t="inlineStr">
        <is>
          <t>BBS</t>
        </is>
      </c>
    </row>
    <row r="184">
      <c r="A184" s="13" t="n">
        <v>179</v>
      </c>
      <c r="B184" s="13" t="inlineStr">
        <is>
          <t>Floor Slabs</t>
        </is>
      </c>
      <c r="C184" s="13" t="inlineStr">
        <is>
          <t>STR-080</t>
        </is>
      </c>
      <c r="D184" s="13" t="inlineStr">
        <is>
          <t>Typical 4th-8th slab - bottom</t>
        </is>
      </c>
      <c r="E184" s="19" t="inlineStr">
        <is>
          <t>1215</t>
        </is>
      </c>
      <c r="F184" s="19" t="n">
        <v>12</v>
      </c>
      <c r="G184" s="19" t="n">
        <v>1</v>
      </c>
      <c r="H184" s="19" t="n">
        <v>202</v>
      </c>
      <c r="I184" s="13">
        <f>G184*H184</f>
        <v>202.0</v>
      </c>
      <c r="J184" s="20">
        <f>10000/1000</f>
        <v>10.0</v>
      </c>
      <c r="K184" s="21">
        <f>I184*J184</f>
        <v>2020.0</v>
      </c>
      <c r="L184" s="22">
        <f>F184^2/162</f>
        <v>0.8888888888888888</v>
      </c>
      <c r="M184" s="21">
        <f>K184*L184</f>
        <v>1795.5555555555554</v>
      </c>
      <c r="N184" s="22">
        <f>M184/1000</f>
        <v>1.7955555555555553</v>
      </c>
      <c r="O184" s="13" t="inlineStr">
        <is>
          <t>BBS</t>
        </is>
      </c>
    </row>
    <row r="185">
      <c r="A185" s="13" t="n">
        <v>180</v>
      </c>
      <c r="B185" s="13" t="inlineStr">
        <is>
          <t>Floor Slabs</t>
        </is>
      </c>
      <c r="C185" s="13" t="inlineStr">
        <is>
          <t>STR-080</t>
        </is>
      </c>
      <c r="D185" s="13" t="inlineStr">
        <is>
          <t>Typical 4th-8th slab - bottom</t>
        </is>
      </c>
      <c r="E185" s="19" t="inlineStr">
        <is>
          <t>1216</t>
        </is>
      </c>
      <c r="F185" s="19" t="n">
        <v>12</v>
      </c>
      <c r="G185" s="19" t="n">
        <v>1</v>
      </c>
      <c r="H185" s="19" t="n">
        <v>162</v>
      </c>
      <c r="I185" s="13">
        <f>G185*H185</f>
        <v>162.0</v>
      </c>
      <c r="J185" s="20">
        <f>9550/1000</f>
        <v>9.55</v>
      </c>
      <c r="K185" s="21">
        <f>I185*J185</f>
        <v>1547.1000000000001</v>
      </c>
      <c r="L185" s="22">
        <f>F185^2/162</f>
        <v>0.8888888888888888</v>
      </c>
      <c r="M185" s="21">
        <f>K185*L185</f>
        <v>1375.2</v>
      </c>
      <c r="N185" s="22">
        <f>M185/1000</f>
        <v>1.3752</v>
      </c>
      <c r="O185" s="13" t="inlineStr">
        <is>
          <t>BBS</t>
        </is>
      </c>
    </row>
    <row r="186">
      <c r="A186" s="13" t="n">
        <v>181</v>
      </c>
      <c r="B186" s="13" t="inlineStr">
        <is>
          <t>Floor Slabs</t>
        </is>
      </c>
      <c r="C186" s="13" t="inlineStr">
        <is>
          <t>STR-080</t>
        </is>
      </c>
      <c r="D186" s="13" t="inlineStr">
        <is>
          <t>Typical 4th-8th slab - bottom</t>
        </is>
      </c>
      <c r="E186" s="19" t="inlineStr">
        <is>
          <t>1217</t>
        </is>
      </c>
      <c r="F186" s="19" t="n">
        <v>12</v>
      </c>
      <c r="G186" s="19" t="n">
        <v>1</v>
      </c>
      <c r="H186" s="19" t="n">
        <v>31</v>
      </c>
      <c r="I186" s="13">
        <f>G186*H186</f>
        <v>31.0</v>
      </c>
      <c r="J186" s="20">
        <f>7250/1000</f>
        <v>7.25</v>
      </c>
      <c r="K186" s="21">
        <f>I186*J186</f>
        <v>224.75</v>
      </c>
      <c r="L186" s="22">
        <f>F186^2/162</f>
        <v>0.8888888888888888</v>
      </c>
      <c r="M186" s="21">
        <f>K186*L186</f>
        <v>199.77777777777777</v>
      </c>
      <c r="N186" s="22">
        <f>M186/1000</f>
        <v>0.19977777777777778</v>
      </c>
      <c r="O186" s="13" t="inlineStr">
        <is>
          <t>BBS</t>
        </is>
      </c>
    </row>
    <row r="187">
      <c r="A187" s="13" t="n">
        <v>182</v>
      </c>
      <c r="B187" s="13" t="inlineStr">
        <is>
          <t>Floor Slabs</t>
        </is>
      </c>
      <c r="C187" s="13" t="inlineStr">
        <is>
          <t>STR-080</t>
        </is>
      </c>
      <c r="D187" s="13" t="inlineStr">
        <is>
          <t>Typical 4th-8th slab - bottom</t>
        </is>
      </c>
      <c r="E187" s="19" t="inlineStr">
        <is>
          <t>1218</t>
        </is>
      </c>
      <c r="F187" s="19" t="n">
        <v>12</v>
      </c>
      <c r="G187" s="19" t="n">
        <v>1</v>
      </c>
      <c r="H187" s="19" t="n">
        <v>205</v>
      </c>
      <c r="I187" s="13">
        <f>G187*H187</f>
        <v>205.0</v>
      </c>
      <c r="J187" s="20">
        <f>7775/1000</f>
        <v>7.775</v>
      </c>
      <c r="K187" s="21">
        <f>I187*J187</f>
        <v>1593.875</v>
      </c>
      <c r="L187" s="22">
        <f>F187^2/162</f>
        <v>0.8888888888888888</v>
      </c>
      <c r="M187" s="21">
        <f>K187*L187</f>
        <v>1416.7777777777776</v>
      </c>
      <c r="N187" s="22">
        <f>M187/1000</f>
        <v>1.4167777777777777</v>
      </c>
      <c r="O187" s="13" t="inlineStr">
        <is>
          <t>BBS</t>
        </is>
      </c>
    </row>
    <row r="188">
      <c r="A188" s="13" t="n">
        <v>183</v>
      </c>
      <c r="B188" s="13" t="inlineStr">
        <is>
          <t>Floor Slabs</t>
        </is>
      </c>
      <c r="C188" s="13" t="inlineStr">
        <is>
          <t>STR-080</t>
        </is>
      </c>
      <c r="D188" s="13" t="inlineStr">
        <is>
          <t>Typical 4th-8th slab - bottom</t>
        </is>
      </c>
      <c r="E188" s="19" t="inlineStr">
        <is>
          <t>1219</t>
        </is>
      </c>
      <c r="F188" s="19" t="n">
        <v>12</v>
      </c>
      <c r="G188" s="19" t="n">
        <v>1</v>
      </c>
      <c r="H188" s="19" t="n">
        <v>44</v>
      </c>
      <c r="I188" s="13">
        <f>G188*H188</f>
        <v>44.0</v>
      </c>
      <c r="J188" s="20">
        <f>8000/1000</f>
        <v>8.0</v>
      </c>
      <c r="K188" s="21">
        <f>I188*J188</f>
        <v>352.0</v>
      </c>
      <c r="L188" s="22">
        <f>F188^2/162</f>
        <v>0.8888888888888888</v>
      </c>
      <c r="M188" s="21">
        <f>K188*L188</f>
        <v>312.88888888888886</v>
      </c>
      <c r="N188" s="22">
        <f>M188/1000</f>
        <v>0.3128888888888889</v>
      </c>
      <c r="O188" s="13" t="inlineStr">
        <is>
          <t>BBS</t>
        </is>
      </c>
    </row>
    <row r="189">
      <c r="A189" s="13" t="n">
        <v>184</v>
      </c>
      <c r="B189" s="13" t="inlineStr">
        <is>
          <t>Floor Slabs</t>
        </is>
      </c>
      <c r="C189" s="13" t="inlineStr">
        <is>
          <t>STR-080</t>
        </is>
      </c>
      <c r="D189" s="13" t="inlineStr">
        <is>
          <t>Typical 4th-8th slab - bottom</t>
        </is>
      </c>
      <c r="E189" s="19" t="inlineStr">
        <is>
          <t>1220</t>
        </is>
      </c>
      <c r="F189" s="19" t="n">
        <v>12</v>
      </c>
      <c r="G189" s="19" t="n">
        <v>1</v>
      </c>
      <c r="H189" s="19" t="n">
        <v>23</v>
      </c>
      <c r="I189" s="13">
        <f>G189*H189</f>
        <v>23.0</v>
      </c>
      <c r="J189" s="20">
        <f>12000/1000</f>
        <v>12.0</v>
      </c>
      <c r="K189" s="21">
        <f>I189*J189</f>
        <v>276.0</v>
      </c>
      <c r="L189" s="22">
        <f>F189^2/162</f>
        <v>0.8888888888888888</v>
      </c>
      <c r="M189" s="21">
        <f>K189*L189</f>
        <v>245.33333333333331</v>
      </c>
      <c r="N189" s="22">
        <f>M189/1000</f>
        <v>0.24533333333333332</v>
      </c>
      <c r="O189" s="13" t="inlineStr">
        <is>
          <t>BBS</t>
        </is>
      </c>
    </row>
    <row r="190">
      <c r="A190" s="13" t="n">
        <v>185</v>
      </c>
      <c r="B190" s="13" t="inlineStr">
        <is>
          <t>Floor Slabs</t>
        </is>
      </c>
      <c r="C190" s="13" t="inlineStr">
        <is>
          <t>STR-080</t>
        </is>
      </c>
      <c r="D190" s="13" t="inlineStr">
        <is>
          <t>Typical 4th-8th slab - bottom</t>
        </is>
      </c>
      <c r="E190" s="19" t="inlineStr">
        <is>
          <t>1221</t>
        </is>
      </c>
      <c r="F190" s="19" t="n">
        <v>12</v>
      </c>
      <c r="G190" s="19" t="n">
        <v>1</v>
      </c>
      <c r="H190" s="19" t="n">
        <v>212</v>
      </c>
      <c r="I190" s="13">
        <f>G190*H190</f>
        <v>212.0</v>
      </c>
      <c r="J190" s="20">
        <f>6000/1000</f>
        <v>6.0</v>
      </c>
      <c r="K190" s="21">
        <f>I190*J190</f>
        <v>1272.0</v>
      </c>
      <c r="L190" s="22">
        <f>F190^2/162</f>
        <v>0.8888888888888888</v>
      </c>
      <c r="M190" s="21">
        <f>K190*L190</f>
        <v>1130.6666666666665</v>
      </c>
      <c r="N190" s="22">
        <f>M190/1000</f>
        <v>1.1306666666666665</v>
      </c>
      <c r="O190" s="13" t="inlineStr">
        <is>
          <t>BBS</t>
        </is>
      </c>
    </row>
    <row r="191">
      <c r="A191" s="13" t="n">
        <v>186</v>
      </c>
      <c r="B191" s="13" t="inlineStr">
        <is>
          <t>Floor Slabs</t>
        </is>
      </c>
      <c r="C191" s="13" t="inlineStr">
        <is>
          <t>STR-080</t>
        </is>
      </c>
      <c r="D191" s="13" t="inlineStr">
        <is>
          <t>Typical 4th-8th slab - bottom</t>
        </is>
      </c>
      <c r="E191" s="19" t="inlineStr">
        <is>
          <t>1222</t>
        </is>
      </c>
      <c r="F191" s="19" t="n">
        <v>12</v>
      </c>
      <c r="G191" s="19" t="n">
        <v>1</v>
      </c>
      <c r="H191" s="19" t="n">
        <v>13</v>
      </c>
      <c r="I191" s="13">
        <f>G191*H191</f>
        <v>13.0</v>
      </c>
      <c r="J191" s="20">
        <f>7325/1000</f>
        <v>7.325</v>
      </c>
      <c r="K191" s="21">
        <f>I191*J191</f>
        <v>95.22500000000001</v>
      </c>
      <c r="L191" s="22">
        <f>F191^2/162</f>
        <v>0.8888888888888888</v>
      </c>
      <c r="M191" s="21">
        <f>K191*L191</f>
        <v>84.64444444444445</v>
      </c>
      <c r="N191" s="22">
        <f>M191/1000</f>
        <v>0.08464444444444444</v>
      </c>
      <c r="O191" s="13" t="inlineStr">
        <is>
          <t>BBS</t>
        </is>
      </c>
    </row>
    <row r="192">
      <c r="A192" s="13" t="n">
        <v>187</v>
      </c>
      <c r="B192" s="13" t="inlineStr">
        <is>
          <t>Floor Slabs</t>
        </is>
      </c>
      <c r="C192" s="13" t="inlineStr">
        <is>
          <t>STR-080</t>
        </is>
      </c>
      <c r="D192" s="13" t="inlineStr">
        <is>
          <t>Typical 4th-8th slab - bottom</t>
        </is>
      </c>
      <c r="E192" s="19" t="inlineStr">
        <is>
          <t>1223</t>
        </is>
      </c>
      <c r="F192" s="19" t="n">
        <v>12</v>
      </c>
      <c r="G192" s="19" t="n">
        <v>1</v>
      </c>
      <c r="H192" s="19" t="n">
        <v>149</v>
      </c>
      <c r="I192" s="13">
        <f>G192*H192</f>
        <v>149.0</v>
      </c>
      <c r="J192" s="20">
        <f>12000/1000</f>
        <v>12.0</v>
      </c>
      <c r="K192" s="21">
        <f>I192*J192</f>
        <v>1788.0</v>
      </c>
      <c r="L192" s="22">
        <f>F192^2/162</f>
        <v>0.8888888888888888</v>
      </c>
      <c r="M192" s="21">
        <f>K192*L192</f>
        <v>1589.3333333333333</v>
      </c>
      <c r="N192" s="22">
        <f>M192/1000</f>
        <v>1.5893333333333333</v>
      </c>
      <c r="O192" s="13" t="inlineStr">
        <is>
          <t>BBS</t>
        </is>
      </c>
    </row>
    <row r="193">
      <c r="A193" s="13" t="n">
        <v>188</v>
      </c>
      <c r="B193" s="13" t="inlineStr">
        <is>
          <t>Floor Slabs</t>
        </is>
      </c>
      <c r="C193" s="13" t="inlineStr">
        <is>
          <t>STR-080</t>
        </is>
      </c>
      <c r="D193" s="13" t="inlineStr">
        <is>
          <t>Typical 4th-8th slab - bottom</t>
        </is>
      </c>
      <c r="E193" s="19" t="inlineStr">
        <is>
          <t>1224</t>
        </is>
      </c>
      <c r="F193" s="19" t="n">
        <v>12</v>
      </c>
      <c r="G193" s="19" t="n">
        <v>1</v>
      </c>
      <c r="H193" s="19" t="n">
        <v>85</v>
      </c>
      <c r="I193" s="13">
        <f>G193*H193</f>
        <v>85.0</v>
      </c>
      <c r="J193" s="20">
        <f>7375/1000</f>
        <v>7.375</v>
      </c>
      <c r="K193" s="21">
        <f>I193*J193</f>
        <v>626.875</v>
      </c>
      <c r="L193" s="22">
        <f>F193^2/162</f>
        <v>0.8888888888888888</v>
      </c>
      <c r="M193" s="21">
        <f>K193*L193</f>
        <v>557.2222222222222</v>
      </c>
      <c r="N193" s="22">
        <f>M193/1000</f>
        <v>0.5572222222222222</v>
      </c>
      <c r="O193" s="13" t="inlineStr">
        <is>
          <t>BBS</t>
        </is>
      </c>
    </row>
    <row r="194">
      <c r="A194" s="13" t="n">
        <v>189</v>
      </c>
      <c r="B194" s="13" t="inlineStr">
        <is>
          <t>Floor Slabs</t>
        </is>
      </c>
      <c r="C194" s="13" t="inlineStr">
        <is>
          <t>STR-080</t>
        </is>
      </c>
      <c r="D194" s="13" t="inlineStr">
        <is>
          <t>Typical 4th-8th slab - bottom</t>
        </is>
      </c>
      <c r="E194" s="19" t="inlineStr">
        <is>
          <t>1225</t>
        </is>
      </c>
      <c r="F194" s="19" t="n">
        <v>12</v>
      </c>
      <c r="G194" s="19" t="n">
        <v>1</v>
      </c>
      <c r="H194" s="19" t="n">
        <v>13</v>
      </c>
      <c r="I194" s="13">
        <f>G194*H194</f>
        <v>13.0</v>
      </c>
      <c r="J194" s="20">
        <f>3950/1000</f>
        <v>3.95</v>
      </c>
      <c r="K194" s="21">
        <f>I194*J194</f>
        <v>51.35</v>
      </c>
      <c r="L194" s="22">
        <f>F194^2/162</f>
        <v>0.8888888888888888</v>
      </c>
      <c r="M194" s="21">
        <f>K194*L194</f>
        <v>45.644444444444446</v>
      </c>
      <c r="N194" s="22">
        <f>M194/1000</f>
        <v>0.045644444444444446</v>
      </c>
      <c r="O194" s="13" t="inlineStr">
        <is>
          <t>BBS</t>
        </is>
      </c>
    </row>
    <row r="195">
      <c r="A195" s="13" t="n">
        <v>190</v>
      </c>
      <c r="B195" s="13" t="inlineStr">
        <is>
          <t>Floor Slabs</t>
        </is>
      </c>
      <c r="C195" s="13" t="inlineStr">
        <is>
          <t>STR-080</t>
        </is>
      </c>
      <c r="D195" s="13" t="inlineStr">
        <is>
          <t>Typical 4th-8th slab - bottom</t>
        </is>
      </c>
      <c r="E195" s="19" t="inlineStr">
        <is>
          <t>1226</t>
        </is>
      </c>
      <c r="F195" s="19" t="n">
        <v>12</v>
      </c>
      <c r="G195" s="19" t="n">
        <v>1</v>
      </c>
      <c r="H195" s="19" t="n">
        <v>357</v>
      </c>
      <c r="I195" s="13">
        <f>G195*H195</f>
        <v>357.0</v>
      </c>
      <c r="J195" s="20">
        <f>6200/1000</f>
        <v>6.2</v>
      </c>
      <c r="K195" s="21">
        <f>I195*J195</f>
        <v>2213.4</v>
      </c>
      <c r="L195" s="22">
        <f>F195^2/162</f>
        <v>0.8888888888888888</v>
      </c>
      <c r="M195" s="21">
        <f>K195*L195</f>
        <v>1967.4666666666667</v>
      </c>
      <c r="N195" s="22">
        <f>M195/1000</f>
        <v>1.9674666666666667</v>
      </c>
      <c r="O195" s="13" t="inlineStr">
        <is>
          <t>BBS</t>
        </is>
      </c>
    </row>
    <row r="196">
      <c r="A196" s="13" t="n">
        <v>191</v>
      </c>
      <c r="B196" s="13" t="inlineStr">
        <is>
          <t>Floor Slabs</t>
        </is>
      </c>
      <c r="C196" s="13" t="inlineStr">
        <is>
          <t>STR-080</t>
        </is>
      </c>
      <c r="D196" s="13" t="inlineStr">
        <is>
          <t>Typical 4th-8th slab - bottom</t>
        </is>
      </c>
      <c r="E196" s="19" t="inlineStr">
        <is>
          <t>1227</t>
        </is>
      </c>
      <c r="F196" s="19" t="n">
        <v>12</v>
      </c>
      <c r="G196" s="19" t="n">
        <v>1</v>
      </c>
      <c r="H196" s="19" t="n">
        <v>212</v>
      </c>
      <c r="I196" s="13">
        <f>G196*H196</f>
        <v>212.0</v>
      </c>
      <c r="J196" s="20">
        <f>9475/1000</f>
        <v>9.475</v>
      </c>
      <c r="K196" s="21">
        <f>I196*J196</f>
        <v>2008.6999999999998</v>
      </c>
      <c r="L196" s="22">
        <f>F196^2/162</f>
        <v>0.8888888888888888</v>
      </c>
      <c r="M196" s="21">
        <f>K196*L196</f>
        <v>1785.511111111111</v>
      </c>
      <c r="N196" s="22">
        <f>M196/1000</f>
        <v>1.785511111111111</v>
      </c>
      <c r="O196" s="13" t="inlineStr">
        <is>
          <t>BBS</t>
        </is>
      </c>
    </row>
    <row r="197">
      <c r="A197" s="13" t="n">
        <v>192</v>
      </c>
      <c r="B197" s="13" t="inlineStr">
        <is>
          <t>Floor Slabs</t>
        </is>
      </c>
      <c r="C197" s="13" t="inlineStr">
        <is>
          <t>STR-080</t>
        </is>
      </c>
      <c r="D197" s="13" t="inlineStr">
        <is>
          <t>Typical 4th-8th slab - bottom</t>
        </is>
      </c>
      <c r="E197" s="19" t="inlineStr">
        <is>
          <t>1228</t>
        </is>
      </c>
      <c r="F197" s="19" t="n">
        <v>12</v>
      </c>
      <c r="G197" s="19" t="n">
        <v>1</v>
      </c>
      <c r="H197" s="19" t="n">
        <v>75</v>
      </c>
      <c r="I197" s="13">
        <f>G197*H197</f>
        <v>75.0</v>
      </c>
      <c r="J197" s="20">
        <f>7250/1000</f>
        <v>7.25</v>
      </c>
      <c r="K197" s="21">
        <f>I197*J197</f>
        <v>543.75</v>
      </c>
      <c r="L197" s="22">
        <f>F197^2/162</f>
        <v>0.8888888888888888</v>
      </c>
      <c r="M197" s="21">
        <f>K197*L197</f>
        <v>483.3333333333333</v>
      </c>
      <c r="N197" s="22">
        <f>M197/1000</f>
        <v>0.48333333333333334</v>
      </c>
      <c r="O197" s="13" t="inlineStr">
        <is>
          <t>BBS</t>
        </is>
      </c>
    </row>
    <row r="198">
      <c r="A198" s="13" t="n">
        <v>193</v>
      </c>
      <c r="B198" s="13" t="inlineStr">
        <is>
          <t>Floor Slabs</t>
        </is>
      </c>
      <c r="C198" s="13" t="inlineStr">
        <is>
          <t>STR-080</t>
        </is>
      </c>
      <c r="D198" s="13" t="inlineStr">
        <is>
          <t>Typical 4th-8th slab - bottom</t>
        </is>
      </c>
      <c r="E198" s="19" t="inlineStr">
        <is>
          <t>1229</t>
        </is>
      </c>
      <c r="F198" s="19" t="n">
        <v>12</v>
      </c>
      <c r="G198" s="19" t="n">
        <v>1</v>
      </c>
      <c r="H198" s="19" t="n">
        <v>7</v>
      </c>
      <c r="I198" s="13">
        <f>G198*H198</f>
        <v>7.0</v>
      </c>
      <c r="J198" s="20">
        <f>4800/1000</f>
        <v>4.8</v>
      </c>
      <c r="K198" s="21">
        <f>I198*J198</f>
        <v>33.6</v>
      </c>
      <c r="L198" s="22">
        <f>F198^2/162</f>
        <v>0.8888888888888888</v>
      </c>
      <c r="M198" s="21">
        <f>K198*L198</f>
        <v>29.866666666666667</v>
      </c>
      <c r="N198" s="22">
        <f>M198/1000</f>
        <v>0.029866666666666666</v>
      </c>
      <c r="O198" s="13" t="inlineStr">
        <is>
          <t>BBS</t>
        </is>
      </c>
    </row>
    <row r="199">
      <c r="A199" s="13" t="n">
        <v>194</v>
      </c>
      <c r="B199" s="13" t="inlineStr">
        <is>
          <t>Floor Slabs</t>
        </is>
      </c>
      <c r="C199" s="13" t="inlineStr">
        <is>
          <t>STR-080</t>
        </is>
      </c>
      <c r="D199" s="13" t="inlineStr">
        <is>
          <t>Typical 4th-8th slab - bottom</t>
        </is>
      </c>
      <c r="E199" s="19" t="inlineStr">
        <is>
          <t>1230</t>
        </is>
      </c>
      <c r="F199" s="19" t="n">
        <v>12</v>
      </c>
      <c r="G199" s="19" t="n">
        <v>1</v>
      </c>
      <c r="H199" s="19" t="n">
        <v>73</v>
      </c>
      <c r="I199" s="13">
        <f>G199*H199</f>
        <v>73.0</v>
      </c>
      <c r="J199" s="20">
        <f>7400/1000</f>
        <v>7.4</v>
      </c>
      <c r="K199" s="21">
        <f>I199*J199</f>
        <v>540.2</v>
      </c>
      <c r="L199" s="22">
        <f>F199^2/162</f>
        <v>0.8888888888888888</v>
      </c>
      <c r="M199" s="21">
        <f>K199*L199</f>
        <v>480.1777777777778</v>
      </c>
      <c r="N199" s="22">
        <f>M199/1000</f>
        <v>0.4801777777777778</v>
      </c>
      <c r="O199" s="13" t="inlineStr">
        <is>
          <t>BBS</t>
        </is>
      </c>
    </row>
    <row r="200">
      <c r="A200" s="13" t="n">
        <v>195</v>
      </c>
      <c r="B200" s="13" t="inlineStr">
        <is>
          <t>Floor Slabs</t>
        </is>
      </c>
      <c r="C200" s="13" t="inlineStr">
        <is>
          <t>STR-080</t>
        </is>
      </c>
      <c r="D200" s="13" t="inlineStr">
        <is>
          <t>Typical 4th-8th slab - bottom</t>
        </is>
      </c>
      <c r="E200" s="19" t="inlineStr">
        <is>
          <t>1231</t>
        </is>
      </c>
      <c r="F200" s="19" t="n">
        <v>12</v>
      </c>
      <c r="G200" s="19" t="n">
        <v>1</v>
      </c>
      <c r="H200" s="19" t="n">
        <v>13</v>
      </c>
      <c r="I200" s="13">
        <f>G200*H200</f>
        <v>13.0</v>
      </c>
      <c r="J200" s="20">
        <f>6900/1000</f>
        <v>6.9</v>
      </c>
      <c r="K200" s="21">
        <f>I200*J200</f>
        <v>89.7</v>
      </c>
      <c r="L200" s="22">
        <f>F200^2/162</f>
        <v>0.8888888888888888</v>
      </c>
      <c r="M200" s="21">
        <f>K200*L200</f>
        <v>79.73333333333333</v>
      </c>
      <c r="N200" s="22">
        <f>M200/1000</f>
        <v>0.07973333333333334</v>
      </c>
      <c r="O200" s="13" t="inlineStr">
        <is>
          <t>BBS</t>
        </is>
      </c>
    </row>
    <row r="201">
      <c r="A201" s="13" t="n">
        <v>196</v>
      </c>
      <c r="B201" s="13" t="inlineStr">
        <is>
          <t>Floor Slabs</t>
        </is>
      </c>
      <c r="C201" s="13" t="inlineStr">
        <is>
          <t>STR-080</t>
        </is>
      </c>
      <c r="D201" s="13" t="inlineStr">
        <is>
          <t>Typical 4th-8th slab - bottom</t>
        </is>
      </c>
      <c r="E201" s="19" t="inlineStr">
        <is>
          <t>1232</t>
        </is>
      </c>
      <c r="F201" s="19" t="n">
        <v>12</v>
      </c>
      <c r="G201" s="19" t="n">
        <v>1</v>
      </c>
      <c r="H201" s="19" t="n">
        <v>12</v>
      </c>
      <c r="I201" s="13">
        <f>G201*H201</f>
        <v>12.0</v>
      </c>
      <c r="J201" s="20">
        <f>5900/1000</f>
        <v>5.9</v>
      </c>
      <c r="K201" s="21">
        <f>I201*J201</f>
        <v>70.80000000000001</v>
      </c>
      <c r="L201" s="22">
        <f>F201^2/162</f>
        <v>0.8888888888888888</v>
      </c>
      <c r="M201" s="21">
        <f>K201*L201</f>
        <v>62.93333333333334</v>
      </c>
      <c r="N201" s="22">
        <f>M201/1000</f>
        <v>0.06293333333333334</v>
      </c>
      <c r="O201" s="13" t="inlineStr">
        <is>
          <t>BBS</t>
        </is>
      </c>
    </row>
    <row r="202">
      <c r="A202" s="13" t="n">
        <v>197</v>
      </c>
      <c r="B202" s="13" t="inlineStr">
        <is>
          <t>Floor Slabs</t>
        </is>
      </c>
      <c r="C202" s="13" t="inlineStr">
        <is>
          <t>STR-080</t>
        </is>
      </c>
      <c r="D202" s="13" t="inlineStr">
        <is>
          <t>Typical 4th-8th slab - bottom</t>
        </is>
      </c>
      <c r="E202" s="19" t="inlineStr">
        <is>
          <t>1233</t>
        </is>
      </c>
      <c r="F202" s="19" t="n">
        <v>12</v>
      </c>
      <c r="G202" s="19" t="n">
        <v>1</v>
      </c>
      <c r="H202" s="19" t="n">
        <v>13</v>
      </c>
      <c r="I202" s="13">
        <f>G202*H202</f>
        <v>13.0</v>
      </c>
      <c r="J202" s="20">
        <f>4200/1000</f>
        <v>4.2</v>
      </c>
      <c r="K202" s="21">
        <f>I202*J202</f>
        <v>54.6</v>
      </c>
      <c r="L202" s="22">
        <f>F202^2/162</f>
        <v>0.8888888888888888</v>
      </c>
      <c r="M202" s="21">
        <f>K202*L202</f>
        <v>48.53333333333333</v>
      </c>
      <c r="N202" s="22">
        <f>M202/1000</f>
        <v>0.04853333333333333</v>
      </c>
      <c r="O202" s="13" t="inlineStr">
        <is>
          <t>BBS</t>
        </is>
      </c>
    </row>
    <row r="203">
      <c r="A203" s="13" t="n">
        <v>198</v>
      </c>
      <c r="B203" s="13" t="inlineStr">
        <is>
          <t>Floor Slabs</t>
        </is>
      </c>
      <c r="C203" s="13" t="inlineStr">
        <is>
          <t>STR-080</t>
        </is>
      </c>
      <c r="D203" s="13" t="inlineStr">
        <is>
          <t>Typical 4th-8th slab - bottom</t>
        </is>
      </c>
      <c r="E203" s="19" t="inlineStr">
        <is>
          <t>1234</t>
        </is>
      </c>
      <c r="F203" s="19" t="n">
        <v>12</v>
      </c>
      <c r="G203" s="19" t="n">
        <v>1</v>
      </c>
      <c r="H203" s="19" t="n">
        <v>73</v>
      </c>
      <c r="I203" s="13">
        <f>G203*H203</f>
        <v>73.0</v>
      </c>
      <c r="J203" s="20">
        <f>6000/1000</f>
        <v>6.0</v>
      </c>
      <c r="K203" s="21">
        <f>I203*J203</f>
        <v>438.0</v>
      </c>
      <c r="L203" s="22">
        <f>F203^2/162</f>
        <v>0.8888888888888888</v>
      </c>
      <c r="M203" s="21">
        <f>K203*L203</f>
        <v>389.3333333333333</v>
      </c>
      <c r="N203" s="22">
        <f>M203/1000</f>
        <v>0.3893333333333333</v>
      </c>
      <c r="O203" s="13" t="inlineStr">
        <is>
          <t>BBS</t>
        </is>
      </c>
    </row>
    <row r="204">
      <c r="A204" s="13" t="n">
        <v>199</v>
      </c>
      <c r="B204" s="13" t="inlineStr">
        <is>
          <t>Floor Slabs</t>
        </is>
      </c>
      <c r="C204" s="13" t="inlineStr">
        <is>
          <t>STR-080</t>
        </is>
      </c>
      <c r="D204" s="13" t="inlineStr">
        <is>
          <t>Typical 4th-8th slab - bottom</t>
        </is>
      </c>
      <c r="E204" s="19" t="inlineStr">
        <is>
          <t>1235</t>
        </is>
      </c>
      <c r="F204" s="19" t="n">
        <v>12</v>
      </c>
      <c r="G204" s="19" t="n">
        <v>1</v>
      </c>
      <c r="H204" s="19" t="n">
        <v>43</v>
      </c>
      <c r="I204" s="13">
        <f>G204*H204</f>
        <v>43.0</v>
      </c>
      <c r="J204" s="20">
        <f>11750/1000</f>
        <v>11.75</v>
      </c>
      <c r="K204" s="21">
        <f>I204*J204</f>
        <v>505.25</v>
      </c>
      <c r="L204" s="22">
        <f>F204^2/162</f>
        <v>0.8888888888888888</v>
      </c>
      <c r="M204" s="21">
        <f>K204*L204</f>
        <v>449.1111111111111</v>
      </c>
      <c r="N204" s="22">
        <f>M204/1000</f>
        <v>0.44911111111111107</v>
      </c>
      <c r="O204" s="13" t="inlineStr">
        <is>
          <t>BBS</t>
        </is>
      </c>
    </row>
    <row r="205">
      <c r="A205" s="13" t="n">
        <v>200</v>
      </c>
      <c r="B205" s="13" t="inlineStr">
        <is>
          <t>Floor Slabs</t>
        </is>
      </c>
      <c r="C205" s="13" t="inlineStr">
        <is>
          <t>STR-080</t>
        </is>
      </c>
      <c r="D205" s="13" t="inlineStr">
        <is>
          <t>Typical 4th-8th slab - bottom</t>
        </is>
      </c>
      <c r="E205" s="19" t="inlineStr">
        <is>
          <t>1236</t>
        </is>
      </c>
      <c r="F205" s="19" t="n">
        <v>12</v>
      </c>
      <c r="G205" s="19" t="n">
        <v>1</v>
      </c>
      <c r="H205" s="19" t="n">
        <v>12</v>
      </c>
      <c r="I205" s="13">
        <f>G205*H205</f>
        <v>12.0</v>
      </c>
      <c r="J205" s="20">
        <f>8350/1000</f>
        <v>8.35</v>
      </c>
      <c r="K205" s="21">
        <f>I205*J205</f>
        <v>100.19999999999999</v>
      </c>
      <c r="L205" s="22">
        <f>F205^2/162</f>
        <v>0.8888888888888888</v>
      </c>
      <c r="M205" s="21">
        <f>K205*L205</f>
        <v>89.06666666666665</v>
      </c>
      <c r="N205" s="22">
        <f>M205/1000</f>
        <v>0.08906666666666666</v>
      </c>
      <c r="O205" s="13" t="inlineStr">
        <is>
          <t>BBS</t>
        </is>
      </c>
    </row>
    <row r="206">
      <c r="A206" s="13" t="n">
        <v>201</v>
      </c>
      <c r="B206" s="13" t="inlineStr">
        <is>
          <t>Floor Slabs</t>
        </is>
      </c>
      <c r="C206" s="13" t="inlineStr">
        <is>
          <t>STR-080</t>
        </is>
      </c>
      <c r="D206" s="13" t="inlineStr">
        <is>
          <t>Typical 4th-8th slab - bottom</t>
        </is>
      </c>
      <c r="E206" s="19" t="inlineStr">
        <is>
          <t>1237</t>
        </is>
      </c>
      <c r="F206" s="19" t="n">
        <v>12</v>
      </c>
      <c r="G206" s="19" t="n">
        <v>1</v>
      </c>
      <c r="H206" s="19" t="n">
        <v>75</v>
      </c>
      <c r="I206" s="13">
        <f>G206*H206</f>
        <v>75.0</v>
      </c>
      <c r="J206" s="20">
        <f>11250/1000</f>
        <v>11.25</v>
      </c>
      <c r="K206" s="21">
        <f>I206*J206</f>
        <v>843.75</v>
      </c>
      <c r="L206" s="22">
        <f>F206^2/162</f>
        <v>0.8888888888888888</v>
      </c>
      <c r="M206" s="21">
        <f>K206*L206</f>
        <v>750.0</v>
      </c>
      <c r="N206" s="22">
        <f>M206/1000</f>
        <v>0.75</v>
      </c>
      <c r="O206" s="13" t="inlineStr">
        <is>
          <t>BBS</t>
        </is>
      </c>
    </row>
    <row r="207">
      <c r="A207" s="13" t="n">
        <v>202</v>
      </c>
      <c r="B207" s="13" t="inlineStr">
        <is>
          <t>Floor Slabs</t>
        </is>
      </c>
      <c r="C207" s="13" t="inlineStr">
        <is>
          <t>STR-081</t>
        </is>
      </c>
      <c r="D207" s="13" t="inlineStr">
        <is>
          <t>Typical 4th-8th slab - top</t>
        </is>
      </c>
      <c r="E207" s="19" t="inlineStr">
        <is>
          <t>1238</t>
        </is>
      </c>
      <c r="F207" s="19" t="n">
        <v>12</v>
      </c>
      <c r="G207" s="19" t="n">
        <v>1</v>
      </c>
      <c r="H207" s="19" t="n">
        <v>16</v>
      </c>
      <c r="I207" s="13">
        <f>G207*H207</f>
        <v>16.0</v>
      </c>
      <c r="J207" s="20">
        <f>1925/1000</f>
        <v>1.925</v>
      </c>
      <c r="K207" s="21">
        <f>I207*J207</f>
        <v>30.8</v>
      </c>
      <c r="L207" s="22">
        <f>F207^2/162</f>
        <v>0.8888888888888888</v>
      </c>
      <c r="M207" s="21">
        <f>K207*L207</f>
        <v>27.377777777777776</v>
      </c>
      <c r="N207" s="22">
        <f>M207/1000</f>
        <v>0.027377777777777775</v>
      </c>
      <c r="O207" s="13" t="inlineStr">
        <is>
          <t>BBS</t>
        </is>
      </c>
    </row>
    <row r="208">
      <c r="A208" s="13" t="n">
        <v>203</v>
      </c>
      <c r="B208" s="13" t="inlineStr">
        <is>
          <t>Floor Slabs</t>
        </is>
      </c>
      <c r="C208" s="13" t="inlineStr">
        <is>
          <t>STR-081</t>
        </is>
      </c>
      <c r="D208" s="13" t="inlineStr">
        <is>
          <t>Typical 4th-8th slab - top</t>
        </is>
      </c>
      <c r="E208" s="19" t="inlineStr">
        <is>
          <t>1239</t>
        </is>
      </c>
      <c r="F208" s="19" t="n">
        <v>12</v>
      </c>
      <c r="G208" s="19" t="n">
        <v>1</v>
      </c>
      <c r="H208" s="19" t="n">
        <v>230</v>
      </c>
      <c r="I208" s="13">
        <f>G208*H208</f>
        <v>230.0</v>
      </c>
      <c r="J208" s="20">
        <f>11650/1000</f>
        <v>11.65</v>
      </c>
      <c r="K208" s="21">
        <f>I208*J208</f>
        <v>2679.5</v>
      </c>
      <c r="L208" s="22">
        <f>F208^2/162</f>
        <v>0.8888888888888888</v>
      </c>
      <c r="M208" s="21">
        <f>K208*L208</f>
        <v>2381.777777777778</v>
      </c>
      <c r="N208" s="22">
        <f>M208/1000</f>
        <v>2.3817777777777778</v>
      </c>
      <c r="O208" s="13" t="inlineStr">
        <is>
          <t>BBS</t>
        </is>
      </c>
    </row>
    <row r="209">
      <c r="A209" s="13" t="n">
        <v>204</v>
      </c>
      <c r="B209" s="13" t="inlineStr">
        <is>
          <t>Floor Slabs</t>
        </is>
      </c>
      <c r="C209" s="13" t="inlineStr">
        <is>
          <t>STR-081</t>
        </is>
      </c>
      <c r="D209" s="13" t="inlineStr">
        <is>
          <t>Typical 4th-8th slab - top</t>
        </is>
      </c>
      <c r="E209" s="19" t="inlineStr">
        <is>
          <t>1240</t>
        </is>
      </c>
      <c r="F209" s="19" t="n">
        <v>12</v>
      </c>
      <c r="G209" s="19" t="n">
        <v>1</v>
      </c>
      <c r="H209" s="19" t="n">
        <v>74</v>
      </c>
      <c r="I209" s="13">
        <f>G209*H209</f>
        <v>74.0</v>
      </c>
      <c r="J209" s="20">
        <f>5850/1000</f>
        <v>5.85</v>
      </c>
      <c r="K209" s="21">
        <f>I209*J209</f>
        <v>432.9</v>
      </c>
      <c r="L209" s="22">
        <f>F209^2/162</f>
        <v>0.8888888888888888</v>
      </c>
      <c r="M209" s="21">
        <f>K209*L209</f>
        <v>384.79999999999995</v>
      </c>
      <c r="N209" s="22">
        <f>M209/1000</f>
        <v>0.3848</v>
      </c>
      <c r="O209" s="13" t="inlineStr">
        <is>
          <t>BBS</t>
        </is>
      </c>
    </row>
    <row r="210">
      <c r="A210" s="13" t="n">
        <v>205</v>
      </c>
      <c r="B210" s="13" t="inlineStr">
        <is>
          <t>Floor Slabs</t>
        </is>
      </c>
      <c r="C210" s="13" t="inlineStr">
        <is>
          <t>STR-081</t>
        </is>
      </c>
      <c r="D210" s="13" t="inlineStr">
        <is>
          <t>Typical 4th-8th slab - top</t>
        </is>
      </c>
      <c r="E210" s="19" t="inlineStr">
        <is>
          <t>1241</t>
        </is>
      </c>
      <c r="F210" s="19" t="n">
        <v>12</v>
      </c>
      <c r="G210" s="19" t="n">
        <v>1</v>
      </c>
      <c r="H210" s="19" t="n">
        <v>21</v>
      </c>
      <c r="I210" s="13">
        <f>G210*H210</f>
        <v>21.0</v>
      </c>
      <c r="J210" s="20">
        <f>8050/1000</f>
        <v>8.05</v>
      </c>
      <c r="K210" s="21">
        <f>I210*J210</f>
        <v>169.05</v>
      </c>
      <c r="L210" s="22">
        <f>F210^2/162</f>
        <v>0.8888888888888888</v>
      </c>
      <c r="M210" s="21">
        <f>K210*L210</f>
        <v>150.26666666666668</v>
      </c>
      <c r="N210" s="22">
        <f>M210/1000</f>
        <v>0.1502666666666667</v>
      </c>
      <c r="O210" s="13" t="inlineStr">
        <is>
          <t>BBS</t>
        </is>
      </c>
    </row>
    <row r="211">
      <c r="A211" s="13" t="n">
        <v>206</v>
      </c>
      <c r="B211" s="13" t="inlineStr">
        <is>
          <t>Floor Slabs</t>
        </is>
      </c>
      <c r="C211" s="13" t="inlineStr">
        <is>
          <t>STR-081</t>
        </is>
      </c>
      <c r="D211" s="13" t="inlineStr">
        <is>
          <t>Typical 4th-8th slab - top</t>
        </is>
      </c>
      <c r="E211" s="19" t="inlineStr">
        <is>
          <t>1242</t>
        </is>
      </c>
      <c r="F211" s="19" t="n">
        <v>12</v>
      </c>
      <c r="G211" s="19" t="n">
        <v>1</v>
      </c>
      <c r="H211" s="19" t="n">
        <v>263</v>
      </c>
      <c r="I211" s="13">
        <f>G211*H211</f>
        <v>263.0</v>
      </c>
      <c r="J211" s="20">
        <f>8000/1000</f>
        <v>8.0</v>
      </c>
      <c r="K211" s="21">
        <f>I211*J211</f>
        <v>2104.0</v>
      </c>
      <c r="L211" s="22">
        <f>F211^2/162</f>
        <v>0.8888888888888888</v>
      </c>
      <c r="M211" s="21">
        <f>K211*L211</f>
        <v>1870.2222222222222</v>
      </c>
      <c r="N211" s="22">
        <f>M211/1000</f>
        <v>1.8702222222222222</v>
      </c>
      <c r="O211" s="13" t="inlineStr">
        <is>
          <t>BBS</t>
        </is>
      </c>
    </row>
    <row r="212">
      <c r="A212" s="13" t="n">
        <v>207</v>
      </c>
      <c r="B212" s="13" t="inlineStr">
        <is>
          <t>Floor Slabs</t>
        </is>
      </c>
      <c r="C212" s="13" t="inlineStr">
        <is>
          <t>STR-081</t>
        </is>
      </c>
      <c r="D212" s="13" t="inlineStr">
        <is>
          <t>Typical 4th-8th slab - top</t>
        </is>
      </c>
      <c r="E212" s="19" t="inlineStr">
        <is>
          <t>1243</t>
        </is>
      </c>
      <c r="F212" s="19" t="n">
        <v>12</v>
      </c>
      <c r="G212" s="19" t="n">
        <v>1</v>
      </c>
      <c r="H212" s="19" t="n">
        <v>226</v>
      </c>
      <c r="I212" s="13">
        <f>G212*H212</f>
        <v>226.0</v>
      </c>
      <c r="J212" s="20">
        <f>8800/1000</f>
        <v>8.8</v>
      </c>
      <c r="K212" s="21">
        <f>I212*J212</f>
        <v>1988.8000000000002</v>
      </c>
      <c r="L212" s="22">
        <f>F212^2/162</f>
        <v>0.8888888888888888</v>
      </c>
      <c r="M212" s="21">
        <f>K212*L212</f>
        <v>1767.8222222222223</v>
      </c>
      <c r="N212" s="22">
        <f>M212/1000</f>
        <v>1.7678222222222224</v>
      </c>
      <c r="O212" s="13" t="inlineStr">
        <is>
          <t>BBS</t>
        </is>
      </c>
    </row>
    <row r="213">
      <c r="A213" s="13" t="n">
        <v>208</v>
      </c>
      <c r="B213" s="13" t="inlineStr">
        <is>
          <t>Floor Slabs</t>
        </is>
      </c>
      <c r="C213" s="13" t="inlineStr">
        <is>
          <t>STR-081</t>
        </is>
      </c>
      <c r="D213" s="13" t="inlineStr">
        <is>
          <t>Typical 4th-8th slab - top</t>
        </is>
      </c>
      <c r="E213" s="19" t="inlineStr">
        <is>
          <t>1244</t>
        </is>
      </c>
      <c r="F213" s="19" t="n">
        <v>12</v>
      </c>
      <c r="G213" s="19" t="n">
        <v>1</v>
      </c>
      <c r="H213" s="19" t="n">
        <v>21</v>
      </c>
      <c r="I213" s="13">
        <f>G213*H213</f>
        <v>21.0</v>
      </c>
      <c r="J213" s="20">
        <f>7350/1000</f>
        <v>7.35</v>
      </c>
      <c r="K213" s="21">
        <f>I213*J213</f>
        <v>154.35</v>
      </c>
      <c r="L213" s="22">
        <f>F213^2/162</f>
        <v>0.8888888888888888</v>
      </c>
      <c r="M213" s="21">
        <f>K213*L213</f>
        <v>137.2</v>
      </c>
      <c r="N213" s="22">
        <f>M213/1000</f>
        <v>0.1372</v>
      </c>
      <c r="O213" s="13" t="inlineStr">
        <is>
          <t>BBS</t>
        </is>
      </c>
    </row>
    <row r="214">
      <c r="A214" s="13" t="n">
        <v>209</v>
      </c>
      <c r="B214" s="13" t="inlineStr">
        <is>
          <t>Floor Slabs</t>
        </is>
      </c>
      <c r="C214" s="13" t="inlineStr">
        <is>
          <t>STR-081</t>
        </is>
      </c>
      <c r="D214" s="13" t="inlineStr">
        <is>
          <t>Typical 4th-8th slab - top</t>
        </is>
      </c>
      <c r="E214" s="19" t="inlineStr">
        <is>
          <t>1245</t>
        </is>
      </c>
      <c r="F214" s="19" t="n">
        <v>12</v>
      </c>
      <c r="G214" s="19" t="n">
        <v>1</v>
      </c>
      <c r="H214" s="19" t="n">
        <v>21</v>
      </c>
      <c r="I214" s="13">
        <f>G214*H214</f>
        <v>21.0</v>
      </c>
      <c r="J214" s="20">
        <f>8650/1000</f>
        <v>8.65</v>
      </c>
      <c r="K214" s="21">
        <f>I214*J214</f>
        <v>181.65</v>
      </c>
      <c r="L214" s="22">
        <f>F214^2/162</f>
        <v>0.8888888888888888</v>
      </c>
      <c r="M214" s="21">
        <f>K214*L214</f>
        <v>161.46666666666667</v>
      </c>
      <c r="N214" s="22">
        <f>M214/1000</f>
        <v>0.16146666666666668</v>
      </c>
      <c r="O214" s="13" t="inlineStr">
        <is>
          <t>BBS</t>
        </is>
      </c>
    </row>
    <row r="215">
      <c r="A215" s="13" t="n">
        <v>210</v>
      </c>
      <c r="B215" s="13" t="inlineStr">
        <is>
          <t>Floor Slabs</t>
        </is>
      </c>
      <c r="C215" s="13" t="inlineStr">
        <is>
          <t>STR-081</t>
        </is>
      </c>
      <c r="D215" s="13" t="inlineStr">
        <is>
          <t>Typical 4th-8th slab - top</t>
        </is>
      </c>
      <c r="E215" s="19" t="inlineStr">
        <is>
          <t>1246</t>
        </is>
      </c>
      <c r="F215" s="19" t="n">
        <v>12</v>
      </c>
      <c r="G215" s="19" t="n">
        <v>1</v>
      </c>
      <c r="H215" s="19" t="n">
        <v>27</v>
      </c>
      <c r="I215" s="13">
        <f>G215*H215</f>
        <v>27.0</v>
      </c>
      <c r="J215" s="20">
        <f>4575/1000</f>
        <v>4.575</v>
      </c>
      <c r="K215" s="21">
        <f>I215*J215</f>
        <v>123.525</v>
      </c>
      <c r="L215" s="22">
        <f>F215^2/162</f>
        <v>0.8888888888888888</v>
      </c>
      <c r="M215" s="21">
        <f>K215*L215</f>
        <v>109.8</v>
      </c>
      <c r="N215" s="22">
        <f>M215/1000</f>
        <v>0.1098</v>
      </c>
      <c r="O215" s="13" t="inlineStr">
        <is>
          <t>BBS</t>
        </is>
      </c>
    </row>
    <row r="216">
      <c r="A216" s="13" t="n">
        <v>211</v>
      </c>
      <c r="B216" s="13" t="inlineStr">
        <is>
          <t>Floor Slabs</t>
        </is>
      </c>
      <c r="C216" s="13" t="inlineStr">
        <is>
          <t>STR-081</t>
        </is>
      </c>
      <c r="D216" s="13" t="inlineStr">
        <is>
          <t>Typical 4th-8th slab - top</t>
        </is>
      </c>
      <c r="E216" s="19" t="inlineStr">
        <is>
          <t>1247</t>
        </is>
      </c>
      <c r="F216" s="19" t="n">
        <v>12</v>
      </c>
      <c r="G216" s="19" t="n">
        <v>1</v>
      </c>
      <c r="H216" s="19" t="n">
        <v>65</v>
      </c>
      <c r="I216" s="13">
        <f>G216*H216</f>
        <v>65.0</v>
      </c>
      <c r="J216" s="20">
        <f>5325/1000</f>
        <v>5.325</v>
      </c>
      <c r="K216" s="21">
        <f>I216*J216</f>
        <v>346.125</v>
      </c>
      <c r="L216" s="22">
        <f>F216^2/162</f>
        <v>0.8888888888888888</v>
      </c>
      <c r="M216" s="21">
        <f>K216*L216</f>
        <v>307.66666666666663</v>
      </c>
      <c r="N216" s="22">
        <f>M216/1000</f>
        <v>0.30766666666666664</v>
      </c>
      <c r="O216" s="13" t="inlineStr">
        <is>
          <t>BBS</t>
        </is>
      </c>
    </row>
    <row r="217">
      <c r="A217" s="13" t="n">
        <v>212</v>
      </c>
      <c r="B217" s="13" t="inlineStr">
        <is>
          <t>Floor Slabs</t>
        </is>
      </c>
      <c r="C217" s="13" t="inlineStr">
        <is>
          <t>STR-081</t>
        </is>
      </c>
      <c r="D217" s="13" t="inlineStr">
        <is>
          <t>Typical 4th-8th slab - top</t>
        </is>
      </c>
      <c r="E217" s="19" t="inlineStr">
        <is>
          <t>1248</t>
        </is>
      </c>
      <c r="F217" s="19" t="n">
        <v>12</v>
      </c>
      <c r="G217" s="19" t="n">
        <v>1</v>
      </c>
      <c r="H217" s="19" t="n">
        <v>15</v>
      </c>
      <c r="I217" s="13">
        <f>G217*H217</f>
        <v>15.0</v>
      </c>
      <c r="J217" s="20">
        <f>4700/1000</f>
        <v>4.7</v>
      </c>
      <c r="K217" s="21">
        <f>I217*J217</f>
        <v>70.5</v>
      </c>
      <c r="L217" s="22">
        <f>F217^2/162</f>
        <v>0.8888888888888888</v>
      </c>
      <c r="M217" s="21">
        <f>K217*L217</f>
        <v>62.666666666666664</v>
      </c>
      <c r="N217" s="22">
        <f>M217/1000</f>
        <v>0.06266666666666666</v>
      </c>
      <c r="O217" s="13" t="inlineStr">
        <is>
          <t>BBS</t>
        </is>
      </c>
    </row>
    <row r="218">
      <c r="A218" s="13" t="n">
        <v>213</v>
      </c>
      <c r="B218" s="13" t="inlineStr">
        <is>
          <t>Floor Slabs</t>
        </is>
      </c>
      <c r="C218" s="13" t="inlineStr">
        <is>
          <t>STR-081</t>
        </is>
      </c>
      <c r="D218" s="13" t="inlineStr">
        <is>
          <t>Typical 4th-8th slab - top</t>
        </is>
      </c>
      <c r="E218" s="19" t="inlineStr">
        <is>
          <t>1249</t>
        </is>
      </c>
      <c r="F218" s="19" t="n">
        <v>12</v>
      </c>
      <c r="G218" s="19" t="n">
        <v>1</v>
      </c>
      <c r="H218" s="19" t="n">
        <v>23</v>
      </c>
      <c r="I218" s="13">
        <f>G218*H218</f>
        <v>23.0</v>
      </c>
      <c r="J218" s="20">
        <f>12000/1000</f>
        <v>12.0</v>
      </c>
      <c r="K218" s="21">
        <f>I218*J218</f>
        <v>276.0</v>
      </c>
      <c r="L218" s="22">
        <f>F218^2/162</f>
        <v>0.8888888888888888</v>
      </c>
      <c r="M218" s="21">
        <f>K218*L218</f>
        <v>245.33333333333331</v>
      </c>
      <c r="N218" s="22">
        <f>M218/1000</f>
        <v>0.24533333333333332</v>
      </c>
      <c r="O218" s="13" t="inlineStr">
        <is>
          <t>BBS</t>
        </is>
      </c>
    </row>
    <row r="219">
      <c r="A219" s="13" t="n">
        <v>214</v>
      </c>
      <c r="B219" s="13" t="inlineStr">
        <is>
          <t>Floor Slabs</t>
        </is>
      </c>
      <c r="C219" s="13" t="inlineStr">
        <is>
          <t>STR-081</t>
        </is>
      </c>
      <c r="D219" s="13" t="inlineStr">
        <is>
          <t>Typical 4th-8th slab - top</t>
        </is>
      </c>
      <c r="E219" s="19" t="inlineStr">
        <is>
          <t>1250</t>
        </is>
      </c>
      <c r="F219" s="19" t="n">
        <v>12</v>
      </c>
      <c r="G219" s="19" t="n">
        <v>1</v>
      </c>
      <c r="H219" s="19" t="n">
        <v>9</v>
      </c>
      <c r="I219" s="13">
        <f>G219*H219</f>
        <v>9.0</v>
      </c>
      <c r="J219" s="20">
        <f>10000/1000</f>
        <v>10.0</v>
      </c>
      <c r="K219" s="21">
        <f>I219*J219</f>
        <v>90.0</v>
      </c>
      <c r="L219" s="22">
        <f>F219^2/162</f>
        <v>0.8888888888888888</v>
      </c>
      <c r="M219" s="21">
        <f>K219*L219</f>
        <v>80.0</v>
      </c>
      <c r="N219" s="22">
        <f>M219/1000</f>
        <v>0.08</v>
      </c>
      <c r="O219" s="13" t="inlineStr">
        <is>
          <t>BBS</t>
        </is>
      </c>
    </row>
    <row r="220">
      <c r="A220" s="13" t="n">
        <v>215</v>
      </c>
      <c r="B220" s="13" t="inlineStr">
        <is>
          <t>Floor Slabs</t>
        </is>
      </c>
      <c r="C220" s="13" t="inlineStr">
        <is>
          <t>STR-081</t>
        </is>
      </c>
      <c r="D220" s="13" t="inlineStr">
        <is>
          <t>Typical 4th-8th slab - top</t>
        </is>
      </c>
      <c r="E220" s="19" t="inlineStr">
        <is>
          <t>1251</t>
        </is>
      </c>
      <c r="F220" s="19" t="n">
        <v>12</v>
      </c>
      <c r="G220" s="19" t="n">
        <v>1</v>
      </c>
      <c r="H220" s="19" t="n">
        <v>234</v>
      </c>
      <c r="I220" s="13">
        <f>G220*H220</f>
        <v>234.0</v>
      </c>
      <c r="J220" s="20">
        <f>8650/1000</f>
        <v>8.65</v>
      </c>
      <c r="K220" s="21">
        <f>I220*J220</f>
        <v>2024.1000000000001</v>
      </c>
      <c r="L220" s="22">
        <f>F220^2/162</f>
        <v>0.8888888888888888</v>
      </c>
      <c r="M220" s="21">
        <f>K220*L220</f>
        <v>1799.2</v>
      </c>
      <c r="N220" s="22">
        <f>M220/1000</f>
        <v>1.7992000000000001</v>
      </c>
      <c r="O220" s="13" t="inlineStr">
        <is>
          <t>BBS</t>
        </is>
      </c>
    </row>
    <row r="221">
      <c r="A221" s="13" t="n">
        <v>216</v>
      </c>
      <c r="B221" s="13" t="inlineStr">
        <is>
          <t>Floor Slabs</t>
        </is>
      </c>
      <c r="C221" s="13" t="inlineStr">
        <is>
          <t>STR-081</t>
        </is>
      </c>
      <c r="D221" s="13" t="inlineStr">
        <is>
          <t>Typical 4th-8th slab - top</t>
        </is>
      </c>
      <c r="E221" s="19" t="inlineStr">
        <is>
          <t>1252</t>
        </is>
      </c>
      <c r="F221" s="19" t="n">
        <v>12</v>
      </c>
      <c r="G221" s="19" t="n">
        <v>1</v>
      </c>
      <c r="H221" s="19" t="n">
        <v>24</v>
      </c>
      <c r="I221" s="13">
        <f>G221*H221</f>
        <v>24.0</v>
      </c>
      <c r="J221" s="20">
        <f>4600/1000</f>
        <v>4.6</v>
      </c>
      <c r="K221" s="21">
        <f>I221*J221</f>
        <v>110.39999999999999</v>
      </c>
      <c r="L221" s="22">
        <f>F221^2/162</f>
        <v>0.8888888888888888</v>
      </c>
      <c r="M221" s="21">
        <f>K221*L221</f>
        <v>98.13333333333333</v>
      </c>
      <c r="N221" s="22">
        <f>M221/1000</f>
        <v>0.09813333333333332</v>
      </c>
      <c r="O221" s="13" t="inlineStr">
        <is>
          <t>BBS</t>
        </is>
      </c>
    </row>
    <row r="222">
      <c r="A222" s="13" t="n">
        <v>217</v>
      </c>
      <c r="B222" s="13" t="inlineStr">
        <is>
          <t>Floor Slabs</t>
        </is>
      </c>
      <c r="C222" s="13" t="inlineStr">
        <is>
          <t>STR-081</t>
        </is>
      </c>
      <c r="D222" s="13" t="inlineStr">
        <is>
          <t>Typical 4th-8th slab - top</t>
        </is>
      </c>
      <c r="E222" s="19" t="inlineStr">
        <is>
          <t>1253</t>
        </is>
      </c>
      <c r="F222" s="19" t="n">
        <v>12</v>
      </c>
      <c r="G222" s="19" t="n">
        <v>1</v>
      </c>
      <c r="H222" s="19" t="n">
        <v>152</v>
      </c>
      <c r="I222" s="13">
        <f>G222*H222</f>
        <v>152.0</v>
      </c>
      <c r="J222" s="20">
        <f>5900/1000</f>
        <v>5.9</v>
      </c>
      <c r="K222" s="21">
        <f>I222*J222</f>
        <v>896.8000000000001</v>
      </c>
      <c r="L222" s="22">
        <f>F222^2/162</f>
        <v>0.8888888888888888</v>
      </c>
      <c r="M222" s="21">
        <f>K222*L222</f>
        <v>797.1555555555556</v>
      </c>
      <c r="N222" s="22">
        <f>M222/1000</f>
        <v>0.7971555555555556</v>
      </c>
      <c r="O222" s="13" t="inlineStr">
        <is>
          <t>BBS</t>
        </is>
      </c>
    </row>
    <row r="223">
      <c r="A223" s="13" t="n">
        <v>218</v>
      </c>
      <c r="B223" s="13" t="inlineStr">
        <is>
          <t>Floor Slabs</t>
        </is>
      </c>
      <c r="C223" s="13" t="inlineStr">
        <is>
          <t>STR-081</t>
        </is>
      </c>
      <c r="D223" s="13" t="inlineStr">
        <is>
          <t>Typical 4th-8th slab - top</t>
        </is>
      </c>
      <c r="E223" s="19" t="inlineStr">
        <is>
          <t>1254</t>
        </is>
      </c>
      <c r="F223" s="19" t="n">
        <v>12</v>
      </c>
      <c r="G223" s="19" t="n">
        <v>1</v>
      </c>
      <c r="H223" s="19" t="n">
        <v>119</v>
      </c>
      <c r="I223" s="13">
        <f>G223*H223</f>
        <v>119.0</v>
      </c>
      <c r="J223" s="20">
        <f>9525/1000</f>
        <v>9.525</v>
      </c>
      <c r="K223" s="21">
        <f>I223*J223</f>
        <v>1133.4750000000001</v>
      </c>
      <c r="L223" s="22">
        <f>F223^2/162</f>
        <v>0.8888888888888888</v>
      </c>
      <c r="M223" s="21">
        <f>K223*L223</f>
        <v>1007.5333333333334</v>
      </c>
      <c r="N223" s="22">
        <f>M223/1000</f>
        <v>1.0075333333333334</v>
      </c>
      <c r="O223" s="13" t="inlineStr">
        <is>
          <t>BBS</t>
        </is>
      </c>
    </row>
    <row r="224">
      <c r="A224" s="13" t="n">
        <v>219</v>
      </c>
      <c r="B224" s="13" t="inlineStr">
        <is>
          <t>Floor Slabs</t>
        </is>
      </c>
      <c r="C224" s="13" t="inlineStr">
        <is>
          <t>STR-081</t>
        </is>
      </c>
      <c r="D224" s="13" t="inlineStr">
        <is>
          <t>Typical 4th-8th slab - top</t>
        </is>
      </c>
      <c r="E224" s="19" t="inlineStr">
        <is>
          <t>1255</t>
        </is>
      </c>
      <c r="F224" s="19" t="n">
        <v>12</v>
      </c>
      <c r="G224" s="19" t="n">
        <v>1</v>
      </c>
      <c r="H224" s="19" t="n">
        <v>206</v>
      </c>
      <c r="I224" s="13">
        <f>G224*H224</f>
        <v>206.0</v>
      </c>
      <c r="J224" s="20">
        <f>4275/1000</f>
        <v>4.275</v>
      </c>
      <c r="K224" s="21">
        <f>I224*J224</f>
        <v>880.6500000000001</v>
      </c>
      <c r="L224" s="22">
        <f>F224^2/162</f>
        <v>0.8888888888888888</v>
      </c>
      <c r="M224" s="21">
        <f>K224*L224</f>
        <v>782.8000000000001</v>
      </c>
      <c r="N224" s="22">
        <f>M224/1000</f>
        <v>0.7828</v>
      </c>
      <c r="O224" s="13" t="inlineStr">
        <is>
          <t>BBS</t>
        </is>
      </c>
    </row>
    <row r="225">
      <c r="A225" s="13" t="n">
        <v>220</v>
      </c>
      <c r="B225" s="13" t="inlineStr">
        <is>
          <t>Floor Slabs</t>
        </is>
      </c>
      <c r="C225" s="13" t="inlineStr">
        <is>
          <t>STR-081</t>
        </is>
      </c>
      <c r="D225" s="13" t="inlineStr">
        <is>
          <t>Typical 4th-8th slab - top</t>
        </is>
      </c>
      <c r="E225" s="19" t="inlineStr">
        <is>
          <t>1256</t>
        </is>
      </c>
      <c r="F225" s="19" t="n">
        <v>12</v>
      </c>
      <c r="G225" s="19" t="n">
        <v>1</v>
      </c>
      <c r="H225" s="19" t="n">
        <v>31</v>
      </c>
      <c r="I225" s="13">
        <f>G225*H225</f>
        <v>31.0</v>
      </c>
      <c r="J225" s="20">
        <f>3750/1000</f>
        <v>3.75</v>
      </c>
      <c r="K225" s="21">
        <f>I225*J225</f>
        <v>116.25</v>
      </c>
      <c r="L225" s="22">
        <f>F225^2/162</f>
        <v>0.8888888888888888</v>
      </c>
      <c r="M225" s="21">
        <f>K225*L225</f>
        <v>103.33333333333333</v>
      </c>
      <c r="N225" s="22">
        <f>M225/1000</f>
        <v>0.10333333333333333</v>
      </c>
      <c r="O225" s="13" t="inlineStr">
        <is>
          <t>BBS</t>
        </is>
      </c>
    </row>
    <row r="226">
      <c r="A226" s="13" t="n">
        <v>221</v>
      </c>
      <c r="B226" s="13" t="inlineStr">
        <is>
          <t>Floor Slabs</t>
        </is>
      </c>
      <c r="C226" s="13" t="inlineStr">
        <is>
          <t>STR-081</t>
        </is>
      </c>
      <c r="D226" s="13" t="inlineStr">
        <is>
          <t>Typical 4th-8th slab - top</t>
        </is>
      </c>
      <c r="E226" s="19" t="inlineStr">
        <is>
          <t>1257</t>
        </is>
      </c>
      <c r="F226" s="19" t="n">
        <v>12</v>
      </c>
      <c r="G226" s="19" t="n">
        <v>1</v>
      </c>
      <c r="H226" s="19" t="n">
        <v>36</v>
      </c>
      <c r="I226" s="13">
        <f>G226*H226</f>
        <v>36.0</v>
      </c>
      <c r="J226" s="20">
        <f>10400/1000</f>
        <v>10.4</v>
      </c>
      <c r="K226" s="21">
        <f>I226*J226</f>
        <v>374.40000000000003</v>
      </c>
      <c r="L226" s="22">
        <f>F226^2/162</f>
        <v>0.8888888888888888</v>
      </c>
      <c r="M226" s="21">
        <f>K226*L226</f>
        <v>332.8</v>
      </c>
      <c r="N226" s="22">
        <f>M226/1000</f>
        <v>0.3328</v>
      </c>
      <c r="O226" s="13" t="inlineStr">
        <is>
          <t>BBS</t>
        </is>
      </c>
    </row>
    <row r="227">
      <c r="A227" s="13" t="n">
        <v>222</v>
      </c>
      <c r="B227" s="13" t="inlineStr">
        <is>
          <t>Floor Slabs</t>
        </is>
      </c>
      <c r="C227" s="13" t="inlineStr">
        <is>
          <t>STR-081</t>
        </is>
      </c>
      <c r="D227" s="13" t="inlineStr">
        <is>
          <t>Typical 4th-8th slab - top</t>
        </is>
      </c>
      <c r="E227" s="19" t="inlineStr">
        <is>
          <t>1258</t>
        </is>
      </c>
      <c r="F227" s="19" t="n">
        <v>12</v>
      </c>
      <c r="G227" s="19" t="n">
        <v>1</v>
      </c>
      <c r="H227" s="19" t="n">
        <v>23</v>
      </c>
      <c r="I227" s="13">
        <f>G227*H227</f>
        <v>23.0</v>
      </c>
      <c r="J227" s="20">
        <f>3450/1000</f>
        <v>3.45</v>
      </c>
      <c r="K227" s="21">
        <f>I227*J227</f>
        <v>79.35000000000001</v>
      </c>
      <c r="L227" s="22">
        <f>F227^2/162</f>
        <v>0.8888888888888888</v>
      </c>
      <c r="M227" s="21">
        <f>K227*L227</f>
        <v>70.53333333333333</v>
      </c>
      <c r="N227" s="22">
        <f>M227/1000</f>
        <v>0.07053333333333334</v>
      </c>
      <c r="O227" s="13" t="inlineStr">
        <is>
          <t>BBS</t>
        </is>
      </c>
    </row>
    <row r="228">
      <c r="A228" s="13" t="n">
        <v>223</v>
      </c>
      <c r="B228" s="13" t="inlineStr">
        <is>
          <t>Floor Slabs</t>
        </is>
      </c>
      <c r="C228" s="13" t="inlineStr">
        <is>
          <t>STR-081</t>
        </is>
      </c>
      <c r="D228" s="13" t="inlineStr">
        <is>
          <t>Typical 4th-8th slab - top</t>
        </is>
      </c>
      <c r="E228" s="19" t="inlineStr">
        <is>
          <t>1259</t>
        </is>
      </c>
      <c r="F228" s="19" t="n">
        <v>12</v>
      </c>
      <c r="G228" s="19" t="n">
        <v>1</v>
      </c>
      <c r="H228" s="19" t="n">
        <v>212</v>
      </c>
      <c r="I228" s="13">
        <f>G228*H228</f>
        <v>212.0</v>
      </c>
      <c r="J228" s="20">
        <f>9500/1000</f>
        <v>9.5</v>
      </c>
      <c r="K228" s="21">
        <f>I228*J228</f>
        <v>2014.0</v>
      </c>
      <c r="L228" s="22">
        <f>F228^2/162</f>
        <v>0.8888888888888888</v>
      </c>
      <c r="M228" s="21">
        <f>K228*L228</f>
        <v>1790.2222222222222</v>
      </c>
      <c r="N228" s="22">
        <f>M228/1000</f>
        <v>1.7902222222222222</v>
      </c>
      <c r="O228" s="13" t="inlineStr">
        <is>
          <t>BBS</t>
        </is>
      </c>
    </row>
    <row r="229">
      <c r="A229" s="13" t="n">
        <v>224</v>
      </c>
      <c r="B229" s="13" t="inlineStr">
        <is>
          <t>Floor Slabs</t>
        </is>
      </c>
      <c r="C229" s="13" t="inlineStr">
        <is>
          <t>STR-081</t>
        </is>
      </c>
      <c r="D229" s="13" t="inlineStr">
        <is>
          <t>Typical 4th-8th slab - top</t>
        </is>
      </c>
      <c r="E229" s="19" t="inlineStr">
        <is>
          <t>1260</t>
        </is>
      </c>
      <c r="F229" s="19" t="n">
        <v>12</v>
      </c>
      <c r="G229" s="19" t="n">
        <v>1</v>
      </c>
      <c r="H229" s="19" t="n">
        <v>49</v>
      </c>
      <c r="I229" s="13">
        <f>G229*H229</f>
        <v>49.0</v>
      </c>
      <c r="J229" s="20">
        <f>7300/1000</f>
        <v>7.3</v>
      </c>
      <c r="K229" s="21">
        <f>I229*J229</f>
        <v>357.7</v>
      </c>
      <c r="L229" s="22">
        <f>F229^2/162</f>
        <v>0.8888888888888888</v>
      </c>
      <c r="M229" s="21">
        <f>K229*L229</f>
        <v>317.9555555555555</v>
      </c>
      <c r="N229" s="22">
        <f>M229/1000</f>
        <v>0.31795555555555555</v>
      </c>
      <c r="O229" s="13" t="inlineStr">
        <is>
          <t>BBS</t>
        </is>
      </c>
    </row>
    <row r="230">
      <c r="A230" s="13" t="n">
        <v>225</v>
      </c>
      <c r="B230" s="13" t="inlineStr">
        <is>
          <t>Floor Slabs</t>
        </is>
      </c>
      <c r="C230" s="13" t="inlineStr">
        <is>
          <t>STR-081</t>
        </is>
      </c>
      <c r="D230" s="13" t="inlineStr">
        <is>
          <t>Typical 4th-8th slab - top</t>
        </is>
      </c>
      <c r="E230" s="19" t="inlineStr">
        <is>
          <t>1261</t>
        </is>
      </c>
      <c r="F230" s="19" t="n">
        <v>12</v>
      </c>
      <c r="G230" s="19" t="n">
        <v>1</v>
      </c>
      <c r="H230" s="19" t="n">
        <v>113</v>
      </c>
      <c r="I230" s="13">
        <f>G230*H230</f>
        <v>113.0</v>
      </c>
      <c r="J230" s="20">
        <f>8750/1000</f>
        <v>8.75</v>
      </c>
      <c r="K230" s="21">
        <f>I230*J230</f>
        <v>988.75</v>
      </c>
      <c r="L230" s="22">
        <f>F230^2/162</f>
        <v>0.8888888888888888</v>
      </c>
      <c r="M230" s="21">
        <f>K230*L230</f>
        <v>878.8888888888888</v>
      </c>
      <c r="N230" s="22">
        <f>M230/1000</f>
        <v>0.8788888888888888</v>
      </c>
      <c r="O230" s="13" t="inlineStr">
        <is>
          <t>BBS</t>
        </is>
      </c>
    </row>
    <row r="231">
      <c r="A231" s="13" t="n">
        <v>226</v>
      </c>
      <c r="B231" s="13" t="inlineStr">
        <is>
          <t>Floor Slabs</t>
        </is>
      </c>
      <c r="C231" s="13" t="inlineStr">
        <is>
          <t>STR-081</t>
        </is>
      </c>
      <c r="D231" s="13" t="inlineStr">
        <is>
          <t>Typical 4th-8th slab - top</t>
        </is>
      </c>
      <c r="E231" s="19" t="inlineStr">
        <is>
          <t>1262</t>
        </is>
      </c>
      <c r="F231" s="19" t="n">
        <v>12</v>
      </c>
      <c r="G231" s="19" t="n">
        <v>1</v>
      </c>
      <c r="H231" s="19" t="n">
        <v>85</v>
      </c>
      <c r="I231" s="13">
        <f>G231*H231</f>
        <v>85.0</v>
      </c>
      <c r="J231" s="20">
        <f>3750/1000</f>
        <v>3.75</v>
      </c>
      <c r="K231" s="21">
        <f>I231*J231</f>
        <v>318.75</v>
      </c>
      <c r="L231" s="22">
        <f>F231^2/162</f>
        <v>0.8888888888888888</v>
      </c>
      <c r="M231" s="21">
        <f>K231*L231</f>
        <v>283.3333333333333</v>
      </c>
      <c r="N231" s="22">
        <f>M231/1000</f>
        <v>0.2833333333333333</v>
      </c>
      <c r="O231" s="13" t="inlineStr">
        <is>
          <t>BBS</t>
        </is>
      </c>
    </row>
    <row r="232">
      <c r="A232" s="13" t="n">
        <v>227</v>
      </c>
      <c r="B232" s="13" t="inlineStr">
        <is>
          <t>Floor Slabs</t>
        </is>
      </c>
      <c r="C232" s="13" t="inlineStr">
        <is>
          <t>STR-081</t>
        </is>
      </c>
      <c r="D232" s="13" t="inlineStr">
        <is>
          <t>Typical 4th-8th slab - top</t>
        </is>
      </c>
      <c r="E232" s="19" t="inlineStr">
        <is>
          <t>1263</t>
        </is>
      </c>
      <c r="F232" s="19" t="n">
        <v>12</v>
      </c>
      <c r="G232" s="19" t="n">
        <v>1</v>
      </c>
      <c r="H232" s="19" t="n">
        <v>13</v>
      </c>
      <c r="I232" s="13">
        <f>G232*H232</f>
        <v>13.0</v>
      </c>
      <c r="J232" s="20">
        <f>4100/1000</f>
        <v>4.1</v>
      </c>
      <c r="K232" s="21">
        <f>I232*J232</f>
        <v>53.3</v>
      </c>
      <c r="L232" s="22">
        <f>F232^2/162</f>
        <v>0.8888888888888888</v>
      </c>
      <c r="M232" s="21">
        <f>K232*L232</f>
        <v>47.37777777777777</v>
      </c>
      <c r="N232" s="22">
        <f>M232/1000</f>
        <v>0.047377777777777776</v>
      </c>
      <c r="O232" s="13" t="inlineStr">
        <is>
          <t>BBS</t>
        </is>
      </c>
    </row>
    <row r="233">
      <c r="A233" s="13" t="n">
        <v>228</v>
      </c>
      <c r="B233" s="13" t="inlineStr">
        <is>
          <t>Floor Slabs</t>
        </is>
      </c>
      <c r="C233" s="13" t="inlineStr">
        <is>
          <t>STR-081</t>
        </is>
      </c>
      <c r="D233" s="13" t="inlineStr">
        <is>
          <t>Typical 4th-8th slab - top</t>
        </is>
      </c>
      <c r="E233" s="19" t="inlineStr">
        <is>
          <t>1264</t>
        </is>
      </c>
      <c r="F233" s="19" t="n">
        <v>12</v>
      </c>
      <c r="G233" s="19" t="n">
        <v>1</v>
      </c>
      <c r="H233" s="19" t="n">
        <v>13</v>
      </c>
      <c r="I233" s="13">
        <f>G233*H233</f>
        <v>13.0</v>
      </c>
      <c r="J233" s="20">
        <f>4200/1000</f>
        <v>4.2</v>
      </c>
      <c r="K233" s="21">
        <f>I233*J233</f>
        <v>54.6</v>
      </c>
      <c r="L233" s="22">
        <f>F233^2/162</f>
        <v>0.8888888888888888</v>
      </c>
      <c r="M233" s="21">
        <f>K233*L233</f>
        <v>48.53333333333333</v>
      </c>
      <c r="N233" s="22">
        <f>M233/1000</f>
        <v>0.04853333333333333</v>
      </c>
      <c r="O233" s="13" t="inlineStr">
        <is>
          <t>BBS</t>
        </is>
      </c>
    </row>
    <row r="234">
      <c r="A234" s="13" t="n">
        <v>229</v>
      </c>
      <c r="B234" s="13" t="inlineStr">
        <is>
          <t>Floor Slabs</t>
        </is>
      </c>
      <c r="C234" s="13" t="inlineStr">
        <is>
          <t>STR-081</t>
        </is>
      </c>
      <c r="D234" s="13" t="inlineStr">
        <is>
          <t>Typical 4th-8th slab - top</t>
        </is>
      </c>
      <c r="E234" s="19" t="inlineStr">
        <is>
          <t>1265</t>
        </is>
      </c>
      <c r="F234" s="19" t="n">
        <v>12</v>
      </c>
      <c r="G234" s="19" t="n">
        <v>1</v>
      </c>
      <c r="H234" s="19" t="n">
        <v>357</v>
      </c>
      <c r="I234" s="13">
        <f>G234*H234</f>
        <v>357.0</v>
      </c>
      <c r="J234" s="20">
        <f>9200/1000</f>
        <v>9.2</v>
      </c>
      <c r="K234" s="21">
        <f>I234*J234</f>
        <v>3284.3999999999996</v>
      </c>
      <c r="L234" s="22">
        <f>F234^2/162</f>
        <v>0.8888888888888888</v>
      </c>
      <c r="M234" s="21">
        <f>K234*L234</f>
        <v>2919.4666666666662</v>
      </c>
      <c r="N234" s="22">
        <f>M234/1000</f>
        <v>2.919466666666666</v>
      </c>
      <c r="O234" s="13" t="inlineStr">
        <is>
          <t>BBS</t>
        </is>
      </c>
    </row>
    <row r="235">
      <c r="A235" s="13" t="n">
        <v>230</v>
      </c>
      <c r="B235" s="13" t="inlineStr">
        <is>
          <t>Floor Slabs</t>
        </is>
      </c>
      <c r="C235" s="13" t="inlineStr">
        <is>
          <t>STR-081</t>
        </is>
      </c>
      <c r="D235" s="13" t="inlineStr">
        <is>
          <t>Typical 4th-8th slab - top</t>
        </is>
      </c>
      <c r="E235" s="19" t="inlineStr">
        <is>
          <t>1266</t>
        </is>
      </c>
      <c r="F235" s="19" t="n">
        <v>12</v>
      </c>
      <c r="G235" s="19" t="n">
        <v>1</v>
      </c>
      <c r="H235" s="19" t="n">
        <v>12</v>
      </c>
      <c r="I235" s="13">
        <f>G235*H235</f>
        <v>12.0</v>
      </c>
      <c r="J235" s="20">
        <f>9475/1000</f>
        <v>9.475</v>
      </c>
      <c r="K235" s="21">
        <f>I235*J235</f>
        <v>113.69999999999999</v>
      </c>
      <c r="L235" s="22">
        <f>F235^2/162</f>
        <v>0.8888888888888888</v>
      </c>
      <c r="M235" s="21">
        <f>K235*L235</f>
        <v>101.06666666666665</v>
      </c>
      <c r="N235" s="22">
        <f>M235/1000</f>
        <v>0.10106666666666665</v>
      </c>
      <c r="O235" s="13" t="inlineStr">
        <is>
          <t>BBS</t>
        </is>
      </c>
    </row>
    <row r="236">
      <c r="A236" s="13" t="n">
        <v>231</v>
      </c>
      <c r="B236" s="13" t="inlineStr">
        <is>
          <t>Floor Slabs</t>
        </is>
      </c>
      <c r="C236" s="13" t="inlineStr">
        <is>
          <t>STR-081</t>
        </is>
      </c>
      <c r="D236" s="13" t="inlineStr">
        <is>
          <t>Typical 4th-8th slab - top</t>
        </is>
      </c>
      <c r="E236" s="19" t="inlineStr">
        <is>
          <t>1267</t>
        </is>
      </c>
      <c r="F236" s="19" t="n">
        <v>12</v>
      </c>
      <c r="G236" s="19" t="n">
        <v>1</v>
      </c>
      <c r="H236" s="19" t="n">
        <v>101</v>
      </c>
      <c r="I236" s="13">
        <f>G236*H236</f>
        <v>101.0</v>
      </c>
      <c r="J236" s="20">
        <f>2200/1000</f>
        <v>2.2</v>
      </c>
      <c r="K236" s="21">
        <f>I236*J236</f>
        <v>222.20000000000002</v>
      </c>
      <c r="L236" s="22">
        <f>F236^2/162</f>
        <v>0.8888888888888888</v>
      </c>
      <c r="M236" s="21">
        <f>K236*L236</f>
        <v>197.51111111111112</v>
      </c>
      <c r="N236" s="22">
        <f>M236/1000</f>
        <v>0.1975111111111111</v>
      </c>
      <c r="O236" s="13" t="inlineStr">
        <is>
          <t>BBS</t>
        </is>
      </c>
    </row>
    <row r="237">
      <c r="A237" s="13" t="n">
        <v>232</v>
      </c>
      <c r="B237" s="13" t="inlineStr">
        <is>
          <t>Floor Slabs</t>
        </is>
      </c>
      <c r="C237" s="13" t="inlineStr">
        <is>
          <t>STR-081</t>
        </is>
      </c>
      <c r="D237" s="13" t="inlineStr">
        <is>
          <t>Typical 4th-8th slab - top</t>
        </is>
      </c>
      <c r="E237" s="19" t="inlineStr">
        <is>
          <t>1268</t>
        </is>
      </c>
      <c r="F237" s="19" t="n">
        <v>12</v>
      </c>
      <c r="G237" s="19" t="n">
        <v>1</v>
      </c>
      <c r="H237" s="19" t="n">
        <v>9</v>
      </c>
      <c r="I237" s="13">
        <f>G237*H237</f>
        <v>9.0</v>
      </c>
      <c r="J237" s="20">
        <f>8500/1000</f>
        <v>8.5</v>
      </c>
      <c r="K237" s="21">
        <f>I237*J237</f>
        <v>76.5</v>
      </c>
      <c r="L237" s="22">
        <f>F237^2/162</f>
        <v>0.8888888888888888</v>
      </c>
      <c r="M237" s="21">
        <f>K237*L237</f>
        <v>68.0</v>
      </c>
      <c r="N237" s="22">
        <f>M237/1000</f>
        <v>0.068</v>
      </c>
      <c r="O237" s="13" t="inlineStr">
        <is>
          <t>BBS</t>
        </is>
      </c>
    </row>
    <row r="238">
      <c r="A238" s="13" t="n">
        <v>233</v>
      </c>
      <c r="B238" s="13" t="inlineStr">
        <is>
          <t>Floor Slabs</t>
        </is>
      </c>
      <c r="C238" s="13" t="inlineStr">
        <is>
          <t>STR-081</t>
        </is>
      </c>
      <c r="D238" s="13" t="inlineStr">
        <is>
          <t>Typical 4th-8th slab - top</t>
        </is>
      </c>
      <c r="E238" s="19" t="inlineStr">
        <is>
          <t>1269</t>
        </is>
      </c>
      <c r="F238" s="19" t="n">
        <v>12</v>
      </c>
      <c r="G238" s="19" t="n">
        <v>1</v>
      </c>
      <c r="H238" s="19" t="n">
        <v>87</v>
      </c>
      <c r="I238" s="13">
        <f>G238*H238</f>
        <v>87.0</v>
      </c>
      <c r="J238" s="20">
        <f>4550/1000</f>
        <v>4.55</v>
      </c>
      <c r="K238" s="21">
        <f>I238*J238</f>
        <v>395.84999999999997</v>
      </c>
      <c r="L238" s="22">
        <f>F238^2/162</f>
        <v>0.8888888888888888</v>
      </c>
      <c r="M238" s="21">
        <f>K238*L238</f>
        <v>351.8666666666666</v>
      </c>
      <c r="N238" s="22">
        <f>M238/1000</f>
        <v>0.3518666666666666</v>
      </c>
      <c r="O238" s="13" t="inlineStr">
        <is>
          <t>BBS</t>
        </is>
      </c>
    </row>
    <row r="239">
      <c r="A239" s="13" t="n">
        <v>234</v>
      </c>
      <c r="B239" s="13" t="inlineStr">
        <is>
          <t>Floor Slabs</t>
        </is>
      </c>
      <c r="C239" s="13" t="inlineStr">
        <is>
          <t>STR-081</t>
        </is>
      </c>
      <c r="D239" s="13" t="inlineStr">
        <is>
          <t>Typical 4th-8th slab - top</t>
        </is>
      </c>
      <c r="E239" s="19" t="inlineStr">
        <is>
          <t>1270</t>
        </is>
      </c>
      <c r="F239" s="19" t="n">
        <v>12</v>
      </c>
      <c r="G239" s="19" t="n">
        <v>1</v>
      </c>
      <c r="H239" s="19" t="n">
        <v>48</v>
      </c>
      <c r="I239" s="13">
        <f>G239*H239</f>
        <v>48.0</v>
      </c>
      <c r="J239" s="20">
        <f>8727/1000</f>
        <v>8.727</v>
      </c>
      <c r="K239" s="21">
        <f>I239*J239</f>
        <v>418.896</v>
      </c>
      <c r="L239" s="22">
        <f>F239^2/162</f>
        <v>0.8888888888888888</v>
      </c>
      <c r="M239" s="21">
        <f>K239*L239</f>
        <v>372.352</v>
      </c>
      <c r="N239" s="22">
        <f>M239/1000</f>
        <v>0.37235199999999996</v>
      </c>
      <c r="O239" s="13" t="inlineStr">
        <is>
          <t>BBS</t>
        </is>
      </c>
    </row>
    <row r="240">
      <c r="A240" s="13" t="n">
        <v>235</v>
      </c>
      <c r="B240" s="13" t="inlineStr">
        <is>
          <t>Floor Slabs</t>
        </is>
      </c>
      <c r="C240" s="13" t="inlineStr">
        <is>
          <t>STR-081</t>
        </is>
      </c>
      <c r="D240" s="13" t="inlineStr">
        <is>
          <t>Typical 4th-8th slab - top</t>
        </is>
      </c>
      <c r="E240" s="19" t="inlineStr">
        <is>
          <t>1271</t>
        </is>
      </c>
      <c r="F240" s="19" t="n">
        <v>12</v>
      </c>
      <c r="G240" s="19" t="n">
        <v>1</v>
      </c>
      <c r="H240" s="19" t="n">
        <v>74</v>
      </c>
      <c r="I240" s="13">
        <f>G240*H240</f>
        <v>74.0</v>
      </c>
      <c r="J240" s="20">
        <f>12000/1000</f>
        <v>12.0</v>
      </c>
      <c r="K240" s="21">
        <f>I240*J240</f>
        <v>888.0</v>
      </c>
      <c r="L240" s="22">
        <f>F240^2/162</f>
        <v>0.8888888888888888</v>
      </c>
      <c r="M240" s="21">
        <f>K240*L240</f>
        <v>789.3333333333333</v>
      </c>
      <c r="N240" s="22">
        <f>M240/1000</f>
        <v>0.7893333333333332</v>
      </c>
      <c r="O240" s="13" t="inlineStr">
        <is>
          <t>BBS</t>
        </is>
      </c>
    </row>
    <row r="241">
      <c r="A241" s="13" t="n">
        <v>236</v>
      </c>
      <c r="B241" s="13" t="inlineStr">
        <is>
          <t>Floor Slabs</t>
        </is>
      </c>
      <c r="C241" s="13" t="inlineStr">
        <is>
          <t>STR-081</t>
        </is>
      </c>
      <c r="D241" s="13" t="inlineStr">
        <is>
          <t>Typical 4th-8th slab - top</t>
        </is>
      </c>
      <c r="E241" s="19" t="inlineStr">
        <is>
          <t>1272</t>
        </is>
      </c>
      <c r="F241" s="19" t="n">
        <v>12</v>
      </c>
      <c r="G241" s="19" t="n">
        <v>1</v>
      </c>
      <c r="H241" s="19" t="n">
        <v>43</v>
      </c>
      <c r="I241" s="13">
        <f>G241*H241</f>
        <v>43.0</v>
      </c>
      <c r="J241" s="20">
        <f>11750/1000</f>
        <v>11.75</v>
      </c>
      <c r="K241" s="21">
        <f>I241*J241</f>
        <v>505.25</v>
      </c>
      <c r="L241" s="22">
        <f>F241^2/162</f>
        <v>0.8888888888888888</v>
      </c>
      <c r="M241" s="21">
        <f>K241*L241</f>
        <v>449.1111111111111</v>
      </c>
      <c r="N241" s="22">
        <f>M241/1000</f>
        <v>0.44911111111111107</v>
      </c>
      <c r="O241" s="13" t="inlineStr">
        <is>
          <t>BBS</t>
        </is>
      </c>
    </row>
    <row r="242">
      <c r="A242" s="13" t="n">
        <v>237</v>
      </c>
      <c r="B242" s="13" t="inlineStr">
        <is>
          <t>Floor Slabs</t>
        </is>
      </c>
      <c r="C242" s="13" t="inlineStr">
        <is>
          <t>STR-081</t>
        </is>
      </c>
      <c r="D242" s="13" t="inlineStr">
        <is>
          <t>Typical 4th-8th slab - top</t>
        </is>
      </c>
      <c r="E242" s="19" t="inlineStr">
        <is>
          <t>1273</t>
        </is>
      </c>
      <c r="F242" s="19" t="n">
        <v>12</v>
      </c>
      <c r="G242" s="19" t="n">
        <v>1</v>
      </c>
      <c r="H242" s="19" t="n">
        <v>12</v>
      </c>
      <c r="I242" s="13">
        <f>G242*H242</f>
        <v>12.0</v>
      </c>
      <c r="J242" s="20">
        <f>8800/1000</f>
        <v>8.8</v>
      </c>
      <c r="K242" s="21">
        <f>I242*J242</f>
        <v>105.60000000000001</v>
      </c>
      <c r="L242" s="22">
        <f>F242^2/162</f>
        <v>0.8888888888888888</v>
      </c>
      <c r="M242" s="21">
        <f>K242*L242</f>
        <v>93.86666666666667</v>
      </c>
      <c r="N242" s="22">
        <f>M242/1000</f>
        <v>0.09386666666666667</v>
      </c>
      <c r="O242" s="13" t="inlineStr">
        <is>
          <t>BBS</t>
        </is>
      </c>
    </row>
    <row r="243">
      <c r="A243" s="13" t="n">
        <v>238</v>
      </c>
      <c r="B243" s="13" t="inlineStr">
        <is>
          <t>Floor Slabs</t>
        </is>
      </c>
      <c r="C243" s="13" t="inlineStr">
        <is>
          <t>STR-081</t>
        </is>
      </c>
      <c r="D243" s="13" t="inlineStr">
        <is>
          <t>Typical 4th-8th slab - top</t>
        </is>
      </c>
      <c r="E243" s="19" t="inlineStr">
        <is>
          <t>1274</t>
        </is>
      </c>
      <c r="F243" s="19" t="n">
        <v>12</v>
      </c>
      <c r="G243" s="19" t="n">
        <v>1</v>
      </c>
      <c r="H243" s="19" t="n">
        <v>75</v>
      </c>
      <c r="I243" s="13">
        <f>G243*H243</f>
        <v>75.0</v>
      </c>
      <c r="J243" s="20">
        <f>7900/1000</f>
        <v>7.9</v>
      </c>
      <c r="K243" s="21">
        <f>I243*J243</f>
        <v>592.5</v>
      </c>
      <c r="L243" s="22">
        <f>F243^2/162</f>
        <v>0.8888888888888888</v>
      </c>
      <c r="M243" s="21">
        <f>K243*L243</f>
        <v>526.6666666666666</v>
      </c>
      <c r="N243" s="22">
        <f>M243/1000</f>
        <v>0.5266666666666666</v>
      </c>
      <c r="O243" s="13" t="inlineStr">
        <is>
          <t>BBS</t>
        </is>
      </c>
    </row>
    <row r="244">
      <c r="A244" s="13" t="n">
        <v>239</v>
      </c>
      <c r="B244" s="13" t="inlineStr">
        <is>
          <t>Floor Slabs</t>
        </is>
      </c>
      <c r="C244" s="13" t="inlineStr">
        <is>
          <t>STR-082</t>
        </is>
      </c>
      <c r="D244" s="13" t="inlineStr">
        <is>
          <t>Typical 4th-8th slab - additional top</t>
        </is>
      </c>
      <c r="E244" s="19" t="inlineStr">
        <is>
          <t>1275</t>
        </is>
      </c>
      <c r="F244" s="19" t="n">
        <v>12</v>
      </c>
      <c r="G244" s="19" t="n">
        <v>1</v>
      </c>
      <c r="H244" s="19" t="n">
        <v>59</v>
      </c>
      <c r="I244" s="13">
        <f>G244*H244</f>
        <v>59.0</v>
      </c>
      <c r="J244" s="20">
        <f>11000/1000</f>
        <v>11.0</v>
      </c>
      <c r="K244" s="21">
        <f>I244*J244</f>
        <v>649.0</v>
      </c>
      <c r="L244" s="22">
        <f>F244^2/162</f>
        <v>0.8888888888888888</v>
      </c>
      <c r="M244" s="21">
        <f>K244*L244</f>
        <v>576.8888888888888</v>
      </c>
      <c r="N244" s="22">
        <f>M244/1000</f>
        <v>0.5768888888888888</v>
      </c>
      <c r="O244" s="13" t="inlineStr">
        <is>
          <t>BBS</t>
        </is>
      </c>
    </row>
    <row r="245">
      <c r="A245" s="13" t="n">
        <v>240</v>
      </c>
      <c r="B245" s="13" t="inlineStr">
        <is>
          <t>Floor Slabs</t>
        </is>
      </c>
      <c r="C245" s="13" t="inlineStr">
        <is>
          <t>STR-082</t>
        </is>
      </c>
      <c r="D245" s="13" t="inlineStr">
        <is>
          <t>Typical 4th-8th slab - additional top</t>
        </is>
      </c>
      <c r="E245" s="19" t="inlineStr">
        <is>
          <t>1276</t>
        </is>
      </c>
      <c r="F245" s="19" t="n">
        <v>12</v>
      </c>
      <c r="G245" s="19" t="n">
        <v>1</v>
      </c>
      <c r="H245" s="19" t="n">
        <v>296</v>
      </c>
      <c r="I245" s="13">
        <f>G245*H245</f>
        <v>296.0</v>
      </c>
      <c r="J245" s="20">
        <f>3000/1000</f>
        <v>3.0</v>
      </c>
      <c r="K245" s="21">
        <f>I245*J245</f>
        <v>888.0</v>
      </c>
      <c r="L245" s="22">
        <f>F245^2/162</f>
        <v>0.8888888888888888</v>
      </c>
      <c r="M245" s="21">
        <f>K245*L245</f>
        <v>789.3333333333333</v>
      </c>
      <c r="N245" s="22">
        <f>M245/1000</f>
        <v>0.7893333333333332</v>
      </c>
      <c r="O245" s="13" t="inlineStr">
        <is>
          <t>BBS</t>
        </is>
      </c>
    </row>
    <row r="246">
      <c r="A246" s="13" t="n">
        <v>241</v>
      </c>
      <c r="B246" s="13" t="inlineStr">
        <is>
          <t>Floor Slabs</t>
        </is>
      </c>
      <c r="C246" s="13" t="inlineStr">
        <is>
          <t>STR-082</t>
        </is>
      </c>
      <c r="D246" s="13" t="inlineStr">
        <is>
          <t>Typical 4th-8th slab - additional top</t>
        </is>
      </c>
      <c r="E246" s="19" t="inlineStr">
        <is>
          <t>1277</t>
        </is>
      </c>
      <c r="F246" s="19" t="n">
        <v>12</v>
      </c>
      <c r="G246" s="19" t="n">
        <v>1</v>
      </c>
      <c r="H246" s="19" t="n">
        <v>15</v>
      </c>
      <c r="I246" s="13">
        <f>G246*H246</f>
        <v>15.0</v>
      </c>
      <c r="J246" s="20">
        <f>2900/1000</f>
        <v>2.9</v>
      </c>
      <c r="K246" s="21">
        <f>I246*J246</f>
        <v>43.5</v>
      </c>
      <c r="L246" s="22">
        <f>F246^2/162</f>
        <v>0.8888888888888888</v>
      </c>
      <c r="M246" s="21">
        <f>K246*L246</f>
        <v>38.666666666666664</v>
      </c>
      <c r="N246" s="22">
        <f>M246/1000</f>
        <v>0.03866666666666666</v>
      </c>
      <c r="O246" s="13" t="inlineStr">
        <is>
          <t>BBS</t>
        </is>
      </c>
    </row>
    <row r="247">
      <c r="A247" s="13" t="n">
        <v>242</v>
      </c>
      <c r="B247" s="13" t="inlineStr">
        <is>
          <t>Floor Slabs</t>
        </is>
      </c>
      <c r="C247" s="13" t="inlineStr">
        <is>
          <t>STR-082</t>
        </is>
      </c>
      <c r="D247" s="13" t="inlineStr">
        <is>
          <t>Typical 4th-8th slab - additional top</t>
        </is>
      </c>
      <c r="E247" s="19" t="inlineStr">
        <is>
          <t>1278</t>
        </is>
      </c>
      <c r="F247" s="19" t="n">
        <v>12</v>
      </c>
      <c r="G247" s="19" t="n">
        <v>1</v>
      </c>
      <c r="H247" s="19" t="n">
        <v>15</v>
      </c>
      <c r="I247" s="13">
        <f>G247*H247</f>
        <v>15.0</v>
      </c>
      <c r="J247" s="20">
        <f>4150/1000</f>
        <v>4.15</v>
      </c>
      <c r="K247" s="21">
        <f>I247*J247</f>
        <v>62.25000000000001</v>
      </c>
      <c r="L247" s="22">
        <f>F247^2/162</f>
        <v>0.8888888888888888</v>
      </c>
      <c r="M247" s="21">
        <f>K247*L247</f>
        <v>55.333333333333336</v>
      </c>
      <c r="N247" s="22">
        <f>M247/1000</f>
        <v>0.05533333333333334</v>
      </c>
      <c r="O247" s="13" t="inlineStr">
        <is>
          <t>BBS</t>
        </is>
      </c>
    </row>
    <row r="248">
      <c r="A248" s="13" t="n">
        <v>243</v>
      </c>
      <c r="B248" s="13" t="inlineStr">
        <is>
          <t>Floor Slabs</t>
        </is>
      </c>
      <c r="C248" s="13" t="inlineStr">
        <is>
          <t>STR-082</t>
        </is>
      </c>
      <c r="D248" s="13" t="inlineStr">
        <is>
          <t>Typical 4th-8th slab - additional top</t>
        </is>
      </c>
      <c r="E248" s="19" t="inlineStr">
        <is>
          <t>1279</t>
        </is>
      </c>
      <c r="F248" s="19" t="n">
        <v>12</v>
      </c>
      <c r="G248" s="19" t="n">
        <v>1</v>
      </c>
      <c r="H248" s="19" t="n">
        <v>73</v>
      </c>
      <c r="I248" s="13">
        <f>G248*H248</f>
        <v>73.0</v>
      </c>
      <c r="J248" s="20">
        <f>4500/1000</f>
        <v>4.5</v>
      </c>
      <c r="K248" s="21">
        <f>I248*J248</f>
        <v>328.5</v>
      </c>
      <c r="L248" s="22">
        <f>F248^2/162</f>
        <v>0.8888888888888888</v>
      </c>
      <c r="M248" s="21">
        <f>K248*L248</f>
        <v>292.0</v>
      </c>
      <c r="N248" s="22">
        <f>M248/1000</f>
        <v>0.292</v>
      </c>
      <c r="O248" s="13" t="inlineStr">
        <is>
          <t>BBS</t>
        </is>
      </c>
    </row>
    <row r="249">
      <c r="A249" s="13" t="n">
        <v>244</v>
      </c>
      <c r="B249" s="13" t="inlineStr">
        <is>
          <t>Floor Slabs</t>
        </is>
      </c>
      <c r="C249" s="13" t="inlineStr">
        <is>
          <t>STR-082</t>
        </is>
      </c>
      <c r="D249" s="13" t="inlineStr">
        <is>
          <t>Typical 4th-8th slab - additional top</t>
        </is>
      </c>
      <c r="E249" s="19" t="inlineStr">
        <is>
          <t>1280</t>
        </is>
      </c>
      <c r="F249" s="19" t="n">
        <v>12</v>
      </c>
      <c r="G249" s="19" t="n">
        <v>1</v>
      </c>
      <c r="H249" s="19" t="n">
        <v>75</v>
      </c>
      <c r="I249" s="13">
        <f>G249*H249</f>
        <v>75.0</v>
      </c>
      <c r="J249" s="20">
        <f>6000/1000</f>
        <v>6.0</v>
      </c>
      <c r="K249" s="21">
        <f>I249*J249</f>
        <v>450.0</v>
      </c>
      <c r="L249" s="22">
        <f>F249^2/162</f>
        <v>0.8888888888888888</v>
      </c>
      <c r="M249" s="21">
        <f>K249*L249</f>
        <v>400.0</v>
      </c>
      <c r="N249" s="22">
        <f>M249/1000</f>
        <v>0.4</v>
      </c>
      <c r="O249" s="13" t="inlineStr">
        <is>
          <t>BBS</t>
        </is>
      </c>
    </row>
    <row r="250">
      <c r="A250" s="13" t="n">
        <v>245</v>
      </c>
      <c r="B250" s="13" t="inlineStr">
        <is>
          <t>Floor Slabs</t>
        </is>
      </c>
      <c r="C250" s="13" t="inlineStr">
        <is>
          <t>STR-082</t>
        </is>
      </c>
      <c r="D250" s="13" t="inlineStr">
        <is>
          <t>Typical 4th-8th slab - additional top</t>
        </is>
      </c>
      <c r="E250" s="19" t="inlineStr">
        <is>
          <t>1281</t>
        </is>
      </c>
      <c r="F250" s="19" t="n">
        <v>12</v>
      </c>
      <c r="G250" s="19" t="n">
        <v>1</v>
      </c>
      <c r="H250" s="19" t="n">
        <v>60</v>
      </c>
      <c r="I250" s="13">
        <f>G250*H250</f>
        <v>60.0</v>
      </c>
      <c r="J250" s="20">
        <f>4900/1000</f>
        <v>4.9</v>
      </c>
      <c r="K250" s="21">
        <f>I250*J250</f>
        <v>294.0</v>
      </c>
      <c r="L250" s="22">
        <f>F250^2/162</f>
        <v>0.8888888888888888</v>
      </c>
      <c r="M250" s="21">
        <f>K250*L250</f>
        <v>261.3333333333333</v>
      </c>
      <c r="N250" s="22">
        <f>M250/1000</f>
        <v>0.2613333333333333</v>
      </c>
      <c r="O250" s="13" t="inlineStr">
        <is>
          <t>BBS</t>
        </is>
      </c>
    </row>
    <row r="251">
      <c r="A251" s="13" t="n">
        <v>246</v>
      </c>
      <c r="B251" s="13" t="inlineStr">
        <is>
          <t>Floor Slabs</t>
        </is>
      </c>
      <c r="C251" s="13" t="inlineStr">
        <is>
          <t>STR-082</t>
        </is>
      </c>
      <c r="D251" s="13" t="inlineStr">
        <is>
          <t>Typical 4th-8th slab - additional top</t>
        </is>
      </c>
      <c r="E251" s="19" t="inlineStr">
        <is>
          <t>1282</t>
        </is>
      </c>
      <c r="F251" s="19" t="n">
        <v>12</v>
      </c>
      <c r="G251" s="19" t="n">
        <v>1</v>
      </c>
      <c r="H251" s="19" t="n">
        <v>8</v>
      </c>
      <c r="I251" s="13">
        <f>G251*H251</f>
        <v>8.0</v>
      </c>
      <c r="J251" s="20">
        <f>1475/1000</f>
        <v>1.475</v>
      </c>
      <c r="K251" s="21">
        <f>I251*J251</f>
        <v>11.8</v>
      </c>
      <c r="L251" s="22">
        <f>F251^2/162</f>
        <v>0.8888888888888888</v>
      </c>
      <c r="M251" s="21">
        <f>K251*L251</f>
        <v>10.488888888888889</v>
      </c>
      <c r="N251" s="22">
        <f>M251/1000</f>
        <v>0.01048888888888889</v>
      </c>
      <c r="O251" s="13" t="inlineStr">
        <is>
          <t>BBS</t>
        </is>
      </c>
    </row>
    <row r="252">
      <c r="A252" s="13" t="n">
        <v>247</v>
      </c>
      <c r="B252" s="13" t="inlineStr">
        <is>
          <t>Floor Slabs</t>
        </is>
      </c>
      <c r="C252" s="13" t="inlineStr">
        <is>
          <t>STR-082</t>
        </is>
      </c>
      <c r="D252" s="13" t="inlineStr">
        <is>
          <t>Typical 4th-8th slab - additional top</t>
        </is>
      </c>
      <c r="E252" s="19" t="inlineStr">
        <is>
          <t>1601</t>
        </is>
      </c>
      <c r="F252" s="19" t="n">
        <v>16</v>
      </c>
      <c r="G252" s="19" t="n">
        <v>1</v>
      </c>
      <c r="H252" s="19" t="n">
        <v>6</v>
      </c>
      <c r="I252" s="13">
        <f>G252*H252</f>
        <v>6.0</v>
      </c>
      <c r="J252" s="20">
        <f>3675/1000</f>
        <v>3.675</v>
      </c>
      <c r="K252" s="21">
        <f>I252*J252</f>
        <v>22.049999999999997</v>
      </c>
      <c r="L252" s="22">
        <f>F252^2/162</f>
        <v>1.5802469135802468</v>
      </c>
      <c r="M252" s="21">
        <f>K252*L252</f>
        <v>34.84444444444444</v>
      </c>
      <c r="N252" s="22">
        <f>M252/1000</f>
        <v>0.03484444444444444</v>
      </c>
      <c r="O252" s="13" t="inlineStr">
        <is>
          <t>BBS</t>
        </is>
      </c>
    </row>
    <row r="253">
      <c r="A253" s="13" t="n">
        <v>248</v>
      </c>
      <c r="B253" s="13" t="inlineStr">
        <is>
          <t>Floor Slabs</t>
        </is>
      </c>
      <c r="C253" s="13" t="inlineStr">
        <is>
          <t>STR-082</t>
        </is>
      </c>
      <c r="D253" s="13" t="inlineStr">
        <is>
          <t>Typical 4th-8th slab - additional top</t>
        </is>
      </c>
      <c r="E253" s="19" t="inlineStr">
        <is>
          <t>1602</t>
        </is>
      </c>
      <c r="F253" s="19" t="n">
        <v>16</v>
      </c>
      <c r="G253" s="19" t="n">
        <v>1</v>
      </c>
      <c r="H253" s="19" t="n">
        <v>6</v>
      </c>
      <c r="I253" s="13">
        <f>G253*H253</f>
        <v>6.0</v>
      </c>
      <c r="J253" s="20">
        <f>6675/1000</f>
        <v>6.675</v>
      </c>
      <c r="K253" s="21">
        <f>I253*J253</f>
        <v>40.05</v>
      </c>
      <c r="L253" s="22">
        <f>F253^2/162</f>
        <v>1.5802469135802468</v>
      </c>
      <c r="M253" s="21">
        <f>K253*L253</f>
        <v>63.288888888888884</v>
      </c>
      <c r="N253" s="22">
        <f>M253/1000</f>
        <v>0.06328888888888888</v>
      </c>
      <c r="O253" s="13" t="inlineStr">
        <is>
          <t>BBS</t>
        </is>
      </c>
    </row>
    <row r="254">
      <c r="A254" s="13" t="n">
        <v>249</v>
      </c>
      <c r="B254" s="13" t="inlineStr">
        <is>
          <t>Floor Slabs</t>
        </is>
      </c>
      <c r="C254" s="13" t="inlineStr">
        <is>
          <t>STR-082</t>
        </is>
      </c>
      <c r="D254" s="13" t="inlineStr">
        <is>
          <t>Typical 4th-8th slab - additional top</t>
        </is>
      </c>
      <c r="E254" s="19" t="inlineStr">
        <is>
          <t>1603</t>
        </is>
      </c>
      <c r="F254" s="19" t="n">
        <v>16</v>
      </c>
      <c r="G254" s="19" t="n">
        <v>1</v>
      </c>
      <c r="H254" s="19" t="n">
        <v>3</v>
      </c>
      <c r="I254" s="13">
        <f>G254*H254</f>
        <v>3.0</v>
      </c>
      <c r="J254" s="20">
        <f>3000/1000</f>
        <v>3.0</v>
      </c>
      <c r="K254" s="21">
        <f>I254*J254</f>
        <v>9.0</v>
      </c>
      <c r="L254" s="22">
        <f>F254^2/162</f>
        <v>1.5802469135802468</v>
      </c>
      <c r="M254" s="21">
        <f>K254*L254</f>
        <v>14.222222222222221</v>
      </c>
      <c r="N254" s="22">
        <f>M254/1000</f>
        <v>0.014222222222222221</v>
      </c>
      <c r="O254" s="13" t="inlineStr">
        <is>
          <t>BBS</t>
        </is>
      </c>
    </row>
    <row r="255">
      <c r="A255" s="13" t="n">
        <v>250</v>
      </c>
      <c r="B255" s="13" t="inlineStr">
        <is>
          <t>Floor Slabs</t>
        </is>
      </c>
      <c r="C255" s="13" t="inlineStr">
        <is>
          <t>STR-082</t>
        </is>
      </c>
      <c r="D255" s="13" t="inlineStr">
        <is>
          <t>Typical 4th-8th slab - additional top</t>
        </is>
      </c>
      <c r="E255" s="19" t="inlineStr">
        <is>
          <t>1604</t>
        </is>
      </c>
      <c r="F255" s="19" t="n">
        <v>16</v>
      </c>
      <c r="G255" s="19" t="n">
        <v>1</v>
      </c>
      <c r="H255" s="19" t="n">
        <v>6</v>
      </c>
      <c r="I255" s="13">
        <f>G255*H255</f>
        <v>6.0</v>
      </c>
      <c r="J255" s="20">
        <f>4025/1000</f>
        <v>4.025</v>
      </c>
      <c r="K255" s="21">
        <f>I255*J255</f>
        <v>24.150000000000002</v>
      </c>
      <c r="L255" s="22">
        <f>F255^2/162</f>
        <v>1.5802469135802468</v>
      </c>
      <c r="M255" s="21">
        <f>K255*L255</f>
        <v>38.162962962962965</v>
      </c>
      <c r="N255" s="22">
        <f>M255/1000</f>
        <v>0.03816296296296297</v>
      </c>
      <c r="O255" s="13" t="inlineStr">
        <is>
          <t>BBS</t>
        </is>
      </c>
    </row>
    <row r="256">
      <c r="A256" s="13" t="n">
        <v>251</v>
      </c>
      <c r="B256" s="13" t="inlineStr">
        <is>
          <t>Staircases</t>
        </is>
      </c>
      <c r="C256" s="13" t="inlineStr">
        <is>
          <t>STR-027</t>
        </is>
      </c>
      <c r="D256" s="13" t="inlineStr">
        <is>
          <t>Main staircase typical flight (4th to 10th, one storey)</t>
        </is>
      </c>
      <c r="E256" s="19" t="inlineStr">
        <is>
          <t>1201</t>
        </is>
      </c>
      <c r="F256" s="19" t="n">
        <v>12</v>
      </c>
      <c r="G256" s="19" t="n">
        <v>1</v>
      </c>
      <c r="H256" s="19" t="n">
        <v>30</v>
      </c>
      <c r="I256" s="13">
        <f>G256*H256</f>
        <v>30.0</v>
      </c>
      <c r="J256" s="20">
        <f>6200/1000</f>
        <v>6.2</v>
      </c>
      <c r="K256" s="21">
        <f>I256*J256</f>
        <v>186.0</v>
      </c>
      <c r="L256" s="22">
        <f>F256^2/162</f>
        <v>0.8888888888888888</v>
      </c>
      <c r="M256" s="21">
        <f>K256*L256</f>
        <v>165.33333333333331</v>
      </c>
      <c r="N256" s="22">
        <f>M256/1000</f>
        <v>0.1653333333333333</v>
      </c>
      <c r="O256" s="13" t="inlineStr">
        <is>
          <t>BBS</t>
        </is>
      </c>
    </row>
    <row r="257">
      <c r="A257" s="13" t="n">
        <v>252</v>
      </c>
      <c r="B257" s="13" t="inlineStr">
        <is>
          <t>Staircases</t>
        </is>
      </c>
      <c r="C257" s="13" t="inlineStr">
        <is>
          <t>STR-027</t>
        </is>
      </c>
      <c r="D257" s="13" t="inlineStr">
        <is>
          <t>Main staircase typical flight (4th to 10th, one storey)</t>
        </is>
      </c>
      <c r="E257" s="19" t="inlineStr">
        <is>
          <t>1202</t>
        </is>
      </c>
      <c r="F257" s="19" t="n">
        <v>12</v>
      </c>
      <c r="G257" s="19" t="n">
        <v>1</v>
      </c>
      <c r="H257" s="19" t="n">
        <v>80</v>
      </c>
      <c r="I257" s="13">
        <f>G257*H257</f>
        <v>80.0</v>
      </c>
      <c r="J257" s="20">
        <f>2300/1000</f>
        <v>2.3</v>
      </c>
      <c r="K257" s="21">
        <f>I257*J257</f>
        <v>184.0</v>
      </c>
      <c r="L257" s="22">
        <f>F257^2/162</f>
        <v>0.8888888888888888</v>
      </c>
      <c r="M257" s="21">
        <f>K257*L257</f>
        <v>163.55555555555554</v>
      </c>
      <c r="N257" s="22">
        <f>M257/1000</f>
        <v>0.16355555555555554</v>
      </c>
      <c r="O257" s="13" t="inlineStr">
        <is>
          <t>BBS</t>
        </is>
      </c>
    </row>
    <row r="258">
      <c r="A258" s="13" t="n">
        <v>253</v>
      </c>
      <c r="B258" s="13" t="inlineStr">
        <is>
          <t>Staircases</t>
        </is>
      </c>
      <c r="C258" s="13" t="inlineStr">
        <is>
          <t>STR-027</t>
        </is>
      </c>
      <c r="D258" s="13" t="inlineStr">
        <is>
          <t>Main staircase typical flight (4th to 10th, one storey)</t>
        </is>
      </c>
      <c r="E258" s="19" t="inlineStr">
        <is>
          <t>1203</t>
        </is>
      </c>
      <c r="F258" s="19" t="n">
        <v>12</v>
      </c>
      <c r="G258" s="19" t="n">
        <v>1</v>
      </c>
      <c r="H258" s="19" t="n">
        <v>26</v>
      </c>
      <c r="I258" s="13">
        <f>G258*H258</f>
        <v>26.0</v>
      </c>
      <c r="J258" s="20">
        <f>4800/1000</f>
        <v>4.8</v>
      </c>
      <c r="K258" s="21">
        <f>I258*J258</f>
        <v>124.8</v>
      </c>
      <c r="L258" s="22">
        <f>F258^2/162</f>
        <v>0.8888888888888888</v>
      </c>
      <c r="M258" s="21">
        <f>K258*L258</f>
        <v>110.93333333333332</v>
      </c>
      <c r="N258" s="22">
        <f>M258/1000</f>
        <v>0.11093333333333333</v>
      </c>
      <c r="O258" s="13" t="inlineStr">
        <is>
          <t>BBS</t>
        </is>
      </c>
    </row>
    <row r="259">
      <c r="A259" s="13" t="n">
        <v>254</v>
      </c>
      <c r="B259" s="13" t="inlineStr">
        <is>
          <t>Staircases</t>
        </is>
      </c>
      <c r="C259" s="13" t="inlineStr">
        <is>
          <t>STR-027</t>
        </is>
      </c>
      <c r="D259" s="13" t="inlineStr">
        <is>
          <t>Main staircase typical flight (4th to 10th, one storey)</t>
        </is>
      </c>
      <c r="E259" s="19" t="inlineStr">
        <is>
          <t>1601</t>
        </is>
      </c>
      <c r="F259" s="19" t="n">
        <v>16</v>
      </c>
      <c r="G259" s="19" t="n">
        <v>1</v>
      </c>
      <c r="H259" s="19" t="n">
        <v>11</v>
      </c>
      <c r="I259" s="13">
        <f>G259*H259</f>
        <v>11.0</v>
      </c>
      <c r="J259" s="20">
        <f>8450/1000</f>
        <v>8.45</v>
      </c>
      <c r="K259" s="21">
        <f>I259*J259</f>
        <v>92.94999999999999</v>
      </c>
      <c r="L259" s="22">
        <f>F259^2/162</f>
        <v>1.5802469135802468</v>
      </c>
      <c r="M259" s="21">
        <f>K259*L259</f>
        <v>146.88395061728392</v>
      </c>
      <c r="N259" s="22">
        <f>M259/1000</f>
        <v>0.1468839506172839</v>
      </c>
      <c r="O259" s="13" t="inlineStr">
        <is>
          <t>BBS</t>
        </is>
      </c>
    </row>
    <row r="260">
      <c r="A260" s="13" t="n">
        <v>255</v>
      </c>
      <c r="B260" s="13" t="inlineStr">
        <is>
          <t>Staircases</t>
        </is>
      </c>
      <c r="C260" s="13" t="inlineStr">
        <is>
          <t>STR-027</t>
        </is>
      </c>
      <c r="D260" s="13" t="inlineStr">
        <is>
          <t>Main staircase typical flight (4th to 10th, one storey)</t>
        </is>
      </c>
      <c r="E260" s="19" t="inlineStr">
        <is>
          <t>1602</t>
        </is>
      </c>
      <c r="F260" s="19" t="n">
        <v>16</v>
      </c>
      <c r="G260" s="19" t="n">
        <v>1</v>
      </c>
      <c r="H260" s="19" t="n">
        <v>11</v>
      </c>
      <c r="I260" s="13">
        <f>G260*H260</f>
        <v>11.0</v>
      </c>
      <c r="J260" s="20">
        <f>4475/1000</f>
        <v>4.475</v>
      </c>
      <c r="K260" s="21">
        <f>I260*J260</f>
        <v>49.224999999999994</v>
      </c>
      <c r="L260" s="22">
        <f>F260^2/162</f>
        <v>1.5802469135802468</v>
      </c>
      <c r="M260" s="21">
        <f>K260*L260</f>
        <v>77.78765432098764</v>
      </c>
      <c r="N260" s="22">
        <f>M260/1000</f>
        <v>0.07778765432098764</v>
      </c>
      <c r="O260" s="13" t="inlineStr">
        <is>
          <t>BBS</t>
        </is>
      </c>
    </row>
    <row r="261">
      <c r="A261" s="13" t="n">
        <v>256</v>
      </c>
      <c r="B261" s="13" t="inlineStr">
        <is>
          <t>Staircases</t>
        </is>
      </c>
      <c r="C261" s="13" t="inlineStr">
        <is>
          <t>STR-027</t>
        </is>
      </c>
      <c r="D261" s="13" t="inlineStr">
        <is>
          <t>Main staircase typical flight (4th to 10th, one storey)</t>
        </is>
      </c>
      <c r="E261" s="19" t="inlineStr">
        <is>
          <t>1603</t>
        </is>
      </c>
      <c r="F261" s="19" t="n">
        <v>16</v>
      </c>
      <c r="G261" s="19" t="n">
        <v>1</v>
      </c>
      <c r="H261" s="19" t="n">
        <v>11</v>
      </c>
      <c r="I261" s="13">
        <f>G261*H261</f>
        <v>11.0</v>
      </c>
      <c r="J261" s="20">
        <f>2400/1000</f>
        <v>2.4</v>
      </c>
      <c r="K261" s="21">
        <f>I261*J261</f>
        <v>26.4</v>
      </c>
      <c r="L261" s="22">
        <f>F261^2/162</f>
        <v>1.5802469135802468</v>
      </c>
      <c r="M261" s="21">
        <f>K261*L261</f>
        <v>41.718518518518515</v>
      </c>
      <c r="N261" s="22">
        <f>M261/1000</f>
        <v>0.041718518518518516</v>
      </c>
      <c r="O261" s="13" t="inlineStr">
        <is>
          <t>BBS</t>
        </is>
      </c>
    </row>
    <row r="262">
      <c r="A262" s="13" t="n">
        <v>257</v>
      </c>
      <c r="B262" s="13" t="inlineStr">
        <is>
          <t>Staircases</t>
        </is>
      </c>
      <c r="C262" s="13" t="inlineStr">
        <is>
          <t>STR-027</t>
        </is>
      </c>
      <c r="D262" s="13" t="inlineStr">
        <is>
          <t>Main staircase typical flight (4th to 10th, one storey)</t>
        </is>
      </c>
      <c r="E262" s="19" t="inlineStr">
        <is>
          <t>1604</t>
        </is>
      </c>
      <c r="F262" s="19" t="n">
        <v>16</v>
      </c>
      <c r="G262" s="19" t="n">
        <v>1</v>
      </c>
      <c r="H262" s="19" t="n">
        <v>11</v>
      </c>
      <c r="I262" s="13">
        <f>G262*H262</f>
        <v>11.0</v>
      </c>
      <c r="J262" s="20">
        <f>4250/1000</f>
        <v>4.25</v>
      </c>
      <c r="K262" s="21">
        <f>I262*J262</f>
        <v>46.75</v>
      </c>
      <c r="L262" s="22">
        <f>F262^2/162</f>
        <v>1.5802469135802468</v>
      </c>
      <c r="M262" s="21">
        <f>K262*L262</f>
        <v>73.87654320987654</v>
      </c>
      <c r="N262" s="22">
        <f>M262/1000</f>
        <v>0.07387654320987655</v>
      </c>
      <c r="O262" s="13" t="inlineStr">
        <is>
          <t>BBS</t>
        </is>
      </c>
    </row>
    <row r="263">
      <c r="A263" s="13" t="n">
        <v>258</v>
      </c>
      <c r="B263" s="13" t="inlineStr">
        <is>
          <t>Staircases</t>
        </is>
      </c>
      <c r="C263" s="13" t="inlineStr">
        <is>
          <t>STR-027</t>
        </is>
      </c>
      <c r="D263" s="13" t="inlineStr">
        <is>
          <t>Main staircase typical flight (4th to 10th, one storey)</t>
        </is>
      </c>
      <c r="E263" s="19" t="inlineStr">
        <is>
          <t>1605</t>
        </is>
      </c>
      <c r="F263" s="19" t="n">
        <v>16</v>
      </c>
      <c r="G263" s="19" t="n">
        <v>1</v>
      </c>
      <c r="H263" s="19" t="n">
        <v>11</v>
      </c>
      <c r="I263" s="13">
        <f>G263*H263</f>
        <v>11.0</v>
      </c>
      <c r="J263" s="20">
        <f>2100/1000</f>
        <v>2.1</v>
      </c>
      <c r="K263" s="21">
        <f>I263*J263</f>
        <v>23.1</v>
      </c>
      <c r="L263" s="22">
        <f>F263^2/162</f>
        <v>1.5802469135802468</v>
      </c>
      <c r="M263" s="21">
        <f>K263*L263</f>
        <v>36.50370370370371</v>
      </c>
      <c r="N263" s="22">
        <f>M263/1000</f>
        <v>0.036503703703703705</v>
      </c>
      <c r="O263" s="13" t="inlineStr">
        <is>
          <t>BBS</t>
        </is>
      </c>
    </row>
    <row r="264">
      <c r="A264" s="13" t="n">
        <v>259</v>
      </c>
      <c r="B264" s="13" t="inlineStr">
        <is>
          <t>Staircases</t>
        </is>
      </c>
      <c r="C264" s="13" t="inlineStr">
        <is>
          <t>STR-027</t>
        </is>
      </c>
      <c r="D264" s="13" t="inlineStr">
        <is>
          <t>Main staircase typical flight (4th to 10th, one storey)</t>
        </is>
      </c>
      <c r="E264" s="19" t="inlineStr">
        <is>
          <t>1606</t>
        </is>
      </c>
      <c r="F264" s="19" t="n">
        <v>16</v>
      </c>
      <c r="G264" s="19" t="n">
        <v>1</v>
      </c>
      <c r="H264" s="19" t="n">
        <v>11</v>
      </c>
      <c r="I264" s="13">
        <f>G264*H264</f>
        <v>11.0</v>
      </c>
      <c r="J264" s="20">
        <f>6950/1000</f>
        <v>6.95</v>
      </c>
      <c r="K264" s="21">
        <f>I264*J264</f>
        <v>76.45</v>
      </c>
      <c r="L264" s="22">
        <f>F264^2/162</f>
        <v>1.5802469135802468</v>
      </c>
      <c r="M264" s="21">
        <f>K264*L264</f>
        <v>120.80987654320987</v>
      </c>
      <c r="N264" s="22">
        <f>M264/1000</f>
        <v>0.12080987654320986</v>
      </c>
      <c r="O264" s="13" t="inlineStr">
        <is>
          <t>BBS</t>
        </is>
      </c>
    </row>
    <row r="265">
      <c r="A265" s="13" t="n">
        <v>260</v>
      </c>
      <c r="B265" s="13" t="inlineStr">
        <is>
          <t>Staircases</t>
        </is>
      </c>
      <c r="C265" s="13" t="inlineStr">
        <is>
          <t>STR-027</t>
        </is>
      </c>
      <c r="D265" s="13" t="inlineStr">
        <is>
          <t>Main staircase typical flight (4th to 10th, one storey)</t>
        </is>
      </c>
      <c r="E265" s="19" t="inlineStr">
        <is>
          <t>1607</t>
        </is>
      </c>
      <c r="F265" s="19" t="n">
        <v>16</v>
      </c>
      <c r="G265" s="19" t="n">
        <v>1</v>
      </c>
      <c r="H265" s="19" t="n">
        <v>11</v>
      </c>
      <c r="I265" s="13">
        <f>G265*H265</f>
        <v>11.0</v>
      </c>
      <c r="J265" s="20">
        <f>3300/1000</f>
        <v>3.3</v>
      </c>
      <c r="K265" s="21">
        <f>I265*J265</f>
        <v>36.3</v>
      </c>
      <c r="L265" s="22">
        <f>F265^2/162</f>
        <v>1.5802469135802468</v>
      </c>
      <c r="M265" s="21">
        <f>K265*L265</f>
        <v>57.36296296296295</v>
      </c>
      <c r="N265" s="22">
        <f>M265/1000</f>
        <v>0.057362962962962956</v>
      </c>
      <c r="O265" s="13" t="inlineStr">
        <is>
          <t>BBS</t>
        </is>
      </c>
    </row>
    <row r="266">
      <c r="A266" s="13" t="n">
        <v>261</v>
      </c>
      <c r="B266" s="13" t="inlineStr">
        <is>
          <t>Staircases</t>
        </is>
      </c>
      <c r="C266" s="13" t="inlineStr">
        <is>
          <t>STR-027</t>
        </is>
      </c>
      <c r="D266" s="13" t="inlineStr">
        <is>
          <t>Main staircase typical flight (4th to 10th, one storey)</t>
        </is>
      </c>
      <c r="E266" s="19" t="inlineStr">
        <is>
          <t>1608</t>
        </is>
      </c>
      <c r="F266" s="19" t="n">
        <v>16</v>
      </c>
      <c r="G266" s="19" t="n">
        <v>1</v>
      </c>
      <c r="H266" s="19" t="n">
        <v>11</v>
      </c>
      <c r="I266" s="13">
        <f>G266*H266</f>
        <v>11.0</v>
      </c>
      <c r="J266" s="20">
        <f>1200/1000</f>
        <v>1.2</v>
      </c>
      <c r="K266" s="21">
        <f>I266*J266</f>
        <v>13.2</v>
      </c>
      <c r="L266" s="22">
        <f>F266^2/162</f>
        <v>1.5802469135802468</v>
      </c>
      <c r="M266" s="21">
        <f>K266*L266</f>
        <v>20.859259259259257</v>
      </c>
      <c r="N266" s="22">
        <f>M266/1000</f>
        <v>0.020859259259259258</v>
      </c>
      <c r="O266" s="13" t="inlineStr">
        <is>
          <t>BBS</t>
        </is>
      </c>
    </row>
    <row r="267">
      <c r="A267" s="13" t="n">
        <v>262</v>
      </c>
      <c r="B267" s="13" t="inlineStr">
        <is>
          <t>Staircases</t>
        </is>
      </c>
      <c r="C267" s="13" t="inlineStr">
        <is>
          <t>STR-027</t>
        </is>
      </c>
      <c r="D267" s="13" t="inlineStr">
        <is>
          <t>Main staircase typical flight (4th to 10th, one storey)</t>
        </is>
      </c>
      <c r="E267" s="19" t="inlineStr">
        <is>
          <t>1609</t>
        </is>
      </c>
      <c r="F267" s="19" t="n">
        <v>16</v>
      </c>
      <c r="G267" s="19" t="n">
        <v>1</v>
      </c>
      <c r="H267" s="19" t="n">
        <v>11</v>
      </c>
      <c r="I267" s="13">
        <f>G267*H267</f>
        <v>11.0</v>
      </c>
      <c r="J267" s="20">
        <f>6225/1000</f>
        <v>6.225</v>
      </c>
      <c r="K267" s="21">
        <f>I267*J267</f>
        <v>68.475</v>
      </c>
      <c r="L267" s="22">
        <f>F267^2/162</f>
        <v>1.5802469135802468</v>
      </c>
      <c r="M267" s="21">
        <f>K267*L267</f>
        <v>108.20740740740739</v>
      </c>
      <c r="N267" s="22">
        <f>M267/1000</f>
        <v>0.10820740740740739</v>
      </c>
      <c r="O267" s="13" t="inlineStr">
        <is>
          <t>BBS</t>
        </is>
      </c>
    </row>
    <row r="268">
      <c r="A268" s="13" t="n">
        <v>263</v>
      </c>
      <c r="B268" s="13" t="inlineStr">
        <is>
          <t>Staircases</t>
        </is>
      </c>
      <c r="C268" s="13" t="inlineStr">
        <is>
          <t>STR-027</t>
        </is>
      </c>
      <c r="D268" s="13" t="inlineStr">
        <is>
          <t>Main staircase typical flight (4th to 10th, one storey)</t>
        </is>
      </c>
      <c r="E268" s="19" t="inlineStr">
        <is>
          <t>1610</t>
        </is>
      </c>
      <c r="F268" s="19" t="n">
        <v>16</v>
      </c>
      <c r="G268" s="19" t="n">
        <v>1</v>
      </c>
      <c r="H268" s="19" t="n">
        <v>11</v>
      </c>
      <c r="I268" s="13">
        <f>G268*H268</f>
        <v>11.0</v>
      </c>
      <c r="J268" s="20">
        <f>3225/1000</f>
        <v>3.225</v>
      </c>
      <c r="K268" s="21">
        <f>I268*J268</f>
        <v>35.475</v>
      </c>
      <c r="L268" s="22">
        <f>F268^2/162</f>
        <v>1.5802469135802468</v>
      </c>
      <c r="M268" s="21">
        <f>K268*L268</f>
        <v>56.05925925925926</v>
      </c>
      <c r="N268" s="22">
        <f>M268/1000</f>
        <v>0.05605925925925926</v>
      </c>
      <c r="O268" s="13" t="inlineStr">
        <is>
          <t>BBS</t>
        </is>
      </c>
    </row>
    <row r="269">
      <c r="A269" s="13" t="n">
        <v>264</v>
      </c>
      <c r="B269" s="13" t="inlineStr">
        <is>
          <t>Staircases</t>
        </is>
      </c>
      <c r="C269" s="13" t="inlineStr">
        <is>
          <t>STR-037</t>
        </is>
      </c>
      <c r="D269" s="13" t="inlineStr">
        <is>
          <t>Emergency staircase typical flight (4th to 10th, one storey)</t>
        </is>
      </c>
      <c r="E269" s="19" t="inlineStr">
        <is>
          <t>1201</t>
        </is>
      </c>
      <c r="F269" s="19" t="n">
        <v>12</v>
      </c>
      <c r="G269" s="19" t="n">
        <v>1</v>
      </c>
      <c r="H269" s="19" t="n">
        <v>30</v>
      </c>
      <c r="I269" s="13">
        <f>G269*H269</f>
        <v>30.0</v>
      </c>
      <c r="J269" s="20">
        <f>6200/1000</f>
        <v>6.2</v>
      </c>
      <c r="K269" s="21">
        <f>I269*J269</f>
        <v>186.0</v>
      </c>
      <c r="L269" s="22">
        <f>F269^2/162</f>
        <v>0.8888888888888888</v>
      </c>
      <c r="M269" s="21">
        <f>K269*L269</f>
        <v>165.33333333333331</v>
      </c>
      <c r="N269" s="22">
        <f>M269/1000</f>
        <v>0.1653333333333333</v>
      </c>
      <c r="O269" s="13" t="inlineStr">
        <is>
          <t>BBS</t>
        </is>
      </c>
    </row>
    <row r="270">
      <c r="A270" s="13" t="n">
        <v>265</v>
      </c>
      <c r="B270" s="13" t="inlineStr">
        <is>
          <t>Staircases</t>
        </is>
      </c>
      <c r="C270" s="13" t="inlineStr">
        <is>
          <t>STR-037</t>
        </is>
      </c>
      <c r="D270" s="13" t="inlineStr">
        <is>
          <t>Emergency staircase typical flight (4th to 10th, one storey)</t>
        </is>
      </c>
      <c r="E270" s="19" t="inlineStr">
        <is>
          <t>1202</t>
        </is>
      </c>
      <c r="F270" s="19" t="n">
        <v>12</v>
      </c>
      <c r="G270" s="19" t="n">
        <v>1</v>
      </c>
      <c r="H270" s="19" t="n">
        <v>80</v>
      </c>
      <c r="I270" s="13">
        <f>G270*H270</f>
        <v>80.0</v>
      </c>
      <c r="J270" s="20">
        <f>2300/1000</f>
        <v>2.3</v>
      </c>
      <c r="K270" s="21">
        <f>I270*J270</f>
        <v>184.0</v>
      </c>
      <c r="L270" s="22">
        <f>F270^2/162</f>
        <v>0.8888888888888888</v>
      </c>
      <c r="M270" s="21">
        <f>K270*L270</f>
        <v>163.55555555555554</v>
      </c>
      <c r="N270" s="22">
        <f>M270/1000</f>
        <v>0.16355555555555554</v>
      </c>
      <c r="O270" s="13" t="inlineStr">
        <is>
          <t>BBS</t>
        </is>
      </c>
    </row>
    <row r="271">
      <c r="A271" s="13" t="n">
        <v>266</v>
      </c>
      <c r="B271" s="13" t="inlineStr">
        <is>
          <t>Staircases</t>
        </is>
      </c>
      <c r="C271" s="13" t="inlineStr">
        <is>
          <t>STR-037</t>
        </is>
      </c>
      <c r="D271" s="13" t="inlineStr">
        <is>
          <t>Emergency staircase typical flight (4th to 10th, one storey)</t>
        </is>
      </c>
      <c r="E271" s="19" t="inlineStr">
        <is>
          <t>1203</t>
        </is>
      </c>
      <c r="F271" s="19" t="n">
        <v>12</v>
      </c>
      <c r="G271" s="19" t="n">
        <v>1</v>
      </c>
      <c r="H271" s="19" t="n">
        <v>26</v>
      </c>
      <c r="I271" s="13">
        <f>G271*H271</f>
        <v>26.0</v>
      </c>
      <c r="J271" s="20">
        <f>4800/1000</f>
        <v>4.8</v>
      </c>
      <c r="K271" s="21">
        <f>I271*J271</f>
        <v>124.8</v>
      </c>
      <c r="L271" s="22">
        <f>F271^2/162</f>
        <v>0.8888888888888888</v>
      </c>
      <c r="M271" s="21">
        <f>K271*L271</f>
        <v>110.93333333333332</v>
      </c>
      <c r="N271" s="22">
        <f>M271/1000</f>
        <v>0.11093333333333333</v>
      </c>
      <c r="O271" s="13" t="inlineStr">
        <is>
          <t>BBS</t>
        </is>
      </c>
    </row>
    <row r="272">
      <c r="A272" s="13" t="n">
        <v>267</v>
      </c>
      <c r="B272" s="13" t="inlineStr">
        <is>
          <t>Staircases</t>
        </is>
      </c>
      <c r="C272" s="13" t="inlineStr">
        <is>
          <t>STR-037</t>
        </is>
      </c>
      <c r="D272" s="13" t="inlineStr">
        <is>
          <t>Emergency staircase typical flight (4th to 10th, one storey)</t>
        </is>
      </c>
      <c r="E272" s="19" t="inlineStr">
        <is>
          <t>1601</t>
        </is>
      </c>
      <c r="F272" s="19" t="n">
        <v>16</v>
      </c>
      <c r="G272" s="19" t="n">
        <v>1</v>
      </c>
      <c r="H272" s="19" t="n">
        <v>11</v>
      </c>
      <c r="I272" s="13">
        <f>G272*H272</f>
        <v>11.0</v>
      </c>
      <c r="J272" s="20">
        <f>8175/1000</f>
        <v>8.175</v>
      </c>
      <c r="K272" s="21">
        <f>I272*J272</f>
        <v>89.92500000000001</v>
      </c>
      <c r="L272" s="22">
        <f>F272^2/162</f>
        <v>1.5802469135802468</v>
      </c>
      <c r="M272" s="21">
        <f>K272*L272</f>
        <v>142.1037037037037</v>
      </c>
      <c r="N272" s="22">
        <f>M272/1000</f>
        <v>0.1421037037037037</v>
      </c>
      <c r="O272" s="13" t="inlineStr">
        <is>
          <t>BBS</t>
        </is>
      </c>
    </row>
    <row r="273">
      <c r="A273" s="13" t="n">
        <v>268</v>
      </c>
      <c r="B273" s="13" t="inlineStr">
        <is>
          <t>Staircases</t>
        </is>
      </c>
      <c r="C273" s="13" t="inlineStr">
        <is>
          <t>STR-037</t>
        </is>
      </c>
      <c r="D273" s="13" t="inlineStr">
        <is>
          <t>Emergency staircase typical flight (4th to 10th, one storey)</t>
        </is>
      </c>
      <c r="E273" s="19" t="inlineStr">
        <is>
          <t>1602</t>
        </is>
      </c>
      <c r="F273" s="19" t="n">
        <v>16</v>
      </c>
      <c r="G273" s="19" t="n">
        <v>1</v>
      </c>
      <c r="H273" s="19" t="n">
        <v>11</v>
      </c>
      <c r="I273" s="13">
        <f>G273*H273</f>
        <v>11.0</v>
      </c>
      <c r="J273" s="20">
        <f>2650/1000</f>
        <v>2.65</v>
      </c>
      <c r="K273" s="21">
        <f>I273*J273</f>
        <v>29.15</v>
      </c>
      <c r="L273" s="22">
        <f>F273^2/162</f>
        <v>1.5802469135802468</v>
      </c>
      <c r="M273" s="21">
        <f>K273*L273</f>
        <v>46.06419753086419</v>
      </c>
      <c r="N273" s="22">
        <f>M273/1000</f>
        <v>0.046064197530864194</v>
      </c>
      <c r="O273" s="13" t="inlineStr">
        <is>
          <t>BBS</t>
        </is>
      </c>
    </row>
    <row r="274">
      <c r="A274" s="13" t="n">
        <v>269</v>
      </c>
      <c r="B274" s="13" t="inlineStr">
        <is>
          <t>Staircases</t>
        </is>
      </c>
      <c r="C274" s="13" t="inlineStr">
        <is>
          <t>STR-037</t>
        </is>
      </c>
      <c r="D274" s="13" t="inlineStr">
        <is>
          <t>Emergency staircase typical flight (4th to 10th, one storey)</t>
        </is>
      </c>
      <c r="E274" s="19" t="inlineStr">
        <is>
          <t>1603</t>
        </is>
      </c>
      <c r="F274" s="19" t="n">
        <v>16</v>
      </c>
      <c r="G274" s="19" t="n">
        <v>1</v>
      </c>
      <c r="H274" s="19" t="n">
        <v>11</v>
      </c>
      <c r="I274" s="13">
        <f>G274*H274</f>
        <v>11.0</v>
      </c>
      <c r="J274" s="20">
        <f>2400/1000</f>
        <v>2.4</v>
      </c>
      <c r="K274" s="21">
        <f>I274*J274</f>
        <v>26.4</v>
      </c>
      <c r="L274" s="22">
        <f>F274^2/162</f>
        <v>1.5802469135802468</v>
      </c>
      <c r="M274" s="21">
        <f>K274*L274</f>
        <v>41.718518518518515</v>
      </c>
      <c r="N274" s="22">
        <f>M274/1000</f>
        <v>0.041718518518518516</v>
      </c>
      <c r="O274" s="13" t="inlineStr">
        <is>
          <t>BBS</t>
        </is>
      </c>
    </row>
    <row r="275">
      <c r="A275" s="13" t="n">
        <v>270</v>
      </c>
      <c r="B275" s="13" t="inlineStr">
        <is>
          <t>Staircases</t>
        </is>
      </c>
      <c r="C275" s="13" t="inlineStr">
        <is>
          <t>STR-037</t>
        </is>
      </c>
      <c r="D275" s="13" t="inlineStr">
        <is>
          <t>Emergency staircase typical flight (4th to 10th, one storey)</t>
        </is>
      </c>
      <c r="E275" s="19" t="inlineStr">
        <is>
          <t>1604</t>
        </is>
      </c>
      <c r="F275" s="19" t="n">
        <v>16</v>
      </c>
      <c r="G275" s="19" t="n">
        <v>1</v>
      </c>
      <c r="H275" s="19" t="n">
        <v>11</v>
      </c>
      <c r="I275" s="13">
        <f>G275*H275</f>
        <v>11.0</v>
      </c>
      <c r="J275" s="20">
        <f>4300/1000</f>
        <v>4.3</v>
      </c>
      <c r="K275" s="21">
        <f>I275*J275</f>
        <v>47.3</v>
      </c>
      <c r="L275" s="22">
        <f>F275^2/162</f>
        <v>1.5802469135802468</v>
      </c>
      <c r="M275" s="21">
        <f>K275*L275</f>
        <v>74.74567901234568</v>
      </c>
      <c r="N275" s="22">
        <f>M275/1000</f>
        <v>0.07474567901234568</v>
      </c>
      <c r="O275" s="13" t="inlineStr">
        <is>
          <t>BBS</t>
        </is>
      </c>
    </row>
    <row r="276">
      <c r="A276" s="13" t="n">
        <v>271</v>
      </c>
      <c r="B276" s="13" t="inlineStr">
        <is>
          <t>Staircases</t>
        </is>
      </c>
      <c r="C276" s="13" t="inlineStr">
        <is>
          <t>STR-037</t>
        </is>
      </c>
      <c r="D276" s="13" t="inlineStr">
        <is>
          <t>Emergency staircase typical flight (4th to 10th, one storey)</t>
        </is>
      </c>
      <c r="E276" s="19" t="inlineStr">
        <is>
          <t>1605</t>
        </is>
      </c>
      <c r="F276" s="19" t="n">
        <v>16</v>
      </c>
      <c r="G276" s="19" t="n">
        <v>1</v>
      </c>
      <c r="H276" s="19" t="n">
        <v>11</v>
      </c>
      <c r="I276" s="13">
        <f>G276*H276</f>
        <v>11.0</v>
      </c>
      <c r="J276" s="20">
        <f>2100/1000</f>
        <v>2.1</v>
      </c>
      <c r="K276" s="21">
        <f>I276*J276</f>
        <v>23.1</v>
      </c>
      <c r="L276" s="22">
        <f>F276^2/162</f>
        <v>1.5802469135802468</v>
      </c>
      <c r="M276" s="21">
        <f>K276*L276</f>
        <v>36.50370370370371</v>
      </c>
      <c r="N276" s="22">
        <f>M276/1000</f>
        <v>0.036503703703703705</v>
      </c>
      <c r="O276" s="13" t="inlineStr">
        <is>
          <t>BBS</t>
        </is>
      </c>
    </row>
    <row r="277">
      <c r="A277" s="13" t="n">
        <v>272</v>
      </c>
      <c r="B277" s="13" t="inlineStr">
        <is>
          <t>Staircases</t>
        </is>
      </c>
      <c r="C277" s="13" t="inlineStr">
        <is>
          <t>STR-037</t>
        </is>
      </c>
      <c r="D277" s="13" t="inlineStr">
        <is>
          <t>Emergency staircase typical flight (4th to 10th, one storey)</t>
        </is>
      </c>
      <c r="E277" s="19" t="inlineStr">
        <is>
          <t>1606</t>
        </is>
      </c>
      <c r="F277" s="19" t="n">
        <v>16</v>
      </c>
      <c r="G277" s="19" t="n">
        <v>1</v>
      </c>
      <c r="H277" s="19" t="n">
        <v>11</v>
      </c>
      <c r="I277" s="13">
        <f>G277*H277</f>
        <v>11.0</v>
      </c>
      <c r="J277" s="20">
        <f>6900/1000</f>
        <v>6.9</v>
      </c>
      <c r="K277" s="21">
        <f>I277*J277</f>
        <v>75.9</v>
      </c>
      <c r="L277" s="22">
        <f>F277^2/162</f>
        <v>1.5802469135802468</v>
      </c>
      <c r="M277" s="21">
        <f>K277*L277</f>
        <v>119.94074074074074</v>
      </c>
      <c r="N277" s="22">
        <f>M277/1000</f>
        <v>0.11994074074074074</v>
      </c>
      <c r="O277" s="13" t="inlineStr">
        <is>
          <t>BBS</t>
        </is>
      </c>
    </row>
    <row r="278">
      <c r="A278" s="13" t="n">
        <v>273</v>
      </c>
      <c r="B278" s="13" t="inlineStr">
        <is>
          <t>Staircases</t>
        </is>
      </c>
      <c r="C278" s="13" t="inlineStr">
        <is>
          <t>STR-037</t>
        </is>
      </c>
      <c r="D278" s="13" t="inlineStr">
        <is>
          <t>Emergency staircase typical flight (4th to 10th, one storey)</t>
        </is>
      </c>
      <c r="E278" s="19" t="inlineStr">
        <is>
          <t>1607</t>
        </is>
      </c>
      <c r="F278" s="19" t="n">
        <v>16</v>
      </c>
      <c r="G278" s="19" t="n">
        <v>1</v>
      </c>
      <c r="H278" s="19" t="n">
        <v>11</v>
      </c>
      <c r="I278" s="13">
        <f>G278*H278</f>
        <v>11.0</v>
      </c>
      <c r="J278" s="20">
        <f>4800/1000</f>
        <v>4.8</v>
      </c>
      <c r="K278" s="21">
        <f>I278*J278</f>
        <v>52.8</v>
      </c>
      <c r="L278" s="22">
        <f>F278^2/162</f>
        <v>1.5802469135802468</v>
      </c>
      <c r="M278" s="21">
        <f>K278*L278</f>
        <v>83.43703703703703</v>
      </c>
      <c r="N278" s="22">
        <f>M278/1000</f>
        <v>0.08343703703703703</v>
      </c>
      <c r="O278" s="13" t="inlineStr">
        <is>
          <t>BBS</t>
        </is>
      </c>
    </row>
    <row r="279">
      <c r="A279" s="13" t="n">
        <v>274</v>
      </c>
      <c r="B279" s="13" t="inlineStr">
        <is>
          <t>Staircases</t>
        </is>
      </c>
      <c r="C279" s="13" t="inlineStr">
        <is>
          <t>STR-037</t>
        </is>
      </c>
      <c r="D279" s="13" t="inlineStr">
        <is>
          <t>Emergency staircase typical flight (4th to 10th, one storey)</t>
        </is>
      </c>
      <c r="E279" s="19" t="inlineStr">
        <is>
          <t>1608</t>
        </is>
      </c>
      <c r="F279" s="19" t="n">
        <v>16</v>
      </c>
      <c r="G279" s="19" t="n">
        <v>1</v>
      </c>
      <c r="H279" s="19" t="n">
        <v>11</v>
      </c>
      <c r="I279" s="13">
        <f>G279*H279</f>
        <v>11.0</v>
      </c>
      <c r="J279" s="20">
        <f>3400/1000</f>
        <v>3.4</v>
      </c>
      <c r="K279" s="21">
        <f>I279*J279</f>
        <v>37.4</v>
      </c>
      <c r="L279" s="22">
        <f>F279^2/162</f>
        <v>1.5802469135802468</v>
      </c>
      <c r="M279" s="21">
        <f>K279*L279</f>
        <v>59.10123456790123</v>
      </c>
      <c r="N279" s="22">
        <f>M279/1000</f>
        <v>0.05910123456790123</v>
      </c>
      <c r="O279" s="13" t="inlineStr">
        <is>
          <t>BBS</t>
        </is>
      </c>
    </row>
    <row r="280">
      <c r="A280" s="13" t="n">
        <v>275</v>
      </c>
      <c r="B280" s="13" t="inlineStr">
        <is>
          <t>Staircases</t>
        </is>
      </c>
      <c r="C280" s="13" t="inlineStr">
        <is>
          <t>STR-037</t>
        </is>
      </c>
      <c r="D280" s="13" t="inlineStr">
        <is>
          <t>Emergency staircase typical flight (4th to 10th, one storey)</t>
        </is>
      </c>
      <c r="E280" s="19" t="inlineStr">
        <is>
          <t>1609</t>
        </is>
      </c>
      <c r="F280" s="19" t="n">
        <v>16</v>
      </c>
      <c r="G280" s="19" t="n">
        <v>1</v>
      </c>
      <c r="H280" s="19" t="n">
        <v>11</v>
      </c>
      <c r="I280" s="13">
        <f>G280*H280</f>
        <v>11.0</v>
      </c>
      <c r="J280" s="20">
        <f>3200/1000</f>
        <v>3.2</v>
      </c>
      <c r="K280" s="21">
        <f>I280*J280</f>
        <v>35.2</v>
      </c>
      <c r="L280" s="22">
        <f>F280^2/162</f>
        <v>1.5802469135802468</v>
      </c>
      <c r="M280" s="21">
        <f>K280*L280</f>
        <v>55.62469135802469</v>
      </c>
      <c r="N280" s="22">
        <f>M280/1000</f>
        <v>0.05562469135802469</v>
      </c>
      <c r="O280" s="13" t="inlineStr">
        <is>
          <t>BBS</t>
        </is>
      </c>
    </row>
    <row r="281">
      <c r="A281" s="13" t="n">
        <v>276</v>
      </c>
      <c r="B281" s="13" t="inlineStr">
        <is>
          <t>Staircases</t>
        </is>
      </c>
      <c r="C281" s="13" t="inlineStr">
        <is>
          <t>STR-037</t>
        </is>
      </c>
      <c r="D281" s="13" t="inlineStr">
        <is>
          <t>Emergency staircase typical flight (4th to 10th, one storey)</t>
        </is>
      </c>
      <c r="E281" s="19" t="inlineStr">
        <is>
          <t>1610</t>
        </is>
      </c>
      <c r="F281" s="19" t="n">
        <v>16</v>
      </c>
      <c r="G281" s="19" t="n">
        <v>1</v>
      </c>
      <c r="H281" s="19" t="n">
        <v>11</v>
      </c>
      <c r="I281" s="13">
        <f>G281*H281</f>
        <v>11.0</v>
      </c>
      <c r="J281" s="20">
        <f>2000/1000</f>
        <v>2.0</v>
      </c>
      <c r="K281" s="21">
        <f>I281*J281</f>
        <v>22.0</v>
      </c>
      <c r="L281" s="22">
        <f>F281^2/162</f>
        <v>1.5802469135802468</v>
      </c>
      <c r="M281" s="21">
        <f>K281*L281</f>
        <v>34.76543209876543</v>
      </c>
      <c r="N281" s="22">
        <f>M281/1000</f>
        <v>0.03476543209876543</v>
      </c>
      <c r="O281" s="13" t="inlineStr">
        <is>
          <t>BBS</t>
        </is>
      </c>
    </row>
    <row r="283">
      <c r="D283" s="10" t="inlineStr">
        <is>
          <t>SUMMARY - SEVENTH FLOOR: ELEMENT BY BAR SIZE (TONNES)</t>
        </is>
      </c>
    </row>
    <row r="284">
      <c r="D284" s="23" t="inlineStr">
        <is>
          <t>Element</t>
        </is>
      </c>
      <c r="E284" s="24" t="n">
        <v>10</v>
      </c>
      <c r="F284" s="24" t="n">
        <v>12</v>
      </c>
      <c r="G284" s="24" t="n">
        <v>16</v>
      </c>
      <c r="H284" s="24" t="n">
        <v>20</v>
      </c>
      <c r="I284" s="24" t="n">
        <v>25</v>
      </c>
      <c r="J284" s="23" t="inlineStr">
        <is>
          <t>Total (t)</t>
        </is>
      </c>
    </row>
    <row r="285">
      <c r="D285" s="13" t="inlineStr">
        <is>
          <t>Raft Foundation</t>
        </is>
      </c>
      <c r="E285" s="25">
        <f>SUMIFS($N$6:$N$281,$B$6:$B$281,$D285,$F$6:$F$281,E$284)</f>
        <v>0.0</v>
      </c>
      <c r="F285" s="25">
        <f>SUMIFS($N$6:$N$281,$B$6:$B$281,$D285,$F$6:$F$281,F$284)</f>
        <v>0.0</v>
      </c>
      <c r="G285" s="25">
        <f>SUMIFS($N$6:$N$281,$B$6:$B$281,$D285,$F$6:$F$281,G$284)</f>
        <v>0.0</v>
      </c>
      <c r="H285" s="25">
        <f>SUMIFS($N$6:$N$281,$B$6:$B$281,$D285,$F$6:$F$281,H$284)</f>
        <v>0.0</v>
      </c>
      <c r="I285" s="25">
        <f>SUMIFS($N$6:$N$281,$B$6:$B$281,$D285,$F$6:$F$281,I$284)</f>
        <v>0.0</v>
      </c>
      <c r="J285" s="17">
        <f>SUM(E285:I285)</f>
        <v>0.0</v>
      </c>
    </row>
    <row r="286">
      <c r="D286" s="13" t="inlineStr">
        <is>
          <t>Columns</t>
        </is>
      </c>
      <c r="E286" s="25">
        <f>SUMIFS($N$6:$N$281,$B$6:$B$281,$D286,$F$6:$F$281,E$284)</f>
        <v>4.550629629629629</v>
      </c>
      <c r="F286" s="25">
        <f>SUMIFS($N$6:$N$281,$B$6:$B$281,$D286,$F$6:$F$281,F$284)</f>
        <v>0.0</v>
      </c>
      <c r="G286" s="25">
        <f>SUMIFS($N$6:$N$281,$B$6:$B$281,$D286,$F$6:$F$281,G$284)</f>
        <v>0.0</v>
      </c>
      <c r="H286" s="25">
        <f>SUMIFS($N$6:$N$281,$B$6:$B$281,$D286,$F$6:$F$281,H$284)</f>
        <v>7.133333333333333</v>
      </c>
      <c r="I286" s="25">
        <f>SUMIFS($N$6:$N$281,$B$6:$B$281,$D286,$F$6:$F$281,I$284)</f>
        <v>0.0</v>
      </c>
      <c r="J286" s="17">
        <f>SUM(E286:I286)</f>
        <v>11.683962962962962</v>
      </c>
    </row>
    <row r="287">
      <c r="D287" s="13" t="inlineStr">
        <is>
          <t>Shear Walls</t>
        </is>
      </c>
      <c r="E287" s="25">
        <f>SUMIFS($N$6:$N$281,$B$6:$B$281,$D287,$F$6:$F$281,E$284)</f>
        <v>1.4422222222222223</v>
      </c>
      <c r="F287" s="25">
        <f>SUMIFS($N$6:$N$281,$B$6:$B$281,$D287,$F$6:$F$281,F$284)</f>
        <v>1.9171555555555557</v>
      </c>
      <c r="G287" s="25">
        <f>SUMIFS($N$6:$N$281,$B$6:$B$281,$D287,$F$6:$F$281,G$284)</f>
        <v>0.0</v>
      </c>
      <c r="H287" s="25">
        <f>SUMIFS($N$6:$N$281,$B$6:$B$281,$D287,$F$6:$F$281,H$284)</f>
        <v>6.904197530864199</v>
      </c>
      <c r="I287" s="25">
        <f>SUMIFS($N$6:$N$281,$B$6:$B$281,$D287,$F$6:$F$281,I$284)</f>
        <v>0.0</v>
      </c>
      <c r="J287" s="17">
        <f>SUM(E287:I287)</f>
        <v>10.263575308641977</v>
      </c>
    </row>
    <row r="288">
      <c r="D288" s="13" t="inlineStr">
        <is>
          <t>Lift Walls</t>
        </is>
      </c>
      <c r="E288" s="25">
        <f>SUMIFS($N$6:$N$281,$B$6:$B$281,$D288,$F$6:$F$281,E$284)</f>
        <v>0.6355555555555557</v>
      </c>
      <c r="F288" s="25">
        <f>SUMIFS($N$6:$N$281,$B$6:$B$281,$D288,$F$6:$F$281,F$284)</f>
        <v>0.8655999999999999</v>
      </c>
      <c r="G288" s="25">
        <f>SUMIFS($N$6:$N$281,$B$6:$B$281,$D288,$F$6:$F$281,G$284)</f>
        <v>0.0</v>
      </c>
      <c r="H288" s="25">
        <f>SUMIFS($N$6:$N$281,$B$6:$B$281,$D288,$F$6:$F$281,H$284)</f>
        <v>3.320493827160494</v>
      </c>
      <c r="I288" s="25">
        <f>SUMIFS($N$6:$N$281,$B$6:$B$281,$D288,$F$6:$F$281,I$284)</f>
        <v>0.0</v>
      </c>
      <c r="J288" s="17">
        <f>SUM(E288:I288)</f>
        <v>4.82164938271605</v>
      </c>
    </row>
    <row r="289">
      <c r="D289" s="13" t="inlineStr">
        <is>
          <t>Retaining / Ramp Walls</t>
        </is>
      </c>
      <c r="E289" s="25">
        <f>SUMIFS($N$6:$N$281,$B$6:$B$281,$D289,$F$6:$F$281,E$284)</f>
        <v>0.0</v>
      </c>
      <c r="F289" s="25">
        <f>SUMIFS($N$6:$N$281,$B$6:$B$281,$D289,$F$6:$F$281,F$284)</f>
        <v>0.0</v>
      </c>
      <c r="G289" s="25">
        <f>SUMIFS($N$6:$N$281,$B$6:$B$281,$D289,$F$6:$F$281,G$284)</f>
        <v>0.0</v>
      </c>
      <c r="H289" s="25">
        <f>SUMIFS($N$6:$N$281,$B$6:$B$281,$D289,$F$6:$F$281,H$284)</f>
        <v>0.0</v>
      </c>
      <c r="I289" s="25">
        <f>SUMIFS($N$6:$N$281,$B$6:$B$281,$D289,$F$6:$F$281,I$284)</f>
        <v>0.0</v>
      </c>
      <c r="J289" s="17">
        <f>SUM(E289:I289)</f>
        <v>0.0</v>
      </c>
    </row>
    <row r="290">
      <c r="D290" s="13" t="inlineStr">
        <is>
          <t>Beams</t>
        </is>
      </c>
      <c r="E290" s="25">
        <f>SUMIFS($N$6:$N$281,$B$6:$B$281,$D290,$F$6:$F$281,E$284)</f>
        <v>1.8062345679012344</v>
      </c>
      <c r="F290" s="25">
        <f>SUMIFS($N$6:$N$281,$B$6:$B$281,$D290,$F$6:$F$281,F$284)</f>
        <v>0.0</v>
      </c>
      <c r="G290" s="25">
        <f>SUMIFS($N$6:$N$281,$B$6:$B$281,$D290,$F$6:$F$281,G$284)</f>
        <v>1.2476839506172839</v>
      </c>
      <c r="H290" s="25">
        <f>SUMIFS($N$6:$N$281,$B$6:$B$281,$D290,$F$6:$F$281,H$284)</f>
        <v>2.1350617283950615</v>
      </c>
      <c r="I290" s="25">
        <f>SUMIFS($N$6:$N$281,$B$6:$B$281,$D290,$F$6:$F$281,I$284)</f>
        <v>5.506944444444445</v>
      </c>
      <c r="J290" s="17">
        <f>SUM(E290:I290)</f>
        <v>10.695924691358025</v>
      </c>
    </row>
    <row r="291">
      <c r="D291" s="13" t="inlineStr">
        <is>
          <t>Floor Slabs</t>
        </is>
      </c>
      <c r="E291" s="25">
        <f>SUMIFS($N$6:$N$281,$B$6:$B$281,$D291,$F$6:$F$281,E$284)</f>
        <v>0.0</v>
      </c>
      <c r="F291" s="25">
        <f>SUMIFS($N$6:$N$281,$B$6:$B$281,$D291,$F$6:$F$281,F$284)</f>
        <v>49.804440888888884</v>
      </c>
      <c r="G291" s="25">
        <f>SUMIFS($N$6:$N$281,$B$6:$B$281,$D291,$F$6:$F$281,G$284)</f>
        <v>0.1505185185185185</v>
      </c>
      <c r="H291" s="25">
        <f>SUMIFS($N$6:$N$281,$B$6:$B$281,$D291,$F$6:$F$281,H$284)</f>
        <v>0.0</v>
      </c>
      <c r="I291" s="25">
        <f>SUMIFS($N$6:$N$281,$B$6:$B$281,$D291,$F$6:$F$281,I$284)</f>
        <v>0.0</v>
      </c>
      <c r="J291" s="17">
        <f>SUM(E291:I291)</f>
        <v>49.9549594074074</v>
      </c>
    </row>
    <row r="292">
      <c r="D292" s="13" t="inlineStr">
        <is>
          <t>Staircases</t>
        </is>
      </c>
      <c r="E292" s="25">
        <f>SUMIFS($N$6:$N$281,$B$6:$B$281,$D292,$F$6:$F$281,E$284)</f>
        <v>0.0</v>
      </c>
      <c r="F292" s="25">
        <f>SUMIFS($N$6:$N$281,$B$6:$B$281,$D292,$F$6:$F$281,F$284)</f>
        <v>0.8796444444444443</v>
      </c>
      <c r="G292" s="25">
        <f>SUMIFS($N$6:$N$281,$B$6:$B$281,$D292,$F$6:$F$281,G$284)</f>
        <v>1.4340740740740738</v>
      </c>
      <c r="H292" s="25">
        <f>SUMIFS($N$6:$N$281,$B$6:$B$281,$D292,$F$6:$F$281,H$284)</f>
        <v>0.0</v>
      </c>
      <c r="I292" s="25">
        <f>SUMIFS($N$6:$N$281,$B$6:$B$281,$D292,$F$6:$F$281,I$284)</f>
        <v>0.0</v>
      </c>
      <c r="J292" s="17">
        <f>SUM(E292:I292)</f>
        <v>2.313718518518518</v>
      </c>
    </row>
    <row r="293">
      <c r="D293" s="13" t="inlineStr">
        <is>
          <t>Lift Core Roof Slab</t>
        </is>
      </c>
      <c r="E293" s="25">
        <f>SUMIFS($N$6:$N$281,$B$6:$B$281,$D293,$F$6:$F$281,E$284)</f>
        <v>0.0</v>
      </c>
      <c r="F293" s="25">
        <f>SUMIFS($N$6:$N$281,$B$6:$B$281,$D293,$F$6:$F$281,F$284)</f>
        <v>0.0</v>
      </c>
      <c r="G293" s="25">
        <f>SUMIFS($N$6:$N$281,$B$6:$B$281,$D293,$F$6:$F$281,G$284)</f>
        <v>0.0</v>
      </c>
      <c r="H293" s="25">
        <f>SUMIFS($N$6:$N$281,$B$6:$B$281,$D293,$F$6:$F$281,H$284)</f>
        <v>0.0</v>
      </c>
      <c r="I293" s="25">
        <f>SUMIFS($N$6:$N$281,$B$6:$B$281,$D293,$F$6:$F$281,I$284)</f>
        <v>0.0</v>
      </c>
      <c r="J293" s="17">
        <f>SUM(E293:I293)</f>
        <v>0.0</v>
      </c>
    </row>
    <row r="294">
      <c r="D294" s="16" t="inlineStr">
        <is>
          <t>TOTAL - SEVENTH FLOOR</t>
        </is>
      </c>
      <c r="E294" s="26">
        <f>SUM(E285:E293)</f>
        <v>8.43464197530864</v>
      </c>
      <c r="F294" s="26">
        <f>SUM(F285:F293)</f>
        <v>53.46684088888888</v>
      </c>
      <c r="G294" s="26">
        <f>SUM(G285:G293)</f>
        <v>2.8322765432098764</v>
      </c>
      <c r="H294" s="26">
        <f>SUM(H285:H293)</f>
        <v>19.493086419753087</v>
      </c>
      <c r="I294" s="26">
        <f>SUM(I285:I293)</f>
        <v>5.506944444444445</v>
      </c>
      <c r="J294" s="26">
        <f>SUM(J285:J293)</f>
        <v>89.73379027160493</v>
      </c>
      <c r="K294" s="7" t="inlineStr">
        <is>
          <t>Check vs detail (should be 0):</t>
        </is>
      </c>
      <c r="N294" s="7">
        <f>ROUND(SUM(N6:N281)-J294,6)</f>
        <v>0.0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O29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EIGHTH FLOOR (+27400) - TYPICAL 4TH-8TH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STR-007</t>
        </is>
      </c>
      <c r="D6" s="13" t="inlineStr">
        <is>
          <t>COL-01A (5 nos) 8th to 9th - links</t>
        </is>
      </c>
      <c r="E6" s="19" t="inlineStr">
        <is>
          <t>1001</t>
        </is>
      </c>
      <c r="F6" s="19" t="n">
        <v>10</v>
      </c>
      <c r="G6" s="19" t="n">
        <v>5</v>
      </c>
      <c r="H6" s="19" t="n">
        <v>24</v>
      </c>
      <c r="I6" s="13">
        <f>G6*H6</f>
        <v>120.0</v>
      </c>
      <c r="J6" s="20">
        <f>2330/1000</f>
        <v>2.33</v>
      </c>
      <c r="K6" s="21">
        <f>I6*J6</f>
        <v>279.6</v>
      </c>
      <c r="L6" s="22">
        <f>F6^2/162</f>
        <v>0.6172839506172839</v>
      </c>
      <c r="M6" s="21">
        <f>K6*L6</f>
        <v>172.5925925925926</v>
      </c>
      <c r="N6" s="22">
        <f>M6/1000</f>
        <v>0.1725925925925926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STR-007</t>
        </is>
      </c>
      <c r="D7" s="13" t="inlineStr">
        <is>
          <t>COL-01A (5 nos) 8th to 9th - links</t>
        </is>
      </c>
      <c r="E7" s="19" t="inlineStr">
        <is>
          <t>1002</t>
        </is>
      </c>
      <c r="F7" s="19" t="n">
        <v>10</v>
      </c>
      <c r="G7" s="19" t="n">
        <v>5</v>
      </c>
      <c r="H7" s="19" t="n">
        <v>48</v>
      </c>
      <c r="I7" s="13">
        <f>G7*H7</f>
        <v>240.0</v>
      </c>
      <c r="J7" s="20">
        <f>1330/1000</f>
        <v>1.33</v>
      </c>
      <c r="K7" s="21">
        <f>I7*J7</f>
        <v>319.20000000000005</v>
      </c>
      <c r="L7" s="22">
        <f>F7^2/162</f>
        <v>0.6172839506172839</v>
      </c>
      <c r="M7" s="21">
        <f>K7*L7</f>
        <v>197.03703703703707</v>
      </c>
      <c r="N7" s="22">
        <f>M7/1000</f>
        <v>0.19703703703703707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STR-007</t>
        </is>
      </c>
      <c r="D8" s="13" t="inlineStr">
        <is>
          <t>COL-01A (5 nos) 8th to 9th - links</t>
        </is>
      </c>
      <c r="E8" s="19" t="inlineStr">
        <is>
          <t>1003</t>
        </is>
      </c>
      <c r="F8" s="19" t="n">
        <v>10</v>
      </c>
      <c r="G8" s="19" t="n">
        <v>5</v>
      </c>
      <c r="H8" s="19" t="n">
        <v>24</v>
      </c>
      <c r="I8" s="13">
        <f>G8*H8</f>
        <v>120.0</v>
      </c>
      <c r="J8" s="20">
        <f>1830/1000</f>
        <v>1.83</v>
      </c>
      <c r="K8" s="21">
        <f>I8*J8</f>
        <v>219.60000000000002</v>
      </c>
      <c r="L8" s="22">
        <f>F8^2/162</f>
        <v>0.6172839506172839</v>
      </c>
      <c r="M8" s="21">
        <f>K8*L8</f>
        <v>135.55555555555557</v>
      </c>
      <c r="N8" s="22">
        <f>M8/1000</f>
        <v>0.13555555555555557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STR-007</t>
        </is>
      </c>
      <c r="D9" s="13" t="inlineStr">
        <is>
          <t>COL-01A (5 nos) 8th to 9th - main bars</t>
        </is>
      </c>
      <c r="E9" s="19" t="inlineStr">
        <is>
          <t>2002</t>
        </is>
      </c>
      <c r="F9" s="19" t="n">
        <v>20</v>
      </c>
      <c r="G9" s="19" t="n">
        <v>5</v>
      </c>
      <c r="H9" s="19" t="n">
        <v>16</v>
      </c>
      <c r="I9" s="13">
        <f>G9*H9</f>
        <v>80.0</v>
      </c>
      <c r="J9" s="20">
        <f>3670/1000</f>
        <v>3.67</v>
      </c>
      <c r="K9" s="21">
        <f>I9*J9</f>
        <v>293.6</v>
      </c>
      <c r="L9" s="22">
        <f>F9^2/162</f>
        <v>2.4691358024691357</v>
      </c>
      <c r="M9" s="21">
        <f>K9*L9</f>
        <v>724.9382716049383</v>
      </c>
      <c r="N9" s="22">
        <f>M9/1000</f>
        <v>0.7249382716049383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STR-007</t>
        </is>
      </c>
      <c r="D10" s="13" t="inlineStr">
        <is>
          <t>COL-01B (1 nos) 8th to 9th - links</t>
        </is>
      </c>
      <c r="E10" s="19" t="inlineStr">
        <is>
          <t>1001</t>
        </is>
      </c>
      <c r="F10" s="19" t="n">
        <v>10</v>
      </c>
      <c r="G10" s="19" t="n">
        <v>1</v>
      </c>
      <c r="H10" s="19" t="n">
        <v>30</v>
      </c>
      <c r="I10" s="13">
        <f>G10*H10</f>
        <v>30.0</v>
      </c>
      <c r="J10" s="20">
        <f>2330/1000</f>
        <v>2.33</v>
      </c>
      <c r="K10" s="21">
        <f>I10*J10</f>
        <v>69.9</v>
      </c>
      <c r="L10" s="22">
        <f>F10^2/162</f>
        <v>0.6172839506172839</v>
      </c>
      <c r="M10" s="21">
        <f>K10*L10</f>
        <v>43.14814814814815</v>
      </c>
      <c r="N10" s="22">
        <f>M10/1000</f>
        <v>0.04314814814814815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STR-007</t>
        </is>
      </c>
      <c r="D11" s="13" t="inlineStr">
        <is>
          <t>COL-01B (1 nos) 8th to 9th - links</t>
        </is>
      </c>
      <c r="E11" s="19" t="inlineStr">
        <is>
          <t>1002</t>
        </is>
      </c>
      <c r="F11" s="19" t="n">
        <v>10</v>
      </c>
      <c r="G11" s="19" t="n">
        <v>1</v>
      </c>
      <c r="H11" s="19" t="n">
        <v>60</v>
      </c>
      <c r="I11" s="13">
        <f>G11*H11</f>
        <v>60.0</v>
      </c>
      <c r="J11" s="20">
        <f>1330/1000</f>
        <v>1.33</v>
      </c>
      <c r="K11" s="21">
        <f>I11*J11</f>
        <v>79.80000000000001</v>
      </c>
      <c r="L11" s="22">
        <f>F11^2/162</f>
        <v>0.6172839506172839</v>
      </c>
      <c r="M11" s="21">
        <f>K11*L11</f>
        <v>49.25925925925927</v>
      </c>
      <c r="N11" s="22">
        <f>M11/1000</f>
        <v>0.049259259259259267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STR-007</t>
        </is>
      </c>
      <c r="D12" s="13" t="inlineStr">
        <is>
          <t>COL-01B (1 nos) 8th to 9th - links</t>
        </is>
      </c>
      <c r="E12" s="19" t="inlineStr">
        <is>
          <t>1003</t>
        </is>
      </c>
      <c r="F12" s="19" t="n">
        <v>10</v>
      </c>
      <c r="G12" s="19" t="n">
        <v>1</v>
      </c>
      <c r="H12" s="19" t="n">
        <v>30</v>
      </c>
      <c r="I12" s="13">
        <f>G12*H12</f>
        <v>30.0</v>
      </c>
      <c r="J12" s="20">
        <f>1830/1000</f>
        <v>1.83</v>
      </c>
      <c r="K12" s="21">
        <f>I12*J12</f>
        <v>54.900000000000006</v>
      </c>
      <c r="L12" s="22">
        <f>F12^2/162</f>
        <v>0.6172839506172839</v>
      </c>
      <c r="M12" s="21">
        <f>K12*L12</f>
        <v>33.88888888888889</v>
      </c>
      <c r="N12" s="22">
        <f>M12/1000</f>
        <v>0.03388888888888889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Columns</t>
        </is>
      </c>
      <c r="C13" s="13" t="inlineStr">
        <is>
          <t>STR-007</t>
        </is>
      </c>
      <c r="D13" s="13" t="inlineStr">
        <is>
          <t>COL-01B (1 nos) 8th to 9th - main bars</t>
        </is>
      </c>
      <c r="E13" s="19" t="inlineStr">
        <is>
          <t>2001</t>
        </is>
      </c>
      <c r="F13" s="19" t="n">
        <v>20</v>
      </c>
      <c r="G13" s="19" t="n">
        <v>1</v>
      </c>
      <c r="H13" s="19" t="n">
        <v>16</v>
      </c>
      <c r="I13" s="13">
        <f>G13*H13</f>
        <v>16.0</v>
      </c>
      <c r="J13" s="20">
        <f>4500/1000</f>
        <v>4.5</v>
      </c>
      <c r="K13" s="21">
        <f>I13*J13</f>
        <v>72.0</v>
      </c>
      <c r="L13" s="22">
        <f>F13^2/162</f>
        <v>2.4691358024691357</v>
      </c>
      <c r="M13" s="21">
        <f>K13*L13</f>
        <v>177.77777777777777</v>
      </c>
      <c r="N13" s="22">
        <f>M13/1000</f>
        <v>0.17777777777777778</v>
      </c>
      <c r="O13" s="13" t="inlineStr">
        <is>
          <t>Elevation + BBS length</t>
        </is>
      </c>
    </row>
    <row r="14">
      <c r="A14" s="13" t="n">
        <v>9</v>
      </c>
      <c r="B14" s="13" t="inlineStr">
        <is>
          <t>Columns</t>
        </is>
      </c>
      <c r="C14" s="13" t="inlineStr">
        <is>
          <t>STR-008</t>
        </is>
      </c>
      <c r="D14" s="13" t="inlineStr">
        <is>
          <t>COL-01C (2 nos) 8th to 9th - links</t>
        </is>
      </c>
      <c r="E14" s="19" t="inlineStr">
        <is>
          <t>1001</t>
        </is>
      </c>
      <c r="F14" s="19" t="n">
        <v>10</v>
      </c>
      <c r="G14" s="19" t="n">
        <v>2</v>
      </c>
      <c r="H14" s="19" t="n">
        <v>30</v>
      </c>
      <c r="I14" s="13">
        <f>G14*H14</f>
        <v>60.0</v>
      </c>
      <c r="J14" s="20">
        <f>2330/1000</f>
        <v>2.33</v>
      </c>
      <c r="K14" s="21">
        <f>I14*J14</f>
        <v>139.8</v>
      </c>
      <c r="L14" s="22">
        <f>F14^2/162</f>
        <v>0.6172839506172839</v>
      </c>
      <c r="M14" s="21">
        <f>K14*L14</f>
        <v>86.2962962962963</v>
      </c>
      <c r="N14" s="22">
        <f>M14/1000</f>
        <v>0.0862962962962963</v>
      </c>
      <c r="O14" s="13" t="inlineStr">
        <is>
          <t>Elevation + BBS length</t>
        </is>
      </c>
    </row>
    <row r="15">
      <c r="A15" s="13" t="n">
        <v>10</v>
      </c>
      <c r="B15" s="13" t="inlineStr">
        <is>
          <t>Columns</t>
        </is>
      </c>
      <c r="C15" s="13" t="inlineStr">
        <is>
          <t>STR-008</t>
        </is>
      </c>
      <c r="D15" s="13" t="inlineStr">
        <is>
          <t>COL-01C (2 nos) 8th to 9th - links</t>
        </is>
      </c>
      <c r="E15" s="19" t="inlineStr">
        <is>
          <t>1002</t>
        </is>
      </c>
      <c r="F15" s="19" t="n">
        <v>10</v>
      </c>
      <c r="G15" s="19" t="n">
        <v>2</v>
      </c>
      <c r="H15" s="19" t="n">
        <v>60</v>
      </c>
      <c r="I15" s="13">
        <f>G15*H15</f>
        <v>120.0</v>
      </c>
      <c r="J15" s="20">
        <f>1330/1000</f>
        <v>1.33</v>
      </c>
      <c r="K15" s="21">
        <f>I15*J15</f>
        <v>159.60000000000002</v>
      </c>
      <c r="L15" s="22">
        <f>F15^2/162</f>
        <v>0.6172839506172839</v>
      </c>
      <c r="M15" s="21">
        <f>K15*L15</f>
        <v>98.51851851851853</v>
      </c>
      <c r="N15" s="22">
        <f>M15/1000</f>
        <v>0.09851851851851853</v>
      </c>
      <c r="O15" s="13" t="inlineStr">
        <is>
          <t>Elevation + BBS length</t>
        </is>
      </c>
    </row>
    <row r="16">
      <c r="A16" s="13" t="n">
        <v>11</v>
      </c>
      <c r="B16" s="13" t="inlineStr">
        <is>
          <t>Columns</t>
        </is>
      </c>
      <c r="C16" s="13" t="inlineStr">
        <is>
          <t>STR-008</t>
        </is>
      </c>
      <c r="D16" s="13" t="inlineStr">
        <is>
          <t>COL-01C (2 nos) 8th to 9th - links</t>
        </is>
      </c>
      <c r="E16" s="19" t="inlineStr">
        <is>
          <t>1003</t>
        </is>
      </c>
      <c r="F16" s="19" t="n">
        <v>10</v>
      </c>
      <c r="G16" s="19" t="n">
        <v>2</v>
      </c>
      <c r="H16" s="19" t="n">
        <v>30</v>
      </c>
      <c r="I16" s="13">
        <f>G16*H16</f>
        <v>60.0</v>
      </c>
      <c r="J16" s="20">
        <f>1830/1000</f>
        <v>1.83</v>
      </c>
      <c r="K16" s="21">
        <f>I16*J16</f>
        <v>109.80000000000001</v>
      </c>
      <c r="L16" s="22">
        <f>F16^2/162</f>
        <v>0.6172839506172839</v>
      </c>
      <c r="M16" s="21">
        <f>K16*L16</f>
        <v>67.77777777777779</v>
      </c>
      <c r="N16" s="22">
        <f>M16/1000</f>
        <v>0.06777777777777778</v>
      </c>
      <c r="O16" s="13" t="inlineStr">
        <is>
          <t>Elevation + BBS length</t>
        </is>
      </c>
    </row>
    <row r="17">
      <c r="A17" s="13" t="n">
        <v>12</v>
      </c>
      <c r="B17" s="13" t="inlineStr">
        <is>
          <t>Columns</t>
        </is>
      </c>
      <c r="C17" s="13" t="inlineStr">
        <is>
          <t>STR-008</t>
        </is>
      </c>
      <c r="D17" s="13" t="inlineStr">
        <is>
          <t>COL-01C (2 nos) 8th to 9th - main bars</t>
        </is>
      </c>
      <c r="E17" s="19" t="inlineStr">
        <is>
          <t>2001</t>
        </is>
      </c>
      <c r="F17" s="19" t="n">
        <v>20</v>
      </c>
      <c r="G17" s="19" t="n">
        <v>2</v>
      </c>
      <c r="H17" s="19" t="n">
        <v>16</v>
      </c>
      <c r="I17" s="13">
        <f>G17*H17</f>
        <v>32.0</v>
      </c>
      <c r="J17" s="20">
        <f>4500/1000</f>
        <v>4.5</v>
      </c>
      <c r="K17" s="21">
        <f>I17*J17</f>
        <v>144.0</v>
      </c>
      <c r="L17" s="22">
        <f>F17^2/162</f>
        <v>2.4691358024691357</v>
      </c>
      <c r="M17" s="21">
        <f>K17*L17</f>
        <v>355.55555555555554</v>
      </c>
      <c r="N17" s="22">
        <f>M17/1000</f>
        <v>0.35555555555555557</v>
      </c>
      <c r="O17" s="13" t="inlineStr">
        <is>
          <t>Elevation + BBS length</t>
        </is>
      </c>
    </row>
    <row r="18">
      <c r="A18" s="13" t="n">
        <v>13</v>
      </c>
      <c r="B18" s="13" t="inlineStr">
        <is>
          <t>Columns</t>
        </is>
      </c>
      <c r="C18" s="13" t="inlineStr">
        <is>
          <t>STR-008</t>
        </is>
      </c>
      <c r="D18" s="13" t="inlineStr">
        <is>
          <t>COL-01D (1 nos) 8th to 9th - links</t>
        </is>
      </c>
      <c r="E18" s="19" t="inlineStr">
        <is>
          <t>1001</t>
        </is>
      </c>
      <c r="F18" s="19" t="n">
        <v>10</v>
      </c>
      <c r="G18" s="19" t="n">
        <v>1</v>
      </c>
      <c r="H18" s="19" t="n">
        <v>30</v>
      </c>
      <c r="I18" s="13">
        <f>G18*H18</f>
        <v>30.0</v>
      </c>
      <c r="J18" s="20">
        <f>2330/1000</f>
        <v>2.33</v>
      </c>
      <c r="K18" s="21">
        <f>I18*J18</f>
        <v>69.9</v>
      </c>
      <c r="L18" s="22">
        <f>F18^2/162</f>
        <v>0.6172839506172839</v>
      </c>
      <c r="M18" s="21">
        <f>K18*L18</f>
        <v>43.14814814814815</v>
      </c>
      <c r="N18" s="22">
        <f>M18/1000</f>
        <v>0.04314814814814815</v>
      </c>
      <c r="O18" s="13" t="inlineStr">
        <is>
          <t>Elevation + BBS length</t>
        </is>
      </c>
    </row>
    <row r="19">
      <c r="A19" s="13" t="n">
        <v>14</v>
      </c>
      <c r="B19" s="13" t="inlineStr">
        <is>
          <t>Columns</t>
        </is>
      </c>
      <c r="C19" s="13" t="inlineStr">
        <is>
          <t>STR-008</t>
        </is>
      </c>
      <c r="D19" s="13" t="inlineStr">
        <is>
          <t>COL-01D (1 nos) 8th to 9th - links</t>
        </is>
      </c>
      <c r="E19" s="19" t="inlineStr">
        <is>
          <t>1002</t>
        </is>
      </c>
      <c r="F19" s="19" t="n">
        <v>10</v>
      </c>
      <c r="G19" s="19" t="n">
        <v>1</v>
      </c>
      <c r="H19" s="19" t="n">
        <v>60</v>
      </c>
      <c r="I19" s="13">
        <f>G19*H19</f>
        <v>60.0</v>
      </c>
      <c r="J19" s="20">
        <f>1330/1000</f>
        <v>1.33</v>
      </c>
      <c r="K19" s="21">
        <f>I19*J19</f>
        <v>79.80000000000001</v>
      </c>
      <c r="L19" s="22">
        <f>F19^2/162</f>
        <v>0.6172839506172839</v>
      </c>
      <c r="M19" s="21">
        <f>K19*L19</f>
        <v>49.25925925925927</v>
      </c>
      <c r="N19" s="22">
        <f>M19/1000</f>
        <v>0.049259259259259267</v>
      </c>
      <c r="O19" s="13" t="inlineStr">
        <is>
          <t>Elevation + BBS length</t>
        </is>
      </c>
    </row>
    <row r="20">
      <c r="A20" s="13" t="n">
        <v>15</v>
      </c>
      <c r="B20" s="13" t="inlineStr">
        <is>
          <t>Columns</t>
        </is>
      </c>
      <c r="C20" s="13" t="inlineStr">
        <is>
          <t>STR-008</t>
        </is>
      </c>
      <c r="D20" s="13" t="inlineStr">
        <is>
          <t>COL-01D (1 nos) 8th to 9th - links</t>
        </is>
      </c>
      <c r="E20" s="19" t="inlineStr">
        <is>
          <t>1003</t>
        </is>
      </c>
      <c r="F20" s="19" t="n">
        <v>10</v>
      </c>
      <c r="G20" s="19" t="n">
        <v>1</v>
      </c>
      <c r="H20" s="19" t="n">
        <v>30</v>
      </c>
      <c r="I20" s="13">
        <f>G20*H20</f>
        <v>30.0</v>
      </c>
      <c r="J20" s="20">
        <f>1830/1000</f>
        <v>1.83</v>
      </c>
      <c r="K20" s="21">
        <f>I20*J20</f>
        <v>54.900000000000006</v>
      </c>
      <c r="L20" s="22">
        <f>F20^2/162</f>
        <v>0.6172839506172839</v>
      </c>
      <c r="M20" s="21">
        <f>K20*L20</f>
        <v>33.88888888888889</v>
      </c>
      <c r="N20" s="22">
        <f>M20/1000</f>
        <v>0.03388888888888889</v>
      </c>
      <c r="O20" s="13" t="inlineStr">
        <is>
          <t>Elevation + BBS length</t>
        </is>
      </c>
    </row>
    <row r="21">
      <c r="A21" s="13" t="n">
        <v>16</v>
      </c>
      <c r="B21" s="13" t="inlineStr">
        <is>
          <t>Columns</t>
        </is>
      </c>
      <c r="C21" s="13" t="inlineStr">
        <is>
          <t>STR-008</t>
        </is>
      </c>
      <c r="D21" s="13" t="inlineStr">
        <is>
          <t>COL-01D (1 nos) 8th to 9th - main bars</t>
        </is>
      </c>
      <c r="E21" s="19" t="inlineStr">
        <is>
          <t>2001</t>
        </is>
      </c>
      <c r="F21" s="19" t="n">
        <v>20</v>
      </c>
      <c r="G21" s="19" t="n">
        <v>1</v>
      </c>
      <c r="H21" s="19" t="n">
        <v>16</v>
      </c>
      <c r="I21" s="13">
        <f>G21*H21</f>
        <v>16.0</v>
      </c>
      <c r="J21" s="20">
        <f>4500/1000</f>
        <v>4.5</v>
      </c>
      <c r="K21" s="21">
        <f>I21*J21</f>
        <v>72.0</v>
      </c>
      <c r="L21" s="22">
        <f>F21^2/162</f>
        <v>2.4691358024691357</v>
      </c>
      <c r="M21" s="21">
        <f>K21*L21</f>
        <v>177.77777777777777</v>
      </c>
      <c r="N21" s="22">
        <f>M21/1000</f>
        <v>0.17777777777777778</v>
      </c>
      <c r="O21" s="13" t="inlineStr">
        <is>
          <t>Elevation + BBS length</t>
        </is>
      </c>
    </row>
    <row r="22">
      <c r="A22" s="13" t="n">
        <v>17</v>
      </c>
      <c r="B22" s="13" t="inlineStr">
        <is>
          <t>Columns</t>
        </is>
      </c>
      <c r="C22" s="13" t="inlineStr">
        <is>
          <t>STR-010</t>
        </is>
      </c>
      <c r="D22" s="13" t="inlineStr">
        <is>
          <t>COL-02A (3 nos) 8th to 9th - links</t>
        </is>
      </c>
      <c r="E22" s="19" t="inlineStr">
        <is>
          <t>1004</t>
        </is>
      </c>
      <c r="F22" s="19" t="n">
        <v>10</v>
      </c>
      <c r="G22" s="19" t="n">
        <v>3</v>
      </c>
      <c r="H22" s="19" t="n">
        <v>41</v>
      </c>
      <c r="I22" s="13">
        <f>G22*H22</f>
        <v>123.0</v>
      </c>
      <c r="J22" s="20">
        <f>2910/1000</f>
        <v>2.91</v>
      </c>
      <c r="K22" s="21">
        <f>I22*J22</f>
        <v>357.93</v>
      </c>
      <c r="L22" s="22">
        <f>F22^2/162</f>
        <v>0.6172839506172839</v>
      </c>
      <c r="M22" s="21">
        <f>K22*L22</f>
        <v>220.94444444444443</v>
      </c>
      <c r="N22" s="22">
        <f>M22/1000</f>
        <v>0.22094444444444442</v>
      </c>
      <c r="O22" s="13" t="inlineStr">
        <is>
          <t>Elevation + BBS length</t>
        </is>
      </c>
    </row>
    <row r="23">
      <c r="A23" s="13" t="n">
        <v>18</v>
      </c>
      <c r="B23" s="13" t="inlineStr">
        <is>
          <t>Columns</t>
        </is>
      </c>
      <c r="C23" s="13" t="inlineStr">
        <is>
          <t>STR-010</t>
        </is>
      </c>
      <c r="D23" s="13" t="inlineStr">
        <is>
          <t>COL-02A (3 nos) 8th to 9th - links</t>
        </is>
      </c>
      <c r="E23" s="19" t="inlineStr">
        <is>
          <t>1005</t>
        </is>
      </c>
      <c r="F23" s="19" t="n">
        <v>10</v>
      </c>
      <c r="G23" s="19" t="n">
        <v>3</v>
      </c>
      <c r="H23" s="19">
        <f>5*41</f>
        <v>205.0</v>
      </c>
      <c r="I23" s="13">
        <f>G23*H23</f>
        <v>615.0</v>
      </c>
      <c r="J23" s="20">
        <f>1008/1000</f>
        <v>1.008</v>
      </c>
      <c r="K23" s="21">
        <f>I23*J23</f>
        <v>619.92</v>
      </c>
      <c r="L23" s="22">
        <f>F23^2/162</f>
        <v>0.6172839506172839</v>
      </c>
      <c r="M23" s="21">
        <f>K23*L23</f>
        <v>382.66666666666663</v>
      </c>
      <c r="N23" s="22">
        <f>M23/1000</f>
        <v>0.38266666666666665</v>
      </c>
      <c r="O23" s="13" t="inlineStr">
        <is>
          <t>Elevation + BBS length</t>
        </is>
      </c>
    </row>
    <row r="24">
      <c r="A24" s="13" t="n">
        <v>19</v>
      </c>
      <c r="B24" s="13" t="inlineStr">
        <is>
          <t>Columns</t>
        </is>
      </c>
      <c r="C24" s="13" t="inlineStr">
        <is>
          <t>STR-010</t>
        </is>
      </c>
      <c r="D24" s="13" t="inlineStr">
        <is>
          <t>COL-02A (3 nos) 8th to 9th - main bars</t>
        </is>
      </c>
      <c r="E24" s="19" t="inlineStr">
        <is>
          <t>2006</t>
        </is>
      </c>
      <c r="F24" s="19" t="n">
        <v>20</v>
      </c>
      <c r="G24" s="19" t="n">
        <v>3</v>
      </c>
      <c r="H24" s="19" t="n">
        <v>18</v>
      </c>
      <c r="I24" s="13">
        <f>G24*H24</f>
        <v>54.0</v>
      </c>
      <c r="J24" s="20">
        <f>3470/1000</f>
        <v>3.47</v>
      </c>
      <c r="K24" s="21">
        <f>I24*J24</f>
        <v>187.38000000000002</v>
      </c>
      <c r="L24" s="22">
        <f>F24^2/162</f>
        <v>2.4691358024691357</v>
      </c>
      <c r="M24" s="21">
        <f>K24*L24</f>
        <v>462.6666666666667</v>
      </c>
      <c r="N24" s="22">
        <f>M24/1000</f>
        <v>0.46266666666666667</v>
      </c>
      <c r="O24" s="13" t="inlineStr">
        <is>
          <t>Elevation + BBS length</t>
        </is>
      </c>
    </row>
    <row r="25">
      <c r="A25" s="13" t="n">
        <v>20</v>
      </c>
      <c r="B25" s="13" t="inlineStr">
        <is>
          <t>Columns</t>
        </is>
      </c>
      <c r="C25" s="13" t="inlineStr">
        <is>
          <t>STR-010</t>
        </is>
      </c>
      <c r="D25" s="13" t="inlineStr">
        <is>
          <t>COL-02B (6 nos) 8th to 9th - links</t>
        </is>
      </c>
      <c r="E25" s="19" t="inlineStr">
        <is>
          <t>1004</t>
        </is>
      </c>
      <c r="F25" s="19" t="n">
        <v>10</v>
      </c>
      <c r="G25" s="19" t="n">
        <v>6</v>
      </c>
      <c r="H25" s="19" t="n">
        <v>31</v>
      </c>
      <c r="I25" s="13">
        <f>G25*H25</f>
        <v>186.0</v>
      </c>
      <c r="J25" s="20">
        <f>2910/1000</f>
        <v>2.91</v>
      </c>
      <c r="K25" s="21">
        <f>I25*J25</f>
        <v>541.26</v>
      </c>
      <c r="L25" s="22">
        <f>F25^2/162</f>
        <v>0.6172839506172839</v>
      </c>
      <c r="M25" s="21">
        <f>K25*L25</f>
        <v>334.1111111111111</v>
      </c>
      <c r="N25" s="22">
        <f>M25/1000</f>
        <v>0.3341111111111111</v>
      </c>
      <c r="O25" s="13" t="inlineStr">
        <is>
          <t>Elevation + BBS length</t>
        </is>
      </c>
    </row>
    <row r="26">
      <c r="A26" s="13" t="n">
        <v>21</v>
      </c>
      <c r="B26" s="13" t="inlineStr">
        <is>
          <t>Columns</t>
        </is>
      </c>
      <c r="C26" s="13" t="inlineStr">
        <is>
          <t>STR-010</t>
        </is>
      </c>
      <c r="D26" s="13" t="inlineStr">
        <is>
          <t>COL-02B (6 nos) 8th to 9th - links</t>
        </is>
      </c>
      <c r="E26" s="19" t="inlineStr">
        <is>
          <t>1005</t>
        </is>
      </c>
      <c r="F26" s="19" t="n">
        <v>10</v>
      </c>
      <c r="G26" s="19" t="n">
        <v>6</v>
      </c>
      <c r="H26" s="19">
        <f>5*31</f>
        <v>155.0</v>
      </c>
      <c r="I26" s="13">
        <f>G26*H26</f>
        <v>930.0</v>
      </c>
      <c r="J26" s="20">
        <f>1008/1000</f>
        <v>1.008</v>
      </c>
      <c r="K26" s="21">
        <f>I26*J26</f>
        <v>937.44</v>
      </c>
      <c r="L26" s="22">
        <f>F26^2/162</f>
        <v>0.6172839506172839</v>
      </c>
      <c r="M26" s="21">
        <f>K26*L26</f>
        <v>578.6666666666666</v>
      </c>
      <c r="N26" s="22">
        <f>M26/1000</f>
        <v>0.5786666666666667</v>
      </c>
      <c r="O26" s="13" t="inlineStr">
        <is>
          <t>Elevation + BBS length</t>
        </is>
      </c>
    </row>
    <row r="27">
      <c r="A27" s="13" t="n">
        <v>22</v>
      </c>
      <c r="B27" s="13" t="inlineStr">
        <is>
          <t>Columns</t>
        </is>
      </c>
      <c r="C27" s="13" t="inlineStr">
        <is>
          <t>STR-010</t>
        </is>
      </c>
      <c r="D27" s="13" t="inlineStr">
        <is>
          <t>COL-02B (6 nos) 8th to 9th - main bars</t>
        </is>
      </c>
      <c r="E27" s="19" t="inlineStr">
        <is>
          <t>2001</t>
        </is>
      </c>
      <c r="F27" s="19" t="n">
        <v>20</v>
      </c>
      <c r="G27" s="19" t="n">
        <v>6</v>
      </c>
      <c r="H27" s="19" t="n">
        <v>18</v>
      </c>
      <c r="I27" s="13">
        <f>G27*H27</f>
        <v>108.0</v>
      </c>
      <c r="J27" s="20">
        <f>4500/1000</f>
        <v>4.5</v>
      </c>
      <c r="K27" s="21">
        <f>I27*J27</f>
        <v>486.0</v>
      </c>
      <c r="L27" s="22">
        <f>F27^2/162</f>
        <v>2.4691358024691357</v>
      </c>
      <c r="M27" s="21">
        <f>K27*L27</f>
        <v>1200.0</v>
      </c>
      <c r="N27" s="22">
        <f>M27/1000</f>
        <v>1.2</v>
      </c>
      <c r="O27" s="13" t="inlineStr">
        <is>
          <t>Elevation + BBS length</t>
        </is>
      </c>
    </row>
    <row r="28">
      <c r="A28" s="13" t="n">
        <v>23</v>
      </c>
      <c r="B28" s="13" t="inlineStr">
        <is>
          <t>Columns</t>
        </is>
      </c>
      <c r="C28" s="13" t="inlineStr">
        <is>
          <t>STR-011</t>
        </is>
      </c>
      <c r="D28" s="13" t="inlineStr">
        <is>
          <t>COL-02C (1 nos) 8th to 9th - links</t>
        </is>
      </c>
      <c r="E28" s="19" t="inlineStr">
        <is>
          <t>1004</t>
        </is>
      </c>
      <c r="F28" s="19" t="n">
        <v>10</v>
      </c>
      <c r="G28" s="19" t="n">
        <v>1</v>
      </c>
      <c r="H28" s="19" t="n">
        <v>31</v>
      </c>
      <c r="I28" s="13">
        <f>G28*H28</f>
        <v>31.0</v>
      </c>
      <c r="J28" s="20">
        <f>2910/1000</f>
        <v>2.91</v>
      </c>
      <c r="K28" s="21">
        <f>I28*J28</f>
        <v>90.21000000000001</v>
      </c>
      <c r="L28" s="22">
        <f>F28^2/162</f>
        <v>0.6172839506172839</v>
      </c>
      <c r="M28" s="21">
        <f>K28*L28</f>
        <v>55.68518518518519</v>
      </c>
      <c r="N28" s="22">
        <f>M28/1000</f>
        <v>0.05568518518518519</v>
      </c>
      <c r="O28" s="13" t="inlineStr">
        <is>
          <t>Elevation + BBS length</t>
        </is>
      </c>
    </row>
    <row r="29">
      <c r="A29" s="13" t="n">
        <v>24</v>
      </c>
      <c r="B29" s="13" t="inlineStr">
        <is>
          <t>Columns</t>
        </is>
      </c>
      <c r="C29" s="13" t="inlineStr">
        <is>
          <t>STR-011</t>
        </is>
      </c>
      <c r="D29" s="13" t="inlineStr">
        <is>
          <t>COL-02C (1 nos) 8th to 9th - links</t>
        </is>
      </c>
      <c r="E29" s="19" t="inlineStr">
        <is>
          <t>1005</t>
        </is>
      </c>
      <c r="F29" s="19" t="n">
        <v>10</v>
      </c>
      <c r="G29" s="19" t="n">
        <v>1</v>
      </c>
      <c r="H29" s="19">
        <f>3*31</f>
        <v>93.0</v>
      </c>
      <c r="I29" s="13">
        <f>G29*H29</f>
        <v>93.0</v>
      </c>
      <c r="J29" s="20">
        <f>1008/1000</f>
        <v>1.008</v>
      </c>
      <c r="K29" s="21">
        <f>I29*J29</f>
        <v>93.744</v>
      </c>
      <c r="L29" s="22">
        <f>F29^2/162</f>
        <v>0.6172839506172839</v>
      </c>
      <c r="M29" s="21">
        <f>K29*L29</f>
        <v>57.86666666666666</v>
      </c>
      <c r="N29" s="22">
        <f>M29/1000</f>
        <v>0.057866666666666663</v>
      </c>
      <c r="O29" s="13" t="inlineStr">
        <is>
          <t>Elevation + BBS length</t>
        </is>
      </c>
    </row>
    <row r="30">
      <c r="A30" s="13" t="n">
        <v>25</v>
      </c>
      <c r="B30" s="13" t="inlineStr">
        <is>
          <t>Columns</t>
        </is>
      </c>
      <c r="C30" s="13" t="inlineStr">
        <is>
          <t>STR-011</t>
        </is>
      </c>
      <c r="D30" s="13" t="inlineStr">
        <is>
          <t>COL-02C (1 nos) 8th to 9th - main bars</t>
        </is>
      </c>
      <c r="E30" s="19" t="inlineStr">
        <is>
          <t>2001</t>
        </is>
      </c>
      <c r="F30" s="19" t="n">
        <v>20</v>
      </c>
      <c r="G30" s="19" t="n">
        <v>1</v>
      </c>
      <c r="H30" s="19" t="n">
        <v>18</v>
      </c>
      <c r="I30" s="13">
        <f>G30*H30</f>
        <v>18.0</v>
      </c>
      <c r="J30" s="20">
        <f>4500/1000</f>
        <v>4.5</v>
      </c>
      <c r="K30" s="21">
        <f>I30*J30</f>
        <v>81.0</v>
      </c>
      <c r="L30" s="22">
        <f>F30^2/162</f>
        <v>2.4691358024691357</v>
      </c>
      <c r="M30" s="21">
        <f>K30*L30</f>
        <v>200.0</v>
      </c>
      <c r="N30" s="22">
        <f>M30/1000</f>
        <v>0.2</v>
      </c>
      <c r="O30" s="13" t="inlineStr">
        <is>
          <t>Elevation + BBS length</t>
        </is>
      </c>
    </row>
    <row r="31">
      <c r="A31" s="13" t="n">
        <v>26</v>
      </c>
      <c r="B31" s="13" t="inlineStr">
        <is>
          <t>Columns</t>
        </is>
      </c>
      <c r="C31" s="13" t="inlineStr">
        <is>
          <t>STR-011</t>
        </is>
      </c>
      <c r="D31" s="13" t="inlineStr">
        <is>
          <t>COL-02D (15 nos) 8th to 9th - links</t>
        </is>
      </c>
      <c r="E31" s="19" t="inlineStr">
        <is>
          <t>1004</t>
        </is>
      </c>
      <c r="F31" s="19" t="n">
        <v>10</v>
      </c>
      <c r="G31" s="19" t="n">
        <v>15</v>
      </c>
      <c r="H31" s="19" t="n">
        <v>30</v>
      </c>
      <c r="I31" s="13">
        <f>G31*H31</f>
        <v>450.0</v>
      </c>
      <c r="J31" s="20">
        <f>2910/1000</f>
        <v>2.91</v>
      </c>
      <c r="K31" s="21">
        <f>I31*J31</f>
        <v>1309.5</v>
      </c>
      <c r="L31" s="22">
        <f>F31^2/162</f>
        <v>0.6172839506172839</v>
      </c>
      <c r="M31" s="21">
        <f>K31*L31</f>
        <v>808.3333333333333</v>
      </c>
      <c r="N31" s="22">
        <f>M31/1000</f>
        <v>0.8083333333333332</v>
      </c>
      <c r="O31" s="13" t="inlineStr">
        <is>
          <t>Elevation + BBS length</t>
        </is>
      </c>
    </row>
    <row r="32">
      <c r="A32" s="13" t="n">
        <v>27</v>
      </c>
      <c r="B32" s="13" t="inlineStr">
        <is>
          <t>Columns</t>
        </is>
      </c>
      <c r="C32" s="13" t="inlineStr">
        <is>
          <t>STR-011</t>
        </is>
      </c>
      <c r="D32" s="13" t="inlineStr">
        <is>
          <t>COL-02D (15 nos) 8th to 9th - links</t>
        </is>
      </c>
      <c r="E32" s="19" t="inlineStr">
        <is>
          <t>1005</t>
        </is>
      </c>
      <c r="F32" s="19" t="n">
        <v>10</v>
      </c>
      <c r="G32" s="19" t="n">
        <v>15</v>
      </c>
      <c r="H32" s="19">
        <f>3*30</f>
        <v>90.0</v>
      </c>
      <c r="I32" s="13">
        <f>G32*H32</f>
        <v>1350.0</v>
      </c>
      <c r="J32" s="20">
        <f>1008/1000</f>
        <v>1.008</v>
      </c>
      <c r="K32" s="21">
        <f>I32*J32</f>
        <v>1360.8</v>
      </c>
      <c r="L32" s="22">
        <f>F32^2/162</f>
        <v>0.6172839506172839</v>
      </c>
      <c r="M32" s="21">
        <f>K32*L32</f>
        <v>839.9999999999999</v>
      </c>
      <c r="N32" s="22">
        <f>M32/1000</f>
        <v>0.8399999999999999</v>
      </c>
      <c r="O32" s="13" t="inlineStr">
        <is>
          <t>Elevation + BBS length</t>
        </is>
      </c>
    </row>
    <row r="33">
      <c r="A33" s="13" t="n">
        <v>28</v>
      </c>
      <c r="B33" s="13" t="inlineStr">
        <is>
          <t>Columns</t>
        </is>
      </c>
      <c r="C33" s="13" t="inlineStr">
        <is>
          <t>STR-011</t>
        </is>
      </c>
      <c r="D33" s="13" t="inlineStr">
        <is>
          <t>COL-02D (15 nos) 8th to 9th - main bars</t>
        </is>
      </c>
      <c r="E33" s="19" t="inlineStr">
        <is>
          <t>2001</t>
        </is>
      </c>
      <c r="F33" s="19" t="n">
        <v>20</v>
      </c>
      <c r="G33" s="19" t="n">
        <v>15</v>
      </c>
      <c r="H33" s="19" t="n">
        <v>18</v>
      </c>
      <c r="I33" s="13">
        <f>G33*H33</f>
        <v>270.0</v>
      </c>
      <c r="J33" s="20">
        <f>4500/1000</f>
        <v>4.5</v>
      </c>
      <c r="K33" s="21">
        <f>I33*J33</f>
        <v>1215.0</v>
      </c>
      <c r="L33" s="22">
        <f>F33^2/162</f>
        <v>2.4691358024691357</v>
      </c>
      <c r="M33" s="21">
        <f>K33*L33</f>
        <v>3000.0</v>
      </c>
      <c r="N33" s="22">
        <f>M33/1000</f>
        <v>3.0</v>
      </c>
      <c r="O33" s="13" t="inlineStr">
        <is>
          <t>Elevation + BBS length</t>
        </is>
      </c>
    </row>
    <row r="34">
      <c r="A34" s="13" t="n">
        <v>29</v>
      </c>
      <c r="B34" s="13" t="inlineStr">
        <is>
          <t>Columns</t>
        </is>
      </c>
      <c r="C34" s="13" t="inlineStr">
        <is>
          <t>STR-012</t>
        </is>
      </c>
      <c r="D34" s="13" t="inlineStr">
        <is>
          <t>SWC-01A (1 nos) 8th to 9th - links</t>
        </is>
      </c>
      <c r="E34" s="19" t="inlineStr">
        <is>
          <t>1001</t>
        </is>
      </c>
      <c r="F34" s="19" t="n">
        <v>10</v>
      </c>
      <c r="G34" s="19" t="n">
        <v>1</v>
      </c>
      <c r="H34" s="19" t="n">
        <v>20</v>
      </c>
      <c r="I34" s="13">
        <f>G34*H34</f>
        <v>20.0</v>
      </c>
      <c r="J34" s="20">
        <f>5930/1000</f>
        <v>5.93</v>
      </c>
      <c r="K34" s="21">
        <f>I34*J34</f>
        <v>118.6</v>
      </c>
      <c r="L34" s="22">
        <f>F34^2/162</f>
        <v>0.6172839506172839</v>
      </c>
      <c r="M34" s="21">
        <f>K34*L34</f>
        <v>73.20987654320987</v>
      </c>
      <c r="N34" s="22">
        <f>M34/1000</f>
        <v>0.07320987654320987</v>
      </c>
      <c r="O34" s="13" t="inlineStr">
        <is>
          <t>Elevation + BBS length</t>
        </is>
      </c>
    </row>
    <row r="35">
      <c r="A35" s="13" t="n">
        <v>30</v>
      </c>
      <c r="B35" s="13" t="inlineStr">
        <is>
          <t>Columns</t>
        </is>
      </c>
      <c r="C35" s="13" t="inlineStr">
        <is>
          <t>STR-012</t>
        </is>
      </c>
      <c r="D35" s="13" t="inlineStr">
        <is>
          <t>SWC-01A (1 nos) 8th to 9th - links</t>
        </is>
      </c>
      <c r="E35" s="19" t="inlineStr">
        <is>
          <t>1002</t>
        </is>
      </c>
      <c r="F35" s="19" t="n">
        <v>10</v>
      </c>
      <c r="G35" s="19" t="n">
        <v>1</v>
      </c>
      <c r="H35" s="19" t="n">
        <v>20</v>
      </c>
      <c r="I35" s="13">
        <f>G35*H35</f>
        <v>20.0</v>
      </c>
      <c r="J35" s="20">
        <f>2480/1000</f>
        <v>2.48</v>
      </c>
      <c r="K35" s="21">
        <f>I35*J35</f>
        <v>49.6</v>
      </c>
      <c r="L35" s="22">
        <f>F35^2/162</f>
        <v>0.6172839506172839</v>
      </c>
      <c r="M35" s="21">
        <f>K35*L35</f>
        <v>30.61728395061728</v>
      </c>
      <c r="N35" s="22">
        <f>M35/1000</f>
        <v>0.03061728395061728</v>
      </c>
      <c r="O35" s="13" t="inlineStr">
        <is>
          <t>Elevation + BBS length</t>
        </is>
      </c>
    </row>
    <row r="36">
      <c r="A36" s="13" t="n">
        <v>31</v>
      </c>
      <c r="B36" s="13" t="inlineStr">
        <is>
          <t>Columns</t>
        </is>
      </c>
      <c r="C36" s="13" t="inlineStr">
        <is>
          <t>STR-012</t>
        </is>
      </c>
      <c r="D36" s="13" t="inlineStr">
        <is>
          <t>SWC-01A (1 nos) 8th to 9th - links</t>
        </is>
      </c>
      <c r="E36" s="19" t="inlineStr">
        <is>
          <t>1003</t>
        </is>
      </c>
      <c r="F36" s="19" t="n">
        <v>10</v>
      </c>
      <c r="G36" s="19" t="n">
        <v>1</v>
      </c>
      <c r="H36" s="19">
        <f>7*20</f>
        <v>140.0</v>
      </c>
      <c r="I36" s="13">
        <f>G36*H36</f>
        <v>140.0</v>
      </c>
      <c r="J36" s="20">
        <f>910/1000</f>
        <v>0.91</v>
      </c>
      <c r="K36" s="21">
        <f>I36*J36</f>
        <v>127.4</v>
      </c>
      <c r="L36" s="22">
        <f>F36^2/162</f>
        <v>0.6172839506172839</v>
      </c>
      <c r="M36" s="21">
        <f>K36*L36</f>
        <v>78.64197530864197</v>
      </c>
      <c r="N36" s="22">
        <f>M36/1000</f>
        <v>0.07864197530864198</v>
      </c>
      <c r="O36" s="13" t="inlineStr">
        <is>
          <t>Elevation + BBS length</t>
        </is>
      </c>
    </row>
    <row r="37">
      <c r="A37" s="13" t="n">
        <v>32</v>
      </c>
      <c r="B37" s="13" t="inlineStr">
        <is>
          <t>Columns</t>
        </is>
      </c>
      <c r="C37" s="13" t="inlineStr">
        <is>
          <t>STR-012</t>
        </is>
      </c>
      <c r="D37" s="13" t="inlineStr">
        <is>
          <t>SWC-01A (1 nos) 8th to 9th - links</t>
        </is>
      </c>
      <c r="E37" s="19" t="inlineStr">
        <is>
          <t>1004</t>
        </is>
      </c>
      <c r="F37" s="19" t="n">
        <v>10</v>
      </c>
      <c r="G37" s="19" t="n">
        <v>1</v>
      </c>
      <c r="H37" s="19">
        <f>4*20</f>
        <v>80.0</v>
      </c>
      <c r="I37" s="13">
        <f>G37*H37</f>
        <v>80.0</v>
      </c>
      <c r="J37" s="20">
        <f>770/1000</f>
        <v>0.77</v>
      </c>
      <c r="K37" s="21">
        <f>I37*J37</f>
        <v>61.6</v>
      </c>
      <c r="L37" s="22">
        <f>F37^2/162</f>
        <v>0.6172839506172839</v>
      </c>
      <c r="M37" s="21">
        <f>K37*L37</f>
        <v>38.02469135802469</v>
      </c>
      <c r="N37" s="22">
        <f>M37/1000</f>
        <v>0.03802469135802469</v>
      </c>
      <c r="O37" s="13" t="inlineStr">
        <is>
          <t>Elevation + BBS length</t>
        </is>
      </c>
    </row>
    <row r="38">
      <c r="A38" s="13" t="n">
        <v>33</v>
      </c>
      <c r="B38" s="13" t="inlineStr">
        <is>
          <t>Columns</t>
        </is>
      </c>
      <c r="C38" s="13" t="inlineStr">
        <is>
          <t>STR-012</t>
        </is>
      </c>
      <c r="D38" s="13" t="inlineStr">
        <is>
          <t>SWC-01A (1 nos) 8th to 9th - main bars</t>
        </is>
      </c>
      <c r="E38" s="19" t="inlineStr">
        <is>
          <t>2011</t>
        </is>
      </c>
      <c r="F38" s="19" t="n">
        <v>25</v>
      </c>
      <c r="G38" s="19" t="n">
        <v>1</v>
      </c>
      <c r="H38" s="19" t="n">
        <v>48</v>
      </c>
      <c r="I38" s="13">
        <f>G38*H38</f>
        <v>48.0</v>
      </c>
      <c r="J38" s="20">
        <f>3370/1000</f>
        <v>3.37</v>
      </c>
      <c r="K38" s="21">
        <f>I38*J38</f>
        <v>161.76</v>
      </c>
      <c r="L38" s="22">
        <f>F38^2/162</f>
        <v>3.8580246913580245</v>
      </c>
      <c r="M38" s="21">
        <f>K38*L38</f>
        <v>624.074074074074</v>
      </c>
      <c r="N38" s="22">
        <f>M38/1000</f>
        <v>0.624074074074074</v>
      </c>
      <c r="O38" s="13" t="inlineStr">
        <is>
          <t>Elevation + BBS length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STR-015/016</t>
        </is>
      </c>
      <c r="D39" s="13" t="inlineStr">
        <is>
          <t>Main core CW-01 (L=3600mm) 8th to 9th - horizontal Y12@150 NF/FF</t>
        </is>
      </c>
      <c r="E39" s="19" t="inlineStr">
        <is>
          <t>H-Y12</t>
        </is>
      </c>
      <c r="F39" s="19" t="n">
        <v>12</v>
      </c>
      <c r="G39" s="19" t="n">
        <v>1</v>
      </c>
      <c r="H39" s="19">
        <f>2*20</f>
        <v>40.0</v>
      </c>
      <c r="I39" s="13">
        <f>G39*H39</f>
        <v>40.0</v>
      </c>
      <c r="J39" s="20">
        <f>(3600-2*30+40*12)/1000</f>
        <v>4.02</v>
      </c>
      <c r="K39" s="21">
        <f>I39*J39</f>
        <v>160.79999999999998</v>
      </c>
      <c r="L39" s="22">
        <f>F39^2/162</f>
        <v>0.8888888888888888</v>
      </c>
      <c r="M39" s="21">
        <f>K39*L39</f>
        <v>142.9333333333333</v>
      </c>
      <c r="N39" s="22">
        <f>M39/1000</f>
        <v>0.1429333333333333</v>
      </c>
      <c r="O39" s="13" t="inlineStr">
        <is>
          <t>Elevation count / plan length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STR-015/016</t>
        </is>
      </c>
      <c r="D40" s="13" t="inlineStr">
        <is>
          <t>Main core CW-01 8th to 9th - vertical Y20@150 NF/FF</t>
        </is>
      </c>
      <c r="E40" s="19" t="inlineStr">
        <is>
          <t>V-Y20</t>
        </is>
      </c>
      <c r="F40" s="19" t="n">
        <v>20</v>
      </c>
      <c r="G40" s="19" t="n">
        <v>1</v>
      </c>
      <c r="H40" s="19">
        <f>2*29</f>
        <v>58.0</v>
      </c>
      <c r="I40" s="13">
        <f>G40*H40</f>
        <v>58.0</v>
      </c>
      <c r="J40" s="20">
        <f>(3300+40*20)/1000</f>
        <v>4.1</v>
      </c>
      <c r="K40" s="21">
        <f>I40*J40</f>
        <v>237.79999999999998</v>
      </c>
      <c r="L40" s="22">
        <f>F40^2/162</f>
        <v>2.4691358024691357</v>
      </c>
      <c r="M40" s="21">
        <f>K40*L40</f>
        <v>587.1604938271604</v>
      </c>
      <c r="N40" s="22">
        <f>M40/1000</f>
        <v>0.5871604938271604</v>
      </c>
      <c r="O40" s="13" t="inlineStr">
        <is>
          <t>Elevation / plan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STR-015/016</t>
        </is>
      </c>
      <c r="D41" s="13" t="inlineStr">
        <is>
          <t>Main core CW-05 (L=7250mm) 8th to 9th - horizontal Y12@150 NF/FF</t>
        </is>
      </c>
      <c r="E41" s="19" t="inlineStr">
        <is>
          <t>H-Y12</t>
        </is>
      </c>
      <c r="F41" s="19" t="n">
        <v>12</v>
      </c>
      <c r="G41" s="19" t="n">
        <v>1</v>
      </c>
      <c r="H41" s="19">
        <f>2*20</f>
        <v>40.0</v>
      </c>
      <c r="I41" s="13">
        <f>G41*H41</f>
        <v>40.0</v>
      </c>
      <c r="J41" s="20">
        <f>(7250-2*30+40*12)/1000</f>
        <v>7.67</v>
      </c>
      <c r="K41" s="21">
        <f>I41*J41</f>
        <v>306.8</v>
      </c>
      <c r="L41" s="22">
        <f>F41^2/162</f>
        <v>0.8888888888888888</v>
      </c>
      <c r="M41" s="21">
        <f>K41*L41</f>
        <v>272.7111111111111</v>
      </c>
      <c r="N41" s="22">
        <f>M41/1000</f>
        <v>0.2727111111111111</v>
      </c>
      <c r="O41" s="13" t="inlineStr">
        <is>
          <t>Elevation count / plan length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STR-015/016</t>
        </is>
      </c>
      <c r="D42" s="13" t="inlineStr">
        <is>
          <t>Main core CW-05 8th to 9th - vertical Y20@150 NF/FF</t>
        </is>
      </c>
      <c r="E42" s="19" t="inlineStr">
        <is>
          <t>V-Y20</t>
        </is>
      </c>
      <c r="F42" s="19" t="n">
        <v>20</v>
      </c>
      <c r="G42" s="19" t="n">
        <v>1</v>
      </c>
      <c r="H42" s="19">
        <f>2*(ROUNDUP(7250/150,0)+1)</f>
        <v>100.0</v>
      </c>
      <c r="I42" s="13">
        <f>G42*H42</f>
        <v>100.0</v>
      </c>
      <c r="J42" s="20">
        <f>(3300+40*20)/1000</f>
        <v>4.1</v>
      </c>
      <c r="K42" s="21">
        <f>I42*J42</f>
        <v>409.99999999999994</v>
      </c>
      <c r="L42" s="22">
        <f>F42^2/162</f>
        <v>2.4691358024691357</v>
      </c>
      <c r="M42" s="21">
        <f>K42*L42</f>
        <v>1012.3456790123455</v>
      </c>
      <c r="N42" s="22">
        <f>M42/1000</f>
        <v>1.0123456790123455</v>
      </c>
      <c r="O42" s="13" t="inlineStr">
        <is>
          <t>Elevation / plan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STR-015/016</t>
        </is>
      </c>
      <c r="D43" s="13" t="inlineStr">
        <is>
          <t>Main core CW-07 (stair section) (L=7250mm) 8th to 9th - horizontal Y12@150 NF/FF</t>
        </is>
      </c>
      <c r="E43" s="19" t="inlineStr">
        <is>
          <t>H-Y12</t>
        </is>
      </c>
      <c r="F43" s="19" t="n">
        <v>12</v>
      </c>
      <c r="G43" s="19" t="n">
        <v>1</v>
      </c>
      <c r="H43" s="19">
        <f>2*20</f>
        <v>40.0</v>
      </c>
      <c r="I43" s="13">
        <f>G43*H43</f>
        <v>40.0</v>
      </c>
      <c r="J43" s="20">
        <f>(7250-2*30+40*12)/1000</f>
        <v>7.67</v>
      </c>
      <c r="K43" s="21">
        <f>I43*J43</f>
        <v>306.8</v>
      </c>
      <c r="L43" s="22">
        <f>F43^2/162</f>
        <v>0.8888888888888888</v>
      </c>
      <c r="M43" s="21">
        <f>K43*L43</f>
        <v>272.7111111111111</v>
      </c>
      <c r="N43" s="22">
        <f>M43/1000</f>
        <v>0.2727111111111111</v>
      </c>
      <c r="O43" s="13" t="inlineStr">
        <is>
          <t>Elevation count / plan length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STR-015/016</t>
        </is>
      </c>
      <c r="D44" s="13" t="inlineStr">
        <is>
          <t>Main core CW-07 (stair section) 8th to 9th - vertical Y20@150 NF/FF</t>
        </is>
      </c>
      <c r="E44" s="19" t="inlineStr">
        <is>
          <t>V-Y20</t>
        </is>
      </c>
      <c r="F44" s="19" t="n">
        <v>20</v>
      </c>
      <c r="G44" s="19" t="n">
        <v>1</v>
      </c>
      <c r="H44" s="19">
        <f>2*(ROUNDUP(7250/150,0)+1)</f>
        <v>100.0</v>
      </c>
      <c r="I44" s="13">
        <f>G44*H44</f>
        <v>100.0</v>
      </c>
      <c r="J44" s="20">
        <f>(3300+40*20)/1000</f>
        <v>4.1</v>
      </c>
      <c r="K44" s="21">
        <f>I44*J44</f>
        <v>409.99999999999994</v>
      </c>
      <c r="L44" s="22">
        <f>F44^2/162</f>
        <v>2.4691358024691357</v>
      </c>
      <c r="M44" s="21">
        <f>K44*L44</f>
        <v>1012.3456790123455</v>
      </c>
      <c r="N44" s="22">
        <f>M44/1000</f>
        <v>1.0123456790123455</v>
      </c>
      <c r="O44" s="13" t="inlineStr">
        <is>
          <t>Elevation / plan</t>
        </is>
      </c>
    </row>
    <row r="45">
      <c r="A45" s="13" t="n">
        <v>40</v>
      </c>
      <c r="B45" s="13" t="inlineStr">
        <is>
          <t>Shear Walls</t>
        </is>
      </c>
      <c r="C45" s="13" t="inlineStr">
        <is>
          <t>STR-015/016</t>
        </is>
      </c>
      <c r="D45" s="13" t="inlineStr">
        <is>
          <t>Main core CW-09 (L=1150mm) 8th to 9th - horizontal Y12@150 NF/FF</t>
        </is>
      </c>
      <c r="E45" s="19" t="inlineStr">
        <is>
          <t>H-Y12</t>
        </is>
      </c>
      <c r="F45" s="19" t="n">
        <v>12</v>
      </c>
      <c r="G45" s="19" t="n">
        <v>1</v>
      </c>
      <c r="H45" s="19">
        <f>2*20</f>
        <v>40.0</v>
      </c>
      <c r="I45" s="13">
        <f>G45*H45</f>
        <v>40.0</v>
      </c>
      <c r="J45" s="20">
        <f>(1150-2*30+40*12)/1000</f>
        <v>1.57</v>
      </c>
      <c r="K45" s="21">
        <f>I45*J45</f>
        <v>62.800000000000004</v>
      </c>
      <c r="L45" s="22">
        <f>F45^2/162</f>
        <v>0.8888888888888888</v>
      </c>
      <c r="M45" s="21">
        <f>K45*L45</f>
        <v>55.82222222222222</v>
      </c>
      <c r="N45" s="22">
        <f>M45/1000</f>
        <v>0.055822222222222224</v>
      </c>
      <c r="O45" s="13" t="inlineStr">
        <is>
          <t>Elevation count / plan length</t>
        </is>
      </c>
    </row>
    <row r="46">
      <c r="A46" s="13" t="n">
        <v>41</v>
      </c>
      <c r="B46" s="13" t="inlineStr">
        <is>
          <t>Shear Walls</t>
        </is>
      </c>
      <c r="C46" s="13" t="inlineStr">
        <is>
          <t>STR-015/016</t>
        </is>
      </c>
      <c r="D46" s="13" t="inlineStr">
        <is>
          <t>Main core CW-09 8th to 9th - vertical Y20@150 NF/FF</t>
        </is>
      </c>
      <c r="E46" s="19" t="inlineStr">
        <is>
          <t>V-Y20</t>
        </is>
      </c>
      <c r="F46" s="19" t="n">
        <v>20</v>
      </c>
      <c r="G46" s="19" t="n">
        <v>1</v>
      </c>
      <c r="H46" s="19">
        <f>2*(ROUNDUP(1150/150,0)+1)</f>
        <v>18.0</v>
      </c>
      <c r="I46" s="13">
        <f>G46*H46</f>
        <v>18.0</v>
      </c>
      <c r="J46" s="20">
        <f>(3300+40*20)/1000</f>
        <v>4.1</v>
      </c>
      <c r="K46" s="21">
        <f>I46*J46</f>
        <v>73.8</v>
      </c>
      <c r="L46" s="22">
        <f>F46^2/162</f>
        <v>2.4691358024691357</v>
      </c>
      <c r="M46" s="21">
        <f>K46*L46</f>
        <v>182.2222222222222</v>
      </c>
      <c r="N46" s="22">
        <f>M46/1000</f>
        <v>0.1822222222222222</v>
      </c>
      <c r="O46" s="13" t="inlineStr">
        <is>
          <t>Elevation / plan</t>
        </is>
      </c>
    </row>
    <row r="47">
      <c r="A47" s="13" t="n">
        <v>42</v>
      </c>
      <c r="B47" s="13" t="inlineStr">
        <is>
          <t>Shear Walls</t>
        </is>
      </c>
      <c r="C47" s="13" t="inlineStr">
        <is>
          <t>STR-015/016</t>
        </is>
      </c>
      <c r="D47" s="13" t="inlineStr">
        <is>
          <t>Main core CW-10 (L=1150mm) 8th to 9th - horizontal Y12@150 NF/FF</t>
        </is>
      </c>
      <c r="E47" s="19" t="inlineStr">
        <is>
          <t>H-Y12</t>
        </is>
      </c>
      <c r="F47" s="19" t="n">
        <v>12</v>
      </c>
      <c r="G47" s="19" t="n">
        <v>1</v>
      </c>
      <c r="H47" s="19">
        <f>2*20</f>
        <v>40.0</v>
      </c>
      <c r="I47" s="13">
        <f>G47*H47</f>
        <v>40.0</v>
      </c>
      <c r="J47" s="20">
        <f>(1150-2*30+40*12)/1000</f>
        <v>1.57</v>
      </c>
      <c r="K47" s="21">
        <f>I47*J47</f>
        <v>62.800000000000004</v>
      </c>
      <c r="L47" s="22">
        <f>F47^2/162</f>
        <v>0.8888888888888888</v>
      </c>
      <c r="M47" s="21">
        <f>K47*L47</f>
        <v>55.82222222222222</v>
      </c>
      <c r="N47" s="22">
        <f>M47/1000</f>
        <v>0.055822222222222224</v>
      </c>
      <c r="O47" s="13" t="inlineStr">
        <is>
          <t>Elevation count / plan length</t>
        </is>
      </c>
    </row>
    <row r="48">
      <c r="A48" s="13" t="n">
        <v>43</v>
      </c>
      <c r="B48" s="13" t="inlineStr">
        <is>
          <t>Shear Walls</t>
        </is>
      </c>
      <c r="C48" s="13" t="inlineStr">
        <is>
          <t>STR-015/016</t>
        </is>
      </c>
      <c r="D48" s="13" t="inlineStr">
        <is>
          <t>Main core CW-10 8th to 9th - vertical Y20@150 NF/FF</t>
        </is>
      </c>
      <c r="E48" s="19" t="inlineStr">
        <is>
          <t>V-Y20</t>
        </is>
      </c>
      <c r="F48" s="19" t="n">
        <v>20</v>
      </c>
      <c r="G48" s="19" t="n">
        <v>1</v>
      </c>
      <c r="H48" s="19">
        <f>2*(ROUNDUP(1150/150,0)+1)</f>
        <v>18.0</v>
      </c>
      <c r="I48" s="13">
        <f>G48*H48</f>
        <v>18.0</v>
      </c>
      <c r="J48" s="20">
        <f>(3300+40*20)/1000</f>
        <v>4.1</v>
      </c>
      <c r="K48" s="21">
        <f>I48*J48</f>
        <v>73.8</v>
      </c>
      <c r="L48" s="22">
        <f>F48^2/162</f>
        <v>2.4691358024691357</v>
      </c>
      <c r="M48" s="21">
        <f>K48*L48</f>
        <v>182.2222222222222</v>
      </c>
      <c r="N48" s="22">
        <f>M48/1000</f>
        <v>0.1822222222222222</v>
      </c>
      <c r="O48" s="13" t="inlineStr">
        <is>
          <t>Elevation / plan</t>
        </is>
      </c>
    </row>
    <row r="49">
      <c r="A49" s="13" t="n">
        <v>44</v>
      </c>
      <c r="B49" s="13" t="inlineStr">
        <is>
          <t>Shear Walls</t>
        </is>
      </c>
      <c r="C49" s="13" t="inlineStr">
        <is>
          <t>STR-015/016</t>
        </is>
      </c>
      <c r="D49" s="13" t="inlineStr">
        <is>
          <t>Main core CW-11 (L=1650mm) 8th to 9th - horizontal Y12@150 NF/FF</t>
        </is>
      </c>
      <c r="E49" s="19" t="inlineStr">
        <is>
          <t>H-Y12</t>
        </is>
      </c>
      <c r="F49" s="19" t="n">
        <v>12</v>
      </c>
      <c r="G49" s="19" t="n">
        <v>1</v>
      </c>
      <c r="H49" s="19">
        <f>2*20</f>
        <v>40.0</v>
      </c>
      <c r="I49" s="13">
        <f>G49*H49</f>
        <v>40.0</v>
      </c>
      <c r="J49" s="20">
        <f>(1650-2*30+40*12)/1000</f>
        <v>2.07</v>
      </c>
      <c r="K49" s="21">
        <f>I49*J49</f>
        <v>82.8</v>
      </c>
      <c r="L49" s="22">
        <f>F49^2/162</f>
        <v>0.8888888888888888</v>
      </c>
      <c r="M49" s="21">
        <f>K49*L49</f>
        <v>73.6</v>
      </c>
      <c r="N49" s="22">
        <f>M49/1000</f>
        <v>0.0736</v>
      </c>
      <c r="O49" s="13" t="inlineStr">
        <is>
          <t>Elevation count / plan length</t>
        </is>
      </c>
    </row>
    <row r="50">
      <c r="A50" s="13" t="n">
        <v>45</v>
      </c>
      <c r="B50" s="13" t="inlineStr">
        <is>
          <t>Shear Walls</t>
        </is>
      </c>
      <c r="C50" s="13" t="inlineStr">
        <is>
          <t>STR-015/016</t>
        </is>
      </c>
      <c r="D50" s="13" t="inlineStr">
        <is>
          <t>Main core CW-11 8th to 9th - vertical Y20@150 NF/FF</t>
        </is>
      </c>
      <c r="E50" s="19" t="inlineStr">
        <is>
          <t>V-Y20</t>
        </is>
      </c>
      <c r="F50" s="19" t="n">
        <v>20</v>
      </c>
      <c r="G50" s="19" t="n">
        <v>1</v>
      </c>
      <c r="H50" s="19">
        <f>2*(ROUNDUP(1650/150,0)+1)</f>
        <v>24.0</v>
      </c>
      <c r="I50" s="13">
        <f>G50*H50</f>
        <v>24.0</v>
      </c>
      <c r="J50" s="20">
        <f>(3300+40*20)/1000</f>
        <v>4.1</v>
      </c>
      <c r="K50" s="21">
        <f>I50*J50</f>
        <v>98.39999999999999</v>
      </c>
      <c r="L50" s="22">
        <f>F50^2/162</f>
        <v>2.4691358024691357</v>
      </c>
      <c r="M50" s="21">
        <f>K50*L50</f>
        <v>242.96296296296293</v>
      </c>
      <c r="N50" s="22">
        <f>M50/1000</f>
        <v>0.24296296296296294</v>
      </c>
      <c r="O50" s="13" t="inlineStr">
        <is>
          <t>Elevation / plan</t>
        </is>
      </c>
    </row>
    <row r="51">
      <c r="A51" s="13" t="n">
        <v>46</v>
      </c>
      <c r="B51" s="13" t="inlineStr">
        <is>
          <t>Shear Walls</t>
        </is>
      </c>
      <c r="C51" s="13" t="inlineStr">
        <is>
          <t>STR-015/016</t>
        </is>
      </c>
      <c r="D51" s="13" t="inlineStr">
        <is>
          <t>Main core confinement links Y10@150 (26 positions on plan) 8th to 9th</t>
        </is>
      </c>
      <c r="E51" s="19" t="inlineStr">
        <is>
          <t>LNK-Y10</t>
        </is>
      </c>
      <c r="F51" s="19" t="n">
        <v>10</v>
      </c>
      <c r="G51" s="19" t="n">
        <v>1</v>
      </c>
      <c r="H51" s="19">
        <f>26*ROUNDUP(3300/150,0)</f>
        <v>572.0</v>
      </c>
      <c r="I51" s="13">
        <f>G51*H51</f>
        <v>572.0</v>
      </c>
      <c r="J51" s="20">
        <f>1800/1000</f>
        <v>1.8</v>
      </c>
      <c r="K51" s="21">
        <f>I51*J51</f>
        <v>1029.6000000000001</v>
      </c>
      <c r="L51" s="22">
        <f>F51^2/162</f>
        <v>0.6172839506172839</v>
      </c>
      <c r="M51" s="21">
        <f>K51*L51</f>
        <v>635.5555555555557</v>
      </c>
      <c r="N51" s="22">
        <f>M51/1000</f>
        <v>0.6355555555555557</v>
      </c>
      <c r="O51" s="13" t="inlineStr">
        <is>
          <t>Assumed link cut length</t>
        </is>
      </c>
    </row>
    <row r="52">
      <c r="A52" s="13" t="n">
        <v>47</v>
      </c>
      <c r="B52" s="13" t="inlineStr">
        <is>
          <t>Shear Walls</t>
        </is>
      </c>
      <c r="C52" s="13" t="inlineStr">
        <is>
          <t>STR-013/014</t>
        </is>
      </c>
      <c r="D52" s="13" t="inlineStr">
        <is>
          <t>Emergency stair core CW-12 (L=7050mm) 8th to 9th - horizontal Y12@150 NF/FF</t>
        </is>
      </c>
      <c r="E52" s="19" t="inlineStr">
        <is>
          <t>H-Y12</t>
        </is>
      </c>
      <c r="F52" s="19" t="n">
        <v>12</v>
      </c>
      <c r="G52" s="19" t="n">
        <v>1</v>
      </c>
      <c r="H52" s="19">
        <f>2*20</f>
        <v>40.0</v>
      </c>
      <c r="I52" s="13">
        <f>G52*H52</f>
        <v>40.0</v>
      </c>
      <c r="J52" s="20">
        <f>(7050-2*30+40*12)/1000</f>
        <v>7.47</v>
      </c>
      <c r="K52" s="21">
        <f>I52*J52</f>
        <v>298.8</v>
      </c>
      <c r="L52" s="22">
        <f>F52^2/162</f>
        <v>0.8888888888888888</v>
      </c>
      <c r="M52" s="21">
        <f>K52*L52</f>
        <v>265.6</v>
      </c>
      <c r="N52" s="22">
        <f>M52/1000</f>
        <v>0.2656</v>
      </c>
      <c r="O52" s="13" t="inlineStr">
        <is>
          <t>Elevation count / plan length</t>
        </is>
      </c>
    </row>
    <row r="53">
      <c r="A53" s="13" t="n">
        <v>48</v>
      </c>
      <c r="B53" s="13" t="inlineStr">
        <is>
          <t>Shear Walls</t>
        </is>
      </c>
      <c r="C53" s="13" t="inlineStr">
        <is>
          <t>STR-013/014</t>
        </is>
      </c>
      <c r="D53" s="13" t="inlineStr">
        <is>
          <t>Emergency stair core CW-12 8th to 9th - vertical Y20@150 NF/FF</t>
        </is>
      </c>
      <c r="E53" s="19" t="inlineStr">
        <is>
          <t>V-Y20</t>
        </is>
      </c>
      <c r="F53" s="19" t="n">
        <v>20</v>
      </c>
      <c r="G53" s="19" t="n">
        <v>1</v>
      </c>
      <c r="H53" s="19">
        <f>2*(ROUNDUP(7050/150,0)+1)</f>
        <v>96.0</v>
      </c>
      <c r="I53" s="13">
        <f>G53*H53</f>
        <v>96.0</v>
      </c>
      <c r="J53" s="20">
        <f>(3300+40*20)/1000</f>
        <v>4.1</v>
      </c>
      <c r="K53" s="21">
        <f>I53*J53</f>
        <v>393.59999999999997</v>
      </c>
      <c r="L53" s="22">
        <f>F53^2/162</f>
        <v>2.4691358024691357</v>
      </c>
      <c r="M53" s="21">
        <f>K53*L53</f>
        <v>971.8518518518517</v>
      </c>
      <c r="N53" s="22">
        <f>M53/1000</f>
        <v>0.9718518518518517</v>
      </c>
      <c r="O53" s="13" t="inlineStr">
        <is>
          <t>Elevation / plan</t>
        </is>
      </c>
    </row>
    <row r="54">
      <c r="A54" s="13" t="n">
        <v>49</v>
      </c>
      <c r="B54" s="13" t="inlineStr">
        <is>
          <t>Shear Walls</t>
        </is>
      </c>
      <c r="C54" s="13" t="inlineStr">
        <is>
          <t>STR-013/014</t>
        </is>
      </c>
      <c r="D54" s="13" t="inlineStr">
        <is>
          <t>Emergency stair core CW-13 (L=7810mm) 8th to 9th - horizontal Y12@150 NF/FF</t>
        </is>
      </c>
      <c r="E54" s="19" t="inlineStr">
        <is>
          <t>H-Y12</t>
        </is>
      </c>
      <c r="F54" s="19" t="n">
        <v>12</v>
      </c>
      <c r="G54" s="19" t="n">
        <v>1</v>
      </c>
      <c r="H54" s="19">
        <f>2*20</f>
        <v>40.0</v>
      </c>
      <c r="I54" s="13">
        <f>G54*H54</f>
        <v>40.0</v>
      </c>
      <c r="J54" s="20">
        <f>(7810-2*30+40*12)/1000</f>
        <v>8.23</v>
      </c>
      <c r="K54" s="21">
        <f>I54*J54</f>
        <v>329.20000000000005</v>
      </c>
      <c r="L54" s="22">
        <f>F54^2/162</f>
        <v>0.8888888888888888</v>
      </c>
      <c r="M54" s="21">
        <f>K54*L54</f>
        <v>292.62222222222226</v>
      </c>
      <c r="N54" s="22">
        <f>M54/1000</f>
        <v>0.2926222222222223</v>
      </c>
      <c r="O54" s="13" t="inlineStr">
        <is>
          <t>Elevation count / plan length</t>
        </is>
      </c>
    </row>
    <row r="55">
      <c r="A55" s="13" t="n">
        <v>50</v>
      </c>
      <c r="B55" s="13" t="inlineStr">
        <is>
          <t>Shear Walls</t>
        </is>
      </c>
      <c r="C55" s="13" t="inlineStr">
        <is>
          <t>STR-013/014</t>
        </is>
      </c>
      <c r="D55" s="13" t="inlineStr">
        <is>
          <t>Emergency stair core CW-13 8th to 9th - vertical Y20@150 NF/FF</t>
        </is>
      </c>
      <c r="E55" s="19" t="inlineStr">
        <is>
          <t>V-Y20</t>
        </is>
      </c>
      <c r="F55" s="19" t="n">
        <v>20</v>
      </c>
      <c r="G55" s="19" t="n">
        <v>1</v>
      </c>
      <c r="H55" s="19">
        <f>2*52</f>
        <v>104.0</v>
      </c>
      <c r="I55" s="13">
        <f>G55*H55</f>
        <v>104.0</v>
      </c>
      <c r="J55" s="20">
        <f>(3300+40*20)/1000</f>
        <v>4.1</v>
      </c>
      <c r="K55" s="21">
        <f>I55*J55</f>
        <v>426.4</v>
      </c>
      <c r="L55" s="22">
        <f>F55^2/162</f>
        <v>2.4691358024691357</v>
      </c>
      <c r="M55" s="21">
        <f>K55*L55</f>
        <v>1052.8395061728395</v>
      </c>
      <c r="N55" s="22">
        <f>M55/1000</f>
        <v>1.0528395061728395</v>
      </c>
      <c r="O55" s="13" t="inlineStr">
        <is>
          <t>Elevation / plan</t>
        </is>
      </c>
    </row>
    <row r="56">
      <c r="A56" s="13" t="n">
        <v>51</v>
      </c>
      <c r="B56" s="13" t="inlineStr">
        <is>
          <t>Shear Walls</t>
        </is>
      </c>
      <c r="C56" s="13" t="inlineStr">
        <is>
          <t>STR-013/014</t>
        </is>
      </c>
      <c r="D56" s="13" t="inlineStr">
        <is>
          <t>Emergency stair core CW-14 (L=3450mm) 8th to 9th - horizontal Y12@150 NF/FF</t>
        </is>
      </c>
      <c r="E56" s="19" t="inlineStr">
        <is>
          <t>H-Y12</t>
        </is>
      </c>
      <c r="F56" s="19" t="n">
        <v>12</v>
      </c>
      <c r="G56" s="19" t="n">
        <v>1</v>
      </c>
      <c r="H56" s="19">
        <f>2*20</f>
        <v>40.0</v>
      </c>
      <c r="I56" s="13">
        <f>G56*H56</f>
        <v>40.0</v>
      </c>
      <c r="J56" s="20">
        <f>(3450-2*30+40*12)/1000</f>
        <v>3.87</v>
      </c>
      <c r="K56" s="21">
        <f>I56*J56</f>
        <v>154.8</v>
      </c>
      <c r="L56" s="22">
        <f>F56^2/162</f>
        <v>0.8888888888888888</v>
      </c>
      <c r="M56" s="21">
        <f>K56*L56</f>
        <v>137.6</v>
      </c>
      <c r="N56" s="22">
        <f>M56/1000</f>
        <v>0.1376</v>
      </c>
      <c r="O56" s="13" t="inlineStr">
        <is>
          <t>Elevation count / plan length</t>
        </is>
      </c>
    </row>
    <row r="57">
      <c r="A57" s="13" t="n">
        <v>52</v>
      </c>
      <c r="B57" s="13" t="inlineStr">
        <is>
          <t>Shear Walls</t>
        </is>
      </c>
      <c r="C57" s="13" t="inlineStr">
        <is>
          <t>STR-013/014</t>
        </is>
      </c>
      <c r="D57" s="13" t="inlineStr">
        <is>
          <t>Emergency stair core CW-14 8th to 9th - vertical Y20@150 NF/FF</t>
        </is>
      </c>
      <c r="E57" s="19" t="inlineStr">
        <is>
          <t>V-Y20</t>
        </is>
      </c>
      <c r="F57" s="19" t="n">
        <v>20</v>
      </c>
      <c r="G57" s="19" t="n">
        <v>1</v>
      </c>
      <c r="H57" s="19">
        <f>2*(ROUNDUP(3450/150,0)+1)</f>
        <v>48.0</v>
      </c>
      <c r="I57" s="13">
        <f>G57*H57</f>
        <v>48.0</v>
      </c>
      <c r="J57" s="20">
        <f>(3300+40*20)/1000</f>
        <v>4.1</v>
      </c>
      <c r="K57" s="21">
        <f>I57*J57</f>
        <v>196.79999999999998</v>
      </c>
      <c r="L57" s="22">
        <f>F57^2/162</f>
        <v>2.4691358024691357</v>
      </c>
      <c r="M57" s="21">
        <f>K57*L57</f>
        <v>485.92592592592587</v>
      </c>
      <c r="N57" s="22">
        <f>M57/1000</f>
        <v>0.4859259259259259</v>
      </c>
      <c r="O57" s="13" t="inlineStr">
        <is>
          <t>Elevation / plan</t>
        </is>
      </c>
    </row>
    <row r="58">
      <c r="A58" s="13" t="n">
        <v>53</v>
      </c>
      <c r="B58" s="13" t="inlineStr">
        <is>
          <t>Shear Walls</t>
        </is>
      </c>
      <c r="C58" s="13" t="inlineStr">
        <is>
          <t>STR-013/014</t>
        </is>
      </c>
      <c r="D58" s="13" t="inlineStr">
        <is>
          <t>Emergency stair core CW-15 (L=2425mm) 8th to 9th - horizontal Y12@150 NF/FF</t>
        </is>
      </c>
      <c r="E58" s="19" t="inlineStr">
        <is>
          <t>H-Y12</t>
        </is>
      </c>
      <c r="F58" s="19" t="n">
        <v>12</v>
      </c>
      <c r="G58" s="19" t="n">
        <v>1</v>
      </c>
      <c r="H58" s="19">
        <f>2*20</f>
        <v>40.0</v>
      </c>
      <c r="I58" s="13">
        <f>G58*H58</f>
        <v>40.0</v>
      </c>
      <c r="J58" s="20">
        <f>(2425-2*30+40*12)/1000</f>
        <v>2.845</v>
      </c>
      <c r="K58" s="21">
        <f>I58*J58</f>
        <v>113.80000000000001</v>
      </c>
      <c r="L58" s="22">
        <f>F58^2/162</f>
        <v>0.8888888888888888</v>
      </c>
      <c r="M58" s="21">
        <f>K58*L58</f>
        <v>101.15555555555557</v>
      </c>
      <c r="N58" s="22">
        <f>M58/1000</f>
        <v>0.10115555555555557</v>
      </c>
      <c r="O58" s="13" t="inlineStr">
        <is>
          <t>Elevation count / plan length</t>
        </is>
      </c>
    </row>
    <row r="59">
      <c r="A59" s="13" t="n">
        <v>54</v>
      </c>
      <c r="B59" s="13" t="inlineStr">
        <is>
          <t>Shear Walls</t>
        </is>
      </c>
      <c r="C59" s="13" t="inlineStr">
        <is>
          <t>STR-013/014</t>
        </is>
      </c>
      <c r="D59" s="13" t="inlineStr">
        <is>
          <t>Emergency stair core CW-15 8th to 9th - vertical Y20@150 NF/FF</t>
        </is>
      </c>
      <c r="E59" s="19" t="inlineStr">
        <is>
          <t>V-Y20</t>
        </is>
      </c>
      <c r="F59" s="19" t="n">
        <v>20</v>
      </c>
      <c r="G59" s="19" t="n">
        <v>1</v>
      </c>
      <c r="H59" s="19">
        <f>2*(ROUNDUP(2425/150,0)+1)</f>
        <v>36.0</v>
      </c>
      <c r="I59" s="13">
        <f>G59*H59</f>
        <v>36.0</v>
      </c>
      <c r="J59" s="20">
        <f>(3300+40*20)/1000</f>
        <v>4.1</v>
      </c>
      <c r="K59" s="21">
        <f>I59*J59</f>
        <v>147.6</v>
      </c>
      <c r="L59" s="22">
        <f>F59^2/162</f>
        <v>2.4691358024691357</v>
      </c>
      <c r="M59" s="21">
        <f>K59*L59</f>
        <v>364.4444444444444</v>
      </c>
      <c r="N59" s="22">
        <f>M59/1000</f>
        <v>0.3644444444444444</v>
      </c>
      <c r="O59" s="13" t="inlineStr">
        <is>
          <t>Elevation / plan</t>
        </is>
      </c>
    </row>
    <row r="60">
      <c r="A60" s="13" t="n">
        <v>55</v>
      </c>
      <c r="B60" s="13" t="inlineStr">
        <is>
          <t>Shear Walls</t>
        </is>
      </c>
      <c r="C60" s="13" t="inlineStr">
        <is>
          <t>STR-013/014</t>
        </is>
      </c>
      <c r="D60" s="13" t="inlineStr">
        <is>
          <t>Emergency stair core CW-16 (L=775mm) 8th to 9th - horizontal Y12@150 NF/FF</t>
        </is>
      </c>
      <c r="E60" s="19" t="inlineStr">
        <is>
          <t>H-Y12</t>
        </is>
      </c>
      <c r="F60" s="19" t="n">
        <v>12</v>
      </c>
      <c r="G60" s="19" t="n">
        <v>1</v>
      </c>
      <c r="H60" s="19">
        <f>2*20</f>
        <v>40.0</v>
      </c>
      <c r="I60" s="13">
        <f>G60*H60</f>
        <v>40.0</v>
      </c>
      <c r="J60" s="20">
        <f>(775-2*30+40*12)/1000</f>
        <v>1.195</v>
      </c>
      <c r="K60" s="21">
        <f>I60*J60</f>
        <v>47.800000000000004</v>
      </c>
      <c r="L60" s="22">
        <f>F60^2/162</f>
        <v>0.8888888888888888</v>
      </c>
      <c r="M60" s="21">
        <f>K60*L60</f>
        <v>42.48888888888889</v>
      </c>
      <c r="N60" s="22">
        <f>M60/1000</f>
        <v>0.04248888888888889</v>
      </c>
      <c r="O60" s="13" t="inlineStr">
        <is>
          <t>Elevation count / plan length</t>
        </is>
      </c>
    </row>
    <row r="61">
      <c r="A61" s="13" t="n">
        <v>56</v>
      </c>
      <c r="B61" s="13" t="inlineStr">
        <is>
          <t>Shear Walls</t>
        </is>
      </c>
      <c r="C61" s="13" t="inlineStr">
        <is>
          <t>STR-013/014</t>
        </is>
      </c>
      <c r="D61" s="13" t="inlineStr">
        <is>
          <t>Emergency stair core CW-16 8th to 9th - vertical Y20@150 NF/FF</t>
        </is>
      </c>
      <c r="E61" s="19" t="inlineStr">
        <is>
          <t>V-Y20</t>
        </is>
      </c>
      <c r="F61" s="19" t="n">
        <v>20</v>
      </c>
      <c r="G61" s="19" t="n">
        <v>1</v>
      </c>
      <c r="H61" s="19">
        <f>2*(ROUNDUP(775/150,0)+1)</f>
        <v>14.0</v>
      </c>
      <c r="I61" s="13">
        <f>G61*H61</f>
        <v>14.0</v>
      </c>
      <c r="J61" s="20">
        <f>(3300+40*20)/1000</f>
        <v>4.1</v>
      </c>
      <c r="K61" s="21">
        <f>I61*J61</f>
        <v>57.39999999999999</v>
      </c>
      <c r="L61" s="22">
        <f>F61^2/162</f>
        <v>2.4691358024691357</v>
      </c>
      <c r="M61" s="21">
        <f>K61*L61</f>
        <v>141.72839506172838</v>
      </c>
      <c r="N61" s="22">
        <f>M61/1000</f>
        <v>0.14172839506172838</v>
      </c>
      <c r="O61" s="13" t="inlineStr">
        <is>
          <t>Elevation / plan</t>
        </is>
      </c>
    </row>
    <row r="62">
      <c r="A62" s="13" t="n">
        <v>57</v>
      </c>
      <c r="B62" s="13" t="inlineStr">
        <is>
          <t>Shear Walls</t>
        </is>
      </c>
      <c r="C62" s="13" t="inlineStr">
        <is>
          <t>STR-013/014</t>
        </is>
      </c>
      <c r="D62" s="13" t="inlineStr">
        <is>
          <t>Emergency stair core CW-17 (L=360mm) 8th to 9th - horizontal Y12@150 NF/FF</t>
        </is>
      </c>
      <c r="E62" s="19" t="inlineStr">
        <is>
          <t>H-Y12</t>
        </is>
      </c>
      <c r="F62" s="19" t="n">
        <v>12</v>
      </c>
      <c r="G62" s="19" t="n">
        <v>1</v>
      </c>
      <c r="H62" s="19">
        <f>2*20</f>
        <v>40.0</v>
      </c>
      <c r="I62" s="13">
        <f>G62*H62</f>
        <v>40.0</v>
      </c>
      <c r="J62" s="20">
        <f>(360-2*30+40*12)/1000</f>
        <v>0.78</v>
      </c>
      <c r="K62" s="21">
        <f>I62*J62</f>
        <v>31.200000000000003</v>
      </c>
      <c r="L62" s="22">
        <f>F62^2/162</f>
        <v>0.8888888888888888</v>
      </c>
      <c r="M62" s="21">
        <f>K62*L62</f>
        <v>27.733333333333334</v>
      </c>
      <c r="N62" s="22">
        <f>M62/1000</f>
        <v>0.027733333333333336</v>
      </c>
      <c r="O62" s="13" t="inlineStr">
        <is>
          <t>Elevation count / plan length</t>
        </is>
      </c>
    </row>
    <row r="63">
      <c r="A63" s="13" t="n">
        <v>58</v>
      </c>
      <c r="B63" s="13" t="inlineStr">
        <is>
          <t>Shear Walls</t>
        </is>
      </c>
      <c r="C63" s="13" t="inlineStr">
        <is>
          <t>STR-013/014</t>
        </is>
      </c>
      <c r="D63" s="13" t="inlineStr">
        <is>
          <t>Emergency stair core CW-17 8th to 9th - vertical Y20@150 NF/FF</t>
        </is>
      </c>
      <c r="E63" s="19" t="inlineStr">
        <is>
          <t>V-Y20</t>
        </is>
      </c>
      <c r="F63" s="19" t="n">
        <v>20</v>
      </c>
      <c r="G63" s="19" t="n">
        <v>1</v>
      </c>
      <c r="H63" s="19">
        <f>2*(ROUNDUP(360/150,0)+1)</f>
        <v>8.0</v>
      </c>
      <c r="I63" s="13">
        <f>G63*H63</f>
        <v>8.0</v>
      </c>
      <c r="J63" s="20">
        <f>(3300+40*20)/1000</f>
        <v>4.1</v>
      </c>
      <c r="K63" s="21">
        <f>I63*J63</f>
        <v>32.8</v>
      </c>
      <c r="L63" s="22">
        <f>F63^2/162</f>
        <v>2.4691358024691357</v>
      </c>
      <c r="M63" s="21">
        <f>K63*L63</f>
        <v>80.98765432098764</v>
      </c>
      <c r="N63" s="22">
        <f>M63/1000</f>
        <v>0.08098765432098765</v>
      </c>
      <c r="O63" s="13" t="inlineStr">
        <is>
          <t>Elevation / plan</t>
        </is>
      </c>
    </row>
    <row r="64">
      <c r="A64" s="13" t="n">
        <v>59</v>
      </c>
      <c r="B64" s="13" t="inlineStr">
        <is>
          <t>Shear Walls</t>
        </is>
      </c>
      <c r="C64" s="13" t="inlineStr">
        <is>
          <t>STR-013/014</t>
        </is>
      </c>
      <c r="D64" s="13" t="inlineStr">
        <is>
          <t>Emergency stair core CW-18 (L=1300mm) 8th to 9th - horizontal Y12@150 NF/FF</t>
        </is>
      </c>
      <c r="E64" s="19" t="inlineStr">
        <is>
          <t>H-Y12</t>
        </is>
      </c>
      <c r="F64" s="19" t="n">
        <v>12</v>
      </c>
      <c r="G64" s="19" t="n">
        <v>1</v>
      </c>
      <c r="H64" s="19">
        <f>2*20</f>
        <v>40.0</v>
      </c>
      <c r="I64" s="13">
        <f>G64*H64</f>
        <v>40.0</v>
      </c>
      <c r="J64" s="20">
        <f>(1300-2*30+40*12)/1000</f>
        <v>1.72</v>
      </c>
      <c r="K64" s="21">
        <f>I64*J64</f>
        <v>68.8</v>
      </c>
      <c r="L64" s="22">
        <f>F64^2/162</f>
        <v>0.8888888888888888</v>
      </c>
      <c r="M64" s="21">
        <f>K64*L64</f>
        <v>61.15555555555555</v>
      </c>
      <c r="N64" s="22">
        <f>M64/1000</f>
        <v>0.06115555555555555</v>
      </c>
      <c r="O64" s="13" t="inlineStr">
        <is>
          <t>Elevation count / plan length</t>
        </is>
      </c>
    </row>
    <row r="65">
      <c r="A65" s="13" t="n">
        <v>60</v>
      </c>
      <c r="B65" s="13" t="inlineStr">
        <is>
          <t>Shear Walls</t>
        </is>
      </c>
      <c r="C65" s="13" t="inlineStr">
        <is>
          <t>STR-013/014</t>
        </is>
      </c>
      <c r="D65" s="13" t="inlineStr">
        <is>
          <t>Emergency stair core CW-18 8th to 9th - vertical Y20@150 NF/FF</t>
        </is>
      </c>
      <c r="E65" s="19" t="inlineStr">
        <is>
          <t>V-Y20</t>
        </is>
      </c>
      <c r="F65" s="19" t="n">
        <v>20</v>
      </c>
      <c r="G65" s="19" t="n">
        <v>1</v>
      </c>
      <c r="H65" s="19">
        <f>2*(ROUNDUP(1300/150,0)+1)</f>
        <v>20.0</v>
      </c>
      <c r="I65" s="13">
        <f>G65*H65</f>
        <v>20.0</v>
      </c>
      <c r="J65" s="20">
        <f>(3300+40*20)/1000</f>
        <v>4.1</v>
      </c>
      <c r="K65" s="21">
        <f>I65*J65</f>
        <v>82.0</v>
      </c>
      <c r="L65" s="22">
        <f>F65^2/162</f>
        <v>2.4691358024691357</v>
      </c>
      <c r="M65" s="21">
        <f>K65*L65</f>
        <v>202.4691358024691</v>
      </c>
      <c r="N65" s="22">
        <f>M65/1000</f>
        <v>0.2024691358024691</v>
      </c>
      <c r="O65" s="13" t="inlineStr">
        <is>
          <t>Elevation / plan</t>
        </is>
      </c>
    </row>
    <row r="66">
      <c r="A66" s="13" t="n">
        <v>61</v>
      </c>
      <c r="B66" s="13" t="inlineStr">
        <is>
          <t>Shear Walls</t>
        </is>
      </c>
      <c r="C66" s="13" t="inlineStr">
        <is>
          <t>STR-013/014</t>
        </is>
      </c>
      <c r="D66" s="13" t="inlineStr">
        <is>
          <t>Emergency stair core CW-19 (L=1100mm) 8th to 9th - horizontal Y12@150 NF/FF</t>
        </is>
      </c>
      <c r="E66" s="19" t="inlineStr">
        <is>
          <t>H-Y12</t>
        </is>
      </c>
      <c r="F66" s="19" t="n">
        <v>12</v>
      </c>
      <c r="G66" s="19" t="n">
        <v>1</v>
      </c>
      <c r="H66" s="19">
        <f>2*20</f>
        <v>40.0</v>
      </c>
      <c r="I66" s="13">
        <f>G66*H66</f>
        <v>40.0</v>
      </c>
      <c r="J66" s="20">
        <f>(1100-2*30+40*12)/1000</f>
        <v>1.52</v>
      </c>
      <c r="K66" s="21">
        <f>I66*J66</f>
        <v>60.8</v>
      </c>
      <c r="L66" s="22">
        <f>F66^2/162</f>
        <v>0.8888888888888888</v>
      </c>
      <c r="M66" s="21">
        <f>K66*L66</f>
        <v>54.04444444444444</v>
      </c>
      <c r="N66" s="22">
        <f>M66/1000</f>
        <v>0.05404444444444444</v>
      </c>
      <c r="O66" s="13" t="inlineStr">
        <is>
          <t>Elevation count / plan length</t>
        </is>
      </c>
    </row>
    <row r="67">
      <c r="A67" s="13" t="n">
        <v>62</v>
      </c>
      <c r="B67" s="13" t="inlineStr">
        <is>
          <t>Shear Walls</t>
        </is>
      </c>
      <c r="C67" s="13" t="inlineStr">
        <is>
          <t>STR-013/014</t>
        </is>
      </c>
      <c r="D67" s="13" t="inlineStr">
        <is>
          <t>Emergency stair core CW-19 8th to 9th - vertical Y20@150 NF/FF</t>
        </is>
      </c>
      <c r="E67" s="19" t="inlineStr">
        <is>
          <t>V-Y20</t>
        </is>
      </c>
      <c r="F67" s="19" t="n">
        <v>20</v>
      </c>
      <c r="G67" s="19" t="n">
        <v>1</v>
      </c>
      <c r="H67" s="19">
        <f>2*(ROUNDUP(1100/150,0)+1)</f>
        <v>18.0</v>
      </c>
      <c r="I67" s="13">
        <f>G67*H67</f>
        <v>18.0</v>
      </c>
      <c r="J67" s="20">
        <f>(3300+40*20)/1000</f>
        <v>4.1</v>
      </c>
      <c r="K67" s="21">
        <f>I67*J67</f>
        <v>73.8</v>
      </c>
      <c r="L67" s="22">
        <f>F67^2/162</f>
        <v>2.4691358024691357</v>
      </c>
      <c r="M67" s="21">
        <f>K67*L67</f>
        <v>182.2222222222222</v>
      </c>
      <c r="N67" s="22">
        <f>M67/1000</f>
        <v>0.1822222222222222</v>
      </c>
      <c r="O67" s="13" t="inlineStr">
        <is>
          <t>Elevation / plan</t>
        </is>
      </c>
    </row>
    <row r="68">
      <c r="A68" s="13" t="n">
        <v>63</v>
      </c>
      <c r="B68" s="13" t="inlineStr">
        <is>
          <t>Shear Walls</t>
        </is>
      </c>
      <c r="C68" s="13" t="inlineStr">
        <is>
          <t>STR-013/014</t>
        </is>
      </c>
      <c r="D68" s="13" t="inlineStr">
        <is>
          <t>Emergency stair core CW-20 (L=1300mm) 8th to 9th - horizontal Y12@150 NF/FF</t>
        </is>
      </c>
      <c r="E68" s="19" t="inlineStr">
        <is>
          <t>H-Y12</t>
        </is>
      </c>
      <c r="F68" s="19" t="n">
        <v>12</v>
      </c>
      <c r="G68" s="19" t="n">
        <v>1</v>
      </c>
      <c r="H68" s="19">
        <f>2*20</f>
        <v>40.0</v>
      </c>
      <c r="I68" s="13">
        <f>G68*H68</f>
        <v>40.0</v>
      </c>
      <c r="J68" s="20">
        <f>(1300-2*30+40*12)/1000</f>
        <v>1.72</v>
      </c>
      <c r="K68" s="21">
        <f>I68*J68</f>
        <v>68.8</v>
      </c>
      <c r="L68" s="22">
        <f>F68^2/162</f>
        <v>0.8888888888888888</v>
      </c>
      <c r="M68" s="21">
        <f>K68*L68</f>
        <v>61.15555555555555</v>
      </c>
      <c r="N68" s="22">
        <f>M68/1000</f>
        <v>0.06115555555555555</v>
      </c>
      <c r="O68" s="13" t="inlineStr">
        <is>
          <t>Elevation count / plan length</t>
        </is>
      </c>
    </row>
    <row r="69">
      <c r="A69" s="13" t="n">
        <v>64</v>
      </c>
      <c r="B69" s="13" t="inlineStr">
        <is>
          <t>Shear Walls</t>
        </is>
      </c>
      <c r="C69" s="13" t="inlineStr">
        <is>
          <t>STR-013/014</t>
        </is>
      </c>
      <c r="D69" s="13" t="inlineStr">
        <is>
          <t>Emergency stair core CW-20 8th to 9th - vertical Y20@150 NF/FF</t>
        </is>
      </c>
      <c r="E69" s="19" t="inlineStr">
        <is>
          <t>V-Y20</t>
        </is>
      </c>
      <c r="F69" s="19" t="n">
        <v>20</v>
      </c>
      <c r="G69" s="19" t="n">
        <v>1</v>
      </c>
      <c r="H69" s="19">
        <f>2*(ROUNDUP(1300/150,0)+1)</f>
        <v>20.0</v>
      </c>
      <c r="I69" s="13">
        <f>G69*H69</f>
        <v>20.0</v>
      </c>
      <c r="J69" s="20">
        <f>(3300+40*20)/1000</f>
        <v>4.1</v>
      </c>
      <c r="K69" s="21">
        <f>I69*J69</f>
        <v>82.0</v>
      </c>
      <c r="L69" s="22">
        <f>F69^2/162</f>
        <v>2.4691358024691357</v>
      </c>
      <c r="M69" s="21">
        <f>K69*L69</f>
        <v>202.4691358024691</v>
      </c>
      <c r="N69" s="22">
        <f>M69/1000</f>
        <v>0.2024691358024691</v>
      </c>
      <c r="O69" s="13" t="inlineStr">
        <is>
          <t>Elevation / plan</t>
        </is>
      </c>
    </row>
    <row r="70">
      <c r="A70" s="13" t="n">
        <v>65</v>
      </c>
      <c r="B70" s="13" t="inlineStr">
        <is>
          <t>Shear Walls</t>
        </is>
      </c>
      <c r="C70" s="13" t="inlineStr">
        <is>
          <t>STR-013/014</t>
        </is>
      </c>
      <c r="D70" s="13" t="inlineStr">
        <is>
          <t>Emergency stair core confinement links Y10@150 (33 positions on plan) 8th to 9th</t>
        </is>
      </c>
      <c r="E70" s="19" t="inlineStr">
        <is>
          <t>LNK-Y10</t>
        </is>
      </c>
      <c r="F70" s="19" t="n">
        <v>10</v>
      </c>
      <c r="G70" s="19" t="n">
        <v>1</v>
      </c>
      <c r="H70" s="19">
        <f>33*ROUNDUP(3300/150,0)</f>
        <v>726.0</v>
      </c>
      <c r="I70" s="13">
        <f>G70*H70</f>
        <v>726.0</v>
      </c>
      <c r="J70" s="20">
        <f>1800/1000</f>
        <v>1.8</v>
      </c>
      <c r="K70" s="21">
        <f>I70*J70</f>
        <v>1306.8</v>
      </c>
      <c r="L70" s="22">
        <f>F70^2/162</f>
        <v>0.6172839506172839</v>
      </c>
      <c r="M70" s="21">
        <f>K70*L70</f>
        <v>806.6666666666666</v>
      </c>
      <c r="N70" s="22">
        <f>M70/1000</f>
        <v>0.8066666666666666</v>
      </c>
      <c r="O70" s="13" t="inlineStr">
        <is>
          <t>Assumed link cut length</t>
        </is>
      </c>
    </row>
    <row r="71">
      <c r="A71" s="13" t="n">
        <v>66</v>
      </c>
      <c r="B71" s="13" t="inlineStr">
        <is>
          <t>Lift Walls</t>
        </is>
      </c>
      <c r="C71" s="13" t="inlineStr">
        <is>
          <t>STR-015/017</t>
        </is>
      </c>
      <c r="D71" s="13" t="inlineStr">
        <is>
          <t>Main core (lift shafts) CW-02 (L=3600mm) 8th to 9th - horizontal Y12@150 NF/FF</t>
        </is>
      </c>
      <c r="E71" s="19" t="inlineStr">
        <is>
          <t>H-Y12</t>
        </is>
      </c>
      <c r="F71" s="19" t="n">
        <v>12</v>
      </c>
      <c r="G71" s="19" t="n">
        <v>1</v>
      </c>
      <c r="H71" s="19">
        <f>2*20</f>
        <v>40.0</v>
      </c>
      <c r="I71" s="13">
        <f>G71*H71</f>
        <v>40.0</v>
      </c>
      <c r="J71" s="20">
        <f>(3600-2*30+40*12)/1000</f>
        <v>4.02</v>
      </c>
      <c r="K71" s="21">
        <f>I71*J71</f>
        <v>160.79999999999998</v>
      </c>
      <c r="L71" s="22">
        <f>F71^2/162</f>
        <v>0.8888888888888888</v>
      </c>
      <c r="M71" s="21">
        <f>K71*L71</f>
        <v>142.9333333333333</v>
      </c>
      <c r="N71" s="22">
        <f>M71/1000</f>
        <v>0.1429333333333333</v>
      </c>
      <c r="O71" s="13" t="inlineStr">
        <is>
          <t>Elevation count / plan length</t>
        </is>
      </c>
    </row>
    <row r="72">
      <c r="A72" s="13" t="n">
        <v>67</v>
      </c>
      <c r="B72" s="13" t="inlineStr">
        <is>
          <t>Lift Walls</t>
        </is>
      </c>
      <c r="C72" s="13" t="inlineStr">
        <is>
          <t>STR-015/017</t>
        </is>
      </c>
      <c r="D72" s="13" t="inlineStr">
        <is>
          <t>Main core (lift shafts) CW-02 8th to 9th - vertical Y20@150 NF/FF</t>
        </is>
      </c>
      <c r="E72" s="19" t="inlineStr">
        <is>
          <t>V-Y20</t>
        </is>
      </c>
      <c r="F72" s="19" t="n">
        <v>20</v>
      </c>
      <c r="G72" s="19" t="n">
        <v>1</v>
      </c>
      <c r="H72" s="19">
        <f>2*29</f>
        <v>58.0</v>
      </c>
      <c r="I72" s="13">
        <f>G72*H72</f>
        <v>58.0</v>
      </c>
      <c r="J72" s="20">
        <f>(3300+40*20)/1000</f>
        <v>4.1</v>
      </c>
      <c r="K72" s="21">
        <f>I72*J72</f>
        <v>237.79999999999998</v>
      </c>
      <c r="L72" s="22">
        <f>F72^2/162</f>
        <v>2.4691358024691357</v>
      </c>
      <c r="M72" s="21">
        <f>K72*L72</f>
        <v>587.1604938271604</v>
      </c>
      <c r="N72" s="22">
        <f>M72/1000</f>
        <v>0.5871604938271604</v>
      </c>
      <c r="O72" s="13" t="inlineStr">
        <is>
          <t>Elevation / plan</t>
        </is>
      </c>
    </row>
    <row r="73">
      <c r="A73" s="13" t="n">
        <v>68</v>
      </c>
      <c r="B73" s="13" t="inlineStr">
        <is>
          <t>Lift Walls</t>
        </is>
      </c>
      <c r="C73" s="13" t="inlineStr">
        <is>
          <t>STR-015/017</t>
        </is>
      </c>
      <c r="D73" s="13" t="inlineStr">
        <is>
          <t>Main core (lift shafts) CW-03 (L=3600mm) 8th to 9th - horizontal Y12@150 NF/FF</t>
        </is>
      </c>
      <c r="E73" s="19" t="inlineStr">
        <is>
          <t>H-Y12</t>
        </is>
      </c>
      <c r="F73" s="19" t="n">
        <v>12</v>
      </c>
      <c r="G73" s="19" t="n">
        <v>1</v>
      </c>
      <c r="H73" s="19">
        <f>2*20</f>
        <v>40.0</v>
      </c>
      <c r="I73" s="13">
        <f>G73*H73</f>
        <v>40.0</v>
      </c>
      <c r="J73" s="20">
        <f>(3600-2*30+40*12)/1000</f>
        <v>4.02</v>
      </c>
      <c r="K73" s="21">
        <f>I73*J73</f>
        <v>160.79999999999998</v>
      </c>
      <c r="L73" s="22">
        <f>F73^2/162</f>
        <v>0.8888888888888888</v>
      </c>
      <c r="M73" s="21">
        <f>K73*L73</f>
        <v>142.9333333333333</v>
      </c>
      <c r="N73" s="22">
        <f>M73/1000</f>
        <v>0.1429333333333333</v>
      </c>
      <c r="O73" s="13" t="inlineStr">
        <is>
          <t>Elevation count / plan length</t>
        </is>
      </c>
    </row>
    <row r="74">
      <c r="A74" s="13" t="n">
        <v>69</v>
      </c>
      <c r="B74" s="13" t="inlineStr">
        <is>
          <t>Lift Walls</t>
        </is>
      </c>
      <c r="C74" s="13" t="inlineStr">
        <is>
          <t>STR-015/017</t>
        </is>
      </c>
      <c r="D74" s="13" t="inlineStr">
        <is>
          <t>Main core (lift shafts) CW-03 8th to 9th - vertical Y20@150 NF/FF</t>
        </is>
      </c>
      <c r="E74" s="19" t="inlineStr">
        <is>
          <t>V-Y20</t>
        </is>
      </c>
      <c r="F74" s="19" t="n">
        <v>20</v>
      </c>
      <c r="G74" s="19" t="n">
        <v>1</v>
      </c>
      <c r="H74" s="19">
        <f>2*29</f>
        <v>58.0</v>
      </c>
      <c r="I74" s="13">
        <f>G74*H74</f>
        <v>58.0</v>
      </c>
      <c r="J74" s="20">
        <f>(3300+40*20)/1000</f>
        <v>4.1</v>
      </c>
      <c r="K74" s="21">
        <f>I74*J74</f>
        <v>237.79999999999998</v>
      </c>
      <c r="L74" s="22">
        <f>F74^2/162</f>
        <v>2.4691358024691357</v>
      </c>
      <c r="M74" s="21">
        <f>K74*L74</f>
        <v>587.1604938271604</v>
      </c>
      <c r="N74" s="22">
        <f>M74/1000</f>
        <v>0.5871604938271604</v>
      </c>
      <c r="O74" s="13" t="inlineStr">
        <is>
          <t>Elevation / plan</t>
        </is>
      </c>
    </row>
    <row r="75">
      <c r="A75" s="13" t="n">
        <v>70</v>
      </c>
      <c r="B75" s="13" t="inlineStr">
        <is>
          <t>Lift Walls</t>
        </is>
      </c>
      <c r="C75" s="13" t="inlineStr">
        <is>
          <t>STR-015/017</t>
        </is>
      </c>
      <c r="D75" s="13" t="inlineStr">
        <is>
          <t>Main core (lift shafts) CW-04 (L=3600mm) 8th to 9th - horizontal Y12@150 NF/FF</t>
        </is>
      </c>
      <c r="E75" s="19" t="inlineStr">
        <is>
          <t>H-Y12</t>
        </is>
      </c>
      <c r="F75" s="19" t="n">
        <v>12</v>
      </c>
      <c r="G75" s="19" t="n">
        <v>1</v>
      </c>
      <c r="H75" s="19">
        <f>2*20</f>
        <v>40.0</v>
      </c>
      <c r="I75" s="13">
        <f>G75*H75</f>
        <v>40.0</v>
      </c>
      <c r="J75" s="20">
        <f>(3600-2*30+40*12)/1000</f>
        <v>4.02</v>
      </c>
      <c r="K75" s="21">
        <f>I75*J75</f>
        <v>160.79999999999998</v>
      </c>
      <c r="L75" s="22">
        <f>F75^2/162</f>
        <v>0.8888888888888888</v>
      </c>
      <c r="M75" s="21">
        <f>K75*L75</f>
        <v>142.9333333333333</v>
      </c>
      <c r="N75" s="22">
        <f>M75/1000</f>
        <v>0.1429333333333333</v>
      </c>
      <c r="O75" s="13" t="inlineStr">
        <is>
          <t>Elevation count / plan length</t>
        </is>
      </c>
    </row>
    <row r="76">
      <c r="A76" s="13" t="n">
        <v>71</v>
      </c>
      <c r="B76" s="13" t="inlineStr">
        <is>
          <t>Lift Walls</t>
        </is>
      </c>
      <c r="C76" s="13" t="inlineStr">
        <is>
          <t>STR-015/017</t>
        </is>
      </c>
      <c r="D76" s="13" t="inlineStr">
        <is>
          <t>Main core (lift shafts) CW-04 8th to 9th - vertical Y20@150 NF/FF</t>
        </is>
      </c>
      <c r="E76" s="19" t="inlineStr">
        <is>
          <t>V-Y20</t>
        </is>
      </c>
      <c r="F76" s="19" t="n">
        <v>20</v>
      </c>
      <c r="G76" s="19" t="n">
        <v>1</v>
      </c>
      <c r="H76" s="19">
        <f>2*29</f>
        <v>58.0</v>
      </c>
      <c r="I76" s="13">
        <f>G76*H76</f>
        <v>58.0</v>
      </c>
      <c r="J76" s="20">
        <f>(3300+40*20)/1000</f>
        <v>4.1</v>
      </c>
      <c r="K76" s="21">
        <f>I76*J76</f>
        <v>237.79999999999998</v>
      </c>
      <c r="L76" s="22">
        <f>F76^2/162</f>
        <v>2.4691358024691357</v>
      </c>
      <c r="M76" s="21">
        <f>K76*L76</f>
        <v>587.1604938271604</v>
      </c>
      <c r="N76" s="22">
        <f>M76/1000</f>
        <v>0.5871604938271604</v>
      </c>
      <c r="O76" s="13" t="inlineStr">
        <is>
          <t>Elevation / plan</t>
        </is>
      </c>
    </row>
    <row r="77">
      <c r="A77" s="13" t="n">
        <v>72</v>
      </c>
      <c r="B77" s="13" t="inlineStr">
        <is>
          <t>Lift Walls</t>
        </is>
      </c>
      <c r="C77" s="13" t="inlineStr">
        <is>
          <t>STR-015/017</t>
        </is>
      </c>
      <c r="D77" s="13" t="inlineStr">
        <is>
          <t>Main core (lift shafts) CW-06 (L=2025mm) 8th to 9th - horizontal Y12@150 NF/FF</t>
        </is>
      </c>
      <c r="E77" s="19" t="inlineStr">
        <is>
          <t>H-Y12</t>
        </is>
      </c>
      <c r="F77" s="19" t="n">
        <v>12</v>
      </c>
      <c r="G77" s="19" t="n">
        <v>1</v>
      </c>
      <c r="H77" s="19">
        <f>2*20</f>
        <v>40.0</v>
      </c>
      <c r="I77" s="13">
        <f>G77*H77</f>
        <v>40.0</v>
      </c>
      <c r="J77" s="20">
        <f>(2025-2*30+40*12)/1000</f>
        <v>2.445</v>
      </c>
      <c r="K77" s="21">
        <f>I77*J77</f>
        <v>97.8</v>
      </c>
      <c r="L77" s="22">
        <f>F77^2/162</f>
        <v>0.8888888888888888</v>
      </c>
      <c r="M77" s="21">
        <f>K77*L77</f>
        <v>86.93333333333332</v>
      </c>
      <c r="N77" s="22">
        <f>M77/1000</f>
        <v>0.08693333333333332</v>
      </c>
      <c r="O77" s="13" t="inlineStr">
        <is>
          <t>Elevation count / plan length</t>
        </is>
      </c>
    </row>
    <row r="78">
      <c r="A78" s="13" t="n">
        <v>73</v>
      </c>
      <c r="B78" s="13" t="inlineStr">
        <is>
          <t>Lift Walls</t>
        </is>
      </c>
      <c r="C78" s="13" t="inlineStr">
        <is>
          <t>STR-015/017</t>
        </is>
      </c>
      <c r="D78" s="13" t="inlineStr">
        <is>
          <t>Main core (lift shafts) CW-06 8th to 9th - vertical Y20@150 NF/FF</t>
        </is>
      </c>
      <c r="E78" s="19" t="inlineStr">
        <is>
          <t>V-Y20</t>
        </is>
      </c>
      <c r="F78" s="19" t="n">
        <v>20</v>
      </c>
      <c r="G78" s="19" t="n">
        <v>1</v>
      </c>
      <c r="H78" s="19">
        <f>2*(ROUNDUP(2025/150,0)+1)</f>
        <v>30.0</v>
      </c>
      <c r="I78" s="13">
        <f>G78*H78</f>
        <v>30.0</v>
      </c>
      <c r="J78" s="20">
        <f>(3300+40*20)/1000</f>
        <v>4.1</v>
      </c>
      <c r="K78" s="21">
        <f>I78*J78</f>
        <v>122.99999999999999</v>
      </c>
      <c r="L78" s="22">
        <f>F78^2/162</f>
        <v>2.4691358024691357</v>
      </c>
      <c r="M78" s="21">
        <f>K78*L78</f>
        <v>303.70370370370364</v>
      </c>
      <c r="N78" s="22">
        <f>M78/1000</f>
        <v>0.30370370370370364</v>
      </c>
      <c r="O78" s="13" t="inlineStr">
        <is>
          <t>Elevation / plan</t>
        </is>
      </c>
    </row>
    <row r="79">
      <c r="A79" s="13" t="n">
        <v>74</v>
      </c>
      <c r="B79" s="13" t="inlineStr">
        <is>
          <t>Lift Walls</t>
        </is>
      </c>
      <c r="C79" s="13" t="inlineStr">
        <is>
          <t>STR-015/017</t>
        </is>
      </c>
      <c r="D79" s="13" t="inlineStr">
        <is>
          <t>Main core (lift shafts) CW-08 (L=4500mm) 8th to 9th - horizontal Y12@150 NF/FF</t>
        </is>
      </c>
      <c r="E79" s="19" t="inlineStr">
        <is>
          <t>H-Y12</t>
        </is>
      </c>
      <c r="F79" s="19" t="n">
        <v>12</v>
      </c>
      <c r="G79" s="19" t="n">
        <v>1</v>
      </c>
      <c r="H79" s="19">
        <f>2*20</f>
        <v>40.0</v>
      </c>
      <c r="I79" s="13">
        <f>G79*H79</f>
        <v>40.0</v>
      </c>
      <c r="J79" s="20">
        <f>(4500-2*30+40*12)/1000</f>
        <v>4.92</v>
      </c>
      <c r="K79" s="21">
        <f>I79*J79</f>
        <v>196.8</v>
      </c>
      <c r="L79" s="22">
        <f>F79^2/162</f>
        <v>0.8888888888888888</v>
      </c>
      <c r="M79" s="21">
        <f>K79*L79</f>
        <v>174.93333333333334</v>
      </c>
      <c r="N79" s="22">
        <f>M79/1000</f>
        <v>0.17493333333333333</v>
      </c>
      <c r="O79" s="13" t="inlineStr">
        <is>
          <t>Elevation count / plan length</t>
        </is>
      </c>
    </row>
    <row r="80">
      <c r="A80" s="13" t="n">
        <v>75</v>
      </c>
      <c r="B80" s="13" t="inlineStr">
        <is>
          <t>Lift Walls</t>
        </is>
      </c>
      <c r="C80" s="13" t="inlineStr">
        <is>
          <t>STR-015/017</t>
        </is>
      </c>
      <c r="D80" s="13" t="inlineStr">
        <is>
          <t>Main core (lift shafts) CW-08 8th to 9th - vertical Y20@150 NF/FF</t>
        </is>
      </c>
      <c r="E80" s="19" t="inlineStr">
        <is>
          <t>V-Y20</t>
        </is>
      </c>
      <c r="F80" s="19" t="n">
        <v>20</v>
      </c>
      <c r="G80" s="19" t="n">
        <v>1</v>
      </c>
      <c r="H80" s="19">
        <f>2*(ROUNDUP(4500/150,0)+1)</f>
        <v>62.0</v>
      </c>
      <c r="I80" s="13">
        <f>G80*H80</f>
        <v>62.0</v>
      </c>
      <c r="J80" s="20">
        <f>(3300+40*20)/1000</f>
        <v>4.1</v>
      </c>
      <c r="K80" s="21">
        <f>I80*J80</f>
        <v>254.2</v>
      </c>
      <c r="L80" s="22">
        <f>F80^2/162</f>
        <v>2.4691358024691357</v>
      </c>
      <c r="M80" s="21">
        <f>K80*L80</f>
        <v>627.6543209876543</v>
      </c>
      <c r="N80" s="22">
        <f>M80/1000</f>
        <v>0.6276543209876543</v>
      </c>
      <c r="O80" s="13" t="inlineStr">
        <is>
          <t>Elevation / plan</t>
        </is>
      </c>
    </row>
    <row r="81">
      <c r="A81" s="13" t="n">
        <v>76</v>
      </c>
      <c r="B81" s="13" t="inlineStr">
        <is>
          <t>Lift Walls</t>
        </is>
      </c>
      <c r="C81" s="13" t="inlineStr">
        <is>
          <t>STR-015/017</t>
        </is>
      </c>
      <c r="D81" s="13" t="inlineStr">
        <is>
          <t>Main core (lift shafts) CW-07 (lift section) (L=4500mm) 8th to 9th - horizontal Y12@150 NF/FF</t>
        </is>
      </c>
      <c r="E81" s="19" t="inlineStr">
        <is>
          <t>H-Y12</t>
        </is>
      </c>
      <c r="F81" s="19" t="n">
        <v>12</v>
      </c>
      <c r="G81" s="19" t="n">
        <v>1</v>
      </c>
      <c r="H81" s="19">
        <f>2*20</f>
        <v>40.0</v>
      </c>
      <c r="I81" s="13">
        <f>G81*H81</f>
        <v>40.0</v>
      </c>
      <c r="J81" s="20">
        <f>(4500-2*30+40*12)/1000</f>
        <v>4.92</v>
      </c>
      <c r="K81" s="21">
        <f>I81*J81</f>
        <v>196.8</v>
      </c>
      <c r="L81" s="22">
        <f>F81^2/162</f>
        <v>0.8888888888888888</v>
      </c>
      <c r="M81" s="21">
        <f>K81*L81</f>
        <v>174.93333333333334</v>
      </c>
      <c r="N81" s="22">
        <f>M81/1000</f>
        <v>0.17493333333333333</v>
      </c>
      <c r="O81" s="13" t="inlineStr">
        <is>
          <t>Elevation count / plan length</t>
        </is>
      </c>
    </row>
    <row r="82">
      <c r="A82" s="13" t="n">
        <v>77</v>
      </c>
      <c r="B82" s="13" t="inlineStr">
        <is>
          <t>Lift Walls</t>
        </is>
      </c>
      <c r="C82" s="13" t="inlineStr">
        <is>
          <t>STR-015/017</t>
        </is>
      </c>
      <c r="D82" s="13" t="inlineStr">
        <is>
          <t>Main core (lift shafts) CW-07 (lift section) 8th to 9th - vertical Y20@150 NF/FF</t>
        </is>
      </c>
      <c r="E82" s="19" t="inlineStr">
        <is>
          <t>V-Y20</t>
        </is>
      </c>
      <c r="F82" s="19" t="n">
        <v>20</v>
      </c>
      <c r="G82" s="19" t="n">
        <v>1</v>
      </c>
      <c r="H82" s="19">
        <f>2*(ROUNDUP(4500/150,0)+1)</f>
        <v>62.0</v>
      </c>
      <c r="I82" s="13">
        <f>G82*H82</f>
        <v>62.0</v>
      </c>
      <c r="J82" s="20">
        <f>(3300+40*20)/1000</f>
        <v>4.1</v>
      </c>
      <c r="K82" s="21">
        <f>I82*J82</f>
        <v>254.2</v>
      </c>
      <c r="L82" s="22">
        <f>F82^2/162</f>
        <v>2.4691358024691357</v>
      </c>
      <c r="M82" s="21">
        <f>K82*L82</f>
        <v>627.6543209876543</v>
      </c>
      <c r="N82" s="22">
        <f>M82/1000</f>
        <v>0.6276543209876543</v>
      </c>
      <c r="O82" s="13" t="inlineStr">
        <is>
          <t>Elevation / plan</t>
        </is>
      </c>
    </row>
    <row r="83">
      <c r="A83" s="13" t="n">
        <v>78</v>
      </c>
      <c r="B83" s="13" t="inlineStr">
        <is>
          <t>Lift Walls</t>
        </is>
      </c>
      <c r="C83" s="13" t="inlineStr">
        <is>
          <t>STR-015/017</t>
        </is>
      </c>
      <c r="D83" s="13" t="inlineStr">
        <is>
          <t>Main core (lift shafts) confinement links Y10@150 (26 positions on plan) 8th to 9th</t>
        </is>
      </c>
      <c r="E83" s="19" t="inlineStr">
        <is>
          <t>LNK-Y10</t>
        </is>
      </c>
      <c r="F83" s="19" t="n">
        <v>10</v>
      </c>
      <c r="G83" s="19" t="n">
        <v>1</v>
      </c>
      <c r="H83" s="19">
        <f>26*ROUNDUP(3300/150,0)</f>
        <v>572.0</v>
      </c>
      <c r="I83" s="13">
        <f>G83*H83</f>
        <v>572.0</v>
      </c>
      <c r="J83" s="20">
        <f>1800/1000</f>
        <v>1.8</v>
      </c>
      <c r="K83" s="21">
        <f>I83*J83</f>
        <v>1029.6000000000001</v>
      </c>
      <c r="L83" s="22">
        <f>F83^2/162</f>
        <v>0.6172839506172839</v>
      </c>
      <c r="M83" s="21">
        <f>K83*L83</f>
        <v>635.5555555555557</v>
      </c>
      <c r="N83" s="22">
        <f>M83/1000</f>
        <v>0.6355555555555557</v>
      </c>
      <c r="O83" s="13" t="inlineStr">
        <is>
          <t>Assumed link cut length</t>
        </is>
      </c>
    </row>
    <row r="84">
      <c r="A84" s="13" t="n">
        <v>79</v>
      </c>
      <c r="B84" s="13" t="inlineStr">
        <is>
          <t>Beams</t>
        </is>
      </c>
      <c r="C84" s="13" t="inlineStr">
        <is>
          <t>STR-078</t>
        </is>
      </c>
      <c r="D84" s="13" t="inlineStr">
        <is>
          <t>Typical 4th-8th floor beams (sheet 1 of 2)</t>
        </is>
      </c>
      <c r="E84" s="19" t="inlineStr">
        <is>
          <t>1001</t>
        </is>
      </c>
      <c r="F84" s="19" t="n">
        <v>10</v>
      </c>
      <c r="G84" s="19" t="n">
        <v>1</v>
      </c>
      <c r="H84" s="19" t="n">
        <v>876</v>
      </c>
      <c r="I84" s="13">
        <f>G84*H84</f>
        <v>876.0</v>
      </c>
      <c r="J84" s="20">
        <f>1700/1000</f>
        <v>1.7</v>
      </c>
      <c r="K84" s="21">
        <f>I84*J84</f>
        <v>1489.2</v>
      </c>
      <c r="L84" s="22">
        <f>F84^2/162</f>
        <v>0.6172839506172839</v>
      </c>
      <c r="M84" s="21">
        <f>K84*L84</f>
        <v>919.2592592592592</v>
      </c>
      <c r="N84" s="22">
        <f>M84/1000</f>
        <v>0.9192592592592592</v>
      </c>
      <c r="O84" s="13" t="inlineStr">
        <is>
          <t>BBS</t>
        </is>
      </c>
    </row>
    <row r="85">
      <c r="A85" s="13" t="n">
        <v>80</v>
      </c>
      <c r="B85" s="13" t="inlineStr">
        <is>
          <t>Beams</t>
        </is>
      </c>
      <c r="C85" s="13" t="inlineStr">
        <is>
          <t>STR-078</t>
        </is>
      </c>
      <c r="D85" s="13" t="inlineStr">
        <is>
          <t>Typical 4th-8th floor beams (sheet 1 of 2)</t>
        </is>
      </c>
      <c r="E85" s="19" t="inlineStr">
        <is>
          <t>1002</t>
        </is>
      </c>
      <c r="F85" s="19" t="n">
        <v>10</v>
      </c>
      <c r="G85" s="19" t="n">
        <v>1</v>
      </c>
      <c r="H85" s="19" t="n">
        <v>270</v>
      </c>
      <c r="I85" s="13">
        <f>G85*H85</f>
        <v>270.0</v>
      </c>
      <c r="J85" s="20">
        <f>1500/1000</f>
        <v>1.5</v>
      </c>
      <c r="K85" s="21">
        <f>I85*J85</f>
        <v>405.0</v>
      </c>
      <c r="L85" s="22">
        <f>F85^2/162</f>
        <v>0.6172839506172839</v>
      </c>
      <c r="M85" s="21">
        <f>K85*L85</f>
        <v>250.0</v>
      </c>
      <c r="N85" s="22">
        <f>M85/1000</f>
        <v>0.25</v>
      </c>
      <c r="O85" s="13" t="inlineStr">
        <is>
          <t>BBS</t>
        </is>
      </c>
    </row>
    <row r="86">
      <c r="A86" s="13" t="n">
        <v>81</v>
      </c>
      <c r="B86" s="13" t="inlineStr">
        <is>
          <t>Beams</t>
        </is>
      </c>
      <c r="C86" s="13" t="inlineStr">
        <is>
          <t>STR-078</t>
        </is>
      </c>
      <c r="D86" s="13" t="inlineStr">
        <is>
          <t>Typical 4th-8th floor beams (sheet 1 of 2)</t>
        </is>
      </c>
      <c r="E86" s="19" t="inlineStr">
        <is>
          <t>1601</t>
        </is>
      </c>
      <c r="F86" s="19" t="n">
        <v>16</v>
      </c>
      <c r="G86" s="19" t="n">
        <v>1</v>
      </c>
      <c r="H86" s="19" t="n">
        <v>12</v>
      </c>
      <c r="I86" s="13">
        <f>G86*H86</f>
        <v>12.0</v>
      </c>
      <c r="J86" s="20">
        <f>12000/1000</f>
        <v>12.0</v>
      </c>
      <c r="K86" s="21">
        <f>I86*J86</f>
        <v>144.0</v>
      </c>
      <c r="L86" s="22">
        <f>F86^2/162</f>
        <v>1.5802469135802468</v>
      </c>
      <c r="M86" s="21">
        <f>K86*L86</f>
        <v>227.55555555555554</v>
      </c>
      <c r="N86" s="22">
        <f>M86/1000</f>
        <v>0.22755555555555554</v>
      </c>
      <c r="O86" s="13" t="inlineStr">
        <is>
          <t>BBS</t>
        </is>
      </c>
    </row>
    <row r="87">
      <c r="A87" s="13" t="n">
        <v>82</v>
      </c>
      <c r="B87" s="13" t="inlineStr">
        <is>
          <t>Beams</t>
        </is>
      </c>
      <c r="C87" s="13" t="inlineStr">
        <is>
          <t>STR-078</t>
        </is>
      </c>
      <c r="D87" s="13" t="inlineStr">
        <is>
          <t>Typical 4th-8th floor beams (sheet 1 of 2)</t>
        </is>
      </c>
      <c r="E87" s="19" t="inlineStr">
        <is>
          <t>1602</t>
        </is>
      </c>
      <c r="F87" s="19" t="n">
        <v>16</v>
      </c>
      <c r="G87" s="19" t="n">
        <v>1</v>
      </c>
      <c r="H87" s="19" t="n">
        <v>2</v>
      </c>
      <c r="I87" s="13">
        <f>G87*H87</f>
        <v>2.0</v>
      </c>
      <c r="J87" s="20">
        <f>7275/1000</f>
        <v>7.275</v>
      </c>
      <c r="K87" s="21">
        <f>I87*J87</f>
        <v>14.55</v>
      </c>
      <c r="L87" s="22">
        <f>F87^2/162</f>
        <v>1.5802469135802468</v>
      </c>
      <c r="M87" s="21">
        <f>K87*L87</f>
        <v>22.992592592592594</v>
      </c>
      <c r="N87" s="22">
        <f>M87/1000</f>
        <v>0.022992592592592592</v>
      </c>
      <c r="O87" s="13" t="inlineStr">
        <is>
          <t>BBS</t>
        </is>
      </c>
    </row>
    <row r="88">
      <c r="A88" s="13" t="n">
        <v>83</v>
      </c>
      <c r="B88" s="13" t="inlineStr">
        <is>
          <t>Beams</t>
        </is>
      </c>
      <c r="C88" s="13" t="inlineStr">
        <is>
          <t>STR-078</t>
        </is>
      </c>
      <c r="D88" s="13" t="inlineStr">
        <is>
          <t>Typical 4th-8th floor beams (sheet 1 of 2)</t>
        </is>
      </c>
      <c r="E88" s="19" t="inlineStr">
        <is>
          <t>1603</t>
        </is>
      </c>
      <c r="F88" s="19" t="n">
        <v>16</v>
      </c>
      <c r="G88" s="19" t="n">
        <v>1</v>
      </c>
      <c r="H88" s="19" t="n">
        <v>4</v>
      </c>
      <c r="I88" s="13">
        <f>G88*H88</f>
        <v>4.0</v>
      </c>
      <c r="J88" s="20">
        <f>7850/1000</f>
        <v>7.85</v>
      </c>
      <c r="K88" s="21">
        <f>I88*J88</f>
        <v>31.4</v>
      </c>
      <c r="L88" s="22">
        <f>F88^2/162</f>
        <v>1.5802469135802468</v>
      </c>
      <c r="M88" s="21">
        <f>K88*L88</f>
        <v>49.61975308641975</v>
      </c>
      <c r="N88" s="22">
        <f>M88/1000</f>
        <v>0.04961975308641975</v>
      </c>
      <c r="O88" s="13" t="inlineStr">
        <is>
          <t>BBS</t>
        </is>
      </c>
    </row>
    <row r="89">
      <c r="A89" s="13" t="n">
        <v>84</v>
      </c>
      <c r="B89" s="13" t="inlineStr">
        <is>
          <t>Beams</t>
        </is>
      </c>
      <c r="C89" s="13" t="inlineStr">
        <is>
          <t>STR-078</t>
        </is>
      </c>
      <c r="D89" s="13" t="inlineStr">
        <is>
          <t>Typical 4th-8th floor beams (sheet 1 of 2)</t>
        </is>
      </c>
      <c r="E89" s="19" t="inlineStr">
        <is>
          <t>1604</t>
        </is>
      </c>
      <c r="F89" s="19" t="n">
        <v>16</v>
      </c>
      <c r="G89" s="19" t="n">
        <v>1</v>
      </c>
      <c r="H89" s="19" t="n">
        <v>4</v>
      </c>
      <c r="I89" s="13">
        <f>G89*H89</f>
        <v>4.0</v>
      </c>
      <c r="J89" s="20">
        <f>7400/1000</f>
        <v>7.4</v>
      </c>
      <c r="K89" s="21">
        <f>I89*J89</f>
        <v>29.6</v>
      </c>
      <c r="L89" s="22">
        <f>F89^2/162</f>
        <v>1.5802469135802468</v>
      </c>
      <c r="M89" s="21">
        <f>K89*L89</f>
        <v>46.77530864197531</v>
      </c>
      <c r="N89" s="22">
        <f>M89/1000</f>
        <v>0.04677530864197531</v>
      </c>
      <c r="O89" s="13" t="inlineStr">
        <is>
          <t>BBS</t>
        </is>
      </c>
    </row>
    <row r="90">
      <c r="A90" s="13" t="n">
        <v>85</v>
      </c>
      <c r="B90" s="13" t="inlineStr">
        <is>
          <t>Beams</t>
        </is>
      </c>
      <c r="C90" s="13" t="inlineStr">
        <is>
          <t>STR-078</t>
        </is>
      </c>
      <c r="D90" s="13" t="inlineStr">
        <is>
          <t>Typical 4th-8th floor beams (sheet 1 of 2)</t>
        </is>
      </c>
      <c r="E90" s="19" t="inlineStr">
        <is>
          <t>1605</t>
        </is>
      </c>
      <c r="F90" s="19" t="n">
        <v>16</v>
      </c>
      <c r="G90" s="19" t="n">
        <v>1</v>
      </c>
      <c r="H90" s="19" t="n">
        <v>3</v>
      </c>
      <c r="I90" s="13">
        <f>G90*H90</f>
        <v>3.0</v>
      </c>
      <c r="J90" s="20">
        <f>8900/1000</f>
        <v>8.9</v>
      </c>
      <c r="K90" s="21">
        <f>I90*J90</f>
        <v>26.700000000000003</v>
      </c>
      <c r="L90" s="22">
        <f>F90^2/162</f>
        <v>1.5802469135802468</v>
      </c>
      <c r="M90" s="21">
        <f>K90*L90</f>
        <v>42.1925925925926</v>
      </c>
      <c r="N90" s="22">
        <f>M90/1000</f>
        <v>0.042192592592592594</v>
      </c>
      <c r="O90" s="13" t="inlineStr">
        <is>
          <t>BBS</t>
        </is>
      </c>
    </row>
    <row r="91">
      <c r="A91" s="13" t="n">
        <v>86</v>
      </c>
      <c r="B91" s="13" t="inlineStr">
        <is>
          <t>Beams</t>
        </is>
      </c>
      <c r="C91" s="13" t="inlineStr">
        <is>
          <t>STR-078</t>
        </is>
      </c>
      <c r="D91" s="13" t="inlineStr">
        <is>
          <t>Typical 4th-8th floor beams (sheet 1 of 2)</t>
        </is>
      </c>
      <c r="E91" s="19" t="inlineStr">
        <is>
          <t>1606</t>
        </is>
      </c>
      <c r="F91" s="19" t="n">
        <v>16</v>
      </c>
      <c r="G91" s="19" t="n">
        <v>1</v>
      </c>
      <c r="H91" s="19" t="n">
        <v>3</v>
      </c>
      <c r="I91" s="13">
        <f>G91*H91</f>
        <v>3.0</v>
      </c>
      <c r="J91" s="20">
        <f>5600/1000</f>
        <v>5.6</v>
      </c>
      <c r="K91" s="21">
        <f>I91*J91</f>
        <v>16.799999999999997</v>
      </c>
      <c r="L91" s="22">
        <f>F91^2/162</f>
        <v>1.5802469135802468</v>
      </c>
      <c r="M91" s="21">
        <f>K91*L91</f>
        <v>26.548148148148144</v>
      </c>
      <c r="N91" s="22">
        <f>M91/1000</f>
        <v>0.026548148148148144</v>
      </c>
      <c r="O91" s="13" t="inlineStr">
        <is>
          <t>BBS</t>
        </is>
      </c>
    </row>
    <row r="92">
      <c r="A92" s="13" t="n">
        <v>87</v>
      </c>
      <c r="B92" s="13" t="inlineStr">
        <is>
          <t>Beams</t>
        </is>
      </c>
      <c r="C92" s="13" t="inlineStr">
        <is>
          <t>STR-078</t>
        </is>
      </c>
      <c r="D92" s="13" t="inlineStr">
        <is>
          <t>Typical 4th-8th floor beams (sheet 1 of 2)</t>
        </is>
      </c>
      <c r="E92" s="19" t="inlineStr">
        <is>
          <t>1607</t>
        </is>
      </c>
      <c r="F92" s="19" t="n">
        <v>16</v>
      </c>
      <c r="G92" s="19" t="n">
        <v>1</v>
      </c>
      <c r="H92" s="19" t="n">
        <v>3</v>
      </c>
      <c r="I92" s="13">
        <f>G92*H92</f>
        <v>3.0</v>
      </c>
      <c r="J92" s="20">
        <f>9300/1000</f>
        <v>9.3</v>
      </c>
      <c r="K92" s="21">
        <f>I92*J92</f>
        <v>27.900000000000002</v>
      </c>
      <c r="L92" s="22">
        <f>F92^2/162</f>
        <v>1.5802469135802468</v>
      </c>
      <c r="M92" s="21">
        <f>K92*L92</f>
        <v>44.08888888888889</v>
      </c>
      <c r="N92" s="22">
        <f>M92/1000</f>
        <v>0.044088888888888886</v>
      </c>
      <c r="O92" s="13" t="inlineStr">
        <is>
          <t>BBS</t>
        </is>
      </c>
    </row>
    <row r="93">
      <c r="A93" s="13" t="n">
        <v>88</v>
      </c>
      <c r="B93" s="13" t="inlineStr">
        <is>
          <t>Beams</t>
        </is>
      </c>
      <c r="C93" s="13" t="inlineStr">
        <is>
          <t>STR-078</t>
        </is>
      </c>
      <c r="D93" s="13" t="inlineStr">
        <is>
          <t>Typical 4th-8th floor beams (sheet 1 of 2)</t>
        </is>
      </c>
      <c r="E93" s="19" t="inlineStr">
        <is>
          <t>1608</t>
        </is>
      </c>
      <c r="F93" s="19" t="n">
        <v>16</v>
      </c>
      <c r="G93" s="19" t="n">
        <v>1</v>
      </c>
      <c r="H93" s="19" t="n">
        <v>4</v>
      </c>
      <c r="I93" s="13">
        <f>G93*H93</f>
        <v>4.0</v>
      </c>
      <c r="J93" s="20">
        <f>10300/1000</f>
        <v>10.3</v>
      </c>
      <c r="K93" s="21">
        <f>I93*J93</f>
        <v>41.2</v>
      </c>
      <c r="L93" s="22">
        <f>F93^2/162</f>
        <v>1.5802469135802468</v>
      </c>
      <c r="M93" s="21">
        <f>K93*L93</f>
        <v>65.10617283950617</v>
      </c>
      <c r="N93" s="22">
        <f>M93/1000</f>
        <v>0.06510617283950618</v>
      </c>
      <c r="O93" s="13" t="inlineStr">
        <is>
          <t>BBS</t>
        </is>
      </c>
    </row>
    <row r="94">
      <c r="A94" s="13" t="n">
        <v>89</v>
      </c>
      <c r="B94" s="13" t="inlineStr">
        <is>
          <t>Beams</t>
        </is>
      </c>
      <c r="C94" s="13" t="inlineStr">
        <is>
          <t>STR-078</t>
        </is>
      </c>
      <c r="D94" s="13" t="inlineStr">
        <is>
          <t>Typical 4th-8th floor beams (sheet 1 of 2)</t>
        </is>
      </c>
      <c r="E94" s="19" t="inlineStr">
        <is>
          <t>1609</t>
        </is>
      </c>
      <c r="F94" s="19" t="n">
        <v>16</v>
      </c>
      <c r="G94" s="19" t="n">
        <v>1</v>
      </c>
      <c r="H94" s="19" t="n">
        <v>2</v>
      </c>
      <c r="I94" s="13">
        <f>G94*H94</f>
        <v>2.0</v>
      </c>
      <c r="J94" s="20">
        <f>10850/1000</f>
        <v>10.85</v>
      </c>
      <c r="K94" s="21">
        <f>I94*J94</f>
        <v>21.7</v>
      </c>
      <c r="L94" s="22">
        <f>F94^2/162</f>
        <v>1.5802469135802468</v>
      </c>
      <c r="M94" s="21">
        <f>K94*L94</f>
        <v>34.291358024691355</v>
      </c>
      <c r="N94" s="22">
        <f>M94/1000</f>
        <v>0.034291358024691354</v>
      </c>
      <c r="O94" s="13" t="inlineStr">
        <is>
          <t>BBS</t>
        </is>
      </c>
    </row>
    <row r="95">
      <c r="A95" s="13" t="n">
        <v>90</v>
      </c>
      <c r="B95" s="13" t="inlineStr">
        <is>
          <t>Beams</t>
        </is>
      </c>
      <c r="C95" s="13" t="inlineStr">
        <is>
          <t>STR-078</t>
        </is>
      </c>
      <c r="D95" s="13" t="inlineStr">
        <is>
          <t>Typical 4th-8th floor beams (sheet 1 of 2)</t>
        </is>
      </c>
      <c r="E95" s="19" t="inlineStr">
        <is>
          <t>1610</t>
        </is>
      </c>
      <c r="F95" s="19" t="n">
        <v>16</v>
      </c>
      <c r="G95" s="19" t="n">
        <v>1</v>
      </c>
      <c r="H95" s="19" t="n">
        <v>2</v>
      </c>
      <c r="I95" s="13">
        <f>G95*H95</f>
        <v>2.0</v>
      </c>
      <c r="J95" s="20">
        <f>8000/1000</f>
        <v>8.0</v>
      </c>
      <c r="K95" s="21">
        <f>I95*J95</f>
        <v>16.0</v>
      </c>
      <c r="L95" s="22">
        <f>F95^2/162</f>
        <v>1.5802469135802468</v>
      </c>
      <c r="M95" s="21">
        <f>K95*L95</f>
        <v>25.28395061728395</v>
      </c>
      <c r="N95" s="22">
        <f>M95/1000</f>
        <v>0.02528395061728395</v>
      </c>
      <c r="O95" s="13" t="inlineStr">
        <is>
          <t>BBS</t>
        </is>
      </c>
    </row>
    <row r="96">
      <c r="A96" s="13" t="n">
        <v>91</v>
      </c>
      <c r="B96" s="13" t="inlineStr">
        <is>
          <t>Beams</t>
        </is>
      </c>
      <c r="C96" s="13" t="inlineStr">
        <is>
          <t>STR-078</t>
        </is>
      </c>
      <c r="D96" s="13" t="inlineStr">
        <is>
          <t>Typical 4th-8th floor beams (sheet 1 of 2)</t>
        </is>
      </c>
      <c r="E96" s="19" t="inlineStr">
        <is>
          <t>1611</t>
        </is>
      </c>
      <c r="F96" s="19" t="n">
        <v>16</v>
      </c>
      <c r="G96" s="19" t="n">
        <v>1</v>
      </c>
      <c r="H96" s="19" t="n">
        <v>2</v>
      </c>
      <c r="I96" s="13">
        <f>G96*H96</f>
        <v>2.0</v>
      </c>
      <c r="J96" s="20">
        <f>11675/1000</f>
        <v>11.675</v>
      </c>
      <c r="K96" s="21">
        <f>I96*J96</f>
        <v>23.35</v>
      </c>
      <c r="L96" s="22">
        <f>F96^2/162</f>
        <v>1.5802469135802468</v>
      </c>
      <c r="M96" s="21">
        <f>K96*L96</f>
        <v>36.89876543209876</v>
      </c>
      <c r="N96" s="22">
        <f>M96/1000</f>
        <v>0.03689876543209876</v>
      </c>
      <c r="O96" s="13" t="inlineStr">
        <is>
          <t>BBS</t>
        </is>
      </c>
    </row>
    <row r="97">
      <c r="A97" s="13" t="n">
        <v>92</v>
      </c>
      <c r="B97" s="13" t="inlineStr">
        <is>
          <t>Beams</t>
        </is>
      </c>
      <c r="C97" s="13" t="inlineStr">
        <is>
          <t>STR-078</t>
        </is>
      </c>
      <c r="D97" s="13" t="inlineStr">
        <is>
          <t>Typical 4th-8th floor beams (sheet 1 of 2)</t>
        </is>
      </c>
      <c r="E97" s="19" t="inlineStr">
        <is>
          <t>1612</t>
        </is>
      </c>
      <c r="F97" s="19" t="n">
        <v>16</v>
      </c>
      <c r="G97" s="19" t="n">
        <v>1</v>
      </c>
      <c r="H97" s="19" t="n">
        <v>2</v>
      </c>
      <c r="I97" s="13">
        <f>G97*H97</f>
        <v>2.0</v>
      </c>
      <c r="J97" s="20">
        <f>7525/1000</f>
        <v>7.525</v>
      </c>
      <c r="K97" s="21">
        <f>I97*J97</f>
        <v>15.05</v>
      </c>
      <c r="L97" s="22">
        <f>F97^2/162</f>
        <v>1.5802469135802468</v>
      </c>
      <c r="M97" s="21">
        <f>K97*L97</f>
        <v>23.782716049382717</v>
      </c>
      <c r="N97" s="22">
        <f>M97/1000</f>
        <v>0.023782716049382716</v>
      </c>
      <c r="O97" s="13" t="inlineStr">
        <is>
          <t>BBS</t>
        </is>
      </c>
    </row>
    <row r="98">
      <c r="A98" s="13" t="n">
        <v>93</v>
      </c>
      <c r="B98" s="13" t="inlineStr">
        <is>
          <t>Beams</t>
        </is>
      </c>
      <c r="C98" s="13" t="inlineStr">
        <is>
          <t>STR-078</t>
        </is>
      </c>
      <c r="D98" s="13" t="inlineStr">
        <is>
          <t>Typical 4th-8th floor beams (sheet 1 of 2)</t>
        </is>
      </c>
      <c r="E98" s="19" t="inlineStr">
        <is>
          <t>2001</t>
        </is>
      </c>
      <c r="F98" s="19" t="n">
        <v>20</v>
      </c>
      <c r="G98" s="19" t="n">
        <v>1</v>
      </c>
      <c r="H98" s="19" t="n">
        <v>3</v>
      </c>
      <c r="I98" s="13">
        <f>G98*H98</f>
        <v>3.0</v>
      </c>
      <c r="J98" s="20">
        <f>11100/1000</f>
        <v>11.1</v>
      </c>
      <c r="K98" s="21">
        <f>I98*J98</f>
        <v>33.3</v>
      </c>
      <c r="L98" s="22">
        <f>F98^2/162</f>
        <v>2.4691358024691357</v>
      </c>
      <c r="M98" s="21">
        <f>K98*L98</f>
        <v>82.22222222222221</v>
      </c>
      <c r="N98" s="22">
        <f>M98/1000</f>
        <v>0.08222222222222221</v>
      </c>
      <c r="O98" s="13" t="inlineStr">
        <is>
          <t>BBS</t>
        </is>
      </c>
    </row>
    <row r="99">
      <c r="A99" s="13" t="n">
        <v>94</v>
      </c>
      <c r="B99" s="13" t="inlineStr">
        <is>
          <t>Beams</t>
        </is>
      </c>
      <c r="C99" s="13" t="inlineStr">
        <is>
          <t>STR-078</t>
        </is>
      </c>
      <c r="D99" s="13" t="inlineStr">
        <is>
          <t>Typical 4th-8th floor beams (sheet 1 of 2)</t>
        </is>
      </c>
      <c r="E99" s="19" t="inlineStr">
        <is>
          <t>2002</t>
        </is>
      </c>
      <c r="F99" s="19" t="n">
        <v>20</v>
      </c>
      <c r="G99" s="19" t="n">
        <v>1</v>
      </c>
      <c r="H99" s="19" t="n">
        <v>3</v>
      </c>
      <c r="I99" s="13">
        <f>G99*H99</f>
        <v>3.0</v>
      </c>
      <c r="J99" s="20">
        <f>9300/1000</f>
        <v>9.3</v>
      </c>
      <c r="K99" s="21">
        <f>I99*J99</f>
        <v>27.900000000000002</v>
      </c>
      <c r="L99" s="22">
        <f>F99^2/162</f>
        <v>2.4691358024691357</v>
      </c>
      <c r="M99" s="21">
        <f>K99*L99</f>
        <v>68.88888888888889</v>
      </c>
      <c r="N99" s="22">
        <f>M99/1000</f>
        <v>0.06888888888888889</v>
      </c>
      <c r="O99" s="13" t="inlineStr">
        <is>
          <t>BBS</t>
        </is>
      </c>
    </row>
    <row r="100">
      <c r="A100" s="13" t="n">
        <v>95</v>
      </c>
      <c r="B100" s="13" t="inlineStr">
        <is>
          <t>Beams</t>
        </is>
      </c>
      <c r="C100" s="13" t="inlineStr">
        <is>
          <t>STR-078</t>
        </is>
      </c>
      <c r="D100" s="13" t="inlineStr">
        <is>
          <t>Typical 4th-8th floor beams (sheet 1 of 2)</t>
        </is>
      </c>
      <c r="E100" s="19" t="inlineStr">
        <is>
          <t>2003</t>
        </is>
      </c>
      <c r="F100" s="19" t="n">
        <v>20</v>
      </c>
      <c r="G100" s="19" t="n">
        <v>1</v>
      </c>
      <c r="H100" s="19" t="n">
        <v>3</v>
      </c>
      <c r="I100" s="13">
        <f>G100*H100</f>
        <v>3.0</v>
      </c>
      <c r="J100" s="20">
        <f>12000/1000</f>
        <v>12.0</v>
      </c>
      <c r="K100" s="21">
        <f>I100*J100</f>
        <v>36.0</v>
      </c>
      <c r="L100" s="22">
        <f>F100^2/162</f>
        <v>2.4691358024691357</v>
      </c>
      <c r="M100" s="21">
        <f>K100*L100</f>
        <v>88.88888888888889</v>
      </c>
      <c r="N100" s="22">
        <f>M100/1000</f>
        <v>0.08888888888888889</v>
      </c>
      <c r="O100" s="13" t="inlineStr">
        <is>
          <t>BBS</t>
        </is>
      </c>
    </row>
    <row r="101">
      <c r="A101" s="13" t="n">
        <v>96</v>
      </c>
      <c r="B101" s="13" t="inlineStr">
        <is>
          <t>Beams</t>
        </is>
      </c>
      <c r="C101" s="13" t="inlineStr">
        <is>
          <t>STR-078</t>
        </is>
      </c>
      <c r="D101" s="13" t="inlineStr">
        <is>
          <t>Typical 4th-8th floor beams (sheet 1 of 2)</t>
        </is>
      </c>
      <c r="E101" s="19" t="inlineStr">
        <is>
          <t>2004</t>
        </is>
      </c>
      <c r="F101" s="19" t="n">
        <v>20</v>
      </c>
      <c r="G101" s="19" t="n">
        <v>1</v>
      </c>
      <c r="H101" s="19" t="n">
        <v>3</v>
      </c>
      <c r="I101" s="13">
        <f>G101*H101</f>
        <v>3.0</v>
      </c>
      <c r="J101" s="20">
        <f>7000/1000</f>
        <v>7.0</v>
      </c>
      <c r="K101" s="21">
        <f>I101*J101</f>
        <v>21.0</v>
      </c>
      <c r="L101" s="22">
        <f>F101^2/162</f>
        <v>2.4691358024691357</v>
      </c>
      <c r="M101" s="21">
        <f>K101*L101</f>
        <v>51.85185185185185</v>
      </c>
      <c r="N101" s="22">
        <f>M101/1000</f>
        <v>0.05185185185185185</v>
      </c>
      <c r="O101" s="13" t="inlineStr">
        <is>
          <t>BBS</t>
        </is>
      </c>
    </row>
    <row r="102">
      <c r="A102" s="13" t="n">
        <v>97</v>
      </c>
      <c r="B102" s="13" t="inlineStr">
        <is>
          <t>Beams</t>
        </is>
      </c>
      <c r="C102" s="13" t="inlineStr">
        <is>
          <t>STR-078</t>
        </is>
      </c>
      <c r="D102" s="13" t="inlineStr">
        <is>
          <t>Typical 4th-8th floor beams (sheet 1 of 2)</t>
        </is>
      </c>
      <c r="E102" s="19" t="inlineStr">
        <is>
          <t>2005</t>
        </is>
      </c>
      <c r="F102" s="19" t="n">
        <v>20</v>
      </c>
      <c r="G102" s="19" t="n">
        <v>1</v>
      </c>
      <c r="H102" s="19" t="n">
        <v>6</v>
      </c>
      <c r="I102" s="13">
        <f>G102*H102</f>
        <v>6.0</v>
      </c>
      <c r="J102" s="20">
        <f>9300/1000</f>
        <v>9.3</v>
      </c>
      <c r="K102" s="21">
        <f>I102*J102</f>
        <v>55.800000000000004</v>
      </c>
      <c r="L102" s="22">
        <f>F102^2/162</f>
        <v>2.4691358024691357</v>
      </c>
      <c r="M102" s="21">
        <f>K102*L102</f>
        <v>137.77777777777777</v>
      </c>
      <c r="N102" s="22">
        <f>M102/1000</f>
        <v>0.13777777777777778</v>
      </c>
      <c r="O102" s="13" t="inlineStr">
        <is>
          <t>BBS</t>
        </is>
      </c>
    </row>
    <row r="103">
      <c r="A103" s="13" t="n">
        <v>98</v>
      </c>
      <c r="B103" s="13" t="inlineStr">
        <is>
          <t>Beams</t>
        </is>
      </c>
      <c r="C103" s="13" t="inlineStr">
        <is>
          <t>STR-078</t>
        </is>
      </c>
      <c r="D103" s="13" t="inlineStr">
        <is>
          <t>Typical 4th-8th floor beams (sheet 1 of 2)</t>
        </is>
      </c>
      <c r="E103" s="19" t="inlineStr">
        <is>
          <t>2006</t>
        </is>
      </c>
      <c r="F103" s="19" t="n">
        <v>20</v>
      </c>
      <c r="G103" s="19" t="n">
        <v>1</v>
      </c>
      <c r="H103" s="19" t="n">
        <v>3</v>
      </c>
      <c r="I103" s="13">
        <f>G103*H103</f>
        <v>3.0</v>
      </c>
      <c r="J103" s="20">
        <f>9000/1000</f>
        <v>9.0</v>
      </c>
      <c r="K103" s="21">
        <f>I103*J103</f>
        <v>27.0</v>
      </c>
      <c r="L103" s="22">
        <f>F103^2/162</f>
        <v>2.4691358024691357</v>
      </c>
      <c r="M103" s="21">
        <f>K103*L103</f>
        <v>66.66666666666666</v>
      </c>
      <c r="N103" s="22">
        <f>M103/1000</f>
        <v>0.06666666666666665</v>
      </c>
      <c r="O103" s="13" t="inlineStr">
        <is>
          <t>BBS</t>
        </is>
      </c>
    </row>
    <row r="104">
      <c r="A104" s="13" t="n">
        <v>99</v>
      </c>
      <c r="B104" s="13" t="inlineStr">
        <is>
          <t>Beams</t>
        </is>
      </c>
      <c r="C104" s="13" t="inlineStr">
        <is>
          <t>STR-078</t>
        </is>
      </c>
      <c r="D104" s="13" t="inlineStr">
        <is>
          <t>Typical 4th-8th floor beams (sheet 1 of 2)</t>
        </is>
      </c>
      <c r="E104" s="19" t="inlineStr">
        <is>
          <t>2007</t>
        </is>
      </c>
      <c r="F104" s="19" t="n">
        <v>20</v>
      </c>
      <c r="G104" s="19" t="n">
        <v>1</v>
      </c>
      <c r="H104" s="19" t="n">
        <v>5</v>
      </c>
      <c r="I104" s="13">
        <f>G104*H104</f>
        <v>5.0</v>
      </c>
      <c r="J104" s="20">
        <f>11750/1000</f>
        <v>11.75</v>
      </c>
      <c r="K104" s="21">
        <f>I104*J104</f>
        <v>58.75</v>
      </c>
      <c r="L104" s="22">
        <f>F104^2/162</f>
        <v>2.4691358024691357</v>
      </c>
      <c r="M104" s="21">
        <f>K104*L104</f>
        <v>145.06172839506172</v>
      </c>
      <c r="N104" s="22">
        <f>M104/1000</f>
        <v>0.14506172839506173</v>
      </c>
      <c r="O104" s="13" t="inlineStr">
        <is>
          <t>BBS</t>
        </is>
      </c>
    </row>
    <row r="105">
      <c r="A105" s="13" t="n">
        <v>100</v>
      </c>
      <c r="B105" s="13" t="inlineStr">
        <is>
          <t>Beams</t>
        </is>
      </c>
      <c r="C105" s="13" t="inlineStr">
        <is>
          <t>STR-078</t>
        </is>
      </c>
      <c r="D105" s="13" t="inlineStr">
        <is>
          <t>Typical 4th-8th floor beams (sheet 1 of 2)</t>
        </is>
      </c>
      <c r="E105" s="19" t="inlineStr">
        <is>
          <t>2008</t>
        </is>
      </c>
      <c r="F105" s="19" t="n">
        <v>20</v>
      </c>
      <c r="G105" s="19" t="n">
        <v>1</v>
      </c>
      <c r="H105" s="19" t="n">
        <v>5</v>
      </c>
      <c r="I105" s="13">
        <f>G105*H105</f>
        <v>5.0</v>
      </c>
      <c r="J105" s="20">
        <f>7300/1000</f>
        <v>7.3</v>
      </c>
      <c r="K105" s="21">
        <f>I105*J105</f>
        <v>36.5</v>
      </c>
      <c r="L105" s="22">
        <f>F105^2/162</f>
        <v>2.4691358024691357</v>
      </c>
      <c r="M105" s="21">
        <f>K105*L105</f>
        <v>90.12345679012346</v>
      </c>
      <c r="N105" s="22">
        <f>M105/1000</f>
        <v>0.09012345679012346</v>
      </c>
      <c r="O105" s="13" t="inlineStr">
        <is>
          <t>BBS</t>
        </is>
      </c>
    </row>
    <row r="106">
      <c r="A106" s="13" t="n">
        <v>101</v>
      </c>
      <c r="B106" s="13" t="inlineStr">
        <is>
          <t>Beams</t>
        </is>
      </c>
      <c r="C106" s="13" t="inlineStr">
        <is>
          <t>STR-078</t>
        </is>
      </c>
      <c r="D106" s="13" t="inlineStr">
        <is>
          <t>Typical 4th-8th floor beams (sheet 1 of 2)</t>
        </is>
      </c>
      <c r="E106" s="19" t="inlineStr">
        <is>
          <t>2009</t>
        </is>
      </c>
      <c r="F106" s="19" t="n">
        <v>20</v>
      </c>
      <c r="G106" s="19" t="n">
        <v>1</v>
      </c>
      <c r="H106" s="19" t="n">
        <v>10</v>
      </c>
      <c r="I106" s="13">
        <f>G106*H106</f>
        <v>10.0</v>
      </c>
      <c r="J106" s="20">
        <f>9600/1000</f>
        <v>9.6</v>
      </c>
      <c r="K106" s="21">
        <f>I106*J106</f>
        <v>96.0</v>
      </c>
      <c r="L106" s="22">
        <f>F106^2/162</f>
        <v>2.4691358024691357</v>
      </c>
      <c r="M106" s="21">
        <f>K106*L106</f>
        <v>237.037037037037</v>
      </c>
      <c r="N106" s="22">
        <f>M106/1000</f>
        <v>0.23703703703703702</v>
      </c>
      <c r="O106" s="13" t="inlineStr">
        <is>
          <t>BBS</t>
        </is>
      </c>
    </row>
    <row r="107">
      <c r="A107" s="13" t="n">
        <v>102</v>
      </c>
      <c r="B107" s="13" t="inlineStr">
        <is>
          <t>Beams</t>
        </is>
      </c>
      <c r="C107" s="13" t="inlineStr">
        <is>
          <t>STR-078</t>
        </is>
      </c>
      <c r="D107" s="13" t="inlineStr">
        <is>
          <t>Typical 4th-8th floor beams (sheet 1 of 2)</t>
        </is>
      </c>
      <c r="E107" s="19" t="inlineStr">
        <is>
          <t>2010</t>
        </is>
      </c>
      <c r="F107" s="19" t="n">
        <v>20</v>
      </c>
      <c r="G107" s="19" t="n">
        <v>1</v>
      </c>
      <c r="H107" s="19" t="n">
        <v>5</v>
      </c>
      <c r="I107" s="13">
        <f>G107*H107</f>
        <v>5.0</v>
      </c>
      <c r="J107" s="20">
        <f>11900/1000</f>
        <v>11.9</v>
      </c>
      <c r="K107" s="21">
        <f>I107*J107</f>
        <v>59.5</v>
      </c>
      <c r="L107" s="22">
        <f>F107^2/162</f>
        <v>2.4691358024691357</v>
      </c>
      <c r="M107" s="21">
        <f>K107*L107</f>
        <v>146.91358024691357</v>
      </c>
      <c r="N107" s="22">
        <f>M107/1000</f>
        <v>0.14691358024691356</v>
      </c>
      <c r="O107" s="13" t="inlineStr">
        <is>
          <t>BBS</t>
        </is>
      </c>
    </row>
    <row r="108">
      <c r="A108" s="13" t="n">
        <v>103</v>
      </c>
      <c r="B108" s="13" t="inlineStr">
        <is>
          <t>Beams</t>
        </is>
      </c>
      <c r="C108" s="13" t="inlineStr">
        <is>
          <t>STR-078</t>
        </is>
      </c>
      <c r="D108" s="13" t="inlineStr">
        <is>
          <t>Typical 4th-8th floor beams (sheet 1 of 2)</t>
        </is>
      </c>
      <c r="E108" s="19" t="inlineStr">
        <is>
          <t>2011</t>
        </is>
      </c>
      <c r="F108" s="19" t="n">
        <v>20</v>
      </c>
      <c r="G108" s="19" t="n">
        <v>1</v>
      </c>
      <c r="H108" s="19" t="n">
        <v>4</v>
      </c>
      <c r="I108" s="13">
        <f>G108*H108</f>
        <v>4.0</v>
      </c>
      <c r="J108" s="20">
        <f>11800/1000</f>
        <v>11.8</v>
      </c>
      <c r="K108" s="21">
        <f>I108*J108</f>
        <v>47.2</v>
      </c>
      <c r="L108" s="22">
        <f>F108^2/162</f>
        <v>2.4691358024691357</v>
      </c>
      <c r="M108" s="21">
        <f>K108*L108</f>
        <v>116.54320987654322</v>
      </c>
      <c r="N108" s="22">
        <f>M108/1000</f>
        <v>0.11654320987654322</v>
      </c>
      <c r="O108" s="13" t="inlineStr">
        <is>
          <t>BBS</t>
        </is>
      </c>
    </row>
    <row r="109">
      <c r="A109" s="13" t="n">
        <v>104</v>
      </c>
      <c r="B109" s="13" t="inlineStr">
        <is>
          <t>Beams</t>
        </is>
      </c>
      <c r="C109" s="13" t="inlineStr">
        <is>
          <t>STR-078</t>
        </is>
      </c>
      <c r="D109" s="13" t="inlineStr">
        <is>
          <t>Typical 4th-8th floor beams (sheet 1 of 2)</t>
        </is>
      </c>
      <c r="E109" s="19" t="inlineStr">
        <is>
          <t>2012</t>
        </is>
      </c>
      <c r="F109" s="19" t="n">
        <v>20</v>
      </c>
      <c r="G109" s="19" t="n">
        <v>1</v>
      </c>
      <c r="H109" s="19" t="n">
        <v>4</v>
      </c>
      <c r="I109" s="13">
        <f>G109*H109</f>
        <v>4.0</v>
      </c>
      <c r="J109" s="20">
        <f>7300/1000</f>
        <v>7.3</v>
      </c>
      <c r="K109" s="21">
        <f>I109*J109</f>
        <v>29.2</v>
      </c>
      <c r="L109" s="22">
        <f>F109^2/162</f>
        <v>2.4691358024691357</v>
      </c>
      <c r="M109" s="21">
        <f>K109*L109</f>
        <v>72.09876543209876</v>
      </c>
      <c r="N109" s="22">
        <f>M109/1000</f>
        <v>0.07209876543209875</v>
      </c>
      <c r="O109" s="13" t="inlineStr">
        <is>
          <t>BBS</t>
        </is>
      </c>
    </row>
    <row r="110">
      <c r="A110" s="13" t="n">
        <v>105</v>
      </c>
      <c r="B110" s="13" t="inlineStr">
        <is>
          <t>Beams</t>
        </is>
      </c>
      <c r="C110" s="13" t="inlineStr">
        <is>
          <t>STR-078</t>
        </is>
      </c>
      <c r="D110" s="13" t="inlineStr">
        <is>
          <t>Typical 4th-8th floor beams (sheet 1 of 2)</t>
        </is>
      </c>
      <c r="E110" s="19" t="inlineStr">
        <is>
          <t>2013</t>
        </is>
      </c>
      <c r="F110" s="19" t="n">
        <v>20</v>
      </c>
      <c r="G110" s="19" t="n">
        <v>1</v>
      </c>
      <c r="H110" s="19" t="n">
        <v>8</v>
      </c>
      <c r="I110" s="13">
        <f>G110*H110</f>
        <v>8.0</v>
      </c>
      <c r="J110" s="20">
        <f>9500/1000</f>
        <v>9.5</v>
      </c>
      <c r="K110" s="21">
        <f>I110*J110</f>
        <v>76.0</v>
      </c>
      <c r="L110" s="22">
        <f>F110^2/162</f>
        <v>2.4691358024691357</v>
      </c>
      <c r="M110" s="21">
        <f>K110*L110</f>
        <v>187.6543209876543</v>
      </c>
      <c r="N110" s="22">
        <f>M110/1000</f>
        <v>0.1876543209876543</v>
      </c>
      <c r="O110" s="13" t="inlineStr">
        <is>
          <t>BBS</t>
        </is>
      </c>
    </row>
    <row r="111">
      <c r="A111" s="13" t="n">
        <v>106</v>
      </c>
      <c r="B111" s="13" t="inlineStr">
        <is>
          <t>Beams</t>
        </is>
      </c>
      <c r="C111" s="13" t="inlineStr">
        <is>
          <t>STR-078</t>
        </is>
      </c>
      <c r="D111" s="13" t="inlineStr">
        <is>
          <t>Typical 4th-8th floor beams (sheet 1 of 2)</t>
        </is>
      </c>
      <c r="E111" s="19" t="inlineStr">
        <is>
          <t>2014</t>
        </is>
      </c>
      <c r="F111" s="19" t="n">
        <v>20</v>
      </c>
      <c r="G111" s="19" t="n">
        <v>1</v>
      </c>
      <c r="H111" s="19" t="n">
        <v>4</v>
      </c>
      <c r="I111" s="13">
        <f>G111*H111</f>
        <v>4.0</v>
      </c>
      <c r="J111" s="20">
        <f>12000/1000</f>
        <v>12.0</v>
      </c>
      <c r="K111" s="21">
        <f>I111*J111</f>
        <v>48.0</v>
      </c>
      <c r="L111" s="22">
        <f>F111^2/162</f>
        <v>2.4691358024691357</v>
      </c>
      <c r="M111" s="21">
        <f>K111*L111</f>
        <v>118.5185185185185</v>
      </c>
      <c r="N111" s="22">
        <f>M111/1000</f>
        <v>0.11851851851851851</v>
      </c>
      <c r="O111" s="13" t="inlineStr">
        <is>
          <t>BBS</t>
        </is>
      </c>
    </row>
    <row r="112">
      <c r="A112" s="13" t="n">
        <v>107</v>
      </c>
      <c r="B112" s="13" t="inlineStr">
        <is>
          <t>Beams</t>
        </is>
      </c>
      <c r="C112" s="13" t="inlineStr">
        <is>
          <t>STR-078</t>
        </is>
      </c>
      <c r="D112" s="13" t="inlineStr">
        <is>
          <t>Typical 4th-8th floor beams (sheet 1 of 2)</t>
        </is>
      </c>
      <c r="E112" s="19" t="inlineStr">
        <is>
          <t>2015</t>
        </is>
      </c>
      <c r="F112" s="19" t="n">
        <v>20</v>
      </c>
      <c r="G112" s="19" t="n">
        <v>1</v>
      </c>
      <c r="H112" s="19" t="n">
        <v>3</v>
      </c>
      <c r="I112" s="13">
        <f>G112*H112</f>
        <v>3.0</v>
      </c>
      <c r="J112" s="20">
        <f>6400/1000</f>
        <v>6.4</v>
      </c>
      <c r="K112" s="21">
        <f>I112*J112</f>
        <v>19.200000000000003</v>
      </c>
      <c r="L112" s="22">
        <f>F112^2/162</f>
        <v>2.4691358024691357</v>
      </c>
      <c r="M112" s="21">
        <f>K112*L112</f>
        <v>47.40740740740741</v>
      </c>
      <c r="N112" s="22">
        <f>M112/1000</f>
        <v>0.04740740740740741</v>
      </c>
      <c r="O112" s="13" t="inlineStr">
        <is>
          <t>BBS</t>
        </is>
      </c>
    </row>
    <row r="113">
      <c r="A113" s="13" t="n">
        <v>108</v>
      </c>
      <c r="B113" s="13" t="inlineStr">
        <is>
          <t>Beams</t>
        </is>
      </c>
      <c r="C113" s="13" t="inlineStr">
        <is>
          <t>STR-078</t>
        </is>
      </c>
      <c r="D113" s="13" t="inlineStr">
        <is>
          <t>Typical 4th-8th floor beams (sheet 1 of 2)</t>
        </is>
      </c>
      <c r="E113" s="19" t="inlineStr">
        <is>
          <t>2016</t>
        </is>
      </c>
      <c r="F113" s="19" t="n">
        <v>20</v>
      </c>
      <c r="G113" s="19" t="n">
        <v>1</v>
      </c>
      <c r="H113" s="19" t="n">
        <v>6</v>
      </c>
      <c r="I113" s="13">
        <f>G113*H113</f>
        <v>6.0</v>
      </c>
      <c r="J113" s="20">
        <f>11550/1000</f>
        <v>11.55</v>
      </c>
      <c r="K113" s="21">
        <f>I113*J113</f>
        <v>69.30000000000001</v>
      </c>
      <c r="L113" s="22">
        <f>F113^2/162</f>
        <v>2.4691358024691357</v>
      </c>
      <c r="M113" s="21">
        <f>K113*L113</f>
        <v>171.11111111111114</v>
      </c>
      <c r="N113" s="22">
        <f>M113/1000</f>
        <v>0.17111111111111113</v>
      </c>
      <c r="O113" s="13" t="inlineStr">
        <is>
          <t>BBS</t>
        </is>
      </c>
    </row>
    <row r="114">
      <c r="A114" s="13" t="n">
        <v>109</v>
      </c>
      <c r="B114" s="13" t="inlineStr">
        <is>
          <t>Beams</t>
        </is>
      </c>
      <c r="C114" s="13" t="inlineStr">
        <is>
          <t>STR-078</t>
        </is>
      </c>
      <c r="D114" s="13" t="inlineStr">
        <is>
          <t>Typical 4th-8th floor beams (sheet 1 of 2)</t>
        </is>
      </c>
      <c r="E114" s="19" t="inlineStr">
        <is>
          <t>2017</t>
        </is>
      </c>
      <c r="F114" s="19" t="n">
        <v>20</v>
      </c>
      <c r="G114" s="19" t="n">
        <v>1</v>
      </c>
      <c r="H114" s="19" t="n">
        <v>6</v>
      </c>
      <c r="I114" s="13">
        <f>G114*H114</f>
        <v>6.0</v>
      </c>
      <c r="J114" s="20">
        <f>6050/1000</f>
        <v>6.05</v>
      </c>
      <c r="K114" s="21">
        <f>I114*J114</f>
        <v>36.3</v>
      </c>
      <c r="L114" s="22">
        <f>F114^2/162</f>
        <v>2.4691358024691357</v>
      </c>
      <c r="M114" s="21">
        <f>K114*L114</f>
        <v>89.62962962962962</v>
      </c>
      <c r="N114" s="22">
        <f>M114/1000</f>
        <v>0.08962962962962961</v>
      </c>
      <c r="O114" s="13" t="inlineStr">
        <is>
          <t>BBS</t>
        </is>
      </c>
    </row>
    <row r="115">
      <c r="A115" s="13" t="n">
        <v>110</v>
      </c>
      <c r="B115" s="13" t="inlineStr">
        <is>
          <t>Beams</t>
        </is>
      </c>
      <c r="C115" s="13" t="inlineStr">
        <is>
          <t>STR-078</t>
        </is>
      </c>
      <c r="D115" s="13" t="inlineStr">
        <is>
          <t>Typical 4th-8th floor beams (sheet 1 of 2)</t>
        </is>
      </c>
      <c r="E115" s="19" t="inlineStr">
        <is>
          <t>2018</t>
        </is>
      </c>
      <c r="F115" s="19" t="n">
        <v>20</v>
      </c>
      <c r="G115" s="19" t="n">
        <v>1</v>
      </c>
      <c r="H115" s="19" t="n">
        <v>3</v>
      </c>
      <c r="I115" s="13">
        <f>G115*H115</f>
        <v>3.0</v>
      </c>
      <c r="J115" s="20">
        <f>6300/1000</f>
        <v>6.3</v>
      </c>
      <c r="K115" s="21">
        <f>I115*J115</f>
        <v>18.9</v>
      </c>
      <c r="L115" s="22">
        <f>F115^2/162</f>
        <v>2.4691358024691357</v>
      </c>
      <c r="M115" s="21">
        <f>K115*L115</f>
        <v>46.66666666666666</v>
      </c>
      <c r="N115" s="22">
        <f>M115/1000</f>
        <v>0.046666666666666655</v>
      </c>
      <c r="O115" s="13" t="inlineStr">
        <is>
          <t>BBS</t>
        </is>
      </c>
    </row>
    <row r="116">
      <c r="A116" s="13" t="n">
        <v>111</v>
      </c>
      <c r="B116" s="13" t="inlineStr">
        <is>
          <t>Beams</t>
        </is>
      </c>
      <c r="C116" s="13" t="inlineStr">
        <is>
          <t>STR-078</t>
        </is>
      </c>
      <c r="D116" s="13" t="inlineStr">
        <is>
          <t>Typical 4th-8th floor beams (sheet 1 of 2)</t>
        </is>
      </c>
      <c r="E116" s="19" t="inlineStr">
        <is>
          <t>2019</t>
        </is>
      </c>
      <c r="F116" s="19" t="n">
        <v>20</v>
      </c>
      <c r="G116" s="19" t="n">
        <v>1</v>
      </c>
      <c r="H116" s="19" t="n">
        <v>3</v>
      </c>
      <c r="I116" s="13">
        <f>G116*H116</f>
        <v>3.0</v>
      </c>
      <c r="J116" s="20">
        <f>5950/1000</f>
        <v>5.95</v>
      </c>
      <c r="K116" s="21">
        <f>I116*J116</f>
        <v>17.85</v>
      </c>
      <c r="L116" s="22">
        <f>F116^2/162</f>
        <v>2.4691358024691357</v>
      </c>
      <c r="M116" s="21">
        <f>K116*L116</f>
        <v>44.074074074074076</v>
      </c>
      <c r="N116" s="22">
        <f>M116/1000</f>
        <v>0.04407407407407408</v>
      </c>
      <c r="O116" s="13" t="inlineStr">
        <is>
          <t>BBS</t>
        </is>
      </c>
    </row>
    <row r="117">
      <c r="A117" s="13" t="n">
        <v>112</v>
      </c>
      <c r="B117" s="13" t="inlineStr">
        <is>
          <t>Beams</t>
        </is>
      </c>
      <c r="C117" s="13" t="inlineStr">
        <is>
          <t>STR-078</t>
        </is>
      </c>
      <c r="D117" s="13" t="inlineStr">
        <is>
          <t>Typical 4th-8th floor beams (sheet 1 of 2)</t>
        </is>
      </c>
      <c r="E117" s="19" t="inlineStr">
        <is>
          <t>2501</t>
        </is>
      </c>
      <c r="F117" s="19" t="n">
        <v>25</v>
      </c>
      <c r="G117" s="19" t="n">
        <v>1</v>
      </c>
      <c r="H117" s="19" t="n">
        <v>3</v>
      </c>
      <c r="I117" s="13">
        <f>G117*H117</f>
        <v>3.0</v>
      </c>
      <c r="J117" s="20">
        <f>11200/1000</f>
        <v>11.2</v>
      </c>
      <c r="K117" s="21">
        <f>I117*J117</f>
        <v>33.599999999999994</v>
      </c>
      <c r="L117" s="22">
        <f>F117^2/162</f>
        <v>3.8580246913580245</v>
      </c>
      <c r="M117" s="21">
        <f>K117*L117</f>
        <v>129.6296296296296</v>
      </c>
      <c r="N117" s="22">
        <f>M117/1000</f>
        <v>0.1296296296296296</v>
      </c>
      <c r="O117" s="13" t="inlineStr">
        <is>
          <t>BBS</t>
        </is>
      </c>
    </row>
    <row r="118">
      <c r="A118" s="13" t="n">
        <v>113</v>
      </c>
      <c r="B118" s="13" t="inlineStr">
        <is>
          <t>Beams</t>
        </is>
      </c>
      <c r="C118" s="13" t="inlineStr">
        <is>
          <t>STR-078</t>
        </is>
      </c>
      <c r="D118" s="13" t="inlineStr">
        <is>
          <t>Typical 4th-8th floor beams (sheet 1 of 2)</t>
        </is>
      </c>
      <c r="E118" s="19" t="inlineStr">
        <is>
          <t>2502</t>
        </is>
      </c>
      <c r="F118" s="19" t="n">
        <v>25</v>
      </c>
      <c r="G118" s="19" t="n">
        <v>1</v>
      </c>
      <c r="H118" s="19" t="n">
        <v>3</v>
      </c>
      <c r="I118" s="13">
        <f>G118*H118</f>
        <v>3.0</v>
      </c>
      <c r="J118" s="20">
        <f>9400/1000</f>
        <v>9.4</v>
      </c>
      <c r="K118" s="21">
        <f>I118*J118</f>
        <v>28.200000000000003</v>
      </c>
      <c r="L118" s="22">
        <f>F118^2/162</f>
        <v>3.8580246913580245</v>
      </c>
      <c r="M118" s="21">
        <f>K118*L118</f>
        <v>108.7962962962963</v>
      </c>
      <c r="N118" s="22">
        <f>M118/1000</f>
        <v>0.10879629629629631</v>
      </c>
      <c r="O118" s="13" t="inlineStr">
        <is>
          <t>BBS</t>
        </is>
      </c>
    </row>
    <row r="119">
      <c r="A119" s="13" t="n">
        <v>114</v>
      </c>
      <c r="B119" s="13" t="inlineStr">
        <is>
          <t>Beams</t>
        </is>
      </c>
      <c r="C119" s="13" t="inlineStr">
        <is>
          <t>STR-078</t>
        </is>
      </c>
      <c r="D119" s="13" t="inlineStr">
        <is>
          <t>Typical 4th-8th floor beams (sheet 1 of 2)</t>
        </is>
      </c>
      <c r="E119" s="19" t="inlineStr">
        <is>
          <t>2503</t>
        </is>
      </c>
      <c r="F119" s="19" t="n">
        <v>25</v>
      </c>
      <c r="G119" s="19" t="n">
        <v>1</v>
      </c>
      <c r="H119" s="19" t="n">
        <v>3</v>
      </c>
      <c r="I119" s="13">
        <f>G119*H119</f>
        <v>3.0</v>
      </c>
      <c r="J119" s="20">
        <f>12000/1000</f>
        <v>12.0</v>
      </c>
      <c r="K119" s="21">
        <f>I119*J119</f>
        <v>36.0</v>
      </c>
      <c r="L119" s="22">
        <f>F119^2/162</f>
        <v>3.8580246913580245</v>
      </c>
      <c r="M119" s="21">
        <f>K119*L119</f>
        <v>138.88888888888889</v>
      </c>
      <c r="N119" s="22">
        <f>M119/1000</f>
        <v>0.1388888888888889</v>
      </c>
      <c r="O119" s="13" t="inlineStr">
        <is>
          <t>BBS</t>
        </is>
      </c>
    </row>
    <row r="120">
      <c r="A120" s="13" t="n">
        <v>115</v>
      </c>
      <c r="B120" s="13" t="inlineStr">
        <is>
          <t>Beams</t>
        </is>
      </c>
      <c r="C120" s="13" t="inlineStr">
        <is>
          <t>STR-078</t>
        </is>
      </c>
      <c r="D120" s="13" t="inlineStr">
        <is>
          <t>Typical 4th-8th floor beams (sheet 1 of 2)</t>
        </is>
      </c>
      <c r="E120" s="19" t="inlineStr">
        <is>
          <t>2504</t>
        </is>
      </c>
      <c r="F120" s="19" t="n">
        <v>25</v>
      </c>
      <c r="G120" s="19" t="n">
        <v>1</v>
      </c>
      <c r="H120" s="19" t="n">
        <v>3</v>
      </c>
      <c r="I120" s="13">
        <f>G120*H120</f>
        <v>3.0</v>
      </c>
      <c r="J120" s="20">
        <f>7100/1000</f>
        <v>7.1</v>
      </c>
      <c r="K120" s="21">
        <f>I120*J120</f>
        <v>21.299999999999997</v>
      </c>
      <c r="L120" s="22">
        <f>F120^2/162</f>
        <v>3.8580246913580245</v>
      </c>
      <c r="M120" s="21">
        <f>K120*L120</f>
        <v>82.17592592592591</v>
      </c>
      <c r="N120" s="22">
        <f>M120/1000</f>
        <v>0.08217592592592592</v>
      </c>
      <c r="O120" s="13" t="inlineStr">
        <is>
          <t>BBS</t>
        </is>
      </c>
    </row>
    <row r="121">
      <c r="A121" s="13" t="n">
        <v>116</v>
      </c>
      <c r="B121" s="13" t="inlineStr">
        <is>
          <t>Beams</t>
        </is>
      </c>
      <c r="C121" s="13" t="inlineStr">
        <is>
          <t>STR-078</t>
        </is>
      </c>
      <c r="D121" s="13" t="inlineStr">
        <is>
          <t>Typical 4th-8th floor beams (sheet 1 of 2)</t>
        </is>
      </c>
      <c r="E121" s="19" t="inlineStr">
        <is>
          <t>2505</t>
        </is>
      </c>
      <c r="F121" s="19" t="n">
        <v>25</v>
      </c>
      <c r="G121" s="19" t="n">
        <v>1</v>
      </c>
      <c r="H121" s="19" t="n">
        <v>6</v>
      </c>
      <c r="I121" s="13">
        <f>G121*H121</f>
        <v>6.0</v>
      </c>
      <c r="J121" s="20">
        <f>9300/1000</f>
        <v>9.3</v>
      </c>
      <c r="K121" s="21">
        <f>I121*J121</f>
        <v>55.800000000000004</v>
      </c>
      <c r="L121" s="22">
        <f>F121^2/162</f>
        <v>3.8580246913580245</v>
      </c>
      <c r="M121" s="21">
        <f>K121*L121</f>
        <v>215.27777777777777</v>
      </c>
      <c r="N121" s="22">
        <f>M121/1000</f>
        <v>0.21527777777777776</v>
      </c>
      <c r="O121" s="13" t="inlineStr">
        <is>
          <t>BBS</t>
        </is>
      </c>
    </row>
    <row r="122">
      <c r="A122" s="13" t="n">
        <v>117</v>
      </c>
      <c r="B122" s="13" t="inlineStr">
        <is>
          <t>Beams</t>
        </is>
      </c>
      <c r="C122" s="13" t="inlineStr">
        <is>
          <t>STR-078</t>
        </is>
      </c>
      <c r="D122" s="13" t="inlineStr">
        <is>
          <t>Typical 4th-8th floor beams (sheet 1 of 2)</t>
        </is>
      </c>
      <c r="E122" s="19" t="inlineStr">
        <is>
          <t>2506</t>
        </is>
      </c>
      <c r="F122" s="19" t="n">
        <v>25</v>
      </c>
      <c r="G122" s="19" t="n">
        <v>1</v>
      </c>
      <c r="H122" s="19" t="n">
        <v>3</v>
      </c>
      <c r="I122" s="13">
        <f>G122*H122</f>
        <v>3.0</v>
      </c>
      <c r="J122" s="20">
        <f>9100/1000</f>
        <v>9.1</v>
      </c>
      <c r="K122" s="21">
        <f>I122*J122</f>
        <v>27.299999999999997</v>
      </c>
      <c r="L122" s="22">
        <f>F122^2/162</f>
        <v>3.8580246913580245</v>
      </c>
      <c r="M122" s="21">
        <f>K122*L122</f>
        <v>105.32407407407406</v>
      </c>
      <c r="N122" s="22">
        <f>M122/1000</f>
        <v>0.10532407407407406</v>
      </c>
      <c r="O122" s="13" t="inlineStr">
        <is>
          <t>BBS</t>
        </is>
      </c>
    </row>
    <row r="123">
      <c r="A123" s="13" t="n">
        <v>118</v>
      </c>
      <c r="B123" s="13" t="inlineStr">
        <is>
          <t>Beams</t>
        </is>
      </c>
      <c r="C123" s="13" t="inlineStr">
        <is>
          <t>STR-078</t>
        </is>
      </c>
      <c r="D123" s="13" t="inlineStr">
        <is>
          <t>Typical 4th-8th floor beams (sheet 1 of 2)</t>
        </is>
      </c>
      <c r="E123" s="19" t="inlineStr">
        <is>
          <t>2507</t>
        </is>
      </c>
      <c r="F123" s="19" t="n">
        <v>25</v>
      </c>
      <c r="G123" s="19" t="n">
        <v>1</v>
      </c>
      <c r="H123" s="19" t="n">
        <v>3</v>
      </c>
      <c r="I123" s="13">
        <f>G123*H123</f>
        <v>3.0</v>
      </c>
      <c r="J123" s="20">
        <f>5850/1000</f>
        <v>5.85</v>
      </c>
      <c r="K123" s="21">
        <f>I123*J123</f>
        <v>17.549999999999997</v>
      </c>
      <c r="L123" s="22">
        <f>F123^2/162</f>
        <v>3.8580246913580245</v>
      </c>
      <c r="M123" s="21">
        <f>K123*L123</f>
        <v>67.70833333333331</v>
      </c>
      <c r="N123" s="22">
        <f>M123/1000</f>
        <v>0.06770833333333331</v>
      </c>
      <c r="O123" s="13" t="inlineStr">
        <is>
          <t>BBS</t>
        </is>
      </c>
    </row>
    <row r="124">
      <c r="A124" s="13" t="n">
        <v>119</v>
      </c>
      <c r="B124" s="13" t="inlineStr">
        <is>
          <t>Beams</t>
        </is>
      </c>
      <c r="C124" s="13" t="inlineStr">
        <is>
          <t>STR-078</t>
        </is>
      </c>
      <c r="D124" s="13" t="inlineStr">
        <is>
          <t>Typical 4th-8th floor beams (sheet 1 of 2)</t>
        </is>
      </c>
      <c r="E124" s="19" t="inlineStr">
        <is>
          <t>2508</t>
        </is>
      </c>
      <c r="F124" s="19" t="n">
        <v>25</v>
      </c>
      <c r="G124" s="19" t="n">
        <v>1</v>
      </c>
      <c r="H124" s="19" t="n">
        <v>3</v>
      </c>
      <c r="I124" s="13">
        <f>G124*H124</f>
        <v>3.0</v>
      </c>
      <c r="J124" s="20">
        <f>8000/1000</f>
        <v>8.0</v>
      </c>
      <c r="K124" s="21">
        <f>I124*J124</f>
        <v>24.0</v>
      </c>
      <c r="L124" s="22">
        <f>F124^2/162</f>
        <v>3.8580246913580245</v>
      </c>
      <c r="M124" s="21">
        <f>K124*L124</f>
        <v>92.59259259259258</v>
      </c>
      <c r="N124" s="22">
        <f>M124/1000</f>
        <v>0.09259259259259259</v>
      </c>
      <c r="O124" s="13" t="inlineStr">
        <is>
          <t>BBS</t>
        </is>
      </c>
    </row>
    <row r="125">
      <c r="A125" s="13" t="n">
        <v>120</v>
      </c>
      <c r="B125" s="13" t="inlineStr">
        <is>
          <t>Beams</t>
        </is>
      </c>
      <c r="C125" s="13" t="inlineStr">
        <is>
          <t>STR-078</t>
        </is>
      </c>
      <c r="D125" s="13" t="inlineStr">
        <is>
          <t>Typical 4th-8th floor beams (sheet 1 of 2)</t>
        </is>
      </c>
      <c r="E125" s="19" t="inlineStr">
        <is>
          <t>2509</t>
        </is>
      </c>
      <c r="F125" s="19" t="n">
        <v>25</v>
      </c>
      <c r="G125" s="19" t="n">
        <v>1</v>
      </c>
      <c r="H125" s="19" t="n">
        <v>3</v>
      </c>
      <c r="I125" s="13">
        <f>G125*H125</f>
        <v>3.0</v>
      </c>
      <c r="J125" s="20">
        <f>8700/1000</f>
        <v>8.7</v>
      </c>
      <c r="K125" s="21">
        <f>I125*J125</f>
        <v>26.099999999999998</v>
      </c>
      <c r="L125" s="22">
        <f>F125^2/162</f>
        <v>3.8580246913580245</v>
      </c>
      <c r="M125" s="21">
        <f>K125*L125</f>
        <v>100.69444444444443</v>
      </c>
      <c r="N125" s="22">
        <f>M125/1000</f>
        <v>0.10069444444444443</v>
      </c>
      <c r="O125" s="13" t="inlineStr">
        <is>
          <t>BBS</t>
        </is>
      </c>
    </row>
    <row r="126">
      <c r="A126" s="13" t="n">
        <v>121</v>
      </c>
      <c r="B126" s="13" t="inlineStr">
        <is>
          <t>Beams</t>
        </is>
      </c>
      <c r="C126" s="13" t="inlineStr">
        <is>
          <t>STR-078</t>
        </is>
      </c>
      <c r="D126" s="13" t="inlineStr">
        <is>
          <t>Typical 4th-8th floor beams (sheet 1 of 2)</t>
        </is>
      </c>
      <c r="E126" s="19" t="inlineStr">
        <is>
          <t>2510</t>
        </is>
      </c>
      <c r="F126" s="19" t="n">
        <v>25</v>
      </c>
      <c r="G126" s="19" t="n">
        <v>1</v>
      </c>
      <c r="H126" s="19" t="n">
        <v>3</v>
      </c>
      <c r="I126" s="13">
        <f>G126*H126</f>
        <v>3.0</v>
      </c>
      <c r="J126" s="20">
        <f>5900/1000</f>
        <v>5.9</v>
      </c>
      <c r="K126" s="21">
        <f>I126*J126</f>
        <v>17.700000000000003</v>
      </c>
      <c r="L126" s="22">
        <f>F126^2/162</f>
        <v>3.8580246913580245</v>
      </c>
      <c r="M126" s="21">
        <f>K126*L126</f>
        <v>68.28703703703704</v>
      </c>
      <c r="N126" s="22">
        <f>M126/1000</f>
        <v>0.06828703703703703</v>
      </c>
      <c r="O126" s="13" t="inlineStr">
        <is>
          <t>BBS</t>
        </is>
      </c>
    </row>
    <row r="127">
      <c r="A127" s="13" t="n">
        <v>122</v>
      </c>
      <c r="B127" s="13" t="inlineStr">
        <is>
          <t>Beams</t>
        </is>
      </c>
      <c r="C127" s="13" t="inlineStr">
        <is>
          <t>STR-078</t>
        </is>
      </c>
      <c r="D127" s="13" t="inlineStr">
        <is>
          <t>Typical 4th-8th floor beams (sheet 1 of 2)</t>
        </is>
      </c>
      <c r="E127" s="19" t="inlineStr">
        <is>
          <t>2511</t>
        </is>
      </c>
      <c r="F127" s="19" t="n">
        <v>25</v>
      </c>
      <c r="G127" s="19" t="n">
        <v>1</v>
      </c>
      <c r="H127" s="19" t="n">
        <v>3</v>
      </c>
      <c r="I127" s="13">
        <f>G127*H127</f>
        <v>3.0</v>
      </c>
      <c r="J127" s="20">
        <f>5600/1000</f>
        <v>5.6</v>
      </c>
      <c r="K127" s="21">
        <f>I127*J127</f>
        <v>16.799999999999997</v>
      </c>
      <c r="L127" s="22">
        <f>F127^2/162</f>
        <v>3.8580246913580245</v>
      </c>
      <c r="M127" s="21">
        <f>K127*L127</f>
        <v>64.8148148148148</v>
      </c>
      <c r="N127" s="22">
        <f>M127/1000</f>
        <v>0.0648148148148148</v>
      </c>
      <c r="O127" s="13" t="inlineStr">
        <is>
          <t>BBS</t>
        </is>
      </c>
    </row>
    <row r="128">
      <c r="A128" s="13" t="n">
        <v>123</v>
      </c>
      <c r="B128" s="13" t="inlineStr">
        <is>
          <t>Beams</t>
        </is>
      </c>
      <c r="C128" s="13" t="inlineStr">
        <is>
          <t>STR-078</t>
        </is>
      </c>
      <c r="D128" s="13" t="inlineStr">
        <is>
          <t>Typical 4th-8th floor beams (sheet 1 of 2)</t>
        </is>
      </c>
      <c r="E128" s="19" t="inlineStr">
        <is>
          <t>2512</t>
        </is>
      </c>
      <c r="F128" s="19" t="n">
        <v>25</v>
      </c>
      <c r="G128" s="19" t="n">
        <v>1</v>
      </c>
      <c r="H128" s="19" t="n">
        <v>3</v>
      </c>
      <c r="I128" s="13">
        <f>G128*H128</f>
        <v>3.0</v>
      </c>
      <c r="J128" s="20">
        <f>11550/1000</f>
        <v>11.55</v>
      </c>
      <c r="K128" s="21">
        <f>I128*J128</f>
        <v>34.650000000000006</v>
      </c>
      <c r="L128" s="22">
        <f>F128^2/162</f>
        <v>3.8580246913580245</v>
      </c>
      <c r="M128" s="21">
        <f>K128*L128</f>
        <v>133.68055555555557</v>
      </c>
      <c r="N128" s="22">
        <f>M128/1000</f>
        <v>0.13368055555555558</v>
      </c>
      <c r="O128" s="13" t="inlineStr">
        <is>
          <t>BBS</t>
        </is>
      </c>
    </row>
    <row r="129">
      <c r="A129" s="13" t="n">
        <v>124</v>
      </c>
      <c r="B129" s="13" t="inlineStr">
        <is>
          <t>Beams</t>
        </is>
      </c>
      <c r="C129" s="13" t="inlineStr">
        <is>
          <t>STR-078</t>
        </is>
      </c>
      <c r="D129" s="13" t="inlineStr">
        <is>
          <t>Typical 4th-8th floor beams (sheet 1 of 2)</t>
        </is>
      </c>
      <c r="E129" s="19" t="inlineStr">
        <is>
          <t>2513</t>
        </is>
      </c>
      <c r="F129" s="19" t="n">
        <v>25</v>
      </c>
      <c r="G129" s="19" t="n">
        <v>1</v>
      </c>
      <c r="H129" s="19" t="n">
        <v>3</v>
      </c>
      <c r="I129" s="13">
        <f>G129*H129</f>
        <v>3.0</v>
      </c>
      <c r="J129" s="20">
        <f>6050/1000</f>
        <v>6.05</v>
      </c>
      <c r="K129" s="21">
        <f>I129*J129</f>
        <v>18.15</v>
      </c>
      <c r="L129" s="22">
        <f>F129^2/162</f>
        <v>3.8580246913580245</v>
      </c>
      <c r="M129" s="21">
        <f>K129*L129</f>
        <v>70.02314814814814</v>
      </c>
      <c r="N129" s="22">
        <f>M129/1000</f>
        <v>0.07002314814814814</v>
      </c>
      <c r="O129" s="13" t="inlineStr">
        <is>
          <t>BBS</t>
        </is>
      </c>
    </row>
    <row r="130">
      <c r="A130" s="13" t="n">
        <v>125</v>
      </c>
      <c r="B130" s="13" t="inlineStr">
        <is>
          <t>Beams</t>
        </is>
      </c>
      <c r="C130" s="13" t="inlineStr">
        <is>
          <t>STR-078</t>
        </is>
      </c>
      <c r="D130" s="13" t="inlineStr">
        <is>
          <t>Typical 4th-8th floor beams (sheet 1 of 2)</t>
        </is>
      </c>
      <c r="E130" s="19" t="inlineStr">
        <is>
          <t>2514</t>
        </is>
      </c>
      <c r="F130" s="19" t="n">
        <v>25</v>
      </c>
      <c r="G130" s="19" t="n">
        <v>1</v>
      </c>
      <c r="H130" s="19" t="n">
        <v>3</v>
      </c>
      <c r="I130" s="13">
        <f>G130*H130</f>
        <v>3.0</v>
      </c>
      <c r="J130" s="20">
        <f>9000/1000</f>
        <v>9.0</v>
      </c>
      <c r="K130" s="21">
        <f>I130*J130</f>
        <v>27.0</v>
      </c>
      <c r="L130" s="22">
        <f>F130^2/162</f>
        <v>3.8580246913580245</v>
      </c>
      <c r="M130" s="21">
        <f>K130*L130</f>
        <v>104.16666666666666</v>
      </c>
      <c r="N130" s="22">
        <f>M130/1000</f>
        <v>0.10416666666666666</v>
      </c>
      <c r="O130" s="13" t="inlineStr">
        <is>
          <t>BBS</t>
        </is>
      </c>
    </row>
    <row r="131">
      <c r="A131" s="13" t="n">
        <v>126</v>
      </c>
      <c r="B131" s="13" t="inlineStr">
        <is>
          <t>Beams</t>
        </is>
      </c>
      <c r="C131" s="13" t="inlineStr">
        <is>
          <t>STR-078</t>
        </is>
      </c>
      <c r="D131" s="13" t="inlineStr">
        <is>
          <t>Typical 4th-8th floor beams (sheet 1 of 2)</t>
        </is>
      </c>
      <c r="E131" s="19" t="inlineStr">
        <is>
          <t>2515</t>
        </is>
      </c>
      <c r="F131" s="19" t="n">
        <v>25</v>
      </c>
      <c r="G131" s="19" t="n">
        <v>1</v>
      </c>
      <c r="H131" s="19" t="n">
        <v>3</v>
      </c>
      <c r="I131" s="13">
        <f>G131*H131</f>
        <v>3.0</v>
      </c>
      <c r="J131" s="20">
        <f>5600/1000</f>
        <v>5.6</v>
      </c>
      <c r="K131" s="21">
        <f>I131*J131</f>
        <v>16.799999999999997</v>
      </c>
      <c r="L131" s="22">
        <f>F131^2/162</f>
        <v>3.8580246913580245</v>
      </c>
      <c r="M131" s="21">
        <f>K131*L131</f>
        <v>64.8148148148148</v>
      </c>
      <c r="N131" s="22">
        <f>M131/1000</f>
        <v>0.0648148148148148</v>
      </c>
      <c r="O131" s="13" t="inlineStr">
        <is>
          <t>BBS</t>
        </is>
      </c>
    </row>
    <row r="132">
      <c r="A132" s="13" t="n">
        <v>127</v>
      </c>
      <c r="B132" s="13" t="inlineStr">
        <is>
          <t>Beams</t>
        </is>
      </c>
      <c r="C132" s="13" t="inlineStr">
        <is>
          <t>STR-078</t>
        </is>
      </c>
      <c r="D132" s="13" t="inlineStr">
        <is>
          <t>Typical 4th-8th floor beams (sheet 1 of 2)</t>
        </is>
      </c>
      <c r="E132" s="19" t="inlineStr">
        <is>
          <t>2516</t>
        </is>
      </c>
      <c r="F132" s="19" t="n">
        <v>25</v>
      </c>
      <c r="G132" s="19" t="n">
        <v>1</v>
      </c>
      <c r="H132" s="19" t="n">
        <v>3</v>
      </c>
      <c r="I132" s="13">
        <f>G132*H132</f>
        <v>3.0</v>
      </c>
      <c r="J132" s="20">
        <f>9400/1000</f>
        <v>9.4</v>
      </c>
      <c r="K132" s="21">
        <f>I132*J132</f>
        <v>28.200000000000003</v>
      </c>
      <c r="L132" s="22">
        <f>F132^2/162</f>
        <v>3.8580246913580245</v>
      </c>
      <c r="M132" s="21">
        <f>K132*L132</f>
        <v>108.7962962962963</v>
      </c>
      <c r="N132" s="22">
        <f>M132/1000</f>
        <v>0.10879629629629631</v>
      </c>
      <c r="O132" s="13" t="inlineStr">
        <is>
          <t>BBS</t>
        </is>
      </c>
    </row>
    <row r="133">
      <c r="A133" s="13" t="n">
        <v>128</v>
      </c>
      <c r="B133" s="13" t="inlineStr">
        <is>
          <t>Beams</t>
        </is>
      </c>
      <c r="C133" s="13" t="inlineStr">
        <is>
          <t>STR-078</t>
        </is>
      </c>
      <c r="D133" s="13" t="inlineStr">
        <is>
          <t>Typical 4th-8th floor beams (sheet 1 of 2)</t>
        </is>
      </c>
      <c r="E133" s="19" t="inlineStr">
        <is>
          <t>2517</t>
        </is>
      </c>
      <c r="F133" s="19" t="n">
        <v>25</v>
      </c>
      <c r="G133" s="19" t="n">
        <v>1</v>
      </c>
      <c r="H133" s="19" t="n">
        <v>24</v>
      </c>
      <c r="I133" s="13">
        <f>G133*H133</f>
        <v>24.0</v>
      </c>
      <c r="J133" s="20">
        <f>9150/1000</f>
        <v>9.15</v>
      </c>
      <c r="K133" s="21">
        <f>I133*J133</f>
        <v>219.60000000000002</v>
      </c>
      <c r="L133" s="22">
        <f>F133^2/162</f>
        <v>3.8580246913580245</v>
      </c>
      <c r="M133" s="21">
        <f>K133*L133</f>
        <v>847.2222222222223</v>
      </c>
      <c r="N133" s="22">
        <f>M133/1000</f>
        <v>0.8472222222222223</v>
      </c>
      <c r="O133" s="13" t="inlineStr">
        <is>
          <t>BBS</t>
        </is>
      </c>
    </row>
    <row r="134">
      <c r="A134" s="13" t="n">
        <v>129</v>
      </c>
      <c r="B134" s="13" t="inlineStr">
        <is>
          <t>Beams</t>
        </is>
      </c>
      <c r="C134" s="13" t="inlineStr">
        <is>
          <t>STR-078</t>
        </is>
      </c>
      <c r="D134" s="13" t="inlineStr">
        <is>
          <t>Typical 4th-8th floor beams (sheet 1 of 2)</t>
        </is>
      </c>
      <c r="E134" s="19" t="inlineStr">
        <is>
          <t>2518</t>
        </is>
      </c>
      <c r="F134" s="19" t="n">
        <v>25</v>
      </c>
      <c r="G134" s="19" t="n">
        <v>1</v>
      </c>
      <c r="H134" s="19" t="n">
        <v>3</v>
      </c>
      <c r="I134" s="13">
        <f>G134*H134</f>
        <v>3.0</v>
      </c>
      <c r="J134" s="20">
        <f>9800/1000</f>
        <v>9.8</v>
      </c>
      <c r="K134" s="21">
        <f>I134*J134</f>
        <v>29.400000000000002</v>
      </c>
      <c r="L134" s="22">
        <f>F134^2/162</f>
        <v>3.8580246913580245</v>
      </c>
      <c r="M134" s="21">
        <f>K134*L134</f>
        <v>113.42592592592592</v>
      </c>
      <c r="N134" s="22">
        <f>M134/1000</f>
        <v>0.11342592592592593</v>
      </c>
      <c r="O134" s="13" t="inlineStr">
        <is>
          <t>BBS</t>
        </is>
      </c>
    </row>
    <row r="135">
      <c r="A135" s="13" t="n">
        <v>130</v>
      </c>
      <c r="B135" s="13" t="inlineStr">
        <is>
          <t>Beams</t>
        </is>
      </c>
      <c r="C135" s="13" t="inlineStr">
        <is>
          <t>STR-078</t>
        </is>
      </c>
      <c r="D135" s="13" t="inlineStr">
        <is>
          <t>Typical 4th-8th floor beams (sheet 1 of 2)</t>
        </is>
      </c>
      <c r="E135" s="19" t="inlineStr">
        <is>
          <t>2519</t>
        </is>
      </c>
      <c r="F135" s="19" t="n">
        <v>25</v>
      </c>
      <c r="G135" s="19" t="n">
        <v>1</v>
      </c>
      <c r="H135" s="19" t="n">
        <v>3</v>
      </c>
      <c r="I135" s="13">
        <f>G135*H135</f>
        <v>3.0</v>
      </c>
      <c r="J135" s="20">
        <f>8125/1000</f>
        <v>8.125</v>
      </c>
      <c r="K135" s="21">
        <f>I135*J135</f>
        <v>24.375</v>
      </c>
      <c r="L135" s="22">
        <f>F135^2/162</f>
        <v>3.8580246913580245</v>
      </c>
      <c r="M135" s="21">
        <f>K135*L135</f>
        <v>94.03935185185185</v>
      </c>
      <c r="N135" s="22">
        <f>M135/1000</f>
        <v>0.09403935185185185</v>
      </c>
      <c r="O135" s="13" t="inlineStr">
        <is>
          <t>BBS</t>
        </is>
      </c>
    </row>
    <row r="136">
      <c r="A136" s="13" t="n">
        <v>131</v>
      </c>
      <c r="B136" s="13" t="inlineStr">
        <is>
          <t>Beams</t>
        </is>
      </c>
      <c r="C136" s="13" t="inlineStr">
        <is>
          <t>STR-078</t>
        </is>
      </c>
      <c r="D136" s="13" t="inlineStr">
        <is>
          <t>Typical 4th-8th floor beams (sheet 1 of 2)</t>
        </is>
      </c>
      <c r="E136" s="19" t="inlineStr">
        <is>
          <t>2520</t>
        </is>
      </c>
      <c r="F136" s="19" t="n">
        <v>25</v>
      </c>
      <c r="G136" s="19" t="n">
        <v>1</v>
      </c>
      <c r="H136" s="19" t="n">
        <v>24</v>
      </c>
      <c r="I136" s="13">
        <f>G136*H136</f>
        <v>24.0</v>
      </c>
      <c r="J136" s="20">
        <f>8025/1000</f>
        <v>8.025</v>
      </c>
      <c r="K136" s="21">
        <f>I136*J136</f>
        <v>192.60000000000002</v>
      </c>
      <c r="L136" s="22">
        <f>F136^2/162</f>
        <v>3.8580246913580245</v>
      </c>
      <c r="M136" s="21">
        <f>K136*L136</f>
        <v>743.0555555555557</v>
      </c>
      <c r="N136" s="22">
        <f>M136/1000</f>
        <v>0.7430555555555557</v>
      </c>
      <c r="O136" s="13" t="inlineStr">
        <is>
          <t>BBS</t>
        </is>
      </c>
    </row>
    <row r="137">
      <c r="A137" s="13" t="n">
        <v>132</v>
      </c>
      <c r="B137" s="13" t="inlineStr">
        <is>
          <t>Beams</t>
        </is>
      </c>
      <c r="C137" s="13" t="inlineStr">
        <is>
          <t>STR-079</t>
        </is>
      </c>
      <c r="D137" s="13" t="inlineStr">
        <is>
          <t>Typical 4th-8th floor beams (sheet 2 of 2)</t>
        </is>
      </c>
      <c r="E137" s="19" t="inlineStr">
        <is>
          <t>1001</t>
        </is>
      </c>
      <c r="F137" s="19" t="n">
        <v>10</v>
      </c>
      <c r="G137" s="19" t="n">
        <v>1</v>
      </c>
      <c r="H137" s="19" t="n">
        <v>607</v>
      </c>
      <c r="I137" s="13">
        <f>G137*H137</f>
        <v>607.0</v>
      </c>
      <c r="J137" s="20">
        <f>1700/1000</f>
        <v>1.7</v>
      </c>
      <c r="K137" s="21">
        <f>I137*J137</f>
        <v>1031.8999999999999</v>
      </c>
      <c r="L137" s="22">
        <f>F137^2/162</f>
        <v>0.6172839506172839</v>
      </c>
      <c r="M137" s="21">
        <f>K137*L137</f>
        <v>636.9753086419752</v>
      </c>
      <c r="N137" s="22">
        <f>M137/1000</f>
        <v>0.6369753086419752</v>
      </c>
      <c r="O137" s="13" t="inlineStr">
        <is>
          <t>BBS</t>
        </is>
      </c>
    </row>
    <row r="138">
      <c r="A138" s="13" t="n">
        <v>133</v>
      </c>
      <c r="B138" s="13" t="inlineStr">
        <is>
          <t>Beams</t>
        </is>
      </c>
      <c r="C138" s="13" t="inlineStr">
        <is>
          <t>STR-079</t>
        </is>
      </c>
      <c r="D138" s="13" t="inlineStr">
        <is>
          <t>Typical 4th-8th floor beams (sheet 2 of 2)</t>
        </is>
      </c>
      <c r="E138" s="19" t="inlineStr">
        <is>
          <t>1601</t>
        </is>
      </c>
      <c r="F138" s="19" t="n">
        <v>16</v>
      </c>
      <c r="G138" s="19" t="n">
        <v>1</v>
      </c>
      <c r="H138" s="19" t="n">
        <v>4</v>
      </c>
      <c r="I138" s="13">
        <f>G138*H138</f>
        <v>4.0</v>
      </c>
      <c r="J138" s="20">
        <f>11800/1000</f>
        <v>11.8</v>
      </c>
      <c r="K138" s="21">
        <f>I138*J138</f>
        <v>47.2</v>
      </c>
      <c r="L138" s="22">
        <f>F138^2/162</f>
        <v>1.5802469135802468</v>
      </c>
      <c r="M138" s="21">
        <f>K138*L138</f>
        <v>74.58765432098765</v>
      </c>
      <c r="N138" s="22">
        <f>M138/1000</f>
        <v>0.07458765432098766</v>
      </c>
      <c r="O138" s="13" t="inlineStr">
        <is>
          <t>BBS</t>
        </is>
      </c>
    </row>
    <row r="139">
      <c r="A139" s="13" t="n">
        <v>134</v>
      </c>
      <c r="B139" s="13" t="inlineStr">
        <is>
          <t>Beams</t>
        </is>
      </c>
      <c r="C139" s="13" t="inlineStr">
        <is>
          <t>STR-079</t>
        </is>
      </c>
      <c r="D139" s="13" t="inlineStr">
        <is>
          <t>Typical 4th-8th floor beams (sheet 2 of 2)</t>
        </is>
      </c>
      <c r="E139" s="19" t="inlineStr">
        <is>
          <t>1602</t>
        </is>
      </c>
      <c r="F139" s="19" t="n">
        <v>16</v>
      </c>
      <c r="G139" s="19" t="n">
        <v>1</v>
      </c>
      <c r="H139" s="19" t="n">
        <v>3</v>
      </c>
      <c r="I139" s="13">
        <f>G139*H139</f>
        <v>3.0</v>
      </c>
      <c r="J139" s="20">
        <f>11550/1000</f>
        <v>11.55</v>
      </c>
      <c r="K139" s="21">
        <f>I139*J139</f>
        <v>34.650000000000006</v>
      </c>
      <c r="L139" s="22">
        <f>F139^2/162</f>
        <v>1.5802469135802468</v>
      </c>
      <c r="M139" s="21">
        <f>K139*L139</f>
        <v>54.75555555555556</v>
      </c>
      <c r="N139" s="22">
        <f>M139/1000</f>
        <v>0.05475555555555556</v>
      </c>
      <c r="O139" s="13" t="inlineStr">
        <is>
          <t>BBS</t>
        </is>
      </c>
    </row>
    <row r="140">
      <c r="A140" s="13" t="n">
        <v>135</v>
      </c>
      <c r="B140" s="13" t="inlineStr">
        <is>
          <t>Beams</t>
        </is>
      </c>
      <c r="C140" s="13" t="inlineStr">
        <is>
          <t>STR-079</t>
        </is>
      </c>
      <c r="D140" s="13" t="inlineStr">
        <is>
          <t>Typical 4th-8th floor beams (sheet 2 of 2)</t>
        </is>
      </c>
      <c r="E140" s="19" t="inlineStr">
        <is>
          <t>1603</t>
        </is>
      </c>
      <c r="F140" s="19" t="n">
        <v>16</v>
      </c>
      <c r="G140" s="19" t="n">
        <v>1</v>
      </c>
      <c r="H140" s="19" t="n">
        <v>3</v>
      </c>
      <c r="I140" s="13">
        <f>G140*H140</f>
        <v>3.0</v>
      </c>
      <c r="J140" s="20">
        <f>6450/1000</f>
        <v>6.45</v>
      </c>
      <c r="K140" s="21">
        <f>I140*J140</f>
        <v>19.35</v>
      </c>
      <c r="L140" s="22">
        <f>F140^2/162</f>
        <v>1.5802469135802468</v>
      </c>
      <c r="M140" s="21">
        <f>K140*L140</f>
        <v>30.57777777777778</v>
      </c>
      <c r="N140" s="22">
        <f>M140/1000</f>
        <v>0.03057777777777778</v>
      </c>
      <c r="O140" s="13" t="inlineStr">
        <is>
          <t>BBS</t>
        </is>
      </c>
    </row>
    <row r="141">
      <c r="A141" s="13" t="n">
        <v>136</v>
      </c>
      <c r="B141" s="13" t="inlineStr">
        <is>
          <t>Beams</t>
        </is>
      </c>
      <c r="C141" s="13" t="inlineStr">
        <is>
          <t>STR-079</t>
        </is>
      </c>
      <c r="D141" s="13" t="inlineStr">
        <is>
          <t>Typical 4th-8th floor beams (sheet 2 of 2)</t>
        </is>
      </c>
      <c r="E141" s="19" t="inlineStr">
        <is>
          <t>1604</t>
        </is>
      </c>
      <c r="F141" s="19" t="n">
        <v>16</v>
      </c>
      <c r="G141" s="19" t="n">
        <v>1</v>
      </c>
      <c r="H141" s="19" t="n">
        <v>3</v>
      </c>
      <c r="I141" s="13">
        <f>G141*H141</f>
        <v>3.0</v>
      </c>
      <c r="J141" s="20">
        <f>7600/1000</f>
        <v>7.6</v>
      </c>
      <c r="K141" s="21">
        <f>I141*J141</f>
        <v>22.799999999999997</v>
      </c>
      <c r="L141" s="22">
        <f>F141^2/162</f>
        <v>1.5802469135802468</v>
      </c>
      <c r="M141" s="21">
        <f>K141*L141</f>
        <v>36.029629629629625</v>
      </c>
      <c r="N141" s="22">
        <f>M141/1000</f>
        <v>0.03602962962962963</v>
      </c>
      <c r="O141" s="13" t="inlineStr">
        <is>
          <t>BBS</t>
        </is>
      </c>
    </row>
    <row r="142">
      <c r="A142" s="13" t="n">
        <v>137</v>
      </c>
      <c r="B142" s="13" t="inlineStr">
        <is>
          <t>Beams</t>
        </is>
      </c>
      <c r="C142" s="13" t="inlineStr">
        <is>
          <t>STR-079</t>
        </is>
      </c>
      <c r="D142" s="13" t="inlineStr">
        <is>
          <t>Typical 4th-8th floor beams (sheet 2 of 2)</t>
        </is>
      </c>
      <c r="E142" s="19" t="inlineStr">
        <is>
          <t>1605</t>
        </is>
      </c>
      <c r="F142" s="19" t="n">
        <v>16</v>
      </c>
      <c r="G142" s="19" t="n">
        <v>1</v>
      </c>
      <c r="H142" s="19" t="n">
        <v>4</v>
      </c>
      <c r="I142" s="13">
        <f>G142*H142</f>
        <v>4.0</v>
      </c>
      <c r="J142" s="20">
        <f>1200/1000</f>
        <v>1.2</v>
      </c>
      <c r="K142" s="21">
        <f>I142*J142</f>
        <v>4.8</v>
      </c>
      <c r="L142" s="22">
        <f>F142^2/162</f>
        <v>1.5802469135802468</v>
      </c>
      <c r="M142" s="21">
        <f>K142*L142</f>
        <v>7.585185185185185</v>
      </c>
      <c r="N142" s="22">
        <f>M142/1000</f>
        <v>0.007585185185185184</v>
      </c>
      <c r="O142" s="13" t="inlineStr">
        <is>
          <t>BBS</t>
        </is>
      </c>
    </row>
    <row r="143">
      <c r="A143" s="13" t="n">
        <v>138</v>
      </c>
      <c r="B143" s="13" t="inlineStr">
        <is>
          <t>Beams</t>
        </is>
      </c>
      <c r="C143" s="13" t="inlineStr">
        <is>
          <t>STR-079</t>
        </is>
      </c>
      <c r="D143" s="13" t="inlineStr">
        <is>
          <t>Typical 4th-8th floor beams (sheet 2 of 2)</t>
        </is>
      </c>
      <c r="E143" s="19" t="inlineStr">
        <is>
          <t>1606</t>
        </is>
      </c>
      <c r="F143" s="19" t="n">
        <v>16</v>
      </c>
      <c r="G143" s="19" t="n">
        <v>1</v>
      </c>
      <c r="H143" s="19" t="n">
        <v>3</v>
      </c>
      <c r="I143" s="13">
        <f>G143*H143</f>
        <v>3.0</v>
      </c>
      <c r="J143" s="20">
        <f>11300/1000</f>
        <v>11.3</v>
      </c>
      <c r="K143" s="21">
        <f>I143*J143</f>
        <v>33.900000000000006</v>
      </c>
      <c r="L143" s="22">
        <f>F143^2/162</f>
        <v>1.5802469135802468</v>
      </c>
      <c r="M143" s="21">
        <f>K143*L143</f>
        <v>53.57037037037038</v>
      </c>
      <c r="N143" s="22">
        <f>M143/1000</f>
        <v>0.05357037037037038</v>
      </c>
      <c r="O143" s="13" t="inlineStr">
        <is>
          <t>BBS</t>
        </is>
      </c>
    </row>
    <row r="144">
      <c r="A144" s="13" t="n">
        <v>139</v>
      </c>
      <c r="B144" s="13" t="inlineStr">
        <is>
          <t>Beams</t>
        </is>
      </c>
      <c r="C144" s="13" t="inlineStr">
        <is>
          <t>STR-079</t>
        </is>
      </c>
      <c r="D144" s="13" t="inlineStr">
        <is>
          <t>Typical 4th-8th floor beams (sheet 2 of 2)</t>
        </is>
      </c>
      <c r="E144" s="19" t="inlineStr">
        <is>
          <t>1607</t>
        </is>
      </c>
      <c r="F144" s="19" t="n">
        <v>16</v>
      </c>
      <c r="G144" s="19" t="n">
        <v>1</v>
      </c>
      <c r="H144" s="19" t="n">
        <v>2</v>
      </c>
      <c r="I144" s="13">
        <f>G144*H144</f>
        <v>2.0</v>
      </c>
      <c r="J144" s="20">
        <f>7400/1000</f>
        <v>7.4</v>
      </c>
      <c r="K144" s="21">
        <f>I144*J144</f>
        <v>14.8</v>
      </c>
      <c r="L144" s="22">
        <f>F144^2/162</f>
        <v>1.5802469135802468</v>
      </c>
      <c r="M144" s="21">
        <f>K144*L144</f>
        <v>23.387654320987654</v>
      </c>
      <c r="N144" s="22">
        <f>M144/1000</f>
        <v>0.023387654320987654</v>
      </c>
      <c r="O144" s="13" t="inlineStr">
        <is>
          <t>BBS</t>
        </is>
      </c>
    </row>
    <row r="145">
      <c r="A145" s="13" t="n">
        <v>140</v>
      </c>
      <c r="B145" s="13" t="inlineStr">
        <is>
          <t>Beams</t>
        </is>
      </c>
      <c r="C145" s="13" t="inlineStr">
        <is>
          <t>STR-079</t>
        </is>
      </c>
      <c r="D145" s="13" t="inlineStr">
        <is>
          <t>Typical 4th-8th floor beams (sheet 2 of 2)</t>
        </is>
      </c>
      <c r="E145" s="19" t="inlineStr">
        <is>
          <t>1608</t>
        </is>
      </c>
      <c r="F145" s="19" t="n">
        <v>16</v>
      </c>
      <c r="G145" s="19" t="n">
        <v>1</v>
      </c>
      <c r="H145" s="19" t="n">
        <v>6</v>
      </c>
      <c r="I145" s="13">
        <f>G145*H145</f>
        <v>6.0</v>
      </c>
      <c r="J145" s="20">
        <f>9050/1000</f>
        <v>9.05</v>
      </c>
      <c r="K145" s="21">
        <f>I145*J145</f>
        <v>54.300000000000004</v>
      </c>
      <c r="L145" s="22">
        <f>F145^2/162</f>
        <v>1.5802469135802468</v>
      </c>
      <c r="M145" s="21">
        <f>K145*L145</f>
        <v>85.80740740740741</v>
      </c>
      <c r="N145" s="22">
        <f>M145/1000</f>
        <v>0.08580740740740742</v>
      </c>
      <c r="O145" s="13" t="inlineStr">
        <is>
          <t>BBS</t>
        </is>
      </c>
    </row>
    <row r="146">
      <c r="A146" s="13" t="n">
        <v>141</v>
      </c>
      <c r="B146" s="13" t="inlineStr">
        <is>
          <t>Beams</t>
        </is>
      </c>
      <c r="C146" s="13" t="inlineStr">
        <is>
          <t>STR-079</t>
        </is>
      </c>
      <c r="D146" s="13" t="inlineStr">
        <is>
          <t>Typical 4th-8th floor beams (sheet 2 of 2)</t>
        </is>
      </c>
      <c r="E146" s="19" t="inlineStr">
        <is>
          <t>1609</t>
        </is>
      </c>
      <c r="F146" s="19" t="n">
        <v>16</v>
      </c>
      <c r="G146" s="19" t="n">
        <v>1</v>
      </c>
      <c r="H146" s="19" t="n">
        <v>3</v>
      </c>
      <c r="I146" s="13">
        <f>G146*H146</f>
        <v>3.0</v>
      </c>
      <c r="J146" s="20">
        <f>9800/1000</f>
        <v>9.8</v>
      </c>
      <c r="K146" s="21">
        <f>I146*J146</f>
        <v>29.400000000000002</v>
      </c>
      <c r="L146" s="22">
        <f>F146^2/162</f>
        <v>1.5802469135802468</v>
      </c>
      <c r="M146" s="21">
        <f>K146*L146</f>
        <v>46.45925925925926</v>
      </c>
      <c r="N146" s="22">
        <f>M146/1000</f>
        <v>0.04645925925925926</v>
      </c>
      <c r="O146" s="13" t="inlineStr">
        <is>
          <t>BBS</t>
        </is>
      </c>
    </row>
    <row r="147">
      <c r="A147" s="13" t="n">
        <v>142</v>
      </c>
      <c r="B147" s="13" t="inlineStr">
        <is>
          <t>Beams</t>
        </is>
      </c>
      <c r="C147" s="13" t="inlineStr">
        <is>
          <t>STR-079</t>
        </is>
      </c>
      <c r="D147" s="13" t="inlineStr">
        <is>
          <t>Typical 4th-8th floor beams (sheet 2 of 2)</t>
        </is>
      </c>
      <c r="E147" s="19" t="inlineStr">
        <is>
          <t>1610</t>
        </is>
      </c>
      <c r="F147" s="19" t="n">
        <v>16</v>
      </c>
      <c r="G147" s="19" t="n">
        <v>1</v>
      </c>
      <c r="H147" s="19" t="n">
        <v>2</v>
      </c>
      <c r="I147" s="13">
        <f>G147*H147</f>
        <v>2.0</v>
      </c>
      <c r="J147" s="20">
        <f>7900/1000</f>
        <v>7.9</v>
      </c>
      <c r="K147" s="21">
        <f>I147*J147</f>
        <v>15.8</v>
      </c>
      <c r="L147" s="22">
        <f>F147^2/162</f>
        <v>1.5802469135802468</v>
      </c>
      <c r="M147" s="21">
        <f>K147*L147</f>
        <v>24.9679012345679</v>
      </c>
      <c r="N147" s="22">
        <f>M147/1000</f>
        <v>0.0249679012345679</v>
      </c>
      <c r="O147" s="13" t="inlineStr">
        <is>
          <t>BBS</t>
        </is>
      </c>
    </row>
    <row r="148">
      <c r="A148" s="13" t="n">
        <v>143</v>
      </c>
      <c r="B148" s="13" t="inlineStr">
        <is>
          <t>Beams</t>
        </is>
      </c>
      <c r="C148" s="13" t="inlineStr">
        <is>
          <t>STR-079</t>
        </is>
      </c>
      <c r="D148" s="13" t="inlineStr">
        <is>
          <t>Typical 4th-8th floor beams (sheet 2 of 2)</t>
        </is>
      </c>
      <c r="E148" s="19" t="inlineStr">
        <is>
          <t>1611</t>
        </is>
      </c>
      <c r="F148" s="19" t="n">
        <v>16</v>
      </c>
      <c r="G148" s="19" t="n">
        <v>1</v>
      </c>
      <c r="H148" s="19" t="n">
        <v>18</v>
      </c>
      <c r="I148" s="13">
        <f>G148*H148</f>
        <v>18.0</v>
      </c>
      <c r="J148" s="20">
        <f>3350/1000</f>
        <v>3.35</v>
      </c>
      <c r="K148" s="21">
        <f>I148*J148</f>
        <v>60.300000000000004</v>
      </c>
      <c r="L148" s="22">
        <f>F148^2/162</f>
        <v>1.5802469135802468</v>
      </c>
      <c r="M148" s="21">
        <f>K148*L148</f>
        <v>95.28888888888889</v>
      </c>
      <c r="N148" s="22">
        <f>M148/1000</f>
        <v>0.0952888888888889</v>
      </c>
      <c r="O148" s="13" t="inlineStr">
        <is>
          <t>BBS</t>
        </is>
      </c>
    </row>
    <row r="149">
      <c r="A149" s="13" t="n">
        <v>144</v>
      </c>
      <c r="B149" s="13" t="inlineStr">
        <is>
          <t>Beams</t>
        </is>
      </c>
      <c r="C149" s="13" t="inlineStr">
        <is>
          <t>STR-079</t>
        </is>
      </c>
      <c r="D149" s="13" t="inlineStr">
        <is>
          <t>Typical 4th-8th floor beams (sheet 2 of 2)</t>
        </is>
      </c>
      <c r="E149" s="19" t="inlineStr">
        <is>
          <t>1612</t>
        </is>
      </c>
      <c r="F149" s="19" t="n">
        <v>16</v>
      </c>
      <c r="G149" s="19" t="n">
        <v>1</v>
      </c>
      <c r="H149" s="19" t="n">
        <v>2</v>
      </c>
      <c r="I149" s="13">
        <f>G149*H149</f>
        <v>2.0</v>
      </c>
      <c r="J149" s="20">
        <f>2400/1000</f>
        <v>2.4</v>
      </c>
      <c r="K149" s="21">
        <f>I149*J149</f>
        <v>4.8</v>
      </c>
      <c r="L149" s="22">
        <f>F149^2/162</f>
        <v>1.5802469135802468</v>
      </c>
      <c r="M149" s="21">
        <f>K149*L149</f>
        <v>7.585185185185185</v>
      </c>
      <c r="N149" s="22">
        <f>M149/1000</f>
        <v>0.007585185185185184</v>
      </c>
      <c r="O149" s="13" t="inlineStr">
        <is>
          <t>BBS</t>
        </is>
      </c>
    </row>
    <row r="150">
      <c r="A150" s="13" t="n">
        <v>145</v>
      </c>
      <c r="B150" s="13" t="inlineStr">
        <is>
          <t>Beams</t>
        </is>
      </c>
      <c r="C150" s="13" t="inlineStr">
        <is>
          <t>STR-079</t>
        </is>
      </c>
      <c r="D150" s="13" t="inlineStr">
        <is>
          <t>Typical 4th-8th floor beams (sheet 2 of 2)</t>
        </is>
      </c>
      <c r="E150" s="19" t="inlineStr">
        <is>
          <t>1613</t>
        </is>
      </c>
      <c r="F150" s="19" t="n">
        <v>16</v>
      </c>
      <c r="G150" s="19" t="n">
        <v>1</v>
      </c>
      <c r="H150" s="19" t="n">
        <v>2</v>
      </c>
      <c r="I150" s="13">
        <f>G150*H150</f>
        <v>2.0</v>
      </c>
      <c r="J150" s="20">
        <f>10550/1000</f>
        <v>10.55</v>
      </c>
      <c r="K150" s="21">
        <f>I150*J150</f>
        <v>21.1</v>
      </c>
      <c r="L150" s="22">
        <f>F150^2/162</f>
        <v>1.5802469135802468</v>
      </c>
      <c r="M150" s="21">
        <f>K150*L150</f>
        <v>33.34320987654321</v>
      </c>
      <c r="N150" s="22">
        <f>M150/1000</f>
        <v>0.03334320987654321</v>
      </c>
      <c r="O150" s="13" t="inlineStr">
        <is>
          <t>BBS</t>
        </is>
      </c>
    </row>
    <row r="151">
      <c r="A151" s="13" t="n">
        <v>146</v>
      </c>
      <c r="B151" s="13" t="inlineStr">
        <is>
          <t>Beams</t>
        </is>
      </c>
      <c r="C151" s="13" t="inlineStr">
        <is>
          <t>STR-079</t>
        </is>
      </c>
      <c r="D151" s="13" t="inlineStr">
        <is>
          <t>Typical 4th-8th floor beams (sheet 2 of 2)</t>
        </is>
      </c>
      <c r="E151" s="19" t="inlineStr">
        <is>
          <t>1614</t>
        </is>
      </c>
      <c r="F151" s="19" t="n">
        <v>16</v>
      </c>
      <c r="G151" s="19" t="n">
        <v>1</v>
      </c>
      <c r="H151" s="19" t="n">
        <v>2</v>
      </c>
      <c r="I151" s="13">
        <f>G151*H151</f>
        <v>2.0</v>
      </c>
      <c r="J151" s="20">
        <f>9050/1000</f>
        <v>9.05</v>
      </c>
      <c r="K151" s="21">
        <f>I151*J151</f>
        <v>18.1</v>
      </c>
      <c r="L151" s="22">
        <f>F151^2/162</f>
        <v>1.5802469135802468</v>
      </c>
      <c r="M151" s="21">
        <f>K151*L151</f>
        <v>28.60246913580247</v>
      </c>
      <c r="N151" s="22">
        <f>M151/1000</f>
        <v>0.02860246913580247</v>
      </c>
      <c r="O151" s="13" t="inlineStr">
        <is>
          <t>BBS</t>
        </is>
      </c>
    </row>
    <row r="152">
      <c r="A152" s="13" t="n">
        <v>147</v>
      </c>
      <c r="B152" s="13" t="inlineStr">
        <is>
          <t>Beams</t>
        </is>
      </c>
      <c r="C152" s="13" t="inlineStr">
        <is>
          <t>STR-079</t>
        </is>
      </c>
      <c r="D152" s="13" t="inlineStr">
        <is>
          <t>Typical 4th-8th floor beams (sheet 2 of 2)</t>
        </is>
      </c>
      <c r="E152" s="19" t="inlineStr">
        <is>
          <t>2001</t>
        </is>
      </c>
      <c r="F152" s="19" t="n">
        <v>20</v>
      </c>
      <c r="G152" s="19" t="n">
        <v>1</v>
      </c>
      <c r="H152" s="19" t="n">
        <v>6</v>
      </c>
      <c r="I152" s="13">
        <f>G152*H152</f>
        <v>6.0</v>
      </c>
      <c r="J152" s="20">
        <f>8500/1000</f>
        <v>8.5</v>
      </c>
      <c r="K152" s="21">
        <f>I152*J152</f>
        <v>51.0</v>
      </c>
      <c r="L152" s="22">
        <f>F152^2/162</f>
        <v>2.4691358024691357</v>
      </c>
      <c r="M152" s="21">
        <f>K152*L152</f>
        <v>125.92592592592592</v>
      </c>
      <c r="N152" s="22">
        <f>M152/1000</f>
        <v>0.1259259259259259</v>
      </c>
      <c r="O152" s="13" t="inlineStr">
        <is>
          <t>BBS</t>
        </is>
      </c>
    </row>
    <row r="153">
      <c r="A153" s="13" t="n">
        <v>148</v>
      </c>
      <c r="B153" s="13" t="inlineStr">
        <is>
          <t>Beams</t>
        </is>
      </c>
      <c r="C153" s="13" t="inlineStr">
        <is>
          <t>STR-079</t>
        </is>
      </c>
      <c r="D153" s="13" t="inlineStr">
        <is>
          <t>Typical 4th-8th floor beams (sheet 2 of 2)</t>
        </is>
      </c>
      <c r="E153" s="19" t="inlineStr">
        <is>
          <t>2501</t>
        </is>
      </c>
      <c r="F153" s="19" t="n">
        <v>25</v>
      </c>
      <c r="G153" s="19" t="n">
        <v>1</v>
      </c>
      <c r="H153" s="19" t="n">
        <v>3</v>
      </c>
      <c r="I153" s="13">
        <f>G153*H153</f>
        <v>3.0</v>
      </c>
      <c r="J153" s="20">
        <f>5850/1000</f>
        <v>5.85</v>
      </c>
      <c r="K153" s="21">
        <f>I153*J153</f>
        <v>17.549999999999997</v>
      </c>
      <c r="L153" s="22">
        <f>F153^2/162</f>
        <v>3.8580246913580245</v>
      </c>
      <c r="M153" s="21">
        <f>K153*L153</f>
        <v>67.70833333333331</v>
      </c>
      <c r="N153" s="22">
        <f>M153/1000</f>
        <v>0.06770833333333331</v>
      </c>
      <c r="O153" s="13" t="inlineStr">
        <is>
          <t>BBS</t>
        </is>
      </c>
    </row>
    <row r="154">
      <c r="A154" s="13" t="n">
        <v>149</v>
      </c>
      <c r="B154" s="13" t="inlineStr">
        <is>
          <t>Beams</t>
        </is>
      </c>
      <c r="C154" s="13" t="inlineStr">
        <is>
          <t>STR-079</t>
        </is>
      </c>
      <c r="D154" s="13" t="inlineStr">
        <is>
          <t>Typical 4th-8th floor beams (sheet 2 of 2)</t>
        </is>
      </c>
      <c r="E154" s="19" t="inlineStr">
        <is>
          <t>2502</t>
        </is>
      </c>
      <c r="F154" s="19" t="n">
        <v>25</v>
      </c>
      <c r="G154" s="19" t="n">
        <v>1</v>
      </c>
      <c r="H154" s="19" t="n">
        <v>3</v>
      </c>
      <c r="I154" s="13">
        <f>G154*H154</f>
        <v>3.0</v>
      </c>
      <c r="J154" s="20">
        <f>8000/1000</f>
        <v>8.0</v>
      </c>
      <c r="K154" s="21">
        <f>I154*J154</f>
        <v>24.0</v>
      </c>
      <c r="L154" s="22">
        <f>F154^2/162</f>
        <v>3.8580246913580245</v>
      </c>
      <c r="M154" s="21">
        <f>K154*L154</f>
        <v>92.59259259259258</v>
      </c>
      <c r="N154" s="22">
        <f>M154/1000</f>
        <v>0.09259259259259259</v>
      </c>
      <c r="O154" s="13" t="inlineStr">
        <is>
          <t>BBS</t>
        </is>
      </c>
    </row>
    <row r="155">
      <c r="A155" s="13" t="n">
        <v>150</v>
      </c>
      <c r="B155" s="13" t="inlineStr">
        <is>
          <t>Beams</t>
        </is>
      </c>
      <c r="C155" s="13" t="inlineStr">
        <is>
          <t>STR-079</t>
        </is>
      </c>
      <c r="D155" s="13" t="inlineStr">
        <is>
          <t>Typical 4th-8th floor beams (sheet 2 of 2)</t>
        </is>
      </c>
      <c r="E155" s="19" t="inlineStr">
        <is>
          <t>2503</t>
        </is>
      </c>
      <c r="F155" s="19" t="n">
        <v>25</v>
      </c>
      <c r="G155" s="19" t="n">
        <v>1</v>
      </c>
      <c r="H155" s="19" t="n">
        <v>3</v>
      </c>
      <c r="I155" s="13">
        <f>G155*H155</f>
        <v>3.0</v>
      </c>
      <c r="J155" s="20">
        <f>8700/1000</f>
        <v>8.7</v>
      </c>
      <c r="K155" s="21">
        <f>I155*J155</f>
        <v>26.099999999999998</v>
      </c>
      <c r="L155" s="22">
        <f>F155^2/162</f>
        <v>3.8580246913580245</v>
      </c>
      <c r="M155" s="21">
        <f>K155*L155</f>
        <v>100.69444444444443</v>
      </c>
      <c r="N155" s="22">
        <f>M155/1000</f>
        <v>0.10069444444444443</v>
      </c>
      <c r="O155" s="13" t="inlineStr">
        <is>
          <t>BBS</t>
        </is>
      </c>
    </row>
    <row r="156">
      <c r="A156" s="13" t="n">
        <v>151</v>
      </c>
      <c r="B156" s="13" t="inlineStr">
        <is>
          <t>Beams</t>
        </is>
      </c>
      <c r="C156" s="13" t="inlineStr">
        <is>
          <t>STR-079</t>
        </is>
      </c>
      <c r="D156" s="13" t="inlineStr">
        <is>
          <t>Typical 4th-8th floor beams (sheet 2 of 2)</t>
        </is>
      </c>
      <c r="E156" s="19" t="inlineStr">
        <is>
          <t>2504</t>
        </is>
      </c>
      <c r="F156" s="19" t="n">
        <v>25</v>
      </c>
      <c r="G156" s="19" t="n">
        <v>1</v>
      </c>
      <c r="H156" s="19" t="n">
        <v>3</v>
      </c>
      <c r="I156" s="13">
        <f>G156*H156</f>
        <v>3.0</v>
      </c>
      <c r="J156" s="20">
        <f>5900/1000</f>
        <v>5.9</v>
      </c>
      <c r="K156" s="21">
        <f>I156*J156</f>
        <v>17.700000000000003</v>
      </c>
      <c r="L156" s="22">
        <f>F156^2/162</f>
        <v>3.8580246913580245</v>
      </c>
      <c r="M156" s="21">
        <f>K156*L156</f>
        <v>68.28703703703704</v>
      </c>
      <c r="N156" s="22">
        <f>M156/1000</f>
        <v>0.06828703703703703</v>
      </c>
      <c r="O156" s="13" t="inlineStr">
        <is>
          <t>BBS</t>
        </is>
      </c>
    </row>
    <row r="157">
      <c r="A157" s="13" t="n">
        <v>152</v>
      </c>
      <c r="B157" s="13" t="inlineStr">
        <is>
          <t>Beams</t>
        </is>
      </c>
      <c r="C157" s="13" t="inlineStr">
        <is>
          <t>STR-079</t>
        </is>
      </c>
      <c r="D157" s="13" t="inlineStr">
        <is>
          <t>Typical 4th-8th floor beams (sheet 2 of 2)</t>
        </is>
      </c>
      <c r="E157" s="19" t="inlineStr">
        <is>
          <t>2505</t>
        </is>
      </c>
      <c r="F157" s="19" t="n">
        <v>25</v>
      </c>
      <c r="G157" s="19" t="n">
        <v>1</v>
      </c>
      <c r="H157" s="19" t="n">
        <v>3</v>
      </c>
      <c r="I157" s="13">
        <f>G157*H157</f>
        <v>3.0</v>
      </c>
      <c r="J157" s="20">
        <f>7750/1000</f>
        <v>7.75</v>
      </c>
      <c r="K157" s="21">
        <f>I157*J157</f>
        <v>23.25</v>
      </c>
      <c r="L157" s="22">
        <f>F157^2/162</f>
        <v>3.8580246913580245</v>
      </c>
      <c r="M157" s="21">
        <f>K157*L157</f>
        <v>89.69907407407408</v>
      </c>
      <c r="N157" s="22">
        <f>M157/1000</f>
        <v>0.08969907407407407</v>
      </c>
      <c r="O157" s="13" t="inlineStr">
        <is>
          <t>BBS</t>
        </is>
      </c>
    </row>
    <row r="158">
      <c r="A158" s="13" t="n">
        <v>153</v>
      </c>
      <c r="B158" s="13" t="inlineStr">
        <is>
          <t>Beams</t>
        </is>
      </c>
      <c r="C158" s="13" t="inlineStr">
        <is>
          <t>STR-079</t>
        </is>
      </c>
      <c r="D158" s="13" t="inlineStr">
        <is>
          <t>Typical 4th-8th floor beams (sheet 2 of 2)</t>
        </is>
      </c>
      <c r="E158" s="19" t="inlineStr">
        <is>
          <t>2506</t>
        </is>
      </c>
      <c r="F158" s="19" t="n">
        <v>25</v>
      </c>
      <c r="G158" s="19" t="n">
        <v>1</v>
      </c>
      <c r="H158" s="19" t="n">
        <v>3</v>
      </c>
      <c r="I158" s="13">
        <f>G158*H158</f>
        <v>3.0</v>
      </c>
      <c r="J158" s="20">
        <f>6500/1000</f>
        <v>6.5</v>
      </c>
      <c r="K158" s="21">
        <f>I158*J158</f>
        <v>19.5</v>
      </c>
      <c r="L158" s="22">
        <f>F158^2/162</f>
        <v>3.8580246913580245</v>
      </c>
      <c r="M158" s="21">
        <f>K158*L158</f>
        <v>75.23148148148148</v>
      </c>
      <c r="N158" s="22">
        <f>M158/1000</f>
        <v>0.07523148148148148</v>
      </c>
      <c r="O158" s="13" t="inlineStr">
        <is>
          <t>BBS</t>
        </is>
      </c>
    </row>
    <row r="159">
      <c r="A159" s="13" t="n">
        <v>154</v>
      </c>
      <c r="B159" s="13" t="inlineStr">
        <is>
          <t>Beams</t>
        </is>
      </c>
      <c r="C159" s="13" t="inlineStr">
        <is>
          <t>STR-079</t>
        </is>
      </c>
      <c r="D159" s="13" t="inlineStr">
        <is>
          <t>Typical 4th-8th floor beams (sheet 2 of 2)</t>
        </is>
      </c>
      <c r="E159" s="19" t="inlineStr">
        <is>
          <t>2507</t>
        </is>
      </c>
      <c r="F159" s="19" t="n">
        <v>25</v>
      </c>
      <c r="G159" s="19" t="n">
        <v>1</v>
      </c>
      <c r="H159" s="19" t="n">
        <v>3</v>
      </c>
      <c r="I159" s="13">
        <f>G159*H159</f>
        <v>3.0</v>
      </c>
      <c r="J159" s="20">
        <f>9850/1000</f>
        <v>9.85</v>
      </c>
      <c r="K159" s="21">
        <f>I159*J159</f>
        <v>29.549999999999997</v>
      </c>
      <c r="L159" s="22">
        <f>F159^2/162</f>
        <v>3.8580246913580245</v>
      </c>
      <c r="M159" s="21">
        <f>K159*L159</f>
        <v>114.00462962962962</v>
      </c>
      <c r="N159" s="22">
        <f>M159/1000</f>
        <v>0.11400462962962962</v>
      </c>
      <c r="O159" s="13" t="inlineStr">
        <is>
          <t>BBS</t>
        </is>
      </c>
    </row>
    <row r="160">
      <c r="A160" s="13" t="n">
        <v>155</v>
      </c>
      <c r="B160" s="13" t="inlineStr">
        <is>
          <t>Beams</t>
        </is>
      </c>
      <c r="C160" s="13" t="inlineStr">
        <is>
          <t>STR-079</t>
        </is>
      </c>
      <c r="D160" s="13" t="inlineStr">
        <is>
          <t>Typical 4th-8th floor beams (sheet 2 of 2)</t>
        </is>
      </c>
      <c r="E160" s="19" t="inlineStr">
        <is>
          <t>2508</t>
        </is>
      </c>
      <c r="F160" s="19" t="n">
        <v>25</v>
      </c>
      <c r="G160" s="19" t="n">
        <v>1</v>
      </c>
      <c r="H160" s="19" t="n">
        <v>3</v>
      </c>
      <c r="I160" s="13">
        <f>G160*H160</f>
        <v>3.0</v>
      </c>
      <c r="J160" s="20">
        <f>11650/1000</f>
        <v>11.65</v>
      </c>
      <c r="K160" s="21">
        <f>I160*J160</f>
        <v>34.95</v>
      </c>
      <c r="L160" s="22">
        <f>F160^2/162</f>
        <v>3.8580246913580245</v>
      </c>
      <c r="M160" s="21">
        <f>K160*L160</f>
        <v>134.83796296296296</v>
      </c>
      <c r="N160" s="22">
        <f>M160/1000</f>
        <v>0.13483796296296297</v>
      </c>
      <c r="O160" s="13" t="inlineStr">
        <is>
          <t>BBS</t>
        </is>
      </c>
    </row>
    <row r="161">
      <c r="A161" s="13" t="n">
        <v>156</v>
      </c>
      <c r="B161" s="13" t="inlineStr">
        <is>
          <t>Beams</t>
        </is>
      </c>
      <c r="C161" s="13" t="inlineStr">
        <is>
          <t>STR-079</t>
        </is>
      </c>
      <c r="D161" s="13" t="inlineStr">
        <is>
          <t>Typical 4th-8th floor beams (sheet 2 of 2)</t>
        </is>
      </c>
      <c r="E161" s="19" t="inlineStr">
        <is>
          <t>2509</t>
        </is>
      </c>
      <c r="F161" s="19" t="n">
        <v>25</v>
      </c>
      <c r="G161" s="19" t="n">
        <v>1</v>
      </c>
      <c r="H161" s="19" t="n">
        <v>3</v>
      </c>
      <c r="I161" s="13">
        <f>G161*H161</f>
        <v>3.0</v>
      </c>
      <c r="J161" s="20">
        <f>6450/1000</f>
        <v>6.45</v>
      </c>
      <c r="K161" s="21">
        <f>I161*J161</f>
        <v>19.35</v>
      </c>
      <c r="L161" s="22">
        <f>F161^2/162</f>
        <v>3.8580246913580245</v>
      </c>
      <c r="M161" s="21">
        <f>K161*L161</f>
        <v>74.65277777777779</v>
      </c>
      <c r="N161" s="22">
        <f>M161/1000</f>
        <v>0.07465277777777779</v>
      </c>
      <c r="O161" s="13" t="inlineStr">
        <is>
          <t>BBS</t>
        </is>
      </c>
    </row>
    <row r="162">
      <c r="A162" s="13" t="n">
        <v>157</v>
      </c>
      <c r="B162" s="13" t="inlineStr">
        <is>
          <t>Beams</t>
        </is>
      </c>
      <c r="C162" s="13" t="inlineStr">
        <is>
          <t>STR-079</t>
        </is>
      </c>
      <c r="D162" s="13" t="inlineStr">
        <is>
          <t>Typical 4th-8th floor beams (sheet 2 of 2)</t>
        </is>
      </c>
      <c r="E162" s="19" t="inlineStr">
        <is>
          <t>2510</t>
        </is>
      </c>
      <c r="F162" s="19" t="n">
        <v>25</v>
      </c>
      <c r="G162" s="19" t="n">
        <v>1</v>
      </c>
      <c r="H162" s="19" t="n">
        <v>3</v>
      </c>
      <c r="I162" s="13">
        <f>G162*H162</f>
        <v>3.0</v>
      </c>
      <c r="J162" s="20">
        <f>7700/1000</f>
        <v>7.7</v>
      </c>
      <c r="K162" s="21">
        <f>I162*J162</f>
        <v>23.1</v>
      </c>
      <c r="L162" s="22">
        <f>F162^2/162</f>
        <v>3.8580246913580245</v>
      </c>
      <c r="M162" s="21">
        <f>K162*L162</f>
        <v>89.12037037037037</v>
      </c>
      <c r="N162" s="22">
        <f>M162/1000</f>
        <v>0.08912037037037036</v>
      </c>
      <c r="O162" s="13" t="inlineStr">
        <is>
          <t>BBS</t>
        </is>
      </c>
    </row>
    <row r="163">
      <c r="A163" s="13" t="n">
        <v>158</v>
      </c>
      <c r="B163" s="13" t="inlineStr">
        <is>
          <t>Beams</t>
        </is>
      </c>
      <c r="C163" s="13" t="inlineStr">
        <is>
          <t>STR-079</t>
        </is>
      </c>
      <c r="D163" s="13" t="inlineStr">
        <is>
          <t>Typical 4th-8th floor beams (sheet 2 of 2)</t>
        </is>
      </c>
      <c r="E163" s="19" t="inlineStr">
        <is>
          <t>2511</t>
        </is>
      </c>
      <c r="F163" s="19" t="n">
        <v>25</v>
      </c>
      <c r="G163" s="19" t="n">
        <v>1</v>
      </c>
      <c r="H163" s="19" t="n">
        <v>24</v>
      </c>
      <c r="I163" s="13">
        <f>G163*H163</f>
        <v>24.0</v>
      </c>
      <c r="J163" s="20">
        <f>3550/1000</f>
        <v>3.55</v>
      </c>
      <c r="K163" s="21">
        <f>I163*J163</f>
        <v>85.19999999999999</v>
      </c>
      <c r="L163" s="22">
        <f>F163^2/162</f>
        <v>3.8580246913580245</v>
      </c>
      <c r="M163" s="21">
        <f>K163*L163</f>
        <v>328.70370370370364</v>
      </c>
      <c r="N163" s="22">
        <f>M163/1000</f>
        <v>0.32870370370370366</v>
      </c>
      <c r="O163" s="13" t="inlineStr">
        <is>
          <t>BBS</t>
        </is>
      </c>
    </row>
    <row r="164">
      <c r="A164" s="13" t="n">
        <v>159</v>
      </c>
      <c r="B164" s="13" t="inlineStr">
        <is>
          <t>Beams</t>
        </is>
      </c>
      <c r="C164" s="13" t="inlineStr">
        <is>
          <t>STR-079</t>
        </is>
      </c>
      <c r="D164" s="13" t="inlineStr">
        <is>
          <t>Typical 4th-8th floor beams (sheet 2 of 2)</t>
        </is>
      </c>
      <c r="E164" s="19" t="inlineStr">
        <is>
          <t>2512</t>
        </is>
      </c>
      <c r="F164" s="19" t="n">
        <v>25</v>
      </c>
      <c r="G164" s="19" t="n">
        <v>1</v>
      </c>
      <c r="H164" s="19" t="n">
        <v>3</v>
      </c>
      <c r="I164" s="13">
        <f>G164*H164</f>
        <v>3.0</v>
      </c>
      <c r="J164" s="20">
        <f>7750/1000</f>
        <v>7.75</v>
      </c>
      <c r="K164" s="21">
        <f>I164*J164</f>
        <v>23.25</v>
      </c>
      <c r="L164" s="22">
        <f>F164^2/162</f>
        <v>3.8580246913580245</v>
      </c>
      <c r="M164" s="21">
        <f>K164*L164</f>
        <v>89.69907407407408</v>
      </c>
      <c r="N164" s="22">
        <f>M164/1000</f>
        <v>0.08969907407407407</v>
      </c>
      <c r="O164" s="13" t="inlineStr">
        <is>
          <t>BBS</t>
        </is>
      </c>
    </row>
    <row r="165">
      <c r="A165" s="13" t="n">
        <v>160</v>
      </c>
      <c r="B165" s="13" t="inlineStr">
        <is>
          <t>Beams</t>
        </is>
      </c>
      <c r="C165" s="13" t="inlineStr">
        <is>
          <t>STR-079</t>
        </is>
      </c>
      <c r="D165" s="13" t="inlineStr">
        <is>
          <t>Typical 4th-8th floor beams (sheet 2 of 2)</t>
        </is>
      </c>
      <c r="E165" s="19" t="inlineStr">
        <is>
          <t>2513</t>
        </is>
      </c>
      <c r="F165" s="19" t="n">
        <v>25</v>
      </c>
      <c r="G165" s="19" t="n">
        <v>1</v>
      </c>
      <c r="H165" s="19" t="n">
        <v>6</v>
      </c>
      <c r="I165" s="13">
        <f>G165*H165</f>
        <v>6.0</v>
      </c>
      <c r="J165" s="20">
        <f>6350/1000</f>
        <v>6.35</v>
      </c>
      <c r="K165" s="21">
        <f>I165*J165</f>
        <v>38.099999999999994</v>
      </c>
      <c r="L165" s="22">
        <f>F165^2/162</f>
        <v>3.8580246913580245</v>
      </c>
      <c r="M165" s="21">
        <f>K165*L165</f>
        <v>146.9907407407407</v>
      </c>
      <c r="N165" s="22">
        <f>M165/1000</f>
        <v>0.1469907407407407</v>
      </c>
      <c r="O165" s="13" t="inlineStr">
        <is>
          <t>BBS</t>
        </is>
      </c>
    </row>
    <row r="166">
      <c r="A166" s="13" t="n">
        <v>161</v>
      </c>
      <c r="B166" s="13" t="inlineStr">
        <is>
          <t>Beams</t>
        </is>
      </c>
      <c r="C166" s="13" t="inlineStr">
        <is>
          <t>STR-079</t>
        </is>
      </c>
      <c r="D166" s="13" t="inlineStr">
        <is>
          <t>Typical 4th-8th floor beams (sheet 2 of 2)</t>
        </is>
      </c>
      <c r="E166" s="19" t="inlineStr">
        <is>
          <t>2514</t>
        </is>
      </c>
      <c r="F166" s="19" t="n">
        <v>25</v>
      </c>
      <c r="G166" s="19" t="n">
        <v>1</v>
      </c>
      <c r="H166" s="19" t="n">
        <v>3</v>
      </c>
      <c r="I166" s="13">
        <f>G166*H166</f>
        <v>3.0</v>
      </c>
      <c r="J166" s="20">
        <f>10450/1000</f>
        <v>10.45</v>
      </c>
      <c r="K166" s="21">
        <f>I166*J166</f>
        <v>31.349999999999998</v>
      </c>
      <c r="L166" s="22">
        <f>F166^2/162</f>
        <v>3.8580246913580245</v>
      </c>
      <c r="M166" s="21">
        <f>K166*L166</f>
        <v>120.94907407407406</v>
      </c>
      <c r="N166" s="22">
        <f>M166/1000</f>
        <v>0.12094907407407406</v>
      </c>
      <c r="O166" s="13" t="inlineStr">
        <is>
          <t>BBS</t>
        </is>
      </c>
    </row>
    <row r="167">
      <c r="A167" s="13" t="n">
        <v>162</v>
      </c>
      <c r="B167" s="13" t="inlineStr">
        <is>
          <t>Beams</t>
        </is>
      </c>
      <c r="C167" s="13" t="inlineStr">
        <is>
          <t>STR-079</t>
        </is>
      </c>
      <c r="D167" s="13" t="inlineStr">
        <is>
          <t>Typical 4th-8th floor beams (sheet 2 of 2)</t>
        </is>
      </c>
      <c r="E167" s="19" t="inlineStr">
        <is>
          <t>2515</t>
        </is>
      </c>
      <c r="F167" s="19" t="n">
        <v>25</v>
      </c>
      <c r="G167" s="19" t="n">
        <v>1</v>
      </c>
      <c r="H167" s="19" t="n">
        <v>3</v>
      </c>
      <c r="I167" s="13">
        <f>G167*H167</f>
        <v>3.0</v>
      </c>
      <c r="J167" s="20">
        <f>11200/1000</f>
        <v>11.2</v>
      </c>
      <c r="K167" s="21">
        <f>I167*J167</f>
        <v>33.599999999999994</v>
      </c>
      <c r="L167" s="22">
        <f>F167^2/162</f>
        <v>3.8580246913580245</v>
      </c>
      <c r="M167" s="21">
        <f>K167*L167</f>
        <v>129.6296296296296</v>
      </c>
      <c r="N167" s="22">
        <f>M167/1000</f>
        <v>0.1296296296296296</v>
      </c>
      <c r="O167" s="13" t="inlineStr">
        <is>
          <t>BBS</t>
        </is>
      </c>
    </row>
    <row r="168">
      <c r="A168" s="13" t="n">
        <v>163</v>
      </c>
      <c r="B168" s="13" t="inlineStr">
        <is>
          <t>Beams</t>
        </is>
      </c>
      <c r="C168" s="13" t="inlineStr">
        <is>
          <t>STR-079</t>
        </is>
      </c>
      <c r="D168" s="13" t="inlineStr">
        <is>
          <t>Typical 4th-8th floor beams (sheet 2 of 2)</t>
        </is>
      </c>
      <c r="E168" s="19" t="inlineStr">
        <is>
          <t>2516</t>
        </is>
      </c>
      <c r="F168" s="19" t="n">
        <v>25</v>
      </c>
      <c r="G168" s="19" t="n">
        <v>1</v>
      </c>
      <c r="H168" s="19" t="n">
        <v>3</v>
      </c>
      <c r="I168" s="13">
        <f>G168*H168</f>
        <v>3.0</v>
      </c>
      <c r="J168" s="20">
        <f>8275/1000</f>
        <v>8.275</v>
      </c>
      <c r="K168" s="21">
        <f>I168*J168</f>
        <v>24.825000000000003</v>
      </c>
      <c r="L168" s="22">
        <f>F168^2/162</f>
        <v>3.8580246913580245</v>
      </c>
      <c r="M168" s="21">
        <f>K168*L168</f>
        <v>95.77546296296298</v>
      </c>
      <c r="N168" s="22">
        <f>M168/1000</f>
        <v>0.09577546296296298</v>
      </c>
      <c r="O168" s="13" t="inlineStr">
        <is>
          <t>BBS</t>
        </is>
      </c>
    </row>
    <row r="169">
      <c r="A169" s="13" t="n">
        <v>164</v>
      </c>
      <c r="B169" s="13" t="inlineStr">
        <is>
          <t>Beams</t>
        </is>
      </c>
      <c r="C169" s="13" t="inlineStr">
        <is>
          <t>STR-079</t>
        </is>
      </c>
      <c r="D169" s="13" t="inlineStr">
        <is>
          <t>Typical 4th-8th floor beams (sheet 2 of 2)</t>
        </is>
      </c>
      <c r="E169" s="19" t="inlineStr">
        <is>
          <t>2517</t>
        </is>
      </c>
      <c r="F169" s="19" t="n">
        <v>25</v>
      </c>
      <c r="G169" s="19" t="n">
        <v>1</v>
      </c>
      <c r="H169" s="19" t="n">
        <v>6</v>
      </c>
      <c r="I169" s="13">
        <f>G169*H169</f>
        <v>6.0</v>
      </c>
      <c r="J169" s="20">
        <f>10150/1000</f>
        <v>10.15</v>
      </c>
      <c r="K169" s="21">
        <f>I169*J169</f>
        <v>60.900000000000006</v>
      </c>
      <c r="L169" s="22">
        <f>F169^2/162</f>
        <v>3.8580246913580245</v>
      </c>
      <c r="M169" s="21">
        <f>K169*L169</f>
        <v>234.95370370370372</v>
      </c>
      <c r="N169" s="22">
        <f>M169/1000</f>
        <v>0.23495370370370372</v>
      </c>
      <c r="O169" s="13" t="inlineStr">
        <is>
          <t>BBS</t>
        </is>
      </c>
    </row>
    <row r="170">
      <c r="A170" s="13" t="n">
        <v>165</v>
      </c>
      <c r="B170" s="13" t="inlineStr">
        <is>
          <t>Floor Slabs</t>
        </is>
      </c>
      <c r="C170" s="13" t="inlineStr">
        <is>
          <t>STR-080</t>
        </is>
      </c>
      <c r="D170" s="13" t="inlineStr">
        <is>
          <t>Typical 4th-8th slab - bottom</t>
        </is>
      </c>
      <c r="E170" s="19" t="inlineStr">
        <is>
          <t>1201</t>
        </is>
      </c>
      <c r="F170" s="19" t="n">
        <v>12</v>
      </c>
      <c r="G170" s="19" t="n">
        <v>1</v>
      </c>
      <c r="H170" s="19" t="n">
        <v>306</v>
      </c>
      <c r="I170" s="13">
        <f>G170*H170</f>
        <v>306.0</v>
      </c>
      <c r="J170" s="20">
        <f>9900/1000</f>
        <v>9.9</v>
      </c>
      <c r="K170" s="21">
        <f>I170*J170</f>
        <v>3029.4</v>
      </c>
      <c r="L170" s="22">
        <f>F170^2/162</f>
        <v>0.8888888888888888</v>
      </c>
      <c r="M170" s="21">
        <f>K170*L170</f>
        <v>2692.7999999999997</v>
      </c>
      <c r="N170" s="22">
        <f>M170/1000</f>
        <v>2.6927999999999996</v>
      </c>
      <c r="O170" s="13" t="inlineStr">
        <is>
          <t>BBS</t>
        </is>
      </c>
    </row>
    <row r="171">
      <c r="A171" s="13" t="n">
        <v>166</v>
      </c>
      <c r="B171" s="13" t="inlineStr">
        <is>
          <t>Floor Slabs</t>
        </is>
      </c>
      <c r="C171" s="13" t="inlineStr">
        <is>
          <t>STR-080</t>
        </is>
      </c>
      <c r="D171" s="13" t="inlineStr">
        <is>
          <t>Typical 4th-8th slab - bottom</t>
        </is>
      </c>
      <c r="E171" s="19" t="inlineStr">
        <is>
          <t>1202</t>
        </is>
      </c>
      <c r="F171" s="19" t="n">
        <v>12</v>
      </c>
      <c r="G171" s="19" t="n">
        <v>1</v>
      </c>
      <c r="H171" s="19" t="n">
        <v>349</v>
      </c>
      <c r="I171" s="13">
        <f>G171*H171</f>
        <v>349.0</v>
      </c>
      <c r="J171" s="20">
        <f>5500/1000</f>
        <v>5.5</v>
      </c>
      <c r="K171" s="21">
        <f>I171*J171</f>
        <v>1919.5</v>
      </c>
      <c r="L171" s="22">
        <f>F171^2/162</f>
        <v>0.8888888888888888</v>
      </c>
      <c r="M171" s="21">
        <f>K171*L171</f>
        <v>1706.2222222222222</v>
      </c>
      <c r="N171" s="22">
        <f>M171/1000</f>
        <v>1.706222222222222</v>
      </c>
      <c r="O171" s="13" t="inlineStr">
        <is>
          <t>BBS</t>
        </is>
      </c>
    </row>
    <row r="172">
      <c r="A172" s="13" t="n">
        <v>167</v>
      </c>
      <c r="B172" s="13" t="inlineStr">
        <is>
          <t>Floor Slabs</t>
        </is>
      </c>
      <c r="C172" s="13" t="inlineStr">
        <is>
          <t>STR-080</t>
        </is>
      </c>
      <c r="D172" s="13" t="inlineStr">
        <is>
          <t>Typical 4th-8th slab - bottom</t>
        </is>
      </c>
      <c r="E172" s="19" t="inlineStr">
        <is>
          <t>1203</t>
        </is>
      </c>
      <c r="F172" s="19" t="n">
        <v>12</v>
      </c>
      <c r="G172" s="19" t="n">
        <v>1</v>
      </c>
      <c r="H172" s="19" t="n">
        <v>16</v>
      </c>
      <c r="I172" s="13">
        <f>G172*H172</f>
        <v>16.0</v>
      </c>
      <c r="J172" s="20">
        <f>4450/1000</f>
        <v>4.45</v>
      </c>
      <c r="K172" s="21">
        <f>I172*J172</f>
        <v>71.2</v>
      </c>
      <c r="L172" s="22">
        <f>F172^2/162</f>
        <v>0.8888888888888888</v>
      </c>
      <c r="M172" s="21">
        <f>K172*L172</f>
        <v>63.28888888888889</v>
      </c>
      <c r="N172" s="22">
        <f>M172/1000</f>
        <v>0.0632888888888889</v>
      </c>
      <c r="O172" s="13" t="inlineStr">
        <is>
          <t>BBS</t>
        </is>
      </c>
    </row>
    <row r="173">
      <c r="A173" s="13" t="n">
        <v>168</v>
      </c>
      <c r="B173" s="13" t="inlineStr">
        <is>
          <t>Floor Slabs</t>
        </is>
      </c>
      <c r="C173" s="13" t="inlineStr">
        <is>
          <t>STR-080</t>
        </is>
      </c>
      <c r="D173" s="13" t="inlineStr">
        <is>
          <t>Typical 4th-8th slab - bottom</t>
        </is>
      </c>
      <c r="E173" s="19" t="inlineStr">
        <is>
          <t>1204</t>
        </is>
      </c>
      <c r="F173" s="19" t="n">
        <v>12</v>
      </c>
      <c r="G173" s="19" t="n">
        <v>1</v>
      </c>
      <c r="H173" s="19" t="n">
        <v>371</v>
      </c>
      <c r="I173" s="13">
        <f>G173*H173</f>
        <v>371.0</v>
      </c>
      <c r="J173" s="20">
        <f>9050/1000</f>
        <v>9.05</v>
      </c>
      <c r="K173" s="21">
        <f>I173*J173</f>
        <v>3357.55</v>
      </c>
      <c r="L173" s="22">
        <f>F173^2/162</f>
        <v>0.8888888888888888</v>
      </c>
      <c r="M173" s="21">
        <f>K173*L173</f>
        <v>2984.488888888889</v>
      </c>
      <c r="N173" s="22">
        <f>M173/1000</f>
        <v>2.984488888888889</v>
      </c>
      <c r="O173" s="13" t="inlineStr">
        <is>
          <t>BBS</t>
        </is>
      </c>
    </row>
    <row r="174">
      <c r="A174" s="13" t="n">
        <v>169</v>
      </c>
      <c r="B174" s="13" t="inlineStr">
        <is>
          <t>Floor Slabs</t>
        </is>
      </c>
      <c r="C174" s="13" t="inlineStr">
        <is>
          <t>STR-080</t>
        </is>
      </c>
      <c r="D174" s="13" t="inlineStr">
        <is>
          <t>Typical 4th-8th slab - bottom</t>
        </is>
      </c>
      <c r="E174" s="19" t="inlineStr">
        <is>
          <t>1205</t>
        </is>
      </c>
      <c r="F174" s="19" t="n">
        <v>12</v>
      </c>
      <c r="G174" s="19" t="n">
        <v>1</v>
      </c>
      <c r="H174" s="19" t="n">
        <v>16</v>
      </c>
      <c r="I174" s="13">
        <f>G174*H174</f>
        <v>16.0</v>
      </c>
      <c r="J174" s="20">
        <f>3400/1000</f>
        <v>3.4</v>
      </c>
      <c r="K174" s="21">
        <f>I174*J174</f>
        <v>54.4</v>
      </c>
      <c r="L174" s="22">
        <f>F174^2/162</f>
        <v>0.8888888888888888</v>
      </c>
      <c r="M174" s="21">
        <f>K174*L174</f>
        <v>48.355555555555554</v>
      </c>
      <c r="N174" s="22">
        <f>M174/1000</f>
        <v>0.048355555555555554</v>
      </c>
      <c r="O174" s="13" t="inlineStr">
        <is>
          <t>BBS</t>
        </is>
      </c>
    </row>
    <row r="175">
      <c r="A175" s="13" t="n">
        <v>170</v>
      </c>
      <c r="B175" s="13" t="inlineStr">
        <is>
          <t>Floor Slabs</t>
        </is>
      </c>
      <c r="C175" s="13" t="inlineStr">
        <is>
          <t>STR-080</t>
        </is>
      </c>
      <c r="D175" s="13" t="inlineStr">
        <is>
          <t>Typical 4th-8th slab - bottom</t>
        </is>
      </c>
      <c r="E175" s="19" t="inlineStr">
        <is>
          <t>1206</t>
        </is>
      </c>
      <c r="F175" s="19" t="n">
        <v>12</v>
      </c>
      <c r="G175" s="19" t="n">
        <v>1</v>
      </c>
      <c r="H175" s="19" t="n">
        <v>37</v>
      </c>
      <c r="I175" s="13">
        <f>G175*H175</f>
        <v>37.0</v>
      </c>
      <c r="J175" s="20">
        <f>4600/1000</f>
        <v>4.6</v>
      </c>
      <c r="K175" s="21">
        <f>I175*J175</f>
        <v>170.2</v>
      </c>
      <c r="L175" s="22">
        <f>F175^2/162</f>
        <v>0.8888888888888888</v>
      </c>
      <c r="M175" s="21">
        <f>K175*L175</f>
        <v>151.28888888888886</v>
      </c>
      <c r="N175" s="22">
        <f>M175/1000</f>
        <v>0.15128888888888886</v>
      </c>
      <c r="O175" s="13" t="inlineStr">
        <is>
          <t>BBS</t>
        </is>
      </c>
    </row>
    <row r="176">
      <c r="A176" s="13" t="n">
        <v>171</v>
      </c>
      <c r="B176" s="13" t="inlineStr">
        <is>
          <t>Floor Slabs</t>
        </is>
      </c>
      <c r="C176" s="13" t="inlineStr">
        <is>
          <t>STR-080</t>
        </is>
      </c>
      <c r="D176" s="13" t="inlineStr">
        <is>
          <t>Typical 4th-8th slab - bottom</t>
        </is>
      </c>
      <c r="E176" s="19" t="inlineStr">
        <is>
          <t>1207</t>
        </is>
      </c>
      <c r="F176" s="19" t="n">
        <v>12</v>
      </c>
      <c r="G176" s="19" t="n">
        <v>1</v>
      </c>
      <c r="H176" s="19" t="n">
        <v>21</v>
      </c>
      <c r="I176" s="13">
        <f>G176*H176</f>
        <v>21.0</v>
      </c>
      <c r="J176" s="20">
        <f>4575/1000</f>
        <v>4.575</v>
      </c>
      <c r="K176" s="21">
        <f>I176*J176</f>
        <v>96.075</v>
      </c>
      <c r="L176" s="22">
        <f>F176^2/162</f>
        <v>0.8888888888888888</v>
      </c>
      <c r="M176" s="21">
        <f>K176*L176</f>
        <v>85.39999999999999</v>
      </c>
      <c r="N176" s="22">
        <f>M176/1000</f>
        <v>0.08539999999999999</v>
      </c>
      <c r="O176" s="13" t="inlineStr">
        <is>
          <t>BBS</t>
        </is>
      </c>
    </row>
    <row r="177">
      <c r="A177" s="13" t="n">
        <v>172</v>
      </c>
      <c r="B177" s="13" t="inlineStr">
        <is>
          <t>Floor Slabs</t>
        </is>
      </c>
      <c r="C177" s="13" t="inlineStr">
        <is>
          <t>STR-080</t>
        </is>
      </c>
      <c r="D177" s="13" t="inlineStr">
        <is>
          <t>Typical 4th-8th slab - bottom</t>
        </is>
      </c>
      <c r="E177" s="19" t="inlineStr">
        <is>
          <t>1208</t>
        </is>
      </c>
      <c r="F177" s="19" t="n">
        <v>12</v>
      </c>
      <c r="G177" s="19" t="n">
        <v>1</v>
      </c>
      <c r="H177" s="19" t="n">
        <v>47</v>
      </c>
      <c r="I177" s="13">
        <f>G177*H177</f>
        <v>47.0</v>
      </c>
      <c r="J177" s="20">
        <f>5325/1000</f>
        <v>5.325</v>
      </c>
      <c r="K177" s="21">
        <f>I177*J177</f>
        <v>250.275</v>
      </c>
      <c r="L177" s="22">
        <f>F177^2/162</f>
        <v>0.8888888888888888</v>
      </c>
      <c r="M177" s="21">
        <f>K177*L177</f>
        <v>222.46666666666667</v>
      </c>
      <c r="N177" s="22">
        <f>M177/1000</f>
        <v>0.22246666666666667</v>
      </c>
      <c r="O177" s="13" t="inlineStr">
        <is>
          <t>BBS</t>
        </is>
      </c>
    </row>
    <row r="178">
      <c r="A178" s="13" t="n">
        <v>173</v>
      </c>
      <c r="B178" s="13" t="inlineStr">
        <is>
          <t>Floor Slabs</t>
        </is>
      </c>
      <c r="C178" s="13" t="inlineStr">
        <is>
          <t>STR-080</t>
        </is>
      </c>
      <c r="D178" s="13" t="inlineStr">
        <is>
          <t>Typical 4th-8th slab - bottom</t>
        </is>
      </c>
      <c r="E178" s="19" t="inlineStr">
        <is>
          <t>1209</t>
        </is>
      </c>
      <c r="F178" s="19" t="n">
        <v>12</v>
      </c>
      <c r="G178" s="19" t="n">
        <v>1</v>
      </c>
      <c r="H178" s="19" t="n">
        <v>124</v>
      </c>
      <c r="I178" s="13">
        <f>G178*H178</f>
        <v>124.0</v>
      </c>
      <c r="J178" s="20">
        <f>8700/1000</f>
        <v>8.7</v>
      </c>
      <c r="K178" s="21">
        <f>I178*J178</f>
        <v>1078.8</v>
      </c>
      <c r="L178" s="22">
        <f>F178^2/162</f>
        <v>0.8888888888888888</v>
      </c>
      <c r="M178" s="21">
        <f>K178*L178</f>
        <v>958.9333333333333</v>
      </c>
      <c r="N178" s="22">
        <f>M178/1000</f>
        <v>0.9589333333333333</v>
      </c>
      <c r="O178" s="13" t="inlineStr">
        <is>
          <t>BBS</t>
        </is>
      </c>
    </row>
    <row r="179">
      <c r="A179" s="13" t="n">
        <v>174</v>
      </c>
      <c r="B179" s="13" t="inlineStr">
        <is>
          <t>Floor Slabs</t>
        </is>
      </c>
      <c r="C179" s="13" t="inlineStr">
        <is>
          <t>STR-080</t>
        </is>
      </c>
      <c r="D179" s="13" t="inlineStr">
        <is>
          <t>Typical 4th-8th slab - bottom</t>
        </is>
      </c>
      <c r="E179" s="19" t="inlineStr">
        <is>
          <t>1210</t>
        </is>
      </c>
      <c r="F179" s="19" t="n">
        <v>12</v>
      </c>
      <c r="G179" s="19" t="n">
        <v>1</v>
      </c>
      <c r="H179" s="19" t="n">
        <v>80</v>
      </c>
      <c r="I179" s="13">
        <f>G179*H179</f>
        <v>80.0</v>
      </c>
      <c r="J179" s="20">
        <f>9050/1000</f>
        <v>9.05</v>
      </c>
      <c r="K179" s="21">
        <f>I179*J179</f>
        <v>724.0</v>
      </c>
      <c r="L179" s="22">
        <f>F179^2/162</f>
        <v>0.8888888888888888</v>
      </c>
      <c r="M179" s="21">
        <f>K179*L179</f>
        <v>643.5555555555555</v>
      </c>
      <c r="N179" s="22">
        <f>M179/1000</f>
        <v>0.6435555555555555</v>
      </c>
      <c r="O179" s="13" t="inlineStr">
        <is>
          <t>BBS</t>
        </is>
      </c>
    </row>
    <row r="180">
      <c r="A180" s="13" t="n">
        <v>175</v>
      </c>
      <c r="B180" s="13" t="inlineStr">
        <is>
          <t>Floor Slabs</t>
        </is>
      </c>
      <c r="C180" s="13" t="inlineStr">
        <is>
          <t>STR-080</t>
        </is>
      </c>
      <c r="D180" s="13" t="inlineStr">
        <is>
          <t>Typical 4th-8th slab - bottom</t>
        </is>
      </c>
      <c r="E180" s="19" t="inlineStr">
        <is>
          <t>1211</t>
        </is>
      </c>
      <c r="F180" s="19" t="n">
        <v>12</v>
      </c>
      <c r="G180" s="19" t="n">
        <v>1</v>
      </c>
      <c r="H180" s="19" t="n">
        <v>15</v>
      </c>
      <c r="I180" s="13">
        <f>G180*H180</f>
        <v>15.0</v>
      </c>
      <c r="J180" s="20">
        <f>8650/1000</f>
        <v>8.65</v>
      </c>
      <c r="K180" s="21">
        <f>I180*J180</f>
        <v>129.75</v>
      </c>
      <c r="L180" s="22">
        <f>F180^2/162</f>
        <v>0.8888888888888888</v>
      </c>
      <c r="M180" s="21">
        <f>K180*L180</f>
        <v>115.33333333333333</v>
      </c>
      <c r="N180" s="22">
        <f>M180/1000</f>
        <v>0.11533333333333333</v>
      </c>
      <c r="O180" s="13" t="inlineStr">
        <is>
          <t>BBS</t>
        </is>
      </c>
    </row>
    <row r="181">
      <c r="A181" s="13" t="n">
        <v>176</v>
      </c>
      <c r="B181" s="13" t="inlineStr">
        <is>
          <t>Floor Slabs</t>
        </is>
      </c>
      <c r="C181" s="13" t="inlineStr">
        <is>
          <t>STR-080</t>
        </is>
      </c>
      <c r="D181" s="13" t="inlineStr">
        <is>
          <t>Typical 4th-8th slab - bottom</t>
        </is>
      </c>
      <c r="E181" s="19" t="inlineStr">
        <is>
          <t>1212</t>
        </is>
      </c>
      <c r="F181" s="19" t="n">
        <v>12</v>
      </c>
      <c r="G181" s="19" t="n">
        <v>1</v>
      </c>
      <c r="H181" s="19" t="n">
        <v>23</v>
      </c>
      <c r="I181" s="13">
        <f>G181*H181</f>
        <v>23.0</v>
      </c>
      <c r="J181" s="20">
        <f>8750/1000</f>
        <v>8.75</v>
      </c>
      <c r="K181" s="21">
        <f>I181*J181</f>
        <v>201.25</v>
      </c>
      <c r="L181" s="22">
        <f>F181^2/162</f>
        <v>0.8888888888888888</v>
      </c>
      <c r="M181" s="21">
        <f>K181*L181</f>
        <v>178.88888888888889</v>
      </c>
      <c r="N181" s="22">
        <f>M181/1000</f>
        <v>0.17888888888888888</v>
      </c>
      <c r="O181" s="13" t="inlineStr">
        <is>
          <t>BBS</t>
        </is>
      </c>
    </row>
    <row r="182">
      <c r="A182" s="13" t="n">
        <v>177</v>
      </c>
      <c r="B182" s="13" t="inlineStr">
        <is>
          <t>Floor Slabs</t>
        </is>
      </c>
      <c r="C182" s="13" t="inlineStr">
        <is>
          <t>STR-080</t>
        </is>
      </c>
      <c r="D182" s="13" t="inlineStr">
        <is>
          <t>Typical 4th-8th slab - bottom</t>
        </is>
      </c>
      <c r="E182" s="19" t="inlineStr">
        <is>
          <t>1213</t>
        </is>
      </c>
      <c r="F182" s="19" t="n">
        <v>12</v>
      </c>
      <c r="G182" s="19" t="n">
        <v>1</v>
      </c>
      <c r="H182" s="19" t="n">
        <v>24</v>
      </c>
      <c r="I182" s="13">
        <f>G182*H182</f>
        <v>24.0</v>
      </c>
      <c r="J182" s="20">
        <f>8700/1000</f>
        <v>8.7</v>
      </c>
      <c r="K182" s="21">
        <f>I182*J182</f>
        <v>208.79999999999998</v>
      </c>
      <c r="L182" s="22">
        <f>F182^2/162</f>
        <v>0.8888888888888888</v>
      </c>
      <c r="M182" s="21">
        <f>K182*L182</f>
        <v>185.59999999999997</v>
      </c>
      <c r="N182" s="22">
        <f>M182/1000</f>
        <v>0.18559999999999996</v>
      </c>
      <c r="O182" s="13" t="inlineStr">
        <is>
          <t>BBS</t>
        </is>
      </c>
    </row>
    <row r="183">
      <c r="A183" s="13" t="n">
        <v>178</v>
      </c>
      <c r="B183" s="13" t="inlineStr">
        <is>
          <t>Floor Slabs</t>
        </is>
      </c>
      <c r="C183" s="13" t="inlineStr">
        <is>
          <t>STR-080</t>
        </is>
      </c>
      <c r="D183" s="13" t="inlineStr">
        <is>
          <t>Typical 4th-8th slab - bottom</t>
        </is>
      </c>
      <c r="E183" s="19" t="inlineStr">
        <is>
          <t>1214</t>
        </is>
      </c>
      <c r="F183" s="19" t="n">
        <v>12</v>
      </c>
      <c r="G183" s="19" t="n">
        <v>1</v>
      </c>
      <c r="H183" s="19" t="n">
        <v>7</v>
      </c>
      <c r="I183" s="13">
        <f>G183*H183</f>
        <v>7.0</v>
      </c>
      <c r="J183" s="20">
        <f>10000/1000</f>
        <v>10.0</v>
      </c>
      <c r="K183" s="21">
        <f>I183*J183</f>
        <v>70.0</v>
      </c>
      <c r="L183" s="22">
        <f>F183^2/162</f>
        <v>0.8888888888888888</v>
      </c>
      <c r="M183" s="21">
        <f>K183*L183</f>
        <v>62.22222222222222</v>
      </c>
      <c r="N183" s="22">
        <f>M183/1000</f>
        <v>0.06222222222222222</v>
      </c>
      <c r="O183" s="13" t="inlineStr">
        <is>
          <t>BBS</t>
        </is>
      </c>
    </row>
    <row r="184">
      <c r="A184" s="13" t="n">
        <v>179</v>
      </c>
      <c r="B184" s="13" t="inlineStr">
        <is>
          <t>Floor Slabs</t>
        </is>
      </c>
      <c r="C184" s="13" t="inlineStr">
        <is>
          <t>STR-080</t>
        </is>
      </c>
      <c r="D184" s="13" t="inlineStr">
        <is>
          <t>Typical 4th-8th slab - bottom</t>
        </is>
      </c>
      <c r="E184" s="19" t="inlineStr">
        <is>
          <t>1215</t>
        </is>
      </c>
      <c r="F184" s="19" t="n">
        <v>12</v>
      </c>
      <c r="G184" s="19" t="n">
        <v>1</v>
      </c>
      <c r="H184" s="19" t="n">
        <v>202</v>
      </c>
      <c r="I184" s="13">
        <f>G184*H184</f>
        <v>202.0</v>
      </c>
      <c r="J184" s="20">
        <f>10000/1000</f>
        <v>10.0</v>
      </c>
      <c r="K184" s="21">
        <f>I184*J184</f>
        <v>2020.0</v>
      </c>
      <c r="L184" s="22">
        <f>F184^2/162</f>
        <v>0.8888888888888888</v>
      </c>
      <c r="M184" s="21">
        <f>K184*L184</f>
        <v>1795.5555555555554</v>
      </c>
      <c r="N184" s="22">
        <f>M184/1000</f>
        <v>1.7955555555555553</v>
      </c>
      <c r="O184" s="13" t="inlineStr">
        <is>
          <t>BBS</t>
        </is>
      </c>
    </row>
    <row r="185">
      <c r="A185" s="13" t="n">
        <v>180</v>
      </c>
      <c r="B185" s="13" t="inlineStr">
        <is>
          <t>Floor Slabs</t>
        </is>
      </c>
      <c r="C185" s="13" t="inlineStr">
        <is>
          <t>STR-080</t>
        </is>
      </c>
      <c r="D185" s="13" t="inlineStr">
        <is>
          <t>Typical 4th-8th slab - bottom</t>
        </is>
      </c>
      <c r="E185" s="19" t="inlineStr">
        <is>
          <t>1216</t>
        </is>
      </c>
      <c r="F185" s="19" t="n">
        <v>12</v>
      </c>
      <c r="G185" s="19" t="n">
        <v>1</v>
      </c>
      <c r="H185" s="19" t="n">
        <v>162</v>
      </c>
      <c r="I185" s="13">
        <f>G185*H185</f>
        <v>162.0</v>
      </c>
      <c r="J185" s="20">
        <f>9550/1000</f>
        <v>9.55</v>
      </c>
      <c r="K185" s="21">
        <f>I185*J185</f>
        <v>1547.1000000000001</v>
      </c>
      <c r="L185" s="22">
        <f>F185^2/162</f>
        <v>0.8888888888888888</v>
      </c>
      <c r="M185" s="21">
        <f>K185*L185</f>
        <v>1375.2</v>
      </c>
      <c r="N185" s="22">
        <f>M185/1000</f>
        <v>1.3752</v>
      </c>
      <c r="O185" s="13" t="inlineStr">
        <is>
          <t>BBS</t>
        </is>
      </c>
    </row>
    <row r="186">
      <c r="A186" s="13" t="n">
        <v>181</v>
      </c>
      <c r="B186" s="13" t="inlineStr">
        <is>
          <t>Floor Slabs</t>
        </is>
      </c>
      <c r="C186" s="13" t="inlineStr">
        <is>
          <t>STR-080</t>
        </is>
      </c>
      <c r="D186" s="13" t="inlineStr">
        <is>
          <t>Typical 4th-8th slab - bottom</t>
        </is>
      </c>
      <c r="E186" s="19" t="inlineStr">
        <is>
          <t>1217</t>
        </is>
      </c>
      <c r="F186" s="19" t="n">
        <v>12</v>
      </c>
      <c r="G186" s="19" t="n">
        <v>1</v>
      </c>
      <c r="H186" s="19" t="n">
        <v>31</v>
      </c>
      <c r="I186" s="13">
        <f>G186*H186</f>
        <v>31.0</v>
      </c>
      <c r="J186" s="20">
        <f>7250/1000</f>
        <v>7.25</v>
      </c>
      <c r="K186" s="21">
        <f>I186*J186</f>
        <v>224.75</v>
      </c>
      <c r="L186" s="22">
        <f>F186^2/162</f>
        <v>0.8888888888888888</v>
      </c>
      <c r="M186" s="21">
        <f>K186*L186</f>
        <v>199.77777777777777</v>
      </c>
      <c r="N186" s="22">
        <f>M186/1000</f>
        <v>0.19977777777777778</v>
      </c>
      <c r="O186" s="13" t="inlineStr">
        <is>
          <t>BBS</t>
        </is>
      </c>
    </row>
    <row r="187">
      <c r="A187" s="13" t="n">
        <v>182</v>
      </c>
      <c r="B187" s="13" t="inlineStr">
        <is>
          <t>Floor Slabs</t>
        </is>
      </c>
      <c r="C187" s="13" t="inlineStr">
        <is>
          <t>STR-080</t>
        </is>
      </c>
      <c r="D187" s="13" t="inlineStr">
        <is>
          <t>Typical 4th-8th slab - bottom</t>
        </is>
      </c>
      <c r="E187" s="19" t="inlineStr">
        <is>
          <t>1218</t>
        </is>
      </c>
      <c r="F187" s="19" t="n">
        <v>12</v>
      </c>
      <c r="G187" s="19" t="n">
        <v>1</v>
      </c>
      <c r="H187" s="19" t="n">
        <v>205</v>
      </c>
      <c r="I187" s="13">
        <f>G187*H187</f>
        <v>205.0</v>
      </c>
      <c r="J187" s="20">
        <f>7775/1000</f>
        <v>7.775</v>
      </c>
      <c r="K187" s="21">
        <f>I187*J187</f>
        <v>1593.875</v>
      </c>
      <c r="L187" s="22">
        <f>F187^2/162</f>
        <v>0.8888888888888888</v>
      </c>
      <c r="M187" s="21">
        <f>K187*L187</f>
        <v>1416.7777777777776</v>
      </c>
      <c r="N187" s="22">
        <f>M187/1000</f>
        <v>1.4167777777777777</v>
      </c>
      <c r="O187" s="13" t="inlineStr">
        <is>
          <t>BBS</t>
        </is>
      </c>
    </row>
    <row r="188">
      <c r="A188" s="13" t="n">
        <v>183</v>
      </c>
      <c r="B188" s="13" t="inlineStr">
        <is>
          <t>Floor Slabs</t>
        </is>
      </c>
      <c r="C188" s="13" t="inlineStr">
        <is>
          <t>STR-080</t>
        </is>
      </c>
      <c r="D188" s="13" t="inlineStr">
        <is>
          <t>Typical 4th-8th slab - bottom</t>
        </is>
      </c>
      <c r="E188" s="19" t="inlineStr">
        <is>
          <t>1219</t>
        </is>
      </c>
      <c r="F188" s="19" t="n">
        <v>12</v>
      </c>
      <c r="G188" s="19" t="n">
        <v>1</v>
      </c>
      <c r="H188" s="19" t="n">
        <v>44</v>
      </c>
      <c r="I188" s="13">
        <f>G188*H188</f>
        <v>44.0</v>
      </c>
      <c r="J188" s="20">
        <f>8000/1000</f>
        <v>8.0</v>
      </c>
      <c r="K188" s="21">
        <f>I188*J188</f>
        <v>352.0</v>
      </c>
      <c r="L188" s="22">
        <f>F188^2/162</f>
        <v>0.8888888888888888</v>
      </c>
      <c r="M188" s="21">
        <f>K188*L188</f>
        <v>312.88888888888886</v>
      </c>
      <c r="N188" s="22">
        <f>M188/1000</f>
        <v>0.3128888888888889</v>
      </c>
      <c r="O188" s="13" t="inlineStr">
        <is>
          <t>BBS</t>
        </is>
      </c>
    </row>
    <row r="189">
      <c r="A189" s="13" t="n">
        <v>184</v>
      </c>
      <c r="B189" s="13" t="inlineStr">
        <is>
          <t>Floor Slabs</t>
        </is>
      </c>
      <c r="C189" s="13" t="inlineStr">
        <is>
          <t>STR-080</t>
        </is>
      </c>
      <c r="D189" s="13" t="inlineStr">
        <is>
          <t>Typical 4th-8th slab - bottom</t>
        </is>
      </c>
      <c r="E189" s="19" t="inlineStr">
        <is>
          <t>1220</t>
        </is>
      </c>
      <c r="F189" s="19" t="n">
        <v>12</v>
      </c>
      <c r="G189" s="19" t="n">
        <v>1</v>
      </c>
      <c r="H189" s="19" t="n">
        <v>23</v>
      </c>
      <c r="I189" s="13">
        <f>G189*H189</f>
        <v>23.0</v>
      </c>
      <c r="J189" s="20">
        <f>12000/1000</f>
        <v>12.0</v>
      </c>
      <c r="K189" s="21">
        <f>I189*J189</f>
        <v>276.0</v>
      </c>
      <c r="L189" s="22">
        <f>F189^2/162</f>
        <v>0.8888888888888888</v>
      </c>
      <c r="M189" s="21">
        <f>K189*L189</f>
        <v>245.33333333333331</v>
      </c>
      <c r="N189" s="22">
        <f>M189/1000</f>
        <v>0.24533333333333332</v>
      </c>
      <c r="O189" s="13" t="inlineStr">
        <is>
          <t>BBS</t>
        </is>
      </c>
    </row>
    <row r="190">
      <c r="A190" s="13" t="n">
        <v>185</v>
      </c>
      <c r="B190" s="13" t="inlineStr">
        <is>
          <t>Floor Slabs</t>
        </is>
      </c>
      <c r="C190" s="13" t="inlineStr">
        <is>
          <t>STR-080</t>
        </is>
      </c>
      <c r="D190" s="13" t="inlineStr">
        <is>
          <t>Typical 4th-8th slab - bottom</t>
        </is>
      </c>
      <c r="E190" s="19" t="inlineStr">
        <is>
          <t>1221</t>
        </is>
      </c>
      <c r="F190" s="19" t="n">
        <v>12</v>
      </c>
      <c r="G190" s="19" t="n">
        <v>1</v>
      </c>
      <c r="H190" s="19" t="n">
        <v>212</v>
      </c>
      <c r="I190" s="13">
        <f>G190*H190</f>
        <v>212.0</v>
      </c>
      <c r="J190" s="20">
        <f>6000/1000</f>
        <v>6.0</v>
      </c>
      <c r="K190" s="21">
        <f>I190*J190</f>
        <v>1272.0</v>
      </c>
      <c r="L190" s="22">
        <f>F190^2/162</f>
        <v>0.8888888888888888</v>
      </c>
      <c r="M190" s="21">
        <f>K190*L190</f>
        <v>1130.6666666666665</v>
      </c>
      <c r="N190" s="22">
        <f>M190/1000</f>
        <v>1.1306666666666665</v>
      </c>
      <c r="O190" s="13" t="inlineStr">
        <is>
          <t>BBS</t>
        </is>
      </c>
    </row>
    <row r="191">
      <c r="A191" s="13" t="n">
        <v>186</v>
      </c>
      <c r="B191" s="13" t="inlineStr">
        <is>
          <t>Floor Slabs</t>
        </is>
      </c>
      <c r="C191" s="13" t="inlineStr">
        <is>
          <t>STR-080</t>
        </is>
      </c>
      <c r="D191" s="13" t="inlineStr">
        <is>
          <t>Typical 4th-8th slab - bottom</t>
        </is>
      </c>
      <c r="E191" s="19" t="inlineStr">
        <is>
          <t>1222</t>
        </is>
      </c>
      <c r="F191" s="19" t="n">
        <v>12</v>
      </c>
      <c r="G191" s="19" t="n">
        <v>1</v>
      </c>
      <c r="H191" s="19" t="n">
        <v>13</v>
      </c>
      <c r="I191" s="13">
        <f>G191*H191</f>
        <v>13.0</v>
      </c>
      <c r="J191" s="20">
        <f>7325/1000</f>
        <v>7.325</v>
      </c>
      <c r="K191" s="21">
        <f>I191*J191</f>
        <v>95.22500000000001</v>
      </c>
      <c r="L191" s="22">
        <f>F191^2/162</f>
        <v>0.8888888888888888</v>
      </c>
      <c r="M191" s="21">
        <f>K191*L191</f>
        <v>84.64444444444445</v>
      </c>
      <c r="N191" s="22">
        <f>M191/1000</f>
        <v>0.08464444444444444</v>
      </c>
      <c r="O191" s="13" t="inlineStr">
        <is>
          <t>BBS</t>
        </is>
      </c>
    </row>
    <row r="192">
      <c r="A192" s="13" t="n">
        <v>187</v>
      </c>
      <c r="B192" s="13" t="inlineStr">
        <is>
          <t>Floor Slabs</t>
        </is>
      </c>
      <c r="C192" s="13" t="inlineStr">
        <is>
          <t>STR-080</t>
        </is>
      </c>
      <c r="D192" s="13" t="inlineStr">
        <is>
          <t>Typical 4th-8th slab - bottom</t>
        </is>
      </c>
      <c r="E192" s="19" t="inlineStr">
        <is>
          <t>1223</t>
        </is>
      </c>
      <c r="F192" s="19" t="n">
        <v>12</v>
      </c>
      <c r="G192" s="19" t="n">
        <v>1</v>
      </c>
      <c r="H192" s="19" t="n">
        <v>149</v>
      </c>
      <c r="I192" s="13">
        <f>G192*H192</f>
        <v>149.0</v>
      </c>
      <c r="J192" s="20">
        <f>12000/1000</f>
        <v>12.0</v>
      </c>
      <c r="K192" s="21">
        <f>I192*J192</f>
        <v>1788.0</v>
      </c>
      <c r="L192" s="22">
        <f>F192^2/162</f>
        <v>0.8888888888888888</v>
      </c>
      <c r="M192" s="21">
        <f>K192*L192</f>
        <v>1589.3333333333333</v>
      </c>
      <c r="N192" s="22">
        <f>M192/1000</f>
        <v>1.5893333333333333</v>
      </c>
      <c r="O192" s="13" t="inlineStr">
        <is>
          <t>BBS</t>
        </is>
      </c>
    </row>
    <row r="193">
      <c r="A193" s="13" t="n">
        <v>188</v>
      </c>
      <c r="B193" s="13" t="inlineStr">
        <is>
          <t>Floor Slabs</t>
        </is>
      </c>
      <c r="C193" s="13" t="inlineStr">
        <is>
          <t>STR-080</t>
        </is>
      </c>
      <c r="D193" s="13" t="inlineStr">
        <is>
          <t>Typical 4th-8th slab - bottom</t>
        </is>
      </c>
      <c r="E193" s="19" t="inlineStr">
        <is>
          <t>1224</t>
        </is>
      </c>
      <c r="F193" s="19" t="n">
        <v>12</v>
      </c>
      <c r="G193" s="19" t="n">
        <v>1</v>
      </c>
      <c r="H193" s="19" t="n">
        <v>85</v>
      </c>
      <c r="I193" s="13">
        <f>G193*H193</f>
        <v>85.0</v>
      </c>
      <c r="J193" s="20">
        <f>7375/1000</f>
        <v>7.375</v>
      </c>
      <c r="K193" s="21">
        <f>I193*J193</f>
        <v>626.875</v>
      </c>
      <c r="L193" s="22">
        <f>F193^2/162</f>
        <v>0.8888888888888888</v>
      </c>
      <c r="M193" s="21">
        <f>K193*L193</f>
        <v>557.2222222222222</v>
      </c>
      <c r="N193" s="22">
        <f>M193/1000</f>
        <v>0.5572222222222222</v>
      </c>
      <c r="O193" s="13" t="inlineStr">
        <is>
          <t>BBS</t>
        </is>
      </c>
    </row>
    <row r="194">
      <c r="A194" s="13" t="n">
        <v>189</v>
      </c>
      <c r="B194" s="13" t="inlineStr">
        <is>
          <t>Floor Slabs</t>
        </is>
      </c>
      <c r="C194" s="13" t="inlineStr">
        <is>
          <t>STR-080</t>
        </is>
      </c>
      <c r="D194" s="13" t="inlineStr">
        <is>
          <t>Typical 4th-8th slab - bottom</t>
        </is>
      </c>
      <c r="E194" s="19" t="inlineStr">
        <is>
          <t>1225</t>
        </is>
      </c>
      <c r="F194" s="19" t="n">
        <v>12</v>
      </c>
      <c r="G194" s="19" t="n">
        <v>1</v>
      </c>
      <c r="H194" s="19" t="n">
        <v>13</v>
      </c>
      <c r="I194" s="13">
        <f>G194*H194</f>
        <v>13.0</v>
      </c>
      <c r="J194" s="20">
        <f>3950/1000</f>
        <v>3.95</v>
      </c>
      <c r="K194" s="21">
        <f>I194*J194</f>
        <v>51.35</v>
      </c>
      <c r="L194" s="22">
        <f>F194^2/162</f>
        <v>0.8888888888888888</v>
      </c>
      <c r="M194" s="21">
        <f>K194*L194</f>
        <v>45.644444444444446</v>
      </c>
      <c r="N194" s="22">
        <f>M194/1000</f>
        <v>0.045644444444444446</v>
      </c>
      <c r="O194" s="13" t="inlineStr">
        <is>
          <t>BBS</t>
        </is>
      </c>
    </row>
    <row r="195">
      <c r="A195" s="13" t="n">
        <v>190</v>
      </c>
      <c r="B195" s="13" t="inlineStr">
        <is>
          <t>Floor Slabs</t>
        </is>
      </c>
      <c r="C195" s="13" t="inlineStr">
        <is>
          <t>STR-080</t>
        </is>
      </c>
      <c r="D195" s="13" t="inlineStr">
        <is>
          <t>Typical 4th-8th slab - bottom</t>
        </is>
      </c>
      <c r="E195" s="19" t="inlineStr">
        <is>
          <t>1226</t>
        </is>
      </c>
      <c r="F195" s="19" t="n">
        <v>12</v>
      </c>
      <c r="G195" s="19" t="n">
        <v>1</v>
      </c>
      <c r="H195" s="19" t="n">
        <v>357</v>
      </c>
      <c r="I195" s="13">
        <f>G195*H195</f>
        <v>357.0</v>
      </c>
      <c r="J195" s="20">
        <f>6200/1000</f>
        <v>6.2</v>
      </c>
      <c r="K195" s="21">
        <f>I195*J195</f>
        <v>2213.4</v>
      </c>
      <c r="L195" s="22">
        <f>F195^2/162</f>
        <v>0.8888888888888888</v>
      </c>
      <c r="M195" s="21">
        <f>K195*L195</f>
        <v>1967.4666666666667</v>
      </c>
      <c r="N195" s="22">
        <f>M195/1000</f>
        <v>1.9674666666666667</v>
      </c>
      <c r="O195" s="13" t="inlineStr">
        <is>
          <t>BBS</t>
        </is>
      </c>
    </row>
    <row r="196">
      <c r="A196" s="13" t="n">
        <v>191</v>
      </c>
      <c r="B196" s="13" t="inlineStr">
        <is>
          <t>Floor Slabs</t>
        </is>
      </c>
      <c r="C196" s="13" t="inlineStr">
        <is>
          <t>STR-080</t>
        </is>
      </c>
      <c r="D196" s="13" t="inlineStr">
        <is>
          <t>Typical 4th-8th slab - bottom</t>
        </is>
      </c>
      <c r="E196" s="19" t="inlineStr">
        <is>
          <t>1227</t>
        </is>
      </c>
      <c r="F196" s="19" t="n">
        <v>12</v>
      </c>
      <c r="G196" s="19" t="n">
        <v>1</v>
      </c>
      <c r="H196" s="19" t="n">
        <v>212</v>
      </c>
      <c r="I196" s="13">
        <f>G196*H196</f>
        <v>212.0</v>
      </c>
      <c r="J196" s="20">
        <f>9475/1000</f>
        <v>9.475</v>
      </c>
      <c r="K196" s="21">
        <f>I196*J196</f>
        <v>2008.6999999999998</v>
      </c>
      <c r="L196" s="22">
        <f>F196^2/162</f>
        <v>0.8888888888888888</v>
      </c>
      <c r="M196" s="21">
        <f>K196*L196</f>
        <v>1785.511111111111</v>
      </c>
      <c r="N196" s="22">
        <f>M196/1000</f>
        <v>1.785511111111111</v>
      </c>
      <c r="O196" s="13" t="inlineStr">
        <is>
          <t>BBS</t>
        </is>
      </c>
    </row>
    <row r="197">
      <c r="A197" s="13" t="n">
        <v>192</v>
      </c>
      <c r="B197" s="13" t="inlineStr">
        <is>
          <t>Floor Slabs</t>
        </is>
      </c>
      <c r="C197" s="13" t="inlineStr">
        <is>
          <t>STR-080</t>
        </is>
      </c>
      <c r="D197" s="13" t="inlineStr">
        <is>
          <t>Typical 4th-8th slab - bottom</t>
        </is>
      </c>
      <c r="E197" s="19" t="inlineStr">
        <is>
          <t>1228</t>
        </is>
      </c>
      <c r="F197" s="19" t="n">
        <v>12</v>
      </c>
      <c r="G197" s="19" t="n">
        <v>1</v>
      </c>
      <c r="H197" s="19" t="n">
        <v>75</v>
      </c>
      <c r="I197" s="13">
        <f>G197*H197</f>
        <v>75.0</v>
      </c>
      <c r="J197" s="20">
        <f>7250/1000</f>
        <v>7.25</v>
      </c>
      <c r="K197" s="21">
        <f>I197*J197</f>
        <v>543.75</v>
      </c>
      <c r="L197" s="22">
        <f>F197^2/162</f>
        <v>0.8888888888888888</v>
      </c>
      <c r="M197" s="21">
        <f>K197*L197</f>
        <v>483.3333333333333</v>
      </c>
      <c r="N197" s="22">
        <f>M197/1000</f>
        <v>0.48333333333333334</v>
      </c>
      <c r="O197" s="13" t="inlineStr">
        <is>
          <t>BBS</t>
        </is>
      </c>
    </row>
    <row r="198">
      <c r="A198" s="13" t="n">
        <v>193</v>
      </c>
      <c r="B198" s="13" t="inlineStr">
        <is>
          <t>Floor Slabs</t>
        </is>
      </c>
      <c r="C198" s="13" t="inlineStr">
        <is>
          <t>STR-080</t>
        </is>
      </c>
      <c r="D198" s="13" t="inlineStr">
        <is>
          <t>Typical 4th-8th slab - bottom</t>
        </is>
      </c>
      <c r="E198" s="19" t="inlineStr">
        <is>
          <t>1229</t>
        </is>
      </c>
      <c r="F198" s="19" t="n">
        <v>12</v>
      </c>
      <c r="G198" s="19" t="n">
        <v>1</v>
      </c>
      <c r="H198" s="19" t="n">
        <v>7</v>
      </c>
      <c r="I198" s="13">
        <f>G198*H198</f>
        <v>7.0</v>
      </c>
      <c r="J198" s="20">
        <f>4800/1000</f>
        <v>4.8</v>
      </c>
      <c r="K198" s="21">
        <f>I198*J198</f>
        <v>33.6</v>
      </c>
      <c r="L198" s="22">
        <f>F198^2/162</f>
        <v>0.8888888888888888</v>
      </c>
      <c r="M198" s="21">
        <f>K198*L198</f>
        <v>29.866666666666667</v>
      </c>
      <c r="N198" s="22">
        <f>M198/1000</f>
        <v>0.029866666666666666</v>
      </c>
      <c r="O198" s="13" t="inlineStr">
        <is>
          <t>BBS</t>
        </is>
      </c>
    </row>
    <row r="199">
      <c r="A199" s="13" t="n">
        <v>194</v>
      </c>
      <c r="B199" s="13" t="inlineStr">
        <is>
          <t>Floor Slabs</t>
        </is>
      </c>
      <c r="C199" s="13" t="inlineStr">
        <is>
          <t>STR-080</t>
        </is>
      </c>
      <c r="D199" s="13" t="inlineStr">
        <is>
          <t>Typical 4th-8th slab - bottom</t>
        </is>
      </c>
      <c r="E199" s="19" t="inlineStr">
        <is>
          <t>1230</t>
        </is>
      </c>
      <c r="F199" s="19" t="n">
        <v>12</v>
      </c>
      <c r="G199" s="19" t="n">
        <v>1</v>
      </c>
      <c r="H199" s="19" t="n">
        <v>73</v>
      </c>
      <c r="I199" s="13">
        <f>G199*H199</f>
        <v>73.0</v>
      </c>
      <c r="J199" s="20">
        <f>7400/1000</f>
        <v>7.4</v>
      </c>
      <c r="K199" s="21">
        <f>I199*J199</f>
        <v>540.2</v>
      </c>
      <c r="L199" s="22">
        <f>F199^2/162</f>
        <v>0.8888888888888888</v>
      </c>
      <c r="M199" s="21">
        <f>K199*L199</f>
        <v>480.1777777777778</v>
      </c>
      <c r="N199" s="22">
        <f>M199/1000</f>
        <v>0.4801777777777778</v>
      </c>
      <c r="O199" s="13" t="inlineStr">
        <is>
          <t>BBS</t>
        </is>
      </c>
    </row>
    <row r="200">
      <c r="A200" s="13" t="n">
        <v>195</v>
      </c>
      <c r="B200" s="13" t="inlineStr">
        <is>
          <t>Floor Slabs</t>
        </is>
      </c>
      <c r="C200" s="13" t="inlineStr">
        <is>
          <t>STR-080</t>
        </is>
      </c>
      <c r="D200" s="13" t="inlineStr">
        <is>
          <t>Typical 4th-8th slab - bottom</t>
        </is>
      </c>
      <c r="E200" s="19" t="inlineStr">
        <is>
          <t>1231</t>
        </is>
      </c>
      <c r="F200" s="19" t="n">
        <v>12</v>
      </c>
      <c r="G200" s="19" t="n">
        <v>1</v>
      </c>
      <c r="H200" s="19" t="n">
        <v>13</v>
      </c>
      <c r="I200" s="13">
        <f>G200*H200</f>
        <v>13.0</v>
      </c>
      <c r="J200" s="20">
        <f>6900/1000</f>
        <v>6.9</v>
      </c>
      <c r="K200" s="21">
        <f>I200*J200</f>
        <v>89.7</v>
      </c>
      <c r="L200" s="22">
        <f>F200^2/162</f>
        <v>0.8888888888888888</v>
      </c>
      <c r="M200" s="21">
        <f>K200*L200</f>
        <v>79.73333333333333</v>
      </c>
      <c r="N200" s="22">
        <f>M200/1000</f>
        <v>0.07973333333333334</v>
      </c>
      <c r="O200" s="13" t="inlineStr">
        <is>
          <t>BBS</t>
        </is>
      </c>
    </row>
    <row r="201">
      <c r="A201" s="13" t="n">
        <v>196</v>
      </c>
      <c r="B201" s="13" t="inlineStr">
        <is>
          <t>Floor Slabs</t>
        </is>
      </c>
      <c r="C201" s="13" t="inlineStr">
        <is>
          <t>STR-080</t>
        </is>
      </c>
      <c r="D201" s="13" t="inlineStr">
        <is>
          <t>Typical 4th-8th slab - bottom</t>
        </is>
      </c>
      <c r="E201" s="19" t="inlineStr">
        <is>
          <t>1232</t>
        </is>
      </c>
      <c r="F201" s="19" t="n">
        <v>12</v>
      </c>
      <c r="G201" s="19" t="n">
        <v>1</v>
      </c>
      <c r="H201" s="19" t="n">
        <v>12</v>
      </c>
      <c r="I201" s="13">
        <f>G201*H201</f>
        <v>12.0</v>
      </c>
      <c r="J201" s="20">
        <f>5900/1000</f>
        <v>5.9</v>
      </c>
      <c r="K201" s="21">
        <f>I201*J201</f>
        <v>70.80000000000001</v>
      </c>
      <c r="L201" s="22">
        <f>F201^2/162</f>
        <v>0.8888888888888888</v>
      </c>
      <c r="M201" s="21">
        <f>K201*L201</f>
        <v>62.93333333333334</v>
      </c>
      <c r="N201" s="22">
        <f>M201/1000</f>
        <v>0.06293333333333334</v>
      </c>
      <c r="O201" s="13" t="inlineStr">
        <is>
          <t>BBS</t>
        </is>
      </c>
    </row>
    <row r="202">
      <c r="A202" s="13" t="n">
        <v>197</v>
      </c>
      <c r="B202" s="13" t="inlineStr">
        <is>
          <t>Floor Slabs</t>
        </is>
      </c>
      <c r="C202" s="13" t="inlineStr">
        <is>
          <t>STR-080</t>
        </is>
      </c>
      <c r="D202" s="13" t="inlineStr">
        <is>
          <t>Typical 4th-8th slab - bottom</t>
        </is>
      </c>
      <c r="E202" s="19" t="inlineStr">
        <is>
          <t>1233</t>
        </is>
      </c>
      <c r="F202" s="19" t="n">
        <v>12</v>
      </c>
      <c r="G202" s="19" t="n">
        <v>1</v>
      </c>
      <c r="H202" s="19" t="n">
        <v>13</v>
      </c>
      <c r="I202" s="13">
        <f>G202*H202</f>
        <v>13.0</v>
      </c>
      <c r="J202" s="20">
        <f>4200/1000</f>
        <v>4.2</v>
      </c>
      <c r="K202" s="21">
        <f>I202*J202</f>
        <v>54.6</v>
      </c>
      <c r="L202" s="22">
        <f>F202^2/162</f>
        <v>0.8888888888888888</v>
      </c>
      <c r="M202" s="21">
        <f>K202*L202</f>
        <v>48.53333333333333</v>
      </c>
      <c r="N202" s="22">
        <f>M202/1000</f>
        <v>0.04853333333333333</v>
      </c>
      <c r="O202" s="13" t="inlineStr">
        <is>
          <t>BBS</t>
        </is>
      </c>
    </row>
    <row r="203">
      <c r="A203" s="13" t="n">
        <v>198</v>
      </c>
      <c r="B203" s="13" t="inlineStr">
        <is>
          <t>Floor Slabs</t>
        </is>
      </c>
      <c r="C203" s="13" t="inlineStr">
        <is>
          <t>STR-080</t>
        </is>
      </c>
      <c r="D203" s="13" t="inlineStr">
        <is>
          <t>Typical 4th-8th slab - bottom</t>
        </is>
      </c>
      <c r="E203" s="19" t="inlineStr">
        <is>
          <t>1234</t>
        </is>
      </c>
      <c r="F203" s="19" t="n">
        <v>12</v>
      </c>
      <c r="G203" s="19" t="n">
        <v>1</v>
      </c>
      <c r="H203" s="19" t="n">
        <v>73</v>
      </c>
      <c r="I203" s="13">
        <f>G203*H203</f>
        <v>73.0</v>
      </c>
      <c r="J203" s="20">
        <f>6000/1000</f>
        <v>6.0</v>
      </c>
      <c r="K203" s="21">
        <f>I203*J203</f>
        <v>438.0</v>
      </c>
      <c r="L203" s="22">
        <f>F203^2/162</f>
        <v>0.8888888888888888</v>
      </c>
      <c r="M203" s="21">
        <f>K203*L203</f>
        <v>389.3333333333333</v>
      </c>
      <c r="N203" s="22">
        <f>M203/1000</f>
        <v>0.3893333333333333</v>
      </c>
      <c r="O203" s="13" t="inlineStr">
        <is>
          <t>BBS</t>
        </is>
      </c>
    </row>
    <row r="204">
      <c r="A204" s="13" t="n">
        <v>199</v>
      </c>
      <c r="B204" s="13" t="inlineStr">
        <is>
          <t>Floor Slabs</t>
        </is>
      </c>
      <c r="C204" s="13" t="inlineStr">
        <is>
          <t>STR-080</t>
        </is>
      </c>
      <c r="D204" s="13" t="inlineStr">
        <is>
          <t>Typical 4th-8th slab - bottom</t>
        </is>
      </c>
      <c r="E204" s="19" t="inlineStr">
        <is>
          <t>1235</t>
        </is>
      </c>
      <c r="F204" s="19" t="n">
        <v>12</v>
      </c>
      <c r="G204" s="19" t="n">
        <v>1</v>
      </c>
      <c r="H204" s="19" t="n">
        <v>43</v>
      </c>
      <c r="I204" s="13">
        <f>G204*H204</f>
        <v>43.0</v>
      </c>
      <c r="J204" s="20">
        <f>11750/1000</f>
        <v>11.75</v>
      </c>
      <c r="K204" s="21">
        <f>I204*J204</f>
        <v>505.25</v>
      </c>
      <c r="L204" s="22">
        <f>F204^2/162</f>
        <v>0.8888888888888888</v>
      </c>
      <c r="M204" s="21">
        <f>K204*L204</f>
        <v>449.1111111111111</v>
      </c>
      <c r="N204" s="22">
        <f>M204/1000</f>
        <v>0.44911111111111107</v>
      </c>
      <c r="O204" s="13" t="inlineStr">
        <is>
          <t>BBS</t>
        </is>
      </c>
    </row>
    <row r="205">
      <c r="A205" s="13" t="n">
        <v>200</v>
      </c>
      <c r="B205" s="13" t="inlineStr">
        <is>
          <t>Floor Slabs</t>
        </is>
      </c>
      <c r="C205" s="13" t="inlineStr">
        <is>
          <t>STR-080</t>
        </is>
      </c>
      <c r="D205" s="13" t="inlineStr">
        <is>
          <t>Typical 4th-8th slab - bottom</t>
        </is>
      </c>
      <c r="E205" s="19" t="inlineStr">
        <is>
          <t>1236</t>
        </is>
      </c>
      <c r="F205" s="19" t="n">
        <v>12</v>
      </c>
      <c r="G205" s="19" t="n">
        <v>1</v>
      </c>
      <c r="H205" s="19" t="n">
        <v>12</v>
      </c>
      <c r="I205" s="13">
        <f>G205*H205</f>
        <v>12.0</v>
      </c>
      <c r="J205" s="20">
        <f>8350/1000</f>
        <v>8.35</v>
      </c>
      <c r="K205" s="21">
        <f>I205*J205</f>
        <v>100.19999999999999</v>
      </c>
      <c r="L205" s="22">
        <f>F205^2/162</f>
        <v>0.8888888888888888</v>
      </c>
      <c r="M205" s="21">
        <f>K205*L205</f>
        <v>89.06666666666665</v>
      </c>
      <c r="N205" s="22">
        <f>M205/1000</f>
        <v>0.08906666666666666</v>
      </c>
      <c r="O205" s="13" t="inlineStr">
        <is>
          <t>BBS</t>
        </is>
      </c>
    </row>
    <row r="206">
      <c r="A206" s="13" t="n">
        <v>201</v>
      </c>
      <c r="B206" s="13" t="inlineStr">
        <is>
          <t>Floor Slabs</t>
        </is>
      </c>
      <c r="C206" s="13" t="inlineStr">
        <is>
          <t>STR-080</t>
        </is>
      </c>
      <c r="D206" s="13" t="inlineStr">
        <is>
          <t>Typical 4th-8th slab - bottom</t>
        </is>
      </c>
      <c r="E206" s="19" t="inlineStr">
        <is>
          <t>1237</t>
        </is>
      </c>
      <c r="F206" s="19" t="n">
        <v>12</v>
      </c>
      <c r="G206" s="19" t="n">
        <v>1</v>
      </c>
      <c r="H206" s="19" t="n">
        <v>75</v>
      </c>
      <c r="I206" s="13">
        <f>G206*H206</f>
        <v>75.0</v>
      </c>
      <c r="J206" s="20">
        <f>11250/1000</f>
        <v>11.25</v>
      </c>
      <c r="K206" s="21">
        <f>I206*J206</f>
        <v>843.75</v>
      </c>
      <c r="L206" s="22">
        <f>F206^2/162</f>
        <v>0.8888888888888888</v>
      </c>
      <c r="M206" s="21">
        <f>K206*L206</f>
        <v>750.0</v>
      </c>
      <c r="N206" s="22">
        <f>M206/1000</f>
        <v>0.75</v>
      </c>
      <c r="O206" s="13" t="inlineStr">
        <is>
          <t>BBS</t>
        </is>
      </c>
    </row>
    <row r="207">
      <c r="A207" s="13" t="n">
        <v>202</v>
      </c>
      <c r="B207" s="13" t="inlineStr">
        <is>
          <t>Floor Slabs</t>
        </is>
      </c>
      <c r="C207" s="13" t="inlineStr">
        <is>
          <t>STR-081</t>
        </is>
      </c>
      <c r="D207" s="13" t="inlineStr">
        <is>
          <t>Typical 4th-8th slab - top</t>
        </is>
      </c>
      <c r="E207" s="19" t="inlineStr">
        <is>
          <t>1238</t>
        </is>
      </c>
      <c r="F207" s="19" t="n">
        <v>12</v>
      </c>
      <c r="G207" s="19" t="n">
        <v>1</v>
      </c>
      <c r="H207" s="19" t="n">
        <v>16</v>
      </c>
      <c r="I207" s="13">
        <f>G207*H207</f>
        <v>16.0</v>
      </c>
      <c r="J207" s="20">
        <f>1925/1000</f>
        <v>1.925</v>
      </c>
      <c r="K207" s="21">
        <f>I207*J207</f>
        <v>30.8</v>
      </c>
      <c r="L207" s="22">
        <f>F207^2/162</f>
        <v>0.8888888888888888</v>
      </c>
      <c r="M207" s="21">
        <f>K207*L207</f>
        <v>27.377777777777776</v>
      </c>
      <c r="N207" s="22">
        <f>M207/1000</f>
        <v>0.027377777777777775</v>
      </c>
      <c r="O207" s="13" t="inlineStr">
        <is>
          <t>BBS</t>
        </is>
      </c>
    </row>
    <row r="208">
      <c r="A208" s="13" t="n">
        <v>203</v>
      </c>
      <c r="B208" s="13" t="inlineStr">
        <is>
          <t>Floor Slabs</t>
        </is>
      </c>
      <c r="C208" s="13" t="inlineStr">
        <is>
          <t>STR-081</t>
        </is>
      </c>
      <c r="D208" s="13" t="inlineStr">
        <is>
          <t>Typical 4th-8th slab - top</t>
        </is>
      </c>
      <c r="E208" s="19" t="inlineStr">
        <is>
          <t>1239</t>
        </is>
      </c>
      <c r="F208" s="19" t="n">
        <v>12</v>
      </c>
      <c r="G208" s="19" t="n">
        <v>1</v>
      </c>
      <c r="H208" s="19" t="n">
        <v>230</v>
      </c>
      <c r="I208" s="13">
        <f>G208*H208</f>
        <v>230.0</v>
      </c>
      <c r="J208" s="20">
        <f>11650/1000</f>
        <v>11.65</v>
      </c>
      <c r="K208" s="21">
        <f>I208*J208</f>
        <v>2679.5</v>
      </c>
      <c r="L208" s="22">
        <f>F208^2/162</f>
        <v>0.8888888888888888</v>
      </c>
      <c r="M208" s="21">
        <f>K208*L208</f>
        <v>2381.777777777778</v>
      </c>
      <c r="N208" s="22">
        <f>M208/1000</f>
        <v>2.3817777777777778</v>
      </c>
      <c r="O208" s="13" t="inlineStr">
        <is>
          <t>BBS</t>
        </is>
      </c>
    </row>
    <row r="209">
      <c r="A209" s="13" t="n">
        <v>204</v>
      </c>
      <c r="B209" s="13" t="inlineStr">
        <is>
          <t>Floor Slabs</t>
        </is>
      </c>
      <c r="C209" s="13" t="inlineStr">
        <is>
          <t>STR-081</t>
        </is>
      </c>
      <c r="D209" s="13" t="inlineStr">
        <is>
          <t>Typical 4th-8th slab - top</t>
        </is>
      </c>
      <c r="E209" s="19" t="inlineStr">
        <is>
          <t>1240</t>
        </is>
      </c>
      <c r="F209" s="19" t="n">
        <v>12</v>
      </c>
      <c r="G209" s="19" t="n">
        <v>1</v>
      </c>
      <c r="H209" s="19" t="n">
        <v>74</v>
      </c>
      <c r="I209" s="13">
        <f>G209*H209</f>
        <v>74.0</v>
      </c>
      <c r="J209" s="20">
        <f>5850/1000</f>
        <v>5.85</v>
      </c>
      <c r="K209" s="21">
        <f>I209*J209</f>
        <v>432.9</v>
      </c>
      <c r="L209" s="22">
        <f>F209^2/162</f>
        <v>0.8888888888888888</v>
      </c>
      <c r="M209" s="21">
        <f>K209*L209</f>
        <v>384.79999999999995</v>
      </c>
      <c r="N209" s="22">
        <f>M209/1000</f>
        <v>0.3848</v>
      </c>
      <c r="O209" s="13" t="inlineStr">
        <is>
          <t>BBS</t>
        </is>
      </c>
    </row>
    <row r="210">
      <c r="A210" s="13" t="n">
        <v>205</v>
      </c>
      <c r="B210" s="13" t="inlineStr">
        <is>
          <t>Floor Slabs</t>
        </is>
      </c>
      <c r="C210" s="13" t="inlineStr">
        <is>
          <t>STR-081</t>
        </is>
      </c>
      <c r="D210" s="13" t="inlineStr">
        <is>
          <t>Typical 4th-8th slab - top</t>
        </is>
      </c>
      <c r="E210" s="19" t="inlineStr">
        <is>
          <t>1241</t>
        </is>
      </c>
      <c r="F210" s="19" t="n">
        <v>12</v>
      </c>
      <c r="G210" s="19" t="n">
        <v>1</v>
      </c>
      <c r="H210" s="19" t="n">
        <v>21</v>
      </c>
      <c r="I210" s="13">
        <f>G210*H210</f>
        <v>21.0</v>
      </c>
      <c r="J210" s="20">
        <f>8050/1000</f>
        <v>8.05</v>
      </c>
      <c r="K210" s="21">
        <f>I210*J210</f>
        <v>169.05</v>
      </c>
      <c r="L210" s="22">
        <f>F210^2/162</f>
        <v>0.8888888888888888</v>
      </c>
      <c r="M210" s="21">
        <f>K210*L210</f>
        <v>150.26666666666668</v>
      </c>
      <c r="N210" s="22">
        <f>M210/1000</f>
        <v>0.1502666666666667</v>
      </c>
      <c r="O210" s="13" t="inlineStr">
        <is>
          <t>BBS</t>
        </is>
      </c>
    </row>
    <row r="211">
      <c r="A211" s="13" t="n">
        <v>206</v>
      </c>
      <c r="B211" s="13" t="inlineStr">
        <is>
          <t>Floor Slabs</t>
        </is>
      </c>
      <c r="C211" s="13" t="inlineStr">
        <is>
          <t>STR-081</t>
        </is>
      </c>
      <c r="D211" s="13" t="inlineStr">
        <is>
          <t>Typical 4th-8th slab - top</t>
        </is>
      </c>
      <c r="E211" s="19" t="inlineStr">
        <is>
          <t>1242</t>
        </is>
      </c>
      <c r="F211" s="19" t="n">
        <v>12</v>
      </c>
      <c r="G211" s="19" t="n">
        <v>1</v>
      </c>
      <c r="H211" s="19" t="n">
        <v>263</v>
      </c>
      <c r="I211" s="13">
        <f>G211*H211</f>
        <v>263.0</v>
      </c>
      <c r="J211" s="20">
        <f>8000/1000</f>
        <v>8.0</v>
      </c>
      <c r="K211" s="21">
        <f>I211*J211</f>
        <v>2104.0</v>
      </c>
      <c r="L211" s="22">
        <f>F211^2/162</f>
        <v>0.8888888888888888</v>
      </c>
      <c r="M211" s="21">
        <f>K211*L211</f>
        <v>1870.2222222222222</v>
      </c>
      <c r="N211" s="22">
        <f>M211/1000</f>
        <v>1.8702222222222222</v>
      </c>
      <c r="O211" s="13" t="inlineStr">
        <is>
          <t>BBS</t>
        </is>
      </c>
    </row>
    <row r="212">
      <c r="A212" s="13" t="n">
        <v>207</v>
      </c>
      <c r="B212" s="13" t="inlineStr">
        <is>
          <t>Floor Slabs</t>
        </is>
      </c>
      <c r="C212" s="13" t="inlineStr">
        <is>
          <t>STR-081</t>
        </is>
      </c>
      <c r="D212" s="13" t="inlineStr">
        <is>
          <t>Typical 4th-8th slab - top</t>
        </is>
      </c>
      <c r="E212" s="19" t="inlineStr">
        <is>
          <t>1243</t>
        </is>
      </c>
      <c r="F212" s="19" t="n">
        <v>12</v>
      </c>
      <c r="G212" s="19" t="n">
        <v>1</v>
      </c>
      <c r="H212" s="19" t="n">
        <v>226</v>
      </c>
      <c r="I212" s="13">
        <f>G212*H212</f>
        <v>226.0</v>
      </c>
      <c r="J212" s="20">
        <f>8800/1000</f>
        <v>8.8</v>
      </c>
      <c r="K212" s="21">
        <f>I212*J212</f>
        <v>1988.8000000000002</v>
      </c>
      <c r="L212" s="22">
        <f>F212^2/162</f>
        <v>0.8888888888888888</v>
      </c>
      <c r="M212" s="21">
        <f>K212*L212</f>
        <v>1767.8222222222223</v>
      </c>
      <c r="N212" s="22">
        <f>M212/1000</f>
        <v>1.7678222222222224</v>
      </c>
      <c r="O212" s="13" t="inlineStr">
        <is>
          <t>BBS</t>
        </is>
      </c>
    </row>
    <row r="213">
      <c r="A213" s="13" t="n">
        <v>208</v>
      </c>
      <c r="B213" s="13" t="inlineStr">
        <is>
          <t>Floor Slabs</t>
        </is>
      </c>
      <c r="C213" s="13" t="inlineStr">
        <is>
          <t>STR-081</t>
        </is>
      </c>
      <c r="D213" s="13" t="inlineStr">
        <is>
          <t>Typical 4th-8th slab - top</t>
        </is>
      </c>
      <c r="E213" s="19" t="inlineStr">
        <is>
          <t>1244</t>
        </is>
      </c>
      <c r="F213" s="19" t="n">
        <v>12</v>
      </c>
      <c r="G213" s="19" t="n">
        <v>1</v>
      </c>
      <c r="H213" s="19" t="n">
        <v>21</v>
      </c>
      <c r="I213" s="13">
        <f>G213*H213</f>
        <v>21.0</v>
      </c>
      <c r="J213" s="20">
        <f>7350/1000</f>
        <v>7.35</v>
      </c>
      <c r="K213" s="21">
        <f>I213*J213</f>
        <v>154.35</v>
      </c>
      <c r="L213" s="22">
        <f>F213^2/162</f>
        <v>0.8888888888888888</v>
      </c>
      <c r="M213" s="21">
        <f>K213*L213</f>
        <v>137.2</v>
      </c>
      <c r="N213" s="22">
        <f>M213/1000</f>
        <v>0.1372</v>
      </c>
      <c r="O213" s="13" t="inlineStr">
        <is>
          <t>BBS</t>
        </is>
      </c>
    </row>
    <row r="214">
      <c r="A214" s="13" t="n">
        <v>209</v>
      </c>
      <c r="B214" s="13" t="inlineStr">
        <is>
          <t>Floor Slabs</t>
        </is>
      </c>
      <c r="C214" s="13" t="inlineStr">
        <is>
          <t>STR-081</t>
        </is>
      </c>
      <c r="D214" s="13" t="inlineStr">
        <is>
          <t>Typical 4th-8th slab - top</t>
        </is>
      </c>
      <c r="E214" s="19" t="inlineStr">
        <is>
          <t>1245</t>
        </is>
      </c>
      <c r="F214" s="19" t="n">
        <v>12</v>
      </c>
      <c r="G214" s="19" t="n">
        <v>1</v>
      </c>
      <c r="H214" s="19" t="n">
        <v>21</v>
      </c>
      <c r="I214" s="13">
        <f>G214*H214</f>
        <v>21.0</v>
      </c>
      <c r="J214" s="20">
        <f>8650/1000</f>
        <v>8.65</v>
      </c>
      <c r="K214" s="21">
        <f>I214*J214</f>
        <v>181.65</v>
      </c>
      <c r="L214" s="22">
        <f>F214^2/162</f>
        <v>0.8888888888888888</v>
      </c>
      <c r="M214" s="21">
        <f>K214*L214</f>
        <v>161.46666666666667</v>
      </c>
      <c r="N214" s="22">
        <f>M214/1000</f>
        <v>0.16146666666666668</v>
      </c>
      <c r="O214" s="13" t="inlineStr">
        <is>
          <t>BBS</t>
        </is>
      </c>
    </row>
    <row r="215">
      <c r="A215" s="13" t="n">
        <v>210</v>
      </c>
      <c r="B215" s="13" t="inlineStr">
        <is>
          <t>Floor Slabs</t>
        </is>
      </c>
      <c r="C215" s="13" t="inlineStr">
        <is>
          <t>STR-081</t>
        </is>
      </c>
      <c r="D215" s="13" t="inlineStr">
        <is>
          <t>Typical 4th-8th slab - top</t>
        </is>
      </c>
      <c r="E215" s="19" t="inlineStr">
        <is>
          <t>1246</t>
        </is>
      </c>
      <c r="F215" s="19" t="n">
        <v>12</v>
      </c>
      <c r="G215" s="19" t="n">
        <v>1</v>
      </c>
      <c r="H215" s="19" t="n">
        <v>27</v>
      </c>
      <c r="I215" s="13">
        <f>G215*H215</f>
        <v>27.0</v>
      </c>
      <c r="J215" s="20">
        <f>4575/1000</f>
        <v>4.575</v>
      </c>
      <c r="K215" s="21">
        <f>I215*J215</f>
        <v>123.525</v>
      </c>
      <c r="L215" s="22">
        <f>F215^2/162</f>
        <v>0.8888888888888888</v>
      </c>
      <c r="M215" s="21">
        <f>K215*L215</f>
        <v>109.8</v>
      </c>
      <c r="N215" s="22">
        <f>M215/1000</f>
        <v>0.1098</v>
      </c>
      <c r="O215" s="13" t="inlineStr">
        <is>
          <t>BBS</t>
        </is>
      </c>
    </row>
    <row r="216">
      <c r="A216" s="13" t="n">
        <v>211</v>
      </c>
      <c r="B216" s="13" t="inlineStr">
        <is>
          <t>Floor Slabs</t>
        </is>
      </c>
      <c r="C216" s="13" t="inlineStr">
        <is>
          <t>STR-081</t>
        </is>
      </c>
      <c r="D216" s="13" t="inlineStr">
        <is>
          <t>Typical 4th-8th slab - top</t>
        </is>
      </c>
      <c r="E216" s="19" t="inlineStr">
        <is>
          <t>1247</t>
        </is>
      </c>
      <c r="F216" s="19" t="n">
        <v>12</v>
      </c>
      <c r="G216" s="19" t="n">
        <v>1</v>
      </c>
      <c r="H216" s="19" t="n">
        <v>65</v>
      </c>
      <c r="I216" s="13">
        <f>G216*H216</f>
        <v>65.0</v>
      </c>
      <c r="J216" s="20">
        <f>5325/1000</f>
        <v>5.325</v>
      </c>
      <c r="K216" s="21">
        <f>I216*J216</f>
        <v>346.125</v>
      </c>
      <c r="L216" s="22">
        <f>F216^2/162</f>
        <v>0.8888888888888888</v>
      </c>
      <c r="M216" s="21">
        <f>K216*L216</f>
        <v>307.66666666666663</v>
      </c>
      <c r="N216" s="22">
        <f>M216/1000</f>
        <v>0.30766666666666664</v>
      </c>
      <c r="O216" s="13" t="inlineStr">
        <is>
          <t>BBS</t>
        </is>
      </c>
    </row>
    <row r="217">
      <c r="A217" s="13" t="n">
        <v>212</v>
      </c>
      <c r="B217" s="13" t="inlineStr">
        <is>
          <t>Floor Slabs</t>
        </is>
      </c>
      <c r="C217" s="13" t="inlineStr">
        <is>
          <t>STR-081</t>
        </is>
      </c>
      <c r="D217" s="13" t="inlineStr">
        <is>
          <t>Typical 4th-8th slab - top</t>
        </is>
      </c>
      <c r="E217" s="19" t="inlineStr">
        <is>
          <t>1248</t>
        </is>
      </c>
      <c r="F217" s="19" t="n">
        <v>12</v>
      </c>
      <c r="G217" s="19" t="n">
        <v>1</v>
      </c>
      <c r="H217" s="19" t="n">
        <v>15</v>
      </c>
      <c r="I217" s="13">
        <f>G217*H217</f>
        <v>15.0</v>
      </c>
      <c r="J217" s="20">
        <f>4700/1000</f>
        <v>4.7</v>
      </c>
      <c r="K217" s="21">
        <f>I217*J217</f>
        <v>70.5</v>
      </c>
      <c r="L217" s="22">
        <f>F217^2/162</f>
        <v>0.8888888888888888</v>
      </c>
      <c r="M217" s="21">
        <f>K217*L217</f>
        <v>62.666666666666664</v>
      </c>
      <c r="N217" s="22">
        <f>M217/1000</f>
        <v>0.06266666666666666</v>
      </c>
      <c r="O217" s="13" t="inlineStr">
        <is>
          <t>BBS</t>
        </is>
      </c>
    </row>
    <row r="218">
      <c r="A218" s="13" t="n">
        <v>213</v>
      </c>
      <c r="B218" s="13" t="inlineStr">
        <is>
          <t>Floor Slabs</t>
        </is>
      </c>
      <c r="C218" s="13" t="inlineStr">
        <is>
          <t>STR-081</t>
        </is>
      </c>
      <c r="D218" s="13" t="inlineStr">
        <is>
          <t>Typical 4th-8th slab - top</t>
        </is>
      </c>
      <c r="E218" s="19" t="inlineStr">
        <is>
          <t>1249</t>
        </is>
      </c>
      <c r="F218" s="19" t="n">
        <v>12</v>
      </c>
      <c r="G218" s="19" t="n">
        <v>1</v>
      </c>
      <c r="H218" s="19" t="n">
        <v>23</v>
      </c>
      <c r="I218" s="13">
        <f>G218*H218</f>
        <v>23.0</v>
      </c>
      <c r="J218" s="20">
        <f>12000/1000</f>
        <v>12.0</v>
      </c>
      <c r="K218" s="21">
        <f>I218*J218</f>
        <v>276.0</v>
      </c>
      <c r="L218" s="22">
        <f>F218^2/162</f>
        <v>0.8888888888888888</v>
      </c>
      <c r="M218" s="21">
        <f>K218*L218</f>
        <v>245.33333333333331</v>
      </c>
      <c r="N218" s="22">
        <f>M218/1000</f>
        <v>0.24533333333333332</v>
      </c>
      <c r="O218" s="13" t="inlineStr">
        <is>
          <t>BBS</t>
        </is>
      </c>
    </row>
    <row r="219">
      <c r="A219" s="13" t="n">
        <v>214</v>
      </c>
      <c r="B219" s="13" t="inlineStr">
        <is>
          <t>Floor Slabs</t>
        </is>
      </c>
      <c r="C219" s="13" t="inlineStr">
        <is>
          <t>STR-081</t>
        </is>
      </c>
      <c r="D219" s="13" t="inlineStr">
        <is>
          <t>Typical 4th-8th slab - top</t>
        </is>
      </c>
      <c r="E219" s="19" t="inlineStr">
        <is>
          <t>1250</t>
        </is>
      </c>
      <c r="F219" s="19" t="n">
        <v>12</v>
      </c>
      <c r="G219" s="19" t="n">
        <v>1</v>
      </c>
      <c r="H219" s="19" t="n">
        <v>9</v>
      </c>
      <c r="I219" s="13">
        <f>G219*H219</f>
        <v>9.0</v>
      </c>
      <c r="J219" s="20">
        <f>10000/1000</f>
        <v>10.0</v>
      </c>
      <c r="K219" s="21">
        <f>I219*J219</f>
        <v>90.0</v>
      </c>
      <c r="L219" s="22">
        <f>F219^2/162</f>
        <v>0.8888888888888888</v>
      </c>
      <c r="M219" s="21">
        <f>K219*L219</f>
        <v>80.0</v>
      </c>
      <c r="N219" s="22">
        <f>M219/1000</f>
        <v>0.08</v>
      </c>
      <c r="O219" s="13" t="inlineStr">
        <is>
          <t>BBS</t>
        </is>
      </c>
    </row>
    <row r="220">
      <c r="A220" s="13" t="n">
        <v>215</v>
      </c>
      <c r="B220" s="13" t="inlineStr">
        <is>
          <t>Floor Slabs</t>
        </is>
      </c>
      <c r="C220" s="13" t="inlineStr">
        <is>
          <t>STR-081</t>
        </is>
      </c>
      <c r="D220" s="13" t="inlineStr">
        <is>
          <t>Typical 4th-8th slab - top</t>
        </is>
      </c>
      <c r="E220" s="19" t="inlineStr">
        <is>
          <t>1251</t>
        </is>
      </c>
      <c r="F220" s="19" t="n">
        <v>12</v>
      </c>
      <c r="G220" s="19" t="n">
        <v>1</v>
      </c>
      <c r="H220" s="19" t="n">
        <v>234</v>
      </c>
      <c r="I220" s="13">
        <f>G220*H220</f>
        <v>234.0</v>
      </c>
      <c r="J220" s="20">
        <f>8650/1000</f>
        <v>8.65</v>
      </c>
      <c r="K220" s="21">
        <f>I220*J220</f>
        <v>2024.1000000000001</v>
      </c>
      <c r="L220" s="22">
        <f>F220^2/162</f>
        <v>0.8888888888888888</v>
      </c>
      <c r="M220" s="21">
        <f>K220*L220</f>
        <v>1799.2</v>
      </c>
      <c r="N220" s="22">
        <f>M220/1000</f>
        <v>1.7992000000000001</v>
      </c>
      <c r="O220" s="13" t="inlineStr">
        <is>
          <t>BBS</t>
        </is>
      </c>
    </row>
    <row r="221">
      <c r="A221" s="13" t="n">
        <v>216</v>
      </c>
      <c r="B221" s="13" t="inlineStr">
        <is>
          <t>Floor Slabs</t>
        </is>
      </c>
      <c r="C221" s="13" t="inlineStr">
        <is>
          <t>STR-081</t>
        </is>
      </c>
      <c r="D221" s="13" t="inlineStr">
        <is>
          <t>Typical 4th-8th slab - top</t>
        </is>
      </c>
      <c r="E221" s="19" t="inlineStr">
        <is>
          <t>1252</t>
        </is>
      </c>
      <c r="F221" s="19" t="n">
        <v>12</v>
      </c>
      <c r="G221" s="19" t="n">
        <v>1</v>
      </c>
      <c r="H221" s="19" t="n">
        <v>24</v>
      </c>
      <c r="I221" s="13">
        <f>G221*H221</f>
        <v>24.0</v>
      </c>
      <c r="J221" s="20">
        <f>4600/1000</f>
        <v>4.6</v>
      </c>
      <c r="K221" s="21">
        <f>I221*J221</f>
        <v>110.39999999999999</v>
      </c>
      <c r="L221" s="22">
        <f>F221^2/162</f>
        <v>0.8888888888888888</v>
      </c>
      <c r="M221" s="21">
        <f>K221*L221</f>
        <v>98.13333333333333</v>
      </c>
      <c r="N221" s="22">
        <f>M221/1000</f>
        <v>0.09813333333333332</v>
      </c>
      <c r="O221" s="13" t="inlineStr">
        <is>
          <t>BBS</t>
        </is>
      </c>
    </row>
    <row r="222">
      <c r="A222" s="13" t="n">
        <v>217</v>
      </c>
      <c r="B222" s="13" t="inlineStr">
        <is>
          <t>Floor Slabs</t>
        </is>
      </c>
      <c r="C222" s="13" t="inlineStr">
        <is>
          <t>STR-081</t>
        </is>
      </c>
      <c r="D222" s="13" t="inlineStr">
        <is>
          <t>Typical 4th-8th slab - top</t>
        </is>
      </c>
      <c r="E222" s="19" t="inlineStr">
        <is>
          <t>1253</t>
        </is>
      </c>
      <c r="F222" s="19" t="n">
        <v>12</v>
      </c>
      <c r="G222" s="19" t="n">
        <v>1</v>
      </c>
      <c r="H222" s="19" t="n">
        <v>152</v>
      </c>
      <c r="I222" s="13">
        <f>G222*H222</f>
        <v>152.0</v>
      </c>
      <c r="J222" s="20">
        <f>5900/1000</f>
        <v>5.9</v>
      </c>
      <c r="K222" s="21">
        <f>I222*J222</f>
        <v>896.8000000000001</v>
      </c>
      <c r="L222" s="22">
        <f>F222^2/162</f>
        <v>0.8888888888888888</v>
      </c>
      <c r="M222" s="21">
        <f>K222*L222</f>
        <v>797.1555555555556</v>
      </c>
      <c r="N222" s="22">
        <f>M222/1000</f>
        <v>0.7971555555555556</v>
      </c>
      <c r="O222" s="13" t="inlineStr">
        <is>
          <t>BBS</t>
        </is>
      </c>
    </row>
    <row r="223">
      <c r="A223" s="13" t="n">
        <v>218</v>
      </c>
      <c r="B223" s="13" t="inlineStr">
        <is>
          <t>Floor Slabs</t>
        </is>
      </c>
      <c r="C223" s="13" t="inlineStr">
        <is>
          <t>STR-081</t>
        </is>
      </c>
      <c r="D223" s="13" t="inlineStr">
        <is>
          <t>Typical 4th-8th slab - top</t>
        </is>
      </c>
      <c r="E223" s="19" t="inlineStr">
        <is>
          <t>1254</t>
        </is>
      </c>
      <c r="F223" s="19" t="n">
        <v>12</v>
      </c>
      <c r="G223" s="19" t="n">
        <v>1</v>
      </c>
      <c r="H223" s="19" t="n">
        <v>119</v>
      </c>
      <c r="I223" s="13">
        <f>G223*H223</f>
        <v>119.0</v>
      </c>
      <c r="J223" s="20">
        <f>9525/1000</f>
        <v>9.525</v>
      </c>
      <c r="K223" s="21">
        <f>I223*J223</f>
        <v>1133.4750000000001</v>
      </c>
      <c r="L223" s="22">
        <f>F223^2/162</f>
        <v>0.8888888888888888</v>
      </c>
      <c r="M223" s="21">
        <f>K223*L223</f>
        <v>1007.5333333333334</v>
      </c>
      <c r="N223" s="22">
        <f>M223/1000</f>
        <v>1.0075333333333334</v>
      </c>
      <c r="O223" s="13" t="inlineStr">
        <is>
          <t>BBS</t>
        </is>
      </c>
    </row>
    <row r="224">
      <c r="A224" s="13" t="n">
        <v>219</v>
      </c>
      <c r="B224" s="13" t="inlineStr">
        <is>
          <t>Floor Slabs</t>
        </is>
      </c>
      <c r="C224" s="13" t="inlineStr">
        <is>
          <t>STR-081</t>
        </is>
      </c>
      <c r="D224" s="13" t="inlineStr">
        <is>
          <t>Typical 4th-8th slab - top</t>
        </is>
      </c>
      <c r="E224" s="19" t="inlineStr">
        <is>
          <t>1255</t>
        </is>
      </c>
      <c r="F224" s="19" t="n">
        <v>12</v>
      </c>
      <c r="G224" s="19" t="n">
        <v>1</v>
      </c>
      <c r="H224" s="19" t="n">
        <v>206</v>
      </c>
      <c r="I224" s="13">
        <f>G224*H224</f>
        <v>206.0</v>
      </c>
      <c r="J224" s="20">
        <f>4275/1000</f>
        <v>4.275</v>
      </c>
      <c r="K224" s="21">
        <f>I224*J224</f>
        <v>880.6500000000001</v>
      </c>
      <c r="L224" s="22">
        <f>F224^2/162</f>
        <v>0.8888888888888888</v>
      </c>
      <c r="M224" s="21">
        <f>K224*L224</f>
        <v>782.8000000000001</v>
      </c>
      <c r="N224" s="22">
        <f>M224/1000</f>
        <v>0.7828</v>
      </c>
      <c r="O224" s="13" t="inlineStr">
        <is>
          <t>BBS</t>
        </is>
      </c>
    </row>
    <row r="225">
      <c r="A225" s="13" t="n">
        <v>220</v>
      </c>
      <c r="B225" s="13" t="inlineStr">
        <is>
          <t>Floor Slabs</t>
        </is>
      </c>
      <c r="C225" s="13" t="inlineStr">
        <is>
          <t>STR-081</t>
        </is>
      </c>
      <c r="D225" s="13" t="inlineStr">
        <is>
          <t>Typical 4th-8th slab - top</t>
        </is>
      </c>
      <c r="E225" s="19" t="inlineStr">
        <is>
          <t>1256</t>
        </is>
      </c>
      <c r="F225" s="19" t="n">
        <v>12</v>
      </c>
      <c r="G225" s="19" t="n">
        <v>1</v>
      </c>
      <c r="H225" s="19" t="n">
        <v>31</v>
      </c>
      <c r="I225" s="13">
        <f>G225*H225</f>
        <v>31.0</v>
      </c>
      <c r="J225" s="20">
        <f>3750/1000</f>
        <v>3.75</v>
      </c>
      <c r="K225" s="21">
        <f>I225*J225</f>
        <v>116.25</v>
      </c>
      <c r="L225" s="22">
        <f>F225^2/162</f>
        <v>0.8888888888888888</v>
      </c>
      <c r="M225" s="21">
        <f>K225*L225</f>
        <v>103.33333333333333</v>
      </c>
      <c r="N225" s="22">
        <f>M225/1000</f>
        <v>0.10333333333333333</v>
      </c>
      <c r="O225" s="13" t="inlineStr">
        <is>
          <t>BBS</t>
        </is>
      </c>
    </row>
    <row r="226">
      <c r="A226" s="13" t="n">
        <v>221</v>
      </c>
      <c r="B226" s="13" t="inlineStr">
        <is>
          <t>Floor Slabs</t>
        </is>
      </c>
      <c r="C226" s="13" t="inlineStr">
        <is>
          <t>STR-081</t>
        </is>
      </c>
      <c r="D226" s="13" t="inlineStr">
        <is>
          <t>Typical 4th-8th slab - top</t>
        </is>
      </c>
      <c r="E226" s="19" t="inlineStr">
        <is>
          <t>1257</t>
        </is>
      </c>
      <c r="F226" s="19" t="n">
        <v>12</v>
      </c>
      <c r="G226" s="19" t="n">
        <v>1</v>
      </c>
      <c r="H226" s="19" t="n">
        <v>36</v>
      </c>
      <c r="I226" s="13">
        <f>G226*H226</f>
        <v>36.0</v>
      </c>
      <c r="J226" s="20">
        <f>10400/1000</f>
        <v>10.4</v>
      </c>
      <c r="K226" s="21">
        <f>I226*J226</f>
        <v>374.40000000000003</v>
      </c>
      <c r="L226" s="22">
        <f>F226^2/162</f>
        <v>0.8888888888888888</v>
      </c>
      <c r="M226" s="21">
        <f>K226*L226</f>
        <v>332.8</v>
      </c>
      <c r="N226" s="22">
        <f>M226/1000</f>
        <v>0.3328</v>
      </c>
      <c r="O226" s="13" t="inlineStr">
        <is>
          <t>BBS</t>
        </is>
      </c>
    </row>
    <row r="227">
      <c r="A227" s="13" t="n">
        <v>222</v>
      </c>
      <c r="B227" s="13" t="inlineStr">
        <is>
          <t>Floor Slabs</t>
        </is>
      </c>
      <c r="C227" s="13" t="inlineStr">
        <is>
          <t>STR-081</t>
        </is>
      </c>
      <c r="D227" s="13" t="inlineStr">
        <is>
          <t>Typical 4th-8th slab - top</t>
        </is>
      </c>
      <c r="E227" s="19" t="inlineStr">
        <is>
          <t>1258</t>
        </is>
      </c>
      <c r="F227" s="19" t="n">
        <v>12</v>
      </c>
      <c r="G227" s="19" t="n">
        <v>1</v>
      </c>
      <c r="H227" s="19" t="n">
        <v>23</v>
      </c>
      <c r="I227" s="13">
        <f>G227*H227</f>
        <v>23.0</v>
      </c>
      <c r="J227" s="20">
        <f>3450/1000</f>
        <v>3.45</v>
      </c>
      <c r="K227" s="21">
        <f>I227*J227</f>
        <v>79.35000000000001</v>
      </c>
      <c r="L227" s="22">
        <f>F227^2/162</f>
        <v>0.8888888888888888</v>
      </c>
      <c r="M227" s="21">
        <f>K227*L227</f>
        <v>70.53333333333333</v>
      </c>
      <c r="N227" s="22">
        <f>M227/1000</f>
        <v>0.07053333333333334</v>
      </c>
      <c r="O227" s="13" t="inlineStr">
        <is>
          <t>BBS</t>
        </is>
      </c>
    </row>
    <row r="228">
      <c r="A228" s="13" t="n">
        <v>223</v>
      </c>
      <c r="B228" s="13" t="inlineStr">
        <is>
          <t>Floor Slabs</t>
        </is>
      </c>
      <c r="C228" s="13" t="inlineStr">
        <is>
          <t>STR-081</t>
        </is>
      </c>
      <c r="D228" s="13" t="inlineStr">
        <is>
          <t>Typical 4th-8th slab - top</t>
        </is>
      </c>
      <c r="E228" s="19" t="inlineStr">
        <is>
          <t>1259</t>
        </is>
      </c>
      <c r="F228" s="19" t="n">
        <v>12</v>
      </c>
      <c r="G228" s="19" t="n">
        <v>1</v>
      </c>
      <c r="H228" s="19" t="n">
        <v>212</v>
      </c>
      <c r="I228" s="13">
        <f>G228*H228</f>
        <v>212.0</v>
      </c>
      <c r="J228" s="20">
        <f>9500/1000</f>
        <v>9.5</v>
      </c>
      <c r="K228" s="21">
        <f>I228*J228</f>
        <v>2014.0</v>
      </c>
      <c r="L228" s="22">
        <f>F228^2/162</f>
        <v>0.8888888888888888</v>
      </c>
      <c r="M228" s="21">
        <f>K228*L228</f>
        <v>1790.2222222222222</v>
      </c>
      <c r="N228" s="22">
        <f>M228/1000</f>
        <v>1.7902222222222222</v>
      </c>
      <c r="O228" s="13" t="inlineStr">
        <is>
          <t>BBS</t>
        </is>
      </c>
    </row>
    <row r="229">
      <c r="A229" s="13" t="n">
        <v>224</v>
      </c>
      <c r="B229" s="13" t="inlineStr">
        <is>
          <t>Floor Slabs</t>
        </is>
      </c>
      <c r="C229" s="13" t="inlineStr">
        <is>
          <t>STR-081</t>
        </is>
      </c>
      <c r="D229" s="13" t="inlineStr">
        <is>
          <t>Typical 4th-8th slab - top</t>
        </is>
      </c>
      <c r="E229" s="19" t="inlineStr">
        <is>
          <t>1260</t>
        </is>
      </c>
      <c r="F229" s="19" t="n">
        <v>12</v>
      </c>
      <c r="G229" s="19" t="n">
        <v>1</v>
      </c>
      <c r="H229" s="19" t="n">
        <v>49</v>
      </c>
      <c r="I229" s="13">
        <f>G229*H229</f>
        <v>49.0</v>
      </c>
      <c r="J229" s="20">
        <f>7300/1000</f>
        <v>7.3</v>
      </c>
      <c r="K229" s="21">
        <f>I229*J229</f>
        <v>357.7</v>
      </c>
      <c r="L229" s="22">
        <f>F229^2/162</f>
        <v>0.8888888888888888</v>
      </c>
      <c r="M229" s="21">
        <f>K229*L229</f>
        <v>317.9555555555555</v>
      </c>
      <c r="N229" s="22">
        <f>M229/1000</f>
        <v>0.31795555555555555</v>
      </c>
      <c r="O229" s="13" t="inlineStr">
        <is>
          <t>BBS</t>
        </is>
      </c>
    </row>
    <row r="230">
      <c r="A230" s="13" t="n">
        <v>225</v>
      </c>
      <c r="B230" s="13" t="inlineStr">
        <is>
          <t>Floor Slabs</t>
        </is>
      </c>
      <c r="C230" s="13" t="inlineStr">
        <is>
          <t>STR-081</t>
        </is>
      </c>
      <c r="D230" s="13" t="inlineStr">
        <is>
          <t>Typical 4th-8th slab - top</t>
        </is>
      </c>
      <c r="E230" s="19" t="inlineStr">
        <is>
          <t>1261</t>
        </is>
      </c>
      <c r="F230" s="19" t="n">
        <v>12</v>
      </c>
      <c r="G230" s="19" t="n">
        <v>1</v>
      </c>
      <c r="H230" s="19" t="n">
        <v>113</v>
      </c>
      <c r="I230" s="13">
        <f>G230*H230</f>
        <v>113.0</v>
      </c>
      <c r="J230" s="20">
        <f>8750/1000</f>
        <v>8.75</v>
      </c>
      <c r="K230" s="21">
        <f>I230*J230</f>
        <v>988.75</v>
      </c>
      <c r="L230" s="22">
        <f>F230^2/162</f>
        <v>0.8888888888888888</v>
      </c>
      <c r="M230" s="21">
        <f>K230*L230</f>
        <v>878.8888888888888</v>
      </c>
      <c r="N230" s="22">
        <f>M230/1000</f>
        <v>0.8788888888888888</v>
      </c>
      <c r="O230" s="13" t="inlineStr">
        <is>
          <t>BBS</t>
        </is>
      </c>
    </row>
    <row r="231">
      <c r="A231" s="13" t="n">
        <v>226</v>
      </c>
      <c r="B231" s="13" t="inlineStr">
        <is>
          <t>Floor Slabs</t>
        </is>
      </c>
      <c r="C231" s="13" t="inlineStr">
        <is>
          <t>STR-081</t>
        </is>
      </c>
      <c r="D231" s="13" t="inlineStr">
        <is>
          <t>Typical 4th-8th slab - top</t>
        </is>
      </c>
      <c r="E231" s="19" t="inlineStr">
        <is>
          <t>1262</t>
        </is>
      </c>
      <c r="F231" s="19" t="n">
        <v>12</v>
      </c>
      <c r="G231" s="19" t="n">
        <v>1</v>
      </c>
      <c r="H231" s="19" t="n">
        <v>85</v>
      </c>
      <c r="I231" s="13">
        <f>G231*H231</f>
        <v>85.0</v>
      </c>
      <c r="J231" s="20">
        <f>3750/1000</f>
        <v>3.75</v>
      </c>
      <c r="K231" s="21">
        <f>I231*J231</f>
        <v>318.75</v>
      </c>
      <c r="L231" s="22">
        <f>F231^2/162</f>
        <v>0.8888888888888888</v>
      </c>
      <c r="M231" s="21">
        <f>K231*L231</f>
        <v>283.3333333333333</v>
      </c>
      <c r="N231" s="22">
        <f>M231/1000</f>
        <v>0.2833333333333333</v>
      </c>
      <c r="O231" s="13" t="inlineStr">
        <is>
          <t>BBS</t>
        </is>
      </c>
    </row>
    <row r="232">
      <c r="A232" s="13" t="n">
        <v>227</v>
      </c>
      <c r="B232" s="13" t="inlineStr">
        <is>
          <t>Floor Slabs</t>
        </is>
      </c>
      <c r="C232" s="13" t="inlineStr">
        <is>
          <t>STR-081</t>
        </is>
      </c>
      <c r="D232" s="13" t="inlineStr">
        <is>
          <t>Typical 4th-8th slab - top</t>
        </is>
      </c>
      <c r="E232" s="19" t="inlineStr">
        <is>
          <t>1263</t>
        </is>
      </c>
      <c r="F232" s="19" t="n">
        <v>12</v>
      </c>
      <c r="G232" s="19" t="n">
        <v>1</v>
      </c>
      <c r="H232" s="19" t="n">
        <v>13</v>
      </c>
      <c r="I232" s="13">
        <f>G232*H232</f>
        <v>13.0</v>
      </c>
      <c r="J232" s="20">
        <f>4100/1000</f>
        <v>4.1</v>
      </c>
      <c r="K232" s="21">
        <f>I232*J232</f>
        <v>53.3</v>
      </c>
      <c r="L232" s="22">
        <f>F232^2/162</f>
        <v>0.8888888888888888</v>
      </c>
      <c r="M232" s="21">
        <f>K232*L232</f>
        <v>47.37777777777777</v>
      </c>
      <c r="N232" s="22">
        <f>M232/1000</f>
        <v>0.047377777777777776</v>
      </c>
      <c r="O232" s="13" t="inlineStr">
        <is>
          <t>BBS</t>
        </is>
      </c>
    </row>
    <row r="233">
      <c r="A233" s="13" t="n">
        <v>228</v>
      </c>
      <c r="B233" s="13" t="inlineStr">
        <is>
          <t>Floor Slabs</t>
        </is>
      </c>
      <c r="C233" s="13" t="inlineStr">
        <is>
          <t>STR-081</t>
        </is>
      </c>
      <c r="D233" s="13" t="inlineStr">
        <is>
          <t>Typical 4th-8th slab - top</t>
        </is>
      </c>
      <c r="E233" s="19" t="inlineStr">
        <is>
          <t>1264</t>
        </is>
      </c>
      <c r="F233" s="19" t="n">
        <v>12</v>
      </c>
      <c r="G233" s="19" t="n">
        <v>1</v>
      </c>
      <c r="H233" s="19" t="n">
        <v>13</v>
      </c>
      <c r="I233" s="13">
        <f>G233*H233</f>
        <v>13.0</v>
      </c>
      <c r="J233" s="20">
        <f>4200/1000</f>
        <v>4.2</v>
      </c>
      <c r="K233" s="21">
        <f>I233*J233</f>
        <v>54.6</v>
      </c>
      <c r="L233" s="22">
        <f>F233^2/162</f>
        <v>0.8888888888888888</v>
      </c>
      <c r="M233" s="21">
        <f>K233*L233</f>
        <v>48.53333333333333</v>
      </c>
      <c r="N233" s="22">
        <f>M233/1000</f>
        <v>0.04853333333333333</v>
      </c>
      <c r="O233" s="13" t="inlineStr">
        <is>
          <t>BBS</t>
        </is>
      </c>
    </row>
    <row r="234">
      <c r="A234" s="13" t="n">
        <v>229</v>
      </c>
      <c r="B234" s="13" t="inlineStr">
        <is>
          <t>Floor Slabs</t>
        </is>
      </c>
      <c r="C234" s="13" t="inlineStr">
        <is>
          <t>STR-081</t>
        </is>
      </c>
      <c r="D234" s="13" t="inlineStr">
        <is>
          <t>Typical 4th-8th slab - top</t>
        </is>
      </c>
      <c r="E234" s="19" t="inlineStr">
        <is>
          <t>1265</t>
        </is>
      </c>
      <c r="F234" s="19" t="n">
        <v>12</v>
      </c>
      <c r="G234" s="19" t="n">
        <v>1</v>
      </c>
      <c r="H234" s="19" t="n">
        <v>357</v>
      </c>
      <c r="I234" s="13">
        <f>G234*H234</f>
        <v>357.0</v>
      </c>
      <c r="J234" s="20">
        <f>9200/1000</f>
        <v>9.2</v>
      </c>
      <c r="K234" s="21">
        <f>I234*J234</f>
        <v>3284.3999999999996</v>
      </c>
      <c r="L234" s="22">
        <f>F234^2/162</f>
        <v>0.8888888888888888</v>
      </c>
      <c r="M234" s="21">
        <f>K234*L234</f>
        <v>2919.4666666666662</v>
      </c>
      <c r="N234" s="22">
        <f>M234/1000</f>
        <v>2.919466666666666</v>
      </c>
      <c r="O234" s="13" t="inlineStr">
        <is>
          <t>BBS</t>
        </is>
      </c>
    </row>
    <row r="235">
      <c r="A235" s="13" t="n">
        <v>230</v>
      </c>
      <c r="B235" s="13" t="inlineStr">
        <is>
          <t>Floor Slabs</t>
        </is>
      </c>
      <c r="C235" s="13" t="inlineStr">
        <is>
          <t>STR-081</t>
        </is>
      </c>
      <c r="D235" s="13" t="inlineStr">
        <is>
          <t>Typical 4th-8th slab - top</t>
        </is>
      </c>
      <c r="E235" s="19" t="inlineStr">
        <is>
          <t>1266</t>
        </is>
      </c>
      <c r="F235" s="19" t="n">
        <v>12</v>
      </c>
      <c r="G235" s="19" t="n">
        <v>1</v>
      </c>
      <c r="H235" s="19" t="n">
        <v>12</v>
      </c>
      <c r="I235" s="13">
        <f>G235*H235</f>
        <v>12.0</v>
      </c>
      <c r="J235" s="20">
        <f>9475/1000</f>
        <v>9.475</v>
      </c>
      <c r="K235" s="21">
        <f>I235*J235</f>
        <v>113.69999999999999</v>
      </c>
      <c r="L235" s="22">
        <f>F235^2/162</f>
        <v>0.8888888888888888</v>
      </c>
      <c r="M235" s="21">
        <f>K235*L235</f>
        <v>101.06666666666665</v>
      </c>
      <c r="N235" s="22">
        <f>M235/1000</f>
        <v>0.10106666666666665</v>
      </c>
      <c r="O235" s="13" t="inlineStr">
        <is>
          <t>BBS</t>
        </is>
      </c>
    </row>
    <row r="236">
      <c r="A236" s="13" t="n">
        <v>231</v>
      </c>
      <c r="B236" s="13" t="inlineStr">
        <is>
          <t>Floor Slabs</t>
        </is>
      </c>
      <c r="C236" s="13" t="inlineStr">
        <is>
          <t>STR-081</t>
        </is>
      </c>
      <c r="D236" s="13" t="inlineStr">
        <is>
          <t>Typical 4th-8th slab - top</t>
        </is>
      </c>
      <c r="E236" s="19" t="inlineStr">
        <is>
          <t>1267</t>
        </is>
      </c>
      <c r="F236" s="19" t="n">
        <v>12</v>
      </c>
      <c r="G236" s="19" t="n">
        <v>1</v>
      </c>
      <c r="H236" s="19" t="n">
        <v>101</v>
      </c>
      <c r="I236" s="13">
        <f>G236*H236</f>
        <v>101.0</v>
      </c>
      <c r="J236" s="20">
        <f>2200/1000</f>
        <v>2.2</v>
      </c>
      <c r="K236" s="21">
        <f>I236*J236</f>
        <v>222.20000000000002</v>
      </c>
      <c r="L236" s="22">
        <f>F236^2/162</f>
        <v>0.8888888888888888</v>
      </c>
      <c r="M236" s="21">
        <f>K236*L236</f>
        <v>197.51111111111112</v>
      </c>
      <c r="N236" s="22">
        <f>M236/1000</f>
        <v>0.1975111111111111</v>
      </c>
      <c r="O236" s="13" t="inlineStr">
        <is>
          <t>BBS</t>
        </is>
      </c>
    </row>
    <row r="237">
      <c r="A237" s="13" t="n">
        <v>232</v>
      </c>
      <c r="B237" s="13" t="inlineStr">
        <is>
          <t>Floor Slabs</t>
        </is>
      </c>
      <c r="C237" s="13" t="inlineStr">
        <is>
          <t>STR-081</t>
        </is>
      </c>
      <c r="D237" s="13" t="inlineStr">
        <is>
          <t>Typical 4th-8th slab - top</t>
        </is>
      </c>
      <c r="E237" s="19" t="inlineStr">
        <is>
          <t>1268</t>
        </is>
      </c>
      <c r="F237" s="19" t="n">
        <v>12</v>
      </c>
      <c r="G237" s="19" t="n">
        <v>1</v>
      </c>
      <c r="H237" s="19" t="n">
        <v>9</v>
      </c>
      <c r="I237" s="13">
        <f>G237*H237</f>
        <v>9.0</v>
      </c>
      <c r="J237" s="20">
        <f>8500/1000</f>
        <v>8.5</v>
      </c>
      <c r="K237" s="21">
        <f>I237*J237</f>
        <v>76.5</v>
      </c>
      <c r="L237" s="22">
        <f>F237^2/162</f>
        <v>0.8888888888888888</v>
      </c>
      <c r="M237" s="21">
        <f>K237*L237</f>
        <v>68.0</v>
      </c>
      <c r="N237" s="22">
        <f>M237/1000</f>
        <v>0.068</v>
      </c>
      <c r="O237" s="13" t="inlineStr">
        <is>
          <t>BBS</t>
        </is>
      </c>
    </row>
    <row r="238">
      <c r="A238" s="13" t="n">
        <v>233</v>
      </c>
      <c r="B238" s="13" t="inlineStr">
        <is>
          <t>Floor Slabs</t>
        </is>
      </c>
      <c r="C238" s="13" t="inlineStr">
        <is>
          <t>STR-081</t>
        </is>
      </c>
      <c r="D238" s="13" t="inlineStr">
        <is>
          <t>Typical 4th-8th slab - top</t>
        </is>
      </c>
      <c r="E238" s="19" t="inlineStr">
        <is>
          <t>1269</t>
        </is>
      </c>
      <c r="F238" s="19" t="n">
        <v>12</v>
      </c>
      <c r="G238" s="19" t="n">
        <v>1</v>
      </c>
      <c r="H238" s="19" t="n">
        <v>87</v>
      </c>
      <c r="I238" s="13">
        <f>G238*H238</f>
        <v>87.0</v>
      </c>
      <c r="J238" s="20">
        <f>4550/1000</f>
        <v>4.55</v>
      </c>
      <c r="K238" s="21">
        <f>I238*J238</f>
        <v>395.84999999999997</v>
      </c>
      <c r="L238" s="22">
        <f>F238^2/162</f>
        <v>0.8888888888888888</v>
      </c>
      <c r="M238" s="21">
        <f>K238*L238</f>
        <v>351.8666666666666</v>
      </c>
      <c r="N238" s="22">
        <f>M238/1000</f>
        <v>0.3518666666666666</v>
      </c>
      <c r="O238" s="13" t="inlineStr">
        <is>
          <t>BBS</t>
        </is>
      </c>
    </row>
    <row r="239">
      <c r="A239" s="13" t="n">
        <v>234</v>
      </c>
      <c r="B239" s="13" t="inlineStr">
        <is>
          <t>Floor Slabs</t>
        </is>
      </c>
      <c r="C239" s="13" t="inlineStr">
        <is>
          <t>STR-081</t>
        </is>
      </c>
      <c r="D239" s="13" t="inlineStr">
        <is>
          <t>Typical 4th-8th slab - top</t>
        </is>
      </c>
      <c r="E239" s="19" t="inlineStr">
        <is>
          <t>1270</t>
        </is>
      </c>
      <c r="F239" s="19" t="n">
        <v>12</v>
      </c>
      <c r="G239" s="19" t="n">
        <v>1</v>
      </c>
      <c r="H239" s="19" t="n">
        <v>48</v>
      </c>
      <c r="I239" s="13">
        <f>G239*H239</f>
        <v>48.0</v>
      </c>
      <c r="J239" s="20">
        <f>8727/1000</f>
        <v>8.727</v>
      </c>
      <c r="K239" s="21">
        <f>I239*J239</f>
        <v>418.896</v>
      </c>
      <c r="L239" s="22">
        <f>F239^2/162</f>
        <v>0.8888888888888888</v>
      </c>
      <c r="M239" s="21">
        <f>K239*L239</f>
        <v>372.352</v>
      </c>
      <c r="N239" s="22">
        <f>M239/1000</f>
        <v>0.37235199999999996</v>
      </c>
      <c r="O239" s="13" t="inlineStr">
        <is>
          <t>BBS</t>
        </is>
      </c>
    </row>
    <row r="240">
      <c r="A240" s="13" t="n">
        <v>235</v>
      </c>
      <c r="B240" s="13" t="inlineStr">
        <is>
          <t>Floor Slabs</t>
        </is>
      </c>
      <c r="C240" s="13" t="inlineStr">
        <is>
          <t>STR-081</t>
        </is>
      </c>
      <c r="D240" s="13" t="inlineStr">
        <is>
          <t>Typical 4th-8th slab - top</t>
        </is>
      </c>
      <c r="E240" s="19" t="inlineStr">
        <is>
          <t>1271</t>
        </is>
      </c>
      <c r="F240" s="19" t="n">
        <v>12</v>
      </c>
      <c r="G240" s="19" t="n">
        <v>1</v>
      </c>
      <c r="H240" s="19" t="n">
        <v>74</v>
      </c>
      <c r="I240" s="13">
        <f>G240*H240</f>
        <v>74.0</v>
      </c>
      <c r="J240" s="20">
        <f>12000/1000</f>
        <v>12.0</v>
      </c>
      <c r="K240" s="21">
        <f>I240*J240</f>
        <v>888.0</v>
      </c>
      <c r="L240" s="22">
        <f>F240^2/162</f>
        <v>0.8888888888888888</v>
      </c>
      <c r="M240" s="21">
        <f>K240*L240</f>
        <v>789.3333333333333</v>
      </c>
      <c r="N240" s="22">
        <f>M240/1000</f>
        <v>0.7893333333333332</v>
      </c>
      <c r="O240" s="13" t="inlineStr">
        <is>
          <t>BBS</t>
        </is>
      </c>
    </row>
    <row r="241">
      <c r="A241" s="13" t="n">
        <v>236</v>
      </c>
      <c r="B241" s="13" t="inlineStr">
        <is>
          <t>Floor Slabs</t>
        </is>
      </c>
      <c r="C241" s="13" t="inlineStr">
        <is>
          <t>STR-081</t>
        </is>
      </c>
      <c r="D241" s="13" t="inlineStr">
        <is>
          <t>Typical 4th-8th slab - top</t>
        </is>
      </c>
      <c r="E241" s="19" t="inlineStr">
        <is>
          <t>1272</t>
        </is>
      </c>
      <c r="F241" s="19" t="n">
        <v>12</v>
      </c>
      <c r="G241" s="19" t="n">
        <v>1</v>
      </c>
      <c r="H241" s="19" t="n">
        <v>43</v>
      </c>
      <c r="I241" s="13">
        <f>G241*H241</f>
        <v>43.0</v>
      </c>
      <c r="J241" s="20">
        <f>11750/1000</f>
        <v>11.75</v>
      </c>
      <c r="K241" s="21">
        <f>I241*J241</f>
        <v>505.25</v>
      </c>
      <c r="L241" s="22">
        <f>F241^2/162</f>
        <v>0.8888888888888888</v>
      </c>
      <c r="M241" s="21">
        <f>K241*L241</f>
        <v>449.1111111111111</v>
      </c>
      <c r="N241" s="22">
        <f>M241/1000</f>
        <v>0.44911111111111107</v>
      </c>
      <c r="O241" s="13" t="inlineStr">
        <is>
          <t>BBS</t>
        </is>
      </c>
    </row>
    <row r="242">
      <c r="A242" s="13" t="n">
        <v>237</v>
      </c>
      <c r="B242" s="13" t="inlineStr">
        <is>
          <t>Floor Slabs</t>
        </is>
      </c>
      <c r="C242" s="13" t="inlineStr">
        <is>
          <t>STR-081</t>
        </is>
      </c>
      <c r="D242" s="13" t="inlineStr">
        <is>
          <t>Typical 4th-8th slab - top</t>
        </is>
      </c>
      <c r="E242" s="19" t="inlineStr">
        <is>
          <t>1273</t>
        </is>
      </c>
      <c r="F242" s="19" t="n">
        <v>12</v>
      </c>
      <c r="G242" s="19" t="n">
        <v>1</v>
      </c>
      <c r="H242" s="19" t="n">
        <v>12</v>
      </c>
      <c r="I242" s="13">
        <f>G242*H242</f>
        <v>12.0</v>
      </c>
      <c r="J242" s="20">
        <f>8800/1000</f>
        <v>8.8</v>
      </c>
      <c r="K242" s="21">
        <f>I242*J242</f>
        <v>105.60000000000001</v>
      </c>
      <c r="L242" s="22">
        <f>F242^2/162</f>
        <v>0.8888888888888888</v>
      </c>
      <c r="M242" s="21">
        <f>K242*L242</f>
        <v>93.86666666666667</v>
      </c>
      <c r="N242" s="22">
        <f>M242/1000</f>
        <v>0.09386666666666667</v>
      </c>
      <c r="O242" s="13" t="inlineStr">
        <is>
          <t>BBS</t>
        </is>
      </c>
    </row>
    <row r="243">
      <c r="A243" s="13" t="n">
        <v>238</v>
      </c>
      <c r="B243" s="13" t="inlineStr">
        <is>
          <t>Floor Slabs</t>
        </is>
      </c>
      <c r="C243" s="13" t="inlineStr">
        <is>
          <t>STR-081</t>
        </is>
      </c>
      <c r="D243" s="13" t="inlineStr">
        <is>
          <t>Typical 4th-8th slab - top</t>
        </is>
      </c>
      <c r="E243" s="19" t="inlineStr">
        <is>
          <t>1274</t>
        </is>
      </c>
      <c r="F243" s="19" t="n">
        <v>12</v>
      </c>
      <c r="G243" s="19" t="n">
        <v>1</v>
      </c>
      <c r="H243" s="19" t="n">
        <v>75</v>
      </c>
      <c r="I243" s="13">
        <f>G243*H243</f>
        <v>75.0</v>
      </c>
      <c r="J243" s="20">
        <f>7900/1000</f>
        <v>7.9</v>
      </c>
      <c r="K243" s="21">
        <f>I243*J243</f>
        <v>592.5</v>
      </c>
      <c r="L243" s="22">
        <f>F243^2/162</f>
        <v>0.8888888888888888</v>
      </c>
      <c r="M243" s="21">
        <f>K243*L243</f>
        <v>526.6666666666666</v>
      </c>
      <c r="N243" s="22">
        <f>M243/1000</f>
        <v>0.5266666666666666</v>
      </c>
      <c r="O243" s="13" t="inlineStr">
        <is>
          <t>BBS</t>
        </is>
      </c>
    </row>
    <row r="244">
      <c r="A244" s="13" t="n">
        <v>239</v>
      </c>
      <c r="B244" s="13" t="inlineStr">
        <is>
          <t>Floor Slabs</t>
        </is>
      </c>
      <c r="C244" s="13" t="inlineStr">
        <is>
          <t>STR-082</t>
        </is>
      </c>
      <c r="D244" s="13" t="inlineStr">
        <is>
          <t>Typical 4th-8th slab - additional top</t>
        </is>
      </c>
      <c r="E244" s="19" t="inlineStr">
        <is>
          <t>1275</t>
        </is>
      </c>
      <c r="F244" s="19" t="n">
        <v>12</v>
      </c>
      <c r="G244" s="19" t="n">
        <v>1</v>
      </c>
      <c r="H244" s="19" t="n">
        <v>59</v>
      </c>
      <c r="I244" s="13">
        <f>G244*H244</f>
        <v>59.0</v>
      </c>
      <c r="J244" s="20">
        <f>11000/1000</f>
        <v>11.0</v>
      </c>
      <c r="K244" s="21">
        <f>I244*J244</f>
        <v>649.0</v>
      </c>
      <c r="L244" s="22">
        <f>F244^2/162</f>
        <v>0.8888888888888888</v>
      </c>
      <c r="M244" s="21">
        <f>K244*L244</f>
        <v>576.8888888888888</v>
      </c>
      <c r="N244" s="22">
        <f>M244/1000</f>
        <v>0.5768888888888888</v>
      </c>
      <c r="O244" s="13" t="inlineStr">
        <is>
          <t>BBS</t>
        </is>
      </c>
    </row>
    <row r="245">
      <c r="A245" s="13" t="n">
        <v>240</v>
      </c>
      <c r="B245" s="13" t="inlineStr">
        <is>
          <t>Floor Slabs</t>
        </is>
      </c>
      <c r="C245" s="13" t="inlineStr">
        <is>
          <t>STR-082</t>
        </is>
      </c>
      <c r="D245" s="13" t="inlineStr">
        <is>
          <t>Typical 4th-8th slab - additional top</t>
        </is>
      </c>
      <c r="E245" s="19" t="inlineStr">
        <is>
          <t>1276</t>
        </is>
      </c>
      <c r="F245" s="19" t="n">
        <v>12</v>
      </c>
      <c r="G245" s="19" t="n">
        <v>1</v>
      </c>
      <c r="H245" s="19" t="n">
        <v>296</v>
      </c>
      <c r="I245" s="13">
        <f>G245*H245</f>
        <v>296.0</v>
      </c>
      <c r="J245" s="20">
        <f>3000/1000</f>
        <v>3.0</v>
      </c>
      <c r="K245" s="21">
        <f>I245*J245</f>
        <v>888.0</v>
      </c>
      <c r="L245" s="22">
        <f>F245^2/162</f>
        <v>0.8888888888888888</v>
      </c>
      <c r="M245" s="21">
        <f>K245*L245</f>
        <v>789.3333333333333</v>
      </c>
      <c r="N245" s="22">
        <f>M245/1000</f>
        <v>0.7893333333333332</v>
      </c>
      <c r="O245" s="13" t="inlineStr">
        <is>
          <t>BBS</t>
        </is>
      </c>
    </row>
    <row r="246">
      <c r="A246" s="13" t="n">
        <v>241</v>
      </c>
      <c r="B246" s="13" t="inlineStr">
        <is>
          <t>Floor Slabs</t>
        </is>
      </c>
      <c r="C246" s="13" t="inlineStr">
        <is>
          <t>STR-082</t>
        </is>
      </c>
      <c r="D246" s="13" t="inlineStr">
        <is>
          <t>Typical 4th-8th slab - additional top</t>
        </is>
      </c>
      <c r="E246" s="19" t="inlineStr">
        <is>
          <t>1277</t>
        </is>
      </c>
      <c r="F246" s="19" t="n">
        <v>12</v>
      </c>
      <c r="G246" s="19" t="n">
        <v>1</v>
      </c>
      <c r="H246" s="19" t="n">
        <v>15</v>
      </c>
      <c r="I246" s="13">
        <f>G246*H246</f>
        <v>15.0</v>
      </c>
      <c r="J246" s="20">
        <f>2900/1000</f>
        <v>2.9</v>
      </c>
      <c r="K246" s="21">
        <f>I246*J246</f>
        <v>43.5</v>
      </c>
      <c r="L246" s="22">
        <f>F246^2/162</f>
        <v>0.8888888888888888</v>
      </c>
      <c r="M246" s="21">
        <f>K246*L246</f>
        <v>38.666666666666664</v>
      </c>
      <c r="N246" s="22">
        <f>M246/1000</f>
        <v>0.03866666666666666</v>
      </c>
      <c r="O246" s="13" t="inlineStr">
        <is>
          <t>BBS</t>
        </is>
      </c>
    </row>
    <row r="247">
      <c r="A247" s="13" t="n">
        <v>242</v>
      </c>
      <c r="B247" s="13" t="inlineStr">
        <is>
          <t>Floor Slabs</t>
        </is>
      </c>
      <c r="C247" s="13" t="inlineStr">
        <is>
          <t>STR-082</t>
        </is>
      </c>
      <c r="D247" s="13" t="inlineStr">
        <is>
          <t>Typical 4th-8th slab - additional top</t>
        </is>
      </c>
      <c r="E247" s="19" t="inlineStr">
        <is>
          <t>1278</t>
        </is>
      </c>
      <c r="F247" s="19" t="n">
        <v>12</v>
      </c>
      <c r="G247" s="19" t="n">
        <v>1</v>
      </c>
      <c r="H247" s="19" t="n">
        <v>15</v>
      </c>
      <c r="I247" s="13">
        <f>G247*H247</f>
        <v>15.0</v>
      </c>
      <c r="J247" s="20">
        <f>4150/1000</f>
        <v>4.15</v>
      </c>
      <c r="K247" s="21">
        <f>I247*J247</f>
        <v>62.25000000000001</v>
      </c>
      <c r="L247" s="22">
        <f>F247^2/162</f>
        <v>0.8888888888888888</v>
      </c>
      <c r="M247" s="21">
        <f>K247*L247</f>
        <v>55.333333333333336</v>
      </c>
      <c r="N247" s="22">
        <f>M247/1000</f>
        <v>0.05533333333333334</v>
      </c>
      <c r="O247" s="13" t="inlineStr">
        <is>
          <t>BBS</t>
        </is>
      </c>
    </row>
    <row r="248">
      <c r="A248" s="13" t="n">
        <v>243</v>
      </c>
      <c r="B248" s="13" t="inlineStr">
        <is>
          <t>Floor Slabs</t>
        </is>
      </c>
      <c r="C248" s="13" t="inlineStr">
        <is>
          <t>STR-082</t>
        </is>
      </c>
      <c r="D248" s="13" t="inlineStr">
        <is>
          <t>Typical 4th-8th slab - additional top</t>
        </is>
      </c>
      <c r="E248" s="19" t="inlineStr">
        <is>
          <t>1279</t>
        </is>
      </c>
      <c r="F248" s="19" t="n">
        <v>12</v>
      </c>
      <c r="G248" s="19" t="n">
        <v>1</v>
      </c>
      <c r="H248" s="19" t="n">
        <v>73</v>
      </c>
      <c r="I248" s="13">
        <f>G248*H248</f>
        <v>73.0</v>
      </c>
      <c r="J248" s="20">
        <f>4500/1000</f>
        <v>4.5</v>
      </c>
      <c r="K248" s="21">
        <f>I248*J248</f>
        <v>328.5</v>
      </c>
      <c r="L248" s="22">
        <f>F248^2/162</f>
        <v>0.8888888888888888</v>
      </c>
      <c r="M248" s="21">
        <f>K248*L248</f>
        <v>292.0</v>
      </c>
      <c r="N248" s="22">
        <f>M248/1000</f>
        <v>0.292</v>
      </c>
      <c r="O248" s="13" t="inlineStr">
        <is>
          <t>BBS</t>
        </is>
      </c>
    </row>
    <row r="249">
      <c r="A249" s="13" t="n">
        <v>244</v>
      </c>
      <c r="B249" s="13" t="inlineStr">
        <is>
          <t>Floor Slabs</t>
        </is>
      </c>
      <c r="C249" s="13" t="inlineStr">
        <is>
          <t>STR-082</t>
        </is>
      </c>
      <c r="D249" s="13" t="inlineStr">
        <is>
          <t>Typical 4th-8th slab - additional top</t>
        </is>
      </c>
      <c r="E249" s="19" t="inlineStr">
        <is>
          <t>1280</t>
        </is>
      </c>
      <c r="F249" s="19" t="n">
        <v>12</v>
      </c>
      <c r="G249" s="19" t="n">
        <v>1</v>
      </c>
      <c r="H249" s="19" t="n">
        <v>75</v>
      </c>
      <c r="I249" s="13">
        <f>G249*H249</f>
        <v>75.0</v>
      </c>
      <c r="J249" s="20">
        <f>6000/1000</f>
        <v>6.0</v>
      </c>
      <c r="K249" s="21">
        <f>I249*J249</f>
        <v>450.0</v>
      </c>
      <c r="L249" s="22">
        <f>F249^2/162</f>
        <v>0.8888888888888888</v>
      </c>
      <c r="M249" s="21">
        <f>K249*L249</f>
        <v>400.0</v>
      </c>
      <c r="N249" s="22">
        <f>M249/1000</f>
        <v>0.4</v>
      </c>
      <c r="O249" s="13" t="inlineStr">
        <is>
          <t>BBS</t>
        </is>
      </c>
    </row>
    <row r="250">
      <c r="A250" s="13" t="n">
        <v>245</v>
      </c>
      <c r="B250" s="13" t="inlineStr">
        <is>
          <t>Floor Slabs</t>
        </is>
      </c>
      <c r="C250" s="13" t="inlineStr">
        <is>
          <t>STR-082</t>
        </is>
      </c>
      <c r="D250" s="13" t="inlineStr">
        <is>
          <t>Typical 4th-8th slab - additional top</t>
        </is>
      </c>
      <c r="E250" s="19" t="inlineStr">
        <is>
          <t>1281</t>
        </is>
      </c>
      <c r="F250" s="19" t="n">
        <v>12</v>
      </c>
      <c r="G250" s="19" t="n">
        <v>1</v>
      </c>
      <c r="H250" s="19" t="n">
        <v>60</v>
      </c>
      <c r="I250" s="13">
        <f>G250*H250</f>
        <v>60.0</v>
      </c>
      <c r="J250" s="20">
        <f>4900/1000</f>
        <v>4.9</v>
      </c>
      <c r="K250" s="21">
        <f>I250*J250</f>
        <v>294.0</v>
      </c>
      <c r="L250" s="22">
        <f>F250^2/162</f>
        <v>0.8888888888888888</v>
      </c>
      <c r="M250" s="21">
        <f>K250*L250</f>
        <v>261.3333333333333</v>
      </c>
      <c r="N250" s="22">
        <f>M250/1000</f>
        <v>0.2613333333333333</v>
      </c>
      <c r="O250" s="13" t="inlineStr">
        <is>
          <t>BBS</t>
        </is>
      </c>
    </row>
    <row r="251">
      <c r="A251" s="13" t="n">
        <v>246</v>
      </c>
      <c r="B251" s="13" t="inlineStr">
        <is>
          <t>Floor Slabs</t>
        </is>
      </c>
      <c r="C251" s="13" t="inlineStr">
        <is>
          <t>STR-082</t>
        </is>
      </c>
      <c r="D251" s="13" t="inlineStr">
        <is>
          <t>Typical 4th-8th slab - additional top</t>
        </is>
      </c>
      <c r="E251" s="19" t="inlineStr">
        <is>
          <t>1282</t>
        </is>
      </c>
      <c r="F251" s="19" t="n">
        <v>12</v>
      </c>
      <c r="G251" s="19" t="n">
        <v>1</v>
      </c>
      <c r="H251" s="19" t="n">
        <v>8</v>
      </c>
      <c r="I251" s="13">
        <f>G251*H251</f>
        <v>8.0</v>
      </c>
      <c r="J251" s="20">
        <f>1475/1000</f>
        <v>1.475</v>
      </c>
      <c r="K251" s="21">
        <f>I251*J251</f>
        <v>11.8</v>
      </c>
      <c r="L251" s="22">
        <f>F251^2/162</f>
        <v>0.8888888888888888</v>
      </c>
      <c r="M251" s="21">
        <f>K251*L251</f>
        <v>10.488888888888889</v>
      </c>
      <c r="N251" s="22">
        <f>M251/1000</f>
        <v>0.01048888888888889</v>
      </c>
      <c r="O251" s="13" t="inlineStr">
        <is>
          <t>BBS</t>
        </is>
      </c>
    </row>
    <row r="252">
      <c r="A252" s="13" t="n">
        <v>247</v>
      </c>
      <c r="B252" s="13" t="inlineStr">
        <is>
          <t>Floor Slabs</t>
        </is>
      </c>
      <c r="C252" s="13" t="inlineStr">
        <is>
          <t>STR-082</t>
        </is>
      </c>
      <c r="D252" s="13" t="inlineStr">
        <is>
          <t>Typical 4th-8th slab - additional top</t>
        </is>
      </c>
      <c r="E252" s="19" t="inlineStr">
        <is>
          <t>1601</t>
        </is>
      </c>
      <c r="F252" s="19" t="n">
        <v>16</v>
      </c>
      <c r="G252" s="19" t="n">
        <v>1</v>
      </c>
      <c r="H252" s="19" t="n">
        <v>6</v>
      </c>
      <c r="I252" s="13">
        <f>G252*H252</f>
        <v>6.0</v>
      </c>
      <c r="J252" s="20">
        <f>3675/1000</f>
        <v>3.675</v>
      </c>
      <c r="K252" s="21">
        <f>I252*J252</f>
        <v>22.049999999999997</v>
      </c>
      <c r="L252" s="22">
        <f>F252^2/162</f>
        <v>1.5802469135802468</v>
      </c>
      <c r="M252" s="21">
        <f>K252*L252</f>
        <v>34.84444444444444</v>
      </c>
      <c r="N252" s="22">
        <f>M252/1000</f>
        <v>0.03484444444444444</v>
      </c>
      <c r="O252" s="13" t="inlineStr">
        <is>
          <t>BBS</t>
        </is>
      </c>
    </row>
    <row r="253">
      <c r="A253" s="13" t="n">
        <v>248</v>
      </c>
      <c r="B253" s="13" t="inlineStr">
        <is>
          <t>Floor Slabs</t>
        </is>
      </c>
      <c r="C253" s="13" t="inlineStr">
        <is>
          <t>STR-082</t>
        </is>
      </c>
      <c r="D253" s="13" t="inlineStr">
        <is>
          <t>Typical 4th-8th slab - additional top</t>
        </is>
      </c>
      <c r="E253" s="19" t="inlineStr">
        <is>
          <t>1602</t>
        </is>
      </c>
      <c r="F253" s="19" t="n">
        <v>16</v>
      </c>
      <c r="G253" s="19" t="n">
        <v>1</v>
      </c>
      <c r="H253" s="19" t="n">
        <v>6</v>
      </c>
      <c r="I253" s="13">
        <f>G253*H253</f>
        <v>6.0</v>
      </c>
      <c r="J253" s="20">
        <f>6675/1000</f>
        <v>6.675</v>
      </c>
      <c r="K253" s="21">
        <f>I253*J253</f>
        <v>40.05</v>
      </c>
      <c r="L253" s="22">
        <f>F253^2/162</f>
        <v>1.5802469135802468</v>
      </c>
      <c r="M253" s="21">
        <f>K253*L253</f>
        <v>63.288888888888884</v>
      </c>
      <c r="N253" s="22">
        <f>M253/1000</f>
        <v>0.06328888888888888</v>
      </c>
      <c r="O253" s="13" t="inlineStr">
        <is>
          <t>BBS</t>
        </is>
      </c>
    </row>
    <row r="254">
      <c r="A254" s="13" t="n">
        <v>249</v>
      </c>
      <c r="B254" s="13" t="inlineStr">
        <is>
          <t>Floor Slabs</t>
        </is>
      </c>
      <c r="C254" s="13" t="inlineStr">
        <is>
          <t>STR-082</t>
        </is>
      </c>
      <c r="D254" s="13" t="inlineStr">
        <is>
          <t>Typical 4th-8th slab - additional top</t>
        </is>
      </c>
      <c r="E254" s="19" t="inlineStr">
        <is>
          <t>1603</t>
        </is>
      </c>
      <c r="F254" s="19" t="n">
        <v>16</v>
      </c>
      <c r="G254" s="19" t="n">
        <v>1</v>
      </c>
      <c r="H254" s="19" t="n">
        <v>3</v>
      </c>
      <c r="I254" s="13">
        <f>G254*H254</f>
        <v>3.0</v>
      </c>
      <c r="J254" s="20">
        <f>3000/1000</f>
        <v>3.0</v>
      </c>
      <c r="K254" s="21">
        <f>I254*J254</f>
        <v>9.0</v>
      </c>
      <c r="L254" s="22">
        <f>F254^2/162</f>
        <v>1.5802469135802468</v>
      </c>
      <c r="M254" s="21">
        <f>K254*L254</f>
        <v>14.222222222222221</v>
      </c>
      <c r="N254" s="22">
        <f>M254/1000</f>
        <v>0.014222222222222221</v>
      </c>
      <c r="O254" s="13" t="inlineStr">
        <is>
          <t>BBS</t>
        </is>
      </c>
    </row>
    <row r="255">
      <c r="A255" s="13" t="n">
        <v>250</v>
      </c>
      <c r="B255" s="13" t="inlineStr">
        <is>
          <t>Floor Slabs</t>
        </is>
      </c>
      <c r="C255" s="13" t="inlineStr">
        <is>
          <t>STR-082</t>
        </is>
      </c>
      <c r="D255" s="13" t="inlineStr">
        <is>
          <t>Typical 4th-8th slab - additional top</t>
        </is>
      </c>
      <c r="E255" s="19" t="inlineStr">
        <is>
          <t>1604</t>
        </is>
      </c>
      <c r="F255" s="19" t="n">
        <v>16</v>
      </c>
      <c r="G255" s="19" t="n">
        <v>1</v>
      </c>
      <c r="H255" s="19" t="n">
        <v>6</v>
      </c>
      <c r="I255" s="13">
        <f>G255*H255</f>
        <v>6.0</v>
      </c>
      <c r="J255" s="20">
        <f>4025/1000</f>
        <v>4.025</v>
      </c>
      <c r="K255" s="21">
        <f>I255*J255</f>
        <v>24.150000000000002</v>
      </c>
      <c r="L255" s="22">
        <f>F255^2/162</f>
        <v>1.5802469135802468</v>
      </c>
      <c r="M255" s="21">
        <f>K255*L255</f>
        <v>38.162962962962965</v>
      </c>
      <c r="N255" s="22">
        <f>M255/1000</f>
        <v>0.03816296296296297</v>
      </c>
      <c r="O255" s="13" t="inlineStr">
        <is>
          <t>BBS</t>
        </is>
      </c>
    </row>
    <row r="256">
      <c r="A256" s="13" t="n">
        <v>251</v>
      </c>
      <c r="B256" s="13" t="inlineStr">
        <is>
          <t>Staircases</t>
        </is>
      </c>
      <c r="C256" s="13" t="inlineStr">
        <is>
          <t>STR-027</t>
        </is>
      </c>
      <c r="D256" s="13" t="inlineStr">
        <is>
          <t>Main staircase typical flight (4th to 10th, one storey)</t>
        </is>
      </c>
      <c r="E256" s="19" t="inlineStr">
        <is>
          <t>1201</t>
        </is>
      </c>
      <c r="F256" s="19" t="n">
        <v>12</v>
      </c>
      <c r="G256" s="19" t="n">
        <v>1</v>
      </c>
      <c r="H256" s="19" t="n">
        <v>30</v>
      </c>
      <c r="I256" s="13">
        <f>G256*H256</f>
        <v>30.0</v>
      </c>
      <c r="J256" s="20">
        <f>6200/1000</f>
        <v>6.2</v>
      </c>
      <c r="K256" s="21">
        <f>I256*J256</f>
        <v>186.0</v>
      </c>
      <c r="L256" s="22">
        <f>F256^2/162</f>
        <v>0.8888888888888888</v>
      </c>
      <c r="M256" s="21">
        <f>K256*L256</f>
        <v>165.33333333333331</v>
      </c>
      <c r="N256" s="22">
        <f>M256/1000</f>
        <v>0.1653333333333333</v>
      </c>
      <c r="O256" s="13" t="inlineStr">
        <is>
          <t>BBS</t>
        </is>
      </c>
    </row>
    <row r="257">
      <c r="A257" s="13" t="n">
        <v>252</v>
      </c>
      <c r="B257" s="13" t="inlineStr">
        <is>
          <t>Staircases</t>
        </is>
      </c>
      <c r="C257" s="13" t="inlineStr">
        <is>
          <t>STR-027</t>
        </is>
      </c>
      <c r="D257" s="13" t="inlineStr">
        <is>
          <t>Main staircase typical flight (4th to 10th, one storey)</t>
        </is>
      </c>
      <c r="E257" s="19" t="inlineStr">
        <is>
          <t>1202</t>
        </is>
      </c>
      <c r="F257" s="19" t="n">
        <v>12</v>
      </c>
      <c r="G257" s="19" t="n">
        <v>1</v>
      </c>
      <c r="H257" s="19" t="n">
        <v>80</v>
      </c>
      <c r="I257" s="13">
        <f>G257*H257</f>
        <v>80.0</v>
      </c>
      <c r="J257" s="20">
        <f>2300/1000</f>
        <v>2.3</v>
      </c>
      <c r="K257" s="21">
        <f>I257*J257</f>
        <v>184.0</v>
      </c>
      <c r="L257" s="22">
        <f>F257^2/162</f>
        <v>0.8888888888888888</v>
      </c>
      <c r="M257" s="21">
        <f>K257*L257</f>
        <v>163.55555555555554</v>
      </c>
      <c r="N257" s="22">
        <f>M257/1000</f>
        <v>0.16355555555555554</v>
      </c>
      <c r="O257" s="13" t="inlineStr">
        <is>
          <t>BBS</t>
        </is>
      </c>
    </row>
    <row r="258">
      <c r="A258" s="13" t="n">
        <v>253</v>
      </c>
      <c r="B258" s="13" t="inlineStr">
        <is>
          <t>Staircases</t>
        </is>
      </c>
      <c r="C258" s="13" t="inlineStr">
        <is>
          <t>STR-027</t>
        </is>
      </c>
      <c r="D258" s="13" t="inlineStr">
        <is>
          <t>Main staircase typical flight (4th to 10th, one storey)</t>
        </is>
      </c>
      <c r="E258" s="19" t="inlineStr">
        <is>
          <t>1203</t>
        </is>
      </c>
      <c r="F258" s="19" t="n">
        <v>12</v>
      </c>
      <c r="G258" s="19" t="n">
        <v>1</v>
      </c>
      <c r="H258" s="19" t="n">
        <v>26</v>
      </c>
      <c r="I258" s="13">
        <f>G258*H258</f>
        <v>26.0</v>
      </c>
      <c r="J258" s="20">
        <f>4800/1000</f>
        <v>4.8</v>
      </c>
      <c r="K258" s="21">
        <f>I258*J258</f>
        <v>124.8</v>
      </c>
      <c r="L258" s="22">
        <f>F258^2/162</f>
        <v>0.8888888888888888</v>
      </c>
      <c r="M258" s="21">
        <f>K258*L258</f>
        <v>110.93333333333332</v>
      </c>
      <c r="N258" s="22">
        <f>M258/1000</f>
        <v>0.11093333333333333</v>
      </c>
      <c r="O258" s="13" t="inlineStr">
        <is>
          <t>BBS</t>
        </is>
      </c>
    </row>
    <row r="259">
      <c r="A259" s="13" t="n">
        <v>254</v>
      </c>
      <c r="B259" s="13" t="inlineStr">
        <is>
          <t>Staircases</t>
        </is>
      </c>
      <c r="C259" s="13" t="inlineStr">
        <is>
          <t>STR-027</t>
        </is>
      </c>
      <c r="D259" s="13" t="inlineStr">
        <is>
          <t>Main staircase typical flight (4th to 10th, one storey)</t>
        </is>
      </c>
      <c r="E259" s="19" t="inlineStr">
        <is>
          <t>1601</t>
        </is>
      </c>
      <c r="F259" s="19" t="n">
        <v>16</v>
      </c>
      <c r="G259" s="19" t="n">
        <v>1</v>
      </c>
      <c r="H259" s="19" t="n">
        <v>11</v>
      </c>
      <c r="I259" s="13">
        <f>G259*H259</f>
        <v>11.0</v>
      </c>
      <c r="J259" s="20">
        <f>8450/1000</f>
        <v>8.45</v>
      </c>
      <c r="K259" s="21">
        <f>I259*J259</f>
        <v>92.94999999999999</v>
      </c>
      <c r="L259" s="22">
        <f>F259^2/162</f>
        <v>1.5802469135802468</v>
      </c>
      <c r="M259" s="21">
        <f>K259*L259</f>
        <v>146.88395061728392</v>
      </c>
      <c r="N259" s="22">
        <f>M259/1000</f>
        <v>0.1468839506172839</v>
      </c>
      <c r="O259" s="13" t="inlineStr">
        <is>
          <t>BBS</t>
        </is>
      </c>
    </row>
    <row r="260">
      <c r="A260" s="13" t="n">
        <v>255</v>
      </c>
      <c r="B260" s="13" t="inlineStr">
        <is>
          <t>Staircases</t>
        </is>
      </c>
      <c r="C260" s="13" t="inlineStr">
        <is>
          <t>STR-027</t>
        </is>
      </c>
      <c r="D260" s="13" t="inlineStr">
        <is>
          <t>Main staircase typical flight (4th to 10th, one storey)</t>
        </is>
      </c>
      <c r="E260" s="19" t="inlineStr">
        <is>
          <t>1602</t>
        </is>
      </c>
      <c r="F260" s="19" t="n">
        <v>16</v>
      </c>
      <c r="G260" s="19" t="n">
        <v>1</v>
      </c>
      <c r="H260" s="19" t="n">
        <v>11</v>
      </c>
      <c r="I260" s="13">
        <f>G260*H260</f>
        <v>11.0</v>
      </c>
      <c r="J260" s="20">
        <f>4475/1000</f>
        <v>4.475</v>
      </c>
      <c r="K260" s="21">
        <f>I260*J260</f>
        <v>49.224999999999994</v>
      </c>
      <c r="L260" s="22">
        <f>F260^2/162</f>
        <v>1.5802469135802468</v>
      </c>
      <c r="M260" s="21">
        <f>K260*L260</f>
        <v>77.78765432098764</v>
      </c>
      <c r="N260" s="22">
        <f>M260/1000</f>
        <v>0.07778765432098764</v>
      </c>
      <c r="O260" s="13" t="inlineStr">
        <is>
          <t>BBS</t>
        </is>
      </c>
    </row>
    <row r="261">
      <c r="A261" s="13" t="n">
        <v>256</v>
      </c>
      <c r="B261" s="13" t="inlineStr">
        <is>
          <t>Staircases</t>
        </is>
      </c>
      <c r="C261" s="13" t="inlineStr">
        <is>
          <t>STR-027</t>
        </is>
      </c>
      <c r="D261" s="13" t="inlineStr">
        <is>
          <t>Main staircase typical flight (4th to 10th, one storey)</t>
        </is>
      </c>
      <c r="E261" s="19" t="inlineStr">
        <is>
          <t>1603</t>
        </is>
      </c>
      <c r="F261" s="19" t="n">
        <v>16</v>
      </c>
      <c r="G261" s="19" t="n">
        <v>1</v>
      </c>
      <c r="H261" s="19" t="n">
        <v>11</v>
      </c>
      <c r="I261" s="13">
        <f>G261*H261</f>
        <v>11.0</v>
      </c>
      <c r="J261" s="20">
        <f>2400/1000</f>
        <v>2.4</v>
      </c>
      <c r="K261" s="21">
        <f>I261*J261</f>
        <v>26.4</v>
      </c>
      <c r="L261" s="22">
        <f>F261^2/162</f>
        <v>1.5802469135802468</v>
      </c>
      <c r="M261" s="21">
        <f>K261*L261</f>
        <v>41.718518518518515</v>
      </c>
      <c r="N261" s="22">
        <f>M261/1000</f>
        <v>0.041718518518518516</v>
      </c>
      <c r="O261" s="13" t="inlineStr">
        <is>
          <t>BBS</t>
        </is>
      </c>
    </row>
    <row r="262">
      <c r="A262" s="13" t="n">
        <v>257</v>
      </c>
      <c r="B262" s="13" t="inlineStr">
        <is>
          <t>Staircases</t>
        </is>
      </c>
      <c r="C262" s="13" t="inlineStr">
        <is>
          <t>STR-027</t>
        </is>
      </c>
      <c r="D262" s="13" t="inlineStr">
        <is>
          <t>Main staircase typical flight (4th to 10th, one storey)</t>
        </is>
      </c>
      <c r="E262" s="19" t="inlineStr">
        <is>
          <t>1604</t>
        </is>
      </c>
      <c r="F262" s="19" t="n">
        <v>16</v>
      </c>
      <c r="G262" s="19" t="n">
        <v>1</v>
      </c>
      <c r="H262" s="19" t="n">
        <v>11</v>
      </c>
      <c r="I262" s="13">
        <f>G262*H262</f>
        <v>11.0</v>
      </c>
      <c r="J262" s="20">
        <f>4250/1000</f>
        <v>4.25</v>
      </c>
      <c r="K262" s="21">
        <f>I262*J262</f>
        <v>46.75</v>
      </c>
      <c r="L262" s="22">
        <f>F262^2/162</f>
        <v>1.5802469135802468</v>
      </c>
      <c r="M262" s="21">
        <f>K262*L262</f>
        <v>73.87654320987654</v>
      </c>
      <c r="N262" s="22">
        <f>M262/1000</f>
        <v>0.07387654320987655</v>
      </c>
      <c r="O262" s="13" t="inlineStr">
        <is>
          <t>BBS</t>
        </is>
      </c>
    </row>
    <row r="263">
      <c r="A263" s="13" t="n">
        <v>258</v>
      </c>
      <c r="B263" s="13" t="inlineStr">
        <is>
          <t>Staircases</t>
        </is>
      </c>
      <c r="C263" s="13" t="inlineStr">
        <is>
          <t>STR-027</t>
        </is>
      </c>
      <c r="D263" s="13" t="inlineStr">
        <is>
          <t>Main staircase typical flight (4th to 10th, one storey)</t>
        </is>
      </c>
      <c r="E263" s="19" t="inlineStr">
        <is>
          <t>1605</t>
        </is>
      </c>
      <c r="F263" s="19" t="n">
        <v>16</v>
      </c>
      <c r="G263" s="19" t="n">
        <v>1</v>
      </c>
      <c r="H263" s="19" t="n">
        <v>11</v>
      </c>
      <c r="I263" s="13">
        <f>G263*H263</f>
        <v>11.0</v>
      </c>
      <c r="J263" s="20">
        <f>2100/1000</f>
        <v>2.1</v>
      </c>
      <c r="K263" s="21">
        <f>I263*J263</f>
        <v>23.1</v>
      </c>
      <c r="L263" s="22">
        <f>F263^2/162</f>
        <v>1.5802469135802468</v>
      </c>
      <c r="M263" s="21">
        <f>K263*L263</f>
        <v>36.50370370370371</v>
      </c>
      <c r="N263" s="22">
        <f>M263/1000</f>
        <v>0.036503703703703705</v>
      </c>
      <c r="O263" s="13" t="inlineStr">
        <is>
          <t>BBS</t>
        </is>
      </c>
    </row>
    <row r="264">
      <c r="A264" s="13" t="n">
        <v>259</v>
      </c>
      <c r="B264" s="13" t="inlineStr">
        <is>
          <t>Staircases</t>
        </is>
      </c>
      <c r="C264" s="13" t="inlineStr">
        <is>
          <t>STR-027</t>
        </is>
      </c>
      <c r="D264" s="13" t="inlineStr">
        <is>
          <t>Main staircase typical flight (4th to 10th, one storey)</t>
        </is>
      </c>
      <c r="E264" s="19" t="inlineStr">
        <is>
          <t>1606</t>
        </is>
      </c>
      <c r="F264" s="19" t="n">
        <v>16</v>
      </c>
      <c r="G264" s="19" t="n">
        <v>1</v>
      </c>
      <c r="H264" s="19" t="n">
        <v>11</v>
      </c>
      <c r="I264" s="13">
        <f>G264*H264</f>
        <v>11.0</v>
      </c>
      <c r="J264" s="20">
        <f>6950/1000</f>
        <v>6.95</v>
      </c>
      <c r="K264" s="21">
        <f>I264*J264</f>
        <v>76.45</v>
      </c>
      <c r="L264" s="22">
        <f>F264^2/162</f>
        <v>1.5802469135802468</v>
      </c>
      <c r="M264" s="21">
        <f>K264*L264</f>
        <v>120.80987654320987</v>
      </c>
      <c r="N264" s="22">
        <f>M264/1000</f>
        <v>0.12080987654320986</v>
      </c>
      <c r="O264" s="13" t="inlineStr">
        <is>
          <t>BBS</t>
        </is>
      </c>
    </row>
    <row r="265">
      <c r="A265" s="13" t="n">
        <v>260</v>
      </c>
      <c r="B265" s="13" t="inlineStr">
        <is>
          <t>Staircases</t>
        </is>
      </c>
      <c r="C265" s="13" t="inlineStr">
        <is>
          <t>STR-027</t>
        </is>
      </c>
      <c r="D265" s="13" t="inlineStr">
        <is>
          <t>Main staircase typical flight (4th to 10th, one storey)</t>
        </is>
      </c>
      <c r="E265" s="19" t="inlineStr">
        <is>
          <t>1607</t>
        </is>
      </c>
      <c r="F265" s="19" t="n">
        <v>16</v>
      </c>
      <c r="G265" s="19" t="n">
        <v>1</v>
      </c>
      <c r="H265" s="19" t="n">
        <v>11</v>
      </c>
      <c r="I265" s="13">
        <f>G265*H265</f>
        <v>11.0</v>
      </c>
      <c r="J265" s="20">
        <f>3300/1000</f>
        <v>3.3</v>
      </c>
      <c r="K265" s="21">
        <f>I265*J265</f>
        <v>36.3</v>
      </c>
      <c r="L265" s="22">
        <f>F265^2/162</f>
        <v>1.5802469135802468</v>
      </c>
      <c r="M265" s="21">
        <f>K265*L265</f>
        <v>57.36296296296295</v>
      </c>
      <c r="N265" s="22">
        <f>M265/1000</f>
        <v>0.057362962962962956</v>
      </c>
      <c r="O265" s="13" t="inlineStr">
        <is>
          <t>BBS</t>
        </is>
      </c>
    </row>
    <row r="266">
      <c r="A266" s="13" t="n">
        <v>261</v>
      </c>
      <c r="B266" s="13" t="inlineStr">
        <is>
          <t>Staircases</t>
        </is>
      </c>
      <c r="C266" s="13" t="inlineStr">
        <is>
          <t>STR-027</t>
        </is>
      </c>
      <c r="D266" s="13" t="inlineStr">
        <is>
          <t>Main staircase typical flight (4th to 10th, one storey)</t>
        </is>
      </c>
      <c r="E266" s="19" t="inlineStr">
        <is>
          <t>1608</t>
        </is>
      </c>
      <c r="F266" s="19" t="n">
        <v>16</v>
      </c>
      <c r="G266" s="19" t="n">
        <v>1</v>
      </c>
      <c r="H266" s="19" t="n">
        <v>11</v>
      </c>
      <c r="I266" s="13">
        <f>G266*H266</f>
        <v>11.0</v>
      </c>
      <c r="J266" s="20">
        <f>1200/1000</f>
        <v>1.2</v>
      </c>
      <c r="K266" s="21">
        <f>I266*J266</f>
        <v>13.2</v>
      </c>
      <c r="L266" s="22">
        <f>F266^2/162</f>
        <v>1.5802469135802468</v>
      </c>
      <c r="M266" s="21">
        <f>K266*L266</f>
        <v>20.859259259259257</v>
      </c>
      <c r="N266" s="22">
        <f>M266/1000</f>
        <v>0.020859259259259258</v>
      </c>
      <c r="O266" s="13" t="inlineStr">
        <is>
          <t>BBS</t>
        </is>
      </c>
    </row>
    <row r="267">
      <c r="A267" s="13" t="n">
        <v>262</v>
      </c>
      <c r="B267" s="13" t="inlineStr">
        <is>
          <t>Staircases</t>
        </is>
      </c>
      <c r="C267" s="13" t="inlineStr">
        <is>
          <t>STR-027</t>
        </is>
      </c>
      <c r="D267" s="13" t="inlineStr">
        <is>
          <t>Main staircase typical flight (4th to 10th, one storey)</t>
        </is>
      </c>
      <c r="E267" s="19" t="inlineStr">
        <is>
          <t>1609</t>
        </is>
      </c>
      <c r="F267" s="19" t="n">
        <v>16</v>
      </c>
      <c r="G267" s="19" t="n">
        <v>1</v>
      </c>
      <c r="H267" s="19" t="n">
        <v>11</v>
      </c>
      <c r="I267" s="13">
        <f>G267*H267</f>
        <v>11.0</v>
      </c>
      <c r="J267" s="20">
        <f>6225/1000</f>
        <v>6.225</v>
      </c>
      <c r="K267" s="21">
        <f>I267*J267</f>
        <v>68.475</v>
      </c>
      <c r="L267" s="22">
        <f>F267^2/162</f>
        <v>1.5802469135802468</v>
      </c>
      <c r="M267" s="21">
        <f>K267*L267</f>
        <v>108.20740740740739</v>
      </c>
      <c r="N267" s="22">
        <f>M267/1000</f>
        <v>0.10820740740740739</v>
      </c>
      <c r="O267" s="13" t="inlineStr">
        <is>
          <t>BBS</t>
        </is>
      </c>
    </row>
    <row r="268">
      <c r="A268" s="13" t="n">
        <v>263</v>
      </c>
      <c r="B268" s="13" t="inlineStr">
        <is>
          <t>Staircases</t>
        </is>
      </c>
      <c r="C268" s="13" t="inlineStr">
        <is>
          <t>STR-027</t>
        </is>
      </c>
      <c r="D268" s="13" t="inlineStr">
        <is>
          <t>Main staircase typical flight (4th to 10th, one storey)</t>
        </is>
      </c>
      <c r="E268" s="19" t="inlineStr">
        <is>
          <t>1610</t>
        </is>
      </c>
      <c r="F268" s="19" t="n">
        <v>16</v>
      </c>
      <c r="G268" s="19" t="n">
        <v>1</v>
      </c>
      <c r="H268" s="19" t="n">
        <v>11</v>
      </c>
      <c r="I268" s="13">
        <f>G268*H268</f>
        <v>11.0</v>
      </c>
      <c r="J268" s="20">
        <f>3225/1000</f>
        <v>3.225</v>
      </c>
      <c r="K268" s="21">
        <f>I268*J268</f>
        <v>35.475</v>
      </c>
      <c r="L268" s="22">
        <f>F268^2/162</f>
        <v>1.5802469135802468</v>
      </c>
      <c r="M268" s="21">
        <f>K268*L268</f>
        <v>56.05925925925926</v>
      </c>
      <c r="N268" s="22">
        <f>M268/1000</f>
        <v>0.05605925925925926</v>
      </c>
      <c r="O268" s="13" t="inlineStr">
        <is>
          <t>BBS</t>
        </is>
      </c>
    </row>
    <row r="269">
      <c r="A269" s="13" t="n">
        <v>264</v>
      </c>
      <c r="B269" s="13" t="inlineStr">
        <is>
          <t>Staircases</t>
        </is>
      </c>
      <c r="C269" s="13" t="inlineStr">
        <is>
          <t>STR-037</t>
        </is>
      </c>
      <c r="D269" s="13" t="inlineStr">
        <is>
          <t>Emergency staircase typical flight (4th to 10th, one storey)</t>
        </is>
      </c>
      <c r="E269" s="19" t="inlineStr">
        <is>
          <t>1201</t>
        </is>
      </c>
      <c r="F269" s="19" t="n">
        <v>12</v>
      </c>
      <c r="G269" s="19" t="n">
        <v>1</v>
      </c>
      <c r="H269" s="19" t="n">
        <v>30</v>
      </c>
      <c r="I269" s="13">
        <f>G269*H269</f>
        <v>30.0</v>
      </c>
      <c r="J269" s="20">
        <f>6200/1000</f>
        <v>6.2</v>
      </c>
      <c r="K269" s="21">
        <f>I269*J269</f>
        <v>186.0</v>
      </c>
      <c r="L269" s="22">
        <f>F269^2/162</f>
        <v>0.8888888888888888</v>
      </c>
      <c r="M269" s="21">
        <f>K269*L269</f>
        <v>165.33333333333331</v>
      </c>
      <c r="N269" s="22">
        <f>M269/1000</f>
        <v>0.1653333333333333</v>
      </c>
      <c r="O269" s="13" t="inlineStr">
        <is>
          <t>BBS</t>
        </is>
      </c>
    </row>
    <row r="270">
      <c r="A270" s="13" t="n">
        <v>265</v>
      </c>
      <c r="B270" s="13" t="inlineStr">
        <is>
          <t>Staircases</t>
        </is>
      </c>
      <c r="C270" s="13" t="inlineStr">
        <is>
          <t>STR-037</t>
        </is>
      </c>
      <c r="D270" s="13" t="inlineStr">
        <is>
          <t>Emergency staircase typical flight (4th to 10th, one storey)</t>
        </is>
      </c>
      <c r="E270" s="19" t="inlineStr">
        <is>
          <t>1202</t>
        </is>
      </c>
      <c r="F270" s="19" t="n">
        <v>12</v>
      </c>
      <c r="G270" s="19" t="n">
        <v>1</v>
      </c>
      <c r="H270" s="19" t="n">
        <v>80</v>
      </c>
      <c r="I270" s="13">
        <f>G270*H270</f>
        <v>80.0</v>
      </c>
      <c r="J270" s="20">
        <f>2300/1000</f>
        <v>2.3</v>
      </c>
      <c r="K270" s="21">
        <f>I270*J270</f>
        <v>184.0</v>
      </c>
      <c r="L270" s="22">
        <f>F270^2/162</f>
        <v>0.8888888888888888</v>
      </c>
      <c r="M270" s="21">
        <f>K270*L270</f>
        <v>163.55555555555554</v>
      </c>
      <c r="N270" s="22">
        <f>M270/1000</f>
        <v>0.16355555555555554</v>
      </c>
      <c r="O270" s="13" t="inlineStr">
        <is>
          <t>BBS</t>
        </is>
      </c>
    </row>
    <row r="271">
      <c r="A271" s="13" t="n">
        <v>266</v>
      </c>
      <c r="B271" s="13" t="inlineStr">
        <is>
          <t>Staircases</t>
        </is>
      </c>
      <c r="C271" s="13" t="inlineStr">
        <is>
          <t>STR-037</t>
        </is>
      </c>
      <c r="D271" s="13" t="inlineStr">
        <is>
          <t>Emergency staircase typical flight (4th to 10th, one storey)</t>
        </is>
      </c>
      <c r="E271" s="19" t="inlineStr">
        <is>
          <t>1203</t>
        </is>
      </c>
      <c r="F271" s="19" t="n">
        <v>12</v>
      </c>
      <c r="G271" s="19" t="n">
        <v>1</v>
      </c>
      <c r="H271" s="19" t="n">
        <v>26</v>
      </c>
      <c r="I271" s="13">
        <f>G271*H271</f>
        <v>26.0</v>
      </c>
      <c r="J271" s="20">
        <f>4800/1000</f>
        <v>4.8</v>
      </c>
      <c r="K271" s="21">
        <f>I271*J271</f>
        <v>124.8</v>
      </c>
      <c r="L271" s="22">
        <f>F271^2/162</f>
        <v>0.8888888888888888</v>
      </c>
      <c r="M271" s="21">
        <f>K271*L271</f>
        <v>110.93333333333332</v>
      </c>
      <c r="N271" s="22">
        <f>M271/1000</f>
        <v>0.11093333333333333</v>
      </c>
      <c r="O271" s="13" t="inlineStr">
        <is>
          <t>BBS</t>
        </is>
      </c>
    </row>
    <row r="272">
      <c r="A272" s="13" t="n">
        <v>267</v>
      </c>
      <c r="B272" s="13" t="inlineStr">
        <is>
          <t>Staircases</t>
        </is>
      </c>
      <c r="C272" s="13" t="inlineStr">
        <is>
          <t>STR-037</t>
        </is>
      </c>
      <c r="D272" s="13" t="inlineStr">
        <is>
          <t>Emergency staircase typical flight (4th to 10th, one storey)</t>
        </is>
      </c>
      <c r="E272" s="19" t="inlineStr">
        <is>
          <t>1601</t>
        </is>
      </c>
      <c r="F272" s="19" t="n">
        <v>16</v>
      </c>
      <c r="G272" s="19" t="n">
        <v>1</v>
      </c>
      <c r="H272" s="19" t="n">
        <v>11</v>
      </c>
      <c r="I272" s="13">
        <f>G272*H272</f>
        <v>11.0</v>
      </c>
      <c r="J272" s="20">
        <f>8175/1000</f>
        <v>8.175</v>
      </c>
      <c r="K272" s="21">
        <f>I272*J272</f>
        <v>89.92500000000001</v>
      </c>
      <c r="L272" s="22">
        <f>F272^2/162</f>
        <v>1.5802469135802468</v>
      </c>
      <c r="M272" s="21">
        <f>K272*L272</f>
        <v>142.1037037037037</v>
      </c>
      <c r="N272" s="22">
        <f>M272/1000</f>
        <v>0.1421037037037037</v>
      </c>
      <c r="O272" s="13" t="inlineStr">
        <is>
          <t>BBS</t>
        </is>
      </c>
    </row>
    <row r="273">
      <c r="A273" s="13" t="n">
        <v>268</v>
      </c>
      <c r="B273" s="13" t="inlineStr">
        <is>
          <t>Staircases</t>
        </is>
      </c>
      <c r="C273" s="13" t="inlineStr">
        <is>
          <t>STR-037</t>
        </is>
      </c>
      <c r="D273" s="13" t="inlineStr">
        <is>
          <t>Emergency staircase typical flight (4th to 10th, one storey)</t>
        </is>
      </c>
      <c r="E273" s="19" t="inlineStr">
        <is>
          <t>1602</t>
        </is>
      </c>
      <c r="F273" s="19" t="n">
        <v>16</v>
      </c>
      <c r="G273" s="19" t="n">
        <v>1</v>
      </c>
      <c r="H273" s="19" t="n">
        <v>11</v>
      </c>
      <c r="I273" s="13">
        <f>G273*H273</f>
        <v>11.0</v>
      </c>
      <c r="J273" s="20">
        <f>2650/1000</f>
        <v>2.65</v>
      </c>
      <c r="K273" s="21">
        <f>I273*J273</f>
        <v>29.15</v>
      </c>
      <c r="L273" s="22">
        <f>F273^2/162</f>
        <v>1.5802469135802468</v>
      </c>
      <c r="M273" s="21">
        <f>K273*L273</f>
        <v>46.06419753086419</v>
      </c>
      <c r="N273" s="22">
        <f>M273/1000</f>
        <v>0.046064197530864194</v>
      </c>
      <c r="O273" s="13" t="inlineStr">
        <is>
          <t>BBS</t>
        </is>
      </c>
    </row>
    <row r="274">
      <c r="A274" s="13" t="n">
        <v>269</v>
      </c>
      <c r="B274" s="13" t="inlineStr">
        <is>
          <t>Staircases</t>
        </is>
      </c>
      <c r="C274" s="13" t="inlineStr">
        <is>
          <t>STR-037</t>
        </is>
      </c>
      <c r="D274" s="13" t="inlineStr">
        <is>
          <t>Emergency staircase typical flight (4th to 10th, one storey)</t>
        </is>
      </c>
      <c r="E274" s="19" t="inlineStr">
        <is>
          <t>1603</t>
        </is>
      </c>
      <c r="F274" s="19" t="n">
        <v>16</v>
      </c>
      <c r="G274" s="19" t="n">
        <v>1</v>
      </c>
      <c r="H274" s="19" t="n">
        <v>11</v>
      </c>
      <c r="I274" s="13">
        <f>G274*H274</f>
        <v>11.0</v>
      </c>
      <c r="J274" s="20">
        <f>2400/1000</f>
        <v>2.4</v>
      </c>
      <c r="K274" s="21">
        <f>I274*J274</f>
        <v>26.4</v>
      </c>
      <c r="L274" s="22">
        <f>F274^2/162</f>
        <v>1.5802469135802468</v>
      </c>
      <c r="M274" s="21">
        <f>K274*L274</f>
        <v>41.718518518518515</v>
      </c>
      <c r="N274" s="22">
        <f>M274/1000</f>
        <v>0.041718518518518516</v>
      </c>
      <c r="O274" s="13" t="inlineStr">
        <is>
          <t>BBS</t>
        </is>
      </c>
    </row>
    <row r="275">
      <c r="A275" s="13" t="n">
        <v>270</v>
      </c>
      <c r="B275" s="13" t="inlineStr">
        <is>
          <t>Staircases</t>
        </is>
      </c>
      <c r="C275" s="13" t="inlineStr">
        <is>
          <t>STR-037</t>
        </is>
      </c>
      <c r="D275" s="13" t="inlineStr">
        <is>
          <t>Emergency staircase typical flight (4th to 10th, one storey)</t>
        </is>
      </c>
      <c r="E275" s="19" t="inlineStr">
        <is>
          <t>1604</t>
        </is>
      </c>
      <c r="F275" s="19" t="n">
        <v>16</v>
      </c>
      <c r="G275" s="19" t="n">
        <v>1</v>
      </c>
      <c r="H275" s="19" t="n">
        <v>11</v>
      </c>
      <c r="I275" s="13">
        <f>G275*H275</f>
        <v>11.0</v>
      </c>
      <c r="J275" s="20">
        <f>4300/1000</f>
        <v>4.3</v>
      </c>
      <c r="K275" s="21">
        <f>I275*J275</f>
        <v>47.3</v>
      </c>
      <c r="L275" s="22">
        <f>F275^2/162</f>
        <v>1.5802469135802468</v>
      </c>
      <c r="M275" s="21">
        <f>K275*L275</f>
        <v>74.74567901234568</v>
      </c>
      <c r="N275" s="22">
        <f>M275/1000</f>
        <v>0.07474567901234568</v>
      </c>
      <c r="O275" s="13" t="inlineStr">
        <is>
          <t>BBS</t>
        </is>
      </c>
    </row>
    <row r="276">
      <c r="A276" s="13" t="n">
        <v>271</v>
      </c>
      <c r="B276" s="13" t="inlineStr">
        <is>
          <t>Staircases</t>
        </is>
      </c>
      <c r="C276" s="13" t="inlineStr">
        <is>
          <t>STR-037</t>
        </is>
      </c>
      <c r="D276" s="13" t="inlineStr">
        <is>
          <t>Emergency staircase typical flight (4th to 10th, one storey)</t>
        </is>
      </c>
      <c r="E276" s="19" t="inlineStr">
        <is>
          <t>1605</t>
        </is>
      </c>
      <c r="F276" s="19" t="n">
        <v>16</v>
      </c>
      <c r="G276" s="19" t="n">
        <v>1</v>
      </c>
      <c r="H276" s="19" t="n">
        <v>11</v>
      </c>
      <c r="I276" s="13">
        <f>G276*H276</f>
        <v>11.0</v>
      </c>
      <c r="J276" s="20">
        <f>2100/1000</f>
        <v>2.1</v>
      </c>
      <c r="K276" s="21">
        <f>I276*J276</f>
        <v>23.1</v>
      </c>
      <c r="L276" s="22">
        <f>F276^2/162</f>
        <v>1.5802469135802468</v>
      </c>
      <c r="M276" s="21">
        <f>K276*L276</f>
        <v>36.50370370370371</v>
      </c>
      <c r="N276" s="22">
        <f>M276/1000</f>
        <v>0.036503703703703705</v>
      </c>
      <c r="O276" s="13" t="inlineStr">
        <is>
          <t>BBS</t>
        </is>
      </c>
    </row>
    <row r="277">
      <c r="A277" s="13" t="n">
        <v>272</v>
      </c>
      <c r="B277" s="13" t="inlineStr">
        <is>
          <t>Staircases</t>
        </is>
      </c>
      <c r="C277" s="13" t="inlineStr">
        <is>
          <t>STR-037</t>
        </is>
      </c>
      <c r="D277" s="13" t="inlineStr">
        <is>
          <t>Emergency staircase typical flight (4th to 10th, one storey)</t>
        </is>
      </c>
      <c r="E277" s="19" t="inlineStr">
        <is>
          <t>1606</t>
        </is>
      </c>
      <c r="F277" s="19" t="n">
        <v>16</v>
      </c>
      <c r="G277" s="19" t="n">
        <v>1</v>
      </c>
      <c r="H277" s="19" t="n">
        <v>11</v>
      </c>
      <c r="I277" s="13">
        <f>G277*H277</f>
        <v>11.0</v>
      </c>
      <c r="J277" s="20">
        <f>6900/1000</f>
        <v>6.9</v>
      </c>
      <c r="K277" s="21">
        <f>I277*J277</f>
        <v>75.9</v>
      </c>
      <c r="L277" s="22">
        <f>F277^2/162</f>
        <v>1.5802469135802468</v>
      </c>
      <c r="M277" s="21">
        <f>K277*L277</f>
        <v>119.94074074074074</v>
      </c>
      <c r="N277" s="22">
        <f>M277/1000</f>
        <v>0.11994074074074074</v>
      </c>
      <c r="O277" s="13" t="inlineStr">
        <is>
          <t>BBS</t>
        </is>
      </c>
    </row>
    <row r="278">
      <c r="A278" s="13" t="n">
        <v>273</v>
      </c>
      <c r="B278" s="13" t="inlineStr">
        <is>
          <t>Staircases</t>
        </is>
      </c>
      <c r="C278" s="13" t="inlineStr">
        <is>
          <t>STR-037</t>
        </is>
      </c>
      <c r="D278" s="13" t="inlineStr">
        <is>
          <t>Emergency staircase typical flight (4th to 10th, one storey)</t>
        </is>
      </c>
      <c r="E278" s="19" t="inlineStr">
        <is>
          <t>1607</t>
        </is>
      </c>
      <c r="F278" s="19" t="n">
        <v>16</v>
      </c>
      <c r="G278" s="19" t="n">
        <v>1</v>
      </c>
      <c r="H278" s="19" t="n">
        <v>11</v>
      </c>
      <c r="I278" s="13">
        <f>G278*H278</f>
        <v>11.0</v>
      </c>
      <c r="J278" s="20">
        <f>4800/1000</f>
        <v>4.8</v>
      </c>
      <c r="K278" s="21">
        <f>I278*J278</f>
        <v>52.8</v>
      </c>
      <c r="L278" s="22">
        <f>F278^2/162</f>
        <v>1.5802469135802468</v>
      </c>
      <c r="M278" s="21">
        <f>K278*L278</f>
        <v>83.43703703703703</v>
      </c>
      <c r="N278" s="22">
        <f>M278/1000</f>
        <v>0.08343703703703703</v>
      </c>
      <c r="O278" s="13" t="inlineStr">
        <is>
          <t>BBS</t>
        </is>
      </c>
    </row>
    <row r="279">
      <c r="A279" s="13" t="n">
        <v>274</v>
      </c>
      <c r="B279" s="13" t="inlineStr">
        <is>
          <t>Staircases</t>
        </is>
      </c>
      <c r="C279" s="13" t="inlineStr">
        <is>
          <t>STR-037</t>
        </is>
      </c>
      <c r="D279" s="13" t="inlineStr">
        <is>
          <t>Emergency staircase typical flight (4th to 10th, one storey)</t>
        </is>
      </c>
      <c r="E279" s="19" t="inlineStr">
        <is>
          <t>1608</t>
        </is>
      </c>
      <c r="F279" s="19" t="n">
        <v>16</v>
      </c>
      <c r="G279" s="19" t="n">
        <v>1</v>
      </c>
      <c r="H279" s="19" t="n">
        <v>11</v>
      </c>
      <c r="I279" s="13">
        <f>G279*H279</f>
        <v>11.0</v>
      </c>
      <c r="J279" s="20">
        <f>3400/1000</f>
        <v>3.4</v>
      </c>
      <c r="K279" s="21">
        <f>I279*J279</f>
        <v>37.4</v>
      </c>
      <c r="L279" s="22">
        <f>F279^2/162</f>
        <v>1.5802469135802468</v>
      </c>
      <c r="M279" s="21">
        <f>K279*L279</f>
        <v>59.10123456790123</v>
      </c>
      <c r="N279" s="22">
        <f>M279/1000</f>
        <v>0.05910123456790123</v>
      </c>
      <c r="O279" s="13" t="inlineStr">
        <is>
          <t>BBS</t>
        </is>
      </c>
    </row>
    <row r="280">
      <c r="A280" s="13" t="n">
        <v>275</v>
      </c>
      <c r="B280" s="13" t="inlineStr">
        <is>
          <t>Staircases</t>
        </is>
      </c>
      <c r="C280" s="13" t="inlineStr">
        <is>
          <t>STR-037</t>
        </is>
      </c>
      <c r="D280" s="13" t="inlineStr">
        <is>
          <t>Emergency staircase typical flight (4th to 10th, one storey)</t>
        </is>
      </c>
      <c r="E280" s="19" t="inlineStr">
        <is>
          <t>1609</t>
        </is>
      </c>
      <c r="F280" s="19" t="n">
        <v>16</v>
      </c>
      <c r="G280" s="19" t="n">
        <v>1</v>
      </c>
      <c r="H280" s="19" t="n">
        <v>11</v>
      </c>
      <c r="I280" s="13">
        <f>G280*H280</f>
        <v>11.0</v>
      </c>
      <c r="J280" s="20">
        <f>3200/1000</f>
        <v>3.2</v>
      </c>
      <c r="K280" s="21">
        <f>I280*J280</f>
        <v>35.2</v>
      </c>
      <c r="L280" s="22">
        <f>F280^2/162</f>
        <v>1.5802469135802468</v>
      </c>
      <c r="M280" s="21">
        <f>K280*L280</f>
        <v>55.62469135802469</v>
      </c>
      <c r="N280" s="22">
        <f>M280/1000</f>
        <v>0.05562469135802469</v>
      </c>
      <c r="O280" s="13" t="inlineStr">
        <is>
          <t>BBS</t>
        </is>
      </c>
    </row>
    <row r="281">
      <c r="A281" s="13" t="n">
        <v>276</v>
      </c>
      <c r="B281" s="13" t="inlineStr">
        <is>
          <t>Staircases</t>
        </is>
      </c>
      <c r="C281" s="13" t="inlineStr">
        <is>
          <t>STR-037</t>
        </is>
      </c>
      <c r="D281" s="13" t="inlineStr">
        <is>
          <t>Emergency staircase typical flight (4th to 10th, one storey)</t>
        </is>
      </c>
      <c r="E281" s="19" t="inlineStr">
        <is>
          <t>1610</t>
        </is>
      </c>
      <c r="F281" s="19" t="n">
        <v>16</v>
      </c>
      <c r="G281" s="19" t="n">
        <v>1</v>
      </c>
      <c r="H281" s="19" t="n">
        <v>11</v>
      </c>
      <c r="I281" s="13">
        <f>G281*H281</f>
        <v>11.0</v>
      </c>
      <c r="J281" s="20">
        <f>2000/1000</f>
        <v>2.0</v>
      </c>
      <c r="K281" s="21">
        <f>I281*J281</f>
        <v>22.0</v>
      </c>
      <c r="L281" s="22">
        <f>F281^2/162</f>
        <v>1.5802469135802468</v>
      </c>
      <c r="M281" s="21">
        <f>K281*L281</f>
        <v>34.76543209876543</v>
      </c>
      <c r="N281" s="22">
        <f>M281/1000</f>
        <v>0.03476543209876543</v>
      </c>
      <c r="O281" s="13" t="inlineStr">
        <is>
          <t>BBS</t>
        </is>
      </c>
    </row>
    <row r="283">
      <c r="D283" s="10" t="inlineStr">
        <is>
          <t>SUMMARY - EIGHTH FLOOR: ELEMENT BY BAR SIZE (TONNES)</t>
        </is>
      </c>
    </row>
    <row r="284">
      <c r="D284" s="23" t="inlineStr">
        <is>
          <t>Element</t>
        </is>
      </c>
      <c r="E284" s="24" t="n">
        <v>10</v>
      </c>
      <c r="F284" s="24" t="n">
        <v>12</v>
      </c>
      <c r="G284" s="24" t="n">
        <v>16</v>
      </c>
      <c r="H284" s="24" t="n">
        <v>20</v>
      </c>
      <c r="I284" s="24" t="n">
        <v>25</v>
      </c>
      <c r="J284" s="23" t="inlineStr">
        <is>
          <t>Total (t)</t>
        </is>
      </c>
    </row>
    <row r="285">
      <c r="D285" s="13" t="inlineStr">
        <is>
          <t>Raft Foundation</t>
        </is>
      </c>
      <c r="E285" s="25">
        <f>SUMIFS($N$6:$N$281,$B$6:$B$281,$D285,$F$6:$F$281,E$284)</f>
        <v>0.0</v>
      </c>
      <c r="F285" s="25">
        <f>SUMIFS($N$6:$N$281,$B$6:$B$281,$D285,$F$6:$F$281,F$284)</f>
        <v>0.0</v>
      </c>
      <c r="G285" s="25">
        <f>SUMIFS($N$6:$N$281,$B$6:$B$281,$D285,$F$6:$F$281,G$284)</f>
        <v>0.0</v>
      </c>
      <c r="H285" s="25">
        <f>SUMIFS($N$6:$N$281,$B$6:$B$281,$D285,$F$6:$F$281,H$284)</f>
        <v>0.0</v>
      </c>
      <c r="I285" s="25">
        <f>SUMIFS($N$6:$N$281,$B$6:$B$281,$D285,$F$6:$F$281,I$284)</f>
        <v>0.0</v>
      </c>
      <c r="J285" s="17">
        <f>SUM(E285:I285)</f>
        <v>0.0</v>
      </c>
    </row>
    <row r="286">
      <c r="D286" s="13" t="inlineStr">
        <is>
          <t>Columns</t>
        </is>
      </c>
      <c r="E286" s="25">
        <f>SUMIFS($N$6:$N$281,$B$6:$B$281,$D286,$F$6:$F$281,E$284)</f>
        <v>4.509138271604938</v>
      </c>
      <c r="F286" s="25">
        <f>SUMIFS($N$6:$N$281,$B$6:$B$281,$D286,$F$6:$F$281,F$284)</f>
        <v>0.0</v>
      </c>
      <c r="G286" s="25">
        <f>SUMIFS($N$6:$N$281,$B$6:$B$281,$D286,$F$6:$F$281,G$284)</f>
        <v>0.0</v>
      </c>
      <c r="H286" s="25">
        <f>SUMIFS($N$6:$N$281,$B$6:$B$281,$D286,$F$6:$F$281,H$284)</f>
        <v>6.298716049382716</v>
      </c>
      <c r="I286" s="25">
        <f>SUMIFS($N$6:$N$281,$B$6:$B$281,$D286,$F$6:$F$281,I$284)</f>
        <v>0.624074074074074</v>
      </c>
      <c r="J286" s="17">
        <f>SUM(E286:I286)</f>
        <v>11.431928395061728</v>
      </c>
    </row>
    <row r="287">
      <c r="D287" s="13" t="inlineStr">
        <is>
          <t>Shear Walls</t>
        </is>
      </c>
      <c r="E287" s="25">
        <f>SUMIFS($N$6:$N$281,$B$6:$B$281,$D287,$F$6:$F$281,E$284)</f>
        <v>1.4422222222222223</v>
      </c>
      <c r="F287" s="25">
        <f>SUMIFS($N$6:$N$281,$B$6:$B$281,$D287,$F$6:$F$281,F$284)</f>
        <v>1.9171555555555557</v>
      </c>
      <c r="G287" s="25">
        <f>SUMIFS($N$6:$N$281,$B$6:$B$281,$D287,$F$6:$F$281,G$284)</f>
        <v>0.0</v>
      </c>
      <c r="H287" s="25">
        <f>SUMIFS($N$6:$N$281,$B$6:$B$281,$D287,$F$6:$F$281,H$284)</f>
        <v>6.904197530864199</v>
      </c>
      <c r="I287" s="25">
        <f>SUMIFS($N$6:$N$281,$B$6:$B$281,$D287,$F$6:$F$281,I$284)</f>
        <v>0.0</v>
      </c>
      <c r="J287" s="17">
        <f>SUM(E287:I287)</f>
        <v>10.263575308641977</v>
      </c>
    </row>
    <row r="288">
      <c r="D288" s="13" t="inlineStr">
        <is>
          <t>Lift Walls</t>
        </is>
      </c>
      <c r="E288" s="25">
        <f>SUMIFS($N$6:$N$281,$B$6:$B$281,$D288,$F$6:$F$281,E$284)</f>
        <v>0.6355555555555557</v>
      </c>
      <c r="F288" s="25">
        <f>SUMIFS($N$6:$N$281,$B$6:$B$281,$D288,$F$6:$F$281,F$284)</f>
        <v>0.8655999999999999</v>
      </c>
      <c r="G288" s="25">
        <f>SUMIFS($N$6:$N$281,$B$6:$B$281,$D288,$F$6:$F$281,G$284)</f>
        <v>0.0</v>
      </c>
      <c r="H288" s="25">
        <f>SUMIFS($N$6:$N$281,$B$6:$B$281,$D288,$F$6:$F$281,H$284)</f>
        <v>3.320493827160494</v>
      </c>
      <c r="I288" s="25">
        <f>SUMIFS($N$6:$N$281,$B$6:$B$281,$D288,$F$6:$F$281,I$284)</f>
        <v>0.0</v>
      </c>
      <c r="J288" s="17">
        <f>SUM(E288:I288)</f>
        <v>4.82164938271605</v>
      </c>
    </row>
    <row r="289">
      <c r="D289" s="13" t="inlineStr">
        <is>
          <t>Retaining / Ramp Walls</t>
        </is>
      </c>
      <c r="E289" s="25">
        <f>SUMIFS($N$6:$N$281,$B$6:$B$281,$D289,$F$6:$F$281,E$284)</f>
        <v>0.0</v>
      </c>
      <c r="F289" s="25">
        <f>SUMIFS($N$6:$N$281,$B$6:$B$281,$D289,$F$6:$F$281,F$284)</f>
        <v>0.0</v>
      </c>
      <c r="G289" s="25">
        <f>SUMIFS($N$6:$N$281,$B$6:$B$281,$D289,$F$6:$F$281,G$284)</f>
        <v>0.0</v>
      </c>
      <c r="H289" s="25">
        <f>SUMIFS($N$6:$N$281,$B$6:$B$281,$D289,$F$6:$F$281,H$284)</f>
        <v>0.0</v>
      </c>
      <c r="I289" s="25">
        <f>SUMIFS($N$6:$N$281,$B$6:$B$281,$D289,$F$6:$F$281,I$284)</f>
        <v>0.0</v>
      </c>
      <c r="J289" s="17">
        <f>SUM(E289:I289)</f>
        <v>0.0</v>
      </c>
    </row>
    <row r="290">
      <c r="D290" s="13" t="inlineStr">
        <is>
          <t>Beams</t>
        </is>
      </c>
      <c r="E290" s="25">
        <f>SUMIFS($N$6:$N$281,$B$6:$B$281,$D290,$F$6:$F$281,E$284)</f>
        <v>1.8062345679012344</v>
      </c>
      <c r="F290" s="25">
        <f>SUMIFS($N$6:$N$281,$B$6:$B$281,$D290,$F$6:$F$281,F$284)</f>
        <v>0.0</v>
      </c>
      <c r="G290" s="25">
        <f>SUMIFS($N$6:$N$281,$B$6:$B$281,$D290,$F$6:$F$281,G$284)</f>
        <v>1.2476839506172839</v>
      </c>
      <c r="H290" s="25">
        <f>SUMIFS($N$6:$N$281,$B$6:$B$281,$D290,$F$6:$F$281,H$284)</f>
        <v>2.1350617283950615</v>
      </c>
      <c r="I290" s="25">
        <f>SUMIFS($N$6:$N$281,$B$6:$B$281,$D290,$F$6:$F$281,I$284)</f>
        <v>5.506944444444445</v>
      </c>
      <c r="J290" s="17">
        <f>SUM(E290:I290)</f>
        <v>10.695924691358025</v>
      </c>
    </row>
    <row r="291">
      <c r="D291" s="13" t="inlineStr">
        <is>
          <t>Floor Slabs</t>
        </is>
      </c>
      <c r="E291" s="25">
        <f>SUMIFS($N$6:$N$281,$B$6:$B$281,$D291,$F$6:$F$281,E$284)</f>
        <v>0.0</v>
      </c>
      <c r="F291" s="25">
        <f>SUMIFS($N$6:$N$281,$B$6:$B$281,$D291,$F$6:$F$281,F$284)</f>
        <v>49.804440888888884</v>
      </c>
      <c r="G291" s="25">
        <f>SUMIFS($N$6:$N$281,$B$6:$B$281,$D291,$F$6:$F$281,G$284)</f>
        <v>0.1505185185185185</v>
      </c>
      <c r="H291" s="25">
        <f>SUMIFS($N$6:$N$281,$B$6:$B$281,$D291,$F$6:$F$281,H$284)</f>
        <v>0.0</v>
      </c>
      <c r="I291" s="25">
        <f>SUMIFS($N$6:$N$281,$B$6:$B$281,$D291,$F$6:$F$281,I$284)</f>
        <v>0.0</v>
      </c>
      <c r="J291" s="17">
        <f>SUM(E291:I291)</f>
        <v>49.9549594074074</v>
      </c>
    </row>
    <row r="292">
      <c r="D292" s="13" t="inlineStr">
        <is>
          <t>Staircases</t>
        </is>
      </c>
      <c r="E292" s="25">
        <f>SUMIFS($N$6:$N$281,$B$6:$B$281,$D292,$F$6:$F$281,E$284)</f>
        <v>0.0</v>
      </c>
      <c r="F292" s="25">
        <f>SUMIFS($N$6:$N$281,$B$6:$B$281,$D292,$F$6:$F$281,F$284)</f>
        <v>0.8796444444444443</v>
      </c>
      <c r="G292" s="25">
        <f>SUMIFS($N$6:$N$281,$B$6:$B$281,$D292,$F$6:$F$281,G$284)</f>
        <v>1.4340740740740738</v>
      </c>
      <c r="H292" s="25">
        <f>SUMIFS($N$6:$N$281,$B$6:$B$281,$D292,$F$6:$F$281,H$284)</f>
        <v>0.0</v>
      </c>
      <c r="I292" s="25">
        <f>SUMIFS($N$6:$N$281,$B$6:$B$281,$D292,$F$6:$F$281,I$284)</f>
        <v>0.0</v>
      </c>
      <c r="J292" s="17">
        <f>SUM(E292:I292)</f>
        <v>2.313718518518518</v>
      </c>
    </row>
    <row r="293">
      <c r="D293" s="13" t="inlineStr">
        <is>
          <t>Lift Core Roof Slab</t>
        </is>
      </c>
      <c r="E293" s="25">
        <f>SUMIFS($N$6:$N$281,$B$6:$B$281,$D293,$F$6:$F$281,E$284)</f>
        <v>0.0</v>
      </c>
      <c r="F293" s="25">
        <f>SUMIFS($N$6:$N$281,$B$6:$B$281,$D293,$F$6:$F$281,F$284)</f>
        <v>0.0</v>
      </c>
      <c r="G293" s="25">
        <f>SUMIFS($N$6:$N$281,$B$6:$B$281,$D293,$F$6:$F$281,G$284)</f>
        <v>0.0</v>
      </c>
      <c r="H293" s="25">
        <f>SUMIFS($N$6:$N$281,$B$6:$B$281,$D293,$F$6:$F$281,H$284)</f>
        <v>0.0</v>
      </c>
      <c r="I293" s="25">
        <f>SUMIFS($N$6:$N$281,$B$6:$B$281,$D293,$F$6:$F$281,I$284)</f>
        <v>0.0</v>
      </c>
      <c r="J293" s="17">
        <f>SUM(E293:I293)</f>
        <v>0.0</v>
      </c>
    </row>
    <row r="294">
      <c r="D294" s="16" t="inlineStr">
        <is>
          <t>TOTAL - EIGHTH FLOOR</t>
        </is>
      </c>
      <c r="E294" s="26">
        <f>SUM(E285:E293)</f>
        <v>8.39315061728395</v>
      </c>
      <c r="F294" s="26">
        <f>SUM(F285:F293)</f>
        <v>53.46684088888888</v>
      </c>
      <c r="G294" s="26">
        <f>SUM(G285:G293)</f>
        <v>2.8322765432098764</v>
      </c>
      <c r="H294" s="26">
        <f>SUM(H285:H293)</f>
        <v>18.65846913580247</v>
      </c>
      <c r="I294" s="26">
        <f>SUM(I285:I293)</f>
        <v>6.131018518518519</v>
      </c>
      <c r="J294" s="26">
        <f>SUM(J285:J293)</f>
        <v>89.4817557037037</v>
      </c>
      <c r="K294" s="7" t="inlineStr">
        <is>
          <t>Check vs detail (should be 0):</t>
        </is>
      </c>
      <c r="N294" s="7">
        <f>ROUND(SUM(N6:N281)-J294,6)</f>
        <v>0.0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O304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NINTH FLOOR (+30700)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STR-007</t>
        </is>
      </c>
      <c r="D6" s="13" t="inlineStr">
        <is>
          <t>COL-01B (1 nos) 9th to 10th - links</t>
        </is>
      </c>
      <c r="E6" s="19" t="inlineStr">
        <is>
          <t>1001</t>
        </is>
      </c>
      <c r="F6" s="19" t="n">
        <v>10</v>
      </c>
      <c r="G6" s="19" t="n">
        <v>1</v>
      </c>
      <c r="H6" s="19" t="n">
        <v>30</v>
      </c>
      <c r="I6" s="13">
        <f>G6*H6</f>
        <v>30.0</v>
      </c>
      <c r="J6" s="20">
        <f>2330/1000</f>
        <v>2.33</v>
      </c>
      <c r="K6" s="21">
        <f>I6*J6</f>
        <v>69.9</v>
      </c>
      <c r="L6" s="22">
        <f>F6^2/162</f>
        <v>0.6172839506172839</v>
      </c>
      <c r="M6" s="21">
        <f>K6*L6</f>
        <v>43.14814814814815</v>
      </c>
      <c r="N6" s="22">
        <f>M6/1000</f>
        <v>0.04314814814814815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STR-007</t>
        </is>
      </c>
      <c r="D7" s="13" t="inlineStr">
        <is>
          <t>COL-01B (1 nos) 9th to 10th - links</t>
        </is>
      </c>
      <c r="E7" s="19" t="inlineStr">
        <is>
          <t>1002</t>
        </is>
      </c>
      <c r="F7" s="19" t="n">
        <v>10</v>
      </c>
      <c r="G7" s="19" t="n">
        <v>1</v>
      </c>
      <c r="H7" s="19" t="n">
        <v>60</v>
      </c>
      <c r="I7" s="13">
        <f>G7*H7</f>
        <v>60.0</v>
      </c>
      <c r="J7" s="20">
        <f>1330/1000</f>
        <v>1.33</v>
      </c>
      <c r="K7" s="21">
        <f>I7*J7</f>
        <v>79.80000000000001</v>
      </c>
      <c r="L7" s="22">
        <f>F7^2/162</f>
        <v>0.6172839506172839</v>
      </c>
      <c r="M7" s="21">
        <f>K7*L7</f>
        <v>49.25925925925927</v>
      </c>
      <c r="N7" s="22">
        <f>M7/1000</f>
        <v>0.049259259259259267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STR-007</t>
        </is>
      </c>
      <c r="D8" s="13" t="inlineStr">
        <is>
          <t>COL-01B (1 nos) 9th to 10th - links</t>
        </is>
      </c>
      <c r="E8" s="19" t="inlineStr">
        <is>
          <t>1003</t>
        </is>
      </c>
      <c r="F8" s="19" t="n">
        <v>10</v>
      </c>
      <c r="G8" s="19" t="n">
        <v>1</v>
      </c>
      <c r="H8" s="19" t="n">
        <v>30</v>
      </c>
      <c r="I8" s="13">
        <f>G8*H8</f>
        <v>30.0</v>
      </c>
      <c r="J8" s="20">
        <f>1830/1000</f>
        <v>1.83</v>
      </c>
      <c r="K8" s="21">
        <f>I8*J8</f>
        <v>54.900000000000006</v>
      </c>
      <c r="L8" s="22">
        <f>F8^2/162</f>
        <v>0.6172839506172839</v>
      </c>
      <c r="M8" s="21">
        <f>K8*L8</f>
        <v>33.88888888888889</v>
      </c>
      <c r="N8" s="22">
        <f>M8/1000</f>
        <v>0.03388888888888889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STR-007</t>
        </is>
      </c>
      <c r="D9" s="13" t="inlineStr">
        <is>
          <t>COL-01B (1 nos) 9th to 10th - main bars</t>
        </is>
      </c>
      <c r="E9" s="19" t="inlineStr">
        <is>
          <t>2001</t>
        </is>
      </c>
      <c r="F9" s="19" t="n">
        <v>20</v>
      </c>
      <c r="G9" s="19" t="n">
        <v>1</v>
      </c>
      <c r="H9" s="19" t="n">
        <v>16</v>
      </c>
      <c r="I9" s="13">
        <f>G9*H9</f>
        <v>16.0</v>
      </c>
      <c r="J9" s="20">
        <f>4500/1000</f>
        <v>4.5</v>
      </c>
      <c r="K9" s="21">
        <f>I9*J9</f>
        <v>72.0</v>
      </c>
      <c r="L9" s="22">
        <f>F9^2/162</f>
        <v>2.4691358024691357</v>
      </c>
      <c r="M9" s="21">
        <f>K9*L9</f>
        <v>177.77777777777777</v>
      </c>
      <c r="N9" s="22">
        <f>M9/1000</f>
        <v>0.17777777777777778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STR-008</t>
        </is>
      </c>
      <c r="D10" s="13" t="inlineStr">
        <is>
          <t>COL-01C (2 nos) 9th to 10th - links</t>
        </is>
      </c>
      <c r="E10" s="19" t="inlineStr">
        <is>
          <t>1001</t>
        </is>
      </c>
      <c r="F10" s="19" t="n">
        <v>10</v>
      </c>
      <c r="G10" s="19" t="n">
        <v>2</v>
      </c>
      <c r="H10" s="19" t="n">
        <v>30</v>
      </c>
      <c r="I10" s="13">
        <f>G10*H10</f>
        <v>60.0</v>
      </c>
      <c r="J10" s="20">
        <f>2330/1000</f>
        <v>2.33</v>
      </c>
      <c r="K10" s="21">
        <f>I10*J10</f>
        <v>139.8</v>
      </c>
      <c r="L10" s="22">
        <f>F10^2/162</f>
        <v>0.6172839506172839</v>
      </c>
      <c r="M10" s="21">
        <f>K10*L10</f>
        <v>86.2962962962963</v>
      </c>
      <c r="N10" s="22">
        <f>M10/1000</f>
        <v>0.0862962962962963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STR-008</t>
        </is>
      </c>
      <c r="D11" s="13" t="inlineStr">
        <is>
          <t>COL-01C (2 nos) 9th to 10th - links</t>
        </is>
      </c>
      <c r="E11" s="19" t="inlineStr">
        <is>
          <t>1002</t>
        </is>
      </c>
      <c r="F11" s="19" t="n">
        <v>10</v>
      </c>
      <c r="G11" s="19" t="n">
        <v>2</v>
      </c>
      <c r="H11" s="19" t="n">
        <v>60</v>
      </c>
      <c r="I11" s="13">
        <f>G11*H11</f>
        <v>120.0</v>
      </c>
      <c r="J11" s="20">
        <f>1330/1000</f>
        <v>1.33</v>
      </c>
      <c r="K11" s="21">
        <f>I11*J11</f>
        <v>159.60000000000002</v>
      </c>
      <c r="L11" s="22">
        <f>F11^2/162</f>
        <v>0.6172839506172839</v>
      </c>
      <c r="M11" s="21">
        <f>K11*L11</f>
        <v>98.51851851851853</v>
      </c>
      <c r="N11" s="22">
        <f>M11/1000</f>
        <v>0.09851851851851853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STR-008</t>
        </is>
      </c>
      <c r="D12" s="13" t="inlineStr">
        <is>
          <t>COL-01C (2 nos) 9th to 10th - links</t>
        </is>
      </c>
      <c r="E12" s="19" t="inlineStr">
        <is>
          <t>1003</t>
        </is>
      </c>
      <c r="F12" s="19" t="n">
        <v>10</v>
      </c>
      <c r="G12" s="19" t="n">
        <v>2</v>
      </c>
      <c r="H12" s="19" t="n">
        <v>30</v>
      </c>
      <c r="I12" s="13">
        <f>G12*H12</f>
        <v>60.0</v>
      </c>
      <c r="J12" s="20">
        <f>1830/1000</f>
        <v>1.83</v>
      </c>
      <c r="K12" s="21">
        <f>I12*J12</f>
        <v>109.80000000000001</v>
      </c>
      <c r="L12" s="22">
        <f>F12^2/162</f>
        <v>0.6172839506172839</v>
      </c>
      <c r="M12" s="21">
        <f>K12*L12</f>
        <v>67.77777777777779</v>
      </c>
      <c r="N12" s="22">
        <f>M12/1000</f>
        <v>0.06777777777777778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Columns</t>
        </is>
      </c>
      <c r="C13" s="13" t="inlineStr">
        <is>
          <t>STR-008</t>
        </is>
      </c>
      <c r="D13" s="13" t="inlineStr">
        <is>
          <t>COL-01C (2 nos) 9th to 10th - main bars</t>
        </is>
      </c>
      <c r="E13" s="19" t="inlineStr">
        <is>
          <t>2001</t>
        </is>
      </c>
      <c r="F13" s="19" t="n">
        <v>20</v>
      </c>
      <c r="G13" s="19" t="n">
        <v>2</v>
      </c>
      <c r="H13" s="19" t="n">
        <v>16</v>
      </c>
      <c r="I13" s="13">
        <f>G13*H13</f>
        <v>32.0</v>
      </c>
      <c r="J13" s="20">
        <f>4500/1000</f>
        <v>4.5</v>
      </c>
      <c r="K13" s="21">
        <f>I13*J13</f>
        <v>144.0</v>
      </c>
      <c r="L13" s="22">
        <f>F13^2/162</f>
        <v>2.4691358024691357</v>
      </c>
      <c r="M13" s="21">
        <f>K13*L13</f>
        <v>355.55555555555554</v>
      </c>
      <c r="N13" s="22">
        <f>M13/1000</f>
        <v>0.35555555555555557</v>
      </c>
      <c r="O13" s="13" t="inlineStr">
        <is>
          <t>Elevation + BBS length</t>
        </is>
      </c>
    </row>
    <row r="14">
      <c r="A14" s="13" t="n">
        <v>9</v>
      </c>
      <c r="B14" s="13" t="inlineStr">
        <is>
          <t>Columns</t>
        </is>
      </c>
      <c r="C14" s="13" t="inlineStr">
        <is>
          <t>STR-008</t>
        </is>
      </c>
      <c r="D14" s="13" t="inlineStr">
        <is>
          <t>COL-01D (1 nos) 9th to 10th - links</t>
        </is>
      </c>
      <c r="E14" s="19" t="inlineStr">
        <is>
          <t>1001</t>
        </is>
      </c>
      <c r="F14" s="19" t="n">
        <v>10</v>
      </c>
      <c r="G14" s="19" t="n">
        <v>1</v>
      </c>
      <c r="H14" s="19" t="n">
        <v>30</v>
      </c>
      <c r="I14" s="13">
        <f>G14*H14</f>
        <v>30.0</v>
      </c>
      <c r="J14" s="20">
        <f>2330/1000</f>
        <v>2.33</v>
      </c>
      <c r="K14" s="21">
        <f>I14*J14</f>
        <v>69.9</v>
      </c>
      <c r="L14" s="22">
        <f>F14^2/162</f>
        <v>0.6172839506172839</v>
      </c>
      <c r="M14" s="21">
        <f>K14*L14</f>
        <v>43.14814814814815</v>
      </c>
      <c r="N14" s="22">
        <f>M14/1000</f>
        <v>0.04314814814814815</v>
      </c>
      <c r="O14" s="13" t="inlineStr">
        <is>
          <t>Elevation + BBS length</t>
        </is>
      </c>
    </row>
    <row r="15">
      <c r="A15" s="13" t="n">
        <v>10</v>
      </c>
      <c r="B15" s="13" t="inlineStr">
        <is>
          <t>Columns</t>
        </is>
      </c>
      <c r="C15" s="13" t="inlineStr">
        <is>
          <t>STR-008</t>
        </is>
      </c>
      <c r="D15" s="13" t="inlineStr">
        <is>
          <t>COL-01D (1 nos) 9th to 10th - links</t>
        </is>
      </c>
      <c r="E15" s="19" t="inlineStr">
        <is>
          <t>1002</t>
        </is>
      </c>
      <c r="F15" s="19" t="n">
        <v>10</v>
      </c>
      <c r="G15" s="19" t="n">
        <v>1</v>
      </c>
      <c r="H15" s="19" t="n">
        <v>60</v>
      </c>
      <c r="I15" s="13">
        <f>G15*H15</f>
        <v>60.0</v>
      </c>
      <c r="J15" s="20">
        <f>1330/1000</f>
        <v>1.33</v>
      </c>
      <c r="K15" s="21">
        <f>I15*J15</f>
        <v>79.80000000000001</v>
      </c>
      <c r="L15" s="22">
        <f>F15^2/162</f>
        <v>0.6172839506172839</v>
      </c>
      <c r="M15" s="21">
        <f>K15*L15</f>
        <v>49.25925925925927</v>
      </c>
      <c r="N15" s="22">
        <f>M15/1000</f>
        <v>0.049259259259259267</v>
      </c>
      <c r="O15" s="13" t="inlineStr">
        <is>
          <t>Elevation + BBS length</t>
        </is>
      </c>
    </row>
    <row r="16">
      <c r="A16" s="13" t="n">
        <v>11</v>
      </c>
      <c r="B16" s="13" t="inlineStr">
        <is>
          <t>Columns</t>
        </is>
      </c>
      <c r="C16" s="13" t="inlineStr">
        <is>
          <t>STR-008</t>
        </is>
      </c>
      <c r="D16" s="13" t="inlineStr">
        <is>
          <t>COL-01D (1 nos) 9th to 10th - links</t>
        </is>
      </c>
      <c r="E16" s="19" t="inlineStr">
        <is>
          <t>1003</t>
        </is>
      </c>
      <c r="F16" s="19" t="n">
        <v>10</v>
      </c>
      <c r="G16" s="19" t="n">
        <v>1</v>
      </c>
      <c r="H16" s="19" t="n">
        <v>30</v>
      </c>
      <c r="I16" s="13">
        <f>G16*H16</f>
        <v>30.0</v>
      </c>
      <c r="J16" s="20">
        <f>1830/1000</f>
        <v>1.83</v>
      </c>
      <c r="K16" s="21">
        <f>I16*J16</f>
        <v>54.900000000000006</v>
      </c>
      <c r="L16" s="22">
        <f>F16^2/162</f>
        <v>0.6172839506172839</v>
      </c>
      <c r="M16" s="21">
        <f>K16*L16</f>
        <v>33.88888888888889</v>
      </c>
      <c r="N16" s="22">
        <f>M16/1000</f>
        <v>0.03388888888888889</v>
      </c>
      <c r="O16" s="13" t="inlineStr">
        <is>
          <t>Elevation + BBS length</t>
        </is>
      </c>
    </row>
    <row r="17">
      <c r="A17" s="13" t="n">
        <v>12</v>
      </c>
      <c r="B17" s="13" t="inlineStr">
        <is>
          <t>Columns</t>
        </is>
      </c>
      <c r="C17" s="13" t="inlineStr">
        <is>
          <t>STR-008</t>
        </is>
      </c>
      <c r="D17" s="13" t="inlineStr">
        <is>
          <t>COL-01D (1 nos) 9th to 10th - main bars</t>
        </is>
      </c>
      <c r="E17" s="19" t="inlineStr">
        <is>
          <t>2001</t>
        </is>
      </c>
      <c r="F17" s="19" t="n">
        <v>20</v>
      </c>
      <c r="G17" s="19" t="n">
        <v>1</v>
      </c>
      <c r="H17" s="19" t="n">
        <v>16</v>
      </c>
      <c r="I17" s="13">
        <f>G17*H17</f>
        <v>16.0</v>
      </c>
      <c r="J17" s="20">
        <f>4500/1000</f>
        <v>4.5</v>
      </c>
      <c r="K17" s="21">
        <f>I17*J17</f>
        <v>72.0</v>
      </c>
      <c r="L17" s="22">
        <f>F17^2/162</f>
        <v>2.4691358024691357</v>
      </c>
      <c r="M17" s="21">
        <f>K17*L17</f>
        <v>177.77777777777777</v>
      </c>
      <c r="N17" s="22">
        <f>M17/1000</f>
        <v>0.17777777777777778</v>
      </c>
      <c r="O17" s="13" t="inlineStr">
        <is>
          <t>Elevation + BBS length</t>
        </is>
      </c>
    </row>
    <row r="18">
      <c r="A18" s="13" t="n">
        <v>13</v>
      </c>
      <c r="B18" s="13" t="inlineStr">
        <is>
          <t>Columns</t>
        </is>
      </c>
      <c r="C18" s="13" t="inlineStr">
        <is>
          <t>STR-010</t>
        </is>
      </c>
      <c r="D18" s="13" t="inlineStr">
        <is>
          <t>COL-02B (6 nos) 9th to 10th - links</t>
        </is>
      </c>
      <c r="E18" s="19" t="inlineStr">
        <is>
          <t>1004</t>
        </is>
      </c>
      <c r="F18" s="19" t="n">
        <v>10</v>
      </c>
      <c r="G18" s="19" t="n">
        <v>6</v>
      </c>
      <c r="H18" s="19" t="n">
        <v>31</v>
      </c>
      <c r="I18" s="13">
        <f>G18*H18</f>
        <v>186.0</v>
      </c>
      <c r="J18" s="20">
        <f>2910/1000</f>
        <v>2.91</v>
      </c>
      <c r="K18" s="21">
        <f>I18*J18</f>
        <v>541.26</v>
      </c>
      <c r="L18" s="22">
        <f>F18^2/162</f>
        <v>0.6172839506172839</v>
      </c>
      <c r="M18" s="21">
        <f>K18*L18</f>
        <v>334.1111111111111</v>
      </c>
      <c r="N18" s="22">
        <f>M18/1000</f>
        <v>0.3341111111111111</v>
      </c>
      <c r="O18" s="13" t="inlineStr">
        <is>
          <t>Elevation + BBS length</t>
        </is>
      </c>
    </row>
    <row r="19">
      <c r="A19" s="13" t="n">
        <v>14</v>
      </c>
      <c r="B19" s="13" t="inlineStr">
        <is>
          <t>Columns</t>
        </is>
      </c>
      <c r="C19" s="13" t="inlineStr">
        <is>
          <t>STR-010</t>
        </is>
      </c>
      <c r="D19" s="13" t="inlineStr">
        <is>
          <t>COL-02B (6 nos) 9th to 10th - links</t>
        </is>
      </c>
      <c r="E19" s="19" t="inlineStr">
        <is>
          <t>1005</t>
        </is>
      </c>
      <c r="F19" s="19" t="n">
        <v>10</v>
      </c>
      <c r="G19" s="19" t="n">
        <v>6</v>
      </c>
      <c r="H19" s="19">
        <f>5*31</f>
        <v>155.0</v>
      </c>
      <c r="I19" s="13">
        <f>G19*H19</f>
        <v>930.0</v>
      </c>
      <c r="J19" s="20">
        <f>1008/1000</f>
        <v>1.008</v>
      </c>
      <c r="K19" s="21">
        <f>I19*J19</f>
        <v>937.44</v>
      </c>
      <c r="L19" s="22">
        <f>F19^2/162</f>
        <v>0.6172839506172839</v>
      </c>
      <c r="M19" s="21">
        <f>K19*L19</f>
        <v>578.6666666666666</v>
      </c>
      <c r="N19" s="22">
        <f>M19/1000</f>
        <v>0.5786666666666667</v>
      </c>
      <c r="O19" s="13" t="inlineStr">
        <is>
          <t>Elevation + BBS length</t>
        </is>
      </c>
    </row>
    <row r="20">
      <c r="A20" s="13" t="n">
        <v>15</v>
      </c>
      <c r="B20" s="13" t="inlineStr">
        <is>
          <t>Columns</t>
        </is>
      </c>
      <c r="C20" s="13" t="inlineStr">
        <is>
          <t>STR-010</t>
        </is>
      </c>
      <c r="D20" s="13" t="inlineStr">
        <is>
          <t>COL-02B (6 nos) 9th to 10th - main bars</t>
        </is>
      </c>
      <c r="E20" s="19" t="inlineStr">
        <is>
          <t>2001</t>
        </is>
      </c>
      <c r="F20" s="19" t="n">
        <v>20</v>
      </c>
      <c r="G20" s="19" t="n">
        <v>6</v>
      </c>
      <c r="H20" s="19" t="n">
        <v>18</v>
      </c>
      <c r="I20" s="13">
        <f>G20*H20</f>
        <v>108.0</v>
      </c>
      <c r="J20" s="20">
        <f>4500/1000</f>
        <v>4.5</v>
      </c>
      <c r="K20" s="21">
        <f>I20*J20</f>
        <v>486.0</v>
      </c>
      <c r="L20" s="22">
        <f>F20^2/162</f>
        <v>2.4691358024691357</v>
      </c>
      <c r="M20" s="21">
        <f>K20*L20</f>
        <v>1200.0</v>
      </c>
      <c r="N20" s="22">
        <f>M20/1000</f>
        <v>1.2</v>
      </c>
      <c r="O20" s="13" t="inlineStr">
        <is>
          <t>Elevation + BBS length</t>
        </is>
      </c>
    </row>
    <row r="21">
      <c r="A21" s="13" t="n">
        <v>16</v>
      </c>
      <c r="B21" s="13" t="inlineStr">
        <is>
          <t>Columns</t>
        </is>
      </c>
      <c r="C21" s="13" t="inlineStr">
        <is>
          <t>STR-011</t>
        </is>
      </c>
      <c r="D21" s="13" t="inlineStr">
        <is>
          <t>COL-02C (1 nos) 9th to 10th - links</t>
        </is>
      </c>
      <c r="E21" s="19" t="inlineStr">
        <is>
          <t>1004</t>
        </is>
      </c>
      <c r="F21" s="19" t="n">
        <v>10</v>
      </c>
      <c r="G21" s="19" t="n">
        <v>1</v>
      </c>
      <c r="H21" s="19" t="n">
        <v>31</v>
      </c>
      <c r="I21" s="13">
        <f>G21*H21</f>
        <v>31.0</v>
      </c>
      <c r="J21" s="20">
        <f>2910/1000</f>
        <v>2.91</v>
      </c>
      <c r="K21" s="21">
        <f>I21*J21</f>
        <v>90.21000000000001</v>
      </c>
      <c r="L21" s="22">
        <f>F21^2/162</f>
        <v>0.6172839506172839</v>
      </c>
      <c r="M21" s="21">
        <f>K21*L21</f>
        <v>55.68518518518519</v>
      </c>
      <c r="N21" s="22">
        <f>M21/1000</f>
        <v>0.05568518518518519</v>
      </c>
      <c r="O21" s="13" t="inlineStr">
        <is>
          <t>Elevation + BBS length</t>
        </is>
      </c>
    </row>
    <row r="22">
      <c r="A22" s="13" t="n">
        <v>17</v>
      </c>
      <c r="B22" s="13" t="inlineStr">
        <is>
          <t>Columns</t>
        </is>
      </c>
      <c r="C22" s="13" t="inlineStr">
        <is>
          <t>STR-011</t>
        </is>
      </c>
      <c r="D22" s="13" t="inlineStr">
        <is>
          <t>COL-02C (1 nos) 9th to 10th - links</t>
        </is>
      </c>
      <c r="E22" s="19" t="inlineStr">
        <is>
          <t>1005</t>
        </is>
      </c>
      <c r="F22" s="19" t="n">
        <v>10</v>
      </c>
      <c r="G22" s="19" t="n">
        <v>1</v>
      </c>
      <c r="H22" s="19">
        <f>3*31</f>
        <v>93.0</v>
      </c>
      <c r="I22" s="13">
        <f>G22*H22</f>
        <v>93.0</v>
      </c>
      <c r="J22" s="20">
        <f>1008/1000</f>
        <v>1.008</v>
      </c>
      <c r="K22" s="21">
        <f>I22*J22</f>
        <v>93.744</v>
      </c>
      <c r="L22" s="22">
        <f>F22^2/162</f>
        <v>0.6172839506172839</v>
      </c>
      <c r="M22" s="21">
        <f>K22*L22</f>
        <v>57.86666666666666</v>
      </c>
      <c r="N22" s="22">
        <f>M22/1000</f>
        <v>0.057866666666666663</v>
      </c>
      <c r="O22" s="13" t="inlineStr">
        <is>
          <t>Elevation + BBS length</t>
        </is>
      </c>
    </row>
    <row r="23">
      <c r="A23" s="13" t="n">
        <v>18</v>
      </c>
      <c r="B23" s="13" t="inlineStr">
        <is>
          <t>Columns</t>
        </is>
      </c>
      <c r="C23" s="13" t="inlineStr">
        <is>
          <t>STR-011</t>
        </is>
      </c>
      <c r="D23" s="13" t="inlineStr">
        <is>
          <t>COL-02C (1 nos) 9th to 10th - main bars</t>
        </is>
      </c>
      <c r="E23" s="19" t="inlineStr">
        <is>
          <t>2001</t>
        </is>
      </c>
      <c r="F23" s="19" t="n">
        <v>20</v>
      </c>
      <c r="G23" s="19" t="n">
        <v>1</v>
      </c>
      <c r="H23" s="19" t="n">
        <v>18</v>
      </c>
      <c r="I23" s="13">
        <f>G23*H23</f>
        <v>18.0</v>
      </c>
      <c r="J23" s="20">
        <f>4500/1000</f>
        <v>4.5</v>
      </c>
      <c r="K23" s="21">
        <f>I23*J23</f>
        <v>81.0</v>
      </c>
      <c r="L23" s="22">
        <f>F23^2/162</f>
        <v>2.4691358024691357</v>
      </c>
      <c r="M23" s="21">
        <f>K23*L23</f>
        <v>200.0</v>
      </c>
      <c r="N23" s="22">
        <f>M23/1000</f>
        <v>0.2</v>
      </c>
      <c r="O23" s="13" t="inlineStr">
        <is>
          <t>Elevation + BBS length</t>
        </is>
      </c>
    </row>
    <row r="24">
      <c r="A24" s="13" t="n">
        <v>19</v>
      </c>
      <c r="B24" s="13" t="inlineStr">
        <is>
          <t>Columns</t>
        </is>
      </c>
      <c r="C24" s="13" t="inlineStr">
        <is>
          <t>STR-011</t>
        </is>
      </c>
      <c r="D24" s="13" t="inlineStr">
        <is>
          <t>COL-02D (15 nos) 9th to 10th - links</t>
        </is>
      </c>
      <c r="E24" s="19" t="inlineStr">
        <is>
          <t>1004</t>
        </is>
      </c>
      <c r="F24" s="19" t="n">
        <v>10</v>
      </c>
      <c r="G24" s="19" t="n">
        <v>15</v>
      </c>
      <c r="H24" s="19" t="n">
        <v>31</v>
      </c>
      <c r="I24" s="13">
        <f>G24*H24</f>
        <v>465.0</v>
      </c>
      <c r="J24" s="20">
        <f>2910/1000</f>
        <v>2.91</v>
      </c>
      <c r="K24" s="21">
        <f>I24*J24</f>
        <v>1353.15</v>
      </c>
      <c r="L24" s="22">
        <f>F24^2/162</f>
        <v>0.6172839506172839</v>
      </c>
      <c r="M24" s="21">
        <f>K24*L24</f>
        <v>835.2777777777778</v>
      </c>
      <c r="N24" s="22">
        <f>M24/1000</f>
        <v>0.8352777777777778</v>
      </c>
      <c r="O24" s="13" t="inlineStr">
        <is>
          <t>Elevation + BBS length</t>
        </is>
      </c>
    </row>
    <row r="25">
      <c r="A25" s="13" t="n">
        <v>20</v>
      </c>
      <c r="B25" s="13" t="inlineStr">
        <is>
          <t>Columns</t>
        </is>
      </c>
      <c r="C25" s="13" t="inlineStr">
        <is>
          <t>STR-011</t>
        </is>
      </c>
      <c r="D25" s="13" t="inlineStr">
        <is>
          <t>COL-02D (15 nos) 9th to 10th - links</t>
        </is>
      </c>
      <c r="E25" s="19" t="inlineStr">
        <is>
          <t>1005</t>
        </is>
      </c>
      <c r="F25" s="19" t="n">
        <v>10</v>
      </c>
      <c r="G25" s="19" t="n">
        <v>15</v>
      </c>
      <c r="H25" s="19">
        <f>3*31</f>
        <v>93.0</v>
      </c>
      <c r="I25" s="13">
        <f>G25*H25</f>
        <v>1395.0</v>
      </c>
      <c r="J25" s="20">
        <f>1008/1000</f>
        <v>1.008</v>
      </c>
      <c r="K25" s="21">
        <f>I25*J25</f>
        <v>1406.16</v>
      </c>
      <c r="L25" s="22">
        <f>F25^2/162</f>
        <v>0.6172839506172839</v>
      </c>
      <c r="M25" s="21">
        <f>K25*L25</f>
        <v>868.0</v>
      </c>
      <c r="N25" s="22">
        <f>M25/1000</f>
        <v>0.868</v>
      </c>
      <c r="O25" s="13" t="inlineStr">
        <is>
          <t>Elevation + BBS length</t>
        </is>
      </c>
    </row>
    <row r="26">
      <c r="A26" s="13" t="n">
        <v>21</v>
      </c>
      <c r="B26" s="13" t="inlineStr">
        <is>
          <t>Columns</t>
        </is>
      </c>
      <c r="C26" s="13" t="inlineStr">
        <is>
          <t>STR-011</t>
        </is>
      </c>
      <c r="D26" s="13" t="inlineStr">
        <is>
          <t>COL-02D (15 nos) 9th to 10th - main bars</t>
        </is>
      </c>
      <c r="E26" s="19" t="inlineStr">
        <is>
          <t>2001</t>
        </is>
      </c>
      <c r="F26" s="19" t="n">
        <v>20</v>
      </c>
      <c r="G26" s="19" t="n">
        <v>15</v>
      </c>
      <c r="H26" s="19" t="n">
        <v>18</v>
      </c>
      <c r="I26" s="13">
        <f>G26*H26</f>
        <v>270.0</v>
      </c>
      <c r="J26" s="20">
        <f>4500/1000</f>
        <v>4.5</v>
      </c>
      <c r="K26" s="21">
        <f>I26*J26</f>
        <v>1215.0</v>
      </c>
      <c r="L26" s="22">
        <f>F26^2/162</f>
        <v>2.4691358024691357</v>
      </c>
      <c r="M26" s="21">
        <f>K26*L26</f>
        <v>3000.0</v>
      </c>
      <c r="N26" s="22">
        <f>M26/1000</f>
        <v>3.0</v>
      </c>
      <c r="O26" s="13" t="inlineStr">
        <is>
          <t>Elevation + BBS length</t>
        </is>
      </c>
    </row>
    <row r="27">
      <c r="A27" s="13" t="n">
        <v>22</v>
      </c>
      <c r="B27" s="13" t="inlineStr">
        <is>
          <t>Shear Walls</t>
        </is>
      </c>
      <c r="C27" s="13" t="inlineStr">
        <is>
          <t>STR-015/016</t>
        </is>
      </c>
      <c r="D27" s="13" t="inlineStr">
        <is>
          <t>Main core CW-01 (L=3600mm) 9th to 10th - horizontal Y12@150 NF/FF</t>
        </is>
      </c>
      <c r="E27" s="19" t="inlineStr">
        <is>
          <t>H-Y12</t>
        </is>
      </c>
      <c r="F27" s="19" t="n">
        <v>12</v>
      </c>
      <c r="G27" s="19" t="n">
        <v>1</v>
      </c>
      <c r="H27" s="19">
        <f>2*22</f>
        <v>44.0</v>
      </c>
      <c r="I27" s="13">
        <f>G27*H27</f>
        <v>44.0</v>
      </c>
      <c r="J27" s="20">
        <f>(3600-2*30+40*12)/1000</f>
        <v>4.02</v>
      </c>
      <c r="K27" s="21">
        <f>I27*J27</f>
        <v>176.88</v>
      </c>
      <c r="L27" s="22">
        <f>F27^2/162</f>
        <v>0.8888888888888888</v>
      </c>
      <c r="M27" s="21">
        <f>K27*L27</f>
        <v>157.22666666666666</v>
      </c>
      <c r="N27" s="22">
        <f>M27/1000</f>
        <v>0.15722666666666665</v>
      </c>
      <c r="O27" s="13" t="inlineStr">
        <is>
          <t>Elevation count / plan length</t>
        </is>
      </c>
    </row>
    <row r="28">
      <c r="A28" s="13" t="n">
        <v>23</v>
      </c>
      <c r="B28" s="13" t="inlineStr">
        <is>
          <t>Shear Walls</t>
        </is>
      </c>
      <c r="C28" s="13" t="inlineStr">
        <is>
          <t>STR-015/016</t>
        </is>
      </c>
      <c r="D28" s="13" t="inlineStr">
        <is>
          <t>Main core CW-01 9th to 10th - vertical Y20@150 NF/FF</t>
        </is>
      </c>
      <c r="E28" s="19" t="inlineStr">
        <is>
          <t>V-Y20</t>
        </is>
      </c>
      <c r="F28" s="19" t="n">
        <v>20</v>
      </c>
      <c r="G28" s="19" t="n">
        <v>1</v>
      </c>
      <c r="H28" s="19">
        <f>2*29</f>
        <v>58.0</v>
      </c>
      <c r="I28" s="13">
        <f>G28*H28</f>
        <v>58.0</v>
      </c>
      <c r="J28" s="20">
        <f>(3300+40*20)/1000</f>
        <v>4.1</v>
      </c>
      <c r="K28" s="21">
        <f>I28*J28</f>
        <v>237.79999999999998</v>
      </c>
      <c r="L28" s="22">
        <f>F28^2/162</f>
        <v>2.4691358024691357</v>
      </c>
      <c r="M28" s="21">
        <f>K28*L28</f>
        <v>587.1604938271604</v>
      </c>
      <c r="N28" s="22">
        <f>M28/1000</f>
        <v>0.5871604938271604</v>
      </c>
      <c r="O28" s="13" t="inlineStr">
        <is>
          <t>Elevation / plan</t>
        </is>
      </c>
    </row>
    <row r="29">
      <c r="A29" s="13" t="n">
        <v>24</v>
      </c>
      <c r="B29" s="13" t="inlineStr">
        <is>
          <t>Shear Walls</t>
        </is>
      </c>
      <c r="C29" s="13" t="inlineStr">
        <is>
          <t>STR-015/016</t>
        </is>
      </c>
      <c r="D29" s="13" t="inlineStr">
        <is>
          <t>Main core CW-05 (L=7250mm) 9th to 10th - horizontal Y12@150 NF/FF</t>
        </is>
      </c>
      <c r="E29" s="19" t="inlineStr">
        <is>
          <t>H-Y12</t>
        </is>
      </c>
      <c r="F29" s="19" t="n">
        <v>12</v>
      </c>
      <c r="G29" s="19" t="n">
        <v>1</v>
      </c>
      <c r="H29" s="19">
        <f>2*22</f>
        <v>44.0</v>
      </c>
      <c r="I29" s="13">
        <f>G29*H29</f>
        <v>44.0</v>
      </c>
      <c r="J29" s="20">
        <f>(7250-2*30+40*12)/1000</f>
        <v>7.67</v>
      </c>
      <c r="K29" s="21">
        <f>I29*J29</f>
        <v>337.48</v>
      </c>
      <c r="L29" s="22">
        <f>F29^2/162</f>
        <v>0.8888888888888888</v>
      </c>
      <c r="M29" s="21">
        <f>K29*L29</f>
        <v>299.9822222222222</v>
      </c>
      <c r="N29" s="22">
        <f>M29/1000</f>
        <v>0.2999822222222222</v>
      </c>
      <c r="O29" s="13" t="inlineStr">
        <is>
          <t>Elevation count / plan length</t>
        </is>
      </c>
    </row>
    <row r="30">
      <c r="A30" s="13" t="n">
        <v>25</v>
      </c>
      <c r="B30" s="13" t="inlineStr">
        <is>
          <t>Shear Walls</t>
        </is>
      </c>
      <c r="C30" s="13" t="inlineStr">
        <is>
          <t>STR-015/016</t>
        </is>
      </c>
      <c r="D30" s="13" t="inlineStr">
        <is>
          <t>Main core CW-05 9th to 10th - vertical Y20@150 NF/FF</t>
        </is>
      </c>
      <c r="E30" s="19" t="inlineStr">
        <is>
          <t>V-Y20</t>
        </is>
      </c>
      <c r="F30" s="19" t="n">
        <v>20</v>
      </c>
      <c r="G30" s="19" t="n">
        <v>1</v>
      </c>
      <c r="H30" s="19">
        <f>2*(ROUNDUP(7250/150,0)+1)</f>
        <v>100.0</v>
      </c>
      <c r="I30" s="13">
        <f>G30*H30</f>
        <v>100.0</v>
      </c>
      <c r="J30" s="20">
        <f>(3300+40*20)/1000</f>
        <v>4.1</v>
      </c>
      <c r="K30" s="21">
        <f>I30*J30</f>
        <v>409.99999999999994</v>
      </c>
      <c r="L30" s="22">
        <f>F30^2/162</f>
        <v>2.4691358024691357</v>
      </c>
      <c r="M30" s="21">
        <f>K30*L30</f>
        <v>1012.3456790123455</v>
      </c>
      <c r="N30" s="22">
        <f>M30/1000</f>
        <v>1.0123456790123455</v>
      </c>
      <c r="O30" s="13" t="inlineStr">
        <is>
          <t>Elevation / plan</t>
        </is>
      </c>
    </row>
    <row r="31">
      <c r="A31" s="13" t="n">
        <v>26</v>
      </c>
      <c r="B31" s="13" t="inlineStr">
        <is>
          <t>Shear Walls</t>
        </is>
      </c>
      <c r="C31" s="13" t="inlineStr">
        <is>
          <t>STR-015/016</t>
        </is>
      </c>
      <c r="D31" s="13" t="inlineStr">
        <is>
          <t>Main core CW-07 (stair section) (L=7250mm) 9th to 10th - horizontal Y12@150 NF/FF</t>
        </is>
      </c>
      <c r="E31" s="19" t="inlineStr">
        <is>
          <t>H-Y12</t>
        </is>
      </c>
      <c r="F31" s="19" t="n">
        <v>12</v>
      </c>
      <c r="G31" s="19" t="n">
        <v>1</v>
      </c>
      <c r="H31" s="19">
        <f>2*22</f>
        <v>44.0</v>
      </c>
      <c r="I31" s="13">
        <f>G31*H31</f>
        <v>44.0</v>
      </c>
      <c r="J31" s="20">
        <f>(7250-2*30+40*12)/1000</f>
        <v>7.67</v>
      </c>
      <c r="K31" s="21">
        <f>I31*J31</f>
        <v>337.48</v>
      </c>
      <c r="L31" s="22">
        <f>F31^2/162</f>
        <v>0.8888888888888888</v>
      </c>
      <c r="M31" s="21">
        <f>K31*L31</f>
        <v>299.9822222222222</v>
      </c>
      <c r="N31" s="22">
        <f>M31/1000</f>
        <v>0.2999822222222222</v>
      </c>
      <c r="O31" s="13" t="inlineStr">
        <is>
          <t>Elevation count / plan length</t>
        </is>
      </c>
    </row>
    <row r="32">
      <c r="A32" s="13" t="n">
        <v>27</v>
      </c>
      <c r="B32" s="13" t="inlineStr">
        <is>
          <t>Shear Walls</t>
        </is>
      </c>
      <c r="C32" s="13" t="inlineStr">
        <is>
          <t>STR-015/016</t>
        </is>
      </c>
      <c r="D32" s="13" t="inlineStr">
        <is>
          <t>Main core CW-07 (stair section) 9th to 10th - vertical Y20@150 NF/FF</t>
        </is>
      </c>
      <c r="E32" s="19" t="inlineStr">
        <is>
          <t>V-Y20</t>
        </is>
      </c>
      <c r="F32" s="19" t="n">
        <v>20</v>
      </c>
      <c r="G32" s="19" t="n">
        <v>1</v>
      </c>
      <c r="H32" s="19">
        <f>2*(ROUNDUP(7250/150,0)+1)</f>
        <v>100.0</v>
      </c>
      <c r="I32" s="13">
        <f>G32*H32</f>
        <v>100.0</v>
      </c>
      <c r="J32" s="20">
        <f>(3300+40*20)/1000</f>
        <v>4.1</v>
      </c>
      <c r="K32" s="21">
        <f>I32*J32</f>
        <v>409.99999999999994</v>
      </c>
      <c r="L32" s="22">
        <f>F32^2/162</f>
        <v>2.4691358024691357</v>
      </c>
      <c r="M32" s="21">
        <f>K32*L32</f>
        <v>1012.3456790123455</v>
      </c>
      <c r="N32" s="22">
        <f>M32/1000</f>
        <v>1.0123456790123455</v>
      </c>
      <c r="O32" s="13" t="inlineStr">
        <is>
          <t>Elevation / plan</t>
        </is>
      </c>
    </row>
    <row r="33">
      <c r="A33" s="13" t="n">
        <v>28</v>
      </c>
      <c r="B33" s="13" t="inlineStr">
        <is>
          <t>Shear Walls</t>
        </is>
      </c>
      <c r="C33" s="13" t="inlineStr">
        <is>
          <t>STR-015/016</t>
        </is>
      </c>
      <c r="D33" s="13" t="inlineStr">
        <is>
          <t>Main core CW-09 (L=1150mm) 9th to 10th - horizontal Y12@150 NF/FF</t>
        </is>
      </c>
      <c r="E33" s="19" t="inlineStr">
        <is>
          <t>H-Y12</t>
        </is>
      </c>
      <c r="F33" s="19" t="n">
        <v>12</v>
      </c>
      <c r="G33" s="19" t="n">
        <v>1</v>
      </c>
      <c r="H33" s="19">
        <f>2*22</f>
        <v>44.0</v>
      </c>
      <c r="I33" s="13">
        <f>G33*H33</f>
        <v>44.0</v>
      </c>
      <c r="J33" s="20">
        <f>(1150-2*30+40*12)/1000</f>
        <v>1.57</v>
      </c>
      <c r="K33" s="21">
        <f>I33*J33</f>
        <v>69.08</v>
      </c>
      <c r="L33" s="22">
        <f>F33^2/162</f>
        <v>0.8888888888888888</v>
      </c>
      <c r="M33" s="21">
        <f>K33*L33</f>
        <v>61.40444444444444</v>
      </c>
      <c r="N33" s="22">
        <f>M33/1000</f>
        <v>0.061404444444444435</v>
      </c>
      <c r="O33" s="13" t="inlineStr">
        <is>
          <t>Elevation count / plan length</t>
        </is>
      </c>
    </row>
    <row r="34">
      <c r="A34" s="13" t="n">
        <v>29</v>
      </c>
      <c r="B34" s="13" t="inlineStr">
        <is>
          <t>Shear Walls</t>
        </is>
      </c>
      <c r="C34" s="13" t="inlineStr">
        <is>
          <t>STR-015/016</t>
        </is>
      </c>
      <c r="D34" s="13" t="inlineStr">
        <is>
          <t>Main core CW-09 9th to 10th - vertical Y20@150 NF/FF</t>
        </is>
      </c>
      <c r="E34" s="19" t="inlineStr">
        <is>
          <t>V-Y20</t>
        </is>
      </c>
      <c r="F34" s="19" t="n">
        <v>20</v>
      </c>
      <c r="G34" s="19" t="n">
        <v>1</v>
      </c>
      <c r="H34" s="19">
        <f>2*(ROUNDUP(1150/150,0)+1)</f>
        <v>18.0</v>
      </c>
      <c r="I34" s="13">
        <f>G34*H34</f>
        <v>18.0</v>
      </c>
      <c r="J34" s="20">
        <f>(3300+40*20)/1000</f>
        <v>4.1</v>
      </c>
      <c r="K34" s="21">
        <f>I34*J34</f>
        <v>73.8</v>
      </c>
      <c r="L34" s="22">
        <f>F34^2/162</f>
        <v>2.4691358024691357</v>
      </c>
      <c r="M34" s="21">
        <f>K34*L34</f>
        <v>182.2222222222222</v>
      </c>
      <c r="N34" s="22">
        <f>M34/1000</f>
        <v>0.1822222222222222</v>
      </c>
      <c r="O34" s="13" t="inlineStr">
        <is>
          <t>Elevation / plan</t>
        </is>
      </c>
    </row>
    <row r="35">
      <c r="A35" s="13" t="n">
        <v>30</v>
      </c>
      <c r="B35" s="13" t="inlineStr">
        <is>
          <t>Shear Walls</t>
        </is>
      </c>
      <c r="C35" s="13" t="inlineStr">
        <is>
          <t>STR-015/016</t>
        </is>
      </c>
      <c r="D35" s="13" t="inlineStr">
        <is>
          <t>Main core CW-10 (L=1150mm) 9th to 10th - horizontal Y12@150 NF/FF</t>
        </is>
      </c>
      <c r="E35" s="19" t="inlineStr">
        <is>
          <t>H-Y12</t>
        </is>
      </c>
      <c r="F35" s="19" t="n">
        <v>12</v>
      </c>
      <c r="G35" s="19" t="n">
        <v>1</v>
      </c>
      <c r="H35" s="19">
        <f>2*22</f>
        <v>44.0</v>
      </c>
      <c r="I35" s="13">
        <f>G35*H35</f>
        <v>44.0</v>
      </c>
      <c r="J35" s="20">
        <f>(1150-2*30+40*12)/1000</f>
        <v>1.57</v>
      </c>
      <c r="K35" s="21">
        <f>I35*J35</f>
        <v>69.08</v>
      </c>
      <c r="L35" s="22">
        <f>F35^2/162</f>
        <v>0.8888888888888888</v>
      </c>
      <c r="M35" s="21">
        <f>K35*L35</f>
        <v>61.40444444444444</v>
      </c>
      <c r="N35" s="22">
        <f>M35/1000</f>
        <v>0.061404444444444435</v>
      </c>
      <c r="O35" s="13" t="inlineStr">
        <is>
          <t>Elevation count / plan length</t>
        </is>
      </c>
    </row>
    <row r="36">
      <c r="A36" s="13" t="n">
        <v>31</v>
      </c>
      <c r="B36" s="13" t="inlineStr">
        <is>
          <t>Shear Walls</t>
        </is>
      </c>
      <c r="C36" s="13" t="inlineStr">
        <is>
          <t>STR-015/016</t>
        </is>
      </c>
      <c r="D36" s="13" t="inlineStr">
        <is>
          <t>Main core CW-10 9th to 10th - vertical Y20@150 NF/FF</t>
        </is>
      </c>
      <c r="E36" s="19" t="inlineStr">
        <is>
          <t>V-Y20</t>
        </is>
      </c>
      <c r="F36" s="19" t="n">
        <v>20</v>
      </c>
      <c r="G36" s="19" t="n">
        <v>1</v>
      </c>
      <c r="H36" s="19">
        <f>2*(ROUNDUP(1150/150,0)+1)</f>
        <v>18.0</v>
      </c>
      <c r="I36" s="13">
        <f>G36*H36</f>
        <v>18.0</v>
      </c>
      <c r="J36" s="20">
        <f>(3300+40*20)/1000</f>
        <v>4.1</v>
      </c>
      <c r="K36" s="21">
        <f>I36*J36</f>
        <v>73.8</v>
      </c>
      <c r="L36" s="22">
        <f>F36^2/162</f>
        <v>2.4691358024691357</v>
      </c>
      <c r="M36" s="21">
        <f>K36*L36</f>
        <v>182.2222222222222</v>
      </c>
      <c r="N36" s="22">
        <f>M36/1000</f>
        <v>0.1822222222222222</v>
      </c>
      <c r="O36" s="13" t="inlineStr">
        <is>
          <t>Elevation / plan</t>
        </is>
      </c>
    </row>
    <row r="37">
      <c r="A37" s="13" t="n">
        <v>32</v>
      </c>
      <c r="B37" s="13" t="inlineStr">
        <is>
          <t>Shear Walls</t>
        </is>
      </c>
      <c r="C37" s="13" t="inlineStr">
        <is>
          <t>STR-015/016</t>
        </is>
      </c>
      <c r="D37" s="13" t="inlineStr">
        <is>
          <t>Main core CW-11 (L=1650mm) 9th to 10th - horizontal Y12@150 NF/FF</t>
        </is>
      </c>
      <c r="E37" s="19" t="inlineStr">
        <is>
          <t>H-Y12</t>
        </is>
      </c>
      <c r="F37" s="19" t="n">
        <v>12</v>
      </c>
      <c r="G37" s="19" t="n">
        <v>1</v>
      </c>
      <c r="H37" s="19">
        <f>2*22</f>
        <v>44.0</v>
      </c>
      <c r="I37" s="13">
        <f>G37*H37</f>
        <v>44.0</v>
      </c>
      <c r="J37" s="20">
        <f>(1650-2*30+40*12)/1000</f>
        <v>2.07</v>
      </c>
      <c r="K37" s="21">
        <f>I37*J37</f>
        <v>91.08</v>
      </c>
      <c r="L37" s="22">
        <f>F37^2/162</f>
        <v>0.8888888888888888</v>
      </c>
      <c r="M37" s="21">
        <f>K37*L37</f>
        <v>80.96</v>
      </c>
      <c r="N37" s="22">
        <f>M37/1000</f>
        <v>0.08095999999999999</v>
      </c>
      <c r="O37" s="13" t="inlineStr">
        <is>
          <t>Elevation count / plan length</t>
        </is>
      </c>
    </row>
    <row r="38">
      <c r="A38" s="13" t="n">
        <v>33</v>
      </c>
      <c r="B38" s="13" t="inlineStr">
        <is>
          <t>Shear Walls</t>
        </is>
      </c>
      <c r="C38" s="13" t="inlineStr">
        <is>
          <t>STR-015/016</t>
        </is>
      </c>
      <c r="D38" s="13" t="inlineStr">
        <is>
          <t>Main core CW-11 9th to 10th - vertical Y20@150 NF/FF</t>
        </is>
      </c>
      <c r="E38" s="19" t="inlineStr">
        <is>
          <t>V-Y20</t>
        </is>
      </c>
      <c r="F38" s="19" t="n">
        <v>20</v>
      </c>
      <c r="G38" s="19" t="n">
        <v>1</v>
      </c>
      <c r="H38" s="19">
        <f>2*(ROUNDUP(1650/150,0)+1)</f>
        <v>24.0</v>
      </c>
      <c r="I38" s="13">
        <f>G38*H38</f>
        <v>24.0</v>
      </c>
      <c r="J38" s="20">
        <f>(3300+40*20)/1000</f>
        <v>4.1</v>
      </c>
      <c r="K38" s="21">
        <f>I38*J38</f>
        <v>98.39999999999999</v>
      </c>
      <c r="L38" s="22">
        <f>F38^2/162</f>
        <v>2.4691358024691357</v>
      </c>
      <c r="M38" s="21">
        <f>K38*L38</f>
        <v>242.96296296296293</v>
      </c>
      <c r="N38" s="22">
        <f>M38/1000</f>
        <v>0.24296296296296294</v>
      </c>
      <c r="O38" s="13" t="inlineStr">
        <is>
          <t>Elevation / plan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STR-015/016</t>
        </is>
      </c>
      <c r="D39" s="13" t="inlineStr">
        <is>
          <t>Main core confinement links Y10@150 (26 positions on plan) 9th to 10th</t>
        </is>
      </c>
      <c r="E39" s="19" t="inlineStr">
        <is>
          <t>LNK-Y10</t>
        </is>
      </c>
      <c r="F39" s="19" t="n">
        <v>10</v>
      </c>
      <c r="G39" s="19" t="n">
        <v>1</v>
      </c>
      <c r="H39" s="19">
        <f>26*ROUNDUP(3300/150,0)</f>
        <v>572.0</v>
      </c>
      <c r="I39" s="13">
        <f>G39*H39</f>
        <v>572.0</v>
      </c>
      <c r="J39" s="20">
        <f>1800/1000</f>
        <v>1.8</v>
      </c>
      <c r="K39" s="21">
        <f>I39*J39</f>
        <v>1029.6000000000001</v>
      </c>
      <c r="L39" s="22">
        <f>F39^2/162</f>
        <v>0.6172839506172839</v>
      </c>
      <c r="M39" s="21">
        <f>K39*L39</f>
        <v>635.5555555555557</v>
      </c>
      <c r="N39" s="22">
        <f>M39/1000</f>
        <v>0.6355555555555557</v>
      </c>
      <c r="O39" s="13" t="inlineStr">
        <is>
          <t>Assumed link cut length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STR-013/014</t>
        </is>
      </c>
      <c r="D40" s="13" t="inlineStr">
        <is>
          <t>Emergency stair core CW-12 (L=7050mm) 9th to 10th - horizontal Y12@150 NF/FF</t>
        </is>
      </c>
      <c r="E40" s="19" t="inlineStr">
        <is>
          <t>H-Y12</t>
        </is>
      </c>
      <c r="F40" s="19" t="n">
        <v>12</v>
      </c>
      <c r="G40" s="19" t="n">
        <v>1</v>
      </c>
      <c r="H40" s="19">
        <f>2*22</f>
        <v>44.0</v>
      </c>
      <c r="I40" s="13">
        <f>G40*H40</f>
        <v>44.0</v>
      </c>
      <c r="J40" s="20">
        <f>(7050-2*30+40*12)/1000</f>
        <v>7.47</v>
      </c>
      <c r="K40" s="21">
        <f>I40*J40</f>
        <v>328.68</v>
      </c>
      <c r="L40" s="22">
        <f>F40^2/162</f>
        <v>0.8888888888888888</v>
      </c>
      <c r="M40" s="21">
        <f>K40*L40</f>
        <v>292.15999999999997</v>
      </c>
      <c r="N40" s="22">
        <f>M40/1000</f>
        <v>0.29216</v>
      </c>
      <c r="O40" s="13" t="inlineStr">
        <is>
          <t>Elevation count / plan length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STR-013/014</t>
        </is>
      </c>
      <c r="D41" s="13" t="inlineStr">
        <is>
          <t>Emergency stair core CW-12 9th to 10th - vertical Y20@150 NF/FF</t>
        </is>
      </c>
      <c r="E41" s="19" t="inlineStr">
        <is>
          <t>V-Y20</t>
        </is>
      </c>
      <c r="F41" s="19" t="n">
        <v>20</v>
      </c>
      <c r="G41" s="19" t="n">
        <v>1</v>
      </c>
      <c r="H41" s="19">
        <f>2*(ROUNDUP(7050/150,0)+1)</f>
        <v>96.0</v>
      </c>
      <c r="I41" s="13">
        <f>G41*H41</f>
        <v>96.0</v>
      </c>
      <c r="J41" s="20">
        <f>(3300+40*20)/1000</f>
        <v>4.1</v>
      </c>
      <c r="K41" s="21">
        <f>I41*J41</f>
        <v>393.59999999999997</v>
      </c>
      <c r="L41" s="22">
        <f>F41^2/162</f>
        <v>2.4691358024691357</v>
      </c>
      <c r="M41" s="21">
        <f>K41*L41</f>
        <v>971.8518518518517</v>
      </c>
      <c r="N41" s="22">
        <f>M41/1000</f>
        <v>0.9718518518518517</v>
      </c>
      <c r="O41" s="13" t="inlineStr">
        <is>
          <t>Elevation / plan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STR-013/014</t>
        </is>
      </c>
      <c r="D42" s="13" t="inlineStr">
        <is>
          <t>Emergency stair core CW-13 (L=7810mm) 9th to 10th - horizontal Y12@150 NF/FF</t>
        </is>
      </c>
      <c r="E42" s="19" t="inlineStr">
        <is>
          <t>H-Y12</t>
        </is>
      </c>
      <c r="F42" s="19" t="n">
        <v>12</v>
      </c>
      <c r="G42" s="19" t="n">
        <v>1</v>
      </c>
      <c r="H42" s="19">
        <f>2*22</f>
        <v>44.0</v>
      </c>
      <c r="I42" s="13">
        <f>G42*H42</f>
        <v>44.0</v>
      </c>
      <c r="J42" s="20">
        <f>(7810-2*30+40*12)/1000</f>
        <v>8.23</v>
      </c>
      <c r="K42" s="21">
        <f>I42*J42</f>
        <v>362.12</v>
      </c>
      <c r="L42" s="22">
        <f>F42^2/162</f>
        <v>0.8888888888888888</v>
      </c>
      <c r="M42" s="21">
        <f>K42*L42</f>
        <v>321.88444444444445</v>
      </c>
      <c r="N42" s="22">
        <f>M42/1000</f>
        <v>0.3218844444444445</v>
      </c>
      <c r="O42" s="13" t="inlineStr">
        <is>
          <t>Elevation count / plan length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STR-013/014</t>
        </is>
      </c>
      <c r="D43" s="13" t="inlineStr">
        <is>
          <t>Emergency stair core CW-13 9th to 10th - vertical Y20@150 NF/FF</t>
        </is>
      </c>
      <c r="E43" s="19" t="inlineStr">
        <is>
          <t>V-Y20</t>
        </is>
      </c>
      <c r="F43" s="19" t="n">
        <v>20</v>
      </c>
      <c r="G43" s="19" t="n">
        <v>1</v>
      </c>
      <c r="H43" s="19">
        <f>2*52</f>
        <v>104.0</v>
      </c>
      <c r="I43" s="13">
        <f>G43*H43</f>
        <v>104.0</v>
      </c>
      <c r="J43" s="20">
        <f>(3300+40*20)/1000</f>
        <v>4.1</v>
      </c>
      <c r="K43" s="21">
        <f>I43*J43</f>
        <v>426.4</v>
      </c>
      <c r="L43" s="22">
        <f>F43^2/162</f>
        <v>2.4691358024691357</v>
      </c>
      <c r="M43" s="21">
        <f>K43*L43</f>
        <v>1052.8395061728395</v>
      </c>
      <c r="N43" s="22">
        <f>M43/1000</f>
        <v>1.0528395061728395</v>
      </c>
      <c r="O43" s="13" t="inlineStr">
        <is>
          <t>Elevation / plan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STR-013/014</t>
        </is>
      </c>
      <c r="D44" s="13" t="inlineStr">
        <is>
          <t>Emergency stair core CW-14 (L=3450mm) 9th to 10th - horizontal Y12@150 NF/FF</t>
        </is>
      </c>
      <c r="E44" s="19" t="inlineStr">
        <is>
          <t>H-Y12</t>
        </is>
      </c>
      <c r="F44" s="19" t="n">
        <v>12</v>
      </c>
      <c r="G44" s="19" t="n">
        <v>1</v>
      </c>
      <c r="H44" s="19">
        <f>2*22</f>
        <v>44.0</v>
      </c>
      <c r="I44" s="13">
        <f>G44*H44</f>
        <v>44.0</v>
      </c>
      <c r="J44" s="20">
        <f>(3450-2*30+40*12)/1000</f>
        <v>3.87</v>
      </c>
      <c r="K44" s="21">
        <f>I44*J44</f>
        <v>170.28</v>
      </c>
      <c r="L44" s="22">
        <f>F44^2/162</f>
        <v>0.8888888888888888</v>
      </c>
      <c r="M44" s="21">
        <f>K44*L44</f>
        <v>151.35999999999999</v>
      </c>
      <c r="N44" s="22">
        <f>M44/1000</f>
        <v>0.15136</v>
      </c>
      <c r="O44" s="13" t="inlineStr">
        <is>
          <t>Elevation count / plan length</t>
        </is>
      </c>
    </row>
    <row r="45">
      <c r="A45" s="13" t="n">
        <v>40</v>
      </c>
      <c r="B45" s="13" t="inlineStr">
        <is>
          <t>Shear Walls</t>
        </is>
      </c>
      <c r="C45" s="13" t="inlineStr">
        <is>
          <t>STR-013/014</t>
        </is>
      </c>
      <c r="D45" s="13" t="inlineStr">
        <is>
          <t>Emergency stair core CW-14 9th to 10th - vertical Y20@150 NF/FF</t>
        </is>
      </c>
      <c r="E45" s="19" t="inlineStr">
        <is>
          <t>V-Y20</t>
        </is>
      </c>
      <c r="F45" s="19" t="n">
        <v>20</v>
      </c>
      <c r="G45" s="19" t="n">
        <v>1</v>
      </c>
      <c r="H45" s="19">
        <f>2*(ROUNDUP(3450/150,0)+1)</f>
        <v>48.0</v>
      </c>
      <c r="I45" s="13">
        <f>G45*H45</f>
        <v>48.0</v>
      </c>
      <c r="J45" s="20">
        <f>(3300+40*20)/1000</f>
        <v>4.1</v>
      </c>
      <c r="K45" s="21">
        <f>I45*J45</f>
        <v>196.79999999999998</v>
      </c>
      <c r="L45" s="22">
        <f>F45^2/162</f>
        <v>2.4691358024691357</v>
      </c>
      <c r="M45" s="21">
        <f>K45*L45</f>
        <v>485.92592592592587</v>
      </c>
      <c r="N45" s="22">
        <f>M45/1000</f>
        <v>0.4859259259259259</v>
      </c>
      <c r="O45" s="13" t="inlineStr">
        <is>
          <t>Elevation / plan</t>
        </is>
      </c>
    </row>
    <row r="46">
      <c r="A46" s="13" t="n">
        <v>41</v>
      </c>
      <c r="B46" s="13" t="inlineStr">
        <is>
          <t>Shear Walls</t>
        </is>
      </c>
      <c r="C46" s="13" t="inlineStr">
        <is>
          <t>STR-013/014</t>
        </is>
      </c>
      <c r="D46" s="13" t="inlineStr">
        <is>
          <t>Emergency stair core CW-15 (L=2425mm) 9th to 10th - horizontal Y12@150 NF/FF</t>
        </is>
      </c>
      <c r="E46" s="19" t="inlineStr">
        <is>
          <t>H-Y12</t>
        </is>
      </c>
      <c r="F46" s="19" t="n">
        <v>12</v>
      </c>
      <c r="G46" s="19" t="n">
        <v>1</v>
      </c>
      <c r="H46" s="19">
        <f>2*22</f>
        <v>44.0</v>
      </c>
      <c r="I46" s="13">
        <f>G46*H46</f>
        <v>44.0</v>
      </c>
      <c r="J46" s="20">
        <f>(2425-2*30+40*12)/1000</f>
        <v>2.845</v>
      </c>
      <c r="K46" s="21">
        <f>I46*J46</f>
        <v>125.18</v>
      </c>
      <c r="L46" s="22">
        <f>F46^2/162</f>
        <v>0.8888888888888888</v>
      </c>
      <c r="M46" s="21">
        <f>K46*L46</f>
        <v>111.27111111111111</v>
      </c>
      <c r="N46" s="22">
        <f>M46/1000</f>
        <v>0.11127111111111111</v>
      </c>
      <c r="O46" s="13" t="inlineStr">
        <is>
          <t>Elevation count / plan length</t>
        </is>
      </c>
    </row>
    <row r="47">
      <c r="A47" s="13" t="n">
        <v>42</v>
      </c>
      <c r="B47" s="13" t="inlineStr">
        <is>
          <t>Shear Walls</t>
        </is>
      </c>
      <c r="C47" s="13" t="inlineStr">
        <is>
          <t>STR-013/014</t>
        </is>
      </c>
      <c r="D47" s="13" t="inlineStr">
        <is>
          <t>Emergency stair core CW-15 9th to 10th - vertical Y20@150 NF/FF</t>
        </is>
      </c>
      <c r="E47" s="19" t="inlineStr">
        <is>
          <t>V-Y20</t>
        </is>
      </c>
      <c r="F47" s="19" t="n">
        <v>20</v>
      </c>
      <c r="G47" s="19" t="n">
        <v>1</v>
      </c>
      <c r="H47" s="19">
        <f>2*(ROUNDUP(2425/150,0)+1)</f>
        <v>36.0</v>
      </c>
      <c r="I47" s="13">
        <f>G47*H47</f>
        <v>36.0</v>
      </c>
      <c r="J47" s="20">
        <f>(3300+40*20)/1000</f>
        <v>4.1</v>
      </c>
      <c r="K47" s="21">
        <f>I47*J47</f>
        <v>147.6</v>
      </c>
      <c r="L47" s="22">
        <f>F47^2/162</f>
        <v>2.4691358024691357</v>
      </c>
      <c r="M47" s="21">
        <f>K47*L47</f>
        <v>364.4444444444444</v>
      </c>
      <c r="N47" s="22">
        <f>M47/1000</f>
        <v>0.3644444444444444</v>
      </c>
      <c r="O47" s="13" t="inlineStr">
        <is>
          <t>Elevation / plan</t>
        </is>
      </c>
    </row>
    <row r="48">
      <c r="A48" s="13" t="n">
        <v>43</v>
      </c>
      <c r="B48" s="13" t="inlineStr">
        <is>
          <t>Shear Walls</t>
        </is>
      </c>
      <c r="C48" s="13" t="inlineStr">
        <is>
          <t>STR-013/014</t>
        </is>
      </c>
      <c r="D48" s="13" t="inlineStr">
        <is>
          <t>Emergency stair core CW-16 (L=775mm) 9th to 10th - horizontal Y12@150 NF/FF</t>
        </is>
      </c>
      <c r="E48" s="19" t="inlineStr">
        <is>
          <t>H-Y12</t>
        </is>
      </c>
      <c r="F48" s="19" t="n">
        <v>12</v>
      </c>
      <c r="G48" s="19" t="n">
        <v>1</v>
      </c>
      <c r="H48" s="19">
        <f>2*22</f>
        <v>44.0</v>
      </c>
      <c r="I48" s="13">
        <f>G48*H48</f>
        <v>44.0</v>
      </c>
      <c r="J48" s="20">
        <f>(775-2*30+40*12)/1000</f>
        <v>1.195</v>
      </c>
      <c r="K48" s="21">
        <f>I48*J48</f>
        <v>52.580000000000005</v>
      </c>
      <c r="L48" s="22">
        <f>F48^2/162</f>
        <v>0.8888888888888888</v>
      </c>
      <c r="M48" s="21">
        <f>K48*L48</f>
        <v>46.73777777777778</v>
      </c>
      <c r="N48" s="22">
        <f>M48/1000</f>
        <v>0.04673777777777778</v>
      </c>
      <c r="O48" s="13" t="inlineStr">
        <is>
          <t>Elevation count / plan length</t>
        </is>
      </c>
    </row>
    <row r="49">
      <c r="A49" s="13" t="n">
        <v>44</v>
      </c>
      <c r="B49" s="13" t="inlineStr">
        <is>
          <t>Shear Walls</t>
        </is>
      </c>
      <c r="C49" s="13" t="inlineStr">
        <is>
          <t>STR-013/014</t>
        </is>
      </c>
      <c r="D49" s="13" t="inlineStr">
        <is>
          <t>Emergency stair core CW-16 9th to 10th - vertical Y20@150 NF/FF</t>
        </is>
      </c>
      <c r="E49" s="19" t="inlineStr">
        <is>
          <t>V-Y20</t>
        </is>
      </c>
      <c r="F49" s="19" t="n">
        <v>20</v>
      </c>
      <c r="G49" s="19" t="n">
        <v>1</v>
      </c>
      <c r="H49" s="19">
        <f>2*(ROUNDUP(775/150,0)+1)</f>
        <v>14.0</v>
      </c>
      <c r="I49" s="13">
        <f>G49*H49</f>
        <v>14.0</v>
      </c>
      <c r="J49" s="20">
        <f>(3300+40*20)/1000</f>
        <v>4.1</v>
      </c>
      <c r="K49" s="21">
        <f>I49*J49</f>
        <v>57.39999999999999</v>
      </c>
      <c r="L49" s="22">
        <f>F49^2/162</f>
        <v>2.4691358024691357</v>
      </c>
      <c r="M49" s="21">
        <f>K49*L49</f>
        <v>141.72839506172838</v>
      </c>
      <c r="N49" s="22">
        <f>M49/1000</f>
        <v>0.14172839506172838</v>
      </c>
      <c r="O49" s="13" t="inlineStr">
        <is>
          <t>Elevation / plan</t>
        </is>
      </c>
    </row>
    <row r="50">
      <c r="A50" s="13" t="n">
        <v>45</v>
      </c>
      <c r="B50" s="13" t="inlineStr">
        <is>
          <t>Shear Walls</t>
        </is>
      </c>
      <c r="C50" s="13" t="inlineStr">
        <is>
          <t>STR-013/014</t>
        </is>
      </c>
      <c r="D50" s="13" t="inlineStr">
        <is>
          <t>Emergency stair core CW-17 (L=360mm) 9th to 10th - horizontal Y12@150 NF/FF</t>
        </is>
      </c>
      <c r="E50" s="19" t="inlineStr">
        <is>
          <t>H-Y12</t>
        </is>
      </c>
      <c r="F50" s="19" t="n">
        <v>12</v>
      </c>
      <c r="G50" s="19" t="n">
        <v>1</v>
      </c>
      <c r="H50" s="19">
        <f>2*22</f>
        <v>44.0</v>
      </c>
      <c r="I50" s="13">
        <f>G50*H50</f>
        <v>44.0</v>
      </c>
      <c r="J50" s="20">
        <f>(360-2*30+40*12)/1000</f>
        <v>0.78</v>
      </c>
      <c r="K50" s="21">
        <f>I50*J50</f>
        <v>34.32</v>
      </c>
      <c r="L50" s="22">
        <f>F50^2/162</f>
        <v>0.8888888888888888</v>
      </c>
      <c r="M50" s="21">
        <f>K50*L50</f>
        <v>30.506666666666664</v>
      </c>
      <c r="N50" s="22">
        <f>M50/1000</f>
        <v>0.030506666666666665</v>
      </c>
      <c r="O50" s="13" t="inlineStr">
        <is>
          <t>Elevation count / plan length</t>
        </is>
      </c>
    </row>
    <row r="51">
      <c r="A51" s="13" t="n">
        <v>46</v>
      </c>
      <c r="B51" s="13" t="inlineStr">
        <is>
          <t>Shear Walls</t>
        </is>
      </c>
      <c r="C51" s="13" t="inlineStr">
        <is>
          <t>STR-013/014</t>
        </is>
      </c>
      <c r="D51" s="13" t="inlineStr">
        <is>
          <t>Emergency stair core CW-17 9th to 10th - vertical Y20@150 NF/FF</t>
        </is>
      </c>
      <c r="E51" s="19" t="inlineStr">
        <is>
          <t>V-Y20</t>
        </is>
      </c>
      <c r="F51" s="19" t="n">
        <v>20</v>
      </c>
      <c r="G51" s="19" t="n">
        <v>1</v>
      </c>
      <c r="H51" s="19">
        <f>2*(ROUNDUP(360/150,0)+1)</f>
        <v>8.0</v>
      </c>
      <c r="I51" s="13">
        <f>G51*H51</f>
        <v>8.0</v>
      </c>
      <c r="J51" s="20">
        <f>(3300+40*20)/1000</f>
        <v>4.1</v>
      </c>
      <c r="K51" s="21">
        <f>I51*J51</f>
        <v>32.8</v>
      </c>
      <c r="L51" s="22">
        <f>F51^2/162</f>
        <v>2.4691358024691357</v>
      </c>
      <c r="M51" s="21">
        <f>K51*L51</f>
        <v>80.98765432098764</v>
      </c>
      <c r="N51" s="22">
        <f>M51/1000</f>
        <v>0.08098765432098765</v>
      </c>
      <c r="O51" s="13" t="inlineStr">
        <is>
          <t>Elevation / plan</t>
        </is>
      </c>
    </row>
    <row r="52">
      <c r="A52" s="13" t="n">
        <v>47</v>
      </c>
      <c r="B52" s="13" t="inlineStr">
        <is>
          <t>Shear Walls</t>
        </is>
      </c>
      <c r="C52" s="13" t="inlineStr">
        <is>
          <t>STR-013/014</t>
        </is>
      </c>
      <c r="D52" s="13" t="inlineStr">
        <is>
          <t>Emergency stair core CW-18 (L=1300mm) 9th to 10th - horizontal Y12@150 NF/FF</t>
        </is>
      </c>
      <c r="E52" s="19" t="inlineStr">
        <is>
          <t>H-Y12</t>
        </is>
      </c>
      <c r="F52" s="19" t="n">
        <v>12</v>
      </c>
      <c r="G52" s="19" t="n">
        <v>1</v>
      </c>
      <c r="H52" s="19">
        <f>2*22</f>
        <v>44.0</v>
      </c>
      <c r="I52" s="13">
        <f>G52*H52</f>
        <v>44.0</v>
      </c>
      <c r="J52" s="20">
        <f>(1300-2*30+40*12)/1000</f>
        <v>1.72</v>
      </c>
      <c r="K52" s="21">
        <f>I52*J52</f>
        <v>75.67999999999999</v>
      </c>
      <c r="L52" s="22">
        <f>F52^2/162</f>
        <v>0.8888888888888888</v>
      </c>
      <c r="M52" s="21">
        <f>K52*L52</f>
        <v>67.2711111111111</v>
      </c>
      <c r="N52" s="22">
        <f>M52/1000</f>
        <v>0.0672711111111111</v>
      </c>
      <c r="O52" s="13" t="inlineStr">
        <is>
          <t>Elevation count / plan length</t>
        </is>
      </c>
    </row>
    <row r="53">
      <c r="A53" s="13" t="n">
        <v>48</v>
      </c>
      <c r="B53" s="13" t="inlineStr">
        <is>
          <t>Shear Walls</t>
        </is>
      </c>
      <c r="C53" s="13" t="inlineStr">
        <is>
          <t>STR-013/014</t>
        </is>
      </c>
      <c r="D53" s="13" t="inlineStr">
        <is>
          <t>Emergency stair core CW-18 9th to 10th - vertical Y20@150 NF/FF</t>
        </is>
      </c>
      <c r="E53" s="19" t="inlineStr">
        <is>
          <t>V-Y20</t>
        </is>
      </c>
      <c r="F53" s="19" t="n">
        <v>20</v>
      </c>
      <c r="G53" s="19" t="n">
        <v>1</v>
      </c>
      <c r="H53" s="19">
        <f>2*(ROUNDUP(1300/150,0)+1)</f>
        <v>20.0</v>
      </c>
      <c r="I53" s="13">
        <f>G53*H53</f>
        <v>20.0</v>
      </c>
      <c r="J53" s="20">
        <f>(3300+40*20)/1000</f>
        <v>4.1</v>
      </c>
      <c r="K53" s="21">
        <f>I53*J53</f>
        <v>82.0</v>
      </c>
      <c r="L53" s="22">
        <f>F53^2/162</f>
        <v>2.4691358024691357</v>
      </c>
      <c r="M53" s="21">
        <f>K53*L53</f>
        <v>202.4691358024691</v>
      </c>
      <c r="N53" s="22">
        <f>M53/1000</f>
        <v>0.2024691358024691</v>
      </c>
      <c r="O53" s="13" t="inlineStr">
        <is>
          <t>Elevation / plan</t>
        </is>
      </c>
    </row>
    <row r="54">
      <c r="A54" s="13" t="n">
        <v>49</v>
      </c>
      <c r="B54" s="13" t="inlineStr">
        <is>
          <t>Shear Walls</t>
        </is>
      </c>
      <c r="C54" s="13" t="inlineStr">
        <is>
          <t>STR-013/014</t>
        </is>
      </c>
      <c r="D54" s="13" t="inlineStr">
        <is>
          <t>Emergency stair core CW-19 (L=1100mm) 9th to 10th - horizontal Y12@150 NF/FF</t>
        </is>
      </c>
      <c r="E54" s="19" t="inlineStr">
        <is>
          <t>H-Y12</t>
        </is>
      </c>
      <c r="F54" s="19" t="n">
        <v>12</v>
      </c>
      <c r="G54" s="19" t="n">
        <v>1</v>
      </c>
      <c r="H54" s="19">
        <f>2*22</f>
        <v>44.0</v>
      </c>
      <c r="I54" s="13">
        <f>G54*H54</f>
        <v>44.0</v>
      </c>
      <c r="J54" s="20">
        <f>(1100-2*30+40*12)/1000</f>
        <v>1.52</v>
      </c>
      <c r="K54" s="21">
        <f>I54*J54</f>
        <v>66.88</v>
      </c>
      <c r="L54" s="22">
        <f>F54^2/162</f>
        <v>0.8888888888888888</v>
      </c>
      <c r="M54" s="21">
        <f>K54*L54</f>
        <v>59.44888888888888</v>
      </c>
      <c r="N54" s="22">
        <f>M54/1000</f>
        <v>0.05944888888888888</v>
      </c>
      <c r="O54" s="13" t="inlineStr">
        <is>
          <t>Elevation count / plan length</t>
        </is>
      </c>
    </row>
    <row r="55">
      <c r="A55" s="13" t="n">
        <v>50</v>
      </c>
      <c r="B55" s="13" t="inlineStr">
        <is>
          <t>Shear Walls</t>
        </is>
      </c>
      <c r="C55" s="13" t="inlineStr">
        <is>
          <t>STR-013/014</t>
        </is>
      </c>
      <c r="D55" s="13" t="inlineStr">
        <is>
          <t>Emergency stair core CW-19 9th to 10th - vertical Y20@150 NF/FF</t>
        </is>
      </c>
      <c r="E55" s="19" t="inlineStr">
        <is>
          <t>V-Y20</t>
        </is>
      </c>
      <c r="F55" s="19" t="n">
        <v>20</v>
      </c>
      <c r="G55" s="19" t="n">
        <v>1</v>
      </c>
      <c r="H55" s="19">
        <f>2*(ROUNDUP(1100/150,0)+1)</f>
        <v>18.0</v>
      </c>
      <c r="I55" s="13">
        <f>G55*H55</f>
        <v>18.0</v>
      </c>
      <c r="J55" s="20">
        <f>(3300+40*20)/1000</f>
        <v>4.1</v>
      </c>
      <c r="K55" s="21">
        <f>I55*J55</f>
        <v>73.8</v>
      </c>
      <c r="L55" s="22">
        <f>F55^2/162</f>
        <v>2.4691358024691357</v>
      </c>
      <c r="M55" s="21">
        <f>K55*L55</f>
        <v>182.2222222222222</v>
      </c>
      <c r="N55" s="22">
        <f>M55/1000</f>
        <v>0.1822222222222222</v>
      </c>
      <c r="O55" s="13" t="inlineStr">
        <is>
          <t>Elevation / plan</t>
        </is>
      </c>
    </row>
    <row r="56">
      <c r="A56" s="13" t="n">
        <v>51</v>
      </c>
      <c r="B56" s="13" t="inlineStr">
        <is>
          <t>Shear Walls</t>
        </is>
      </c>
      <c r="C56" s="13" t="inlineStr">
        <is>
          <t>STR-013/014</t>
        </is>
      </c>
      <c r="D56" s="13" t="inlineStr">
        <is>
          <t>Emergency stair core CW-20 (L=1300mm) 9th to 10th - horizontal Y12@150 NF/FF</t>
        </is>
      </c>
      <c r="E56" s="19" t="inlineStr">
        <is>
          <t>H-Y12</t>
        </is>
      </c>
      <c r="F56" s="19" t="n">
        <v>12</v>
      </c>
      <c r="G56" s="19" t="n">
        <v>1</v>
      </c>
      <c r="H56" s="19">
        <f>2*22</f>
        <v>44.0</v>
      </c>
      <c r="I56" s="13">
        <f>G56*H56</f>
        <v>44.0</v>
      </c>
      <c r="J56" s="20">
        <f>(1300-2*30+40*12)/1000</f>
        <v>1.72</v>
      </c>
      <c r="K56" s="21">
        <f>I56*J56</f>
        <v>75.67999999999999</v>
      </c>
      <c r="L56" s="22">
        <f>F56^2/162</f>
        <v>0.8888888888888888</v>
      </c>
      <c r="M56" s="21">
        <f>K56*L56</f>
        <v>67.2711111111111</v>
      </c>
      <c r="N56" s="22">
        <f>M56/1000</f>
        <v>0.0672711111111111</v>
      </c>
      <c r="O56" s="13" t="inlineStr">
        <is>
          <t>Elevation count / plan length</t>
        </is>
      </c>
    </row>
    <row r="57">
      <c r="A57" s="13" t="n">
        <v>52</v>
      </c>
      <c r="B57" s="13" t="inlineStr">
        <is>
          <t>Shear Walls</t>
        </is>
      </c>
      <c r="C57" s="13" t="inlineStr">
        <is>
          <t>STR-013/014</t>
        </is>
      </c>
      <c r="D57" s="13" t="inlineStr">
        <is>
          <t>Emergency stair core CW-20 9th to 10th - vertical Y20@150 NF/FF</t>
        </is>
      </c>
      <c r="E57" s="19" t="inlineStr">
        <is>
          <t>V-Y20</t>
        </is>
      </c>
      <c r="F57" s="19" t="n">
        <v>20</v>
      </c>
      <c r="G57" s="19" t="n">
        <v>1</v>
      </c>
      <c r="H57" s="19">
        <f>2*(ROUNDUP(1300/150,0)+1)</f>
        <v>20.0</v>
      </c>
      <c r="I57" s="13">
        <f>G57*H57</f>
        <v>20.0</v>
      </c>
      <c r="J57" s="20">
        <f>(3300+40*20)/1000</f>
        <v>4.1</v>
      </c>
      <c r="K57" s="21">
        <f>I57*J57</f>
        <v>82.0</v>
      </c>
      <c r="L57" s="22">
        <f>F57^2/162</f>
        <v>2.4691358024691357</v>
      </c>
      <c r="M57" s="21">
        <f>K57*L57</f>
        <v>202.4691358024691</v>
      </c>
      <c r="N57" s="22">
        <f>M57/1000</f>
        <v>0.2024691358024691</v>
      </c>
      <c r="O57" s="13" t="inlineStr">
        <is>
          <t>Elevation / plan</t>
        </is>
      </c>
    </row>
    <row r="58">
      <c r="A58" s="13" t="n">
        <v>53</v>
      </c>
      <c r="B58" s="13" t="inlineStr">
        <is>
          <t>Shear Walls</t>
        </is>
      </c>
      <c r="C58" s="13" t="inlineStr">
        <is>
          <t>STR-013/014</t>
        </is>
      </c>
      <c r="D58" s="13" t="inlineStr">
        <is>
          <t>Emergency stair core confinement links Y10@150 (33 positions on plan) 9th to 10th</t>
        </is>
      </c>
      <c r="E58" s="19" t="inlineStr">
        <is>
          <t>LNK-Y10</t>
        </is>
      </c>
      <c r="F58" s="19" t="n">
        <v>10</v>
      </c>
      <c r="G58" s="19" t="n">
        <v>1</v>
      </c>
      <c r="H58" s="19">
        <f>33*ROUNDUP(3300/150,0)</f>
        <v>726.0</v>
      </c>
      <c r="I58" s="13">
        <f>G58*H58</f>
        <v>726.0</v>
      </c>
      <c r="J58" s="20">
        <f>1800/1000</f>
        <v>1.8</v>
      </c>
      <c r="K58" s="21">
        <f>I58*J58</f>
        <v>1306.8</v>
      </c>
      <c r="L58" s="22">
        <f>F58^2/162</f>
        <v>0.6172839506172839</v>
      </c>
      <c r="M58" s="21">
        <f>K58*L58</f>
        <v>806.6666666666666</v>
      </c>
      <c r="N58" s="22">
        <f>M58/1000</f>
        <v>0.8066666666666666</v>
      </c>
      <c r="O58" s="13" t="inlineStr">
        <is>
          <t>Assumed link cut length</t>
        </is>
      </c>
    </row>
    <row r="59">
      <c r="A59" s="13" t="n">
        <v>54</v>
      </c>
      <c r="B59" s="13" t="inlineStr">
        <is>
          <t>Lift Walls</t>
        </is>
      </c>
      <c r="C59" s="13" t="inlineStr">
        <is>
          <t>STR-015/017</t>
        </is>
      </c>
      <c r="D59" s="13" t="inlineStr">
        <is>
          <t>Main core (lift shafts) CW-02 (L=3600mm) 9th to 10th - horizontal Y12@150 NF/FF</t>
        </is>
      </c>
      <c r="E59" s="19" t="inlineStr">
        <is>
          <t>H-Y12</t>
        </is>
      </c>
      <c r="F59" s="19" t="n">
        <v>12</v>
      </c>
      <c r="G59" s="19" t="n">
        <v>1</v>
      </c>
      <c r="H59" s="19">
        <f>2*22</f>
        <v>44.0</v>
      </c>
      <c r="I59" s="13">
        <f>G59*H59</f>
        <v>44.0</v>
      </c>
      <c r="J59" s="20">
        <f>(3600-2*30+40*12)/1000</f>
        <v>4.02</v>
      </c>
      <c r="K59" s="21">
        <f>I59*J59</f>
        <v>176.88</v>
      </c>
      <c r="L59" s="22">
        <f>F59^2/162</f>
        <v>0.8888888888888888</v>
      </c>
      <c r="M59" s="21">
        <f>K59*L59</f>
        <v>157.22666666666666</v>
      </c>
      <c r="N59" s="22">
        <f>M59/1000</f>
        <v>0.15722666666666665</v>
      </c>
      <c r="O59" s="13" t="inlineStr">
        <is>
          <t>Elevation count / plan length</t>
        </is>
      </c>
    </row>
    <row r="60">
      <c r="A60" s="13" t="n">
        <v>55</v>
      </c>
      <c r="B60" s="13" t="inlineStr">
        <is>
          <t>Lift Walls</t>
        </is>
      </c>
      <c r="C60" s="13" t="inlineStr">
        <is>
          <t>STR-015/017</t>
        </is>
      </c>
      <c r="D60" s="13" t="inlineStr">
        <is>
          <t>Main core (lift shafts) CW-02 9th to 10th - vertical Y20@150 NF/FF</t>
        </is>
      </c>
      <c r="E60" s="19" t="inlineStr">
        <is>
          <t>V-Y20</t>
        </is>
      </c>
      <c r="F60" s="19" t="n">
        <v>20</v>
      </c>
      <c r="G60" s="19" t="n">
        <v>1</v>
      </c>
      <c r="H60" s="19">
        <f>2*29</f>
        <v>58.0</v>
      </c>
      <c r="I60" s="13">
        <f>G60*H60</f>
        <v>58.0</v>
      </c>
      <c r="J60" s="20">
        <f>(3300+40*20)/1000</f>
        <v>4.1</v>
      </c>
      <c r="K60" s="21">
        <f>I60*J60</f>
        <v>237.79999999999998</v>
      </c>
      <c r="L60" s="22">
        <f>F60^2/162</f>
        <v>2.4691358024691357</v>
      </c>
      <c r="M60" s="21">
        <f>K60*L60</f>
        <v>587.1604938271604</v>
      </c>
      <c r="N60" s="22">
        <f>M60/1000</f>
        <v>0.5871604938271604</v>
      </c>
      <c r="O60" s="13" t="inlineStr">
        <is>
          <t>Elevation / plan</t>
        </is>
      </c>
    </row>
    <row r="61">
      <c r="A61" s="13" t="n">
        <v>56</v>
      </c>
      <c r="B61" s="13" t="inlineStr">
        <is>
          <t>Lift Walls</t>
        </is>
      </c>
      <c r="C61" s="13" t="inlineStr">
        <is>
          <t>STR-015/017</t>
        </is>
      </c>
      <c r="D61" s="13" t="inlineStr">
        <is>
          <t>Main core (lift shafts) CW-03 (L=3600mm) 9th to 10th - horizontal Y12@150 NF/FF</t>
        </is>
      </c>
      <c r="E61" s="19" t="inlineStr">
        <is>
          <t>H-Y12</t>
        </is>
      </c>
      <c r="F61" s="19" t="n">
        <v>12</v>
      </c>
      <c r="G61" s="19" t="n">
        <v>1</v>
      </c>
      <c r="H61" s="19">
        <f>2*22</f>
        <v>44.0</v>
      </c>
      <c r="I61" s="13">
        <f>G61*H61</f>
        <v>44.0</v>
      </c>
      <c r="J61" s="20">
        <f>(3600-2*30+40*12)/1000</f>
        <v>4.02</v>
      </c>
      <c r="K61" s="21">
        <f>I61*J61</f>
        <v>176.88</v>
      </c>
      <c r="L61" s="22">
        <f>F61^2/162</f>
        <v>0.8888888888888888</v>
      </c>
      <c r="M61" s="21">
        <f>K61*L61</f>
        <v>157.22666666666666</v>
      </c>
      <c r="N61" s="22">
        <f>M61/1000</f>
        <v>0.15722666666666665</v>
      </c>
      <c r="O61" s="13" t="inlineStr">
        <is>
          <t>Elevation count / plan length</t>
        </is>
      </c>
    </row>
    <row r="62">
      <c r="A62" s="13" t="n">
        <v>57</v>
      </c>
      <c r="B62" s="13" t="inlineStr">
        <is>
          <t>Lift Walls</t>
        </is>
      </c>
      <c r="C62" s="13" t="inlineStr">
        <is>
          <t>STR-015/017</t>
        </is>
      </c>
      <c r="D62" s="13" t="inlineStr">
        <is>
          <t>Main core (lift shafts) CW-03 9th to 10th - vertical Y20@150 NF/FF</t>
        </is>
      </c>
      <c r="E62" s="19" t="inlineStr">
        <is>
          <t>V-Y20</t>
        </is>
      </c>
      <c r="F62" s="19" t="n">
        <v>20</v>
      </c>
      <c r="G62" s="19" t="n">
        <v>1</v>
      </c>
      <c r="H62" s="19">
        <f>2*29</f>
        <v>58.0</v>
      </c>
      <c r="I62" s="13">
        <f>G62*H62</f>
        <v>58.0</v>
      </c>
      <c r="J62" s="20">
        <f>(3300+40*20)/1000</f>
        <v>4.1</v>
      </c>
      <c r="K62" s="21">
        <f>I62*J62</f>
        <v>237.79999999999998</v>
      </c>
      <c r="L62" s="22">
        <f>F62^2/162</f>
        <v>2.4691358024691357</v>
      </c>
      <c r="M62" s="21">
        <f>K62*L62</f>
        <v>587.1604938271604</v>
      </c>
      <c r="N62" s="22">
        <f>M62/1000</f>
        <v>0.5871604938271604</v>
      </c>
      <c r="O62" s="13" t="inlineStr">
        <is>
          <t>Elevation / plan</t>
        </is>
      </c>
    </row>
    <row r="63">
      <c r="A63" s="13" t="n">
        <v>58</v>
      </c>
      <c r="B63" s="13" t="inlineStr">
        <is>
          <t>Lift Walls</t>
        </is>
      </c>
      <c r="C63" s="13" t="inlineStr">
        <is>
          <t>STR-015/017</t>
        </is>
      </c>
      <c r="D63" s="13" t="inlineStr">
        <is>
          <t>Main core (lift shafts) CW-04 (L=3600mm) 9th to 10th - horizontal Y12@150 NF/FF</t>
        </is>
      </c>
      <c r="E63" s="19" t="inlineStr">
        <is>
          <t>H-Y12</t>
        </is>
      </c>
      <c r="F63" s="19" t="n">
        <v>12</v>
      </c>
      <c r="G63" s="19" t="n">
        <v>1</v>
      </c>
      <c r="H63" s="19">
        <f>2*22</f>
        <v>44.0</v>
      </c>
      <c r="I63" s="13">
        <f>G63*H63</f>
        <v>44.0</v>
      </c>
      <c r="J63" s="20">
        <f>(3600-2*30+40*12)/1000</f>
        <v>4.02</v>
      </c>
      <c r="K63" s="21">
        <f>I63*J63</f>
        <v>176.88</v>
      </c>
      <c r="L63" s="22">
        <f>F63^2/162</f>
        <v>0.8888888888888888</v>
      </c>
      <c r="M63" s="21">
        <f>K63*L63</f>
        <v>157.22666666666666</v>
      </c>
      <c r="N63" s="22">
        <f>M63/1000</f>
        <v>0.15722666666666665</v>
      </c>
      <c r="O63" s="13" t="inlineStr">
        <is>
          <t>Elevation count / plan length</t>
        </is>
      </c>
    </row>
    <row r="64">
      <c r="A64" s="13" t="n">
        <v>59</v>
      </c>
      <c r="B64" s="13" t="inlineStr">
        <is>
          <t>Lift Walls</t>
        </is>
      </c>
      <c r="C64" s="13" t="inlineStr">
        <is>
          <t>STR-015/017</t>
        </is>
      </c>
      <c r="D64" s="13" t="inlineStr">
        <is>
          <t>Main core (lift shafts) CW-04 9th to 10th - vertical Y20@150 NF/FF</t>
        </is>
      </c>
      <c r="E64" s="19" t="inlineStr">
        <is>
          <t>V-Y20</t>
        </is>
      </c>
      <c r="F64" s="19" t="n">
        <v>20</v>
      </c>
      <c r="G64" s="19" t="n">
        <v>1</v>
      </c>
      <c r="H64" s="19">
        <f>2*29</f>
        <v>58.0</v>
      </c>
      <c r="I64" s="13">
        <f>G64*H64</f>
        <v>58.0</v>
      </c>
      <c r="J64" s="20">
        <f>(3300+40*20)/1000</f>
        <v>4.1</v>
      </c>
      <c r="K64" s="21">
        <f>I64*J64</f>
        <v>237.79999999999998</v>
      </c>
      <c r="L64" s="22">
        <f>F64^2/162</f>
        <v>2.4691358024691357</v>
      </c>
      <c r="M64" s="21">
        <f>K64*L64</f>
        <v>587.1604938271604</v>
      </c>
      <c r="N64" s="22">
        <f>M64/1000</f>
        <v>0.5871604938271604</v>
      </c>
      <c r="O64" s="13" t="inlineStr">
        <is>
          <t>Elevation / plan</t>
        </is>
      </c>
    </row>
    <row r="65">
      <c r="A65" s="13" t="n">
        <v>60</v>
      </c>
      <c r="B65" s="13" t="inlineStr">
        <is>
          <t>Lift Walls</t>
        </is>
      </c>
      <c r="C65" s="13" t="inlineStr">
        <is>
          <t>STR-015/017</t>
        </is>
      </c>
      <c r="D65" s="13" t="inlineStr">
        <is>
          <t>Main core (lift shafts) CW-06 (L=2025mm) 9th to 10th - horizontal Y12@150 NF/FF</t>
        </is>
      </c>
      <c r="E65" s="19" t="inlineStr">
        <is>
          <t>H-Y12</t>
        </is>
      </c>
      <c r="F65" s="19" t="n">
        <v>12</v>
      </c>
      <c r="G65" s="19" t="n">
        <v>1</v>
      </c>
      <c r="H65" s="19">
        <f>2*22</f>
        <v>44.0</v>
      </c>
      <c r="I65" s="13">
        <f>G65*H65</f>
        <v>44.0</v>
      </c>
      <c r="J65" s="20">
        <f>(2025-2*30+40*12)/1000</f>
        <v>2.445</v>
      </c>
      <c r="K65" s="21">
        <f>I65*J65</f>
        <v>107.58</v>
      </c>
      <c r="L65" s="22">
        <f>F65^2/162</f>
        <v>0.8888888888888888</v>
      </c>
      <c r="M65" s="21">
        <f>K65*L65</f>
        <v>95.62666666666667</v>
      </c>
      <c r="N65" s="22">
        <f>M65/1000</f>
        <v>0.09562666666666667</v>
      </c>
      <c r="O65" s="13" t="inlineStr">
        <is>
          <t>Elevation count / plan length</t>
        </is>
      </c>
    </row>
    <row r="66">
      <c r="A66" s="13" t="n">
        <v>61</v>
      </c>
      <c r="B66" s="13" t="inlineStr">
        <is>
          <t>Lift Walls</t>
        </is>
      </c>
      <c r="C66" s="13" t="inlineStr">
        <is>
          <t>STR-015/017</t>
        </is>
      </c>
      <c r="D66" s="13" t="inlineStr">
        <is>
          <t>Main core (lift shafts) CW-06 9th to 10th - vertical Y20@150 NF/FF</t>
        </is>
      </c>
      <c r="E66" s="19" t="inlineStr">
        <is>
          <t>V-Y20</t>
        </is>
      </c>
      <c r="F66" s="19" t="n">
        <v>20</v>
      </c>
      <c r="G66" s="19" t="n">
        <v>1</v>
      </c>
      <c r="H66" s="19">
        <f>2*(ROUNDUP(2025/150,0)+1)</f>
        <v>30.0</v>
      </c>
      <c r="I66" s="13">
        <f>G66*H66</f>
        <v>30.0</v>
      </c>
      <c r="J66" s="20">
        <f>(3300+40*20)/1000</f>
        <v>4.1</v>
      </c>
      <c r="K66" s="21">
        <f>I66*J66</f>
        <v>122.99999999999999</v>
      </c>
      <c r="L66" s="22">
        <f>F66^2/162</f>
        <v>2.4691358024691357</v>
      </c>
      <c r="M66" s="21">
        <f>K66*L66</f>
        <v>303.70370370370364</v>
      </c>
      <c r="N66" s="22">
        <f>M66/1000</f>
        <v>0.30370370370370364</v>
      </c>
      <c r="O66" s="13" t="inlineStr">
        <is>
          <t>Elevation / plan</t>
        </is>
      </c>
    </row>
    <row r="67">
      <c r="A67" s="13" t="n">
        <v>62</v>
      </c>
      <c r="B67" s="13" t="inlineStr">
        <is>
          <t>Lift Walls</t>
        </is>
      </c>
      <c r="C67" s="13" t="inlineStr">
        <is>
          <t>STR-015/017</t>
        </is>
      </c>
      <c r="D67" s="13" t="inlineStr">
        <is>
          <t>Main core (lift shafts) CW-08 (L=4500mm) 9th to 10th - horizontal Y12@150 NF/FF</t>
        </is>
      </c>
      <c r="E67" s="19" t="inlineStr">
        <is>
          <t>H-Y12</t>
        </is>
      </c>
      <c r="F67" s="19" t="n">
        <v>12</v>
      </c>
      <c r="G67" s="19" t="n">
        <v>1</v>
      </c>
      <c r="H67" s="19">
        <f>2*22</f>
        <v>44.0</v>
      </c>
      <c r="I67" s="13">
        <f>G67*H67</f>
        <v>44.0</v>
      </c>
      <c r="J67" s="20">
        <f>(4500-2*30+40*12)/1000</f>
        <v>4.92</v>
      </c>
      <c r="K67" s="21">
        <f>I67*J67</f>
        <v>216.48</v>
      </c>
      <c r="L67" s="22">
        <f>F67^2/162</f>
        <v>0.8888888888888888</v>
      </c>
      <c r="M67" s="21">
        <f>K67*L67</f>
        <v>192.42666666666665</v>
      </c>
      <c r="N67" s="22">
        <f>M67/1000</f>
        <v>0.19242666666666663</v>
      </c>
      <c r="O67" s="13" t="inlineStr">
        <is>
          <t>Elevation count / plan length</t>
        </is>
      </c>
    </row>
    <row r="68">
      <c r="A68" s="13" t="n">
        <v>63</v>
      </c>
      <c r="B68" s="13" t="inlineStr">
        <is>
          <t>Lift Walls</t>
        </is>
      </c>
      <c r="C68" s="13" t="inlineStr">
        <is>
          <t>STR-015/017</t>
        </is>
      </c>
      <c r="D68" s="13" t="inlineStr">
        <is>
          <t>Main core (lift shafts) CW-08 9th to 10th - vertical Y20@150 NF/FF</t>
        </is>
      </c>
      <c r="E68" s="19" t="inlineStr">
        <is>
          <t>V-Y20</t>
        </is>
      </c>
      <c r="F68" s="19" t="n">
        <v>20</v>
      </c>
      <c r="G68" s="19" t="n">
        <v>1</v>
      </c>
      <c r="H68" s="19">
        <f>2*(ROUNDUP(4500/150,0)+1)</f>
        <v>62.0</v>
      </c>
      <c r="I68" s="13">
        <f>G68*H68</f>
        <v>62.0</v>
      </c>
      <c r="J68" s="20">
        <f>(3300+40*20)/1000</f>
        <v>4.1</v>
      </c>
      <c r="K68" s="21">
        <f>I68*J68</f>
        <v>254.2</v>
      </c>
      <c r="L68" s="22">
        <f>F68^2/162</f>
        <v>2.4691358024691357</v>
      </c>
      <c r="M68" s="21">
        <f>K68*L68</f>
        <v>627.6543209876543</v>
      </c>
      <c r="N68" s="22">
        <f>M68/1000</f>
        <v>0.6276543209876543</v>
      </c>
      <c r="O68" s="13" t="inlineStr">
        <is>
          <t>Elevation / plan</t>
        </is>
      </c>
    </row>
    <row r="69">
      <c r="A69" s="13" t="n">
        <v>64</v>
      </c>
      <c r="B69" s="13" t="inlineStr">
        <is>
          <t>Lift Walls</t>
        </is>
      </c>
      <c r="C69" s="13" t="inlineStr">
        <is>
          <t>STR-015/017</t>
        </is>
      </c>
      <c r="D69" s="13" t="inlineStr">
        <is>
          <t>Main core (lift shafts) CW-07 (lift section) (L=4500mm) 9th to 10th - horizontal Y12@150 NF/FF</t>
        </is>
      </c>
      <c r="E69" s="19" t="inlineStr">
        <is>
          <t>H-Y12</t>
        </is>
      </c>
      <c r="F69" s="19" t="n">
        <v>12</v>
      </c>
      <c r="G69" s="19" t="n">
        <v>1</v>
      </c>
      <c r="H69" s="19">
        <f>2*22</f>
        <v>44.0</v>
      </c>
      <c r="I69" s="13">
        <f>G69*H69</f>
        <v>44.0</v>
      </c>
      <c r="J69" s="20">
        <f>(4500-2*30+40*12)/1000</f>
        <v>4.92</v>
      </c>
      <c r="K69" s="21">
        <f>I69*J69</f>
        <v>216.48</v>
      </c>
      <c r="L69" s="22">
        <f>F69^2/162</f>
        <v>0.8888888888888888</v>
      </c>
      <c r="M69" s="21">
        <f>K69*L69</f>
        <v>192.42666666666665</v>
      </c>
      <c r="N69" s="22">
        <f>M69/1000</f>
        <v>0.19242666666666663</v>
      </c>
      <c r="O69" s="13" t="inlineStr">
        <is>
          <t>Elevation count / plan length</t>
        </is>
      </c>
    </row>
    <row r="70">
      <c r="A70" s="13" t="n">
        <v>65</v>
      </c>
      <c r="B70" s="13" t="inlineStr">
        <is>
          <t>Lift Walls</t>
        </is>
      </c>
      <c r="C70" s="13" t="inlineStr">
        <is>
          <t>STR-015/017</t>
        </is>
      </c>
      <c r="D70" s="13" t="inlineStr">
        <is>
          <t>Main core (lift shafts) CW-07 (lift section) 9th to 10th - vertical Y20@150 NF/FF</t>
        </is>
      </c>
      <c r="E70" s="19" t="inlineStr">
        <is>
          <t>V-Y20</t>
        </is>
      </c>
      <c r="F70" s="19" t="n">
        <v>20</v>
      </c>
      <c r="G70" s="19" t="n">
        <v>1</v>
      </c>
      <c r="H70" s="19">
        <f>2*(ROUNDUP(4500/150,0)+1)</f>
        <v>62.0</v>
      </c>
      <c r="I70" s="13">
        <f>G70*H70</f>
        <v>62.0</v>
      </c>
      <c r="J70" s="20">
        <f>(3300+40*20)/1000</f>
        <v>4.1</v>
      </c>
      <c r="K70" s="21">
        <f>I70*J70</f>
        <v>254.2</v>
      </c>
      <c r="L70" s="22">
        <f>F70^2/162</f>
        <v>2.4691358024691357</v>
      </c>
      <c r="M70" s="21">
        <f>K70*L70</f>
        <v>627.6543209876543</v>
      </c>
      <c r="N70" s="22">
        <f>M70/1000</f>
        <v>0.6276543209876543</v>
      </c>
      <c r="O70" s="13" t="inlineStr">
        <is>
          <t>Elevation / plan</t>
        </is>
      </c>
    </row>
    <row r="71">
      <c r="A71" s="13" t="n">
        <v>66</v>
      </c>
      <c r="B71" s="13" t="inlineStr">
        <is>
          <t>Lift Walls</t>
        </is>
      </c>
      <c r="C71" s="13" t="inlineStr">
        <is>
          <t>STR-015/017</t>
        </is>
      </c>
      <c r="D71" s="13" t="inlineStr">
        <is>
          <t>Main core (lift shafts) confinement links Y10@150 (26 positions on plan) 9th to 10th</t>
        </is>
      </c>
      <c r="E71" s="19" t="inlineStr">
        <is>
          <t>LNK-Y10</t>
        </is>
      </c>
      <c r="F71" s="19" t="n">
        <v>10</v>
      </c>
      <c r="G71" s="19" t="n">
        <v>1</v>
      </c>
      <c r="H71" s="19">
        <f>26*ROUNDUP(3300/150,0)</f>
        <v>572.0</v>
      </c>
      <c r="I71" s="13">
        <f>G71*H71</f>
        <v>572.0</v>
      </c>
      <c r="J71" s="20">
        <f>1800/1000</f>
        <v>1.8</v>
      </c>
      <c r="K71" s="21">
        <f>I71*J71</f>
        <v>1029.6000000000001</v>
      </c>
      <c r="L71" s="22">
        <f>F71^2/162</f>
        <v>0.6172839506172839</v>
      </c>
      <c r="M71" s="21">
        <f>K71*L71</f>
        <v>635.5555555555557</v>
      </c>
      <c r="N71" s="22">
        <f>M71/1000</f>
        <v>0.6355555555555557</v>
      </c>
      <c r="O71" s="13" t="inlineStr">
        <is>
          <t>Assumed link cut length</t>
        </is>
      </c>
    </row>
    <row r="72">
      <c r="A72" s="13" t="n">
        <v>67</v>
      </c>
      <c r="B72" s="13" t="inlineStr">
        <is>
          <t>Beams</t>
        </is>
      </c>
      <c r="C72" s="13" t="inlineStr">
        <is>
          <t>STR-085</t>
        </is>
      </c>
      <c r="D72" s="13" t="inlineStr">
        <is>
          <t>Ninth floor beams (1 of 2)</t>
        </is>
      </c>
      <c r="E72" s="19" t="inlineStr">
        <is>
          <t>1001</t>
        </is>
      </c>
      <c r="F72" s="19" t="n">
        <v>10</v>
      </c>
      <c r="G72" s="19" t="n">
        <v>1</v>
      </c>
      <c r="H72" s="19" t="n">
        <v>944</v>
      </c>
      <c r="I72" s="13">
        <f>G72*H72</f>
        <v>944.0</v>
      </c>
      <c r="J72" s="20">
        <f>1700/1000</f>
        <v>1.7</v>
      </c>
      <c r="K72" s="21">
        <f>I72*J72</f>
        <v>1604.8</v>
      </c>
      <c r="L72" s="22">
        <f>F72^2/162</f>
        <v>0.6172839506172839</v>
      </c>
      <c r="M72" s="21">
        <f>K72*L72</f>
        <v>990.6172839506172</v>
      </c>
      <c r="N72" s="22">
        <f>M72/1000</f>
        <v>0.9906172839506172</v>
      </c>
      <c r="O72" s="13" t="inlineStr">
        <is>
          <t>BBS</t>
        </is>
      </c>
    </row>
    <row r="73">
      <c r="A73" s="13" t="n">
        <v>68</v>
      </c>
      <c r="B73" s="13" t="inlineStr">
        <is>
          <t>Beams</t>
        </is>
      </c>
      <c r="C73" s="13" t="inlineStr">
        <is>
          <t>STR-085</t>
        </is>
      </c>
      <c r="D73" s="13" t="inlineStr">
        <is>
          <t>Ninth floor beams (1 of 2)</t>
        </is>
      </c>
      <c r="E73" s="19" t="inlineStr">
        <is>
          <t>1002</t>
        </is>
      </c>
      <c r="F73" s="19" t="n">
        <v>10</v>
      </c>
      <c r="G73" s="19" t="n">
        <v>1</v>
      </c>
      <c r="H73" s="19" t="n">
        <v>271</v>
      </c>
      <c r="I73" s="13">
        <f>G73*H73</f>
        <v>271.0</v>
      </c>
      <c r="J73" s="20">
        <f>1500/1000</f>
        <v>1.5</v>
      </c>
      <c r="K73" s="21">
        <f>I73*J73</f>
        <v>406.5</v>
      </c>
      <c r="L73" s="22">
        <f>F73^2/162</f>
        <v>0.6172839506172839</v>
      </c>
      <c r="M73" s="21">
        <f>K73*L73</f>
        <v>250.92592592592592</v>
      </c>
      <c r="N73" s="22">
        <f>M73/1000</f>
        <v>0.25092592592592594</v>
      </c>
      <c r="O73" s="13" t="inlineStr">
        <is>
          <t>BBS</t>
        </is>
      </c>
    </row>
    <row r="74">
      <c r="A74" s="13" t="n">
        <v>69</v>
      </c>
      <c r="B74" s="13" t="inlineStr">
        <is>
          <t>Beams</t>
        </is>
      </c>
      <c r="C74" s="13" t="inlineStr">
        <is>
          <t>STR-085</t>
        </is>
      </c>
      <c r="D74" s="13" t="inlineStr">
        <is>
          <t>Ninth floor beams (1 of 2)</t>
        </is>
      </c>
      <c r="E74" s="19" t="inlineStr">
        <is>
          <t>1601</t>
        </is>
      </c>
      <c r="F74" s="19" t="n">
        <v>16</v>
      </c>
      <c r="G74" s="19" t="n">
        <v>1</v>
      </c>
      <c r="H74" s="19" t="n">
        <v>12</v>
      </c>
      <c r="I74" s="13">
        <f>G74*H74</f>
        <v>12.0</v>
      </c>
      <c r="J74" s="20">
        <f>12000/1000</f>
        <v>12.0</v>
      </c>
      <c r="K74" s="21">
        <f>I74*J74</f>
        <v>144.0</v>
      </c>
      <c r="L74" s="22">
        <f>F74^2/162</f>
        <v>1.5802469135802468</v>
      </c>
      <c r="M74" s="21">
        <f>K74*L74</f>
        <v>227.55555555555554</v>
      </c>
      <c r="N74" s="22">
        <f>M74/1000</f>
        <v>0.22755555555555554</v>
      </c>
      <c r="O74" s="13" t="inlineStr">
        <is>
          <t>BBS</t>
        </is>
      </c>
    </row>
    <row r="75">
      <c r="A75" s="13" t="n">
        <v>70</v>
      </c>
      <c r="B75" s="13" t="inlineStr">
        <is>
          <t>Beams</t>
        </is>
      </c>
      <c r="C75" s="13" t="inlineStr">
        <is>
          <t>STR-085</t>
        </is>
      </c>
      <c r="D75" s="13" t="inlineStr">
        <is>
          <t>Ninth floor beams (1 of 2)</t>
        </is>
      </c>
      <c r="E75" s="19" t="inlineStr">
        <is>
          <t>1602</t>
        </is>
      </c>
      <c r="F75" s="19" t="n">
        <v>16</v>
      </c>
      <c r="G75" s="19" t="n">
        <v>1</v>
      </c>
      <c r="H75" s="19" t="n">
        <v>2</v>
      </c>
      <c r="I75" s="13">
        <f>G75*H75</f>
        <v>2.0</v>
      </c>
      <c r="J75" s="20">
        <f>7275/1000</f>
        <v>7.275</v>
      </c>
      <c r="K75" s="21">
        <f>I75*J75</f>
        <v>14.55</v>
      </c>
      <c r="L75" s="22">
        <f>F75^2/162</f>
        <v>1.5802469135802468</v>
      </c>
      <c r="M75" s="21">
        <f>K75*L75</f>
        <v>22.992592592592594</v>
      </c>
      <c r="N75" s="22">
        <f>M75/1000</f>
        <v>0.022992592592592592</v>
      </c>
      <c r="O75" s="13" t="inlineStr">
        <is>
          <t>BBS</t>
        </is>
      </c>
    </row>
    <row r="76">
      <c r="A76" s="13" t="n">
        <v>71</v>
      </c>
      <c r="B76" s="13" t="inlineStr">
        <is>
          <t>Beams</t>
        </is>
      </c>
      <c r="C76" s="13" t="inlineStr">
        <is>
          <t>STR-085</t>
        </is>
      </c>
      <c r="D76" s="13" t="inlineStr">
        <is>
          <t>Ninth floor beams (1 of 2)</t>
        </is>
      </c>
      <c r="E76" s="19" t="inlineStr">
        <is>
          <t>1603</t>
        </is>
      </c>
      <c r="F76" s="19" t="n">
        <v>16</v>
      </c>
      <c r="G76" s="19" t="n">
        <v>1</v>
      </c>
      <c r="H76" s="19" t="n">
        <v>4</v>
      </c>
      <c r="I76" s="13">
        <f>G76*H76</f>
        <v>4.0</v>
      </c>
      <c r="J76" s="20">
        <f>7850/1000</f>
        <v>7.85</v>
      </c>
      <c r="K76" s="21">
        <f>I76*J76</f>
        <v>31.4</v>
      </c>
      <c r="L76" s="22">
        <f>F76^2/162</f>
        <v>1.5802469135802468</v>
      </c>
      <c r="M76" s="21">
        <f>K76*L76</f>
        <v>49.61975308641975</v>
      </c>
      <c r="N76" s="22">
        <f>M76/1000</f>
        <v>0.04961975308641975</v>
      </c>
      <c r="O76" s="13" t="inlineStr">
        <is>
          <t>BBS</t>
        </is>
      </c>
    </row>
    <row r="77">
      <c r="A77" s="13" t="n">
        <v>72</v>
      </c>
      <c r="B77" s="13" t="inlineStr">
        <is>
          <t>Beams</t>
        </is>
      </c>
      <c r="C77" s="13" t="inlineStr">
        <is>
          <t>STR-085</t>
        </is>
      </c>
      <c r="D77" s="13" t="inlineStr">
        <is>
          <t>Ninth floor beams (1 of 2)</t>
        </is>
      </c>
      <c r="E77" s="19" t="inlineStr">
        <is>
          <t>1604</t>
        </is>
      </c>
      <c r="F77" s="19" t="n">
        <v>16</v>
      </c>
      <c r="G77" s="19" t="n">
        <v>1</v>
      </c>
      <c r="H77" s="19" t="n">
        <v>4</v>
      </c>
      <c r="I77" s="13">
        <f>G77*H77</f>
        <v>4.0</v>
      </c>
      <c r="J77" s="20">
        <f>7400/1000</f>
        <v>7.4</v>
      </c>
      <c r="K77" s="21">
        <f>I77*J77</f>
        <v>29.6</v>
      </c>
      <c r="L77" s="22">
        <f>F77^2/162</f>
        <v>1.5802469135802468</v>
      </c>
      <c r="M77" s="21">
        <f>K77*L77</f>
        <v>46.77530864197531</v>
      </c>
      <c r="N77" s="22">
        <f>M77/1000</f>
        <v>0.04677530864197531</v>
      </c>
      <c r="O77" s="13" t="inlineStr">
        <is>
          <t>BBS</t>
        </is>
      </c>
    </row>
    <row r="78">
      <c r="A78" s="13" t="n">
        <v>73</v>
      </c>
      <c r="B78" s="13" t="inlineStr">
        <is>
          <t>Beams</t>
        </is>
      </c>
      <c r="C78" s="13" t="inlineStr">
        <is>
          <t>STR-085</t>
        </is>
      </c>
      <c r="D78" s="13" t="inlineStr">
        <is>
          <t>Ninth floor beams (1 of 2)</t>
        </is>
      </c>
      <c r="E78" s="19" t="inlineStr">
        <is>
          <t>1605</t>
        </is>
      </c>
      <c r="F78" s="19" t="n">
        <v>16</v>
      </c>
      <c r="G78" s="19" t="n">
        <v>1</v>
      </c>
      <c r="H78" s="19" t="n">
        <v>3</v>
      </c>
      <c r="I78" s="13">
        <f>G78*H78</f>
        <v>3.0</v>
      </c>
      <c r="J78" s="20">
        <f>8900/1000</f>
        <v>8.9</v>
      </c>
      <c r="K78" s="21">
        <f>I78*J78</f>
        <v>26.700000000000003</v>
      </c>
      <c r="L78" s="22">
        <f>F78^2/162</f>
        <v>1.5802469135802468</v>
      </c>
      <c r="M78" s="21">
        <f>K78*L78</f>
        <v>42.1925925925926</v>
      </c>
      <c r="N78" s="22">
        <f>M78/1000</f>
        <v>0.042192592592592594</v>
      </c>
      <c r="O78" s="13" t="inlineStr">
        <is>
          <t>BBS</t>
        </is>
      </c>
    </row>
    <row r="79">
      <c r="A79" s="13" t="n">
        <v>74</v>
      </c>
      <c r="B79" s="13" t="inlineStr">
        <is>
          <t>Beams</t>
        </is>
      </c>
      <c r="C79" s="13" t="inlineStr">
        <is>
          <t>STR-085</t>
        </is>
      </c>
      <c r="D79" s="13" t="inlineStr">
        <is>
          <t>Ninth floor beams (1 of 2)</t>
        </is>
      </c>
      <c r="E79" s="19" t="inlineStr">
        <is>
          <t>1606</t>
        </is>
      </c>
      <c r="F79" s="19" t="n">
        <v>16</v>
      </c>
      <c r="G79" s="19" t="n">
        <v>1</v>
      </c>
      <c r="H79" s="19" t="n">
        <v>3</v>
      </c>
      <c r="I79" s="13">
        <f>G79*H79</f>
        <v>3.0</v>
      </c>
      <c r="J79" s="20">
        <f>5600/1000</f>
        <v>5.6</v>
      </c>
      <c r="K79" s="21">
        <f>I79*J79</f>
        <v>16.799999999999997</v>
      </c>
      <c r="L79" s="22">
        <f>F79^2/162</f>
        <v>1.5802469135802468</v>
      </c>
      <c r="M79" s="21">
        <f>K79*L79</f>
        <v>26.548148148148144</v>
      </c>
      <c r="N79" s="22">
        <f>M79/1000</f>
        <v>0.026548148148148144</v>
      </c>
      <c r="O79" s="13" t="inlineStr">
        <is>
          <t>BBS</t>
        </is>
      </c>
    </row>
    <row r="80">
      <c r="A80" s="13" t="n">
        <v>75</v>
      </c>
      <c r="B80" s="13" t="inlineStr">
        <is>
          <t>Beams</t>
        </is>
      </c>
      <c r="C80" s="13" t="inlineStr">
        <is>
          <t>STR-085</t>
        </is>
      </c>
      <c r="D80" s="13" t="inlineStr">
        <is>
          <t>Ninth floor beams (1 of 2)</t>
        </is>
      </c>
      <c r="E80" s="19" t="inlineStr">
        <is>
          <t>1607</t>
        </is>
      </c>
      <c r="F80" s="19" t="n">
        <v>16</v>
      </c>
      <c r="G80" s="19" t="n">
        <v>1</v>
      </c>
      <c r="H80" s="19" t="n">
        <v>3</v>
      </c>
      <c r="I80" s="13">
        <f>G80*H80</f>
        <v>3.0</v>
      </c>
      <c r="J80" s="20">
        <f>9300/1000</f>
        <v>9.3</v>
      </c>
      <c r="K80" s="21">
        <f>I80*J80</f>
        <v>27.900000000000002</v>
      </c>
      <c r="L80" s="22">
        <f>F80^2/162</f>
        <v>1.5802469135802468</v>
      </c>
      <c r="M80" s="21">
        <f>K80*L80</f>
        <v>44.08888888888889</v>
      </c>
      <c r="N80" s="22">
        <f>M80/1000</f>
        <v>0.044088888888888886</v>
      </c>
      <c r="O80" s="13" t="inlineStr">
        <is>
          <t>BBS</t>
        </is>
      </c>
    </row>
    <row r="81">
      <c r="A81" s="13" t="n">
        <v>76</v>
      </c>
      <c r="B81" s="13" t="inlineStr">
        <is>
          <t>Beams</t>
        </is>
      </c>
      <c r="C81" s="13" t="inlineStr">
        <is>
          <t>STR-085</t>
        </is>
      </c>
      <c r="D81" s="13" t="inlineStr">
        <is>
          <t>Ninth floor beams (1 of 2)</t>
        </is>
      </c>
      <c r="E81" s="19" t="inlineStr">
        <is>
          <t>1608</t>
        </is>
      </c>
      <c r="F81" s="19" t="n">
        <v>16</v>
      </c>
      <c r="G81" s="19" t="n">
        <v>1</v>
      </c>
      <c r="H81" s="19" t="n">
        <v>4</v>
      </c>
      <c r="I81" s="13">
        <f>G81*H81</f>
        <v>4.0</v>
      </c>
      <c r="J81" s="20">
        <f>10300/1000</f>
        <v>10.3</v>
      </c>
      <c r="K81" s="21">
        <f>I81*J81</f>
        <v>41.2</v>
      </c>
      <c r="L81" s="22">
        <f>F81^2/162</f>
        <v>1.5802469135802468</v>
      </c>
      <c r="M81" s="21">
        <f>K81*L81</f>
        <v>65.10617283950617</v>
      </c>
      <c r="N81" s="22">
        <f>M81/1000</f>
        <v>0.06510617283950618</v>
      </c>
      <c r="O81" s="13" t="inlineStr">
        <is>
          <t>BBS</t>
        </is>
      </c>
    </row>
    <row r="82">
      <c r="A82" s="13" t="n">
        <v>77</v>
      </c>
      <c r="B82" s="13" t="inlineStr">
        <is>
          <t>Beams</t>
        </is>
      </c>
      <c r="C82" s="13" t="inlineStr">
        <is>
          <t>STR-085</t>
        </is>
      </c>
      <c r="D82" s="13" t="inlineStr">
        <is>
          <t>Ninth floor beams (1 of 2)</t>
        </is>
      </c>
      <c r="E82" s="19" t="inlineStr">
        <is>
          <t>1609</t>
        </is>
      </c>
      <c r="F82" s="19" t="n">
        <v>16</v>
      </c>
      <c r="G82" s="19" t="n">
        <v>1</v>
      </c>
      <c r="H82" s="19" t="n">
        <v>2</v>
      </c>
      <c r="I82" s="13">
        <f>G82*H82</f>
        <v>2.0</v>
      </c>
      <c r="J82" s="20">
        <f>10850/1000</f>
        <v>10.85</v>
      </c>
      <c r="K82" s="21">
        <f>I82*J82</f>
        <v>21.7</v>
      </c>
      <c r="L82" s="22">
        <f>F82^2/162</f>
        <v>1.5802469135802468</v>
      </c>
      <c r="M82" s="21">
        <f>K82*L82</f>
        <v>34.291358024691355</v>
      </c>
      <c r="N82" s="22">
        <f>M82/1000</f>
        <v>0.034291358024691354</v>
      </c>
      <c r="O82" s="13" t="inlineStr">
        <is>
          <t>BBS</t>
        </is>
      </c>
    </row>
    <row r="83">
      <c r="A83" s="13" t="n">
        <v>78</v>
      </c>
      <c r="B83" s="13" t="inlineStr">
        <is>
          <t>Beams</t>
        </is>
      </c>
      <c r="C83" s="13" t="inlineStr">
        <is>
          <t>STR-085</t>
        </is>
      </c>
      <c r="D83" s="13" t="inlineStr">
        <is>
          <t>Ninth floor beams (1 of 2)</t>
        </is>
      </c>
      <c r="E83" s="19" t="inlineStr">
        <is>
          <t>1610</t>
        </is>
      </c>
      <c r="F83" s="19" t="n">
        <v>16</v>
      </c>
      <c r="G83" s="19" t="n">
        <v>1</v>
      </c>
      <c r="H83" s="19" t="n">
        <v>2</v>
      </c>
      <c r="I83" s="13">
        <f>G83*H83</f>
        <v>2.0</v>
      </c>
      <c r="J83" s="20">
        <f>8000/1000</f>
        <v>8.0</v>
      </c>
      <c r="K83" s="21">
        <f>I83*J83</f>
        <v>16.0</v>
      </c>
      <c r="L83" s="22">
        <f>F83^2/162</f>
        <v>1.5802469135802468</v>
      </c>
      <c r="M83" s="21">
        <f>K83*L83</f>
        <v>25.28395061728395</v>
      </c>
      <c r="N83" s="22">
        <f>M83/1000</f>
        <v>0.02528395061728395</v>
      </c>
      <c r="O83" s="13" t="inlineStr">
        <is>
          <t>BBS</t>
        </is>
      </c>
    </row>
    <row r="84">
      <c r="A84" s="13" t="n">
        <v>79</v>
      </c>
      <c r="B84" s="13" t="inlineStr">
        <is>
          <t>Beams</t>
        </is>
      </c>
      <c r="C84" s="13" t="inlineStr">
        <is>
          <t>STR-085</t>
        </is>
      </c>
      <c r="D84" s="13" t="inlineStr">
        <is>
          <t>Ninth floor beams (1 of 2)</t>
        </is>
      </c>
      <c r="E84" s="19" t="inlineStr">
        <is>
          <t>1611</t>
        </is>
      </c>
      <c r="F84" s="19" t="n">
        <v>16</v>
      </c>
      <c r="G84" s="19" t="n">
        <v>1</v>
      </c>
      <c r="H84" s="19" t="n">
        <v>2</v>
      </c>
      <c r="I84" s="13">
        <f>G84*H84</f>
        <v>2.0</v>
      </c>
      <c r="J84" s="20">
        <f>11675/1000</f>
        <v>11.675</v>
      </c>
      <c r="K84" s="21">
        <f>I84*J84</f>
        <v>23.35</v>
      </c>
      <c r="L84" s="22">
        <f>F84^2/162</f>
        <v>1.5802469135802468</v>
      </c>
      <c r="M84" s="21">
        <f>K84*L84</f>
        <v>36.89876543209876</v>
      </c>
      <c r="N84" s="22">
        <f>M84/1000</f>
        <v>0.03689876543209876</v>
      </c>
      <c r="O84" s="13" t="inlineStr">
        <is>
          <t>BBS</t>
        </is>
      </c>
    </row>
    <row r="85">
      <c r="A85" s="13" t="n">
        <v>80</v>
      </c>
      <c r="B85" s="13" t="inlineStr">
        <is>
          <t>Beams</t>
        </is>
      </c>
      <c r="C85" s="13" t="inlineStr">
        <is>
          <t>STR-085</t>
        </is>
      </c>
      <c r="D85" s="13" t="inlineStr">
        <is>
          <t>Ninth floor beams (1 of 2)</t>
        </is>
      </c>
      <c r="E85" s="19" t="inlineStr">
        <is>
          <t>1612</t>
        </is>
      </c>
      <c r="F85" s="19" t="n">
        <v>16</v>
      </c>
      <c r="G85" s="19" t="n">
        <v>1</v>
      </c>
      <c r="H85" s="19" t="n">
        <v>2</v>
      </c>
      <c r="I85" s="13">
        <f>G85*H85</f>
        <v>2.0</v>
      </c>
      <c r="J85" s="20">
        <f>7525/1000</f>
        <v>7.525</v>
      </c>
      <c r="K85" s="21">
        <f>I85*J85</f>
        <v>15.05</v>
      </c>
      <c r="L85" s="22">
        <f>F85^2/162</f>
        <v>1.5802469135802468</v>
      </c>
      <c r="M85" s="21">
        <f>K85*L85</f>
        <v>23.782716049382717</v>
      </c>
      <c r="N85" s="22">
        <f>M85/1000</f>
        <v>0.023782716049382716</v>
      </c>
      <c r="O85" s="13" t="inlineStr">
        <is>
          <t>BBS</t>
        </is>
      </c>
    </row>
    <row r="86">
      <c r="A86" s="13" t="n">
        <v>81</v>
      </c>
      <c r="B86" s="13" t="inlineStr">
        <is>
          <t>Beams</t>
        </is>
      </c>
      <c r="C86" s="13" t="inlineStr">
        <is>
          <t>STR-085</t>
        </is>
      </c>
      <c r="D86" s="13" t="inlineStr">
        <is>
          <t>Ninth floor beams (1 of 2)</t>
        </is>
      </c>
      <c r="E86" s="19" t="inlineStr">
        <is>
          <t>2001</t>
        </is>
      </c>
      <c r="F86" s="19" t="n">
        <v>20</v>
      </c>
      <c r="G86" s="19" t="n">
        <v>1</v>
      </c>
      <c r="H86" s="19" t="n">
        <v>3</v>
      </c>
      <c r="I86" s="13">
        <f>G86*H86</f>
        <v>3.0</v>
      </c>
      <c r="J86" s="20">
        <f>11100/1000</f>
        <v>11.1</v>
      </c>
      <c r="K86" s="21">
        <f>I86*J86</f>
        <v>33.3</v>
      </c>
      <c r="L86" s="22">
        <f>F86^2/162</f>
        <v>2.4691358024691357</v>
      </c>
      <c r="M86" s="21">
        <f>K86*L86</f>
        <v>82.22222222222221</v>
      </c>
      <c r="N86" s="22">
        <f>M86/1000</f>
        <v>0.08222222222222221</v>
      </c>
      <c r="O86" s="13" t="inlineStr">
        <is>
          <t>BBS</t>
        </is>
      </c>
    </row>
    <row r="87">
      <c r="A87" s="13" t="n">
        <v>82</v>
      </c>
      <c r="B87" s="13" t="inlineStr">
        <is>
          <t>Beams</t>
        </is>
      </c>
      <c r="C87" s="13" t="inlineStr">
        <is>
          <t>STR-085</t>
        </is>
      </c>
      <c r="D87" s="13" t="inlineStr">
        <is>
          <t>Ninth floor beams (1 of 2)</t>
        </is>
      </c>
      <c r="E87" s="19" t="inlineStr">
        <is>
          <t>2002</t>
        </is>
      </c>
      <c r="F87" s="19" t="n">
        <v>20</v>
      </c>
      <c r="G87" s="19" t="n">
        <v>1</v>
      </c>
      <c r="H87" s="19" t="n">
        <v>3</v>
      </c>
      <c r="I87" s="13">
        <f>G87*H87</f>
        <v>3.0</v>
      </c>
      <c r="J87" s="20">
        <f>9300/1000</f>
        <v>9.3</v>
      </c>
      <c r="K87" s="21">
        <f>I87*J87</f>
        <v>27.900000000000002</v>
      </c>
      <c r="L87" s="22">
        <f>F87^2/162</f>
        <v>2.4691358024691357</v>
      </c>
      <c r="M87" s="21">
        <f>K87*L87</f>
        <v>68.88888888888889</v>
      </c>
      <c r="N87" s="22">
        <f>M87/1000</f>
        <v>0.06888888888888889</v>
      </c>
      <c r="O87" s="13" t="inlineStr">
        <is>
          <t>BBS</t>
        </is>
      </c>
    </row>
    <row r="88">
      <c r="A88" s="13" t="n">
        <v>83</v>
      </c>
      <c r="B88" s="13" t="inlineStr">
        <is>
          <t>Beams</t>
        </is>
      </c>
      <c r="C88" s="13" t="inlineStr">
        <is>
          <t>STR-085</t>
        </is>
      </c>
      <c r="D88" s="13" t="inlineStr">
        <is>
          <t>Ninth floor beams (1 of 2)</t>
        </is>
      </c>
      <c r="E88" s="19" t="inlineStr">
        <is>
          <t>2003</t>
        </is>
      </c>
      <c r="F88" s="19" t="n">
        <v>20</v>
      </c>
      <c r="G88" s="19" t="n">
        <v>1</v>
      </c>
      <c r="H88" s="19" t="n">
        <v>3</v>
      </c>
      <c r="I88" s="13">
        <f>G88*H88</f>
        <v>3.0</v>
      </c>
      <c r="J88" s="20">
        <f>12000/1000</f>
        <v>12.0</v>
      </c>
      <c r="K88" s="21">
        <f>I88*J88</f>
        <v>36.0</v>
      </c>
      <c r="L88" s="22">
        <f>F88^2/162</f>
        <v>2.4691358024691357</v>
      </c>
      <c r="M88" s="21">
        <f>K88*L88</f>
        <v>88.88888888888889</v>
      </c>
      <c r="N88" s="22">
        <f>M88/1000</f>
        <v>0.08888888888888889</v>
      </c>
      <c r="O88" s="13" t="inlineStr">
        <is>
          <t>BBS</t>
        </is>
      </c>
    </row>
    <row r="89">
      <c r="A89" s="13" t="n">
        <v>84</v>
      </c>
      <c r="B89" s="13" t="inlineStr">
        <is>
          <t>Beams</t>
        </is>
      </c>
      <c r="C89" s="13" t="inlineStr">
        <is>
          <t>STR-085</t>
        </is>
      </c>
      <c r="D89" s="13" t="inlineStr">
        <is>
          <t>Ninth floor beams (1 of 2)</t>
        </is>
      </c>
      <c r="E89" s="19" t="inlineStr">
        <is>
          <t>2004</t>
        </is>
      </c>
      <c r="F89" s="19" t="n">
        <v>20</v>
      </c>
      <c r="G89" s="19" t="n">
        <v>1</v>
      </c>
      <c r="H89" s="19" t="n">
        <v>3</v>
      </c>
      <c r="I89" s="13">
        <f>G89*H89</f>
        <v>3.0</v>
      </c>
      <c r="J89" s="20">
        <f>7000/1000</f>
        <v>7.0</v>
      </c>
      <c r="K89" s="21">
        <f>I89*J89</f>
        <v>21.0</v>
      </c>
      <c r="L89" s="22">
        <f>F89^2/162</f>
        <v>2.4691358024691357</v>
      </c>
      <c r="M89" s="21">
        <f>K89*L89</f>
        <v>51.85185185185185</v>
      </c>
      <c r="N89" s="22">
        <f>M89/1000</f>
        <v>0.05185185185185185</v>
      </c>
      <c r="O89" s="13" t="inlineStr">
        <is>
          <t>BBS</t>
        </is>
      </c>
    </row>
    <row r="90">
      <c r="A90" s="13" t="n">
        <v>85</v>
      </c>
      <c r="B90" s="13" t="inlineStr">
        <is>
          <t>Beams</t>
        </is>
      </c>
      <c r="C90" s="13" t="inlineStr">
        <is>
          <t>STR-085</t>
        </is>
      </c>
      <c r="D90" s="13" t="inlineStr">
        <is>
          <t>Ninth floor beams (1 of 2)</t>
        </is>
      </c>
      <c r="E90" s="19" t="inlineStr">
        <is>
          <t>2005</t>
        </is>
      </c>
      <c r="F90" s="19" t="n">
        <v>20</v>
      </c>
      <c r="G90" s="19" t="n">
        <v>1</v>
      </c>
      <c r="H90" s="19" t="n">
        <v>6</v>
      </c>
      <c r="I90" s="13">
        <f>G90*H90</f>
        <v>6.0</v>
      </c>
      <c r="J90" s="20">
        <f>9300/1000</f>
        <v>9.3</v>
      </c>
      <c r="K90" s="21">
        <f>I90*J90</f>
        <v>55.800000000000004</v>
      </c>
      <c r="L90" s="22">
        <f>F90^2/162</f>
        <v>2.4691358024691357</v>
      </c>
      <c r="M90" s="21">
        <f>K90*L90</f>
        <v>137.77777777777777</v>
      </c>
      <c r="N90" s="22">
        <f>M90/1000</f>
        <v>0.13777777777777778</v>
      </c>
      <c r="O90" s="13" t="inlineStr">
        <is>
          <t>BBS</t>
        </is>
      </c>
    </row>
    <row r="91">
      <c r="A91" s="13" t="n">
        <v>86</v>
      </c>
      <c r="B91" s="13" t="inlineStr">
        <is>
          <t>Beams</t>
        </is>
      </c>
      <c r="C91" s="13" t="inlineStr">
        <is>
          <t>STR-085</t>
        </is>
      </c>
      <c r="D91" s="13" t="inlineStr">
        <is>
          <t>Ninth floor beams (1 of 2)</t>
        </is>
      </c>
      <c r="E91" s="19" t="inlineStr">
        <is>
          <t>2006</t>
        </is>
      </c>
      <c r="F91" s="19" t="n">
        <v>20</v>
      </c>
      <c r="G91" s="19" t="n">
        <v>1</v>
      </c>
      <c r="H91" s="19" t="n">
        <v>3</v>
      </c>
      <c r="I91" s="13">
        <f>G91*H91</f>
        <v>3.0</v>
      </c>
      <c r="J91" s="20">
        <f>9000/1000</f>
        <v>9.0</v>
      </c>
      <c r="K91" s="21">
        <f>I91*J91</f>
        <v>27.0</v>
      </c>
      <c r="L91" s="22">
        <f>F91^2/162</f>
        <v>2.4691358024691357</v>
      </c>
      <c r="M91" s="21">
        <f>K91*L91</f>
        <v>66.66666666666666</v>
      </c>
      <c r="N91" s="22">
        <f>M91/1000</f>
        <v>0.06666666666666665</v>
      </c>
      <c r="O91" s="13" t="inlineStr">
        <is>
          <t>BBS</t>
        </is>
      </c>
    </row>
    <row r="92">
      <c r="A92" s="13" t="n">
        <v>87</v>
      </c>
      <c r="B92" s="13" t="inlineStr">
        <is>
          <t>Beams</t>
        </is>
      </c>
      <c r="C92" s="13" t="inlineStr">
        <is>
          <t>STR-085</t>
        </is>
      </c>
      <c r="D92" s="13" t="inlineStr">
        <is>
          <t>Ninth floor beams (1 of 2)</t>
        </is>
      </c>
      <c r="E92" s="19" t="inlineStr">
        <is>
          <t>2007</t>
        </is>
      </c>
      <c r="F92" s="19" t="n">
        <v>20</v>
      </c>
      <c r="G92" s="19" t="n">
        <v>1</v>
      </c>
      <c r="H92" s="19" t="n">
        <v>5</v>
      </c>
      <c r="I92" s="13">
        <f>G92*H92</f>
        <v>5.0</v>
      </c>
      <c r="J92" s="20">
        <f>11750/1000</f>
        <v>11.75</v>
      </c>
      <c r="K92" s="21">
        <f>I92*J92</f>
        <v>58.75</v>
      </c>
      <c r="L92" s="22">
        <f>F92^2/162</f>
        <v>2.4691358024691357</v>
      </c>
      <c r="M92" s="21">
        <f>K92*L92</f>
        <v>145.06172839506172</v>
      </c>
      <c r="N92" s="22">
        <f>M92/1000</f>
        <v>0.14506172839506173</v>
      </c>
      <c r="O92" s="13" t="inlineStr">
        <is>
          <t>BBS</t>
        </is>
      </c>
    </row>
    <row r="93">
      <c r="A93" s="13" t="n">
        <v>88</v>
      </c>
      <c r="B93" s="13" t="inlineStr">
        <is>
          <t>Beams</t>
        </is>
      </c>
      <c r="C93" s="13" t="inlineStr">
        <is>
          <t>STR-085</t>
        </is>
      </c>
      <c r="D93" s="13" t="inlineStr">
        <is>
          <t>Ninth floor beams (1 of 2)</t>
        </is>
      </c>
      <c r="E93" s="19" t="inlineStr">
        <is>
          <t>2008</t>
        </is>
      </c>
      <c r="F93" s="19" t="n">
        <v>20</v>
      </c>
      <c r="G93" s="19" t="n">
        <v>1</v>
      </c>
      <c r="H93" s="19" t="n">
        <v>5</v>
      </c>
      <c r="I93" s="13">
        <f>G93*H93</f>
        <v>5.0</v>
      </c>
      <c r="J93" s="20">
        <f>7300/1000</f>
        <v>7.3</v>
      </c>
      <c r="K93" s="21">
        <f>I93*J93</f>
        <v>36.5</v>
      </c>
      <c r="L93" s="22">
        <f>F93^2/162</f>
        <v>2.4691358024691357</v>
      </c>
      <c r="M93" s="21">
        <f>K93*L93</f>
        <v>90.12345679012346</v>
      </c>
      <c r="N93" s="22">
        <f>M93/1000</f>
        <v>0.09012345679012346</v>
      </c>
      <c r="O93" s="13" t="inlineStr">
        <is>
          <t>BBS</t>
        </is>
      </c>
    </row>
    <row r="94">
      <c r="A94" s="13" t="n">
        <v>89</v>
      </c>
      <c r="B94" s="13" t="inlineStr">
        <is>
          <t>Beams</t>
        </is>
      </c>
      <c r="C94" s="13" t="inlineStr">
        <is>
          <t>STR-085</t>
        </is>
      </c>
      <c r="D94" s="13" t="inlineStr">
        <is>
          <t>Ninth floor beams (1 of 2)</t>
        </is>
      </c>
      <c r="E94" s="19" t="inlineStr">
        <is>
          <t>2009</t>
        </is>
      </c>
      <c r="F94" s="19" t="n">
        <v>20</v>
      </c>
      <c r="G94" s="19" t="n">
        <v>1</v>
      </c>
      <c r="H94" s="19" t="n">
        <v>10</v>
      </c>
      <c r="I94" s="13">
        <f>G94*H94</f>
        <v>10.0</v>
      </c>
      <c r="J94" s="20">
        <f>9600/1000</f>
        <v>9.6</v>
      </c>
      <c r="K94" s="21">
        <f>I94*J94</f>
        <v>96.0</v>
      </c>
      <c r="L94" s="22">
        <f>F94^2/162</f>
        <v>2.4691358024691357</v>
      </c>
      <c r="M94" s="21">
        <f>K94*L94</f>
        <v>237.037037037037</v>
      </c>
      <c r="N94" s="22">
        <f>M94/1000</f>
        <v>0.23703703703703702</v>
      </c>
      <c r="O94" s="13" t="inlineStr">
        <is>
          <t>BBS</t>
        </is>
      </c>
    </row>
    <row r="95">
      <c r="A95" s="13" t="n">
        <v>90</v>
      </c>
      <c r="B95" s="13" t="inlineStr">
        <is>
          <t>Beams</t>
        </is>
      </c>
      <c r="C95" s="13" t="inlineStr">
        <is>
          <t>STR-085</t>
        </is>
      </c>
      <c r="D95" s="13" t="inlineStr">
        <is>
          <t>Ninth floor beams (1 of 2)</t>
        </is>
      </c>
      <c r="E95" s="19" t="inlineStr">
        <is>
          <t>2010</t>
        </is>
      </c>
      <c r="F95" s="19" t="n">
        <v>20</v>
      </c>
      <c r="G95" s="19" t="n">
        <v>1</v>
      </c>
      <c r="H95" s="19" t="n">
        <v>5</v>
      </c>
      <c r="I95" s="13">
        <f>G95*H95</f>
        <v>5.0</v>
      </c>
      <c r="J95" s="20">
        <f>11900/1000</f>
        <v>11.9</v>
      </c>
      <c r="K95" s="21">
        <f>I95*J95</f>
        <v>59.5</v>
      </c>
      <c r="L95" s="22">
        <f>F95^2/162</f>
        <v>2.4691358024691357</v>
      </c>
      <c r="M95" s="21">
        <f>K95*L95</f>
        <v>146.91358024691357</v>
      </c>
      <c r="N95" s="22">
        <f>M95/1000</f>
        <v>0.14691358024691356</v>
      </c>
      <c r="O95" s="13" t="inlineStr">
        <is>
          <t>BBS</t>
        </is>
      </c>
    </row>
    <row r="96">
      <c r="A96" s="13" t="n">
        <v>91</v>
      </c>
      <c r="B96" s="13" t="inlineStr">
        <is>
          <t>Beams</t>
        </is>
      </c>
      <c r="C96" s="13" t="inlineStr">
        <is>
          <t>STR-085</t>
        </is>
      </c>
      <c r="D96" s="13" t="inlineStr">
        <is>
          <t>Ninth floor beams (1 of 2)</t>
        </is>
      </c>
      <c r="E96" s="19" t="inlineStr">
        <is>
          <t>2011</t>
        </is>
      </c>
      <c r="F96" s="19" t="n">
        <v>20</v>
      </c>
      <c r="G96" s="19" t="n">
        <v>1</v>
      </c>
      <c r="H96" s="19" t="n">
        <v>4</v>
      </c>
      <c r="I96" s="13">
        <f>G96*H96</f>
        <v>4.0</v>
      </c>
      <c r="J96" s="20">
        <f>11800/1000</f>
        <v>11.8</v>
      </c>
      <c r="K96" s="21">
        <f>I96*J96</f>
        <v>47.2</v>
      </c>
      <c r="L96" s="22">
        <f>F96^2/162</f>
        <v>2.4691358024691357</v>
      </c>
      <c r="M96" s="21">
        <f>K96*L96</f>
        <v>116.54320987654322</v>
      </c>
      <c r="N96" s="22">
        <f>M96/1000</f>
        <v>0.11654320987654322</v>
      </c>
      <c r="O96" s="13" t="inlineStr">
        <is>
          <t>BBS</t>
        </is>
      </c>
    </row>
    <row r="97">
      <c r="A97" s="13" t="n">
        <v>92</v>
      </c>
      <c r="B97" s="13" t="inlineStr">
        <is>
          <t>Beams</t>
        </is>
      </c>
      <c r="C97" s="13" t="inlineStr">
        <is>
          <t>STR-085</t>
        </is>
      </c>
      <c r="D97" s="13" t="inlineStr">
        <is>
          <t>Ninth floor beams (1 of 2)</t>
        </is>
      </c>
      <c r="E97" s="19" t="inlineStr">
        <is>
          <t>2012</t>
        </is>
      </c>
      <c r="F97" s="19" t="n">
        <v>20</v>
      </c>
      <c r="G97" s="19" t="n">
        <v>1</v>
      </c>
      <c r="H97" s="19" t="n">
        <v>4</v>
      </c>
      <c r="I97" s="13">
        <f>G97*H97</f>
        <v>4.0</v>
      </c>
      <c r="J97" s="20">
        <f>7300/1000</f>
        <v>7.3</v>
      </c>
      <c r="K97" s="21">
        <f>I97*J97</f>
        <v>29.2</v>
      </c>
      <c r="L97" s="22">
        <f>F97^2/162</f>
        <v>2.4691358024691357</v>
      </c>
      <c r="M97" s="21">
        <f>K97*L97</f>
        <v>72.09876543209876</v>
      </c>
      <c r="N97" s="22">
        <f>M97/1000</f>
        <v>0.07209876543209875</v>
      </c>
      <c r="O97" s="13" t="inlineStr">
        <is>
          <t>BBS</t>
        </is>
      </c>
    </row>
    <row r="98">
      <c r="A98" s="13" t="n">
        <v>93</v>
      </c>
      <c r="B98" s="13" t="inlineStr">
        <is>
          <t>Beams</t>
        </is>
      </c>
      <c r="C98" s="13" t="inlineStr">
        <is>
          <t>STR-085</t>
        </is>
      </c>
      <c r="D98" s="13" t="inlineStr">
        <is>
          <t>Ninth floor beams (1 of 2)</t>
        </is>
      </c>
      <c r="E98" s="19" t="inlineStr">
        <is>
          <t>2013</t>
        </is>
      </c>
      <c r="F98" s="19" t="n">
        <v>20</v>
      </c>
      <c r="G98" s="19" t="n">
        <v>1</v>
      </c>
      <c r="H98" s="19" t="n">
        <v>8</v>
      </c>
      <c r="I98" s="13">
        <f>G98*H98</f>
        <v>8.0</v>
      </c>
      <c r="J98" s="20">
        <f>9500/1000</f>
        <v>9.5</v>
      </c>
      <c r="K98" s="21">
        <f>I98*J98</f>
        <v>76.0</v>
      </c>
      <c r="L98" s="22">
        <f>F98^2/162</f>
        <v>2.4691358024691357</v>
      </c>
      <c r="M98" s="21">
        <f>K98*L98</f>
        <v>187.6543209876543</v>
      </c>
      <c r="N98" s="22">
        <f>M98/1000</f>
        <v>0.1876543209876543</v>
      </c>
      <c r="O98" s="13" t="inlineStr">
        <is>
          <t>BBS</t>
        </is>
      </c>
    </row>
    <row r="99">
      <c r="A99" s="13" t="n">
        <v>94</v>
      </c>
      <c r="B99" s="13" t="inlineStr">
        <is>
          <t>Beams</t>
        </is>
      </c>
      <c r="C99" s="13" t="inlineStr">
        <is>
          <t>STR-085</t>
        </is>
      </c>
      <c r="D99" s="13" t="inlineStr">
        <is>
          <t>Ninth floor beams (1 of 2)</t>
        </is>
      </c>
      <c r="E99" s="19" t="inlineStr">
        <is>
          <t>2014</t>
        </is>
      </c>
      <c r="F99" s="19" t="n">
        <v>20</v>
      </c>
      <c r="G99" s="19" t="n">
        <v>1</v>
      </c>
      <c r="H99" s="19" t="n">
        <v>4</v>
      </c>
      <c r="I99" s="13">
        <f>G99*H99</f>
        <v>4.0</v>
      </c>
      <c r="J99" s="20">
        <f>12000/1000</f>
        <v>12.0</v>
      </c>
      <c r="K99" s="21">
        <f>I99*J99</f>
        <v>48.0</v>
      </c>
      <c r="L99" s="22">
        <f>F99^2/162</f>
        <v>2.4691358024691357</v>
      </c>
      <c r="M99" s="21">
        <f>K99*L99</f>
        <v>118.5185185185185</v>
      </c>
      <c r="N99" s="22">
        <f>M99/1000</f>
        <v>0.11851851851851851</v>
      </c>
      <c r="O99" s="13" t="inlineStr">
        <is>
          <t>BBS</t>
        </is>
      </c>
    </row>
    <row r="100">
      <c r="A100" s="13" t="n">
        <v>95</v>
      </c>
      <c r="B100" s="13" t="inlineStr">
        <is>
          <t>Beams</t>
        </is>
      </c>
      <c r="C100" s="13" t="inlineStr">
        <is>
          <t>STR-085</t>
        </is>
      </c>
      <c r="D100" s="13" t="inlineStr">
        <is>
          <t>Ninth floor beams (1 of 2)</t>
        </is>
      </c>
      <c r="E100" s="19" t="inlineStr">
        <is>
          <t>2015</t>
        </is>
      </c>
      <c r="F100" s="19" t="n">
        <v>20</v>
      </c>
      <c r="G100" s="19" t="n">
        <v>1</v>
      </c>
      <c r="H100" s="19" t="n">
        <v>3</v>
      </c>
      <c r="I100" s="13">
        <f>G100*H100</f>
        <v>3.0</v>
      </c>
      <c r="J100" s="20">
        <f>6400/1000</f>
        <v>6.4</v>
      </c>
      <c r="K100" s="21">
        <f>I100*J100</f>
        <v>19.200000000000003</v>
      </c>
      <c r="L100" s="22">
        <f>F100^2/162</f>
        <v>2.4691358024691357</v>
      </c>
      <c r="M100" s="21">
        <f>K100*L100</f>
        <v>47.40740740740741</v>
      </c>
      <c r="N100" s="22">
        <f>M100/1000</f>
        <v>0.04740740740740741</v>
      </c>
      <c r="O100" s="13" t="inlineStr">
        <is>
          <t>BBS</t>
        </is>
      </c>
    </row>
    <row r="101">
      <c r="A101" s="13" t="n">
        <v>96</v>
      </c>
      <c r="B101" s="13" t="inlineStr">
        <is>
          <t>Beams</t>
        </is>
      </c>
      <c r="C101" s="13" t="inlineStr">
        <is>
          <t>STR-085</t>
        </is>
      </c>
      <c r="D101" s="13" t="inlineStr">
        <is>
          <t>Ninth floor beams (1 of 2)</t>
        </is>
      </c>
      <c r="E101" s="19" t="inlineStr">
        <is>
          <t>2016</t>
        </is>
      </c>
      <c r="F101" s="19" t="n">
        <v>20</v>
      </c>
      <c r="G101" s="19" t="n">
        <v>1</v>
      </c>
      <c r="H101" s="19" t="n">
        <v>6</v>
      </c>
      <c r="I101" s="13">
        <f>G101*H101</f>
        <v>6.0</v>
      </c>
      <c r="J101" s="20">
        <f>11550/1000</f>
        <v>11.55</v>
      </c>
      <c r="K101" s="21">
        <f>I101*J101</f>
        <v>69.30000000000001</v>
      </c>
      <c r="L101" s="22">
        <f>F101^2/162</f>
        <v>2.4691358024691357</v>
      </c>
      <c r="M101" s="21">
        <f>K101*L101</f>
        <v>171.11111111111114</v>
      </c>
      <c r="N101" s="22">
        <f>M101/1000</f>
        <v>0.17111111111111113</v>
      </c>
      <c r="O101" s="13" t="inlineStr">
        <is>
          <t>BBS</t>
        </is>
      </c>
    </row>
    <row r="102">
      <c r="A102" s="13" t="n">
        <v>97</v>
      </c>
      <c r="B102" s="13" t="inlineStr">
        <is>
          <t>Beams</t>
        </is>
      </c>
      <c r="C102" s="13" t="inlineStr">
        <is>
          <t>STR-085</t>
        </is>
      </c>
      <c r="D102" s="13" t="inlineStr">
        <is>
          <t>Ninth floor beams (1 of 2)</t>
        </is>
      </c>
      <c r="E102" s="19" t="inlineStr">
        <is>
          <t>2017</t>
        </is>
      </c>
      <c r="F102" s="19" t="n">
        <v>20</v>
      </c>
      <c r="G102" s="19" t="n">
        <v>1</v>
      </c>
      <c r="H102" s="19" t="n">
        <v>6</v>
      </c>
      <c r="I102" s="13">
        <f>G102*H102</f>
        <v>6.0</v>
      </c>
      <c r="J102" s="20">
        <f>6050/1000</f>
        <v>6.05</v>
      </c>
      <c r="K102" s="21">
        <f>I102*J102</f>
        <v>36.3</v>
      </c>
      <c r="L102" s="22">
        <f>F102^2/162</f>
        <v>2.4691358024691357</v>
      </c>
      <c r="M102" s="21">
        <f>K102*L102</f>
        <v>89.62962962962962</v>
      </c>
      <c r="N102" s="22">
        <f>M102/1000</f>
        <v>0.08962962962962961</v>
      </c>
      <c r="O102" s="13" t="inlineStr">
        <is>
          <t>BBS</t>
        </is>
      </c>
    </row>
    <row r="103">
      <c r="A103" s="13" t="n">
        <v>98</v>
      </c>
      <c r="B103" s="13" t="inlineStr">
        <is>
          <t>Beams</t>
        </is>
      </c>
      <c r="C103" s="13" t="inlineStr">
        <is>
          <t>STR-085</t>
        </is>
      </c>
      <c r="D103" s="13" t="inlineStr">
        <is>
          <t>Ninth floor beams (1 of 2)</t>
        </is>
      </c>
      <c r="E103" s="19" t="inlineStr">
        <is>
          <t>2018</t>
        </is>
      </c>
      <c r="F103" s="19" t="n">
        <v>20</v>
      </c>
      <c r="G103" s="19" t="n">
        <v>1</v>
      </c>
      <c r="H103" s="19" t="n">
        <v>3</v>
      </c>
      <c r="I103" s="13">
        <f>G103*H103</f>
        <v>3.0</v>
      </c>
      <c r="J103" s="20">
        <f>6300/1000</f>
        <v>6.3</v>
      </c>
      <c r="K103" s="21">
        <f>I103*J103</f>
        <v>18.9</v>
      </c>
      <c r="L103" s="22">
        <f>F103^2/162</f>
        <v>2.4691358024691357</v>
      </c>
      <c r="M103" s="21">
        <f>K103*L103</f>
        <v>46.66666666666666</v>
      </c>
      <c r="N103" s="22">
        <f>M103/1000</f>
        <v>0.046666666666666655</v>
      </c>
      <c r="O103" s="13" t="inlineStr">
        <is>
          <t>BBS</t>
        </is>
      </c>
    </row>
    <row r="104">
      <c r="A104" s="13" t="n">
        <v>99</v>
      </c>
      <c r="B104" s="13" t="inlineStr">
        <is>
          <t>Beams</t>
        </is>
      </c>
      <c r="C104" s="13" t="inlineStr">
        <is>
          <t>STR-085</t>
        </is>
      </c>
      <c r="D104" s="13" t="inlineStr">
        <is>
          <t>Ninth floor beams (1 of 2)</t>
        </is>
      </c>
      <c r="E104" s="19" t="inlineStr">
        <is>
          <t>2019</t>
        </is>
      </c>
      <c r="F104" s="19" t="n">
        <v>20</v>
      </c>
      <c r="G104" s="19" t="n">
        <v>1</v>
      </c>
      <c r="H104" s="19" t="n">
        <v>3</v>
      </c>
      <c r="I104" s="13">
        <f>G104*H104</f>
        <v>3.0</v>
      </c>
      <c r="J104" s="20">
        <f>5950/1000</f>
        <v>5.95</v>
      </c>
      <c r="K104" s="21">
        <f>I104*J104</f>
        <v>17.85</v>
      </c>
      <c r="L104" s="22">
        <f>F104^2/162</f>
        <v>2.4691358024691357</v>
      </c>
      <c r="M104" s="21">
        <f>K104*L104</f>
        <v>44.074074074074076</v>
      </c>
      <c r="N104" s="22">
        <f>M104/1000</f>
        <v>0.04407407407407408</v>
      </c>
      <c r="O104" s="13" t="inlineStr">
        <is>
          <t>BBS</t>
        </is>
      </c>
    </row>
    <row r="105">
      <c r="A105" s="13" t="n">
        <v>100</v>
      </c>
      <c r="B105" s="13" t="inlineStr">
        <is>
          <t>Beams</t>
        </is>
      </c>
      <c r="C105" s="13" t="inlineStr">
        <is>
          <t>STR-085</t>
        </is>
      </c>
      <c r="D105" s="13" t="inlineStr">
        <is>
          <t>Ninth floor beams (1 of 2)</t>
        </is>
      </c>
      <c r="E105" s="19" t="inlineStr">
        <is>
          <t>2501</t>
        </is>
      </c>
      <c r="F105" s="19" t="n">
        <v>25</v>
      </c>
      <c r="G105" s="19" t="n">
        <v>1</v>
      </c>
      <c r="H105" s="19" t="n">
        <v>3</v>
      </c>
      <c r="I105" s="13">
        <f>G105*H105</f>
        <v>3.0</v>
      </c>
      <c r="J105" s="20">
        <f>11200/1000</f>
        <v>11.2</v>
      </c>
      <c r="K105" s="21">
        <f>I105*J105</f>
        <v>33.599999999999994</v>
      </c>
      <c r="L105" s="22">
        <f>F105^2/162</f>
        <v>3.8580246913580245</v>
      </c>
      <c r="M105" s="21">
        <f>K105*L105</f>
        <v>129.6296296296296</v>
      </c>
      <c r="N105" s="22">
        <f>M105/1000</f>
        <v>0.1296296296296296</v>
      </c>
      <c r="O105" s="13" t="inlineStr">
        <is>
          <t>BBS</t>
        </is>
      </c>
    </row>
    <row r="106">
      <c r="A106" s="13" t="n">
        <v>101</v>
      </c>
      <c r="B106" s="13" t="inlineStr">
        <is>
          <t>Beams</t>
        </is>
      </c>
      <c r="C106" s="13" t="inlineStr">
        <is>
          <t>STR-085</t>
        </is>
      </c>
      <c r="D106" s="13" t="inlineStr">
        <is>
          <t>Ninth floor beams (1 of 2)</t>
        </is>
      </c>
      <c r="E106" s="19" t="inlineStr">
        <is>
          <t>2502</t>
        </is>
      </c>
      <c r="F106" s="19" t="n">
        <v>25</v>
      </c>
      <c r="G106" s="19" t="n">
        <v>1</v>
      </c>
      <c r="H106" s="19" t="n">
        <v>3</v>
      </c>
      <c r="I106" s="13">
        <f>G106*H106</f>
        <v>3.0</v>
      </c>
      <c r="J106" s="20">
        <f>9400/1000</f>
        <v>9.4</v>
      </c>
      <c r="K106" s="21">
        <f>I106*J106</f>
        <v>28.200000000000003</v>
      </c>
      <c r="L106" s="22">
        <f>F106^2/162</f>
        <v>3.8580246913580245</v>
      </c>
      <c r="M106" s="21">
        <f>K106*L106</f>
        <v>108.7962962962963</v>
      </c>
      <c r="N106" s="22">
        <f>M106/1000</f>
        <v>0.10879629629629631</v>
      </c>
      <c r="O106" s="13" t="inlineStr">
        <is>
          <t>BBS</t>
        </is>
      </c>
    </row>
    <row r="107">
      <c r="A107" s="13" t="n">
        <v>102</v>
      </c>
      <c r="B107" s="13" t="inlineStr">
        <is>
          <t>Beams</t>
        </is>
      </c>
      <c r="C107" s="13" t="inlineStr">
        <is>
          <t>STR-085</t>
        </is>
      </c>
      <c r="D107" s="13" t="inlineStr">
        <is>
          <t>Ninth floor beams (1 of 2)</t>
        </is>
      </c>
      <c r="E107" s="19" t="inlineStr">
        <is>
          <t>2503</t>
        </is>
      </c>
      <c r="F107" s="19" t="n">
        <v>25</v>
      </c>
      <c r="G107" s="19" t="n">
        <v>1</v>
      </c>
      <c r="H107" s="19" t="n">
        <v>3</v>
      </c>
      <c r="I107" s="13">
        <f>G107*H107</f>
        <v>3.0</v>
      </c>
      <c r="J107" s="20">
        <f>12000/1000</f>
        <v>12.0</v>
      </c>
      <c r="K107" s="21">
        <f>I107*J107</f>
        <v>36.0</v>
      </c>
      <c r="L107" s="22">
        <f>F107^2/162</f>
        <v>3.8580246913580245</v>
      </c>
      <c r="M107" s="21">
        <f>K107*L107</f>
        <v>138.88888888888889</v>
      </c>
      <c r="N107" s="22">
        <f>M107/1000</f>
        <v>0.1388888888888889</v>
      </c>
      <c r="O107" s="13" t="inlineStr">
        <is>
          <t>BBS</t>
        </is>
      </c>
    </row>
    <row r="108">
      <c r="A108" s="13" t="n">
        <v>103</v>
      </c>
      <c r="B108" s="13" t="inlineStr">
        <is>
          <t>Beams</t>
        </is>
      </c>
      <c r="C108" s="13" t="inlineStr">
        <is>
          <t>STR-085</t>
        </is>
      </c>
      <c r="D108" s="13" t="inlineStr">
        <is>
          <t>Ninth floor beams (1 of 2)</t>
        </is>
      </c>
      <c r="E108" s="19" t="inlineStr">
        <is>
          <t>2504</t>
        </is>
      </c>
      <c r="F108" s="19" t="n">
        <v>25</v>
      </c>
      <c r="G108" s="19" t="n">
        <v>1</v>
      </c>
      <c r="H108" s="19" t="n">
        <v>3</v>
      </c>
      <c r="I108" s="13">
        <f>G108*H108</f>
        <v>3.0</v>
      </c>
      <c r="J108" s="20">
        <f>7100/1000</f>
        <v>7.1</v>
      </c>
      <c r="K108" s="21">
        <f>I108*J108</f>
        <v>21.299999999999997</v>
      </c>
      <c r="L108" s="22">
        <f>F108^2/162</f>
        <v>3.8580246913580245</v>
      </c>
      <c r="M108" s="21">
        <f>K108*L108</f>
        <v>82.17592592592591</v>
      </c>
      <c r="N108" s="22">
        <f>M108/1000</f>
        <v>0.08217592592592592</v>
      </c>
      <c r="O108" s="13" t="inlineStr">
        <is>
          <t>BBS</t>
        </is>
      </c>
    </row>
    <row r="109">
      <c r="A109" s="13" t="n">
        <v>104</v>
      </c>
      <c r="B109" s="13" t="inlineStr">
        <is>
          <t>Beams</t>
        </is>
      </c>
      <c r="C109" s="13" t="inlineStr">
        <is>
          <t>STR-085</t>
        </is>
      </c>
      <c r="D109" s="13" t="inlineStr">
        <is>
          <t>Ninth floor beams (1 of 2)</t>
        </is>
      </c>
      <c r="E109" s="19" t="inlineStr">
        <is>
          <t>2505</t>
        </is>
      </c>
      <c r="F109" s="19" t="n">
        <v>25</v>
      </c>
      <c r="G109" s="19" t="n">
        <v>1</v>
      </c>
      <c r="H109" s="19" t="n">
        <v>6</v>
      </c>
      <c r="I109" s="13">
        <f>G109*H109</f>
        <v>6.0</v>
      </c>
      <c r="J109" s="20">
        <f>9300/1000</f>
        <v>9.3</v>
      </c>
      <c r="K109" s="21">
        <f>I109*J109</f>
        <v>55.800000000000004</v>
      </c>
      <c r="L109" s="22">
        <f>F109^2/162</f>
        <v>3.8580246913580245</v>
      </c>
      <c r="M109" s="21">
        <f>K109*L109</f>
        <v>215.27777777777777</v>
      </c>
      <c r="N109" s="22">
        <f>M109/1000</f>
        <v>0.21527777777777776</v>
      </c>
      <c r="O109" s="13" t="inlineStr">
        <is>
          <t>BBS</t>
        </is>
      </c>
    </row>
    <row r="110">
      <c r="A110" s="13" t="n">
        <v>105</v>
      </c>
      <c r="B110" s="13" t="inlineStr">
        <is>
          <t>Beams</t>
        </is>
      </c>
      <c r="C110" s="13" t="inlineStr">
        <is>
          <t>STR-085</t>
        </is>
      </c>
      <c r="D110" s="13" t="inlineStr">
        <is>
          <t>Ninth floor beams (1 of 2)</t>
        </is>
      </c>
      <c r="E110" s="19" t="inlineStr">
        <is>
          <t>2506</t>
        </is>
      </c>
      <c r="F110" s="19" t="n">
        <v>25</v>
      </c>
      <c r="G110" s="19" t="n">
        <v>1</v>
      </c>
      <c r="H110" s="19" t="n">
        <v>3</v>
      </c>
      <c r="I110" s="13">
        <f>G110*H110</f>
        <v>3.0</v>
      </c>
      <c r="J110" s="20">
        <f>9100/1000</f>
        <v>9.1</v>
      </c>
      <c r="K110" s="21">
        <f>I110*J110</f>
        <v>27.299999999999997</v>
      </c>
      <c r="L110" s="22">
        <f>F110^2/162</f>
        <v>3.8580246913580245</v>
      </c>
      <c r="M110" s="21">
        <f>K110*L110</f>
        <v>105.32407407407406</v>
      </c>
      <c r="N110" s="22">
        <f>M110/1000</f>
        <v>0.10532407407407406</v>
      </c>
      <c r="O110" s="13" t="inlineStr">
        <is>
          <t>BBS</t>
        </is>
      </c>
    </row>
    <row r="111">
      <c r="A111" s="13" t="n">
        <v>106</v>
      </c>
      <c r="B111" s="13" t="inlineStr">
        <is>
          <t>Beams</t>
        </is>
      </c>
      <c r="C111" s="13" t="inlineStr">
        <is>
          <t>STR-085</t>
        </is>
      </c>
      <c r="D111" s="13" t="inlineStr">
        <is>
          <t>Ninth floor beams (1 of 2)</t>
        </is>
      </c>
      <c r="E111" s="19" t="inlineStr">
        <is>
          <t>2507</t>
        </is>
      </c>
      <c r="F111" s="19" t="n">
        <v>25</v>
      </c>
      <c r="G111" s="19" t="n">
        <v>1</v>
      </c>
      <c r="H111" s="19" t="n">
        <v>3</v>
      </c>
      <c r="I111" s="13">
        <f>G111*H111</f>
        <v>3.0</v>
      </c>
      <c r="J111" s="20">
        <f>5850/1000</f>
        <v>5.85</v>
      </c>
      <c r="K111" s="21">
        <f>I111*J111</f>
        <v>17.549999999999997</v>
      </c>
      <c r="L111" s="22">
        <f>F111^2/162</f>
        <v>3.8580246913580245</v>
      </c>
      <c r="M111" s="21">
        <f>K111*L111</f>
        <v>67.70833333333331</v>
      </c>
      <c r="N111" s="22">
        <f>M111/1000</f>
        <v>0.06770833333333331</v>
      </c>
      <c r="O111" s="13" t="inlineStr">
        <is>
          <t>BBS</t>
        </is>
      </c>
    </row>
    <row r="112">
      <c r="A112" s="13" t="n">
        <v>107</v>
      </c>
      <c r="B112" s="13" t="inlineStr">
        <is>
          <t>Beams</t>
        </is>
      </c>
      <c r="C112" s="13" t="inlineStr">
        <is>
          <t>STR-085</t>
        </is>
      </c>
      <c r="D112" s="13" t="inlineStr">
        <is>
          <t>Ninth floor beams (1 of 2)</t>
        </is>
      </c>
      <c r="E112" s="19" t="inlineStr">
        <is>
          <t>2508</t>
        </is>
      </c>
      <c r="F112" s="19" t="n">
        <v>25</v>
      </c>
      <c r="G112" s="19" t="n">
        <v>1</v>
      </c>
      <c r="H112" s="19" t="n">
        <v>3</v>
      </c>
      <c r="I112" s="13">
        <f>G112*H112</f>
        <v>3.0</v>
      </c>
      <c r="J112" s="20">
        <f>8000/1000</f>
        <v>8.0</v>
      </c>
      <c r="K112" s="21">
        <f>I112*J112</f>
        <v>24.0</v>
      </c>
      <c r="L112" s="22">
        <f>F112^2/162</f>
        <v>3.8580246913580245</v>
      </c>
      <c r="M112" s="21">
        <f>K112*L112</f>
        <v>92.59259259259258</v>
      </c>
      <c r="N112" s="22">
        <f>M112/1000</f>
        <v>0.09259259259259259</v>
      </c>
      <c r="O112" s="13" t="inlineStr">
        <is>
          <t>BBS</t>
        </is>
      </c>
    </row>
    <row r="113">
      <c r="A113" s="13" t="n">
        <v>108</v>
      </c>
      <c r="B113" s="13" t="inlineStr">
        <is>
          <t>Beams</t>
        </is>
      </c>
      <c r="C113" s="13" t="inlineStr">
        <is>
          <t>STR-085</t>
        </is>
      </c>
      <c r="D113" s="13" t="inlineStr">
        <is>
          <t>Ninth floor beams (1 of 2)</t>
        </is>
      </c>
      <c r="E113" s="19" t="inlineStr">
        <is>
          <t>2509</t>
        </is>
      </c>
      <c r="F113" s="19" t="n">
        <v>25</v>
      </c>
      <c r="G113" s="19" t="n">
        <v>1</v>
      </c>
      <c r="H113" s="19" t="n">
        <v>3</v>
      </c>
      <c r="I113" s="13">
        <f>G113*H113</f>
        <v>3.0</v>
      </c>
      <c r="J113" s="20">
        <f>8700/1000</f>
        <v>8.7</v>
      </c>
      <c r="K113" s="21">
        <f>I113*J113</f>
        <v>26.099999999999998</v>
      </c>
      <c r="L113" s="22">
        <f>F113^2/162</f>
        <v>3.8580246913580245</v>
      </c>
      <c r="M113" s="21">
        <f>K113*L113</f>
        <v>100.69444444444443</v>
      </c>
      <c r="N113" s="22">
        <f>M113/1000</f>
        <v>0.10069444444444443</v>
      </c>
      <c r="O113" s="13" t="inlineStr">
        <is>
          <t>BBS</t>
        </is>
      </c>
    </row>
    <row r="114">
      <c r="A114" s="13" t="n">
        <v>109</v>
      </c>
      <c r="B114" s="13" t="inlineStr">
        <is>
          <t>Beams</t>
        </is>
      </c>
      <c r="C114" s="13" t="inlineStr">
        <is>
          <t>STR-085</t>
        </is>
      </c>
      <c r="D114" s="13" t="inlineStr">
        <is>
          <t>Ninth floor beams (1 of 2)</t>
        </is>
      </c>
      <c r="E114" s="19" t="inlineStr">
        <is>
          <t>2510</t>
        </is>
      </c>
      <c r="F114" s="19" t="n">
        <v>25</v>
      </c>
      <c r="G114" s="19" t="n">
        <v>1</v>
      </c>
      <c r="H114" s="19" t="n">
        <v>3</v>
      </c>
      <c r="I114" s="13">
        <f>G114*H114</f>
        <v>3.0</v>
      </c>
      <c r="J114" s="20">
        <f>5900/1000</f>
        <v>5.9</v>
      </c>
      <c r="K114" s="21">
        <f>I114*J114</f>
        <v>17.700000000000003</v>
      </c>
      <c r="L114" s="22">
        <f>F114^2/162</f>
        <v>3.8580246913580245</v>
      </c>
      <c r="M114" s="21">
        <f>K114*L114</f>
        <v>68.28703703703704</v>
      </c>
      <c r="N114" s="22">
        <f>M114/1000</f>
        <v>0.06828703703703703</v>
      </c>
      <c r="O114" s="13" t="inlineStr">
        <is>
          <t>BBS</t>
        </is>
      </c>
    </row>
    <row r="115">
      <c r="A115" s="13" t="n">
        <v>110</v>
      </c>
      <c r="B115" s="13" t="inlineStr">
        <is>
          <t>Beams</t>
        </is>
      </c>
      <c r="C115" s="13" t="inlineStr">
        <is>
          <t>STR-085</t>
        </is>
      </c>
      <c r="D115" s="13" t="inlineStr">
        <is>
          <t>Ninth floor beams (1 of 2)</t>
        </is>
      </c>
      <c r="E115" s="19" t="inlineStr">
        <is>
          <t>2511</t>
        </is>
      </c>
      <c r="F115" s="19" t="n">
        <v>25</v>
      </c>
      <c r="G115" s="19" t="n">
        <v>1</v>
      </c>
      <c r="H115" s="19" t="n">
        <v>3</v>
      </c>
      <c r="I115" s="13">
        <f>G115*H115</f>
        <v>3.0</v>
      </c>
      <c r="J115" s="20">
        <f>5600/1000</f>
        <v>5.6</v>
      </c>
      <c r="K115" s="21">
        <f>I115*J115</f>
        <v>16.799999999999997</v>
      </c>
      <c r="L115" s="22">
        <f>F115^2/162</f>
        <v>3.8580246913580245</v>
      </c>
      <c r="M115" s="21">
        <f>K115*L115</f>
        <v>64.8148148148148</v>
      </c>
      <c r="N115" s="22">
        <f>M115/1000</f>
        <v>0.0648148148148148</v>
      </c>
      <c r="O115" s="13" t="inlineStr">
        <is>
          <t>BBS</t>
        </is>
      </c>
    </row>
    <row r="116">
      <c r="A116" s="13" t="n">
        <v>111</v>
      </c>
      <c r="B116" s="13" t="inlineStr">
        <is>
          <t>Beams</t>
        </is>
      </c>
      <c r="C116" s="13" t="inlineStr">
        <is>
          <t>STR-085</t>
        </is>
      </c>
      <c r="D116" s="13" t="inlineStr">
        <is>
          <t>Ninth floor beams (1 of 2)</t>
        </is>
      </c>
      <c r="E116" s="19" t="inlineStr">
        <is>
          <t>2512</t>
        </is>
      </c>
      <c r="F116" s="19" t="n">
        <v>25</v>
      </c>
      <c r="G116" s="19" t="n">
        <v>1</v>
      </c>
      <c r="H116" s="19" t="n">
        <v>3</v>
      </c>
      <c r="I116" s="13">
        <f>G116*H116</f>
        <v>3.0</v>
      </c>
      <c r="J116" s="20">
        <f>11550/1000</f>
        <v>11.55</v>
      </c>
      <c r="K116" s="21">
        <f>I116*J116</f>
        <v>34.650000000000006</v>
      </c>
      <c r="L116" s="22">
        <f>F116^2/162</f>
        <v>3.8580246913580245</v>
      </c>
      <c r="M116" s="21">
        <f>K116*L116</f>
        <v>133.68055555555557</v>
      </c>
      <c r="N116" s="22">
        <f>M116/1000</f>
        <v>0.13368055555555558</v>
      </c>
      <c r="O116" s="13" t="inlineStr">
        <is>
          <t>BBS</t>
        </is>
      </c>
    </row>
    <row r="117">
      <c r="A117" s="13" t="n">
        <v>112</v>
      </c>
      <c r="B117" s="13" t="inlineStr">
        <is>
          <t>Beams</t>
        </is>
      </c>
      <c r="C117" s="13" t="inlineStr">
        <is>
          <t>STR-085</t>
        </is>
      </c>
      <c r="D117" s="13" t="inlineStr">
        <is>
          <t>Ninth floor beams (1 of 2)</t>
        </is>
      </c>
      <c r="E117" s="19" t="inlineStr">
        <is>
          <t>2513</t>
        </is>
      </c>
      <c r="F117" s="19" t="n">
        <v>25</v>
      </c>
      <c r="G117" s="19" t="n">
        <v>1</v>
      </c>
      <c r="H117" s="19" t="n">
        <v>3</v>
      </c>
      <c r="I117" s="13">
        <f>G117*H117</f>
        <v>3.0</v>
      </c>
      <c r="J117" s="20">
        <f>6050/1000</f>
        <v>6.05</v>
      </c>
      <c r="K117" s="21">
        <f>I117*J117</f>
        <v>18.15</v>
      </c>
      <c r="L117" s="22">
        <f>F117^2/162</f>
        <v>3.8580246913580245</v>
      </c>
      <c r="M117" s="21">
        <f>K117*L117</f>
        <v>70.02314814814814</v>
      </c>
      <c r="N117" s="22">
        <f>M117/1000</f>
        <v>0.07002314814814814</v>
      </c>
      <c r="O117" s="13" t="inlineStr">
        <is>
          <t>BBS</t>
        </is>
      </c>
    </row>
    <row r="118">
      <c r="A118" s="13" t="n">
        <v>113</v>
      </c>
      <c r="B118" s="13" t="inlineStr">
        <is>
          <t>Beams</t>
        </is>
      </c>
      <c r="C118" s="13" t="inlineStr">
        <is>
          <t>STR-085</t>
        </is>
      </c>
      <c r="D118" s="13" t="inlineStr">
        <is>
          <t>Ninth floor beams (1 of 2)</t>
        </is>
      </c>
      <c r="E118" s="19" t="inlineStr">
        <is>
          <t>2514</t>
        </is>
      </c>
      <c r="F118" s="19" t="n">
        <v>25</v>
      </c>
      <c r="G118" s="19" t="n">
        <v>1</v>
      </c>
      <c r="H118" s="19" t="n">
        <v>3</v>
      </c>
      <c r="I118" s="13">
        <f>G118*H118</f>
        <v>3.0</v>
      </c>
      <c r="J118" s="20">
        <f>9000/1000</f>
        <v>9.0</v>
      </c>
      <c r="K118" s="21">
        <f>I118*J118</f>
        <v>27.0</v>
      </c>
      <c r="L118" s="22">
        <f>F118^2/162</f>
        <v>3.8580246913580245</v>
      </c>
      <c r="M118" s="21">
        <f>K118*L118</f>
        <v>104.16666666666666</v>
      </c>
      <c r="N118" s="22">
        <f>M118/1000</f>
        <v>0.10416666666666666</v>
      </c>
      <c r="O118" s="13" t="inlineStr">
        <is>
          <t>BBS</t>
        </is>
      </c>
    </row>
    <row r="119">
      <c r="A119" s="13" t="n">
        <v>114</v>
      </c>
      <c r="B119" s="13" t="inlineStr">
        <is>
          <t>Beams</t>
        </is>
      </c>
      <c r="C119" s="13" t="inlineStr">
        <is>
          <t>STR-085</t>
        </is>
      </c>
      <c r="D119" s="13" t="inlineStr">
        <is>
          <t>Ninth floor beams (1 of 2)</t>
        </is>
      </c>
      <c r="E119" s="19" t="inlineStr">
        <is>
          <t>2515</t>
        </is>
      </c>
      <c r="F119" s="19" t="n">
        <v>25</v>
      </c>
      <c r="G119" s="19" t="n">
        <v>1</v>
      </c>
      <c r="H119" s="19" t="n">
        <v>3</v>
      </c>
      <c r="I119" s="13">
        <f>G119*H119</f>
        <v>3.0</v>
      </c>
      <c r="J119" s="20">
        <f>5600/1000</f>
        <v>5.6</v>
      </c>
      <c r="K119" s="21">
        <f>I119*J119</f>
        <v>16.799999999999997</v>
      </c>
      <c r="L119" s="22">
        <f>F119^2/162</f>
        <v>3.8580246913580245</v>
      </c>
      <c r="M119" s="21">
        <f>K119*L119</f>
        <v>64.8148148148148</v>
      </c>
      <c r="N119" s="22">
        <f>M119/1000</f>
        <v>0.0648148148148148</v>
      </c>
      <c r="O119" s="13" t="inlineStr">
        <is>
          <t>BBS</t>
        </is>
      </c>
    </row>
    <row r="120">
      <c r="A120" s="13" t="n">
        <v>115</v>
      </c>
      <c r="B120" s="13" t="inlineStr">
        <is>
          <t>Beams</t>
        </is>
      </c>
      <c r="C120" s="13" t="inlineStr">
        <is>
          <t>STR-085</t>
        </is>
      </c>
      <c r="D120" s="13" t="inlineStr">
        <is>
          <t>Ninth floor beams (1 of 2)</t>
        </is>
      </c>
      <c r="E120" s="19" t="inlineStr">
        <is>
          <t>2516</t>
        </is>
      </c>
      <c r="F120" s="19" t="n">
        <v>25</v>
      </c>
      <c r="G120" s="19" t="n">
        <v>1</v>
      </c>
      <c r="H120" s="19" t="n">
        <v>3</v>
      </c>
      <c r="I120" s="13">
        <f>G120*H120</f>
        <v>3.0</v>
      </c>
      <c r="J120" s="20">
        <f>9400/1000</f>
        <v>9.4</v>
      </c>
      <c r="K120" s="21">
        <f>I120*J120</f>
        <v>28.200000000000003</v>
      </c>
      <c r="L120" s="22">
        <f>F120^2/162</f>
        <v>3.8580246913580245</v>
      </c>
      <c r="M120" s="21">
        <f>K120*L120</f>
        <v>108.7962962962963</v>
      </c>
      <c r="N120" s="22">
        <f>M120/1000</f>
        <v>0.10879629629629631</v>
      </c>
      <c r="O120" s="13" t="inlineStr">
        <is>
          <t>BBS</t>
        </is>
      </c>
    </row>
    <row r="121">
      <c r="A121" s="13" t="n">
        <v>116</v>
      </c>
      <c r="B121" s="13" t="inlineStr">
        <is>
          <t>Beams</t>
        </is>
      </c>
      <c r="C121" s="13" t="inlineStr">
        <is>
          <t>STR-085</t>
        </is>
      </c>
      <c r="D121" s="13" t="inlineStr">
        <is>
          <t>Ninth floor beams (1 of 2)</t>
        </is>
      </c>
      <c r="E121" s="19" t="inlineStr">
        <is>
          <t>2517</t>
        </is>
      </c>
      <c r="F121" s="19" t="n">
        <v>25</v>
      </c>
      <c r="G121" s="19" t="n">
        <v>1</v>
      </c>
      <c r="H121" s="19" t="n">
        <v>24</v>
      </c>
      <c r="I121" s="13">
        <f>G121*H121</f>
        <v>24.0</v>
      </c>
      <c r="J121" s="20">
        <f>9150/1000</f>
        <v>9.15</v>
      </c>
      <c r="K121" s="21">
        <f>I121*J121</f>
        <v>219.60000000000002</v>
      </c>
      <c r="L121" s="22">
        <f>F121^2/162</f>
        <v>3.8580246913580245</v>
      </c>
      <c r="M121" s="21">
        <f>K121*L121</f>
        <v>847.2222222222223</v>
      </c>
      <c r="N121" s="22">
        <f>M121/1000</f>
        <v>0.8472222222222223</v>
      </c>
      <c r="O121" s="13" t="inlineStr">
        <is>
          <t>BBS</t>
        </is>
      </c>
    </row>
    <row r="122">
      <c r="A122" s="13" t="n">
        <v>117</v>
      </c>
      <c r="B122" s="13" t="inlineStr">
        <is>
          <t>Beams</t>
        </is>
      </c>
      <c r="C122" s="13" t="inlineStr">
        <is>
          <t>STR-085</t>
        </is>
      </c>
      <c r="D122" s="13" t="inlineStr">
        <is>
          <t>Ninth floor beams (1 of 2)</t>
        </is>
      </c>
      <c r="E122" s="19" t="inlineStr">
        <is>
          <t>2518</t>
        </is>
      </c>
      <c r="F122" s="19" t="n">
        <v>25</v>
      </c>
      <c r="G122" s="19" t="n">
        <v>1</v>
      </c>
      <c r="H122" s="19" t="n">
        <v>3</v>
      </c>
      <c r="I122" s="13">
        <f>G122*H122</f>
        <v>3.0</v>
      </c>
      <c r="J122" s="20">
        <f>9800/1000</f>
        <v>9.8</v>
      </c>
      <c r="K122" s="21">
        <f>I122*J122</f>
        <v>29.400000000000002</v>
      </c>
      <c r="L122" s="22">
        <f>F122^2/162</f>
        <v>3.8580246913580245</v>
      </c>
      <c r="M122" s="21">
        <f>K122*L122</f>
        <v>113.42592592592592</v>
      </c>
      <c r="N122" s="22">
        <f>M122/1000</f>
        <v>0.11342592592592593</v>
      </c>
      <c r="O122" s="13" t="inlineStr">
        <is>
          <t>BBS</t>
        </is>
      </c>
    </row>
    <row r="123">
      <c r="A123" s="13" t="n">
        <v>118</v>
      </c>
      <c r="B123" s="13" t="inlineStr">
        <is>
          <t>Beams</t>
        </is>
      </c>
      <c r="C123" s="13" t="inlineStr">
        <is>
          <t>STR-085</t>
        </is>
      </c>
      <c r="D123" s="13" t="inlineStr">
        <is>
          <t>Ninth floor beams (1 of 2)</t>
        </is>
      </c>
      <c r="E123" s="19" t="inlineStr">
        <is>
          <t>2519</t>
        </is>
      </c>
      <c r="F123" s="19" t="n">
        <v>25</v>
      </c>
      <c r="G123" s="19" t="n">
        <v>1</v>
      </c>
      <c r="H123" s="19" t="n">
        <v>3</v>
      </c>
      <c r="I123" s="13">
        <f>G123*H123</f>
        <v>3.0</v>
      </c>
      <c r="J123" s="20">
        <f>8125/1000</f>
        <v>8.125</v>
      </c>
      <c r="K123" s="21">
        <f>I123*J123</f>
        <v>24.375</v>
      </c>
      <c r="L123" s="22">
        <f>F123^2/162</f>
        <v>3.8580246913580245</v>
      </c>
      <c r="M123" s="21">
        <f>K123*L123</f>
        <v>94.03935185185185</v>
      </c>
      <c r="N123" s="22">
        <f>M123/1000</f>
        <v>0.09403935185185185</v>
      </c>
      <c r="O123" s="13" t="inlineStr">
        <is>
          <t>BBS</t>
        </is>
      </c>
    </row>
    <row r="124">
      <c r="A124" s="13" t="n">
        <v>119</v>
      </c>
      <c r="B124" s="13" t="inlineStr">
        <is>
          <t>Beams</t>
        </is>
      </c>
      <c r="C124" s="13" t="inlineStr">
        <is>
          <t>STR-085</t>
        </is>
      </c>
      <c r="D124" s="13" t="inlineStr">
        <is>
          <t>Ninth floor beams (1 of 2)</t>
        </is>
      </c>
      <c r="E124" s="19" t="inlineStr">
        <is>
          <t>2520</t>
        </is>
      </c>
      <c r="F124" s="19" t="n">
        <v>25</v>
      </c>
      <c r="G124" s="19" t="n">
        <v>1</v>
      </c>
      <c r="H124" s="19" t="n">
        <v>24</v>
      </c>
      <c r="I124" s="13">
        <f>G124*H124</f>
        <v>24.0</v>
      </c>
      <c r="J124" s="20">
        <f>8025/1000</f>
        <v>8.025</v>
      </c>
      <c r="K124" s="21">
        <f>I124*J124</f>
        <v>192.60000000000002</v>
      </c>
      <c r="L124" s="22">
        <f>F124^2/162</f>
        <v>3.8580246913580245</v>
      </c>
      <c r="M124" s="21">
        <f>K124*L124</f>
        <v>743.0555555555557</v>
      </c>
      <c r="N124" s="22">
        <f>M124/1000</f>
        <v>0.7430555555555557</v>
      </c>
      <c r="O124" s="13" t="inlineStr">
        <is>
          <t>BBS</t>
        </is>
      </c>
    </row>
    <row r="125">
      <c r="A125" s="13" t="n">
        <v>120</v>
      </c>
      <c r="B125" s="13" t="inlineStr">
        <is>
          <t>Beams</t>
        </is>
      </c>
      <c r="C125" s="13" t="inlineStr">
        <is>
          <t>STR-087</t>
        </is>
      </c>
      <c r="D125" s="13" t="inlineStr">
        <is>
          <t>Ninth floor beams (2 of 2)</t>
        </is>
      </c>
      <c r="E125" s="19" t="inlineStr">
        <is>
          <t>1001</t>
        </is>
      </c>
      <c r="F125" s="19" t="n">
        <v>10</v>
      </c>
      <c r="G125" s="19" t="n">
        <v>1</v>
      </c>
      <c r="H125" s="19" t="n">
        <v>753</v>
      </c>
      <c r="I125" s="13">
        <f>G125*H125</f>
        <v>753.0</v>
      </c>
      <c r="J125" s="20">
        <f>1700/1000</f>
        <v>1.7</v>
      </c>
      <c r="K125" s="21">
        <f>I125*J125</f>
        <v>1280.1</v>
      </c>
      <c r="L125" s="22">
        <f>F125^2/162</f>
        <v>0.6172839506172839</v>
      </c>
      <c r="M125" s="21">
        <f>K125*L125</f>
        <v>790.1851851851851</v>
      </c>
      <c r="N125" s="22">
        <f>M125/1000</f>
        <v>0.7901851851851851</v>
      </c>
      <c r="O125" s="13" t="inlineStr">
        <is>
          <t>BBS</t>
        </is>
      </c>
    </row>
    <row r="126">
      <c r="A126" s="13" t="n">
        <v>121</v>
      </c>
      <c r="B126" s="13" t="inlineStr">
        <is>
          <t>Beams</t>
        </is>
      </c>
      <c r="C126" s="13" t="inlineStr">
        <is>
          <t>STR-087</t>
        </is>
      </c>
      <c r="D126" s="13" t="inlineStr">
        <is>
          <t>Ninth floor beams (2 of 2)</t>
        </is>
      </c>
      <c r="E126" s="19" t="inlineStr">
        <is>
          <t>1601</t>
        </is>
      </c>
      <c r="F126" s="19" t="n">
        <v>16</v>
      </c>
      <c r="G126" s="19" t="n">
        <v>1</v>
      </c>
      <c r="H126" s="19" t="n">
        <v>2</v>
      </c>
      <c r="I126" s="13">
        <f>G126*H126</f>
        <v>2.0</v>
      </c>
      <c r="J126" s="20">
        <f>11800/1000</f>
        <v>11.8</v>
      </c>
      <c r="K126" s="21">
        <f>I126*J126</f>
        <v>23.6</v>
      </c>
      <c r="L126" s="22">
        <f>F126^2/162</f>
        <v>1.5802469135802468</v>
      </c>
      <c r="M126" s="21">
        <f>K126*L126</f>
        <v>37.29382716049383</v>
      </c>
      <c r="N126" s="22">
        <f>M126/1000</f>
        <v>0.03729382716049383</v>
      </c>
      <c r="O126" s="13" t="inlineStr">
        <is>
          <t>BBS</t>
        </is>
      </c>
    </row>
    <row r="127">
      <c r="A127" s="13" t="n">
        <v>122</v>
      </c>
      <c r="B127" s="13" t="inlineStr">
        <is>
          <t>Beams</t>
        </is>
      </c>
      <c r="C127" s="13" t="inlineStr">
        <is>
          <t>STR-087</t>
        </is>
      </c>
      <c r="D127" s="13" t="inlineStr">
        <is>
          <t>Ninth floor beams (2 of 2)</t>
        </is>
      </c>
      <c r="E127" s="19" t="inlineStr">
        <is>
          <t>1602</t>
        </is>
      </c>
      <c r="F127" s="19" t="n">
        <v>16</v>
      </c>
      <c r="G127" s="19" t="n">
        <v>1</v>
      </c>
      <c r="H127" s="19" t="n">
        <v>8</v>
      </c>
      <c r="I127" s="13">
        <f>G127*H127</f>
        <v>8.0</v>
      </c>
      <c r="J127" s="20">
        <f>12000/1000</f>
        <v>12.0</v>
      </c>
      <c r="K127" s="21">
        <f>I127*J127</f>
        <v>96.0</v>
      </c>
      <c r="L127" s="22">
        <f>F127^2/162</f>
        <v>1.5802469135802468</v>
      </c>
      <c r="M127" s="21">
        <f>K127*L127</f>
        <v>151.7037037037037</v>
      </c>
      <c r="N127" s="22">
        <f>M127/1000</f>
        <v>0.1517037037037037</v>
      </c>
      <c r="O127" s="13" t="inlineStr">
        <is>
          <t>BBS</t>
        </is>
      </c>
    </row>
    <row r="128">
      <c r="A128" s="13" t="n">
        <v>123</v>
      </c>
      <c r="B128" s="13" t="inlineStr">
        <is>
          <t>Beams</t>
        </is>
      </c>
      <c r="C128" s="13" t="inlineStr">
        <is>
          <t>STR-087</t>
        </is>
      </c>
      <c r="D128" s="13" t="inlineStr">
        <is>
          <t>Ninth floor beams (2 of 2)</t>
        </is>
      </c>
      <c r="E128" s="19" t="inlineStr">
        <is>
          <t>1603</t>
        </is>
      </c>
      <c r="F128" s="19" t="n">
        <v>16</v>
      </c>
      <c r="G128" s="19" t="n">
        <v>1</v>
      </c>
      <c r="H128" s="19" t="n">
        <v>2</v>
      </c>
      <c r="I128" s="13">
        <f>G128*H128</f>
        <v>2.0</v>
      </c>
      <c r="J128" s="20">
        <f>6450/1000</f>
        <v>6.45</v>
      </c>
      <c r="K128" s="21">
        <f>I128*J128</f>
        <v>12.9</v>
      </c>
      <c r="L128" s="22">
        <f>F128^2/162</f>
        <v>1.5802469135802468</v>
      </c>
      <c r="M128" s="21">
        <f>K128*L128</f>
        <v>20.385185185185186</v>
      </c>
      <c r="N128" s="22">
        <f>M128/1000</f>
        <v>0.020385185185185187</v>
      </c>
      <c r="O128" s="13" t="inlineStr">
        <is>
          <t>BBS</t>
        </is>
      </c>
    </row>
    <row r="129">
      <c r="A129" s="13" t="n">
        <v>124</v>
      </c>
      <c r="B129" s="13" t="inlineStr">
        <is>
          <t>Beams</t>
        </is>
      </c>
      <c r="C129" s="13" t="inlineStr">
        <is>
          <t>STR-087</t>
        </is>
      </c>
      <c r="D129" s="13" t="inlineStr">
        <is>
          <t>Ninth floor beams (2 of 2)</t>
        </is>
      </c>
      <c r="E129" s="19" t="inlineStr">
        <is>
          <t>1604</t>
        </is>
      </c>
      <c r="F129" s="19" t="n">
        <v>16</v>
      </c>
      <c r="G129" s="19" t="n">
        <v>1</v>
      </c>
      <c r="H129" s="19" t="n">
        <v>3</v>
      </c>
      <c r="I129" s="13">
        <f>G129*H129</f>
        <v>3.0</v>
      </c>
      <c r="J129" s="20">
        <f>7600/1000</f>
        <v>7.6</v>
      </c>
      <c r="K129" s="21">
        <f>I129*J129</f>
        <v>22.799999999999997</v>
      </c>
      <c r="L129" s="22">
        <f>F129^2/162</f>
        <v>1.5802469135802468</v>
      </c>
      <c r="M129" s="21">
        <f>K129*L129</f>
        <v>36.029629629629625</v>
      </c>
      <c r="N129" s="22">
        <f>M129/1000</f>
        <v>0.03602962962962963</v>
      </c>
      <c r="O129" s="13" t="inlineStr">
        <is>
          <t>BBS</t>
        </is>
      </c>
    </row>
    <row r="130">
      <c r="A130" s="13" t="n">
        <v>125</v>
      </c>
      <c r="B130" s="13" t="inlineStr">
        <is>
          <t>Beams</t>
        </is>
      </c>
      <c r="C130" s="13" t="inlineStr">
        <is>
          <t>STR-087</t>
        </is>
      </c>
      <c r="D130" s="13" t="inlineStr">
        <is>
          <t>Ninth floor beams (2 of 2)</t>
        </is>
      </c>
      <c r="E130" s="19" t="inlineStr">
        <is>
          <t>1605</t>
        </is>
      </c>
      <c r="F130" s="19" t="n">
        <v>16</v>
      </c>
      <c r="G130" s="19" t="n">
        <v>1</v>
      </c>
      <c r="H130" s="19" t="n">
        <v>3</v>
      </c>
      <c r="I130" s="13">
        <f>G130*H130</f>
        <v>3.0</v>
      </c>
      <c r="J130" s="20">
        <f>1200/1000</f>
        <v>1.2</v>
      </c>
      <c r="K130" s="21">
        <f>I130*J130</f>
        <v>3.5999999999999996</v>
      </c>
      <c r="L130" s="22">
        <f>F130^2/162</f>
        <v>1.5802469135802468</v>
      </c>
      <c r="M130" s="21">
        <f>K130*L130</f>
        <v>5.688888888888888</v>
      </c>
      <c r="N130" s="22">
        <f>M130/1000</f>
        <v>0.005688888888888888</v>
      </c>
      <c r="O130" s="13" t="inlineStr">
        <is>
          <t>BBS</t>
        </is>
      </c>
    </row>
    <row r="131">
      <c r="A131" s="13" t="n">
        <v>126</v>
      </c>
      <c r="B131" s="13" t="inlineStr">
        <is>
          <t>Beams</t>
        </is>
      </c>
      <c r="C131" s="13" t="inlineStr">
        <is>
          <t>STR-087</t>
        </is>
      </c>
      <c r="D131" s="13" t="inlineStr">
        <is>
          <t>Ninth floor beams (2 of 2)</t>
        </is>
      </c>
      <c r="E131" s="19" t="inlineStr">
        <is>
          <t>1606</t>
        </is>
      </c>
      <c r="F131" s="19" t="n">
        <v>16</v>
      </c>
      <c r="G131" s="19" t="n">
        <v>1</v>
      </c>
      <c r="H131" s="19" t="n">
        <v>3</v>
      </c>
      <c r="I131" s="13">
        <f>G131*H131</f>
        <v>3.0</v>
      </c>
      <c r="J131" s="20">
        <f>11300/1000</f>
        <v>11.3</v>
      </c>
      <c r="K131" s="21">
        <f>I131*J131</f>
        <v>33.900000000000006</v>
      </c>
      <c r="L131" s="22">
        <f>F131^2/162</f>
        <v>1.5802469135802468</v>
      </c>
      <c r="M131" s="21">
        <f>K131*L131</f>
        <v>53.57037037037038</v>
      </c>
      <c r="N131" s="22">
        <f>M131/1000</f>
        <v>0.05357037037037038</v>
      </c>
      <c r="O131" s="13" t="inlineStr">
        <is>
          <t>BBS</t>
        </is>
      </c>
    </row>
    <row r="132">
      <c r="A132" s="13" t="n">
        <v>127</v>
      </c>
      <c r="B132" s="13" t="inlineStr">
        <is>
          <t>Beams</t>
        </is>
      </c>
      <c r="C132" s="13" t="inlineStr">
        <is>
          <t>STR-087</t>
        </is>
      </c>
      <c r="D132" s="13" t="inlineStr">
        <is>
          <t>Ninth floor beams (2 of 2)</t>
        </is>
      </c>
      <c r="E132" s="19" t="inlineStr">
        <is>
          <t>1607</t>
        </is>
      </c>
      <c r="F132" s="19" t="n">
        <v>16</v>
      </c>
      <c r="G132" s="19" t="n">
        <v>1</v>
      </c>
      <c r="H132" s="19" t="n">
        <v>3</v>
      </c>
      <c r="I132" s="13">
        <f>G132*H132</f>
        <v>3.0</v>
      </c>
      <c r="J132" s="20">
        <f>9000/1000</f>
        <v>9.0</v>
      </c>
      <c r="K132" s="21">
        <f>I132*J132</f>
        <v>27.0</v>
      </c>
      <c r="L132" s="22">
        <f>F132^2/162</f>
        <v>1.5802469135802468</v>
      </c>
      <c r="M132" s="21">
        <f>K132*L132</f>
        <v>42.666666666666664</v>
      </c>
      <c r="N132" s="22">
        <f>M132/1000</f>
        <v>0.042666666666666665</v>
      </c>
      <c r="O132" s="13" t="inlineStr">
        <is>
          <t>BBS</t>
        </is>
      </c>
    </row>
    <row r="133">
      <c r="A133" s="13" t="n">
        <v>128</v>
      </c>
      <c r="B133" s="13" t="inlineStr">
        <is>
          <t>Beams</t>
        </is>
      </c>
      <c r="C133" s="13" t="inlineStr">
        <is>
          <t>STR-087</t>
        </is>
      </c>
      <c r="D133" s="13" t="inlineStr">
        <is>
          <t>Ninth floor beams (2 of 2)</t>
        </is>
      </c>
      <c r="E133" s="19" t="inlineStr">
        <is>
          <t>1608</t>
        </is>
      </c>
      <c r="F133" s="19" t="n">
        <v>16</v>
      </c>
      <c r="G133" s="19" t="n">
        <v>1</v>
      </c>
      <c r="H133" s="19" t="n">
        <v>3</v>
      </c>
      <c r="I133" s="13">
        <f>G133*H133</f>
        <v>3.0</v>
      </c>
      <c r="J133" s="20">
        <f>8800/1000</f>
        <v>8.8</v>
      </c>
      <c r="K133" s="21">
        <f>I133*J133</f>
        <v>26.400000000000002</v>
      </c>
      <c r="L133" s="22">
        <f>F133^2/162</f>
        <v>1.5802469135802468</v>
      </c>
      <c r="M133" s="21">
        <f>K133*L133</f>
        <v>41.71851851851852</v>
      </c>
      <c r="N133" s="22">
        <f>M133/1000</f>
        <v>0.04171851851851852</v>
      </c>
      <c r="O133" s="13" t="inlineStr">
        <is>
          <t>BBS</t>
        </is>
      </c>
    </row>
    <row r="134">
      <c r="A134" s="13" t="n">
        <v>129</v>
      </c>
      <c r="B134" s="13" t="inlineStr">
        <is>
          <t>Beams</t>
        </is>
      </c>
      <c r="C134" s="13" t="inlineStr">
        <is>
          <t>STR-087</t>
        </is>
      </c>
      <c r="D134" s="13" t="inlineStr">
        <is>
          <t>Ninth floor beams (2 of 2)</t>
        </is>
      </c>
      <c r="E134" s="19" t="inlineStr">
        <is>
          <t>1608A</t>
        </is>
      </c>
      <c r="F134" s="19" t="n">
        <v>16</v>
      </c>
      <c r="G134" s="19" t="n">
        <v>1</v>
      </c>
      <c r="H134" s="19" t="n">
        <v>2</v>
      </c>
      <c r="I134" s="13">
        <f>G134*H134</f>
        <v>2.0</v>
      </c>
      <c r="J134" s="20">
        <f>7900/1000</f>
        <v>7.9</v>
      </c>
      <c r="K134" s="21">
        <f>I134*J134</f>
        <v>15.8</v>
      </c>
      <c r="L134" s="22">
        <f>F134^2/162</f>
        <v>1.5802469135802468</v>
      </c>
      <c r="M134" s="21">
        <f>K134*L134</f>
        <v>24.9679012345679</v>
      </c>
      <c r="N134" s="22">
        <f>M134/1000</f>
        <v>0.0249679012345679</v>
      </c>
      <c r="O134" s="13" t="inlineStr">
        <is>
          <t>BBS</t>
        </is>
      </c>
    </row>
    <row r="135">
      <c r="A135" s="13" t="n">
        <v>130</v>
      </c>
      <c r="B135" s="13" t="inlineStr">
        <is>
          <t>Beams</t>
        </is>
      </c>
      <c r="C135" s="13" t="inlineStr">
        <is>
          <t>STR-087</t>
        </is>
      </c>
      <c r="D135" s="13" t="inlineStr">
        <is>
          <t>Ninth floor beams (2 of 2)</t>
        </is>
      </c>
      <c r="E135" s="19" t="inlineStr">
        <is>
          <t>1609</t>
        </is>
      </c>
      <c r="F135" s="19" t="n">
        <v>16</v>
      </c>
      <c r="G135" s="19" t="n">
        <v>1</v>
      </c>
      <c r="H135" s="19" t="n">
        <v>6</v>
      </c>
      <c r="I135" s="13">
        <f>G135*H135</f>
        <v>6.0</v>
      </c>
      <c r="J135" s="20">
        <f>3350/1000</f>
        <v>3.35</v>
      </c>
      <c r="K135" s="21">
        <f>I135*J135</f>
        <v>20.1</v>
      </c>
      <c r="L135" s="22">
        <f>F135^2/162</f>
        <v>1.5802469135802468</v>
      </c>
      <c r="M135" s="21">
        <f>K135*L135</f>
        <v>31.762962962962963</v>
      </c>
      <c r="N135" s="22">
        <f>M135/1000</f>
        <v>0.031762962962962965</v>
      </c>
      <c r="O135" s="13" t="inlineStr">
        <is>
          <t>BBS</t>
        </is>
      </c>
    </row>
    <row r="136">
      <c r="A136" s="13" t="n">
        <v>131</v>
      </c>
      <c r="B136" s="13" t="inlineStr">
        <is>
          <t>Beams</t>
        </is>
      </c>
      <c r="C136" s="13" t="inlineStr">
        <is>
          <t>STR-087</t>
        </is>
      </c>
      <c r="D136" s="13" t="inlineStr">
        <is>
          <t>Ninth floor beams (2 of 2)</t>
        </is>
      </c>
      <c r="E136" s="19" t="inlineStr">
        <is>
          <t>1610</t>
        </is>
      </c>
      <c r="F136" s="19" t="n">
        <v>16</v>
      </c>
      <c r="G136" s="19" t="n">
        <v>1</v>
      </c>
      <c r="H136" s="19" t="n">
        <v>2</v>
      </c>
      <c r="I136" s="13">
        <f>G136*H136</f>
        <v>2.0</v>
      </c>
      <c r="J136" s="20">
        <f>3350/1000</f>
        <v>3.35</v>
      </c>
      <c r="K136" s="21">
        <f>I136*J136</f>
        <v>6.7</v>
      </c>
      <c r="L136" s="22">
        <f>F136^2/162</f>
        <v>1.5802469135802468</v>
      </c>
      <c r="M136" s="21">
        <f>K136*L136</f>
        <v>10.587654320987655</v>
      </c>
      <c r="N136" s="22">
        <f>M136/1000</f>
        <v>0.010587654320987655</v>
      </c>
      <c r="O136" s="13" t="inlineStr">
        <is>
          <t>BBS</t>
        </is>
      </c>
    </row>
    <row r="137">
      <c r="A137" s="13" t="n">
        <v>132</v>
      </c>
      <c r="B137" s="13" t="inlineStr">
        <is>
          <t>Beams</t>
        </is>
      </c>
      <c r="C137" s="13" t="inlineStr">
        <is>
          <t>STR-087</t>
        </is>
      </c>
      <c r="D137" s="13" t="inlineStr">
        <is>
          <t>Ninth floor beams (2 of 2)</t>
        </is>
      </c>
      <c r="E137" s="19" t="inlineStr">
        <is>
          <t>1611</t>
        </is>
      </c>
      <c r="F137" s="19" t="n">
        <v>16</v>
      </c>
      <c r="G137" s="19" t="n">
        <v>1</v>
      </c>
      <c r="H137" s="19" t="n">
        <v>2</v>
      </c>
      <c r="I137" s="13">
        <f>G137*H137</f>
        <v>2.0</v>
      </c>
      <c r="J137" s="20">
        <f>10550/1000</f>
        <v>10.55</v>
      </c>
      <c r="K137" s="21">
        <f>I137*J137</f>
        <v>21.1</v>
      </c>
      <c r="L137" s="22">
        <f>F137^2/162</f>
        <v>1.5802469135802468</v>
      </c>
      <c r="M137" s="21">
        <f>K137*L137</f>
        <v>33.34320987654321</v>
      </c>
      <c r="N137" s="22">
        <f>M137/1000</f>
        <v>0.03334320987654321</v>
      </c>
      <c r="O137" s="13" t="inlineStr">
        <is>
          <t>BBS</t>
        </is>
      </c>
    </row>
    <row r="138">
      <c r="A138" s="13" t="n">
        <v>133</v>
      </c>
      <c r="B138" s="13" t="inlineStr">
        <is>
          <t>Beams</t>
        </is>
      </c>
      <c r="C138" s="13" t="inlineStr">
        <is>
          <t>STR-087</t>
        </is>
      </c>
      <c r="D138" s="13" t="inlineStr">
        <is>
          <t>Ninth floor beams (2 of 2)</t>
        </is>
      </c>
      <c r="E138" s="19" t="inlineStr">
        <is>
          <t>1612</t>
        </is>
      </c>
      <c r="F138" s="19" t="n">
        <v>16</v>
      </c>
      <c r="G138" s="19" t="n">
        <v>1</v>
      </c>
      <c r="H138" s="19" t="n">
        <v>2</v>
      </c>
      <c r="I138" s="13">
        <f>G138*H138</f>
        <v>2.0</v>
      </c>
      <c r="J138" s="20">
        <f>9050/1000</f>
        <v>9.05</v>
      </c>
      <c r="K138" s="21">
        <f>I138*J138</f>
        <v>18.1</v>
      </c>
      <c r="L138" s="22">
        <f>F138^2/162</f>
        <v>1.5802469135802468</v>
      </c>
      <c r="M138" s="21">
        <f>K138*L138</f>
        <v>28.60246913580247</v>
      </c>
      <c r="N138" s="22">
        <f>M138/1000</f>
        <v>0.02860246913580247</v>
      </c>
      <c r="O138" s="13" t="inlineStr">
        <is>
          <t>BBS</t>
        </is>
      </c>
    </row>
    <row r="139">
      <c r="A139" s="13" t="n">
        <v>134</v>
      </c>
      <c r="B139" s="13" t="inlineStr">
        <is>
          <t>Beams</t>
        </is>
      </c>
      <c r="C139" s="13" t="inlineStr">
        <is>
          <t>STR-087</t>
        </is>
      </c>
      <c r="D139" s="13" t="inlineStr">
        <is>
          <t>Ninth floor beams (2 of 2)</t>
        </is>
      </c>
      <c r="E139" s="19" t="inlineStr">
        <is>
          <t>2001</t>
        </is>
      </c>
      <c r="F139" s="19" t="n">
        <v>20</v>
      </c>
      <c r="G139" s="19" t="n">
        <v>1</v>
      </c>
      <c r="H139" s="19" t="n">
        <v>3</v>
      </c>
      <c r="I139" s="13">
        <f>G139*H139</f>
        <v>3.0</v>
      </c>
      <c r="J139" s="20">
        <f>8050/1000</f>
        <v>8.05</v>
      </c>
      <c r="K139" s="21">
        <f>I139*J139</f>
        <v>24.150000000000002</v>
      </c>
      <c r="L139" s="22">
        <f>F139^2/162</f>
        <v>2.4691358024691357</v>
      </c>
      <c r="M139" s="21">
        <f>K139*L139</f>
        <v>59.62962962962963</v>
      </c>
      <c r="N139" s="22">
        <f>M139/1000</f>
        <v>0.05962962962962964</v>
      </c>
      <c r="O139" s="13" t="inlineStr">
        <is>
          <t>BBS</t>
        </is>
      </c>
    </row>
    <row r="140">
      <c r="A140" s="13" t="n">
        <v>135</v>
      </c>
      <c r="B140" s="13" t="inlineStr">
        <is>
          <t>Beams</t>
        </is>
      </c>
      <c r="C140" s="13" t="inlineStr">
        <is>
          <t>STR-087</t>
        </is>
      </c>
      <c r="D140" s="13" t="inlineStr">
        <is>
          <t>Ninth floor beams (2 of 2)</t>
        </is>
      </c>
      <c r="E140" s="19" t="inlineStr">
        <is>
          <t>2002</t>
        </is>
      </c>
      <c r="F140" s="19" t="n">
        <v>20</v>
      </c>
      <c r="G140" s="19" t="n">
        <v>1</v>
      </c>
      <c r="H140" s="19" t="n">
        <v>3</v>
      </c>
      <c r="I140" s="13">
        <f>G140*H140</f>
        <v>3.0</v>
      </c>
      <c r="J140" s="20">
        <f>9550/1000</f>
        <v>9.55</v>
      </c>
      <c r="K140" s="21">
        <f>I140*J140</f>
        <v>28.650000000000002</v>
      </c>
      <c r="L140" s="22">
        <f>F140^2/162</f>
        <v>2.4691358024691357</v>
      </c>
      <c r="M140" s="21">
        <f>K140*L140</f>
        <v>70.74074074074075</v>
      </c>
      <c r="N140" s="22">
        <f>M140/1000</f>
        <v>0.07074074074074074</v>
      </c>
      <c r="O140" s="13" t="inlineStr">
        <is>
          <t>BBS</t>
        </is>
      </c>
    </row>
    <row r="141">
      <c r="A141" s="13" t="n">
        <v>136</v>
      </c>
      <c r="B141" s="13" t="inlineStr">
        <is>
          <t>Beams</t>
        </is>
      </c>
      <c r="C141" s="13" t="inlineStr">
        <is>
          <t>STR-087</t>
        </is>
      </c>
      <c r="D141" s="13" t="inlineStr">
        <is>
          <t>Ninth floor beams (2 of 2)</t>
        </is>
      </c>
      <c r="E141" s="19" t="inlineStr">
        <is>
          <t>2003</t>
        </is>
      </c>
      <c r="F141" s="19" t="n">
        <v>20</v>
      </c>
      <c r="G141" s="19" t="n">
        <v>1</v>
      </c>
      <c r="H141" s="19" t="n">
        <v>2</v>
      </c>
      <c r="I141" s="13">
        <f>G141*H141</f>
        <v>2.0</v>
      </c>
      <c r="J141" s="20">
        <f>8150/1000</f>
        <v>8.15</v>
      </c>
      <c r="K141" s="21">
        <f>I141*J141</f>
        <v>16.3</v>
      </c>
      <c r="L141" s="22">
        <f>F141^2/162</f>
        <v>2.4691358024691357</v>
      </c>
      <c r="M141" s="21">
        <f>K141*L141</f>
        <v>40.24691358024691</v>
      </c>
      <c r="N141" s="22">
        <f>M141/1000</f>
        <v>0.04024691358024691</v>
      </c>
      <c r="O141" s="13" t="inlineStr">
        <is>
          <t>BBS</t>
        </is>
      </c>
    </row>
    <row r="142">
      <c r="A142" s="13" t="n">
        <v>137</v>
      </c>
      <c r="B142" s="13" t="inlineStr">
        <is>
          <t>Beams</t>
        </is>
      </c>
      <c r="C142" s="13" t="inlineStr">
        <is>
          <t>STR-087</t>
        </is>
      </c>
      <c r="D142" s="13" t="inlineStr">
        <is>
          <t>Ninth floor beams (2 of 2)</t>
        </is>
      </c>
      <c r="E142" s="19" t="inlineStr">
        <is>
          <t>2004</t>
        </is>
      </c>
      <c r="F142" s="19" t="n">
        <v>20</v>
      </c>
      <c r="G142" s="19" t="n">
        <v>1</v>
      </c>
      <c r="H142" s="19" t="n">
        <v>2</v>
      </c>
      <c r="I142" s="13">
        <f>G142*H142</f>
        <v>2.0</v>
      </c>
      <c r="J142" s="20">
        <f>9450/1000</f>
        <v>9.45</v>
      </c>
      <c r="K142" s="21">
        <f>I142*J142</f>
        <v>18.9</v>
      </c>
      <c r="L142" s="22">
        <f>F142^2/162</f>
        <v>2.4691358024691357</v>
      </c>
      <c r="M142" s="21">
        <f>K142*L142</f>
        <v>46.66666666666666</v>
      </c>
      <c r="N142" s="22">
        <f>M142/1000</f>
        <v>0.046666666666666655</v>
      </c>
      <c r="O142" s="13" t="inlineStr">
        <is>
          <t>BBS</t>
        </is>
      </c>
    </row>
    <row r="143">
      <c r="A143" s="13" t="n">
        <v>138</v>
      </c>
      <c r="B143" s="13" t="inlineStr">
        <is>
          <t>Beams</t>
        </is>
      </c>
      <c r="C143" s="13" t="inlineStr">
        <is>
          <t>STR-087</t>
        </is>
      </c>
      <c r="D143" s="13" t="inlineStr">
        <is>
          <t>Ninth floor beams (2 of 2)</t>
        </is>
      </c>
      <c r="E143" s="19" t="inlineStr">
        <is>
          <t>2005</t>
        </is>
      </c>
      <c r="F143" s="19" t="n">
        <v>20</v>
      </c>
      <c r="G143" s="19" t="n">
        <v>1</v>
      </c>
      <c r="H143" s="19" t="n">
        <v>2</v>
      </c>
      <c r="I143" s="13">
        <f>G143*H143</f>
        <v>2.0</v>
      </c>
      <c r="J143" s="20">
        <f>11625/1000</f>
        <v>11.625</v>
      </c>
      <c r="K143" s="21">
        <f>I143*J143</f>
        <v>23.25</v>
      </c>
      <c r="L143" s="22">
        <f>F143^2/162</f>
        <v>2.4691358024691357</v>
      </c>
      <c r="M143" s="21">
        <f>K143*L143</f>
        <v>57.407407407407405</v>
      </c>
      <c r="N143" s="22">
        <f>M143/1000</f>
        <v>0.05740740740740741</v>
      </c>
      <c r="O143" s="13" t="inlineStr">
        <is>
          <t>BBS</t>
        </is>
      </c>
    </row>
    <row r="144">
      <c r="A144" s="13" t="n">
        <v>139</v>
      </c>
      <c r="B144" s="13" t="inlineStr">
        <is>
          <t>Beams</t>
        </is>
      </c>
      <c r="C144" s="13" t="inlineStr">
        <is>
          <t>STR-087</t>
        </is>
      </c>
      <c r="D144" s="13" t="inlineStr">
        <is>
          <t>Ninth floor beams (2 of 2)</t>
        </is>
      </c>
      <c r="E144" s="19" t="inlineStr">
        <is>
          <t>2006</t>
        </is>
      </c>
      <c r="F144" s="19" t="n">
        <v>20</v>
      </c>
      <c r="G144" s="19" t="n">
        <v>1</v>
      </c>
      <c r="H144" s="19" t="n">
        <v>3</v>
      </c>
      <c r="I144" s="13">
        <f>G144*H144</f>
        <v>3.0</v>
      </c>
      <c r="J144" s="20">
        <f>6650/1000</f>
        <v>6.65</v>
      </c>
      <c r="K144" s="21">
        <f>I144*J144</f>
        <v>19.950000000000003</v>
      </c>
      <c r="L144" s="22">
        <f>F144^2/162</f>
        <v>2.4691358024691357</v>
      </c>
      <c r="M144" s="21">
        <f>K144*L144</f>
        <v>49.25925925925927</v>
      </c>
      <c r="N144" s="22">
        <f>M144/1000</f>
        <v>0.049259259259259267</v>
      </c>
      <c r="O144" s="13" t="inlineStr">
        <is>
          <t>BBS</t>
        </is>
      </c>
    </row>
    <row r="145">
      <c r="A145" s="13" t="n">
        <v>140</v>
      </c>
      <c r="B145" s="13" t="inlineStr">
        <is>
          <t>Beams</t>
        </is>
      </c>
      <c r="C145" s="13" t="inlineStr">
        <is>
          <t>STR-087</t>
        </is>
      </c>
      <c r="D145" s="13" t="inlineStr">
        <is>
          <t>Ninth floor beams (2 of 2)</t>
        </is>
      </c>
      <c r="E145" s="19" t="inlineStr">
        <is>
          <t>2007</t>
        </is>
      </c>
      <c r="F145" s="19" t="n">
        <v>20</v>
      </c>
      <c r="G145" s="19" t="n">
        <v>1</v>
      </c>
      <c r="H145" s="19" t="n">
        <v>3</v>
      </c>
      <c r="I145" s="13">
        <f>G145*H145</f>
        <v>3.0</v>
      </c>
      <c r="J145" s="20">
        <f>8250/1000</f>
        <v>8.25</v>
      </c>
      <c r="K145" s="21">
        <f>I145*J145</f>
        <v>24.75</v>
      </c>
      <c r="L145" s="22">
        <f>F145^2/162</f>
        <v>2.4691358024691357</v>
      </c>
      <c r="M145" s="21">
        <f>K145*L145</f>
        <v>61.11111111111111</v>
      </c>
      <c r="N145" s="22">
        <f>M145/1000</f>
        <v>0.06111111111111111</v>
      </c>
      <c r="O145" s="13" t="inlineStr">
        <is>
          <t>BBS</t>
        </is>
      </c>
    </row>
    <row r="146">
      <c r="A146" s="13" t="n">
        <v>141</v>
      </c>
      <c r="B146" s="13" t="inlineStr">
        <is>
          <t>Beams</t>
        </is>
      </c>
      <c r="C146" s="13" t="inlineStr">
        <is>
          <t>STR-087</t>
        </is>
      </c>
      <c r="D146" s="13" t="inlineStr">
        <is>
          <t>Ninth floor beams (2 of 2)</t>
        </is>
      </c>
      <c r="E146" s="19" t="inlineStr">
        <is>
          <t>2008</t>
        </is>
      </c>
      <c r="F146" s="19" t="n">
        <v>20</v>
      </c>
      <c r="G146" s="19" t="n">
        <v>1</v>
      </c>
      <c r="H146" s="19" t="n">
        <v>3</v>
      </c>
      <c r="I146" s="13">
        <f>G146*H146</f>
        <v>3.0</v>
      </c>
      <c r="J146" s="20">
        <f>9000/1000</f>
        <v>9.0</v>
      </c>
      <c r="K146" s="21">
        <f>I146*J146</f>
        <v>27.0</v>
      </c>
      <c r="L146" s="22">
        <f>F146^2/162</f>
        <v>2.4691358024691357</v>
      </c>
      <c r="M146" s="21">
        <f>K146*L146</f>
        <v>66.66666666666666</v>
      </c>
      <c r="N146" s="22">
        <f>M146/1000</f>
        <v>0.06666666666666665</v>
      </c>
      <c r="O146" s="13" t="inlineStr">
        <is>
          <t>BBS</t>
        </is>
      </c>
    </row>
    <row r="147">
      <c r="A147" s="13" t="n">
        <v>142</v>
      </c>
      <c r="B147" s="13" t="inlineStr">
        <is>
          <t>Beams</t>
        </is>
      </c>
      <c r="C147" s="13" t="inlineStr">
        <is>
          <t>STR-087</t>
        </is>
      </c>
      <c r="D147" s="13" t="inlineStr">
        <is>
          <t>Ninth floor beams (2 of 2)</t>
        </is>
      </c>
      <c r="E147" s="19" t="inlineStr">
        <is>
          <t>2501</t>
        </is>
      </c>
      <c r="F147" s="19" t="n">
        <v>25</v>
      </c>
      <c r="G147" s="19" t="n">
        <v>1</v>
      </c>
      <c r="H147" s="19" t="n">
        <v>3</v>
      </c>
      <c r="I147" s="13">
        <f>G147*H147</f>
        <v>3.0</v>
      </c>
      <c r="J147" s="20">
        <f>5850/1000</f>
        <v>5.85</v>
      </c>
      <c r="K147" s="21">
        <f>I147*J147</f>
        <v>17.549999999999997</v>
      </c>
      <c r="L147" s="22">
        <f>F147^2/162</f>
        <v>3.8580246913580245</v>
      </c>
      <c r="M147" s="21">
        <f>K147*L147</f>
        <v>67.70833333333331</v>
      </c>
      <c r="N147" s="22">
        <f>M147/1000</f>
        <v>0.06770833333333331</v>
      </c>
      <c r="O147" s="13" t="inlineStr">
        <is>
          <t>BBS</t>
        </is>
      </c>
    </row>
    <row r="148">
      <c r="A148" s="13" t="n">
        <v>143</v>
      </c>
      <c r="B148" s="13" t="inlineStr">
        <is>
          <t>Beams</t>
        </is>
      </c>
      <c r="C148" s="13" t="inlineStr">
        <is>
          <t>STR-087</t>
        </is>
      </c>
      <c r="D148" s="13" t="inlineStr">
        <is>
          <t>Ninth floor beams (2 of 2)</t>
        </is>
      </c>
      <c r="E148" s="19" t="inlineStr">
        <is>
          <t>2502</t>
        </is>
      </c>
      <c r="F148" s="19" t="n">
        <v>25</v>
      </c>
      <c r="G148" s="19" t="n">
        <v>1</v>
      </c>
      <c r="H148" s="19" t="n">
        <v>3</v>
      </c>
      <c r="I148" s="13">
        <f>G148*H148</f>
        <v>3.0</v>
      </c>
      <c r="J148" s="20">
        <f>8000/1000</f>
        <v>8.0</v>
      </c>
      <c r="K148" s="21">
        <f>I148*J148</f>
        <v>24.0</v>
      </c>
      <c r="L148" s="22">
        <f>F148^2/162</f>
        <v>3.8580246913580245</v>
      </c>
      <c r="M148" s="21">
        <f>K148*L148</f>
        <v>92.59259259259258</v>
      </c>
      <c r="N148" s="22">
        <f>M148/1000</f>
        <v>0.09259259259259259</v>
      </c>
      <c r="O148" s="13" t="inlineStr">
        <is>
          <t>BBS</t>
        </is>
      </c>
    </row>
    <row r="149">
      <c r="A149" s="13" t="n">
        <v>144</v>
      </c>
      <c r="B149" s="13" t="inlineStr">
        <is>
          <t>Beams</t>
        </is>
      </c>
      <c r="C149" s="13" t="inlineStr">
        <is>
          <t>STR-087</t>
        </is>
      </c>
      <c r="D149" s="13" t="inlineStr">
        <is>
          <t>Ninth floor beams (2 of 2)</t>
        </is>
      </c>
      <c r="E149" s="19" t="inlineStr">
        <is>
          <t>2503</t>
        </is>
      </c>
      <c r="F149" s="19" t="n">
        <v>25</v>
      </c>
      <c r="G149" s="19" t="n">
        <v>1</v>
      </c>
      <c r="H149" s="19" t="n">
        <v>3</v>
      </c>
      <c r="I149" s="13">
        <f>G149*H149</f>
        <v>3.0</v>
      </c>
      <c r="J149" s="20">
        <f>8750/1000</f>
        <v>8.75</v>
      </c>
      <c r="K149" s="21">
        <f>I149*J149</f>
        <v>26.25</v>
      </c>
      <c r="L149" s="22">
        <f>F149^2/162</f>
        <v>3.8580246913580245</v>
      </c>
      <c r="M149" s="21">
        <f>K149*L149</f>
        <v>101.27314814814814</v>
      </c>
      <c r="N149" s="22">
        <f>M149/1000</f>
        <v>0.10127314814814814</v>
      </c>
      <c r="O149" s="13" t="inlineStr">
        <is>
          <t>BBS</t>
        </is>
      </c>
    </row>
    <row r="150">
      <c r="A150" s="13" t="n">
        <v>145</v>
      </c>
      <c r="B150" s="13" t="inlineStr">
        <is>
          <t>Beams</t>
        </is>
      </c>
      <c r="C150" s="13" t="inlineStr">
        <is>
          <t>STR-087</t>
        </is>
      </c>
      <c r="D150" s="13" t="inlineStr">
        <is>
          <t>Ninth floor beams (2 of 2)</t>
        </is>
      </c>
      <c r="E150" s="19" t="inlineStr">
        <is>
          <t>2503A</t>
        </is>
      </c>
      <c r="F150" s="19" t="n">
        <v>25</v>
      </c>
      <c r="G150" s="19" t="n">
        <v>1</v>
      </c>
      <c r="H150" s="19" t="n">
        <v>2</v>
      </c>
      <c r="I150" s="13">
        <f>G150*H150</f>
        <v>2.0</v>
      </c>
      <c r="J150" s="20">
        <f>8650/1000</f>
        <v>8.65</v>
      </c>
      <c r="K150" s="21">
        <f>I150*J150</f>
        <v>17.3</v>
      </c>
      <c r="L150" s="22">
        <f>F150^2/162</f>
        <v>3.8580246913580245</v>
      </c>
      <c r="M150" s="21">
        <f>K150*L150</f>
        <v>66.74382716049382</v>
      </c>
      <c r="N150" s="22">
        <f>M150/1000</f>
        <v>0.06674382716049382</v>
      </c>
      <c r="O150" s="13" t="inlineStr">
        <is>
          <t>BBS</t>
        </is>
      </c>
    </row>
    <row r="151">
      <c r="A151" s="13" t="n">
        <v>146</v>
      </c>
      <c r="B151" s="13" t="inlineStr">
        <is>
          <t>Beams</t>
        </is>
      </c>
      <c r="C151" s="13" t="inlineStr">
        <is>
          <t>STR-087</t>
        </is>
      </c>
      <c r="D151" s="13" t="inlineStr">
        <is>
          <t>Ninth floor beams (2 of 2)</t>
        </is>
      </c>
      <c r="E151" s="19" t="inlineStr">
        <is>
          <t>2504</t>
        </is>
      </c>
      <c r="F151" s="19" t="n">
        <v>25</v>
      </c>
      <c r="G151" s="19" t="n">
        <v>1</v>
      </c>
      <c r="H151" s="19" t="n">
        <v>3</v>
      </c>
      <c r="I151" s="13">
        <f>G151*H151</f>
        <v>3.0</v>
      </c>
      <c r="J151" s="20">
        <f>6425/1000</f>
        <v>6.425</v>
      </c>
      <c r="K151" s="21">
        <f>I151*J151</f>
        <v>19.275</v>
      </c>
      <c r="L151" s="22">
        <f>F151^2/162</f>
        <v>3.8580246913580245</v>
      </c>
      <c r="M151" s="21">
        <f>K151*L151</f>
        <v>74.36342592592592</v>
      </c>
      <c r="N151" s="22">
        <f>M151/1000</f>
        <v>0.07436342592592593</v>
      </c>
      <c r="O151" s="13" t="inlineStr">
        <is>
          <t>BBS</t>
        </is>
      </c>
    </row>
    <row r="152">
      <c r="A152" s="13" t="n">
        <v>147</v>
      </c>
      <c r="B152" s="13" t="inlineStr">
        <is>
          <t>Beams</t>
        </is>
      </c>
      <c r="C152" s="13" t="inlineStr">
        <is>
          <t>STR-087</t>
        </is>
      </c>
      <c r="D152" s="13" t="inlineStr">
        <is>
          <t>Ninth floor beams (2 of 2)</t>
        </is>
      </c>
      <c r="E152" s="19" t="inlineStr">
        <is>
          <t>2504A</t>
        </is>
      </c>
      <c r="F152" s="19" t="n">
        <v>25</v>
      </c>
      <c r="G152" s="19" t="n">
        <v>1</v>
      </c>
      <c r="H152" s="19" t="n">
        <v>2</v>
      </c>
      <c r="I152" s="13">
        <f>G152*H152</f>
        <v>2.0</v>
      </c>
      <c r="J152" s="20">
        <f>6325/1000</f>
        <v>6.325</v>
      </c>
      <c r="K152" s="21">
        <f>I152*J152</f>
        <v>12.65</v>
      </c>
      <c r="L152" s="22">
        <f>F152^2/162</f>
        <v>3.8580246913580245</v>
      </c>
      <c r="M152" s="21">
        <f>K152*L152</f>
        <v>48.80401234567901</v>
      </c>
      <c r="N152" s="22">
        <f>M152/1000</f>
        <v>0.048804012345679014</v>
      </c>
      <c r="O152" s="13" t="inlineStr">
        <is>
          <t>BBS</t>
        </is>
      </c>
    </row>
    <row r="153">
      <c r="A153" s="13" t="n">
        <v>148</v>
      </c>
      <c r="B153" s="13" t="inlineStr">
        <is>
          <t>Beams</t>
        </is>
      </c>
      <c r="C153" s="13" t="inlineStr">
        <is>
          <t>STR-087</t>
        </is>
      </c>
      <c r="D153" s="13" t="inlineStr">
        <is>
          <t>Ninth floor beams (2 of 2)</t>
        </is>
      </c>
      <c r="E153" s="19" t="inlineStr">
        <is>
          <t>2505</t>
        </is>
      </c>
      <c r="F153" s="19" t="n">
        <v>25</v>
      </c>
      <c r="G153" s="19" t="n">
        <v>1</v>
      </c>
      <c r="H153" s="19" t="n">
        <v>3</v>
      </c>
      <c r="I153" s="13">
        <f>G153*H153</f>
        <v>3.0</v>
      </c>
      <c r="J153" s="20">
        <f>5000/1000</f>
        <v>5.0</v>
      </c>
      <c r="K153" s="21">
        <f>I153*J153</f>
        <v>15.0</v>
      </c>
      <c r="L153" s="22">
        <f>F153^2/162</f>
        <v>3.8580246913580245</v>
      </c>
      <c r="M153" s="21">
        <f>K153*L153</f>
        <v>57.87037037037037</v>
      </c>
      <c r="N153" s="22">
        <f>M153/1000</f>
        <v>0.057870370370370364</v>
      </c>
      <c r="O153" s="13" t="inlineStr">
        <is>
          <t>BBS</t>
        </is>
      </c>
    </row>
    <row r="154">
      <c r="A154" s="13" t="n">
        <v>149</v>
      </c>
      <c r="B154" s="13" t="inlineStr">
        <is>
          <t>Beams</t>
        </is>
      </c>
      <c r="C154" s="13" t="inlineStr">
        <is>
          <t>STR-087</t>
        </is>
      </c>
      <c r="D154" s="13" t="inlineStr">
        <is>
          <t>Ninth floor beams (2 of 2)</t>
        </is>
      </c>
      <c r="E154" s="19" t="inlineStr">
        <is>
          <t>2506</t>
        </is>
      </c>
      <c r="F154" s="19" t="n">
        <v>25</v>
      </c>
      <c r="G154" s="19" t="n">
        <v>1</v>
      </c>
      <c r="H154" s="19" t="n">
        <v>3</v>
      </c>
      <c r="I154" s="13">
        <f>G154*H154</f>
        <v>3.0</v>
      </c>
      <c r="J154" s="20">
        <f>8600/1000</f>
        <v>8.6</v>
      </c>
      <c r="K154" s="21">
        <f>I154*J154</f>
        <v>25.799999999999997</v>
      </c>
      <c r="L154" s="22">
        <f>F154^2/162</f>
        <v>3.8580246913580245</v>
      </c>
      <c r="M154" s="21">
        <f>K154*L154</f>
        <v>99.53703703703702</v>
      </c>
      <c r="N154" s="22">
        <f>M154/1000</f>
        <v>0.09953703703703702</v>
      </c>
      <c r="O154" s="13" t="inlineStr">
        <is>
          <t>BBS</t>
        </is>
      </c>
    </row>
    <row r="155">
      <c r="A155" s="13" t="n">
        <v>150</v>
      </c>
      <c r="B155" s="13" t="inlineStr">
        <is>
          <t>Beams</t>
        </is>
      </c>
      <c r="C155" s="13" t="inlineStr">
        <is>
          <t>STR-087</t>
        </is>
      </c>
      <c r="D155" s="13" t="inlineStr">
        <is>
          <t>Ninth floor beams (2 of 2)</t>
        </is>
      </c>
      <c r="E155" s="19" t="inlineStr">
        <is>
          <t>2507</t>
        </is>
      </c>
      <c r="F155" s="19" t="n">
        <v>25</v>
      </c>
      <c r="G155" s="19" t="n">
        <v>1</v>
      </c>
      <c r="H155" s="19" t="n">
        <v>3</v>
      </c>
      <c r="I155" s="13">
        <f>G155*H155</f>
        <v>3.0</v>
      </c>
      <c r="J155" s="20">
        <f>8675/1000</f>
        <v>8.675</v>
      </c>
      <c r="K155" s="21">
        <f>I155*J155</f>
        <v>26.025000000000002</v>
      </c>
      <c r="L155" s="22">
        <f>F155^2/162</f>
        <v>3.8580246913580245</v>
      </c>
      <c r="M155" s="21">
        <f>K155*L155</f>
        <v>100.4050925925926</v>
      </c>
      <c r="N155" s="22">
        <f>M155/1000</f>
        <v>0.1004050925925926</v>
      </c>
      <c r="O155" s="13" t="inlineStr">
        <is>
          <t>BBS</t>
        </is>
      </c>
    </row>
    <row r="156">
      <c r="A156" s="13" t="n">
        <v>151</v>
      </c>
      <c r="B156" s="13" t="inlineStr">
        <is>
          <t>Beams</t>
        </is>
      </c>
      <c r="C156" s="13" t="inlineStr">
        <is>
          <t>STR-087</t>
        </is>
      </c>
      <c r="D156" s="13" t="inlineStr">
        <is>
          <t>Ninth floor beams (2 of 2)</t>
        </is>
      </c>
      <c r="E156" s="19" t="inlineStr">
        <is>
          <t>2508</t>
        </is>
      </c>
      <c r="F156" s="19" t="n">
        <v>25</v>
      </c>
      <c r="G156" s="19" t="n">
        <v>1</v>
      </c>
      <c r="H156" s="19" t="n">
        <v>3</v>
      </c>
      <c r="I156" s="13">
        <f>G156*H156</f>
        <v>3.0</v>
      </c>
      <c r="J156" s="20">
        <f>6350/1000</f>
        <v>6.35</v>
      </c>
      <c r="K156" s="21">
        <f>I156*J156</f>
        <v>19.049999999999997</v>
      </c>
      <c r="L156" s="22">
        <f>F156^2/162</f>
        <v>3.8580246913580245</v>
      </c>
      <c r="M156" s="21">
        <f>K156*L156</f>
        <v>73.49537037037035</v>
      </c>
      <c r="N156" s="22">
        <f>M156/1000</f>
        <v>0.07349537037037035</v>
      </c>
      <c r="O156" s="13" t="inlineStr">
        <is>
          <t>BBS</t>
        </is>
      </c>
    </row>
    <row r="157">
      <c r="A157" s="13" t="n">
        <v>152</v>
      </c>
      <c r="B157" s="13" t="inlineStr">
        <is>
          <t>Beams</t>
        </is>
      </c>
      <c r="C157" s="13" t="inlineStr">
        <is>
          <t>STR-087</t>
        </is>
      </c>
      <c r="D157" s="13" t="inlineStr">
        <is>
          <t>Ninth floor beams (2 of 2)</t>
        </is>
      </c>
      <c r="E157" s="19" t="inlineStr">
        <is>
          <t>2509</t>
        </is>
      </c>
      <c r="F157" s="19" t="n">
        <v>25</v>
      </c>
      <c r="G157" s="19" t="n">
        <v>1</v>
      </c>
      <c r="H157" s="19" t="n">
        <v>3</v>
      </c>
      <c r="I157" s="13">
        <f>G157*H157</f>
        <v>3.0</v>
      </c>
      <c r="J157" s="20">
        <f>5000/1000</f>
        <v>5.0</v>
      </c>
      <c r="K157" s="21">
        <f>I157*J157</f>
        <v>15.0</v>
      </c>
      <c r="L157" s="22">
        <f>F157^2/162</f>
        <v>3.8580246913580245</v>
      </c>
      <c r="M157" s="21">
        <f>K157*L157</f>
        <v>57.87037037037037</v>
      </c>
      <c r="N157" s="22">
        <f>M157/1000</f>
        <v>0.057870370370370364</v>
      </c>
      <c r="O157" s="13" t="inlineStr">
        <is>
          <t>BBS</t>
        </is>
      </c>
    </row>
    <row r="158">
      <c r="A158" s="13" t="n">
        <v>153</v>
      </c>
      <c r="B158" s="13" t="inlineStr">
        <is>
          <t>Beams</t>
        </is>
      </c>
      <c r="C158" s="13" t="inlineStr">
        <is>
          <t>STR-087</t>
        </is>
      </c>
      <c r="D158" s="13" t="inlineStr">
        <is>
          <t>Ninth floor beams (2 of 2)</t>
        </is>
      </c>
      <c r="E158" s="19" t="inlineStr">
        <is>
          <t>2510</t>
        </is>
      </c>
      <c r="F158" s="19" t="n">
        <v>25</v>
      </c>
      <c r="G158" s="19" t="n">
        <v>1</v>
      </c>
      <c r="H158" s="19" t="n">
        <v>3</v>
      </c>
      <c r="I158" s="13">
        <f>G158*H158</f>
        <v>3.0</v>
      </c>
      <c r="J158" s="20">
        <f>9175/1000</f>
        <v>9.175</v>
      </c>
      <c r="K158" s="21">
        <f>I158*J158</f>
        <v>27.525000000000002</v>
      </c>
      <c r="L158" s="22">
        <f>F158^2/162</f>
        <v>3.8580246913580245</v>
      </c>
      <c r="M158" s="21">
        <f>K158*L158</f>
        <v>106.19212962962963</v>
      </c>
      <c r="N158" s="22">
        <f>M158/1000</f>
        <v>0.10619212962962964</v>
      </c>
      <c r="O158" s="13" t="inlineStr">
        <is>
          <t>BBS</t>
        </is>
      </c>
    </row>
    <row r="159">
      <c r="A159" s="13" t="n">
        <v>154</v>
      </c>
      <c r="B159" s="13" t="inlineStr">
        <is>
          <t>Beams</t>
        </is>
      </c>
      <c r="C159" s="13" t="inlineStr">
        <is>
          <t>STR-087</t>
        </is>
      </c>
      <c r="D159" s="13" t="inlineStr">
        <is>
          <t>Ninth floor beams (2 of 2)</t>
        </is>
      </c>
      <c r="E159" s="19" t="inlineStr">
        <is>
          <t>2511</t>
        </is>
      </c>
      <c r="F159" s="19" t="n">
        <v>25</v>
      </c>
      <c r="G159" s="19" t="n">
        <v>1</v>
      </c>
      <c r="H159" s="19" t="n">
        <v>3</v>
      </c>
      <c r="I159" s="13">
        <f>G159*H159</f>
        <v>3.0</v>
      </c>
      <c r="J159" s="20">
        <f>8675/1000</f>
        <v>8.675</v>
      </c>
      <c r="K159" s="21">
        <f>I159*J159</f>
        <v>26.025000000000002</v>
      </c>
      <c r="L159" s="22">
        <f>F159^2/162</f>
        <v>3.8580246913580245</v>
      </c>
      <c r="M159" s="21">
        <f>K159*L159</f>
        <v>100.4050925925926</v>
      </c>
      <c r="N159" s="22">
        <f>M159/1000</f>
        <v>0.1004050925925926</v>
      </c>
      <c r="O159" s="13" t="inlineStr">
        <is>
          <t>BBS</t>
        </is>
      </c>
    </row>
    <row r="160">
      <c r="A160" s="13" t="n">
        <v>155</v>
      </c>
      <c r="B160" s="13" t="inlineStr">
        <is>
          <t>Beams</t>
        </is>
      </c>
      <c r="C160" s="13" t="inlineStr">
        <is>
          <t>STR-087</t>
        </is>
      </c>
      <c r="D160" s="13" t="inlineStr">
        <is>
          <t>Ninth floor beams (2 of 2)</t>
        </is>
      </c>
      <c r="E160" s="19" t="inlineStr">
        <is>
          <t>2512</t>
        </is>
      </c>
      <c r="F160" s="19" t="n">
        <v>25</v>
      </c>
      <c r="G160" s="19" t="n">
        <v>1</v>
      </c>
      <c r="H160" s="19" t="n">
        <v>3</v>
      </c>
      <c r="I160" s="13">
        <f>G160*H160</f>
        <v>3.0</v>
      </c>
      <c r="J160" s="20">
        <f>6350/1000</f>
        <v>6.35</v>
      </c>
      <c r="K160" s="21">
        <f>I160*J160</f>
        <v>19.049999999999997</v>
      </c>
      <c r="L160" s="22">
        <f>F160^2/162</f>
        <v>3.8580246913580245</v>
      </c>
      <c r="M160" s="21">
        <f>K160*L160</f>
        <v>73.49537037037035</v>
      </c>
      <c r="N160" s="22">
        <f>M160/1000</f>
        <v>0.07349537037037035</v>
      </c>
      <c r="O160" s="13" t="inlineStr">
        <is>
          <t>BBS</t>
        </is>
      </c>
    </row>
    <row r="161">
      <c r="A161" s="13" t="n">
        <v>156</v>
      </c>
      <c r="B161" s="13" t="inlineStr">
        <is>
          <t>Beams</t>
        </is>
      </c>
      <c r="C161" s="13" t="inlineStr">
        <is>
          <t>STR-087</t>
        </is>
      </c>
      <c r="D161" s="13" t="inlineStr">
        <is>
          <t>Ninth floor beams (2 of 2)</t>
        </is>
      </c>
      <c r="E161" s="19" t="inlineStr">
        <is>
          <t>2513</t>
        </is>
      </c>
      <c r="F161" s="19" t="n">
        <v>25</v>
      </c>
      <c r="G161" s="19" t="n">
        <v>1</v>
      </c>
      <c r="H161" s="19" t="n">
        <v>6</v>
      </c>
      <c r="I161" s="13">
        <f>G161*H161</f>
        <v>6.0</v>
      </c>
      <c r="J161" s="20">
        <f>4700/1000</f>
        <v>4.7</v>
      </c>
      <c r="K161" s="21">
        <f>I161*J161</f>
        <v>28.200000000000003</v>
      </c>
      <c r="L161" s="22">
        <f>F161^2/162</f>
        <v>3.8580246913580245</v>
      </c>
      <c r="M161" s="21">
        <f>K161*L161</f>
        <v>108.7962962962963</v>
      </c>
      <c r="N161" s="22">
        <f>M161/1000</f>
        <v>0.10879629629629631</v>
      </c>
      <c r="O161" s="13" t="inlineStr">
        <is>
          <t>BBS</t>
        </is>
      </c>
    </row>
    <row r="162">
      <c r="A162" s="13" t="n">
        <v>157</v>
      </c>
      <c r="B162" s="13" t="inlineStr">
        <is>
          <t>Beams</t>
        </is>
      </c>
      <c r="C162" s="13" t="inlineStr">
        <is>
          <t>STR-087</t>
        </is>
      </c>
      <c r="D162" s="13" t="inlineStr">
        <is>
          <t>Ninth floor beams (2 of 2)</t>
        </is>
      </c>
      <c r="E162" s="19" t="inlineStr">
        <is>
          <t>2514</t>
        </is>
      </c>
      <c r="F162" s="19" t="n">
        <v>25</v>
      </c>
      <c r="G162" s="19" t="n">
        <v>1</v>
      </c>
      <c r="H162" s="19" t="n">
        <v>3</v>
      </c>
      <c r="I162" s="13">
        <f>G162*H162</f>
        <v>3.0</v>
      </c>
      <c r="J162" s="20">
        <f>7500/1000</f>
        <v>7.5</v>
      </c>
      <c r="K162" s="21">
        <f>I162*J162</f>
        <v>22.5</v>
      </c>
      <c r="L162" s="22">
        <f>F162^2/162</f>
        <v>3.8580246913580245</v>
      </c>
      <c r="M162" s="21">
        <f>K162*L162</f>
        <v>86.80555555555556</v>
      </c>
      <c r="N162" s="22">
        <f>M162/1000</f>
        <v>0.08680555555555555</v>
      </c>
      <c r="O162" s="13" t="inlineStr">
        <is>
          <t>BBS</t>
        </is>
      </c>
    </row>
    <row r="163">
      <c r="A163" s="13" t="n">
        <v>158</v>
      </c>
      <c r="B163" s="13" t="inlineStr">
        <is>
          <t>Beams</t>
        </is>
      </c>
      <c r="C163" s="13" t="inlineStr">
        <is>
          <t>STR-087</t>
        </is>
      </c>
      <c r="D163" s="13" t="inlineStr">
        <is>
          <t>Ninth floor beams (2 of 2)</t>
        </is>
      </c>
      <c r="E163" s="19" t="inlineStr">
        <is>
          <t>2515</t>
        </is>
      </c>
      <c r="F163" s="19" t="n">
        <v>25</v>
      </c>
      <c r="G163" s="19" t="n">
        <v>1</v>
      </c>
      <c r="H163" s="19" t="n">
        <v>3</v>
      </c>
      <c r="I163" s="13">
        <f>G163*H163</f>
        <v>3.0</v>
      </c>
      <c r="J163" s="20">
        <f>9450/1000</f>
        <v>9.45</v>
      </c>
      <c r="K163" s="21">
        <f>I163*J163</f>
        <v>28.349999999999998</v>
      </c>
      <c r="L163" s="22">
        <f>F163^2/162</f>
        <v>3.8580246913580245</v>
      </c>
      <c r="M163" s="21">
        <f>K163*L163</f>
        <v>109.37499999999999</v>
      </c>
      <c r="N163" s="22">
        <f>M163/1000</f>
        <v>0.10937499999999999</v>
      </c>
      <c r="O163" s="13" t="inlineStr">
        <is>
          <t>BBS</t>
        </is>
      </c>
    </row>
    <row r="164">
      <c r="A164" s="13" t="n">
        <v>159</v>
      </c>
      <c r="B164" s="13" t="inlineStr">
        <is>
          <t>Beams</t>
        </is>
      </c>
      <c r="C164" s="13" t="inlineStr">
        <is>
          <t>STR-087</t>
        </is>
      </c>
      <c r="D164" s="13" t="inlineStr">
        <is>
          <t>Ninth floor beams (2 of 2)</t>
        </is>
      </c>
      <c r="E164" s="19" t="inlineStr">
        <is>
          <t>2516</t>
        </is>
      </c>
      <c r="F164" s="19" t="n">
        <v>25</v>
      </c>
      <c r="G164" s="19" t="n">
        <v>1</v>
      </c>
      <c r="H164" s="19" t="n">
        <v>2</v>
      </c>
      <c r="I164" s="13">
        <f>G164*H164</f>
        <v>2.0</v>
      </c>
      <c r="J164" s="20">
        <f>11300/1000</f>
        <v>11.3</v>
      </c>
      <c r="K164" s="21">
        <f>I164*J164</f>
        <v>22.6</v>
      </c>
      <c r="L164" s="22">
        <f>F164^2/162</f>
        <v>3.8580246913580245</v>
      </c>
      <c r="M164" s="21">
        <f>K164*L164</f>
        <v>87.19135802469135</v>
      </c>
      <c r="N164" s="22">
        <f>M164/1000</f>
        <v>0.08719135802469136</v>
      </c>
      <c r="O164" s="13" t="inlineStr">
        <is>
          <t>BBS</t>
        </is>
      </c>
    </row>
    <row r="165">
      <c r="A165" s="13" t="n">
        <v>160</v>
      </c>
      <c r="B165" s="13" t="inlineStr">
        <is>
          <t>Beams</t>
        </is>
      </c>
      <c r="C165" s="13" t="inlineStr">
        <is>
          <t>STR-087</t>
        </is>
      </c>
      <c r="D165" s="13" t="inlineStr">
        <is>
          <t>Ninth floor beams (2 of 2)</t>
        </is>
      </c>
      <c r="E165" s="19" t="inlineStr">
        <is>
          <t>2517</t>
        </is>
      </c>
      <c r="F165" s="19" t="n">
        <v>25</v>
      </c>
      <c r="G165" s="19" t="n">
        <v>1</v>
      </c>
      <c r="H165" s="19" t="n">
        <v>2</v>
      </c>
      <c r="I165" s="13">
        <f>G165*H165</f>
        <v>2.0</v>
      </c>
      <c r="J165" s="20">
        <f>9350/1000</f>
        <v>9.35</v>
      </c>
      <c r="K165" s="21">
        <f>I165*J165</f>
        <v>18.7</v>
      </c>
      <c r="L165" s="22">
        <f>F165^2/162</f>
        <v>3.8580246913580245</v>
      </c>
      <c r="M165" s="21">
        <f>K165*L165</f>
        <v>72.14506172839505</v>
      </c>
      <c r="N165" s="22">
        <f>M165/1000</f>
        <v>0.07214506172839505</v>
      </c>
      <c r="O165" s="13" t="inlineStr">
        <is>
          <t>BBS</t>
        </is>
      </c>
    </row>
    <row r="166">
      <c r="A166" s="13" t="n">
        <v>161</v>
      </c>
      <c r="B166" s="13" t="inlineStr">
        <is>
          <t>Beams</t>
        </is>
      </c>
      <c r="C166" s="13" t="inlineStr">
        <is>
          <t>STR-087</t>
        </is>
      </c>
      <c r="D166" s="13" t="inlineStr">
        <is>
          <t>Ninth floor beams (2 of 2)</t>
        </is>
      </c>
      <c r="E166" s="19" t="inlineStr">
        <is>
          <t>2518</t>
        </is>
      </c>
      <c r="F166" s="19" t="n">
        <v>25</v>
      </c>
      <c r="G166" s="19" t="n">
        <v>1</v>
      </c>
      <c r="H166" s="19" t="n">
        <v>3</v>
      </c>
      <c r="I166" s="13">
        <f>G166*H166</f>
        <v>3.0</v>
      </c>
      <c r="J166" s="20">
        <f>8250/1000</f>
        <v>8.25</v>
      </c>
      <c r="K166" s="21">
        <f>I166*J166</f>
        <v>24.75</v>
      </c>
      <c r="L166" s="22">
        <f>F166^2/162</f>
        <v>3.8580246913580245</v>
      </c>
      <c r="M166" s="21">
        <f>K166*L166</f>
        <v>95.4861111111111</v>
      </c>
      <c r="N166" s="22">
        <f>M166/1000</f>
        <v>0.0954861111111111</v>
      </c>
      <c r="O166" s="13" t="inlineStr">
        <is>
          <t>BBS</t>
        </is>
      </c>
    </row>
    <row r="167">
      <c r="A167" s="13" t="n">
        <v>162</v>
      </c>
      <c r="B167" s="13" t="inlineStr">
        <is>
          <t>Beams</t>
        </is>
      </c>
      <c r="C167" s="13" t="inlineStr">
        <is>
          <t>STR-087</t>
        </is>
      </c>
      <c r="D167" s="13" t="inlineStr">
        <is>
          <t>Ninth floor beams (2 of 2)</t>
        </is>
      </c>
      <c r="E167" s="19" t="inlineStr">
        <is>
          <t>2519</t>
        </is>
      </c>
      <c r="F167" s="19" t="n">
        <v>25</v>
      </c>
      <c r="G167" s="19" t="n">
        <v>1</v>
      </c>
      <c r="H167" s="19" t="n">
        <v>6</v>
      </c>
      <c r="I167" s="13">
        <f>G167*H167</f>
        <v>6.0</v>
      </c>
      <c r="J167" s="20">
        <f>9400/1000</f>
        <v>9.4</v>
      </c>
      <c r="K167" s="21">
        <f>I167*J167</f>
        <v>56.400000000000006</v>
      </c>
      <c r="L167" s="22">
        <f>F167^2/162</f>
        <v>3.8580246913580245</v>
      </c>
      <c r="M167" s="21">
        <f>K167*L167</f>
        <v>217.5925925925926</v>
      </c>
      <c r="N167" s="22">
        <f>M167/1000</f>
        <v>0.21759259259259262</v>
      </c>
      <c r="O167" s="13" t="inlineStr">
        <is>
          <t>BBS</t>
        </is>
      </c>
    </row>
    <row r="168">
      <c r="A168" s="13" t="n">
        <v>163</v>
      </c>
      <c r="B168" s="13" t="inlineStr">
        <is>
          <t>Beams</t>
        </is>
      </c>
      <c r="C168" s="13" t="inlineStr">
        <is>
          <t>STR-087</t>
        </is>
      </c>
      <c r="D168" s="13" t="inlineStr">
        <is>
          <t>Ninth floor beams (2 of 2)</t>
        </is>
      </c>
      <c r="E168" s="19" t="inlineStr">
        <is>
          <t>2520</t>
        </is>
      </c>
      <c r="F168" s="19" t="n">
        <v>25</v>
      </c>
      <c r="G168" s="19" t="n">
        <v>1</v>
      </c>
      <c r="H168" s="19" t="n">
        <v>3</v>
      </c>
      <c r="I168" s="13">
        <f>G168*H168</f>
        <v>3.0</v>
      </c>
      <c r="J168" s="20">
        <f>6350/1000</f>
        <v>6.35</v>
      </c>
      <c r="K168" s="21">
        <f>I168*J168</f>
        <v>19.049999999999997</v>
      </c>
      <c r="L168" s="22">
        <f>F168^2/162</f>
        <v>3.8580246913580245</v>
      </c>
      <c r="M168" s="21">
        <f>K168*L168</f>
        <v>73.49537037037035</v>
      </c>
      <c r="N168" s="22">
        <f>M168/1000</f>
        <v>0.07349537037037035</v>
      </c>
      <c r="O168" s="13" t="inlineStr">
        <is>
          <t>BBS</t>
        </is>
      </c>
    </row>
    <row r="169">
      <c r="A169" s="13" t="n">
        <v>164</v>
      </c>
      <c r="B169" s="13" t="inlineStr">
        <is>
          <t>Beams</t>
        </is>
      </c>
      <c r="C169" s="13" t="inlineStr">
        <is>
          <t>STR-087</t>
        </is>
      </c>
      <c r="D169" s="13" t="inlineStr">
        <is>
          <t>Ninth floor beams (2 of 2)</t>
        </is>
      </c>
      <c r="E169" s="19" t="inlineStr">
        <is>
          <t>2521</t>
        </is>
      </c>
      <c r="F169" s="19" t="n">
        <v>25</v>
      </c>
      <c r="G169" s="19" t="n">
        <v>1</v>
      </c>
      <c r="H169" s="19" t="n">
        <v>3</v>
      </c>
      <c r="I169" s="13">
        <f>G169*H169</f>
        <v>3.0</v>
      </c>
      <c r="J169" s="20">
        <f>8150/1000</f>
        <v>8.15</v>
      </c>
      <c r="K169" s="21">
        <f>I169*J169</f>
        <v>24.450000000000003</v>
      </c>
      <c r="L169" s="22">
        <f>F169^2/162</f>
        <v>3.8580246913580245</v>
      </c>
      <c r="M169" s="21">
        <f>K169*L169</f>
        <v>94.32870370370371</v>
      </c>
      <c r="N169" s="22">
        <f>M169/1000</f>
        <v>0.0943287037037037</v>
      </c>
      <c r="O169" s="13" t="inlineStr">
        <is>
          <t>BBS</t>
        </is>
      </c>
    </row>
    <row r="170">
      <c r="A170" s="13" t="n">
        <v>165</v>
      </c>
      <c r="B170" s="13" t="inlineStr">
        <is>
          <t>Beams</t>
        </is>
      </c>
      <c r="C170" s="13" t="inlineStr">
        <is>
          <t>STR-087</t>
        </is>
      </c>
      <c r="D170" s="13" t="inlineStr">
        <is>
          <t>Ninth floor beams (2 of 2)</t>
        </is>
      </c>
      <c r="E170" s="19" t="inlineStr">
        <is>
          <t>2522</t>
        </is>
      </c>
      <c r="F170" s="19" t="n">
        <v>25</v>
      </c>
      <c r="G170" s="19" t="n">
        <v>1</v>
      </c>
      <c r="H170" s="19" t="n">
        <v>3</v>
      </c>
      <c r="I170" s="13">
        <f>G170*H170</f>
        <v>3.0</v>
      </c>
      <c r="J170" s="20">
        <f>6250/1000</f>
        <v>6.25</v>
      </c>
      <c r="K170" s="21">
        <f>I170*J170</f>
        <v>18.75</v>
      </c>
      <c r="L170" s="22">
        <f>F170^2/162</f>
        <v>3.8580246913580245</v>
      </c>
      <c r="M170" s="21">
        <f>K170*L170</f>
        <v>72.33796296296296</v>
      </c>
      <c r="N170" s="22">
        <f>M170/1000</f>
        <v>0.07233796296296297</v>
      </c>
      <c r="O170" s="13" t="inlineStr">
        <is>
          <t>BBS</t>
        </is>
      </c>
    </row>
    <row r="171">
      <c r="A171" s="13" t="n">
        <v>166</v>
      </c>
      <c r="B171" s="13" t="inlineStr">
        <is>
          <t>Beams</t>
        </is>
      </c>
      <c r="C171" s="13" t="inlineStr">
        <is>
          <t>STR-087</t>
        </is>
      </c>
      <c r="D171" s="13" t="inlineStr">
        <is>
          <t>Ninth floor beams (2 of 2)</t>
        </is>
      </c>
      <c r="E171" s="19" t="inlineStr">
        <is>
          <t>2523</t>
        </is>
      </c>
      <c r="F171" s="19" t="n">
        <v>25</v>
      </c>
      <c r="G171" s="19" t="n">
        <v>1</v>
      </c>
      <c r="H171" s="19" t="n">
        <v>6</v>
      </c>
      <c r="I171" s="13">
        <f>G171*H171</f>
        <v>6.0</v>
      </c>
      <c r="J171" s="20">
        <f>3550/1000</f>
        <v>3.55</v>
      </c>
      <c r="K171" s="21">
        <f>I171*J171</f>
        <v>21.299999999999997</v>
      </c>
      <c r="L171" s="22">
        <f>F171^2/162</f>
        <v>3.8580246913580245</v>
      </c>
      <c r="M171" s="21">
        <f>K171*L171</f>
        <v>82.17592592592591</v>
      </c>
      <c r="N171" s="22">
        <f>M171/1000</f>
        <v>0.08217592592592592</v>
      </c>
      <c r="O171" s="13" t="inlineStr">
        <is>
          <t>BBS</t>
        </is>
      </c>
    </row>
    <row r="172">
      <c r="A172" s="13" t="n">
        <v>167</v>
      </c>
      <c r="B172" s="13" t="inlineStr">
        <is>
          <t>Beams</t>
        </is>
      </c>
      <c r="C172" s="13" t="inlineStr">
        <is>
          <t>STR-087</t>
        </is>
      </c>
      <c r="D172" s="13" t="inlineStr">
        <is>
          <t>Ninth floor beams (2 of 2)</t>
        </is>
      </c>
      <c r="E172" s="19" t="inlineStr">
        <is>
          <t>2524</t>
        </is>
      </c>
      <c r="F172" s="19" t="n">
        <v>25</v>
      </c>
      <c r="G172" s="19" t="n">
        <v>1</v>
      </c>
      <c r="H172" s="19" t="n">
        <v>3</v>
      </c>
      <c r="I172" s="13">
        <f>G172*H172</f>
        <v>3.0</v>
      </c>
      <c r="J172" s="20">
        <f>7750/1000</f>
        <v>7.75</v>
      </c>
      <c r="K172" s="21">
        <f>I172*J172</f>
        <v>23.25</v>
      </c>
      <c r="L172" s="22">
        <f>F172^2/162</f>
        <v>3.8580246913580245</v>
      </c>
      <c r="M172" s="21">
        <f>K172*L172</f>
        <v>89.69907407407408</v>
      </c>
      <c r="N172" s="22">
        <f>M172/1000</f>
        <v>0.08969907407407407</v>
      </c>
      <c r="O172" s="13" t="inlineStr">
        <is>
          <t>BBS</t>
        </is>
      </c>
    </row>
    <row r="173">
      <c r="A173" s="13" t="n">
        <v>168</v>
      </c>
      <c r="B173" s="13" t="inlineStr">
        <is>
          <t>Beams</t>
        </is>
      </c>
      <c r="C173" s="13" t="inlineStr">
        <is>
          <t>STR-087</t>
        </is>
      </c>
      <c r="D173" s="13" t="inlineStr">
        <is>
          <t>Ninth floor beams (2 of 2)</t>
        </is>
      </c>
      <c r="E173" s="19" t="inlineStr">
        <is>
          <t>2525</t>
        </is>
      </c>
      <c r="F173" s="19" t="n">
        <v>25</v>
      </c>
      <c r="G173" s="19" t="n">
        <v>1</v>
      </c>
      <c r="H173" s="19" t="n">
        <v>3</v>
      </c>
      <c r="I173" s="13">
        <f>G173*H173</f>
        <v>3.0</v>
      </c>
      <c r="J173" s="20">
        <f>6250/1000</f>
        <v>6.25</v>
      </c>
      <c r="K173" s="21">
        <f>I173*J173</f>
        <v>18.75</v>
      </c>
      <c r="L173" s="22">
        <f>F173^2/162</f>
        <v>3.8580246913580245</v>
      </c>
      <c r="M173" s="21">
        <f>K173*L173</f>
        <v>72.33796296296296</v>
      </c>
      <c r="N173" s="22">
        <f>M173/1000</f>
        <v>0.07233796296296297</v>
      </c>
      <c r="O173" s="13" t="inlineStr">
        <is>
          <t>BBS</t>
        </is>
      </c>
    </row>
    <row r="174">
      <c r="A174" s="13" t="n">
        <v>169</v>
      </c>
      <c r="B174" s="13" t="inlineStr">
        <is>
          <t>Beams</t>
        </is>
      </c>
      <c r="C174" s="13" t="inlineStr">
        <is>
          <t>STR-087</t>
        </is>
      </c>
      <c r="D174" s="13" t="inlineStr">
        <is>
          <t>Ninth floor beams (2 of 2)</t>
        </is>
      </c>
      <c r="E174" s="19" t="inlineStr">
        <is>
          <t>2526</t>
        </is>
      </c>
      <c r="F174" s="19" t="n">
        <v>25</v>
      </c>
      <c r="G174" s="19" t="n">
        <v>1</v>
      </c>
      <c r="H174" s="19" t="n">
        <v>3</v>
      </c>
      <c r="I174" s="13">
        <f>G174*H174</f>
        <v>3.0</v>
      </c>
      <c r="J174" s="20">
        <f>10450/1000</f>
        <v>10.45</v>
      </c>
      <c r="K174" s="21">
        <f>I174*J174</f>
        <v>31.349999999999998</v>
      </c>
      <c r="L174" s="22">
        <f>F174^2/162</f>
        <v>3.8580246913580245</v>
      </c>
      <c r="M174" s="21">
        <f>K174*L174</f>
        <v>120.94907407407406</v>
      </c>
      <c r="N174" s="22">
        <f>M174/1000</f>
        <v>0.12094907407407406</v>
      </c>
      <c r="O174" s="13" t="inlineStr">
        <is>
          <t>BBS</t>
        </is>
      </c>
    </row>
    <row r="175">
      <c r="A175" s="13" t="n">
        <v>170</v>
      </c>
      <c r="B175" s="13" t="inlineStr">
        <is>
          <t>Beams</t>
        </is>
      </c>
      <c r="C175" s="13" t="inlineStr">
        <is>
          <t>STR-087</t>
        </is>
      </c>
      <c r="D175" s="13" t="inlineStr">
        <is>
          <t>Ninth floor beams (2 of 2)</t>
        </is>
      </c>
      <c r="E175" s="19" t="inlineStr">
        <is>
          <t>2527</t>
        </is>
      </c>
      <c r="F175" s="19" t="n">
        <v>25</v>
      </c>
      <c r="G175" s="19" t="n">
        <v>1</v>
      </c>
      <c r="H175" s="19" t="n">
        <v>3</v>
      </c>
      <c r="I175" s="13">
        <f>G175*H175</f>
        <v>3.0</v>
      </c>
      <c r="J175" s="20">
        <f>11200/1000</f>
        <v>11.2</v>
      </c>
      <c r="K175" s="21">
        <f>I175*J175</f>
        <v>33.599999999999994</v>
      </c>
      <c r="L175" s="22">
        <f>F175^2/162</f>
        <v>3.8580246913580245</v>
      </c>
      <c r="M175" s="21">
        <f>K175*L175</f>
        <v>129.6296296296296</v>
      </c>
      <c r="N175" s="22">
        <f>M175/1000</f>
        <v>0.1296296296296296</v>
      </c>
      <c r="O175" s="13" t="inlineStr">
        <is>
          <t>BBS</t>
        </is>
      </c>
    </row>
    <row r="176">
      <c r="A176" s="13" t="n">
        <v>171</v>
      </c>
      <c r="B176" s="13" t="inlineStr">
        <is>
          <t>Beams</t>
        </is>
      </c>
      <c r="C176" s="13" t="inlineStr">
        <is>
          <t>STR-087</t>
        </is>
      </c>
      <c r="D176" s="13" t="inlineStr">
        <is>
          <t>Ninth floor beams (2 of 2)</t>
        </is>
      </c>
      <c r="E176" s="19" t="inlineStr">
        <is>
          <t>2528</t>
        </is>
      </c>
      <c r="F176" s="19" t="n">
        <v>25</v>
      </c>
      <c r="G176" s="19" t="n">
        <v>1</v>
      </c>
      <c r="H176" s="19" t="n">
        <v>3</v>
      </c>
      <c r="I176" s="13">
        <f>G176*H176</f>
        <v>3.0</v>
      </c>
      <c r="J176" s="20">
        <f>6325/1000</f>
        <v>6.325</v>
      </c>
      <c r="K176" s="21">
        <f>I176*J176</f>
        <v>18.975</v>
      </c>
      <c r="L176" s="22">
        <f>F176^2/162</f>
        <v>3.8580246913580245</v>
      </c>
      <c r="M176" s="21">
        <f>K176*L176</f>
        <v>73.20601851851852</v>
      </c>
      <c r="N176" s="22">
        <f>M176/1000</f>
        <v>0.07320601851851852</v>
      </c>
      <c r="O176" s="13" t="inlineStr">
        <is>
          <t>BBS</t>
        </is>
      </c>
    </row>
    <row r="177">
      <c r="A177" s="13" t="n">
        <v>172</v>
      </c>
      <c r="B177" s="13" t="inlineStr">
        <is>
          <t>Beams</t>
        </is>
      </c>
      <c r="C177" s="13" t="inlineStr">
        <is>
          <t>STR-087</t>
        </is>
      </c>
      <c r="D177" s="13" t="inlineStr">
        <is>
          <t>Ninth floor beams (2 of 2)</t>
        </is>
      </c>
      <c r="E177" s="19" t="inlineStr">
        <is>
          <t>2529</t>
        </is>
      </c>
      <c r="F177" s="19" t="n">
        <v>25</v>
      </c>
      <c r="G177" s="19" t="n">
        <v>1</v>
      </c>
      <c r="H177" s="19" t="n">
        <v>3</v>
      </c>
      <c r="I177" s="13">
        <f>G177*H177</f>
        <v>3.0</v>
      </c>
      <c r="J177" s="20">
        <f>8275/1000</f>
        <v>8.275</v>
      </c>
      <c r="K177" s="21">
        <f>I177*J177</f>
        <v>24.825000000000003</v>
      </c>
      <c r="L177" s="22">
        <f>F177^2/162</f>
        <v>3.8580246913580245</v>
      </c>
      <c r="M177" s="21">
        <f>K177*L177</f>
        <v>95.77546296296298</v>
      </c>
      <c r="N177" s="22">
        <f>M177/1000</f>
        <v>0.09577546296296298</v>
      </c>
      <c r="O177" s="13" t="inlineStr">
        <is>
          <t>BBS</t>
        </is>
      </c>
    </row>
    <row r="178">
      <c r="A178" s="13" t="n">
        <v>173</v>
      </c>
      <c r="B178" s="13" t="inlineStr">
        <is>
          <t>Beams</t>
        </is>
      </c>
      <c r="C178" s="13" t="inlineStr">
        <is>
          <t>STR-087</t>
        </is>
      </c>
      <c r="D178" s="13" t="inlineStr">
        <is>
          <t>Ninth floor beams (2 of 2)</t>
        </is>
      </c>
      <c r="E178" s="19" t="inlineStr">
        <is>
          <t>2530</t>
        </is>
      </c>
      <c r="F178" s="19" t="n">
        <v>25</v>
      </c>
      <c r="G178" s="19" t="n">
        <v>1</v>
      </c>
      <c r="H178" s="19" t="n">
        <v>6</v>
      </c>
      <c r="I178" s="13">
        <f>G178*H178</f>
        <v>6.0</v>
      </c>
      <c r="J178" s="20">
        <f>10175/1000</f>
        <v>10.175</v>
      </c>
      <c r="K178" s="21">
        <f>I178*J178</f>
        <v>61.050000000000004</v>
      </c>
      <c r="L178" s="22">
        <f>F178^2/162</f>
        <v>3.8580246913580245</v>
      </c>
      <c r="M178" s="21">
        <f>K178*L178</f>
        <v>235.53240740740742</v>
      </c>
      <c r="N178" s="22">
        <f>M178/1000</f>
        <v>0.2355324074074074</v>
      </c>
      <c r="O178" s="13" t="inlineStr">
        <is>
          <t>BBS</t>
        </is>
      </c>
    </row>
    <row r="179">
      <c r="A179" s="13" t="n">
        <v>174</v>
      </c>
      <c r="B179" s="13" t="inlineStr">
        <is>
          <t>Floor Slabs</t>
        </is>
      </c>
      <c r="C179" s="13" t="inlineStr">
        <is>
          <t>STR-088</t>
        </is>
      </c>
      <c r="D179" s="13" t="inlineStr">
        <is>
          <t>Ninth floor slab - bottom</t>
        </is>
      </c>
      <c r="E179" s="19" t="inlineStr">
        <is>
          <t>1201</t>
        </is>
      </c>
      <c r="F179" s="19" t="n">
        <v>12</v>
      </c>
      <c r="G179" s="19" t="n">
        <v>1</v>
      </c>
      <c r="H179" s="19" t="n">
        <v>306</v>
      </c>
      <c r="I179" s="13">
        <f>G179*H179</f>
        <v>306.0</v>
      </c>
      <c r="J179" s="20">
        <f>9900/1000</f>
        <v>9.9</v>
      </c>
      <c r="K179" s="21">
        <f>I179*J179</f>
        <v>3029.4</v>
      </c>
      <c r="L179" s="22">
        <f>F179^2/162</f>
        <v>0.8888888888888888</v>
      </c>
      <c r="M179" s="21">
        <f>K179*L179</f>
        <v>2692.7999999999997</v>
      </c>
      <c r="N179" s="22">
        <f>M179/1000</f>
        <v>2.6927999999999996</v>
      </c>
      <c r="O179" s="13" t="inlineStr">
        <is>
          <t>BBS</t>
        </is>
      </c>
    </row>
    <row r="180">
      <c r="A180" s="13" t="n">
        <v>175</v>
      </c>
      <c r="B180" s="13" t="inlineStr">
        <is>
          <t>Floor Slabs</t>
        </is>
      </c>
      <c r="C180" s="13" t="inlineStr">
        <is>
          <t>STR-088</t>
        </is>
      </c>
      <c r="D180" s="13" t="inlineStr">
        <is>
          <t>Ninth floor slab - bottom</t>
        </is>
      </c>
      <c r="E180" s="19" t="inlineStr">
        <is>
          <t>1202</t>
        </is>
      </c>
      <c r="F180" s="19" t="n">
        <v>12</v>
      </c>
      <c r="G180" s="19" t="n">
        <v>1</v>
      </c>
      <c r="H180" s="19" t="n">
        <v>349</v>
      </c>
      <c r="I180" s="13">
        <f>G180*H180</f>
        <v>349.0</v>
      </c>
      <c r="J180" s="20">
        <f>5500/1000</f>
        <v>5.5</v>
      </c>
      <c r="K180" s="21">
        <f>I180*J180</f>
        <v>1919.5</v>
      </c>
      <c r="L180" s="22">
        <f>F180^2/162</f>
        <v>0.8888888888888888</v>
      </c>
      <c r="M180" s="21">
        <f>K180*L180</f>
        <v>1706.2222222222222</v>
      </c>
      <c r="N180" s="22">
        <f>M180/1000</f>
        <v>1.706222222222222</v>
      </c>
      <c r="O180" s="13" t="inlineStr">
        <is>
          <t>BBS</t>
        </is>
      </c>
    </row>
    <row r="181">
      <c r="A181" s="13" t="n">
        <v>176</v>
      </c>
      <c r="B181" s="13" t="inlineStr">
        <is>
          <t>Floor Slabs</t>
        </is>
      </c>
      <c r="C181" s="13" t="inlineStr">
        <is>
          <t>STR-088</t>
        </is>
      </c>
      <c r="D181" s="13" t="inlineStr">
        <is>
          <t>Ninth floor slab - bottom</t>
        </is>
      </c>
      <c r="E181" s="19" t="inlineStr">
        <is>
          <t>1203</t>
        </is>
      </c>
      <c r="F181" s="19" t="n">
        <v>12</v>
      </c>
      <c r="G181" s="19" t="n">
        <v>1</v>
      </c>
      <c r="H181" s="19" t="n">
        <v>16</v>
      </c>
      <c r="I181" s="13">
        <f>G181*H181</f>
        <v>16.0</v>
      </c>
      <c r="J181" s="20">
        <f>4450/1000</f>
        <v>4.45</v>
      </c>
      <c r="K181" s="21">
        <f>I181*J181</f>
        <v>71.2</v>
      </c>
      <c r="L181" s="22">
        <f>F181^2/162</f>
        <v>0.8888888888888888</v>
      </c>
      <c r="M181" s="21">
        <f>K181*L181</f>
        <v>63.28888888888889</v>
      </c>
      <c r="N181" s="22">
        <f>M181/1000</f>
        <v>0.0632888888888889</v>
      </c>
      <c r="O181" s="13" t="inlineStr">
        <is>
          <t>BBS</t>
        </is>
      </c>
    </row>
    <row r="182">
      <c r="A182" s="13" t="n">
        <v>177</v>
      </c>
      <c r="B182" s="13" t="inlineStr">
        <is>
          <t>Floor Slabs</t>
        </is>
      </c>
      <c r="C182" s="13" t="inlineStr">
        <is>
          <t>STR-088</t>
        </is>
      </c>
      <c r="D182" s="13" t="inlineStr">
        <is>
          <t>Ninth floor slab - bottom</t>
        </is>
      </c>
      <c r="E182" s="19" t="inlineStr">
        <is>
          <t>1204</t>
        </is>
      </c>
      <c r="F182" s="19" t="n">
        <v>12</v>
      </c>
      <c r="G182" s="19" t="n">
        <v>1</v>
      </c>
      <c r="H182" s="19" t="n">
        <v>371</v>
      </c>
      <c r="I182" s="13">
        <f>G182*H182</f>
        <v>371.0</v>
      </c>
      <c r="J182" s="20">
        <f>9050/1000</f>
        <v>9.05</v>
      </c>
      <c r="K182" s="21">
        <f>I182*J182</f>
        <v>3357.55</v>
      </c>
      <c r="L182" s="22">
        <f>F182^2/162</f>
        <v>0.8888888888888888</v>
      </c>
      <c r="M182" s="21">
        <f>K182*L182</f>
        <v>2984.488888888889</v>
      </c>
      <c r="N182" s="22">
        <f>M182/1000</f>
        <v>2.984488888888889</v>
      </c>
      <c r="O182" s="13" t="inlineStr">
        <is>
          <t>BBS</t>
        </is>
      </c>
    </row>
    <row r="183">
      <c r="A183" s="13" t="n">
        <v>178</v>
      </c>
      <c r="B183" s="13" t="inlineStr">
        <is>
          <t>Floor Slabs</t>
        </is>
      </c>
      <c r="C183" s="13" t="inlineStr">
        <is>
          <t>STR-088</t>
        </is>
      </c>
      <c r="D183" s="13" t="inlineStr">
        <is>
          <t>Ninth floor slab - bottom</t>
        </is>
      </c>
      <c r="E183" s="19" t="inlineStr">
        <is>
          <t>1205</t>
        </is>
      </c>
      <c r="F183" s="19" t="n">
        <v>12</v>
      </c>
      <c r="G183" s="19" t="n">
        <v>1</v>
      </c>
      <c r="H183" s="19" t="n">
        <v>16</v>
      </c>
      <c r="I183" s="13">
        <f>G183*H183</f>
        <v>16.0</v>
      </c>
      <c r="J183" s="20">
        <f>3400/1000</f>
        <v>3.4</v>
      </c>
      <c r="K183" s="21">
        <f>I183*J183</f>
        <v>54.4</v>
      </c>
      <c r="L183" s="22">
        <f>F183^2/162</f>
        <v>0.8888888888888888</v>
      </c>
      <c r="M183" s="21">
        <f>K183*L183</f>
        <v>48.355555555555554</v>
      </c>
      <c r="N183" s="22">
        <f>M183/1000</f>
        <v>0.048355555555555554</v>
      </c>
      <c r="O183" s="13" t="inlineStr">
        <is>
          <t>BBS</t>
        </is>
      </c>
    </row>
    <row r="184">
      <c r="A184" s="13" t="n">
        <v>179</v>
      </c>
      <c r="B184" s="13" t="inlineStr">
        <is>
          <t>Floor Slabs</t>
        </is>
      </c>
      <c r="C184" s="13" t="inlineStr">
        <is>
          <t>STR-088</t>
        </is>
      </c>
      <c r="D184" s="13" t="inlineStr">
        <is>
          <t>Ninth floor slab - bottom</t>
        </is>
      </c>
      <c r="E184" s="19" t="inlineStr">
        <is>
          <t>1206</t>
        </is>
      </c>
      <c r="F184" s="19" t="n">
        <v>12</v>
      </c>
      <c r="G184" s="19" t="n">
        <v>1</v>
      </c>
      <c r="H184" s="19" t="n">
        <v>37</v>
      </c>
      <c r="I184" s="13">
        <f>G184*H184</f>
        <v>37.0</v>
      </c>
      <c r="J184" s="20">
        <f>4600/1000</f>
        <v>4.6</v>
      </c>
      <c r="K184" s="21">
        <f>I184*J184</f>
        <v>170.2</v>
      </c>
      <c r="L184" s="22">
        <f>F184^2/162</f>
        <v>0.8888888888888888</v>
      </c>
      <c r="M184" s="21">
        <f>K184*L184</f>
        <v>151.28888888888886</v>
      </c>
      <c r="N184" s="22">
        <f>M184/1000</f>
        <v>0.15128888888888886</v>
      </c>
      <c r="O184" s="13" t="inlineStr">
        <is>
          <t>BBS</t>
        </is>
      </c>
    </row>
    <row r="185">
      <c r="A185" s="13" t="n">
        <v>180</v>
      </c>
      <c r="B185" s="13" t="inlineStr">
        <is>
          <t>Floor Slabs</t>
        </is>
      </c>
      <c r="C185" s="13" t="inlineStr">
        <is>
          <t>STR-088</t>
        </is>
      </c>
      <c r="D185" s="13" t="inlineStr">
        <is>
          <t>Ninth floor slab - bottom</t>
        </is>
      </c>
      <c r="E185" s="19" t="inlineStr">
        <is>
          <t>1207</t>
        </is>
      </c>
      <c r="F185" s="19" t="n">
        <v>12</v>
      </c>
      <c r="G185" s="19" t="n">
        <v>1</v>
      </c>
      <c r="H185" s="19" t="n">
        <v>21</v>
      </c>
      <c r="I185" s="13">
        <f>G185*H185</f>
        <v>21.0</v>
      </c>
      <c r="J185" s="20">
        <f>4575/1000</f>
        <v>4.575</v>
      </c>
      <c r="K185" s="21">
        <f>I185*J185</f>
        <v>96.075</v>
      </c>
      <c r="L185" s="22">
        <f>F185^2/162</f>
        <v>0.8888888888888888</v>
      </c>
      <c r="M185" s="21">
        <f>K185*L185</f>
        <v>85.39999999999999</v>
      </c>
      <c r="N185" s="22">
        <f>M185/1000</f>
        <v>0.08539999999999999</v>
      </c>
      <c r="O185" s="13" t="inlineStr">
        <is>
          <t>BBS</t>
        </is>
      </c>
    </row>
    <row r="186">
      <c r="A186" s="13" t="n">
        <v>181</v>
      </c>
      <c r="B186" s="13" t="inlineStr">
        <is>
          <t>Floor Slabs</t>
        </is>
      </c>
      <c r="C186" s="13" t="inlineStr">
        <is>
          <t>STR-088</t>
        </is>
      </c>
      <c r="D186" s="13" t="inlineStr">
        <is>
          <t>Ninth floor slab - bottom</t>
        </is>
      </c>
      <c r="E186" s="19" t="inlineStr">
        <is>
          <t>1208</t>
        </is>
      </c>
      <c r="F186" s="19" t="n">
        <v>12</v>
      </c>
      <c r="G186" s="19" t="n">
        <v>1</v>
      </c>
      <c r="H186" s="19" t="n">
        <v>47</v>
      </c>
      <c r="I186" s="13">
        <f>G186*H186</f>
        <v>47.0</v>
      </c>
      <c r="J186" s="20">
        <f>5325/1000</f>
        <v>5.325</v>
      </c>
      <c r="K186" s="21">
        <f>I186*J186</f>
        <v>250.275</v>
      </c>
      <c r="L186" s="22">
        <f>F186^2/162</f>
        <v>0.8888888888888888</v>
      </c>
      <c r="M186" s="21">
        <f>K186*L186</f>
        <v>222.46666666666667</v>
      </c>
      <c r="N186" s="22">
        <f>M186/1000</f>
        <v>0.22246666666666667</v>
      </c>
      <c r="O186" s="13" t="inlineStr">
        <is>
          <t>BBS</t>
        </is>
      </c>
    </row>
    <row r="187">
      <c r="A187" s="13" t="n">
        <v>182</v>
      </c>
      <c r="B187" s="13" t="inlineStr">
        <is>
          <t>Floor Slabs</t>
        </is>
      </c>
      <c r="C187" s="13" t="inlineStr">
        <is>
          <t>STR-088</t>
        </is>
      </c>
      <c r="D187" s="13" t="inlineStr">
        <is>
          <t>Ninth floor slab - bottom</t>
        </is>
      </c>
      <c r="E187" s="19" t="inlineStr">
        <is>
          <t>1209</t>
        </is>
      </c>
      <c r="F187" s="19" t="n">
        <v>12</v>
      </c>
      <c r="G187" s="19" t="n">
        <v>1</v>
      </c>
      <c r="H187" s="19" t="n">
        <v>124</v>
      </c>
      <c r="I187" s="13">
        <f>G187*H187</f>
        <v>124.0</v>
      </c>
      <c r="J187" s="20">
        <f>8700/1000</f>
        <v>8.7</v>
      </c>
      <c r="K187" s="21">
        <f>I187*J187</f>
        <v>1078.8</v>
      </c>
      <c r="L187" s="22">
        <f>F187^2/162</f>
        <v>0.8888888888888888</v>
      </c>
      <c r="M187" s="21">
        <f>K187*L187</f>
        <v>958.9333333333333</v>
      </c>
      <c r="N187" s="22">
        <f>M187/1000</f>
        <v>0.9589333333333333</v>
      </c>
      <c r="O187" s="13" t="inlineStr">
        <is>
          <t>BBS</t>
        </is>
      </c>
    </row>
    <row r="188">
      <c r="A188" s="13" t="n">
        <v>183</v>
      </c>
      <c r="B188" s="13" t="inlineStr">
        <is>
          <t>Floor Slabs</t>
        </is>
      </c>
      <c r="C188" s="13" t="inlineStr">
        <is>
          <t>STR-088</t>
        </is>
      </c>
      <c r="D188" s="13" t="inlineStr">
        <is>
          <t>Ninth floor slab - bottom</t>
        </is>
      </c>
      <c r="E188" s="19" t="inlineStr">
        <is>
          <t>1210</t>
        </is>
      </c>
      <c r="F188" s="19" t="n">
        <v>12</v>
      </c>
      <c r="G188" s="19" t="n">
        <v>1</v>
      </c>
      <c r="H188" s="19" t="n">
        <v>80</v>
      </c>
      <c r="I188" s="13">
        <f>G188*H188</f>
        <v>80.0</v>
      </c>
      <c r="J188" s="20">
        <f>9050/1000</f>
        <v>9.05</v>
      </c>
      <c r="K188" s="21">
        <f>I188*J188</f>
        <v>724.0</v>
      </c>
      <c r="L188" s="22">
        <f>F188^2/162</f>
        <v>0.8888888888888888</v>
      </c>
      <c r="M188" s="21">
        <f>K188*L188</f>
        <v>643.5555555555555</v>
      </c>
      <c r="N188" s="22">
        <f>M188/1000</f>
        <v>0.6435555555555555</v>
      </c>
      <c r="O188" s="13" t="inlineStr">
        <is>
          <t>BBS</t>
        </is>
      </c>
    </row>
    <row r="189">
      <c r="A189" s="13" t="n">
        <v>184</v>
      </c>
      <c r="B189" s="13" t="inlineStr">
        <is>
          <t>Floor Slabs</t>
        </is>
      </c>
      <c r="C189" s="13" t="inlineStr">
        <is>
          <t>STR-088</t>
        </is>
      </c>
      <c r="D189" s="13" t="inlineStr">
        <is>
          <t>Ninth floor slab - bottom</t>
        </is>
      </c>
      <c r="E189" s="19" t="inlineStr">
        <is>
          <t>1211</t>
        </is>
      </c>
      <c r="F189" s="19" t="n">
        <v>12</v>
      </c>
      <c r="G189" s="19" t="n">
        <v>1</v>
      </c>
      <c r="H189" s="19" t="n">
        <v>15</v>
      </c>
      <c r="I189" s="13">
        <f>G189*H189</f>
        <v>15.0</v>
      </c>
      <c r="J189" s="20">
        <f>8650/1000</f>
        <v>8.65</v>
      </c>
      <c r="K189" s="21">
        <f>I189*J189</f>
        <v>129.75</v>
      </c>
      <c r="L189" s="22">
        <f>F189^2/162</f>
        <v>0.8888888888888888</v>
      </c>
      <c r="M189" s="21">
        <f>K189*L189</f>
        <v>115.33333333333333</v>
      </c>
      <c r="N189" s="22">
        <f>M189/1000</f>
        <v>0.11533333333333333</v>
      </c>
      <c r="O189" s="13" t="inlineStr">
        <is>
          <t>BBS</t>
        </is>
      </c>
    </row>
    <row r="190">
      <c r="A190" s="13" t="n">
        <v>185</v>
      </c>
      <c r="B190" s="13" t="inlineStr">
        <is>
          <t>Floor Slabs</t>
        </is>
      </c>
      <c r="C190" s="13" t="inlineStr">
        <is>
          <t>STR-088</t>
        </is>
      </c>
      <c r="D190" s="13" t="inlineStr">
        <is>
          <t>Ninth floor slab - bottom</t>
        </is>
      </c>
      <c r="E190" s="19" t="inlineStr">
        <is>
          <t>1212</t>
        </is>
      </c>
      <c r="F190" s="19" t="n">
        <v>12</v>
      </c>
      <c r="G190" s="19" t="n">
        <v>1</v>
      </c>
      <c r="H190" s="19" t="n">
        <v>23</v>
      </c>
      <c r="I190" s="13">
        <f>G190*H190</f>
        <v>23.0</v>
      </c>
      <c r="J190" s="20">
        <f>8750/1000</f>
        <v>8.75</v>
      </c>
      <c r="K190" s="21">
        <f>I190*J190</f>
        <v>201.25</v>
      </c>
      <c r="L190" s="22">
        <f>F190^2/162</f>
        <v>0.8888888888888888</v>
      </c>
      <c r="M190" s="21">
        <f>K190*L190</f>
        <v>178.88888888888889</v>
      </c>
      <c r="N190" s="22">
        <f>M190/1000</f>
        <v>0.17888888888888888</v>
      </c>
      <c r="O190" s="13" t="inlineStr">
        <is>
          <t>BBS</t>
        </is>
      </c>
    </row>
    <row r="191">
      <c r="A191" s="13" t="n">
        <v>186</v>
      </c>
      <c r="B191" s="13" t="inlineStr">
        <is>
          <t>Floor Slabs</t>
        </is>
      </c>
      <c r="C191" s="13" t="inlineStr">
        <is>
          <t>STR-088</t>
        </is>
      </c>
      <c r="D191" s="13" t="inlineStr">
        <is>
          <t>Ninth floor slab - bottom</t>
        </is>
      </c>
      <c r="E191" s="19" t="inlineStr">
        <is>
          <t>1213</t>
        </is>
      </c>
      <c r="F191" s="19" t="n">
        <v>12</v>
      </c>
      <c r="G191" s="19" t="n">
        <v>1</v>
      </c>
      <c r="H191" s="19" t="n">
        <v>31</v>
      </c>
      <c r="I191" s="13">
        <f>G191*H191</f>
        <v>31.0</v>
      </c>
      <c r="J191" s="20">
        <f>8700/1000</f>
        <v>8.7</v>
      </c>
      <c r="K191" s="21">
        <f>I191*J191</f>
        <v>269.7</v>
      </c>
      <c r="L191" s="22">
        <f>F191^2/162</f>
        <v>0.8888888888888888</v>
      </c>
      <c r="M191" s="21">
        <f>K191*L191</f>
        <v>239.73333333333332</v>
      </c>
      <c r="N191" s="22">
        <f>M191/1000</f>
        <v>0.23973333333333333</v>
      </c>
      <c r="O191" s="13" t="inlineStr">
        <is>
          <t>BBS</t>
        </is>
      </c>
    </row>
    <row r="192">
      <c r="A192" s="13" t="n">
        <v>187</v>
      </c>
      <c r="B192" s="13" t="inlineStr">
        <is>
          <t>Floor Slabs</t>
        </is>
      </c>
      <c r="C192" s="13" t="inlineStr">
        <is>
          <t>STR-088</t>
        </is>
      </c>
      <c r="D192" s="13" t="inlineStr">
        <is>
          <t>Ninth floor slab - bottom</t>
        </is>
      </c>
      <c r="E192" s="19" t="inlineStr">
        <is>
          <t>1214</t>
        </is>
      </c>
      <c r="F192" s="19" t="n">
        <v>12</v>
      </c>
      <c r="G192" s="19" t="n">
        <v>1</v>
      </c>
      <c r="H192" s="19" t="n">
        <v>7</v>
      </c>
      <c r="I192" s="13">
        <f>G192*H192</f>
        <v>7.0</v>
      </c>
      <c r="J192" s="20">
        <f>10000/1000</f>
        <v>10.0</v>
      </c>
      <c r="K192" s="21">
        <f>I192*J192</f>
        <v>70.0</v>
      </c>
      <c r="L192" s="22">
        <f>F192^2/162</f>
        <v>0.8888888888888888</v>
      </c>
      <c r="M192" s="21">
        <f>K192*L192</f>
        <v>62.22222222222222</v>
      </c>
      <c r="N192" s="22">
        <f>M192/1000</f>
        <v>0.06222222222222222</v>
      </c>
      <c r="O192" s="13" t="inlineStr">
        <is>
          <t>BBS</t>
        </is>
      </c>
    </row>
    <row r="193">
      <c r="A193" s="13" t="n">
        <v>188</v>
      </c>
      <c r="B193" s="13" t="inlineStr">
        <is>
          <t>Floor Slabs</t>
        </is>
      </c>
      <c r="C193" s="13" t="inlineStr">
        <is>
          <t>STR-088</t>
        </is>
      </c>
      <c r="D193" s="13" t="inlineStr">
        <is>
          <t>Ninth floor slab - bottom</t>
        </is>
      </c>
      <c r="E193" s="19" t="inlineStr">
        <is>
          <t>1215</t>
        </is>
      </c>
      <c r="F193" s="19" t="n">
        <v>12</v>
      </c>
      <c r="G193" s="19" t="n">
        <v>1</v>
      </c>
      <c r="H193" s="19" t="n">
        <v>202</v>
      </c>
      <c r="I193" s="13">
        <f>G193*H193</f>
        <v>202.0</v>
      </c>
      <c r="J193" s="20">
        <f>10000/1000</f>
        <v>10.0</v>
      </c>
      <c r="K193" s="21">
        <f>I193*J193</f>
        <v>2020.0</v>
      </c>
      <c r="L193" s="22">
        <f>F193^2/162</f>
        <v>0.8888888888888888</v>
      </c>
      <c r="M193" s="21">
        <f>K193*L193</f>
        <v>1795.5555555555554</v>
      </c>
      <c r="N193" s="22">
        <f>M193/1000</f>
        <v>1.7955555555555553</v>
      </c>
      <c r="O193" s="13" t="inlineStr">
        <is>
          <t>BBS</t>
        </is>
      </c>
    </row>
    <row r="194">
      <c r="A194" s="13" t="n">
        <v>189</v>
      </c>
      <c r="B194" s="13" t="inlineStr">
        <is>
          <t>Floor Slabs</t>
        </is>
      </c>
      <c r="C194" s="13" t="inlineStr">
        <is>
          <t>STR-088</t>
        </is>
      </c>
      <c r="D194" s="13" t="inlineStr">
        <is>
          <t>Ninth floor slab - bottom</t>
        </is>
      </c>
      <c r="E194" s="19" t="inlineStr">
        <is>
          <t>1216</t>
        </is>
      </c>
      <c r="F194" s="19" t="n">
        <v>12</v>
      </c>
      <c r="G194" s="19" t="n">
        <v>1</v>
      </c>
      <c r="H194" s="19" t="n">
        <v>162</v>
      </c>
      <c r="I194" s="13">
        <f>G194*H194</f>
        <v>162.0</v>
      </c>
      <c r="J194" s="20">
        <f>9550/1000</f>
        <v>9.55</v>
      </c>
      <c r="K194" s="21">
        <f>I194*J194</f>
        <v>1547.1000000000001</v>
      </c>
      <c r="L194" s="22">
        <f>F194^2/162</f>
        <v>0.8888888888888888</v>
      </c>
      <c r="M194" s="21">
        <f>K194*L194</f>
        <v>1375.2</v>
      </c>
      <c r="N194" s="22">
        <f>M194/1000</f>
        <v>1.3752</v>
      </c>
      <c r="O194" s="13" t="inlineStr">
        <is>
          <t>BBS</t>
        </is>
      </c>
    </row>
    <row r="195">
      <c r="A195" s="13" t="n">
        <v>190</v>
      </c>
      <c r="B195" s="13" t="inlineStr">
        <is>
          <t>Floor Slabs</t>
        </is>
      </c>
      <c r="C195" s="13" t="inlineStr">
        <is>
          <t>STR-088</t>
        </is>
      </c>
      <c r="D195" s="13" t="inlineStr">
        <is>
          <t>Ninth floor slab - bottom</t>
        </is>
      </c>
      <c r="E195" s="19" t="inlineStr">
        <is>
          <t>1217</t>
        </is>
      </c>
      <c r="F195" s="19" t="n">
        <v>12</v>
      </c>
      <c r="G195" s="19" t="n">
        <v>1</v>
      </c>
      <c r="H195" s="19" t="n">
        <v>31</v>
      </c>
      <c r="I195" s="13">
        <f>G195*H195</f>
        <v>31.0</v>
      </c>
      <c r="J195" s="20">
        <f>7250/1000</f>
        <v>7.25</v>
      </c>
      <c r="K195" s="21">
        <f>I195*J195</f>
        <v>224.75</v>
      </c>
      <c r="L195" s="22">
        <f>F195^2/162</f>
        <v>0.8888888888888888</v>
      </c>
      <c r="M195" s="21">
        <f>K195*L195</f>
        <v>199.77777777777777</v>
      </c>
      <c r="N195" s="22">
        <f>M195/1000</f>
        <v>0.19977777777777778</v>
      </c>
      <c r="O195" s="13" t="inlineStr">
        <is>
          <t>BBS</t>
        </is>
      </c>
    </row>
    <row r="196">
      <c r="A196" s="13" t="n">
        <v>191</v>
      </c>
      <c r="B196" s="13" t="inlineStr">
        <is>
          <t>Floor Slabs</t>
        </is>
      </c>
      <c r="C196" s="13" t="inlineStr">
        <is>
          <t>STR-088</t>
        </is>
      </c>
      <c r="D196" s="13" t="inlineStr">
        <is>
          <t>Ninth floor slab - bottom</t>
        </is>
      </c>
      <c r="E196" s="19" t="inlineStr">
        <is>
          <t>1218</t>
        </is>
      </c>
      <c r="F196" s="19" t="n">
        <v>12</v>
      </c>
      <c r="G196" s="19" t="n">
        <v>1</v>
      </c>
      <c r="H196" s="19" t="n">
        <v>205</v>
      </c>
      <c r="I196" s="13">
        <f>G196*H196</f>
        <v>205.0</v>
      </c>
      <c r="J196" s="20">
        <f>7775/1000</f>
        <v>7.775</v>
      </c>
      <c r="K196" s="21">
        <f>I196*J196</f>
        <v>1593.875</v>
      </c>
      <c r="L196" s="22">
        <f>F196^2/162</f>
        <v>0.8888888888888888</v>
      </c>
      <c r="M196" s="21">
        <f>K196*L196</f>
        <v>1416.7777777777776</v>
      </c>
      <c r="N196" s="22">
        <f>M196/1000</f>
        <v>1.4167777777777777</v>
      </c>
      <c r="O196" s="13" t="inlineStr">
        <is>
          <t>BBS</t>
        </is>
      </c>
    </row>
    <row r="197">
      <c r="A197" s="13" t="n">
        <v>192</v>
      </c>
      <c r="B197" s="13" t="inlineStr">
        <is>
          <t>Floor Slabs</t>
        </is>
      </c>
      <c r="C197" s="13" t="inlineStr">
        <is>
          <t>STR-088</t>
        </is>
      </c>
      <c r="D197" s="13" t="inlineStr">
        <is>
          <t>Ninth floor slab - bottom</t>
        </is>
      </c>
      <c r="E197" s="19" t="inlineStr">
        <is>
          <t>1219</t>
        </is>
      </c>
      <c r="F197" s="19" t="n">
        <v>12</v>
      </c>
      <c r="G197" s="19" t="n">
        <v>1</v>
      </c>
      <c r="H197" s="19" t="n">
        <v>44</v>
      </c>
      <c r="I197" s="13">
        <f>G197*H197</f>
        <v>44.0</v>
      </c>
      <c r="J197" s="20">
        <f>8000/1000</f>
        <v>8.0</v>
      </c>
      <c r="K197" s="21">
        <f>I197*J197</f>
        <v>352.0</v>
      </c>
      <c r="L197" s="22">
        <f>F197^2/162</f>
        <v>0.8888888888888888</v>
      </c>
      <c r="M197" s="21">
        <f>K197*L197</f>
        <v>312.88888888888886</v>
      </c>
      <c r="N197" s="22">
        <f>M197/1000</f>
        <v>0.3128888888888889</v>
      </c>
      <c r="O197" s="13" t="inlineStr">
        <is>
          <t>BBS</t>
        </is>
      </c>
    </row>
    <row r="198">
      <c r="A198" s="13" t="n">
        <v>193</v>
      </c>
      <c r="B198" s="13" t="inlineStr">
        <is>
          <t>Floor Slabs</t>
        </is>
      </c>
      <c r="C198" s="13" t="inlineStr">
        <is>
          <t>STR-088</t>
        </is>
      </c>
      <c r="D198" s="13" t="inlineStr">
        <is>
          <t>Ninth floor slab - bottom</t>
        </is>
      </c>
      <c r="E198" s="19" t="inlineStr">
        <is>
          <t>1220</t>
        </is>
      </c>
      <c r="F198" s="19" t="n">
        <v>12</v>
      </c>
      <c r="G198" s="19" t="n">
        <v>1</v>
      </c>
      <c r="H198" s="19" t="n">
        <v>23</v>
      </c>
      <c r="I198" s="13">
        <f>G198*H198</f>
        <v>23.0</v>
      </c>
      <c r="J198" s="20">
        <f>12000/1000</f>
        <v>12.0</v>
      </c>
      <c r="K198" s="21">
        <f>I198*J198</f>
        <v>276.0</v>
      </c>
      <c r="L198" s="22">
        <f>F198^2/162</f>
        <v>0.8888888888888888</v>
      </c>
      <c r="M198" s="21">
        <f>K198*L198</f>
        <v>245.33333333333331</v>
      </c>
      <c r="N198" s="22">
        <f>M198/1000</f>
        <v>0.24533333333333332</v>
      </c>
      <c r="O198" s="13" t="inlineStr">
        <is>
          <t>BBS</t>
        </is>
      </c>
    </row>
    <row r="199">
      <c r="A199" s="13" t="n">
        <v>194</v>
      </c>
      <c r="B199" s="13" t="inlineStr">
        <is>
          <t>Floor Slabs</t>
        </is>
      </c>
      <c r="C199" s="13" t="inlineStr">
        <is>
          <t>STR-088</t>
        </is>
      </c>
      <c r="D199" s="13" t="inlineStr">
        <is>
          <t>Ninth floor slab - bottom</t>
        </is>
      </c>
      <c r="E199" s="19" t="inlineStr">
        <is>
          <t>1221</t>
        </is>
      </c>
      <c r="F199" s="19" t="n">
        <v>12</v>
      </c>
      <c r="G199" s="19" t="n">
        <v>1</v>
      </c>
      <c r="H199" s="19" t="n">
        <v>212</v>
      </c>
      <c r="I199" s="13">
        <f>G199*H199</f>
        <v>212.0</v>
      </c>
      <c r="J199" s="20">
        <f>6000/1000</f>
        <v>6.0</v>
      </c>
      <c r="K199" s="21">
        <f>I199*J199</f>
        <v>1272.0</v>
      </c>
      <c r="L199" s="22">
        <f>F199^2/162</f>
        <v>0.8888888888888888</v>
      </c>
      <c r="M199" s="21">
        <f>K199*L199</f>
        <v>1130.6666666666665</v>
      </c>
      <c r="N199" s="22">
        <f>M199/1000</f>
        <v>1.1306666666666665</v>
      </c>
      <c r="O199" s="13" t="inlineStr">
        <is>
          <t>BBS</t>
        </is>
      </c>
    </row>
    <row r="200">
      <c r="A200" s="13" t="n">
        <v>195</v>
      </c>
      <c r="B200" s="13" t="inlineStr">
        <is>
          <t>Floor Slabs</t>
        </is>
      </c>
      <c r="C200" s="13" t="inlineStr">
        <is>
          <t>STR-088</t>
        </is>
      </c>
      <c r="D200" s="13" t="inlineStr">
        <is>
          <t>Ninth floor slab - bottom</t>
        </is>
      </c>
      <c r="E200" s="19" t="inlineStr">
        <is>
          <t>1222</t>
        </is>
      </c>
      <c r="F200" s="19" t="n">
        <v>12</v>
      </c>
      <c r="G200" s="19" t="n">
        <v>1</v>
      </c>
      <c r="H200" s="19" t="n">
        <v>13</v>
      </c>
      <c r="I200" s="13">
        <f>G200*H200</f>
        <v>13.0</v>
      </c>
      <c r="J200" s="20">
        <f>7325/1000</f>
        <v>7.325</v>
      </c>
      <c r="K200" s="21">
        <f>I200*J200</f>
        <v>95.22500000000001</v>
      </c>
      <c r="L200" s="22">
        <f>F200^2/162</f>
        <v>0.8888888888888888</v>
      </c>
      <c r="M200" s="21">
        <f>K200*L200</f>
        <v>84.64444444444445</v>
      </c>
      <c r="N200" s="22">
        <f>M200/1000</f>
        <v>0.08464444444444444</v>
      </c>
      <c r="O200" s="13" t="inlineStr">
        <is>
          <t>BBS</t>
        </is>
      </c>
    </row>
    <row r="201">
      <c r="A201" s="13" t="n">
        <v>196</v>
      </c>
      <c r="B201" s="13" t="inlineStr">
        <is>
          <t>Floor Slabs</t>
        </is>
      </c>
      <c r="C201" s="13" t="inlineStr">
        <is>
          <t>STR-088</t>
        </is>
      </c>
      <c r="D201" s="13" t="inlineStr">
        <is>
          <t>Ninth floor slab - bottom</t>
        </is>
      </c>
      <c r="E201" s="19" t="inlineStr">
        <is>
          <t>1223</t>
        </is>
      </c>
      <c r="F201" s="19" t="n">
        <v>12</v>
      </c>
      <c r="G201" s="19" t="n">
        <v>1</v>
      </c>
      <c r="H201" s="19" t="n">
        <v>149</v>
      </c>
      <c r="I201" s="13">
        <f>G201*H201</f>
        <v>149.0</v>
      </c>
      <c r="J201" s="20">
        <f>12000/1000</f>
        <v>12.0</v>
      </c>
      <c r="K201" s="21">
        <f>I201*J201</f>
        <v>1788.0</v>
      </c>
      <c r="L201" s="22">
        <f>F201^2/162</f>
        <v>0.8888888888888888</v>
      </c>
      <c r="M201" s="21">
        <f>K201*L201</f>
        <v>1589.3333333333333</v>
      </c>
      <c r="N201" s="22">
        <f>M201/1000</f>
        <v>1.5893333333333333</v>
      </c>
      <c r="O201" s="13" t="inlineStr">
        <is>
          <t>BBS</t>
        </is>
      </c>
    </row>
    <row r="202">
      <c r="A202" s="13" t="n">
        <v>197</v>
      </c>
      <c r="B202" s="13" t="inlineStr">
        <is>
          <t>Floor Slabs</t>
        </is>
      </c>
      <c r="C202" s="13" t="inlineStr">
        <is>
          <t>STR-088</t>
        </is>
      </c>
      <c r="D202" s="13" t="inlineStr">
        <is>
          <t>Ninth floor slab - bottom</t>
        </is>
      </c>
      <c r="E202" s="19" t="inlineStr">
        <is>
          <t>1224</t>
        </is>
      </c>
      <c r="F202" s="19" t="n">
        <v>12</v>
      </c>
      <c r="G202" s="19" t="n">
        <v>1</v>
      </c>
      <c r="H202" s="19" t="n">
        <v>85</v>
      </c>
      <c r="I202" s="13">
        <f>G202*H202</f>
        <v>85.0</v>
      </c>
      <c r="J202" s="20">
        <f>7375/1000</f>
        <v>7.375</v>
      </c>
      <c r="K202" s="21">
        <f>I202*J202</f>
        <v>626.875</v>
      </c>
      <c r="L202" s="22">
        <f>F202^2/162</f>
        <v>0.8888888888888888</v>
      </c>
      <c r="M202" s="21">
        <f>K202*L202</f>
        <v>557.2222222222222</v>
      </c>
      <c r="N202" s="22">
        <f>M202/1000</f>
        <v>0.5572222222222222</v>
      </c>
      <c r="O202" s="13" t="inlineStr">
        <is>
          <t>BBS</t>
        </is>
      </c>
    </row>
    <row r="203">
      <c r="A203" s="13" t="n">
        <v>198</v>
      </c>
      <c r="B203" s="13" t="inlineStr">
        <is>
          <t>Floor Slabs</t>
        </is>
      </c>
      <c r="C203" s="13" t="inlineStr">
        <is>
          <t>STR-088</t>
        </is>
      </c>
      <c r="D203" s="13" t="inlineStr">
        <is>
          <t>Ninth floor slab - bottom</t>
        </is>
      </c>
      <c r="E203" s="19" t="inlineStr">
        <is>
          <t>1225</t>
        </is>
      </c>
      <c r="F203" s="19" t="n">
        <v>12</v>
      </c>
      <c r="G203" s="19" t="n">
        <v>1</v>
      </c>
      <c r="H203" s="19" t="n">
        <v>13</v>
      </c>
      <c r="I203" s="13">
        <f>G203*H203</f>
        <v>13.0</v>
      </c>
      <c r="J203" s="20">
        <f>3950/1000</f>
        <v>3.95</v>
      </c>
      <c r="K203" s="21">
        <f>I203*J203</f>
        <v>51.35</v>
      </c>
      <c r="L203" s="22">
        <f>F203^2/162</f>
        <v>0.8888888888888888</v>
      </c>
      <c r="M203" s="21">
        <f>K203*L203</f>
        <v>45.644444444444446</v>
      </c>
      <c r="N203" s="22">
        <f>M203/1000</f>
        <v>0.045644444444444446</v>
      </c>
      <c r="O203" s="13" t="inlineStr">
        <is>
          <t>BBS</t>
        </is>
      </c>
    </row>
    <row r="204">
      <c r="A204" s="13" t="n">
        <v>199</v>
      </c>
      <c r="B204" s="13" t="inlineStr">
        <is>
          <t>Floor Slabs</t>
        </is>
      </c>
      <c r="C204" s="13" t="inlineStr">
        <is>
          <t>STR-088</t>
        </is>
      </c>
      <c r="D204" s="13" t="inlineStr">
        <is>
          <t>Ninth floor slab - bottom</t>
        </is>
      </c>
      <c r="E204" s="19" t="inlineStr">
        <is>
          <t>1226</t>
        </is>
      </c>
      <c r="F204" s="19" t="n">
        <v>12</v>
      </c>
      <c r="G204" s="19" t="n">
        <v>1</v>
      </c>
      <c r="H204" s="19" t="n">
        <v>357</v>
      </c>
      <c r="I204" s="13">
        <f>G204*H204</f>
        <v>357.0</v>
      </c>
      <c r="J204" s="20">
        <f>6200/1000</f>
        <v>6.2</v>
      </c>
      <c r="K204" s="21">
        <f>I204*J204</f>
        <v>2213.4</v>
      </c>
      <c r="L204" s="22">
        <f>F204^2/162</f>
        <v>0.8888888888888888</v>
      </c>
      <c r="M204" s="21">
        <f>K204*L204</f>
        <v>1967.4666666666667</v>
      </c>
      <c r="N204" s="22">
        <f>M204/1000</f>
        <v>1.9674666666666667</v>
      </c>
      <c r="O204" s="13" t="inlineStr">
        <is>
          <t>BBS</t>
        </is>
      </c>
    </row>
    <row r="205">
      <c r="A205" s="13" t="n">
        <v>200</v>
      </c>
      <c r="B205" s="13" t="inlineStr">
        <is>
          <t>Floor Slabs</t>
        </is>
      </c>
      <c r="C205" s="13" t="inlineStr">
        <is>
          <t>STR-088</t>
        </is>
      </c>
      <c r="D205" s="13" t="inlineStr">
        <is>
          <t>Ninth floor slab - bottom</t>
        </is>
      </c>
      <c r="E205" s="19" t="inlineStr">
        <is>
          <t>1227</t>
        </is>
      </c>
      <c r="F205" s="19" t="n">
        <v>12</v>
      </c>
      <c r="G205" s="19" t="n">
        <v>1</v>
      </c>
      <c r="H205" s="19" t="n">
        <v>212</v>
      </c>
      <c r="I205" s="13">
        <f>G205*H205</f>
        <v>212.0</v>
      </c>
      <c r="J205" s="20">
        <f>9475/1000</f>
        <v>9.475</v>
      </c>
      <c r="K205" s="21">
        <f>I205*J205</f>
        <v>2008.6999999999998</v>
      </c>
      <c r="L205" s="22">
        <f>F205^2/162</f>
        <v>0.8888888888888888</v>
      </c>
      <c r="M205" s="21">
        <f>K205*L205</f>
        <v>1785.511111111111</v>
      </c>
      <c r="N205" s="22">
        <f>M205/1000</f>
        <v>1.785511111111111</v>
      </c>
      <c r="O205" s="13" t="inlineStr">
        <is>
          <t>BBS</t>
        </is>
      </c>
    </row>
    <row r="206">
      <c r="A206" s="13" t="n">
        <v>201</v>
      </c>
      <c r="B206" s="13" t="inlineStr">
        <is>
          <t>Floor Slabs</t>
        </is>
      </c>
      <c r="C206" s="13" t="inlineStr">
        <is>
          <t>STR-088</t>
        </is>
      </c>
      <c r="D206" s="13" t="inlineStr">
        <is>
          <t>Ninth floor slab - bottom</t>
        </is>
      </c>
      <c r="E206" s="19" t="inlineStr">
        <is>
          <t>1228</t>
        </is>
      </c>
      <c r="F206" s="19" t="n">
        <v>12</v>
      </c>
      <c r="G206" s="19" t="n">
        <v>1</v>
      </c>
      <c r="H206" s="19" t="n">
        <v>75</v>
      </c>
      <c r="I206" s="13">
        <f>G206*H206</f>
        <v>75.0</v>
      </c>
      <c r="J206" s="20">
        <f>7250/1000</f>
        <v>7.25</v>
      </c>
      <c r="K206" s="21">
        <f>I206*J206</f>
        <v>543.75</v>
      </c>
      <c r="L206" s="22">
        <f>F206^2/162</f>
        <v>0.8888888888888888</v>
      </c>
      <c r="M206" s="21">
        <f>K206*L206</f>
        <v>483.3333333333333</v>
      </c>
      <c r="N206" s="22">
        <f>M206/1000</f>
        <v>0.48333333333333334</v>
      </c>
      <c r="O206" s="13" t="inlineStr">
        <is>
          <t>BBS</t>
        </is>
      </c>
    </row>
    <row r="207">
      <c r="A207" s="13" t="n">
        <v>202</v>
      </c>
      <c r="B207" s="13" t="inlineStr">
        <is>
          <t>Floor Slabs</t>
        </is>
      </c>
      <c r="C207" s="13" t="inlineStr">
        <is>
          <t>STR-088</t>
        </is>
      </c>
      <c r="D207" s="13" t="inlineStr">
        <is>
          <t>Ninth floor slab - bottom</t>
        </is>
      </c>
      <c r="E207" s="19" t="inlineStr">
        <is>
          <t>1229</t>
        </is>
      </c>
      <c r="F207" s="19" t="n">
        <v>12</v>
      </c>
      <c r="G207" s="19" t="n">
        <v>1</v>
      </c>
      <c r="H207" s="19" t="n">
        <v>7</v>
      </c>
      <c r="I207" s="13">
        <f>G207*H207</f>
        <v>7.0</v>
      </c>
      <c r="J207" s="20">
        <f>4800/1000</f>
        <v>4.8</v>
      </c>
      <c r="K207" s="21">
        <f>I207*J207</f>
        <v>33.6</v>
      </c>
      <c r="L207" s="22">
        <f>F207^2/162</f>
        <v>0.8888888888888888</v>
      </c>
      <c r="M207" s="21">
        <f>K207*L207</f>
        <v>29.866666666666667</v>
      </c>
      <c r="N207" s="22">
        <f>M207/1000</f>
        <v>0.029866666666666666</v>
      </c>
      <c r="O207" s="13" t="inlineStr">
        <is>
          <t>BBS</t>
        </is>
      </c>
    </row>
    <row r="208">
      <c r="A208" s="13" t="n">
        <v>203</v>
      </c>
      <c r="B208" s="13" t="inlineStr">
        <is>
          <t>Floor Slabs</t>
        </is>
      </c>
      <c r="C208" s="13" t="inlineStr">
        <is>
          <t>STR-088</t>
        </is>
      </c>
      <c r="D208" s="13" t="inlineStr">
        <is>
          <t>Ninth floor slab - bottom</t>
        </is>
      </c>
      <c r="E208" s="19" t="inlineStr">
        <is>
          <t>1230</t>
        </is>
      </c>
      <c r="F208" s="19" t="n">
        <v>12</v>
      </c>
      <c r="G208" s="19" t="n">
        <v>1</v>
      </c>
      <c r="H208" s="19" t="n">
        <v>73</v>
      </c>
      <c r="I208" s="13">
        <f>G208*H208</f>
        <v>73.0</v>
      </c>
      <c r="J208" s="20">
        <f>7400/1000</f>
        <v>7.4</v>
      </c>
      <c r="K208" s="21">
        <f>I208*J208</f>
        <v>540.2</v>
      </c>
      <c r="L208" s="22">
        <f>F208^2/162</f>
        <v>0.8888888888888888</v>
      </c>
      <c r="M208" s="21">
        <f>K208*L208</f>
        <v>480.1777777777778</v>
      </c>
      <c r="N208" s="22">
        <f>M208/1000</f>
        <v>0.4801777777777778</v>
      </c>
      <c r="O208" s="13" t="inlineStr">
        <is>
          <t>BBS</t>
        </is>
      </c>
    </row>
    <row r="209">
      <c r="A209" s="13" t="n">
        <v>204</v>
      </c>
      <c r="B209" s="13" t="inlineStr">
        <is>
          <t>Floor Slabs</t>
        </is>
      </c>
      <c r="C209" s="13" t="inlineStr">
        <is>
          <t>STR-088</t>
        </is>
      </c>
      <c r="D209" s="13" t="inlineStr">
        <is>
          <t>Ninth floor slab - bottom</t>
        </is>
      </c>
      <c r="E209" s="19" t="inlineStr">
        <is>
          <t>1231</t>
        </is>
      </c>
      <c r="F209" s="19" t="n">
        <v>12</v>
      </c>
      <c r="G209" s="19" t="n">
        <v>1</v>
      </c>
      <c r="H209" s="19" t="n">
        <v>13</v>
      </c>
      <c r="I209" s="13">
        <f>G209*H209</f>
        <v>13.0</v>
      </c>
      <c r="J209" s="20">
        <f>6900/1000</f>
        <v>6.9</v>
      </c>
      <c r="K209" s="21">
        <f>I209*J209</f>
        <v>89.7</v>
      </c>
      <c r="L209" s="22">
        <f>F209^2/162</f>
        <v>0.8888888888888888</v>
      </c>
      <c r="M209" s="21">
        <f>K209*L209</f>
        <v>79.73333333333333</v>
      </c>
      <c r="N209" s="22">
        <f>M209/1000</f>
        <v>0.07973333333333334</v>
      </c>
      <c r="O209" s="13" t="inlineStr">
        <is>
          <t>BBS</t>
        </is>
      </c>
    </row>
    <row r="210">
      <c r="A210" s="13" t="n">
        <v>205</v>
      </c>
      <c r="B210" s="13" t="inlineStr">
        <is>
          <t>Floor Slabs</t>
        </is>
      </c>
      <c r="C210" s="13" t="inlineStr">
        <is>
          <t>STR-088</t>
        </is>
      </c>
      <c r="D210" s="13" t="inlineStr">
        <is>
          <t>Ninth floor slab - bottom</t>
        </is>
      </c>
      <c r="E210" s="19" t="inlineStr">
        <is>
          <t>1232</t>
        </is>
      </c>
      <c r="F210" s="19" t="n">
        <v>12</v>
      </c>
      <c r="G210" s="19" t="n">
        <v>1</v>
      </c>
      <c r="H210" s="19" t="n">
        <v>12</v>
      </c>
      <c r="I210" s="13">
        <f>G210*H210</f>
        <v>12.0</v>
      </c>
      <c r="J210" s="20">
        <f>5900/1000</f>
        <v>5.9</v>
      </c>
      <c r="K210" s="21">
        <f>I210*J210</f>
        <v>70.80000000000001</v>
      </c>
      <c r="L210" s="22">
        <f>F210^2/162</f>
        <v>0.8888888888888888</v>
      </c>
      <c r="M210" s="21">
        <f>K210*L210</f>
        <v>62.93333333333334</v>
      </c>
      <c r="N210" s="22">
        <f>M210/1000</f>
        <v>0.06293333333333334</v>
      </c>
      <c r="O210" s="13" t="inlineStr">
        <is>
          <t>BBS</t>
        </is>
      </c>
    </row>
    <row r="211">
      <c r="A211" s="13" t="n">
        <v>206</v>
      </c>
      <c r="B211" s="13" t="inlineStr">
        <is>
          <t>Floor Slabs</t>
        </is>
      </c>
      <c r="C211" s="13" t="inlineStr">
        <is>
          <t>STR-088</t>
        </is>
      </c>
      <c r="D211" s="13" t="inlineStr">
        <is>
          <t>Ninth floor slab - bottom</t>
        </is>
      </c>
      <c r="E211" s="19" t="inlineStr">
        <is>
          <t>1233</t>
        </is>
      </c>
      <c r="F211" s="19" t="n">
        <v>12</v>
      </c>
      <c r="G211" s="19" t="n">
        <v>1</v>
      </c>
      <c r="H211" s="19" t="n">
        <v>13</v>
      </c>
      <c r="I211" s="13">
        <f>G211*H211</f>
        <v>13.0</v>
      </c>
      <c r="J211" s="20">
        <f>4200/1000</f>
        <v>4.2</v>
      </c>
      <c r="K211" s="21">
        <f>I211*J211</f>
        <v>54.6</v>
      </c>
      <c r="L211" s="22">
        <f>F211^2/162</f>
        <v>0.8888888888888888</v>
      </c>
      <c r="M211" s="21">
        <f>K211*L211</f>
        <v>48.53333333333333</v>
      </c>
      <c r="N211" s="22">
        <f>M211/1000</f>
        <v>0.04853333333333333</v>
      </c>
      <c r="O211" s="13" t="inlineStr">
        <is>
          <t>BBS</t>
        </is>
      </c>
    </row>
    <row r="212">
      <c r="A212" s="13" t="n">
        <v>207</v>
      </c>
      <c r="B212" s="13" t="inlineStr">
        <is>
          <t>Floor Slabs</t>
        </is>
      </c>
      <c r="C212" s="13" t="inlineStr">
        <is>
          <t>STR-088</t>
        </is>
      </c>
      <c r="D212" s="13" t="inlineStr">
        <is>
          <t>Ninth floor slab - bottom</t>
        </is>
      </c>
      <c r="E212" s="19" t="inlineStr">
        <is>
          <t>1234</t>
        </is>
      </c>
      <c r="F212" s="19" t="n">
        <v>12</v>
      </c>
      <c r="G212" s="19" t="n">
        <v>1</v>
      </c>
      <c r="H212" s="19" t="n">
        <v>73</v>
      </c>
      <c r="I212" s="13">
        <f>G212*H212</f>
        <v>73.0</v>
      </c>
      <c r="J212" s="20">
        <f>6000/1000</f>
        <v>6.0</v>
      </c>
      <c r="K212" s="21">
        <f>I212*J212</f>
        <v>438.0</v>
      </c>
      <c r="L212" s="22">
        <f>F212^2/162</f>
        <v>0.8888888888888888</v>
      </c>
      <c r="M212" s="21">
        <f>K212*L212</f>
        <v>389.3333333333333</v>
      </c>
      <c r="N212" s="22">
        <f>M212/1000</f>
        <v>0.3893333333333333</v>
      </c>
      <c r="O212" s="13" t="inlineStr">
        <is>
          <t>BBS</t>
        </is>
      </c>
    </row>
    <row r="213">
      <c r="A213" s="13" t="n">
        <v>208</v>
      </c>
      <c r="B213" s="13" t="inlineStr">
        <is>
          <t>Floor Slabs</t>
        </is>
      </c>
      <c r="C213" s="13" t="inlineStr">
        <is>
          <t>STR-088</t>
        </is>
      </c>
      <c r="D213" s="13" t="inlineStr">
        <is>
          <t>Ninth floor slab - bottom</t>
        </is>
      </c>
      <c r="E213" s="19" t="inlineStr">
        <is>
          <t>1235</t>
        </is>
      </c>
      <c r="F213" s="19" t="n">
        <v>12</v>
      </c>
      <c r="G213" s="19" t="n">
        <v>1</v>
      </c>
      <c r="H213" s="19" t="n">
        <v>43</v>
      </c>
      <c r="I213" s="13">
        <f>G213*H213</f>
        <v>43.0</v>
      </c>
      <c r="J213" s="20">
        <f>11750/1000</f>
        <v>11.75</v>
      </c>
      <c r="K213" s="21">
        <f>I213*J213</f>
        <v>505.25</v>
      </c>
      <c r="L213" s="22">
        <f>F213^2/162</f>
        <v>0.8888888888888888</v>
      </c>
      <c r="M213" s="21">
        <f>K213*L213</f>
        <v>449.1111111111111</v>
      </c>
      <c r="N213" s="22">
        <f>M213/1000</f>
        <v>0.44911111111111107</v>
      </c>
      <c r="O213" s="13" t="inlineStr">
        <is>
          <t>BBS</t>
        </is>
      </c>
    </row>
    <row r="214">
      <c r="A214" s="13" t="n">
        <v>209</v>
      </c>
      <c r="B214" s="13" t="inlineStr">
        <is>
          <t>Floor Slabs</t>
        </is>
      </c>
      <c r="C214" s="13" t="inlineStr">
        <is>
          <t>STR-088</t>
        </is>
      </c>
      <c r="D214" s="13" t="inlineStr">
        <is>
          <t>Ninth floor slab - bottom</t>
        </is>
      </c>
      <c r="E214" s="19" t="inlineStr">
        <is>
          <t>1236</t>
        </is>
      </c>
      <c r="F214" s="19" t="n">
        <v>12</v>
      </c>
      <c r="G214" s="19" t="n">
        <v>1</v>
      </c>
      <c r="H214" s="19" t="n">
        <v>12</v>
      </c>
      <c r="I214" s="13">
        <f>G214*H214</f>
        <v>12.0</v>
      </c>
      <c r="J214" s="20">
        <f>8350/1000</f>
        <v>8.35</v>
      </c>
      <c r="K214" s="21">
        <f>I214*J214</f>
        <v>100.19999999999999</v>
      </c>
      <c r="L214" s="22">
        <f>F214^2/162</f>
        <v>0.8888888888888888</v>
      </c>
      <c r="M214" s="21">
        <f>K214*L214</f>
        <v>89.06666666666665</v>
      </c>
      <c r="N214" s="22">
        <f>M214/1000</f>
        <v>0.08906666666666666</v>
      </c>
      <c r="O214" s="13" t="inlineStr">
        <is>
          <t>BBS</t>
        </is>
      </c>
    </row>
    <row r="215">
      <c r="A215" s="13" t="n">
        <v>210</v>
      </c>
      <c r="B215" s="13" t="inlineStr">
        <is>
          <t>Floor Slabs</t>
        </is>
      </c>
      <c r="C215" s="13" t="inlineStr">
        <is>
          <t>STR-088</t>
        </is>
      </c>
      <c r="D215" s="13" t="inlineStr">
        <is>
          <t>Ninth floor slab - bottom</t>
        </is>
      </c>
      <c r="E215" s="19" t="inlineStr">
        <is>
          <t>1237</t>
        </is>
      </c>
      <c r="F215" s="19" t="n">
        <v>12</v>
      </c>
      <c r="G215" s="19" t="n">
        <v>1</v>
      </c>
      <c r="H215" s="19" t="n">
        <v>75</v>
      </c>
      <c r="I215" s="13">
        <f>G215*H215</f>
        <v>75.0</v>
      </c>
      <c r="J215" s="20">
        <f>11250/1000</f>
        <v>11.25</v>
      </c>
      <c r="K215" s="21">
        <f>I215*J215</f>
        <v>843.75</v>
      </c>
      <c r="L215" s="22">
        <f>F215^2/162</f>
        <v>0.8888888888888888</v>
      </c>
      <c r="M215" s="21">
        <f>K215*L215</f>
        <v>750.0</v>
      </c>
      <c r="N215" s="22">
        <f>M215/1000</f>
        <v>0.75</v>
      </c>
      <c r="O215" s="13" t="inlineStr">
        <is>
          <t>BBS</t>
        </is>
      </c>
    </row>
    <row r="216">
      <c r="A216" s="13" t="n">
        <v>211</v>
      </c>
      <c r="B216" s="13" t="inlineStr">
        <is>
          <t>Floor Slabs</t>
        </is>
      </c>
      <c r="C216" s="13" t="inlineStr">
        <is>
          <t>STR-089</t>
        </is>
      </c>
      <c r="D216" s="13" t="inlineStr">
        <is>
          <t>Ninth floor slab - top</t>
        </is>
      </c>
      <c r="E216" s="19" t="inlineStr">
        <is>
          <t>1238</t>
        </is>
      </c>
      <c r="F216" s="19" t="n">
        <v>12</v>
      </c>
      <c r="G216" s="19" t="n">
        <v>1</v>
      </c>
      <c r="H216" s="19" t="n">
        <v>16</v>
      </c>
      <c r="I216" s="13">
        <f>G216*H216</f>
        <v>16.0</v>
      </c>
      <c r="J216" s="20">
        <f>1925/1000</f>
        <v>1.925</v>
      </c>
      <c r="K216" s="21">
        <f>I216*J216</f>
        <v>30.8</v>
      </c>
      <c r="L216" s="22">
        <f>F216^2/162</f>
        <v>0.8888888888888888</v>
      </c>
      <c r="M216" s="21">
        <f>K216*L216</f>
        <v>27.377777777777776</v>
      </c>
      <c r="N216" s="22">
        <f>M216/1000</f>
        <v>0.027377777777777775</v>
      </c>
      <c r="O216" s="13" t="inlineStr">
        <is>
          <t>BBS</t>
        </is>
      </c>
    </row>
    <row r="217">
      <c r="A217" s="13" t="n">
        <v>212</v>
      </c>
      <c r="B217" s="13" t="inlineStr">
        <is>
          <t>Floor Slabs</t>
        </is>
      </c>
      <c r="C217" s="13" t="inlineStr">
        <is>
          <t>STR-089</t>
        </is>
      </c>
      <c r="D217" s="13" t="inlineStr">
        <is>
          <t>Ninth floor slab - top</t>
        </is>
      </c>
      <c r="E217" s="19" t="inlineStr">
        <is>
          <t>1239</t>
        </is>
      </c>
      <c r="F217" s="19" t="n">
        <v>12</v>
      </c>
      <c r="G217" s="19" t="n">
        <v>1</v>
      </c>
      <c r="H217" s="19" t="n">
        <v>230</v>
      </c>
      <c r="I217" s="13">
        <f>G217*H217</f>
        <v>230.0</v>
      </c>
      <c r="J217" s="20">
        <f>11650/1000</f>
        <v>11.65</v>
      </c>
      <c r="K217" s="21">
        <f>I217*J217</f>
        <v>2679.5</v>
      </c>
      <c r="L217" s="22">
        <f>F217^2/162</f>
        <v>0.8888888888888888</v>
      </c>
      <c r="M217" s="21">
        <f>K217*L217</f>
        <v>2381.777777777778</v>
      </c>
      <c r="N217" s="22">
        <f>M217/1000</f>
        <v>2.3817777777777778</v>
      </c>
      <c r="O217" s="13" t="inlineStr">
        <is>
          <t>BBS</t>
        </is>
      </c>
    </row>
    <row r="218">
      <c r="A218" s="13" t="n">
        <v>213</v>
      </c>
      <c r="B218" s="13" t="inlineStr">
        <is>
          <t>Floor Slabs</t>
        </is>
      </c>
      <c r="C218" s="13" t="inlineStr">
        <is>
          <t>STR-089</t>
        </is>
      </c>
      <c r="D218" s="13" t="inlineStr">
        <is>
          <t>Ninth floor slab - top</t>
        </is>
      </c>
      <c r="E218" s="19" t="inlineStr">
        <is>
          <t>1240</t>
        </is>
      </c>
      <c r="F218" s="19" t="n">
        <v>12</v>
      </c>
      <c r="G218" s="19" t="n">
        <v>1</v>
      </c>
      <c r="H218" s="19" t="n">
        <v>74</v>
      </c>
      <c r="I218" s="13">
        <f>G218*H218</f>
        <v>74.0</v>
      </c>
      <c r="J218" s="20">
        <f>5850/1000</f>
        <v>5.85</v>
      </c>
      <c r="K218" s="21">
        <f>I218*J218</f>
        <v>432.9</v>
      </c>
      <c r="L218" s="22">
        <f>F218^2/162</f>
        <v>0.8888888888888888</v>
      </c>
      <c r="M218" s="21">
        <f>K218*L218</f>
        <v>384.79999999999995</v>
      </c>
      <c r="N218" s="22">
        <f>M218/1000</f>
        <v>0.3848</v>
      </c>
      <c r="O218" s="13" t="inlineStr">
        <is>
          <t>BBS</t>
        </is>
      </c>
    </row>
    <row r="219">
      <c r="A219" s="13" t="n">
        <v>214</v>
      </c>
      <c r="B219" s="13" t="inlineStr">
        <is>
          <t>Floor Slabs</t>
        </is>
      </c>
      <c r="C219" s="13" t="inlineStr">
        <is>
          <t>STR-089</t>
        </is>
      </c>
      <c r="D219" s="13" t="inlineStr">
        <is>
          <t>Ninth floor slab - top</t>
        </is>
      </c>
      <c r="E219" s="19" t="inlineStr">
        <is>
          <t>1241</t>
        </is>
      </c>
      <c r="F219" s="19" t="n">
        <v>12</v>
      </c>
      <c r="G219" s="19" t="n">
        <v>1</v>
      </c>
      <c r="H219" s="19" t="n">
        <v>21</v>
      </c>
      <c r="I219" s="13">
        <f>G219*H219</f>
        <v>21.0</v>
      </c>
      <c r="J219" s="20">
        <f>8050/1000</f>
        <v>8.05</v>
      </c>
      <c r="K219" s="21">
        <f>I219*J219</f>
        <v>169.05</v>
      </c>
      <c r="L219" s="22">
        <f>F219^2/162</f>
        <v>0.8888888888888888</v>
      </c>
      <c r="M219" s="21">
        <f>K219*L219</f>
        <v>150.26666666666668</v>
      </c>
      <c r="N219" s="22">
        <f>M219/1000</f>
        <v>0.1502666666666667</v>
      </c>
      <c r="O219" s="13" t="inlineStr">
        <is>
          <t>BBS</t>
        </is>
      </c>
    </row>
    <row r="220">
      <c r="A220" s="13" t="n">
        <v>215</v>
      </c>
      <c r="B220" s="13" t="inlineStr">
        <is>
          <t>Floor Slabs</t>
        </is>
      </c>
      <c r="C220" s="13" t="inlineStr">
        <is>
          <t>STR-089</t>
        </is>
      </c>
      <c r="D220" s="13" t="inlineStr">
        <is>
          <t>Ninth floor slab - top</t>
        </is>
      </c>
      <c r="E220" s="19" t="inlineStr">
        <is>
          <t>1242</t>
        </is>
      </c>
      <c r="F220" s="19" t="n">
        <v>12</v>
      </c>
      <c r="G220" s="19" t="n">
        <v>1</v>
      </c>
      <c r="H220" s="19" t="n">
        <v>263</v>
      </c>
      <c r="I220" s="13">
        <f>G220*H220</f>
        <v>263.0</v>
      </c>
      <c r="J220" s="20">
        <f>8000/1000</f>
        <v>8.0</v>
      </c>
      <c r="K220" s="21">
        <f>I220*J220</f>
        <v>2104.0</v>
      </c>
      <c r="L220" s="22">
        <f>F220^2/162</f>
        <v>0.8888888888888888</v>
      </c>
      <c r="M220" s="21">
        <f>K220*L220</f>
        <v>1870.2222222222222</v>
      </c>
      <c r="N220" s="22">
        <f>M220/1000</f>
        <v>1.8702222222222222</v>
      </c>
      <c r="O220" s="13" t="inlineStr">
        <is>
          <t>BBS</t>
        </is>
      </c>
    </row>
    <row r="221">
      <c r="A221" s="13" t="n">
        <v>216</v>
      </c>
      <c r="B221" s="13" t="inlineStr">
        <is>
          <t>Floor Slabs</t>
        </is>
      </c>
      <c r="C221" s="13" t="inlineStr">
        <is>
          <t>STR-089</t>
        </is>
      </c>
      <c r="D221" s="13" t="inlineStr">
        <is>
          <t>Ninth floor slab - top</t>
        </is>
      </c>
      <c r="E221" s="19" t="inlineStr">
        <is>
          <t>1243</t>
        </is>
      </c>
      <c r="F221" s="19" t="n">
        <v>12</v>
      </c>
      <c r="G221" s="19" t="n">
        <v>1</v>
      </c>
      <c r="H221" s="19" t="n">
        <v>226</v>
      </c>
      <c r="I221" s="13">
        <f>G221*H221</f>
        <v>226.0</v>
      </c>
      <c r="J221" s="20">
        <f>8800/1000</f>
        <v>8.8</v>
      </c>
      <c r="K221" s="21">
        <f>I221*J221</f>
        <v>1988.8000000000002</v>
      </c>
      <c r="L221" s="22">
        <f>F221^2/162</f>
        <v>0.8888888888888888</v>
      </c>
      <c r="M221" s="21">
        <f>K221*L221</f>
        <v>1767.8222222222223</v>
      </c>
      <c r="N221" s="22">
        <f>M221/1000</f>
        <v>1.7678222222222224</v>
      </c>
      <c r="O221" s="13" t="inlineStr">
        <is>
          <t>BBS</t>
        </is>
      </c>
    </row>
    <row r="222">
      <c r="A222" s="13" t="n">
        <v>217</v>
      </c>
      <c r="B222" s="13" t="inlineStr">
        <is>
          <t>Floor Slabs</t>
        </is>
      </c>
      <c r="C222" s="13" t="inlineStr">
        <is>
          <t>STR-089</t>
        </is>
      </c>
      <c r="D222" s="13" t="inlineStr">
        <is>
          <t>Ninth floor slab - top</t>
        </is>
      </c>
      <c r="E222" s="19" t="inlineStr">
        <is>
          <t>1244</t>
        </is>
      </c>
      <c r="F222" s="19" t="n">
        <v>12</v>
      </c>
      <c r="G222" s="19" t="n">
        <v>1</v>
      </c>
      <c r="H222" s="19" t="n">
        <v>21</v>
      </c>
      <c r="I222" s="13">
        <f>G222*H222</f>
        <v>21.0</v>
      </c>
      <c r="J222" s="20">
        <f>7350/1000</f>
        <v>7.35</v>
      </c>
      <c r="K222" s="21">
        <f>I222*J222</f>
        <v>154.35</v>
      </c>
      <c r="L222" s="22">
        <f>F222^2/162</f>
        <v>0.8888888888888888</v>
      </c>
      <c r="M222" s="21">
        <f>K222*L222</f>
        <v>137.2</v>
      </c>
      <c r="N222" s="22">
        <f>M222/1000</f>
        <v>0.1372</v>
      </c>
      <c r="O222" s="13" t="inlineStr">
        <is>
          <t>BBS</t>
        </is>
      </c>
    </row>
    <row r="223">
      <c r="A223" s="13" t="n">
        <v>218</v>
      </c>
      <c r="B223" s="13" t="inlineStr">
        <is>
          <t>Floor Slabs</t>
        </is>
      </c>
      <c r="C223" s="13" t="inlineStr">
        <is>
          <t>STR-089</t>
        </is>
      </c>
      <c r="D223" s="13" t="inlineStr">
        <is>
          <t>Ninth floor slab - top</t>
        </is>
      </c>
      <c r="E223" s="19" t="inlineStr">
        <is>
          <t>1245</t>
        </is>
      </c>
      <c r="F223" s="19" t="n">
        <v>12</v>
      </c>
      <c r="G223" s="19" t="n">
        <v>1</v>
      </c>
      <c r="H223" s="19" t="n">
        <v>21</v>
      </c>
      <c r="I223" s="13">
        <f>G223*H223</f>
        <v>21.0</v>
      </c>
      <c r="J223" s="20">
        <f>8650/1000</f>
        <v>8.65</v>
      </c>
      <c r="K223" s="21">
        <f>I223*J223</f>
        <v>181.65</v>
      </c>
      <c r="L223" s="22">
        <f>F223^2/162</f>
        <v>0.8888888888888888</v>
      </c>
      <c r="M223" s="21">
        <f>K223*L223</f>
        <v>161.46666666666667</v>
      </c>
      <c r="N223" s="22">
        <f>M223/1000</f>
        <v>0.16146666666666668</v>
      </c>
      <c r="O223" s="13" t="inlineStr">
        <is>
          <t>BBS</t>
        </is>
      </c>
    </row>
    <row r="224">
      <c r="A224" s="13" t="n">
        <v>219</v>
      </c>
      <c r="B224" s="13" t="inlineStr">
        <is>
          <t>Floor Slabs</t>
        </is>
      </c>
      <c r="C224" s="13" t="inlineStr">
        <is>
          <t>STR-089</t>
        </is>
      </c>
      <c r="D224" s="13" t="inlineStr">
        <is>
          <t>Ninth floor slab - top</t>
        </is>
      </c>
      <c r="E224" s="19" t="inlineStr">
        <is>
          <t>1246</t>
        </is>
      </c>
      <c r="F224" s="19" t="n">
        <v>12</v>
      </c>
      <c r="G224" s="19" t="n">
        <v>1</v>
      </c>
      <c r="H224" s="19" t="n">
        <v>27</v>
      </c>
      <c r="I224" s="13">
        <f>G224*H224</f>
        <v>27.0</v>
      </c>
      <c r="J224" s="20">
        <f>4575/1000</f>
        <v>4.575</v>
      </c>
      <c r="K224" s="21">
        <f>I224*J224</f>
        <v>123.525</v>
      </c>
      <c r="L224" s="22">
        <f>F224^2/162</f>
        <v>0.8888888888888888</v>
      </c>
      <c r="M224" s="21">
        <f>K224*L224</f>
        <v>109.8</v>
      </c>
      <c r="N224" s="22">
        <f>M224/1000</f>
        <v>0.1098</v>
      </c>
      <c r="O224" s="13" t="inlineStr">
        <is>
          <t>BBS</t>
        </is>
      </c>
    </row>
    <row r="225">
      <c r="A225" s="13" t="n">
        <v>220</v>
      </c>
      <c r="B225" s="13" t="inlineStr">
        <is>
          <t>Floor Slabs</t>
        </is>
      </c>
      <c r="C225" s="13" t="inlineStr">
        <is>
          <t>STR-089</t>
        </is>
      </c>
      <c r="D225" s="13" t="inlineStr">
        <is>
          <t>Ninth floor slab - top</t>
        </is>
      </c>
      <c r="E225" s="19" t="inlineStr">
        <is>
          <t>1247</t>
        </is>
      </c>
      <c r="F225" s="19" t="n">
        <v>12</v>
      </c>
      <c r="G225" s="19" t="n">
        <v>1</v>
      </c>
      <c r="H225" s="19" t="n">
        <v>65</v>
      </c>
      <c r="I225" s="13">
        <f>G225*H225</f>
        <v>65.0</v>
      </c>
      <c r="J225" s="20">
        <f>5325/1000</f>
        <v>5.325</v>
      </c>
      <c r="K225" s="21">
        <f>I225*J225</f>
        <v>346.125</v>
      </c>
      <c r="L225" s="22">
        <f>F225^2/162</f>
        <v>0.8888888888888888</v>
      </c>
      <c r="M225" s="21">
        <f>K225*L225</f>
        <v>307.66666666666663</v>
      </c>
      <c r="N225" s="22">
        <f>M225/1000</f>
        <v>0.30766666666666664</v>
      </c>
      <c r="O225" s="13" t="inlineStr">
        <is>
          <t>BBS</t>
        </is>
      </c>
    </row>
    <row r="226">
      <c r="A226" s="13" t="n">
        <v>221</v>
      </c>
      <c r="B226" s="13" t="inlineStr">
        <is>
          <t>Floor Slabs</t>
        </is>
      </c>
      <c r="C226" s="13" t="inlineStr">
        <is>
          <t>STR-089</t>
        </is>
      </c>
      <c r="D226" s="13" t="inlineStr">
        <is>
          <t>Ninth floor slab - top</t>
        </is>
      </c>
      <c r="E226" s="19" t="inlineStr">
        <is>
          <t>1248</t>
        </is>
      </c>
      <c r="F226" s="19" t="n">
        <v>12</v>
      </c>
      <c r="G226" s="19" t="n">
        <v>1</v>
      </c>
      <c r="H226" s="19" t="n">
        <v>15</v>
      </c>
      <c r="I226" s="13">
        <f>G226*H226</f>
        <v>15.0</v>
      </c>
      <c r="J226" s="20">
        <f>4700/1000</f>
        <v>4.7</v>
      </c>
      <c r="K226" s="21">
        <f>I226*J226</f>
        <v>70.5</v>
      </c>
      <c r="L226" s="22">
        <f>F226^2/162</f>
        <v>0.8888888888888888</v>
      </c>
      <c r="M226" s="21">
        <f>K226*L226</f>
        <v>62.666666666666664</v>
      </c>
      <c r="N226" s="22">
        <f>M226/1000</f>
        <v>0.06266666666666666</v>
      </c>
      <c r="O226" s="13" t="inlineStr">
        <is>
          <t>BBS</t>
        </is>
      </c>
    </row>
    <row r="227">
      <c r="A227" s="13" t="n">
        <v>222</v>
      </c>
      <c r="B227" s="13" t="inlineStr">
        <is>
          <t>Floor Slabs</t>
        </is>
      </c>
      <c r="C227" s="13" t="inlineStr">
        <is>
          <t>STR-089</t>
        </is>
      </c>
      <c r="D227" s="13" t="inlineStr">
        <is>
          <t>Ninth floor slab - top</t>
        </is>
      </c>
      <c r="E227" s="19" t="inlineStr">
        <is>
          <t>1249</t>
        </is>
      </c>
      <c r="F227" s="19" t="n">
        <v>12</v>
      </c>
      <c r="G227" s="19" t="n">
        <v>1</v>
      </c>
      <c r="H227" s="19" t="n">
        <v>23</v>
      </c>
      <c r="I227" s="13">
        <f>G227*H227</f>
        <v>23.0</v>
      </c>
      <c r="J227" s="20">
        <f>12000/1000</f>
        <v>12.0</v>
      </c>
      <c r="K227" s="21">
        <f>I227*J227</f>
        <v>276.0</v>
      </c>
      <c r="L227" s="22">
        <f>F227^2/162</f>
        <v>0.8888888888888888</v>
      </c>
      <c r="M227" s="21">
        <f>K227*L227</f>
        <v>245.33333333333331</v>
      </c>
      <c r="N227" s="22">
        <f>M227/1000</f>
        <v>0.24533333333333332</v>
      </c>
      <c r="O227" s="13" t="inlineStr">
        <is>
          <t>BBS</t>
        </is>
      </c>
    </row>
    <row r="228">
      <c r="A228" s="13" t="n">
        <v>223</v>
      </c>
      <c r="B228" s="13" t="inlineStr">
        <is>
          <t>Floor Slabs</t>
        </is>
      </c>
      <c r="C228" s="13" t="inlineStr">
        <is>
          <t>STR-089</t>
        </is>
      </c>
      <c r="D228" s="13" t="inlineStr">
        <is>
          <t>Ninth floor slab - top</t>
        </is>
      </c>
      <c r="E228" s="19" t="inlineStr">
        <is>
          <t>1250</t>
        </is>
      </c>
      <c r="F228" s="19" t="n">
        <v>12</v>
      </c>
      <c r="G228" s="19" t="n">
        <v>1</v>
      </c>
      <c r="H228" s="19" t="n">
        <v>9</v>
      </c>
      <c r="I228" s="13">
        <f>G228*H228</f>
        <v>9.0</v>
      </c>
      <c r="J228" s="20">
        <f>10000/1000</f>
        <v>10.0</v>
      </c>
      <c r="K228" s="21">
        <f>I228*J228</f>
        <v>90.0</v>
      </c>
      <c r="L228" s="22">
        <f>F228^2/162</f>
        <v>0.8888888888888888</v>
      </c>
      <c r="M228" s="21">
        <f>K228*L228</f>
        <v>80.0</v>
      </c>
      <c r="N228" s="22">
        <f>M228/1000</f>
        <v>0.08</v>
      </c>
      <c r="O228" s="13" t="inlineStr">
        <is>
          <t>BBS</t>
        </is>
      </c>
    </row>
    <row r="229">
      <c r="A229" s="13" t="n">
        <v>224</v>
      </c>
      <c r="B229" s="13" t="inlineStr">
        <is>
          <t>Floor Slabs</t>
        </is>
      </c>
      <c r="C229" s="13" t="inlineStr">
        <is>
          <t>STR-089</t>
        </is>
      </c>
      <c r="D229" s="13" t="inlineStr">
        <is>
          <t>Ninth floor slab - top</t>
        </is>
      </c>
      <c r="E229" s="19" t="inlineStr">
        <is>
          <t>1251</t>
        </is>
      </c>
      <c r="F229" s="19" t="n">
        <v>12</v>
      </c>
      <c r="G229" s="19" t="n">
        <v>1</v>
      </c>
      <c r="H229" s="19" t="n">
        <v>234</v>
      </c>
      <c r="I229" s="13">
        <f>G229*H229</f>
        <v>234.0</v>
      </c>
      <c r="J229" s="20">
        <f>8650/1000</f>
        <v>8.65</v>
      </c>
      <c r="K229" s="21">
        <f>I229*J229</f>
        <v>2024.1000000000001</v>
      </c>
      <c r="L229" s="22">
        <f>F229^2/162</f>
        <v>0.8888888888888888</v>
      </c>
      <c r="M229" s="21">
        <f>K229*L229</f>
        <v>1799.2</v>
      </c>
      <c r="N229" s="22">
        <f>M229/1000</f>
        <v>1.7992000000000001</v>
      </c>
      <c r="O229" s="13" t="inlineStr">
        <is>
          <t>BBS</t>
        </is>
      </c>
    </row>
    <row r="230">
      <c r="A230" s="13" t="n">
        <v>225</v>
      </c>
      <c r="B230" s="13" t="inlineStr">
        <is>
          <t>Floor Slabs</t>
        </is>
      </c>
      <c r="C230" s="13" t="inlineStr">
        <is>
          <t>STR-089</t>
        </is>
      </c>
      <c r="D230" s="13" t="inlineStr">
        <is>
          <t>Ninth floor slab - top</t>
        </is>
      </c>
      <c r="E230" s="19" t="inlineStr">
        <is>
          <t>1252</t>
        </is>
      </c>
      <c r="F230" s="19" t="n">
        <v>12</v>
      </c>
      <c r="G230" s="19" t="n">
        <v>1</v>
      </c>
      <c r="H230" s="19" t="n">
        <v>24</v>
      </c>
      <c r="I230" s="13">
        <f>G230*H230</f>
        <v>24.0</v>
      </c>
      <c r="J230" s="20">
        <f>4600/1000</f>
        <v>4.6</v>
      </c>
      <c r="K230" s="21">
        <f>I230*J230</f>
        <v>110.39999999999999</v>
      </c>
      <c r="L230" s="22">
        <f>F230^2/162</f>
        <v>0.8888888888888888</v>
      </c>
      <c r="M230" s="21">
        <f>K230*L230</f>
        <v>98.13333333333333</v>
      </c>
      <c r="N230" s="22">
        <f>M230/1000</f>
        <v>0.09813333333333332</v>
      </c>
      <c r="O230" s="13" t="inlineStr">
        <is>
          <t>BBS</t>
        </is>
      </c>
    </row>
    <row r="231">
      <c r="A231" s="13" t="n">
        <v>226</v>
      </c>
      <c r="B231" s="13" t="inlineStr">
        <is>
          <t>Floor Slabs</t>
        </is>
      </c>
      <c r="C231" s="13" t="inlineStr">
        <is>
          <t>STR-089</t>
        </is>
      </c>
      <c r="D231" s="13" t="inlineStr">
        <is>
          <t>Ninth floor slab - top</t>
        </is>
      </c>
      <c r="E231" s="19" t="inlineStr">
        <is>
          <t>1253</t>
        </is>
      </c>
      <c r="F231" s="19" t="n">
        <v>12</v>
      </c>
      <c r="G231" s="19" t="n">
        <v>1</v>
      </c>
      <c r="H231" s="19" t="n">
        <v>152</v>
      </c>
      <c r="I231" s="13">
        <f>G231*H231</f>
        <v>152.0</v>
      </c>
      <c r="J231" s="20">
        <f>5900/1000</f>
        <v>5.9</v>
      </c>
      <c r="K231" s="21">
        <f>I231*J231</f>
        <v>896.8000000000001</v>
      </c>
      <c r="L231" s="22">
        <f>F231^2/162</f>
        <v>0.8888888888888888</v>
      </c>
      <c r="M231" s="21">
        <f>K231*L231</f>
        <v>797.1555555555556</v>
      </c>
      <c r="N231" s="22">
        <f>M231/1000</f>
        <v>0.7971555555555556</v>
      </c>
      <c r="O231" s="13" t="inlineStr">
        <is>
          <t>BBS</t>
        </is>
      </c>
    </row>
    <row r="232">
      <c r="A232" s="13" t="n">
        <v>227</v>
      </c>
      <c r="B232" s="13" t="inlineStr">
        <is>
          <t>Floor Slabs</t>
        </is>
      </c>
      <c r="C232" s="13" t="inlineStr">
        <is>
          <t>STR-089</t>
        </is>
      </c>
      <c r="D232" s="13" t="inlineStr">
        <is>
          <t>Ninth floor slab - top</t>
        </is>
      </c>
      <c r="E232" s="19" t="inlineStr">
        <is>
          <t>1254</t>
        </is>
      </c>
      <c r="F232" s="19" t="n">
        <v>12</v>
      </c>
      <c r="G232" s="19" t="n">
        <v>1</v>
      </c>
      <c r="H232" s="19" t="n">
        <v>119</v>
      </c>
      <c r="I232" s="13">
        <f>G232*H232</f>
        <v>119.0</v>
      </c>
      <c r="J232" s="20">
        <f>9525/1000</f>
        <v>9.525</v>
      </c>
      <c r="K232" s="21">
        <f>I232*J232</f>
        <v>1133.4750000000001</v>
      </c>
      <c r="L232" s="22">
        <f>F232^2/162</f>
        <v>0.8888888888888888</v>
      </c>
      <c r="M232" s="21">
        <f>K232*L232</f>
        <v>1007.5333333333334</v>
      </c>
      <c r="N232" s="22">
        <f>M232/1000</f>
        <v>1.0075333333333334</v>
      </c>
      <c r="O232" s="13" t="inlineStr">
        <is>
          <t>BBS</t>
        </is>
      </c>
    </row>
    <row r="233">
      <c r="A233" s="13" t="n">
        <v>228</v>
      </c>
      <c r="B233" s="13" t="inlineStr">
        <is>
          <t>Floor Slabs</t>
        </is>
      </c>
      <c r="C233" s="13" t="inlineStr">
        <is>
          <t>STR-089</t>
        </is>
      </c>
      <c r="D233" s="13" t="inlineStr">
        <is>
          <t>Ninth floor slab - top</t>
        </is>
      </c>
      <c r="E233" s="19" t="inlineStr">
        <is>
          <t>1255</t>
        </is>
      </c>
      <c r="F233" s="19" t="n">
        <v>12</v>
      </c>
      <c r="G233" s="19" t="n">
        <v>1</v>
      </c>
      <c r="H233" s="19" t="n">
        <v>206</v>
      </c>
      <c r="I233" s="13">
        <f>G233*H233</f>
        <v>206.0</v>
      </c>
      <c r="J233" s="20">
        <f>4275/1000</f>
        <v>4.275</v>
      </c>
      <c r="K233" s="21">
        <f>I233*J233</f>
        <v>880.6500000000001</v>
      </c>
      <c r="L233" s="22">
        <f>F233^2/162</f>
        <v>0.8888888888888888</v>
      </c>
      <c r="M233" s="21">
        <f>K233*L233</f>
        <v>782.8000000000001</v>
      </c>
      <c r="N233" s="22">
        <f>M233/1000</f>
        <v>0.7828</v>
      </c>
      <c r="O233" s="13" t="inlineStr">
        <is>
          <t>BBS</t>
        </is>
      </c>
    </row>
    <row r="234">
      <c r="A234" s="13" t="n">
        <v>229</v>
      </c>
      <c r="B234" s="13" t="inlineStr">
        <is>
          <t>Floor Slabs</t>
        </is>
      </c>
      <c r="C234" s="13" t="inlineStr">
        <is>
          <t>STR-089</t>
        </is>
      </c>
      <c r="D234" s="13" t="inlineStr">
        <is>
          <t>Ninth floor slab - top</t>
        </is>
      </c>
      <c r="E234" s="19" t="inlineStr">
        <is>
          <t>1256</t>
        </is>
      </c>
      <c r="F234" s="19" t="n">
        <v>12</v>
      </c>
      <c r="G234" s="19" t="n">
        <v>1</v>
      </c>
      <c r="H234" s="19" t="n">
        <v>31</v>
      </c>
      <c r="I234" s="13">
        <f>G234*H234</f>
        <v>31.0</v>
      </c>
      <c r="J234" s="20">
        <f>3750/1000</f>
        <v>3.75</v>
      </c>
      <c r="K234" s="21">
        <f>I234*J234</f>
        <v>116.25</v>
      </c>
      <c r="L234" s="22">
        <f>F234^2/162</f>
        <v>0.8888888888888888</v>
      </c>
      <c r="M234" s="21">
        <f>K234*L234</f>
        <v>103.33333333333333</v>
      </c>
      <c r="N234" s="22">
        <f>M234/1000</f>
        <v>0.10333333333333333</v>
      </c>
      <c r="O234" s="13" t="inlineStr">
        <is>
          <t>BBS</t>
        </is>
      </c>
    </row>
    <row r="235">
      <c r="A235" s="13" t="n">
        <v>230</v>
      </c>
      <c r="B235" s="13" t="inlineStr">
        <is>
          <t>Floor Slabs</t>
        </is>
      </c>
      <c r="C235" s="13" t="inlineStr">
        <is>
          <t>STR-089</t>
        </is>
      </c>
      <c r="D235" s="13" t="inlineStr">
        <is>
          <t>Ninth floor slab - top</t>
        </is>
      </c>
      <c r="E235" s="19" t="inlineStr">
        <is>
          <t>1257</t>
        </is>
      </c>
      <c r="F235" s="19" t="n">
        <v>12</v>
      </c>
      <c r="G235" s="19" t="n">
        <v>1</v>
      </c>
      <c r="H235" s="19" t="n">
        <v>36</v>
      </c>
      <c r="I235" s="13">
        <f>G235*H235</f>
        <v>36.0</v>
      </c>
      <c r="J235" s="20">
        <f>10400/1000</f>
        <v>10.4</v>
      </c>
      <c r="K235" s="21">
        <f>I235*J235</f>
        <v>374.40000000000003</v>
      </c>
      <c r="L235" s="22">
        <f>F235^2/162</f>
        <v>0.8888888888888888</v>
      </c>
      <c r="M235" s="21">
        <f>K235*L235</f>
        <v>332.8</v>
      </c>
      <c r="N235" s="22">
        <f>M235/1000</f>
        <v>0.3328</v>
      </c>
      <c r="O235" s="13" t="inlineStr">
        <is>
          <t>BBS</t>
        </is>
      </c>
    </row>
    <row r="236">
      <c r="A236" s="13" t="n">
        <v>231</v>
      </c>
      <c r="B236" s="13" t="inlineStr">
        <is>
          <t>Floor Slabs</t>
        </is>
      </c>
      <c r="C236" s="13" t="inlineStr">
        <is>
          <t>STR-089</t>
        </is>
      </c>
      <c r="D236" s="13" t="inlineStr">
        <is>
          <t>Ninth floor slab - top</t>
        </is>
      </c>
      <c r="E236" s="19" t="inlineStr">
        <is>
          <t>1258</t>
        </is>
      </c>
      <c r="F236" s="19" t="n">
        <v>12</v>
      </c>
      <c r="G236" s="19" t="n">
        <v>1</v>
      </c>
      <c r="H236" s="19" t="n">
        <v>23</v>
      </c>
      <c r="I236" s="13">
        <f>G236*H236</f>
        <v>23.0</v>
      </c>
      <c r="J236" s="20">
        <f>3450/1000</f>
        <v>3.45</v>
      </c>
      <c r="K236" s="21">
        <f>I236*J236</f>
        <v>79.35000000000001</v>
      </c>
      <c r="L236" s="22">
        <f>F236^2/162</f>
        <v>0.8888888888888888</v>
      </c>
      <c r="M236" s="21">
        <f>K236*L236</f>
        <v>70.53333333333333</v>
      </c>
      <c r="N236" s="22">
        <f>M236/1000</f>
        <v>0.07053333333333334</v>
      </c>
      <c r="O236" s="13" t="inlineStr">
        <is>
          <t>BBS</t>
        </is>
      </c>
    </row>
    <row r="237">
      <c r="A237" s="13" t="n">
        <v>232</v>
      </c>
      <c r="B237" s="13" t="inlineStr">
        <is>
          <t>Floor Slabs</t>
        </is>
      </c>
      <c r="C237" s="13" t="inlineStr">
        <is>
          <t>STR-089</t>
        </is>
      </c>
      <c r="D237" s="13" t="inlineStr">
        <is>
          <t>Ninth floor slab - top</t>
        </is>
      </c>
      <c r="E237" s="19" t="inlineStr">
        <is>
          <t>1259</t>
        </is>
      </c>
      <c r="F237" s="19" t="n">
        <v>12</v>
      </c>
      <c r="G237" s="19" t="n">
        <v>1</v>
      </c>
      <c r="H237" s="19" t="n">
        <v>212</v>
      </c>
      <c r="I237" s="13">
        <f>G237*H237</f>
        <v>212.0</v>
      </c>
      <c r="J237" s="20">
        <f>9500/1000</f>
        <v>9.5</v>
      </c>
      <c r="K237" s="21">
        <f>I237*J237</f>
        <v>2014.0</v>
      </c>
      <c r="L237" s="22">
        <f>F237^2/162</f>
        <v>0.8888888888888888</v>
      </c>
      <c r="M237" s="21">
        <f>K237*L237</f>
        <v>1790.2222222222222</v>
      </c>
      <c r="N237" s="22">
        <f>M237/1000</f>
        <v>1.7902222222222222</v>
      </c>
      <c r="O237" s="13" t="inlineStr">
        <is>
          <t>BBS</t>
        </is>
      </c>
    </row>
    <row r="238">
      <c r="A238" s="13" t="n">
        <v>233</v>
      </c>
      <c r="B238" s="13" t="inlineStr">
        <is>
          <t>Floor Slabs</t>
        </is>
      </c>
      <c r="C238" s="13" t="inlineStr">
        <is>
          <t>STR-089</t>
        </is>
      </c>
      <c r="D238" s="13" t="inlineStr">
        <is>
          <t>Ninth floor slab - top</t>
        </is>
      </c>
      <c r="E238" s="19" t="inlineStr">
        <is>
          <t>1260</t>
        </is>
      </c>
      <c r="F238" s="19" t="n">
        <v>12</v>
      </c>
      <c r="G238" s="19" t="n">
        <v>1</v>
      </c>
      <c r="H238" s="19" t="n">
        <v>49</v>
      </c>
      <c r="I238" s="13">
        <f>G238*H238</f>
        <v>49.0</v>
      </c>
      <c r="J238" s="20">
        <f>7300/1000</f>
        <v>7.3</v>
      </c>
      <c r="K238" s="21">
        <f>I238*J238</f>
        <v>357.7</v>
      </c>
      <c r="L238" s="22">
        <f>F238^2/162</f>
        <v>0.8888888888888888</v>
      </c>
      <c r="M238" s="21">
        <f>K238*L238</f>
        <v>317.9555555555555</v>
      </c>
      <c r="N238" s="22">
        <f>M238/1000</f>
        <v>0.31795555555555555</v>
      </c>
      <c r="O238" s="13" t="inlineStr">
        <is>
          <t>BBS</t>
        </is>
      </c>
    </row>
    <row r="239">
      <c r="A239" s="13" t="n">
        <v>234</v>
      </c>
      <c r="B239" s="13" t="inlineStr">
        <is>
          <t>Floor Slabs</t>
        </is>
      </c>
      <c r="C239" s="13" t="inlineStr">
        <is>
          <t>STR-089</t>
        </is>
      </c>
      <c r="D239" s="13" t="inlineStr">
        <is>
          <t>Ninth floor slab - top</t>
        </is>
      </c>
      <c r="E239" s="19" t="inlineStr">
        <is>
          <t>1261</t>
        </is>
      </c>
      <c r="F239" s="19" t="n">
        <v>12</v>
      </c>
      <c r="G239" s="19" t="n">
        <v>1</v>
      </c>
      <c r="H239" s="19" t="n">
        <v>113</v>
      </c>
      <c r="I239" s="13">
        <f>G239*H239</f>
        <v>113.0</v>
      </c>
      <c r="J239" s="20">
        <f>8750/1000</f>
        <v>8.75</v>
      </c>
      <c r="K239" s="21">
        <f>I239*J239</f>
        <v>988.75</v>
      </c>
      <c r="L239" s="22">
        <f>F239^2/162</f>
        <v>0.8888888888888888</v>
      </c>
      <c r="M239" s="21">
        <f>K239*L239</f>
        <v>878.8888888888888</v>
      </c>
      <c r="N239" s="22">
        <f>M239/1000</f>
        <v>0.8788888888888888</v>
      </c>
      <c r="O239" s="13" t="inlineStr">
        <is>
          <t>BBS</t>
        </is>
      </c>
    </row>
    <row r="240">
      <c r="A240" s="13" t="n">
        <v>235</v>
      </c>
      <c r="B240" s="13" t="inlineStr">
        <is>
          <t>Floor Slabs</t>
        </is>
      </c>
      <c r="C240" s="13" t="inlineStr">
        <is>
          <t>STR-089</t>
        </is>
      </c>
      <c r="D240" s="13" t="inlineStr">
        <is>
          <t>Ninth floor slab - top</t>
        </is>
      </c>
      <c r="E240" s="19" t="inlineStr">
        <is>
          <t>1262</t>
        </is>
      </c>
      <c r="F240" s="19" t="n">
        <v>12</v>
      </c>
      <c r="G240" s="19" t="n">
        <v>1</v>
      </c>
      <c r="H240" s="19" t="n">
        <v>85</v>
      </c>
      <c r="I240" s="13">
        <f>G240*H240</f>
        <v>85.0</v>
      </c>
      <c r="J240" s="20">
        <f>3750/1000</f>
        <v>3.75</v>
      </c>
      <c r="K240" s="21">
        <f>I240*J240</f>
        <v>318.75</v>
      </c>
      <c r="L240" s="22">
        <f>F240^2/162</f>
        <v>0.8888888888888888</v>
      </c>
      <c r="M240" s="21">
        <f>K240*L240</f>
        <v>283.3333333333333</v>
      </c>
      <c r="N240" s="22">
        <f>M240/1000</f>
        <v>0.2833333333333333</v>
      </c>
      <c r="O240" s="13" t="inlineStr">
        <is>
          <t>BBS</t>
        </is>
      </c>
    </row>
    <row r="241">
      <c r="A241" s="13" t="n">
        <v>236</v>
      </c>
      <c r="B241" s="13" t="inlineStr">
        <is>
          <t>Floor Slabs</t>
        </is>
      </c>
      <c r="C241" s="13" t="inlineStr">
        <is>
          <t>STR-089</t>
        </is>
      </c>
      <c r="D241" s="13" t="inlineStr">
        <is>
          <t>Ninth floor slab - top</t>
        </is>
      </c>
      <c r="E241" s="19" t="inlineStr">
        <is>
          <t>1263</t>
        </is>
      </c>
      <c r="F241" s="19" t="n">
        <v>12</v>
      </c>
      <c r="G241" s="19" t="n">
        <v>1</v>
      </c>
      <c r="H241" s="19" t="n">
        <v>13</v>
      </c>
      <c r="I241" s="13">
        <f>G241*H241</f>
        <v>13.0</v>
      </c>
      <c r="J241" s="20">
        <f>4100/1000</f>
        <v>4.1</v>
      </c>
      <c r="K241" s="21">
        <f>I241*J241</f>
        <v>53.3</v>
      </c>
      <c r="L241" s="22">
        <f>F241^2/162</f>
        <v>0.8888888888888888</v>
      </c>
      <c r="M241" s="21">
        <f>K241*L241</f>
        <v>47.37777777777777</v>
      </c>
      <c r="N241" s="22">
        <f>M241/1000</f>
        <v>0.047377777777777776</v>
      </c>
      <c r="O241" s="13" t="inlineStr">
        <is>
          <t>BBS</t>
        </is>
      </c>
    </row>
    <row r="242">
      <c r="A242" s="13" t="n">
        <v>237</v>
      </c>
      <c r="B242" s="13" t="inlineStr">
        <is>
          <t>Floor Slabs</t>
        </is>
      </c>
      <c r="C242" s="13" t="inlineStr">
        <is>
          <t>STR-089</t>
        </is>
      </c>
      <c r="D242" s="13" t="inlineStr">
        <is>
          <t>Ninth floor slab - top</t>
        </is>
      </c>
      <c r="E242" s="19" t="inlineStr">
        <is>
          <t>1264</t>
        </is>
      </c>
      <c r="F242" s="19" t="n">
        <v>12</v>
      </c>
      <c r="G242" s="19" t="n">
        <v>1</v>
      </c>
      <c r="H242" s="19" t="n">
        <v>13</v>
      </c>
      <c r="I242" s="13">
        <f>G242*H242</f>
        <v>13.0</v>
      </c>
      <c r="J242" s="20">
        <f>4200/1000</f>
        <v>4.2</v>
      </c>
      <c r="K242" s="21">
        <f>I242*J242</f>
        <v>54.6</v>
      </c>
      <c r="L242" s="22">
        <f>F242^2/162</f>
        <v>0.8888888888888888</v>
      </c>
      <c r="M242" s="21">
        <f>K242*L242</f>
        <v>48.53333333333333</v>
      </c>
      <c r="N242" s="22">
        <f>M242/1000</f>
        <v>0.04853333333333333</v>
      </c>
      <c r="O242" s="13" t="inlineStr">
        <is>
          <t>BBS</t>
        </is>
      </c>
    </row>
    <row r="243">
      <c r="A243" s="13" t="n">
        <v>238</v>
      </c>
      <c r="B243" s="13" t="inlineStr">
        <is>
          <t>Floor Slabs</t>
        </is>
      </c>
      <c r="C243" s="13" t="inlineStr">
        <is>
          <t>STR-089</t>
        </is>
      </c>
      <c r="D243" s="13" t="inlineStr">
        <is>
          <t>Ninth floor slab - top</t>
        </is>
      </c>
      <c r="E243" s="19" t="inlineStr">
        <is>
          <t>1265</t>
        </is>
      </c>
      <c r="F243" s="19" t="n">
        <v>12</v>
      </c>
      <c r="G243" s="19" t="n">
        <v>1</v>
      </c>
      <c r="H243" s="19" t="n">
        <v>357</v>
      </c>
      <c r="I243" s="13">
        <f>G243*H243</f>
        <v>357.0</v>
      </c>
      <c r="J243" s="20">
        <f>9200/1000</f>
        <v>9.2</v>
      </c>
      <c r="K243" s="21">
        <f>I243*J243</f>
        <v>3284.3999999999996</v>
      </c>
      <c r="L243" s="22">
        <f>F243^2/162</f>
        <v>0.8888888888888888</v>
      </c>
      <c r="M243" s="21">
        <f>K243*L243</f>
        <v>2919.4666666666662</v>
      </c>
      <c r="N243" s="22">
        <f>M243/1000</f>
        <v>2.919466666666666</v>
      </c>
      <c r="O243" s="13" t="inlineStr">
        <is>
          <t>BBS</t>
        </is>
      </c>
    </row>
    <row r="244">
      <c r="A244" s="13" t="n">
        <v>239</v>
      </c>
      <c r="B244" s="13" t="inlineStr">
        <is>
          <t>Floor Slabs</t>
        </is>
      </c>
      <c r="C244" s="13" t="inlineStr">
        <is>
          <t>STR-089</t>
        </is>
      </c>
      <c r="D244" s="13" t="inlineStr">
        <is>
          <t>Ninth floor slab - top</t>
        </is>
      </c>
      <c r="E244" s="19" t="inlineStr">
        <is>
          <t>1266</t>
        </is>
      </c>
      <c r="F244" s="19" t="n">
        <v>12</v>
      </c>
      <c r="G244" s="19" t="n">
        <v>1</v>
      </c>
      <c r="H244" s="19" t="n">
        <v>12</v>
      </c>
      <c r="I244" s="13">
        <f>G244*H244</f>
        <v>12.0</v>
      </c>
      <c r="J244" s="20">
        <f>9475/1000</f>
        <v>9.475</v>
      </c>
      <c r="K244" s="21">
        <f>I244*J244</f>
        <v>113.69999999999999</v>
      </c>
      <c r="L244" s="22">
        <f>F244^2/162</f>
        <v>0.8888888888888888</v>
      </c>
      <c r="M244" s="21">
        <f>K244*L244</f>
        <v>101.06666666666665</v>
      </c>
      <c r="N244" s="22">
        <f>M244/1000</f>
        <v>0.10106666666666665</v>
      </c>
      <c r="O244" s="13" t="inlineStr">
        <is>
          <t>BBS</t>
        </is>
      </c>
    </row>
    <row r="245">
      <c r="A245" s="13" t="n">
        <v>240</v>
      </c>
      <c r="B245" s="13" t="inlineStr">
        <is>
          <t>Floor Slabs</t>
        </is>
      </c>
      <c r="C245" s="13" t="inlineStr">
        <is>
          <t>STR-089</t>
        </is>
      </c>
      <c r="D245" s="13" t="inlineStr">
        <is>
          <t>Ninth floor slab - top</t>
        </is>
      </c>
      <c r="E245" s="19" t="inlineStr">
        <is>
          <t>1267</t>
        </is>
      </c>
      <c r="F245" s="19" t="n">
        <v>12</v>
      </c>
      <c r="G245" s="19" t="n">
        <v>1</v>
      </c>
      <c r="H245" s="19" t="n">
        <v>101</v>
      </c>
      <c r="I245" s="13">
        <f>G245*H245</f>
        <v>101.0</v>
      </c>
      <c r="J245" s="20">
        <f>2200/1000</f>
        <v>2.2</v>
      </c>
      <c r="K245" s="21">
        <f>I245*J245</f>
        <v>222.20000000000002</v>
      </c>
      <c r="L245" s="22">
        <f>F245^2/162</f>
        <v>0.8888888888888888</v>
      </c>
      <c r="M245" s="21">
        <f>K245*L245</f>
        <v>197.51111111111112</v>
      </c>
      <c r="N245" s="22">
        <f>M245/1000</f>
        <v>0.1975111111111111</v>
      </c>
      <c r="O245" s="13" t="inlineStr">
        <is>
          <t>BBS</t>
        </is>
      </c>
    </row>
    <row r="246">
      <c r="A246" s="13" t="n">
        <v>241</v>
      </c>
      <c r="B246" s="13" t="inlineStr">
        <is>
          <t>Floor Slabs</t>
        </is>
      </c>
      <c r="C246" s="13" t="inlineStr">
        <is>
          <t>STR-089</t>
        </is>
      </c>
      <c r="D246" s="13" t="inlineStr">
        <is>
          <t>Ninth floor slab - top</t>
        </is>
      </c>
      <c r="E246" s="19" t="inlineStr">
        <is>
          <t>1268</t>
        </is>
      </c>
      <c r="F246" s="19" t="n">
        <v>12</v>
      </c>
      <c r="G246" s="19" t="n">
        <v>1</v>
      </c>
      <c r="H246" s="19" t="n">
        <v>9</v>
      </c>
      <c r="I246" s="13">
        <f>G246*H246</f>
        <v>9.0</v>
      </c>
      <c r="J246" s="20">
        <f>8500/1000</f>
        <v>8.5</v>
      </c>
      <c r="K246" s="21">
        <f>I246*J246</f>
        <v>76.5</v>
      </c>
      <c r="L246" s="22">
        <f>F246^2/162</f>
        <v>0.8888888888888888</v>
      </c>
      <c r="M246" s="21">
        <f>K246*L246</f>
        <v>68.0</v>
      </c>
      <c r="N246" s="22">
        <f>M246/1000</f>
        <v>0.068</v>
      </c>
      <c r="O246" s="13" t="inlineStr">
        <is>
          <t>BBS</t>
        </is>
      </c>
    </row>
    <row r="247">
      <c r="A247" s="13" t="n">
        <v>242</v>
      </c>
      <c r="B247" s="13" t="inlineStr">
        <is>
          <t>Floor Slabs</t>
        </is>
      </c>
      <c r="C247" s="13" t="inlineStr">
        <is>
          <t>STR-089</t>
        </is>
      </c>
      <c r="D247" s="13" t="inlineStr">
        <is>
          <t>Ninth floor slab - top</t>
        </is>
      </c>
      <c r="E247" s="19" t="inlineStr">
        <is>
          <t>1269</t>
        </is>
      </c>
      <c r="F247" s="19" t="n">
        <v>12</v>
      </c>
      <c r="G247" s="19" t="n">
        <v>1</v>
      </c>
      <c r="H247" s="19" t="n">
        <v>87</v>
      </c>
      <c r="I247" s="13">
        <f>G247*H247</f>
        <v>87.0</v>
      </c>
      <c r="J247" s="20">
        <f>4550/1000</f>
        <v>4.55</v>
      </c>
      <c r="K247" s="21">
        <f>I247*J247</f>
        <v>395.84999999999997</v>
      </c>
      <c r="L247" s="22">
        <f>F247^2/162</f>
        <v>0.8888888888888888</v>
      </c>
      <c r="M247" s="21">
        <f>K247*L247</f>
        <v>351.8666666666666</v>
      </c>
      <c r="N247" s="22">
        <f>M247/1000</f>
        <v>0.3518666666666666</v>
      </c>
      <c r="O247" s="13" t="inlineStr">
        <is>
          <t>BBS</t>
        </is>
      </c>
    </row>
    <row r="248">
      <c r="A248" s="13" t="n">
        <v>243</v>
      </c>
      <c r="B248" s="13" t="inlineStr">
        <is>
          <t>Floor Slabs</t>
        </is>
      </c>
      <c r="C248" s="13" t="inlineStr">
        <is>
          <t>STR-089</t>
        </is>
      </c>
      <c r="D248" s="13" t="inlineStr">
        <is>
          <t>Ninth floor slab - top</t>
        </is>
      </c>
      <c r="E248" s="19" t="inlineStr">
        <is>
          <t>1270</t>
        </is>
      </c>
      <c r="F248" s="19" t="n">
        <v>12</v>
      </c>
      <c r="G248" s="19" t="n">
        <v>1</v>
      </c>
      <c r="H248" s="19" t="n">
        <v>48</v>
      </c>
      <c r="I248" s="13">
        <f>G248*H248</f>
        <v>48.0</v>
      </c>
      <c r="J248" s="20">
        <f>8727/1000</f>
        <v>8.727</v>
      </c>
      <c r="K248" s="21">
        <f>I248*J248</f>
        <v>418.896</v>
      </c>
      <c r="L248" s="22">
        <f>F248^2/162</f>
        <v>0.8888888888888888</v>
      </c>
      <c r="M248" s="21">
        <f>K248*L248</f>
        <v>372.352</v>
      </c>
      <c r="N248" s="22">
        <f>M248/1000</f>
        <v>0.37235199999999996</v>
      </c>
      <c r="O248" s="13" t="inlineStr">
        <is>
          <t>BBS</t>
        </is>
      </c>
    </row>
    <row r="249">
      <c r="A249" s="13" t="n">
        <v>244</v>
      </c>
      <c r="B249" s="13" t="inlineStr">
        <is>
          <t>Floor Slabs</t>
        </is>
      </c>
      <c r="C249" s="13" t="inlineStr">
        <is>
          <t>STR-089</t>
        </is>
      </c>
      <c r="D249" s="13" t="inlineStr">
        <is>
          <t>Ninth floor slab - top</t>
        </is>
      </c>
      <c r="E249" s="19" t="inlineStr">
        <is>
          <t>1271</t>
        </is>
      </c>
      <c r="F249" s="19" t="n">
        <v>12</v>
      </c>
      <c r="G249" s="19" t="n">
        <v>1</v>
      </c>
      <c r="H249" s="19" t="n">
        <v>74</v>
      </c>
      <c r="I249" s="13">
        <f>G249*H249</f>
        <v>74.0</v>
      </c>
      <c r="J249" s="20">
        <f>12000/1000</f>
        <v>12.0</v>
      </c>
      <c r="K249" s="21">
        <f>I249*J249</f>
        <v>888.0</v>
      </c>
      <c r="L249" s="22">
        <f>F249^2/162</f>
        <v>0.8888888888888888</v>
      </c>
      <c r="M249" s="21">
        <f>K249*L249</f>
        <v>789.3333333333333</v>
      </c>
      <c r="N249" s="22">
        <f>M249/1000</f>
        <v>0.7893333333333332</v>
      </c>
      <c r="O249" s="13" t="inlineStr">
        <is>
          <t>BBS</t>
        </is>
      </c>
    </row>
    <row r="250">
      <c r="A250" s="13" t="n">
        <v>245</v>
      </c>
      <c r="B250" s="13" t="inlineStr">
        <is>
          <t>Floor Slabs</t>
        </is>
      </c>
      <c r="C250" s="13" t="inlineStr">
        <is>
          <t>STR-089</t>
        </is>
      </c>
      <c r="D250" s="13" t="inlineStr">
        <is>
          <t>Ninth floor slab - top</t>
        </is>
      </c>
      <c r="E250" s="19" t="inlineStr">
        <is>
          <t>1272</t>
        </is>
      </c>
      <c r="F250" s="19" t="n">
        <v>12</v>
      </c>
      <c r="G250" s="19" t="n">
        <v>1</v>
      </c>
      <c r="H250" s="19" t="n">
        <v>43</v>
      </c>
      <c r="I250" s="13">
        <f>G250*H250</f>
        <v>43.0</v>
      </c>
      <c r="J250" s="20">
        <f>11750/1000</f>
        <v>11.75</v>
      </c>
      <c r="K250" s="21">
        <f>I250*J250</f>
        <v>505.25</v>
      </c>
      <c r="L250" s="22">
        <f>F250^2/162</f>
        <v>0.8888888888888888</v>
      </c>
      <c r="M250" s="21">
        <f>K250*L250</f>
        <v>449.1111111111111</v>
      </c>
      <c r="N250" s="22">
        <f>M250/1000</f>
        <v>0.44911111111111107</v>
      </c>
      <c r="O250" s="13" t="inlineStr">
        <is>
          <t>BBS</t>
        </is>
      </c>
    </row>
    <row r="251">
      <c r="A251" s="13" t="n">
        <v>246</v>
      </c>
      <c r="B251" s="13" t="inlineStr">
        <is>
          <t>Floor Slabs</t>
        </is>
      </c>
      <c r="C251" s="13" t="inlineStr">
        <is>
          <t>STR-089</t>
        </is>
      </c>
      <c r="D251" s="13" t="inlineStr">
        <is>
          <t>Ninth floor slab - top</t>
        </is>
      </c>
      <c r="E251" s="19" t="inlineStr">
        <is>
          <t>1273</t>
        </is>
      </c>
      <c r="F251" s="19" t="n">
        <v>12</v>
      </c>
      <c r="G251" s="19" t="n">
        <v>1</v>
      </c>
      <c r="H251" s="19" t="n">
        <v>12</v>
      </c>
      <c r="I251" s="13">
        <f>G251*H251</f>
        <v>12.0</v>
      </c>
      <c r="J251" s="20">
        <f>8800/1000</f>
        <v>8.8</v>
      </c>
      <c r="K251" s="21">
        <f>I251*J251</f>
        <v>105.60000000000001</v>
      </c>
      <c r="L251" s="22">
        <f>F251^2/162</f>
        <v>0.8888888888888888</v>
      </c>
      <c r="M251" s="21">
        <f>K251*L251</f>
        <v>93.86666666666667</v>
      </c>
      <c r="N251" s="22">
        <f>M251/1000</f>
        <v>0.09386666666666667</v>
      </c>
      <c r="O251" s="13" t="inlineStr">
        <is>
          <t>BBS</t>
        </is>
      </c>
    </row>
    <row r="252">
      <c r="A252" s="13" t="n">
        <v>247</v>
      </c>
      <c r="B252" s="13" t="inlineStr">
        <is>
          <t>Floor Slabs</t>
        </is>
      </c>
      <c r="C252" s="13" t="inlineStr">
        <is>
          <t>STR-089</t>
        </is>
      </c>
      <c r="D252" s="13" t="inlineStr">
        <is>
          <t>Ninth floor slab - top</t>
        </is>
      </c>
      <c r="E252" s="19" t="inlineStr">
        <is>
          <t>1274</t>
        </is>
      </c>
      <c r="F252" s="19" t="n">
        <v>12</v>
      </c>
      <c r="G252" s="19" t="n">
        <v>1</v>
      </c>
      <c r="H252" s="19" t="n">
        <v>75</v>
      </c>
      <c r="I252" s="13">
        <f>G252*H252</f>
        <v>75.0</v>
      </c>
      <c r="J252" s="20">
        <f>7900/1000</f>
        <v>7.9</v>
      </c>
      <c r="K252" s="21">
        <f>I252*J252</f>
        <v>592.5</v>
      </c>
      <c r="L252" s="22">
        <f>F252^2/162</f>
        <v>0.8888888888888888</v>
      </c>
      <c r="M252" s="21">
        <f>K252*L252</f>
        <v>526.6666666666666</v>
      </c>
      <c r="N252" s="22">
        <f>M252/1000</f>
        <v>0.5266666666666666</v>
      </c>
      <c r="O252" s="13" t="inlineStr">
        <is>
          <t>BBS</t>
        </is>
      </c>
    </row>
    <row r="253">
      <c r="A253" s="13" t="n">
        <v>248</v>
      </c>
      <c r="B253" s="13" t="inlineStr">
        <is>
          <t>Floor Slabs</t>
        </is>
      </c>
      <c r="C253" s="13" t="inlineStr">
        <is>
          <t>STR-090</t>
        </is>
      </c>
      <c r="D253" s="13" t="inlineStr">
        <is>
          <t>Ninth floor slab - additional top</t>
        </is>
      </c>
      <c r="E253" s="19" t="inlineStr">
        <is>
          <t>1275</t>
        </is>
      </c>
      <c r="F253" s="19" t="n">
        <v>12</v>
      </c>
      <c r="G253" s="19" t="n">
        <v>1</v>
      </c>
      <c r="H253" s="19" t="n">
        <v>63</v>
      </c>
      <c r="I253" s="13">
        <f>G253*H253</f>
        <v>63.0</v>
      </c>
      <c r="J253" s="20">
        <f>9800/1000</f>
        <v>9.8</v>
      </c>
      <c r="K253" s="21">
        <f>I253*J253</f>
        <v>617.4000000000001</v>
      </c>
      <c r="L253" s="22">
        <f>F253^2/162</f>
        <v>0.8888888888888888</v>
      </c>
      <c r="M253" s="21">
        <f>K253*L253</f>
        <v>548.8000000000001</v>
      </c>
      <c r="N253" s="22">
        <f>M253/1000</f>
        <v>0.5488000000000001</v>
      </c>
      <c r="O253" s="13" t="inlineStr">
        <is>
          <t>BBS</t>
        </is>
      </c>
    </row>
    <row r="254">
      <c r="A254" s="13" t="n">
        <v>249</v>
      </c>
      <c r="B254" s="13" t="inlineStr">
        <is>
          <t>Floor Slabs</t>
        </is>
      </c>
      <c r="C254" s="13" t="inlineStr">
        <is>
          <t>STR-090</t>
        </is>
      </c>
      <c r="D254" s="13" t="inlineStr">
        <is>
          <t>Ninth floor slab - additional top</t>
        </is>
      </c>
      <c r="E254" s="19" t="inlineStr">
        <is>
          <t>1276</t>
        </is>
      </c>
      <c r="F254" s="19" t="n">
        <v>12</v>
      </c>
      <c r="G254" s="19" t="n">
        <v>1</v>
      </c>
      <c r="H254" s="19" t="n">
        <v>40</v>
      </c>
      <c r="I254" s="13">
        <f>G254*H254</f>
        <v>40.0</v>
      </c>
      <c r="J254" s="20">
        <f>11000/1000</f>
        <v>11.0</v>
      </c>
      <c r="K254" s="21">
        <f>I254*J254</f>
        <v>440.0</v>
      </c>
      <c r="L254" s="22">
        <f>F254^2/162</f>
        <v>0.8888888888888888</v>
      </c>
      <c r="M254" s="21">
        <f>K254*L254</f>
        <v>391.1111111111111</v>
      </c>
      <c r="N254" s="22">
        <f>M254/1000</f>
        <v>0.3911111111111111</v>
      </c>
      <c r="O254" s="13" t="inlineStr">
        <is>
          <t>BBS</t>
        </is>
      </c>
    </row>
    <row r="255">
      <c r="A255" s="13" t="n">
        <v>250</v>
      </c>
      <c r="B255" s="13" t="inlineStr">
        <is>
          <t>Floor Slabs</t>
        </is>
      </c>
      <c r="C255" s="13" t="inlineStr">
        <is>
          <t>STR-090</t>
        </is>
      </c>
      <c r="D255" s="13" t="inlineStr">
        <is>
          <t>Ninth floor slab - additional top</t>
        </is>
      </c>
      <c r="E255" s="19" t="inlineStr">
        <is>
          <t>1277</t>
        </is>
      </c>
      <c r="F255" s="19" t="n">
        <v>12</v>
      </c>
      <c r="G255" s="19" t="n">
        <v>1</v>
      </c>
      <c r="H255" s="19" t="n">
        <v>156</v>
      </c>
      <c r="I255" s="13">
        <f>G255*H255</f>
        <v>156.0</v>
      </c>
      <c r="J255" s="20">
        <f>3000/1000</f>
        <v>3.0</v>
      </c>
      <c r="K255" s="21">
        <f>I255*J255</f>
        <v>468.0</v>
      </c>
      <c r="L255" s="22">
        <f>F255^2/162</f>
        <v>0.8888888888888888</v>
      </c>
      <c r="M255" s="21">
        <f>K255*L255</f>
        <v>416.0</v>
      </c>
      <c r="N255" s="22">
        <f>M255/1000</f>
        <v>0.416</v>
      </c>
      <c r="O255" s="13" t="inlineStr">
        <is>
          <t>BBS</t>
        </is>
      </c>
    </row>
    <row r="256">
      <c r="A256" s="13" t="n">
        <v>251</v>
      </c>
      <c r="B256" s="13" t="inlineStr">
        <is>
          <t>Floor Slabs</t>
        </is>
      </c>
      <c r="C256" s="13" t="inlineStr">
        <is>
          <t>STR-090</t>
        </is>
      </c>
      <c r="D256" s="13" t="inlineStr">
        <is>
          <t>Ninth floor slab - additional top</t>
        </is>
      </c>
      <c r="E256" s="19" t="inlineStr">
        <is>
          <t>1278</t>
        </is>
      </c>
      <c r="F256" s="19" t="n">
        <v>12</v>
      </c>
      <c r="G256" s="19" t="n">
        <v>1</v>
      </c>
      <c r="H256" s="19" t="n">
        <v>63</v>
      </c>
      <c r="I256" s="13">
        <f>G256*H256</f>
        <v>63.0</v>
      </c>
      <c r="J256" s="20">
        <f>8800/1000</f>
        <v>8.8</v>
      </c>
      <c r="K256" s="21">
        <f>I256*J256</f>
        <v>554.4000000000001</v>
      </c>
      <c r="L256" s="22">
        <f>F256^2/162</f>
        <v>0.8888888888888888</v>
      </c>
      <c r="M256" s="21">
        <f>K256*L256</f>
        <v>492.80000000000007</v>
      </c>
      <c r="N256" s="22">
        <f>M256/1000</f>
        <v>0.49280000000000007</v>
      </c>
      <c r="O256" s="13" t="inlineStr">
        <is>
          <t>BBS</t>
        </is>
      </c>
    </row>
    <row r="257">
      <c r="A257" s="13" t="n">
        <v>252</v>
      </c>
      <c r="B257" s="13" t="inlineStr">
        <is>
          <t>Floor Slabs</t>
        </is>
      </c>
      <c r="C257" s="13" t="inlineStr">
        <is>
          <t>STR-090</t>
        </is>
      </c>
      <c r="D257" s="13" t="inlineStr">
        <is>
          <t>Ninth floor slab - additional top</t>
        </is>
      </c>
      <c r="E257" s="19" t="inlineStr">
        <is>
          <t>1279</t>
        </is>
      </c>
      <c r="F257" s="19" t="n">
        <v>12</v>
      </c>
      <c r="G257" s="19" t="n">
        <v>1</v>
      </c>
      <c r="H257" s="19" t="n">
        <v>10</v>
      </c>
      <c r="I257" s="13">
        <f>G257*H257</f>
        <v>10.0</v>
      </c>
      <c r="J257" s="20">
        <f>2875/1000</f>
        <v>2.875</v>
      </c>
      <c r="K257" s="21">
        <f>I257*J257</f>
        <v>28.75</v>
      </c>
      <c r="L257" s="22">
        <f>F257^2/162</f>
        <v>0.8888888888888888</v>
      </c>
      <c r="M257" s="21">
        <f>K257*L257</f>
        <v>25.555555555555554</v>
      </c>
      <c r="N257" s="22">
        <f>M257/1000</f>
        <v>0.025555555555555554</v>
      </c>
      <c r="O257" s="13" t="inlineStr">
        <is>
          <t>BBS</t>
        </is>
      </c>
    </row>
    <row r="258">
      <c r="A258" s="13" t="n">
        <v>253</v>
      </c>
      <c r="B258" s="13" t="inlineStr">
        <is>
          <t>Floor Slabs</t>
        </is>
      </c>
      <c r="C258" s="13" t="inlineStr">
        <is>
          <t>STR-090</t>
        </is>
      </c>
      <c r="D258" s="13" t="inlineStr">
        <is>
          <t>Ninth floor slab - additional top</t>
        </is>
      </c>
      <c r="E258" s="19" t="inlineStr">
        <is>
          <t>1280</t>
        </is>
      </c>
      <c r="F258" s="19" t="n">
        <v>12</v>
      </c>
      <c r="G258" s="19" t="n">
        <v>1</v>
      </c>
      <c r="H258" s="19" t="n">
        <v>10</v>
      </c>
      <c r="I258" s="13">
        <f>G258*H258</f>
        <v>10.0</v>
      </c>
      <c r="J258" s="20">
        <f>4150/1000</f>
        <v>4.15</v>
      </c>
      <c r="K258" s="21">
        <f>I258*J258</f>
        <v>41.5</v>
      </c>
      <c r="L258" s="22">
        <f>F258^2/162</f>
        <v>0.8888888888888888</v>
      </c>
      <c r="M258" s="21">
        <f>K258*L258</f>
        <v>36.888888888888886</v>
      </c>
      <c r="N258" s="22">
        <f>M258/1000</f>
        <v>0.03688888888888889</v>
      </c>
      <c r="O258" s="13" t="inlineStr">
        <is>
          <t>BBS</t>
        </is>
      </c>
    </row>
    <row r="259">
      <c r="A259" s="13" t="n">
        <v>254</v>
      </c>
      <c r="B259" s="13" t="inlineStr">
        <is>
          <t>Floor Slabs</t>
        </is>
      </c>
      <c r="C259" s="13" t="inlineStr">
        <is>
          <t>STR-090</t>
        </is>
      </c>
      <c r="D259" s="13" t="inlineStr">
        <is>
          <t>Ninth floor slab - additional top</t>
        </is>
      </c>
      <c r="E259" s="19" t="inlineStr">
        <is>
          <t>1281</t>
        </is>
      </c>
      <c r="F259" s="19" t="n">
        <v>12</v>
      </c>
      <c r="G259" s="19" t="n">
        <v>1</v>
      </c>
      <c r="H259" s="19" t="n">
        <v>73</v>
      </c>
      <c r="I259" s="13">
        <f>G259*H259</f>
        <v>73.0</v>
      </c>
      <c r="J259" s="20">
        <f>6000/1000</f>
        <v>6.0</v>
      </c>
      <c r="K259" s="21">
        <f>I259*J259</f>
        <v>438.0</v>
      </c>
      <c r="L259" s="22">
        <f>F259^2/162</f>
        <v>0.8888888888888888</v>
      </c>
      <c r="M259" s="21">
        <f>K259*L259</f>
        <v>389.3333333333333</v>
      </c>
      <c r="N259" s="22">
        <f>M259/1000</f>
        <v>0.3893333333333333</v>
      </c>
      <c r="O259" s="13" t="inlineStr">
        <is>
          <t>BBS</t>
        </is>
      </c>
    </row>
    <row r="260">
      <c r="A260" s="13" t="n">
        <v>255</v>
      </c>
      <c r="B260" s="13" t="inlineStr">
        <is>
          <t>Floor Slabs</t>
        </is>
      </c>
      <c r="C260" s="13" t="inlineStr">
        <is>
          <t>STR-090</t>
        </is>
      </c>
      <c r="D260" s="13" t="inlineStr">
        <is>
          <t>Ninth floor slab - additional top</t>
        </is>
      </c>
      <c r="E260" s="19" t="inlineStr">
        <is>
          <t>1282</t>
        </is>
      </c>
      <c r="F260" s="19" t="n">
        <v>12</v>
      </c>
      <c r="G260" s="19" t="n">
        <v>1</v>
      </c>
      <c r="H260" s="19" t="n">
        <v>60</v>
      </c>
      <c r="I260" s="13">
        <f>G260*H260</f>
        <v>60.0</v>
      </c>
      <c r="J260" s="20">
        <f>4900/1000</f>
        <v>4.9</v>
      </c>
      <c r="K260" s="21">
        <f>I260*J260</f>
        <v>294.0</v>
      </c>
      <c r="L260" s="22">
        <f>F260^2/162</f>
        <v>0.8888888888888888</v>
      </c>
      <c r="M260" s="21">
        <f>K260*L260</f>
        <v>261.3333333333333</v>
      </c>
      <c r="N260" s="22">
        <f>M260/1000</f>
        <v>0.2613333333333333</v>
      </c>
      <c r="O260" s="13" t="inlineStr">
        <is>
          <t>BBS</t>
        </is>
      </c>
    </row>
    <row r="261">
      <c r="A261" s="13" t="n">
        <v>256</v>
      </c>
      <c r="B261" s="13" t="inlineStr">
        <is>
          <t>Floor Slabs</t>
        </is>
      </c>
      <c r="C261" s="13" t="inlineStr">
        <is>
          <t>STR-090</t>
        </is>
      </c>
      <c r="D261" s="13" t="inlineStr">
        <is>
          <t>Ninth floor slab - additional top</t>
        </is>
      </c>
      <c r="E261" s="19" t="inlineStr">
        <is>
          <t>1283</t>
        </is>
      </c>
      <c r="F261" s="19" t="n">
        <v>12</v>
      </c>
      <c r="G261" s="19" t="n">
        <v>1</v>
      </c>
      <c r="H261" s="19" t="n">
        <v>8</v>
      </c>
      <c r="I261" s="13">
        <f>G261*H261</f>
        <v>8.0</v>
      </c>
      <c r="J261" s="20">
        <f>1475/1000</f>
        <v>1.475</v>
      </c>
      <c r="K261" s="21">
        <f>I261*J261</f>
        <v>11.8</v>
      </c>
      <c r="L261" s="22">
        <f>F261^2/162</f>
        <v>0.8888888888888888</v>
      </c>
      <c r="M261" s="21">
        <f>K261*L261</f>
        <v>10.488888888888889</v>
      </c>
      <c r="N261" s="22">
        <f>M261/1000</f>
        <v>0.01048888888888889</v>
      </c>
      <c r="O261" s="13" t="inlineStr">
        <is>
          <t>BBS</t>
        </is>
      </c>
    </row>
    <row r="262">
      <c r="A262" s="13" t="n">
        <v>257</v>
      </c>
      <c r="B262" s="13" t="inlineStr">
        <is>
          <t>Floor Slabs</t>
        </is>
      </c>
      <c r="C262" s="13" t="inlineStr">
        <is>
          <t>STR-090</t>
        </is>
      </c>
      <c r="D262" s="13" t="inlineStr">
        <is>
          <t>Ninth floor slab - additional top</t>
        </is>
      </c>
      <c r="E262" s="19" t="inlineStr">
        <is>
          <t>1601</t>
        </is>
      </c>
      <c r="F262" s="19" t="n">
        <v>16</v>
      </c>
      <c r="G262" s="19" t="n">
        <v>1</v>
      </c>
      <c r="H262" s="19" t="n">
        <v>6</v>
      </c>
      <c r="I262" s="13">
        <f>G262*H262</f>
        <v>6.0</v>
      </c>
      <c r="J262" s="20">
        <f>3675/1000</f>
        <v>3.675</v>
      </c>
      <c r="K262" s="21">
        <f>I262*J262</f>
        <v>22.049999999999997</v>
      </c>
      <c r="L262" s="22">
        <f>F262^2/162</f>
        <v>1.5802469135802468</v>
      </c>
      <c r="M262" s="21">
        <f>K262*L262</f>
        <v>34.84444444444444</v>
      </c>
      <c r="N262" s="22">
        <f>M262/1000</f>
        <v>0.03484444444444444</v>
      </c>
      <c r="O262" s="13" t="inlineStr">
        <is>
          <t>BBS</t>
        </is>
      </c>
    </row>
    <row r="263">
      <c r="A263" s="13" t="n">
        <v>258</v>
      </c>
      <c r="B263" s="13" t="inlineStr">
        <is>
          <t>Floor Slabs</t>
        </is>
      </c>
      <c r="C263" s="13" t="inlineStr">
        <is>
          <t>STR-090</t>
        </is>
      </c>
      <c r="D263" s="13" t="inlineStr">
        <is>
          <t>Ninth floor slab - additional top</t>
        </is>
      </c>
      <c r="E263" s="19" t="inlineStr">
        <is>
          <t>1602</t>
        </is>
      </c>
      <c r="F263" s="19" t="n">
        <v>16</v>
      </c>
      <c r="G263" s="19" t="n">
        <v>1</v>
      </c>
      <c r="H263" s="19" t="n">
        <v>6</v>
      </c>
      <c r="I263" s="13">
        <f>G263*H263</f>
        <v>6.0</v>
      </c>
      <c r="J263" s="20">
        <f>6675/1000</f>
        <v>6.675</v>
      </c>
      <c r="K263" s="21">
        <f>I263*J263</f>
        <v>40.05</v>
      </c>
      <c r="L263" s="22">
        <f>F263^2/162</f>
        <v>1.5802469135802468</v>
      </c>
      <c r="M263" s="21">
        <f>K263*L263</f>
        <v>63.288888888888884</v>
      </c>
      <c r="N263" s="22">
        <f>M263/1000</f>
        <v>0.06328888888888888</v>
      </c>
      <c r="O263" s="13" t="inlineStr">
        <is>
          <t>BBS</t>
        </is>
      </c>
    </row>
    <row r="264">
      <c r="A264" s="13" t="n">
        <v>259</v>
      </c>
      <c r="B264" s="13" t="inlineStr">
        <is>
          <t>Floor Slabs</t>
        </is>
      </c>
      <c r="C264" s="13" t="inlineStr">
        <is>
          <t>STR-090</t>
        </is>
      </c>
      <c r="D264" s="13" t="inlineStr">
        <is>
          <t>Ninth floor slab - additional top</t>
        </is>
      </c>
      <c r="E264" s="19" t="inlineStr">
        <is>
          <t>1603</t>
        </is>
      </c>
      <c r="F264" s="19" t="n">
        <v>16</v>
      </c>
      <c r="G264" s="19" t="n">
        <v>1</v>
      </c>
      <c r="H264" s="19" t="n">
        <v>3</v>
      </c>
      <c r="I264" s="13">
        <f>G264*H264</f>
        <v>3.0</v>
      </c>
      <c r="J264" s="20">
        <f>3000/1000</f>
        <v>3.0</v>
      </c>
      <c r="K264" s="21">
        <f>I264*J264</f>
        <v>9.0</v>
      </c>
      <c r="L264" s="22">
        <f>F264^2/162</f>
        <v>1.5802469135802468</v>
      </c>
      <c r="M264" s="21">
        <f>K264*L264</f>
        <v>14.222222222222221</v>
      </c>
      <c r="N264" s="22">
        <f>M264/1000</f>
        <v>0.014222222222222221</v>
      </c>
      <c r="O264" s="13" t="inlineStr">
        <is>
          <t>BBS</t>
        </is>
      </c>
    </row>
    <row r="265">
      <c r="A265" s="13" t="n">
        <v>260</v>
      </c>
      <c r="B265" s="13" t="inlineStr">
        <is>
          <t>Floor Slabs</t>
        </is>
      </c>
      <c r="C265" s="13" t="inlineStr">
        <is>
          <t>STR-090</t>
        </is>
      </c>
      <c r="D265" s="13" t="inlineStr">
        <is>
          <t>Ninth floor slab - additional top</t>
        </is>
      </c>
      <c r="E265" s="19" t="inlineStr">
        <is>
          <t>1604</t>
        </is>
      </c>
      <c r="F265" s="19" t="n">
        <v>16</v>
      </c>
      <c r="G265" s="19" t="n">
        <v>1</v>
      </c>
      <c r="H265" s="19" t="n">
        <v>6</v>
      </c>
      <c r="I265" s="13">
        <f>G265*H265</f>
        <v>6.0</v>
      </c>
      <c r="J265" s="20">
        <f>4025/1000</f>
        <v>4.025</v>
      </c>
      <c r="K265" s="21">
        <f>I265*J265</f>
        <v>24.150000000000002</v>
      </c>
      <c r="L265" s="22">
        <f>F265^2/162</f>
        <v>1.5802469135802468</v>
      </c>
      <c r="M265" s="21">
        <f>K265*L265</f>
        <v>38.162962962962965</v>
      </c>
      <c r="N265" s="22">
        <f>M265/1000</f>
        <v>0.03816296296296297</v>
      </c>
      <c r="O265" s="13" t="inlineStr">
        <is>
          <t>BBS</t>
        </is>
      </c>
    </row>
    <row r="266">
      <c r="A266" s="13" t="n">
        <v>261</v>
      </c>
      <c r="B266" s="13" t="inlineStr">
        <is>
          <t>Staircases</t>
        </is>
      </c>
      <c r="C266" s="13" t="inlineStr">
        <is>
          <t>STR-027</t>
        </is>
      </c>
      <c r="D266" s="13" t="inlineStr">
        <is>
          <t>Main staircase typical flight (4th to 10th, one storey)</t>
        </is>
      </c>
      <c r="E266" s="19" t="inlineStr">
        <is>
          <t>1201</t>
        </is>
      </c>
      <c r="F266" s="19" t="n">
        <v>12</v>
      </c>
      <c r="G266" s="19" t="n">
        <v>1</v>
      </c>
      <c r="H266" s="19" t="n">
        <v>30</v>
      </c>
      <c r="I266" s="13">
        <f>G266*H266</f>
        <v>30.0</v>
      </c>
      <c r="J266" s="20">
        <f>6200/1000</f>
        <v>6.2</v>
      </c>
      <c r="K266" s="21">
        <f>I266*J266</f>
        <v>186.0</v>
      </c>
      <c r="L266" s="22">
        <f>F266^2/162</f>
        <v>0.8888888888888888</v>
      </c>
      <c r="M266" s="21">
        <f>K266*L266</f>
        <v>165.33333333333331</v>
      </c>
      <c r="N266" s="22">
        <f>M266/1000</f>
        <v>0.1653333333333333</v>
      </c>
      <c r="O266" s="13" t="inlineStr">
        <is>
          <t>BBS</t>
        </is>
      </c>
    </row>
    <row r="267">
      <c r="A267" s="13" t="n">
        <v>262</v>
      </c>
      <c r="B267" s="13" t="inlineStr">
        <is>
          <t>Staircases</t>
        </is>
      </c>
      <c r="C267" s="13" t="inlineStr">
        <is>
          <t>STR-027</t>
        </is>
      </c>
      <c r="D267" s="13" t="inlineStr">
        <is>
          <t>Main staircase typical flight (4th to 10th, one storey)</t>
        </is>
      </c>
      <c r="E267" s="19" t="inlineStr">
        <is>
          <t>1202</t>
        </is>
      </c>
      <c r="F267" s="19" t="n">
        <v>12</v>
      </c>
      <c r="G267" s="19" t="n">
        <v>1</v>
      </c>
      <c r="H267" s="19" t="n">
        <v>80</v>
      </c>
      <c r="I267" s="13">
        <f>G267*H267</f>
        <v>80.0</v>
      </c>
      <c r="J267" s="20">
        <f>2300/1000</f>
        <v>2.3</v>
      </c>
      <c r="K267" s="21">
        <f>I267*J267</f>
        <v>184.0</v>
      </c>
      <c r="L267" s="22">
        <f>F267^2/162</f>
        <v>0.8888888888888888</v>
      </c>
      <c r="M267" s="21">
        <f>K267*L267</f>
        <v>163.55555555555554</v>
      </c>
      <c r="N267" s="22">
        <f>M267/1000</f>
        <v>0.16355555555555554</v>
      </c>
      <c r="O267" s="13" t="inlineStr">
        <is>
          <t>BBS</t>
        </is>
      </c>
    </row>
    <row r="268">
      <c r="A268" s="13" t="n">
        <v>263</v>
      </c>
      <c r="B268" s="13" t="inlineStr">
        <is>
          <t>Staircases</t>
        </is>
      </c>
      <c r="C268" s="13" t="inlineStr">
        <is>
          <t>STR-027</t>
        </is>
      </c>
      <c r="D268" s="13" t="inlineStr">
        <is>
          <t>Main staircase typical flight (4th to 10th, one storey)</t>
        </is>
      </c>
      <c r="E268" s="19" t="inlineStr">
        <is>
          <t>1203</t>
        </is>
      </c>
      <c r="F268" s="19" t="n">
        <v>12</v>
      </c>
      <c r="G268" s="19" t="n">
        <v>1</v>
      </c>
      <c r="H268" s="19" t="n">
        <v>26</v>
      </c>
      <c r="I268" s="13">
        <f>G268*H268</f>
        <v>26.0</v>
      </c>
      <c r="J268" s="20">
        <f>4800/1000</f>
        <v>4.8</v>
      </c>
      <c r="K268" s="21">
        <f>I268*J268</f>
        <v>124.8</v>
      </c>
      <c r="L268" s="22">
        <f>F268^2/162</f>
        <v>0.8888888888888888</v>
      </c>
      <c r="M268" s="21">
        <f>K268*L268</f>
        <v>110.93333333333332</v>
      </c>
      <c r="N268" s="22">
        <f>M268/1000</f>
        <v>0.11093333333333333</v>
      </c>
      <c r="O268" s="13" t="inlineStr">
        <is>
          <t>BBS</t>
        </is>
      </c>
    </row>
    <row r="269">
      <c r="A269" s="13" t="n">
        <v>264</v>
      </c>
      <c r="B269" s="13" t="inlineStr">
        <is>
          <t>Staircases</t>
        </is>
      </c>
      <c r="C269" s="13" t="inlineStr">
        <is>
          <t>STR-027</t>
        </is>
      </c>
      <c r="D269" s="13" t="inlineStr">
        <is>
          <t>Main staircase typical flight (4th to 10th, one storey)</t>
        </is>
      </c>
      <c r="E269" s="19" t="inlineStr">
        <is>
          <t>1601</t>
        </is>
      </c>
      <c r="F269" s="19" t="n">
        <v>16</v>
      </c>
      <c r="G269" s="19" t="n">
        <v>1</v>
      </c>
      <c r="H269" s="19" t="n">
        <v>11</v>
      </c>
      <c r="I269" s="13">
        <f>G269*H269</f>
        <v>11.0</v>
      </c>
      <c r="J269" s="20">
        <f>8450/1000</f>
        <v>8.45</v>
      </c>
      <c r="K269" s="21">
        <f>I269*J269</f>
        <v>92.94999999999999</v>
      </c>
      <c r="L269" s="22">
        <f>F269^2/162</f>
        <v>1.5802469135802468</v>
      </c>
      <c r="M269" s="21">
        <f>K269*L269</f>
        <v>146.88395061728392</v>
      </c>
      <c r="N269" s="22">
        <f>M269/1000</f>
        <v>0.1468839506172839</v>
      </c>
      <c r="O269" s="13" t="inlineStr">
        <is>
          <t>BBS</t>
        </is>
      </c>
    </row>
    <row r="270">
      <c r="A270" s="13" t="n">
        <v>265</v>
      </c>
      <c r="B270" s="13" t="inlineStr">
        <is>
          <t>Staircases</t>
        </is>
      </c>
      <c r="C270" s="13" t="inlineStr">
        <is>
          <t>STR-027</t>
        </is>
      </c>
      <c r="D270" s="13" t="inlineStr">
        <is>
          <t>Main staircase typical flight (4th to 10th, one storey)</t>
        </is>
      </c>
      <c r="E270" s="19" t="inlineStr">
        <is>
          <t>1602</t>
        </is>
      </c>
      <c r="F270" s="19" t="n">
        <v>16</v>
      </c>
      <c r="G270" s="19" t="n">
        <v>1</v>
      </c>
      <c r="H270" s="19" t="n">
        <v>11</v>
      </c>
      <c r="I270" s="13">
        <f>G270*H270</f>
        <v>11.0</v>
      </c>
      <c r="J270" s="20">
        <f>4475/1000</f>
        <v>4.475</v>
      </c>
      <c r="K270" s="21">
        <f>I270*J270</f>
        <v>49.224999999999994</v>
      </c>
      <c r="L270" s="22">
        <f>F270^2/162</f>
        <v>1.5802469135802468</v>
      </c>
      <c r="M270" s="21">
        <f>K270*L270</f>
        <v>77.78765432098764</v>
      </c>
      <c r="N270" s="22">
        <f>M270/1000</f>
        <v>0.07778765432098764</v>
      </c>
      <c r="O270" s="13" t="inlineStr">
        <is>
          <t>BBS</t>
        </is>
      </c>
    </row>
    <row r="271">
      <c r="A271" s="13" t="n">
        <v>266</v>
      </c>
      <c r="B271" s="13" t="inlineStr">
        <is>
          <t>Staircases</t>
        </is>
      </c>
      <c r="C271" s="13" t="inlineStr">
        <is>
          <t>STR-027</t>
        </is>
      </c>
      <c r="D271" s="13" t="inlineStr">
        <is>
          <t>Main staircase typical flight (4th to 10th, one storey)</t>
        </is>
      </c>
      <c r="E271" s="19" t="inlineStr">
        <is>
          <t>1603</t>
        </is>
      </c>
      <c r="F271" s="19" t="n">
        <v>16</v>
      </c>
      <c r="G271" s="19" t="n">
        <v>1</v>
      </c>
      <c r="H271" s="19" t="n">
        <v>11</v>
      </c>
      <c r="I271" s="13">
        <f>G271*H271</f>
        <v>11.0</v>
      </c>
      <c r="J271" s="20">
        <f>2400/1000</f>
        <v>2.4</v>
      </c>
      <c r="K271" s="21">
        <f>I271*J271</f>
        <v>26.4</v>
      </c>
      <c r="L271" s="22">
        <f>F271^2/162</f>
        <v>1.5802469135802468</v>
      </c>
      <c r="M271" s="21">
        <f>K271*L271</f>
        <v>41.718518518518515</v>
      </c>
      <c r="N271" s="22">
        <f>M271/1000</f>
        <v>0.041718518518518516</v>
      </c>
      <c r="O271" s="13" t="inlineStr">
        <is>
          <t>BBS</t>
        </is>
      </c>
    </row>
    <row r="272">
      <c r="A272" s="13" t="n">
        <v>267</v>
      </c>
      <c r="B272" s="13" t="inlineStr">
        <is>
          <t>Staircases</t>
        </is>
      </c>
      <c r="C272" s="13" t="inlineStr">
        <is>
          <t>STR-027</t>
        </is>
      </c>
      <c r="D272" s="13" t="inlineStr">
        <is>
          <t>Main staircase typical flight (4th to 10th, one storey)</t>
        </is>
      </c>
      <c r="E272" s="19" t="inlineStr">
        <is>
          <t>1604</t>
        </is>
      </c>
      <c r="F272" s="19" t="n">
        <v>16</v>
      </c>
      <c r="G272" s="19" t="n">
        <v>1</v>
      </c>
      <c r="H272" s="19" t="n">
        <v>11</v>
      </c>
      <c r="I272" s="13">
        <f>G272*H272</f>
        <v>11.0</v>
      </c>
      <c r="J272" s="20">
        <f>4250/1000</f>
        <v>4.25</v>
      </c>
      <c r="K272" s="21">
        <f>I272*J272</f>
        <v>46.75</v>
      </c>
      <c r="L272" s="22">
        <f>F272^2/162</f>
        <v>1.5802469135802468</v>
      </c>
      <c r="M272" s="21">
        <f>K272*L272</f>
        <v>73.87654320987654</v>
      </c>
      <c r="N272" s="22">
        <f>M272/1000</f>
        <v>0.07387654320987655</v>
      </c>
      <c r="O272" s="13" t="inlineStr">
        <is>
          <t>BBS</t>
        </is>
      </c>
    </row>
    <row r="273">
      <c r="A273" s="13" t="n">
        <v>268</v>
      </c>
      <c r="B273" s="13" t="inlineStr">
        <is>
          <t>Staircases</t>
        </is>
      </c>
      <c r="C273" s="13" t="inlineStr">
        <is>
          <t>STR-027</t>
        </is>
      </c>
      <c r="D273" s="13" t="inlineStr">
        <is>
          <t>Main staircase typical flight (4th to 10th, one storey)</t>
        </is>
      </c>
      <c r="E273" s="19" t="inlineStr">
        <is>
          <t>1605</t>
        </is>
      </c>
      <c r="F273" s="19" t="n">
        <v>16</v>
      </c>
      <c r="G273" s="19" t="n">
        <v>1</v>
      </c>
      <c r="H273" s="19" t="n">
        <v>11</v>
      </c>
      <c r="I273" s="13">
        <f>G273*H273</f>
        <v>11.0</v>
      </c>
      <c r="J273" s="20">
        <f>2100/1000</f>
        <v>2.1</v>
      </c>
      <c r="K273" s="21">
        <f>I273*J273</f>
        <v>23.1</v>
      </c>
      <c r="L273" s="22">
        <f>F273^2/162</f>
        <v>1.5802469135802468</v>
      </c>
      <c r="M273" s="21">
        <f>K273*L273</f>
        <v>36.50370370370371</v>
      </c>
      <c r="N273" s="22">
        <f>M273/1000</f>
        <v>0.036503703703703705</v>
      </c>
      <c r="O273" s="13" t="inlineStr">
        <is>
          <t>BBS</t>
        </is>
      </c>
    </row>
    <row r="274">
      <c r="A274" s="13" t="n">
        <v>269</v>
      </c>
      <c r="B274" s="13" t="inlineStr">
        <is>
          <t>Staircases</t>
        </is>
      </c>
      <c r="C274" s="13" t="inlineStr">
        <is>
          <t>STR-027</t>
        </is>
      </c>
      <c r="D274" s="13" t="inlineStr">
        <is>
          <t>Main staircase typical flight (4th to 10th, one storey)</t>
        </is>
      </c>
      <c r="E274" s="19" t="inlineStr">
        <is>
          <t>1606</t>
        </is>
      </c>
      <c r="F274" s="19" t="n">
        <v>16</v>
      </c>
      <c r="G274" s="19" t="n">
        <v>1</v>
      </c>
      <c r="H274" s="19" t="n">
        <v>11</v>
      </c>
      <c r="I274" s="13">
        <f>G274*H274</f>
        <v>11.0</v>
      </c>
      <c r="J274" s="20">
        <f>6950/1000</f>
        <v>6.95</v>
      </c>
      <c r="K274" s="21">
        <f>I274*J274</f>
        <v>76.45</v>
      </c>
      <c r="L274" s="22">
        <f>F274^2/162</f>
        <v>1.5802469135802468</v>
      </c>
      <c r="M274" s="21">
        <f>K274*L274</f>
        <v>120.80987654320987</v>
      </c>
      <c r="N274" s="22">
        <f>M274/1000</f>
        <v>0.12080987654320986</v>
      </c>
      <c r="O274" s="13" t="inlineStr">
        <is>
          <t>BBS</t>
        </is>
      </c>
    </row>
    <row r="275">
      <c r="A275" s="13" t="n">
        <v>270</v>
      </c>
      <c r="B275" s="13" t="inlineStr">
        <is>
          <t>Staircases</t>
        </is>
      </c>
      <c r="C275" s="13" t="inlineStr">
        <is>
          <t>STR-027</t>
        </is>
      </c>
      <c r="D275" s="13" t="inlineStr">
        <is>
          <t>Main staircase typical flight (4th to 10th, one storey)</t>
        </is>
      </c>
      <c r="E275" s="19" t="inlineStr">
        <is>
          <t>1607</t>
        </is>
      </c>
      <c r="F275" s="19" t="n">
        <v>16</v>
      </c>
      <c r="G275" s="19" t="n">
        <v>1</v>
      </c>
      <c r="H275" s="19" t="n">
        <v>11</v>
      </c>
      <c r="I275" s="13">
        <f>G275*H275</f>
        <v>11.0</v>
      </c>
      <c r="J275" s="20">
        <f>3300/1000</f>
        <v>3.3</v>
      </c>
      <c r="K275" s="21">
        <f>I275*J275</f>
        <v>36.3</v>
      </c>
      <c r="L275" s="22">
        <f>F275^2/162</f>
        <v>1.5802469135802468</v>
      </c>
      <c r="M275" s="21">
        <f>K275*L275</f>
        <v>57.36296296296295</v>
      </c>
      <c r="N275" s="22">
        <f>M275/1000</f>
        <v>0.057362962962962956</v>
      </c>
      <c r="O275" s="13" t="inlineStr">
        <is>
          <t>BBS</t>
        </is>
      </c>
    </row>
    <row r="276">
      <c r="A276" s="13" t="n">
        <v>271</v>
      </c>
      <c r="B276" s="13" t="inlineStr">
        <is>
          <t>Staircases</t>
        </is>
      </c>
      <c r="C276" s="13" t="inlineStr">
        <is>
          <t>STR-027</t>
        </is>
      </c>
      <c r="D276" s="13" t="inlineStr">
        <is>
          <t>Main staircase typical flight (4th to 10th, one storey)</t>
        </is>
      </c>
      <c r="E276" s="19" t="inlineStr">
        <is>
          <t>1608</t>
        </is>
      </c>
      <c r="F276" s="19" t="n">
        <v>16</v>
      </c>
      <c r="G276" s="19" t="n">
        <v>1</v>
      </c>
      <c r="H276" s="19" t="n">
        <v>11</v>
      </c>
      <c r="I276" s="13">
        <f>G276*H276</f>
        <v>11.0</v>
      </c>
      <c r="J276" s="20">
        <f>1200/1000</f>
        <v>1.2</v>
      </c>
      <c r="K276" s="21">
        <f>I276*J276</f>
        <v>13.2</v>
      </c>
      <c r="L276" s="22">
        <f>F276^2/162</f>
        <v>1.5802469135802468</v>
      </c>
      <c r="M276" s="21">
        <f>K276*L276</f>
        <v>20.859259259259257</v>
      </c>
      <c r="N276" s="22">
        <f>M276/1000</f>
        <v>0.020859259259259258</v>
      </c>
      <c r="O276" s="13" t="inlineStr">
        <is>
          <t>BBS</t>
        </is>
      </c>
    </row>
    <row r="277">
      <c r="A277" s="13" t="n">
        <v>272</v>
      </c>
      <c r="B277" s="13" t="inlineStr">
        <is>
          <t>Staircases</t>
        </is>
      </c>
      <c r="C277" s="13" t="inlineStr">
        <is>
          <t>STR-027</t>
        </is>
      </c>
      <c r="D277" s="13" t="inlineStr">
        <is>
          <t>Main staircase typical flight (4th to 10th, one storey)</t>
        </is>
      </c>
      <c r="E277" s="19" t="inlineStr">
        <is>
          <t>1609</t>
        </is>
      </c>
      <c r="F277" s="19" t="n">
        <v>16</v>
      </c>
      <c r="G277" s="19" t="n">
        <v>1</v>
      </c>
      <c r="H277" s="19" t="n">
        <v>11</v>
      </c>
      <c r="I277" s="13">
        <f>G277*H277</f>
        <v>11.0</v>
      </c>
      <c r="J277" s="20">
        <f>6225/1000</f>
        <v>6.225</v>
      </c>
      <c r="K277" s="21">
        <f>I277*J277</f>
        <v>68.475</v>
      </c>
      <c r="L277" s="22">
        <f>F277^2/162</f>
        <v>1.5802469135802468</v>
      </c>
      <c r="M277" s="21">
        <f>K277*L277</f>
        <v>108.20740740740739</v>
      </c>
      <c r="N277" s="22">
        <f>M277/1000</f>
        <v>0.10820740740740739</v>
      </c>
      <c r="O277" s="13" t="inlineStr">
        <is>
          <t>BBS</t>
        </is>
      </c>
    </row>
    <row r="278">
      <c r="A278" s="13" t="n">
        <v>273</v>
      </c>
      <c r="B278" s="13" t="inlineStr">
        <is>
          <t>Staircases</t>
        </is>
      </c>
      <c r="C278" s="13" t="inlineStr">
        <is>
          <t>STR-027</t>
        </is>
      </c>
      <c r="D278" s="13" t="inlineStr">
        <is>
          <t>Main staircase typical flight (4th to 10th, one storey)</t>
        </is>
      </c>
      <c r="E278" s="19" t="inlineStr">
        <is>
          <t>1610</t>
        </is>
      </c>
      <c r="F278" s="19" t="n">
        <v>16</v>
      </c>
      <c r="G278" s="19" t="n">
        <v>1</v>
      </c>
      <c r="H278" s="19" t="n">
        <v>11</v>
      </c>
      <c r="I278" s="13">
        <f>G278*H278</f>
        <v>11.0</v>
      </c>
      <c r="J278" s="20">
        <f>3225/1000</f>
        <v>3.225</v>
      </c>
      <c r="K278" s="21">
        <f>I278*J278</f>
        <v>35.475</v>
      </c>
      <c r="L278" s="22">
        <f>F278^2/162</f>
        <v>1.5802469135802468</v>
      </c>
      <c r="M278" s="21">
        <f>K278*L278</f>
        <v>56.05925925925926</v>
      </c>
      <c r="N278" s="22">
        <f>M278/1000</f>
        <v>0.05605925925925926</v>
      </c>
      <c r="O278" s="13" t="inlineStr">
        <is>
          <t>BBS</t>
        </is>
      </c>
    </row>
    <row r="279">
      <c r="A279" s="13" t="n">
        <v>274</v>
      </c>
      <c r="B279" s="13" t="inlineStr">
        <is>
          <t>Staircases</t>
        </is>
      </c>
      <c r="C279" s="13" t="inlineStr">
        <is>
          <t>STR-037</t>
        </is>
      </c>
      <c r="D279" s="13" t="inlineStr">
        <is>
          <t>Emergency staircase typical flight (4th to 10th, one storey)</t>
        </is>
      </c>
      <c r="E279" s="19" t="inlineStr">
        <is>
          <t>1201</t>
        </is>
      </c>
      <c r="F279" s="19" t="n">
        <v>12</v>
      </c>
      <c r="G279" s="19" t="n">
        <v>1</v>
      </c>
      <c r="H279" s="19" t="n">
        <v>30</v>
      </c>
      <c r="I279" s="13">
        <f>G279*H279</f>
        <v>30.0</v>
      </c>
      <c r="J279" s="20">
        <f>6200/1000</f>
        <v>6.2</v>
      </c>
      <c r="K279" s="21">
        <f>I279*J279</f>
        <v>186.0</v>
      </c>
      <c r="L279" s="22">
        <f>F279^2/162</f>
        <v>0.8888888888888888</v>
      </c>
      <c r="M279" s="21">
        <f>K279*L279</f>
        <v>165.33333333333331</v>
      </c>
      <c r="N279" s="22">
        <f>M279/1000</f>
        <v>0.1653333333333333</v>
      </c>
      <c r="O279" s="13" t="inlineStr">
        <is>
          <t>BBS</t>
        </is>
      </c>
    </row>
    <row r="280">
      <c r="A280" s="13" t="n">
        <v>275</v>
      </c>
      <c r="B280" s="13" t="inlineStr">
        <is>
          <t>Staircases</t>
        </is>
      </c>
      <c r="C280" s="13" t="inlineStr">
        <is>
          <t>STR-037</t>
        </is>
      </c>
      <c r="D280" s="13" t="inlineStr">
        <is>
          <t>Emergency staircase typical flight (4th to 10th, one storey)</t>
        </is>
      </c>
      <c r="E280" s="19" t="inlineStr">
        <is>
          <t>1202</t>
        </is>
      </c>
      <c r="F280" s="19" t="n">
        <v>12</v>
      </c>
      <c r="G280" s="19" t="n">
        <v>1</v>
      </c>
      <c r="H280" s="19" t="n">
        <v>80</v>
      </c>
      <c r="I280" s="13">
        <f>G280*H280</f>
        <v>80.0</v>
      </c>
      <c r="J280" s="20">
        <f>2300/1000</f>
        <v>2.3</v>
      </c>
      <c r="K280" s="21">
        <f>I280*J280</f>
        <v>184.0</v>
      </c>
      <c r="L280" s="22">
        <f>F280^2/162</f>
        <v>0.8888888888888888</v>
      </c>
      <c r="M280" s="21">
        <f>K280*L280</f>
        <v>163.55555555555554</v>
      </c>
      <c r="N280" s="22">
        <f>M280/1000</f>
        <v>0.16355555555555554</v>
      </c>
      <c r="O280" s="13" t="inlineStr">
        <is>
          <t>BBS</t>
        </is>
      </c>
    </row>
    <row r="281">
      <c r="A281" s="13" t="n">
        <v>276</v>
      </c>
      <c r="B281" s="13" t="inlineStr">
        <is>
          <t>Staircases</t>
        </is>
      </c>
      <c r="C281" s="13" t="inlineStr">
        <is>
          <t>STR-037</t>
        </is>
      </c>
      <c r="D281" s="13" t="inlineStr">
        <is>
          <t>Emergency staircase typical flight (4th to 10th, one storey)</t>
        </is>
      </c>
      <c r="E281" s="19" t="inlineStr">
        <is>
          <t>1203</t>
        </is>
      </c>
      <c r="F281" s="19" t="n">
        <v>12</v>
      </c>
      <c r="G281" s="19" t="n">
        <v>1</v>
      </c>
      <c r="H281" s="19" t="n">
        <v>26</v>
      </c>
      <c r="I281" s="13">
        <f>G281*H281</f>
        <v>26.0</v>
      </c>
      <c r="J281" s="20">
        <f>4800/1000</f>
        <v>4.8</v>
      </c>
      <c r="K281" s="21">
        <f>I281*J281</f>
        <v>124.8</v>
      </c>
      <c r="L281" s="22">
        <f>F281^2/162</f>
        <v>0.8888888888888888</v>
      </c>
      <c r="M281" s="21">
        <f>K281*L281</f>
        <v>110.93333333333332</v>
      </c>
      <c r="N281" s="22">
        <f>M281/1000</f>
        <v>0.11093333333333333</v>
      </c>
      <c r="O281" s="13" t="inlineStr">
        <is>
          <t>BBS</t>
        </is>
      </c>
    </row>
    <row r="282">
      <c r="A282" s="13" t="n">
        <v>277</v>
      </c>
      <c r="B282" s="13" t="inlineStr">
        <is>
          <t>Staircases</t>
        </is>
      </c>
      <c r="C282" s="13" t="inlineStr">
        <is>
          <t>STR-037</t>
        </is>
      </c>
      <c r="D282" s="13" t="inlineStr">
        <is>
          <t>Emergency staircase typical flight (4th to 10th, one storey)</t>
        </is>
      </c>
      <c r="E282" s="19" t="inlineStr">
        <is>
          <t>1601</t>
        </is>
      </c>
      <c r="F282" s="19" t="n">
        <v>16</v>
      </c>
      <c r="G282" s="19" t="n">
        <v>1</v>
      </c>
      <c r="H282" s="19" t="n">
        <v>11</v>
      </c>
      <c r="I282" s="13">
        <f>G282*H282</f>
        <v>11.0</v>
      </c>
      <c r="J282" s="20">
        <f>8175/1000</f>
        <v>8.175</v>
      </c>
      <c r="K282" s="21">
        <f>I282*J282</f>
        <v>89.92500000000001</v>
      </c>
      <c r="L282" s="22">
        <f>F282^2/162</f>
        <v>1.5802469135802468</v>
      </c>
      <c r="M282" s="21">
        <f>K282*L282</f>
        <v>142.1037037037037</v>
      </c>
      <c r="N282" s="22">
        <f>M282/1000</f>
        <v>0.1421037037037037</v>
      </c>
      <c r="O282" s="13" t="inlineStr">
        <is>
          <t>BBS</t>
        </is>
      </c>
    </row>
    <row r="283">
      <c r="A283" s="13" t="n">
        <v>278</v>
      </c>
      <c r="B283" s="13" t="inlineStr">
        <is>
          <t>Staircases</t>
        </is>
      </c>
      <c r="C283" s="13" t="inlineStr">
        <is>
          <t>STR-037</t>
        </is>
      </c>
      <c r="D283" s="13" t="inlineStr">
        <is>
          <t>Emergency staircase typical flight (4th to 10th, one storey)</t>
        </is>
      </c>
      <c r="E283" s="19" t="inlineStr">
        <is>
          <t>1602</t>
        </is>
      </c>
      <c r="F283" s="19" t="n">
        <v>16</v>
      </c>
      <c r="G283" s="19" t="n">
        <v>1</v>
      </c>
      <c r="H283" s="19" t="n">
        <v>11</v>
      </c>
      <c r="I283" s="13">
        <f>G283*H283</f>
        <v>11.0</v>
      </c>
      <c r="J283" s="20">
        <f>2650/1000</f>
        <v>2.65</v>
      </c>
      <c r="K283" s="21">
        <f>I283*J283</f>
        <v>29.15</v>
      </c>
      <c r="L283" s="22">
        <f>F283^2/162</f>
        <v>1.5802469135802468</v>
      </c>
      <c r="M283" s="21">
        <f>K283*L283</f>
        <v>46.06419753086419</v>
      </c>
      <c r="N283" s="22">
        <f>M283/1000</f>
        <v>0.046064197530864194</v>
      </c>
      <c r="O283" s="13" t="inlineStr">
        <is>
          <t>BBS</t>
        </is>
      </c>
    </row>
    <row r="284">
      <c r="A284" s="13" t="n">
        <v>279</v>
      </c>
      <c r="B284" s="13" t="inlineStr">
        <is>
          <t>Staircases</t>
        </is>
      </c>
      <c r="C284" s="13" t="inlineStr">
        <is>
          <t>STR-037</t>
        </is>
      </c>
      <c r="D284" s="13" t="inlineStr">
        <is>
          <t>Emergency staircase typical flight (4th to 10th, one storey)</t>
        </is>
      </c>
      <c r="E284" s="19" t="inlineStr">
        <is>
          <t>1603</t>
        </is>
      </c>
      <c r="F284" s="19" t="n">
        <v>16</v>
      </c>
      <c r="G284" s="19" t="n">
        <v>1</v>
      </c>
      <c r="H284" s="19" t="n">
        <v>11</v>
      </c>
      <c r="I284" s="13">
        <f>G284*H284</f>
        <v>11.0</v>
      </c>
      <c r="J284" s="20">
        <f>2400/1000</f>
        <v>2.4</v>
      </c>
      <c r="K284" s="21">
        <f>I284*J284</f>
        <v>26.4</v>
      </c>
      <c r="L284" s="22">
        <f>F284^2/162</f>
        <v>1.5802469135802468</v>
      </c>
      <c r="M284" s="21">
        <f>K284*L284</f>
        <v>41.718518518518515</v>
      </c>
      <c r="N284" s="22">
        <f>M284/1000</f>
        <v>0.041718518518518516</v>
      </c>
      <c r="O284" s="13" t="inlineStr">
        <is>
          <t>BBS</t>
        </is>
      </c>
    </row>
    <row r="285">
      <c r="A285" s="13" t="n">
        <v>280</v>
      </c>
      <c r="B285" s="13" t="inlineStr">
        <is>
          <t>Staircases</t>
        </is>
      </c>
      <c r="C285" s="13" t="inlineStr">
        <is>
          <t>STR-037</t>
        </is>
      </c>
      <c r="D285" s="13" t="inlineStr">
        <is>
          <t>Emergency staircase typical flight (4th to 10th, one storey)</t>
        </is>
      </c>
      <c r="E285" s="19" t="inlineStr">
        <is>
          <t>1604</t>
        </is>
      </c>
      <c r="F285" s="19" t="n">
        <v>16</v>
      </c>
      <c r="G285" s="19" t="n">
        <v>1</v>
      </c>
      <c r="H285" s="19" t="n">
        <v>11</v>
      </c>
      <c r="I285" s="13">
        <f>G285*H285</f>
        <v>11.0</v>
      </c>
      <c r="J285" s="20">
        <f>4300/1000</f>
        <v>4.3</v>
      </c>
      <c r="K285" s="21">
        <f>I285*J285</f>
        <v>47.3</v>
      </c>
      <c r="L285" s="22">
        <f>F285^2/162</f>
        <v>1.5802469135802468</v>
      </c>
      <c r="M285" s="21">
        <f>K285*L285</f>
        <v>74.74567901234568</v>
      </c>
      <c r="N285" s="22">
        <f>M285/1000</f>
        <v>0.07474567901234568</v>
      </c>
      <c r="O285" s="13" t="inlineStr">
        <is>
          <t>BBS</t>
        </is>
      </c>
    </row>
    <row r="286">
      <c r="A286" s="13" t="n">
        <v>281</v>
      </c>
      <c r="B286" s="13" t="inlineStr">
        <is>
          <t>Staircases</t>
        </is>
      </c>
      <c r="C286" s="13" t="inlineStr">
        <is>
          <t>STR-037</t>
        </is>
      </c>
      <c r="D286" s="13" t="inlineStr">
        <is>
          <t>Emergency staircase typical flight (4th to 10th, one storey)</t>
        </is>
      </c>
      <c r="E286" s="19" t="inlineStr">
        <is>
          <t>1605</t>
        </is>
      </c>
      <c r="F286" s="19" t="n">
        <v>16</v>
      </c>
      <c r="G286" s="19" t="n">
        <v>1</v>
      </c>
      <c r="H286" s="19" t="n">
        <v>11</v>
      </c>
      <c r="I286" s="13">
        <f>G286*H286</f>
        <v>11.0</v>
      </c>
      <c r="J286" s="20">
        <f>2100/1000</f>
        <v>2.1</v>
      </c>
      <c r="K286" s="21">
        <f>I286*J286</f>
        <v>23.1</v>
      </c>
      <c r="L286" s="22">
        <f>F286^2/162</f>
        <v>1.5802469135802468</v>
      </c>
      <c r="M286" s="21">
        <f>K286*L286</f>
        <v>36.50370370370371</v>
      </c>
      <c r="N286" s="22">
        <f>M286/1000</f>
        <v>0.036503703703703705</v>
      </c>
      <c r="O286" s="13" t="inlineStr">
        <is>
          <t>BBS</t>
        </is>
      </c>
    </row>
    <row r="287">
      <c r="A287" s="13" t="n">
        <v>282</v>
      </c>
      <c r="B287" s="13" t="inlineStr">
        <is>
          <t>Staircases</t>
        </is>
      </c>
      <c r="C287" s="13" t="inlineStr">
        <is>
          <t>STR-037</t>
        </is>
      </c>
      <c r="D287" s="13" t="inlineStr">
        <is>
          <t>Emergency staircase typical flight (4th to 10th, one storey)</t>
        </is>
      </c>
      <c r="E287" s="19" t="inlineStr">
        <is>
          <t>1606</t>
        </is>
      </c>
      <c r="F287" s="19" t="n">
        <v>16</v>
      </c>
      <c r="G287" s="19" t="n">
        <v>1</v>
      </c>
      <c r="H287" s="19" t="n">
        <v>11</v>
      </c>
      <c r="I287" s="13">
        <f>G287*H287</f>
        <v>11.0</v>
      </c>
      <c r="J287" s="20">
        <f>6900/1000</f>
        <v>6.9</v>
      </c>
      <c r="K287" s="21">
        <f>I287*J287</f>
        <v>75.9</v>
      </c>
      <c r="L287" s="22">
        <f>F287^2/162</f>
        <v>1.5802469135802468</v>
      </c>
      <c r="M287" s="21">
        <f>K287*L287</f>
        <v>119.94074074074074</v>
      </c>
      <c r="N287" s="22">
        <f>M287/1000</f>
        <v>0.11994074074074074</v>
      </c>
      <c r="O287" s="13" t="inlineStr">
        <is>
          <t>BBS</t>
        </is>
      </c>
    </row>
    <row r="288">
      <c r="A288" s="13" t="n">
        <v>283</v>
      </c>
      <c r="B288" s="13" t="inlineStr">
        <is>
          <t>Staircases</t>
        </is>
      </c>
      <c r="C288" s="13" t="inlineStr">
        <is>
          <t>STR-037</t>
        </is>
      </c>
      <c r="D288" s="13" t="inlineStr">
        <is>
          <t>Emergency staircase typical flight (4th to 10th, one storey)</t>
        </is>
      </c>
      <c r="E288" s="19" t="inlineStr">
        <is>
          <t>1607</t>
        </is>
      </c>
      <c r="F288" s="19" t="n">
        <v>16</v>
      </c>
      <c r="G288" s="19" t="n">
        <v>1</v>
      </c>
      <c r="H288" s="19" t="n">
        <v>11</v>
      </c>
      <c r="I288" s="13">
        <f>G288*H288</f>
        <v>11.0</v>
      </c>
      <c r="J288" s="20">
        <f>4800/1000</f>
        <v>4.8</v>
      </c>
      <c r="K288" s="21">
        <f>I288*J288</f>
        <v>52.8</v>
      </c>
      <c r="L288" s="22">
        <f>F288^2/162</f>
        <v>1.5802469135802468</v>
      </c>
      <c r="M288" s="21">
        <f>K288*L288</f>
        <v>83.43703703703703</v>
      </c>
      <c r="N288" s="22">
        <f>M288/1000</f>
        <v>0.08343703703703703</v>
      </c>
      <c r="O288" s="13" t="inlineStr">
        <is>
          <t>BBS</t>
        </is>
      </c>
    </row>
    <row r="289">
      <c r="A289" s="13" t="n">
        <v>284</v>
      </c>
      <c r="B289" s="13" t="inlineStr">
        <is>
          <t>Staircases</t>
        </is>
      </c>
      <c r="C289" s="13" t="inlineStr">
        <is>
          <t>STR-037</t>
        </is>
      </c>
      <c r="D289" s="13" t="inlineStr">
        <is>
          <t>Emergency staircase typical flight (4th to 10th, one storey)</t>
        </is>
      </c>
      <c r="E289" s="19" t="inlineStr">
        <is>
          <t>1608</t>
        </is>
      </c>
      <c r="F289" s="19" t="n">
        <v>16</v>
      </c>
      <c r="G289" s="19" t="n">
        <v>1</v>
      </c>
      <c r="H289" s="19" t="n">
        <v>11</v>
      </c>
      <c r="I289" s="13">
        <f>G289*H289</f>
        <v>11.0</v>
      </c>
      <c r="J289" s="20">
        <f>3400/1000</f>
        <v>3.4</v>
      </c>
      <c r="K289" s="21">
        <f>I289*J289</f>
        <v>37.4</v>
      </c>
      <c r="L289" s="22">
        <f>F289^2/162</f>
        <v>1.5802469135802468</v>
      </c>
      <c r="M289" s="21">
        <f>K289*L289</f>
        <v>59.10123456790123</v>
      </c>
      <c r="N289" s="22">
        <f>M289/1000</f>
        <v>0.05910123456790123</v>
      </c>
      <c r="O289" s="13" t="inlineStr">
        <is>
          <t>BBS</t>
        </is>
      </c>
    </row>
    <row r="290">
      <c r="A290" s="13" t="n">
        <v>285</v>
      </c>
      <c r="B290" s="13" t="inlineStr">
        <is>
          <t>Staircases</t>
        </is>
      </c>
      <c r="C290" s="13" t="inlineStr">
        <is>
          <t>STR-037</t>
        </is>
      </c>
      <c r="D290" s="13" t="inlineStr">
        <is>
          <t>Emergency staircase typical flight (4th to 10th, one storey)</t>
        </is>
      </c>
      <c r="E290" s="19" t="inlineStr">
        <is>
          <t>1609</t>
        </is>
      </c>
      <c r="F290" s="19" t="n">
        <v>16</v>
      </c>
      <c r="G290" s="19" t="n">
        <v>1</v>
      </c>
      <c r="H290" s="19" t="n">
        <v>11</v>
      </c>
      <c r="I290" s="13">
        <f>G290*H290</f>
        <v>11.0</v>
      </c>
      <c r="J290" s="20">
        <f>3200/1000</f>
        <v>3.2</v>
      </c>
      <c r="K290" s="21">
        <f>I290*J290</f>
        <v>35.2</v>
      </c>
      <c r="L290" s="22">
        <f>F290^2/162</f>
        <v>1.5802469135802468</v>
      </c>
      <c r="M290" s="21">
        <f>K290*L290</f>
        <v>55.62469135802469</v>
      </c>
      <c r="N290" s="22">
        <f>M290/1000</f>
        <v>0.05562469135802469</v>
      </c>
      <c r="O290" s="13" t="inlineStr">
        <is>
          <t>BBS</t>
        </is>
      </c>
    </row>
    <row r="291">
      <c r="A291" s="13" t="n">
        <v>286</v>
      </c>
      <c r="B291" s="13" t="inlineStr">
        <is>
          <t>Staircases</t>
        </is>
      </c>
      <c r="C291" s="13" t="inlineStr">
        <is>
          <t>STR-037</t>
        </is>
      </c>
      <c r="D291" s="13" t="inlineStr">
        <is>
          <t>Emergency staircase typical flight (4th to 10th, one storey)</t>
        </is>
      </c>
      <c r="E291" s="19" t="inlineStr">
        <is>
          <t>1610</t>
        </is>
      </c>
      <c r="F291" s="19" t="n">
        <v>16</v>
      </c>
      <c r="G291" s="19" t="n">
        <v>1</v>
      </c>
      <c r="H291" s="19" t="n">
        <v>11</v>
      </c>
      <c r="I291" s="13">
        <f>G291*H291</f>
        <v>11.0</v>
      </c>
      <c r="J291" s="20">
        <f>2000/1000</f>
        <v>2.0</v>
      </c>
      <c r="K291" s="21">
        <f>I291*J291</f>
        <v>22.0</v>
      </c>
      <c r="L291" s="22">
        <f>F291^2/162</f>
        <v>1.5802469135802468</v>
      </c>
      <c r="M291" s="21">
        <f>K291*L291</f>
        <v>34.76543209876543</v>
      </c>
      <c r="N291" s="22">
        <f>M291/1000</f>
        <v>0.03476543209876543</v>
      </c>
      <c r="O291" s="13" t="inlineStr">
        <is>
          <t>BBS</t>
        </is>
      </c>
    </row>
    <row r="293">
      <c r="D293" s="10" t="inlineStr">
        <is>
          <t>SUMMARY - NINTH FLOOR: ELEMENT BY BAR SIZE (TONNES)</t>
        </is>
      </c>
    </row>
    <row r="294">
      <c r="D294" s="23" t="inlineStr">
        <is>
          <t>Element</t>
        </is>
      </c>
      <c r="E294" s="24" t="n">
        <v>10</v>
      </c>
      <c r="F294" s="24" t="n">
        <v>12</v>
      </c>
      <c r="G294" s="24" t="n">
        <v>16</v>
      </c>
      <c r="H294" s="24" t="n">
        <v>20</v>
      </c>
      <c r="I294" s="24" t="n">
        <v>25</v>
      </c>
      <c r="J294" s="23" t="inlineStr">
        <is>
          <t>Total (t)</t>
        </is>
      </c>
    </row>
    <row r="295">
      <c r="D295" s="13" t="inlineStr">
        <is>
          <t>Raft Foundation</t>
        </is>
      </c>
      <c r="E295" s="25">
        <f>SUMIFS($N$6:$N$291,$B$6:$B$291,$D295,$F$6:$F$291,E$294)</f>
        <v>0.0</v>
      </c>
      <c r="F295" s="25">
        <f>SUMIFS($N$6:$N$291,$B$6:$B$291,$D295,$F$6:$F$291,F$294)</f>
        <v>0.0</v>
      </c>
      <c r="G295" s="25">
        <f>SUMIFS($N$6:$N$291,$B$6:$B$291,$D295,$F$6:$F$291,G$294)</f>
        <v>0.0</v>
      </c>
      <c r="H295" s="25">
        <f>SUMIFS($N$6:$N$291,$B$6:$B$291,$D295,$F$6:$F$291,H$294)</f>
        <v>0.0</v>
      </c>
      <c r="I295" s="25">
        <f>SUMIFS($N$6:$N$291,$B$6:$B$291,$D295,$F$6:$F$291,I$294)</f>
        <v>0.0</v>
      </c>
      <c r="J295" s="17">
        <f>SUM(E295:I295)</f>
        <v>0.0</v>
      </c>
    </row>
    <row r="296">
      <c r="D296" s="13" t="inlineStr">
        <is>
          <t>Columns</t>
        </is>
      </c>
      <c r="E296" s="25">
        <f>SUMIFS($N$6:$N$291,$B$6:$B$291,$D296,$F$6:$F$291,E$294)</f>
        <v>3.234792592592593</v>
      </c>
      <c r="F296" s="25">
        <f>SUMIFS($N$6:$N$291,$B$6:$B$291,$D296,$F$6:$F$291,F$294)</f>
        <v>0.0</v>
      </c>
      <c r="G296" s="25">
        <f>SUMIFS($N$6:$N$291,$B$6:$B$291,$D296,$F$6:$F$291,G$294)</f>
        <v>0.0</v>
      </c>
      <c r="H296" s="25">
        <f>SUMIFS($N$6:$N$291,$B$6:$B$291,$D296,$F$6:$F$291,H$294)</f>
        <v>5.111111111111111</v>
      </c>
      <c r="I296" s="25">
        <f>SUMIFS($N$6:$N$291,$B$6:$B$291,$D296,$F$6:$F$291,I$294)</f>
        <v>0.0</v>
      </c>
      <c r="J296" s="17">
        <f>SUM(E296:I296)</f>
        <v>8.345903703703703</v>
      </c>
    </row>
    <row r="297">
      <c r="D297" s="13" t="inlineStr">
        <is>
          <t>Shear Walls</t>
        </is>
      </c>
      <c r="E297" s="25">
        <f>SUMIFS($N$6:$N$291,$B$6:$B$291,$D297,$F$6:$F$291,E$294)</f>
        <v>1.4422222222222223</v>
      </c>
      <c r="F297" s="25">
        <f>SUMIFS($N$6:$N$291,$B$6:$B$291,$D297,$F$6:$F$291,F$294)</f>
        <v>2.1088711111111107</v>
      </c>
      <c r="G297" s="25">
        <f>SUMIFS($N$6:$N$291,$B$6:$B$291,$D297,$F$6:$F$291,G$294)</f>
        <v>0.0</v>
      </c>
      <c r="H297" s="25">
        <f>SUMIFS($N$6:$N$291,$B$6:$B$291,$D297,$F$6:$F$291,H$294)</f>
        <v>6.904197530864199</v>
      </c>
      <c r="I297" s="25">
        <f>SUMIFS($N$6:$N$291,$B$6:$B$291,$D297,$F$6:$F$291,I$294)</f>
        <v>0.0</v>
      </c>
      <c r="J297" s="17">
        <f>SUM(E297:I297)</f>
        <v>10.455290864197533</v>
      </c>
    </row>
    <row r="298">
      <c r="D298" s="13" t="inlineStr">
        <is>
          <t>Lift Walls</t>
        </is>
      </c>
      <c r="E298" s="25">
        <f>SUMIFS($N$6:$N$291,$B$6:$B$291,$D298,$F$6:$F$291,E$294)</f>
        <v>0.6355555555555557</v>
      </c>
      <c r="F298" s="25">
        <f>SUMIFS($N$6:$N$291,$B$6:$B$291,$D298,$F$6:$F$291,F$294)</f>
        <v>0.9521599999999999</v>
      </c>
      <c r="G298" s="25">
        <f>SUMIFS($N$6:$N$291,$B$6:$B$291,$D298,$F$6:$F$291,G$294)</f>
        <v>0.0</v>
      </c>
      <c r="H298" s="25">
        <f>SUMIFS($N$6:$N$291,$B$6:$B$291,$D298,$F$6:$F$291,H$294)</f>
        <v>3.320493827160494</v>
      </c>
      <c r="I298" s="25">
        <f>SUMIFS($N$6:$N$291,$B$6:$B$291,$D298,$F$6:$F$291,I$294)</f>
        <v>0.0</v>
      </c>
      <c r="J298" s="17">
        <f>SUM(E298:I298)</f>
        <v>4.908209382716049</v>
      </c>
    </row>
    <row r="299">
      <c r="D299" s="13" t="inlineStr">
        <is>
          <t>Retaining / Ramp Walls</t>
        </is>
      </c>
      <c r="E299" s="25">
        <f>SUMIFS($N$6:$N$291,$B$6:$B$291,$D299,$F$6:$F$291,E$294)</f>
        <v>0.0</v>
      </c>
      <c r="F299" s="25">
        <f>SUMIFS($N$6:$N$291,$B$6:$B$291,$D299,$F$6:$F$291,F$294)</f>
        <v>0.0</v>
      </c>
      <c r="G299" s="25">
        <f>SUMIFS($N$6:$N$291,$B$6:$B$291,$D299,$F$6:$F$291,G$294)</f>
        <v>0.0</v>
      </c>
      <c r="H299" s="25">
        <f>SUMIFS($N$6:$N$291,$B$6:$B$291,$D299,$F$6:$F$291,H$294)</f>
        <v>0.0</v>
      </c>
      <c r="I299" s="25">
        <f>SUMIFS($N$6:$N$291,$B$6:$B$291,$D299,$F$6:$F$291,I$294)</f>
        <v>0.0</v>
      </c>
      <c r="J299" s="17">
        <f>SUM(E299:I299)</f>
        <v>0.0</v>
      </c>
    </row>
    <row r="300">
      <c r="D300" s="13" t="inlineStr">
        <is>
          <t>Beams</t>
        </is>
      </c>
      <c r="E300" s="25">
        <f>SUMIFS($N$6:$N$291,$B$6:$B$291,$D300,$F$6:$F$291,E$294)</f>
        <v>2.0317283950617284</v>
      </c>
      <c r="F300" s="25">
        <f>SUMIFS($N$6:$N$291,$B$6:$B$291,$D300,$F$6:$F$291,F$294)</f>
        <v>0.0</v>
      </c>
      <c r="G300" s="25">
        <f>SUMIFS($N$6:$N$291,$B$6:$B$291,$D300,$F$6:$F$291,G$294)</f>
        <v>1.163456790123457</v>
      </c>
      <c r="H300" s="25">
        <f>SUMIFS($N$6:$N$291,$B$6:$B$291,$D300,$F$6:$F$291,H$294)</f>
        <v>2.4608641975308636</v>
      </c>
      <c r="I300" s="25">
        <f>SUMIFS($N$6:$N$291,$B$6:$B$291,$D300,$F$6:$F$291,I$294)</f>
        <v>6.491030092592593</v>
      </c>
      <c r="J300" s="17">
        <f>SUM(E300:I300)</f>
        <v>12.14707947530864</v>
      </c>
    </row>
    <row r="301">
      <c r="D301" s="13" t="inlineStr">
        <is>
          <t>Floor Slabs</t>
        </is>
      </c>
      <c r="E301" s="25">
        <f>SUMIFS($N$6:$N$291,$B$6:$B$291,$D301,$F$6:$F$291,E$294)</f>
        <v>0.0</v>
      </c>
      <c r="F301" s="25">
        <f>SUMIFS($N$6:$N$291,$B$6:$B$291,$D301,$F$6:$F$291,F$294)</f>
        <v>50.00684088888889</v>
      </c>
      <c r="G301" s="25">
        <f>SUMIFS($N$6:$N$291,$B$6:$B$291,$D301,$F$6:$F$291,G$294)</f>
        <v>0.1505185185185185</v>
      </c>
      <c r="H301" s="25">
        <f>SUMIFS($N$6:$N$291,$B$6:$B$291,$D301,$F$6:$F$291,H$294)</f>
        <v>0.0</v>
      </c>
      <c r="I301" s="25">
        <f>SUMIFS($N$6:$N$291,$B$6:$B$291,$D301,$F$6:$F$291,I$294)</f>
        <v>0.0</v>
      </c>
      <c r="J301" s="17">
        <f>SUM(E301:I301)</f>
        <v>50.157359407407405</v>
      </c>
    </row>
    <row r="302">
      <c r="D302" s="13" t="inlineStr">
        <is>
          <t>Staircases</t>
        </is>
      </c>
      <c r="E302" s="25">
        <f>SUMIFS($N$6:$N$291,$B$6:$B$291,$D302,$F$6:$F$291,E$294)</f>
        <v>0.0</v>
      </c>
      <c r="F302" s="25">
        <f>SUMIFS($N$6:$N$291,$B$6:$B$291,$D302,$F$6:$F$291,F$294)</f>
        <v>0.8796444444444443</v>
      </c>
      <c r="G302" s="25">
        <f>SUMIFS($N$6:$N$291,$B$6:$B$291,$D302,$F$6:$F$291,G$294)</f>
        <v>1.4340740740740738</v>
      </c>
      <c r="H302" s="25">
        <f>SUMIFS($N$6:$N$291,$B$6:$B$291,$D302,$F$6:$F$291,H$294)</f>
        <v>0.0</v>
      </c>
      <c r="I302" s="25">
        <f>SUMIFS($N$6:$N$291,$B$6:$B$291,$D302,$F$6:$F$291,I$294)</f>
        <v>0.0</v>
      </c>
      <c r="J302" s="17">
        <f>SUM(E302:I302)</f>
        <v>2.313718518518518</v>
      </c>
    </row>
    <row r="303">
      <c r="D303" s="13" t="inlineStr">
        <is>
          <t>Lift Core Roof Slab</t>
        </is>
      </c>
      <c r="E303" s="25">
        <f>SUMIFS($N$6:$N$291,$B$6:$B$291,$D303,$F$6:$F$291,E$294)</f>
        <v>0.0</v>
      </c>
      <c r="F303" s="25">
        <f>SUMIFS($N$6:$N$291,$B$6:$B$291,$D303,$F$6:$F$291,F$294)</f>
        <v>0.0</v>
      </c>
      <c r="G303" s="25">
        <f>SUMIFS($N$6:$N$291,$B$6:$B$291,$D303,$F$6:$F$291,G$294)</f>
        <v>0.0</v>
      </c>
      <c r="H303" s="25">
        <f>SUMIFS($N$6:$N$291,$B$6:$B$291,$D303,$F$6:$F$291,H$294)</f>
        <v>0.0</v>
      </c>
      <c r="I303" s="25">
        <f>SUMIFS($N$6:$N$291,$B$6:$B$291,$D303,$F$6:$F$291,I$294)</f>
        <v>0.0</v>
      </c>
      <c r="J303" s="17">
        <f>SUM(E303:I303)</f>
        <v>0.0</v>
      </c>
    </row>
    <row r="304">
      <c r="D304" s="16" t="inlineStr">
        <is>
          <t>TOTAL - NINTH FLOOR</t>
        </is>
      </c>
      <c r="E304" s="26">
        <f>SUM(E295:E303)</f>
        <v>7.344298765432099</v>
      </c>
      <c r="F304" s="26">
        <f>SUM(F295:F303)</f>
        <v>53.947516444444446</v>
      </c>
      <c r="G304" s="26">
        <f>SUM(G295:G303)</f>
        <v>2.748049382716049</v>
      </c>
      <c r="H304" s="26">
        <f>SUM(H295:H303)</f>
        <v>17.796666666666667</v>
      </c>
      <c r="I304" s="26">
        <f>SUM(I295:I303)</f>
        <v>6.491030092592593</v>
      </c>
      <c r="J304" s="26">
        <f>SUM(J295:J303)</f>
        <v>88.32756135185186</v>
      </c>
      <c r="K304" s="7" t="inlineStr">
        <is>
          <t>Check vs detail (should be 0):</t>
        </is>
      </c>
      <c r="N304" s="7">
        <f>ROUND(SUM(N6:N291)-J304,6)</f>
        <v>-0.0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472C4"/>
    <outlinePr summaryBelow="1" summaryRight="1"/>
    <pageSetUpPr/>
  </sheetPr>
  <dimension ref="A1:O266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TENTH FLOOR (+34000)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STR-007</t>
        </is>
      </c>
      <c r="D6" s="13" t="inlineStr">
        <is>
          <t>COL-01B (1 nos) 10th to roof top terrace - links</t>
        </is>
      </c>
      <c r="E6" s="19" t="inlineStr">
        <is>
          <t>1001</t>
        </is>
      </c>
      <c r="F6" s="19" t="n">
        <v>10</v>
      </c>
      <c r="G6" s="19" t="n">
        <v>1</v>
      </c>
      <c r="H6" s="19" t="n">
        <v>24</v>
      </c>
      <c r="I6" s="13">
        <f>G6*H6</f>
        <v>24.0</v>
      </c>
      <c r="J6" s="20">
        <f>2330/1000</f>
        <v>2.33</v>
      </c>
      <c r="K6" s="21">
        <f>I6*J6</f>
        <v>55.92</v>
      </c>
      <c r="L6" s="22">
        <f>F6^2/162</f>
        <v>0.6172839506172839</v>
      </c>
      <c r="M6" s="21">
        <f>K6*L6</f>
        <v>34.51851851851852</v>
      </c>
      <c r="N6" s="22">
        <f>M6/1000</f>
        <v>0.03451851851851852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STR-007</t>
        </is>
      </c>
      <c r="D7" s="13" t="inlineStr">
        <is>
          <t>COL-01B (1 nos) 10th to roof top terrace - links</t>
        </is>
      </c>
      <c r="E7" s="19" t="inlineStr">
        <is>
          <t>1002</t>
        </is>
      </c>
      <c r="F7" s="19" t="n">
        <v>10</v>
      </c>
      <c r="G7" s="19" t="n">
        <v>1</v>
      </c>
      <c r="H7" s="19" t="n">
        <v>48</v>
      </c>
      <c r="I7" s="13">
        <f>G7*H7</f>
        <v>48.0</v>
      </c>
      <c r="J7" s="20">
        <f>1330/1000</f>
        <v>1.33</v>
      </c>
      <c r="K7" s="21">
        <f>I7*J7</f>
        <v>63.84</v>
      </c>
      <c r="L7" s="22">
        <f>F7^2/162</f>
        <v>0.6172839506172839</v>
      </c>
      <c r="M7" s="21">
        <f>K7*L7</f>
        <v>39.407407407407405</v>
      </c>
      <c r="N7" s="22">
        <f>M7/1000</f>
        <v>0.039407407407407405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STR-007</t>
        </is>
      </c>
      <c r="D8" s="13" t="inlineStr">
        <is>
          <t>COL-01B (1 nos) 10th to roof top terrace - links</t>
        </is>
      </c>
      <c r="E8" s="19" t="inlineStr">
        <is>
          <t>1003</t>
        </is>
      </c>
      <c r="F8" s="19" t="n">
        <v>10</v>
      </c>
      <c r="G8" s="19" t="n">
        <v>1</v>
      </c>
      <c r="H8" s="19" t="n">
        <v>24</v>
      </c>
      <c r="I8" s="13">
        <f>G8*H8</f>
        <v>24.0</v>
      </c>
      <c r="J8" s="20">
        <f>1830/1000</f>
        <v>1.83</v>
      </c>
      <c r="K8" s="21">
        <f>I8*J8</f>
        <v>43.92</v>
      </c>
      <c r="L8" s="22">
        <f>F8^2/162</f>
        <v>0.6172839506172839</v>
      </c>
      <c r="M8" s="21">
        <f>K8*L8</f>
        <v>27.11111111111111</v>
      </c>
      <c r="N8" s="22">
        <f>M8/1000</f>
        <v>0.02711111111111111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STR-007</t>
        </is>
      </c>
      <c r="D9" s="13" t="inlineStr">
        <is>
          <t>COL-01B (1 nos) 10th to roof top terrace - main bars</t>
        </is>
      </c>
      <c r="E9" s="19" t="inlineStr">
        <is>
          <t>2002</t>
        </is>
      </c>
      <c r="F9" s="19" t="n">
        <v>20</v>
      </c>
      <c r="G9" s="19" t="n">
        <v>1</v>
      </c>
      <c r="H9" s="19" t="n">
        <v>16</v>
      </c>
      <c r="I9" s="13">
        <f>G9*H9</f>
        <v>16.0</v>
      </c>
      <c r="J9" s="20">
        <f>3670/1000</f>
        <v>3.67</v>
      </c>
      <c r="K9" s="21">
        <f>I9*J9</f>
        <v>58.72</v>
      </c>
      <c r="L9" s="22">
        <f>F9^2/162</f>
        <v>2.4691358024691357</v>
      </c>
      <c r="M9" s="21">
        <f>K9*L9</f>
        <v>144.98765432098764</v>
      </c>
      <c r="N9" s="22">
        <f>M9/1000</f>
        <v>0.14498765432098765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STR-008</t>
        </is>
      </c>
      <c r="D10" s="13" t="inlineStr">
        <is>
          <t>COL-01C (2 nos) 10th to roof top terrace - links</t>
        </is>
      </c>
      <c r="E10" s="19" t="inlineStr">
        <is>
          <t>1001</t>
        </is>
      </c>
      <c r="F10" s="19" t="n">
        <v>10</v>
      </c>
      <c r="G10" s="19" t="n">
        <v>2</v>
      </c>
      <c r="H10" s="19" t="n">
        <v>30</v>
      </c>
      <c r="I10" s="13">
        <f>G10*H10</f>
        <v>60.0</v>
      </c>
      <c r="J10" s="20">
        <f>2330/1000</f>
        <v>2.33</v>
      </c>
      <c r="K10" s="21">
        <f>I10*J10</f>
        <v>139.8</v>
      </c>
      <c r="L10" s="22">
        <f>F10^2/162</f>
        <v>0.6172839506172839</v>
      </c>
      <c r="M10" s="21">
        <f>K10*L10</f>
        <v>86.2962962962963</v>
      </c>
      <c r="N10" s="22">
        <f>M10/1000</f>
        <v>0.0862962962962963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STR-008</t>
        </is>
      </c>
      <c r="D11" s="13" t="inlineStr">
        <is>
          <t>COL-01C (2 nos) 10th to roof top terrace - links</t>
        </is>
      </c>
      <c r="E11" s="19" t="inlineStr">
        <is>
          <t>1002</t>
        </is>
      </c>
      <c r="F11" s="19" t="n">
        <v>10</v>
      </c>
      <c r="G11" s="19" t="n">
        <v>2</v>
      </c>
      <c r="H11" s="19" t="n">
        <v>60</v>
      </c>
      <c r="I11" s="13">
        <f>G11*H11</f>
        <v>120.0</v>
      </c>
      <c r="J11" s="20">
        <f>1330/1000</f>
        <v>1.33</v>
      </c>
      <c r="K11" s="21">
        <f>I11*J11</f>
        <v>159.60000000000002</v>
      </c>
      <c r="L11" s="22">
        <f>F11^2/162</f>
        <v>0.6172839506172839</v>
      </c>
      <c r="M11" s="21">
        <f>K11*L11</f>
        <v>98.51851851851853</v>
      </c>
      <c r="N11" s="22">
        <f>M11/1000</f>
        <v>0.09851851851851853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STR-008</t>
        </is>
      </c>
      <c r="D12" s="13" t="inlineStr">
        <is>
          <t>COL-01C (2 nos) 10th to roof top terrace - links</t>
        </is>
      </c>
      <c r="E12" s="19" t="inlineStr">
        <is>
          <t>1003</t>
        </is>
      </c>
      <c r="F12" s="19" t="n">
        <v>10</v>
      </c>
      <c r="G12" s="19" t="n">
        <v>2</v>
      </c>
      <c r="H12" s="19" t="n">
        <v>30</v>
      </c>
      <c r="I12" s="13">
        <f>G12*H12</f>
        <v>60.0</v>
      </c>
      <c r="J12" s="20">
        <f>1830/1000</f>
        <v>1.83</v>
      </c>
      <c r="K12" s="21">
        <f>I12*J12</f>
        <v>109.80000000000001</v>
      </c>
      <c r="L12" s="22">
        <f>F12^2/162</f>
        <v>0.6172839506172839</v>
      </c>
      <c r="M12" s="21">
        <f>K12*L12</f>
        <v>67.77777777777779</v>
      </c>
      <c r="N12" s="22">
        <f>M12/1000</f>
        <v>0.06777777777777778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Columns</t>
        </is>
      </c>
      <c r="C13" s="13" t="inlineStr">
        <is>
          <t>STR-008</t>
        </is>
      </c>
      <c r="D13" s="13" t="inlineStr">
        <is>
          <t>COL-01C (2 nos) 10th to roof top terrace - main bars</t>
        </is>
      </c>
      <c r="E13" s="19" t="inlineStr">
        <is>
          <t>2001</t>
        </is>
      </c>
      <c r="F13" s="19" t="n">
        <v>20</v>
      </c>
      <c r="G13" s="19" t="n">
        <v>2</v>
      </c>
      <c r="H13" s="19" t="n">
        <v>16</v>
      </c>
      <c r="I13" s="13">
        <f>G13*H13</f>
        <v>32.0</v>
      </c>
      <c r="J13" s="20">
        <f>4500/1000</f>
        <v>4.5</v>
      </c>
      <c r="K13" s="21">
        <f>I13*J13</f>
        <v>144.0</v>
      </c>
      <c r="L13" s="22">
        <f>F13^2/162</f>
        <v>2.4691358024691357</v>
      </c>
      <c r="M13" s="21">
        <f>K13*L13</f>
        <v>355.55555555555554</v>
      </c>
      <c r="N13" s="22">
        <f>M13/1000</f>
        <v>0.35555555555555557</v>
      </c>
      <c r="O13" s="13" t="inlineStr">
        <is>
          <t>Elevation + BBS length</t>
        </is>
      </c>
    </row>
    <row r="14">
      <c r="A14" s="13" t="n">
        <v>9</v>
      </c>
      <c r="B14" s="13" t="inlineStr">
        <is>
          <t>Columns</t>
        </is>
      </c>
      <c r="C14" s="13" t="inlineStr">
        <is>
          <t>STR-008</t>
        </is>
      </c>
      <c r="D14" s="13" t="inlineStr">
        <is>
          <t>COL-01D (1 nos) 10th to roof top terrace - links</t>
        </is>
      </c>
      <c r="E14" s="19" t="inlineStr">
        <is>
          <t>1001</t>
        </is>
      </c>
      <c r="F14" s="19" t="n">
        <v>10</v>
      </c>
      <c r="G14" s="19" t="n">
        <v>1</v>
      </c>
      <c r="H14" s="19" t="n">
        <v>24</v>
      </c>
      <c r="I14" s="13">
        <f>G14*H14</f>
        <v>24.0</v>
      </c>
      <c r="J14" s="20">
        <f>2330/1000</f>
        <v>2.33</v>
      </c>
      <c r="K14" s="21">
        <f>I14*J14</f>
        <v>55.92</v>
      </c>
      <c r="L14" s="22">
        <f>F14^2/162</f>
        <v>0.6172839506172839</v>
      </c>
      <c r="M14" s="21">
        <f>K14*L14</f>
        <v>34.51851851851852</v>
      </c>
      <c r="N14" s="22">
        <f>M14/1000</f>
        <v>0.03451851851851852</v>
      </c>
      <c r="O14" s="13" t="inlineStr">
        <is>
          <t>Elevation + BBS length</t>
        </is>
      </c>
    </row>
    <row r="15">
      <c r="A15" s="13" t="n">
        <v>10</v>
      </c>
      <c r="B15" s="13" t="inlineStr">
        <is>
          <t>Columns</t>
        </is>
      </c>
      <c r="C15" s="13" t="inlineStr">
        <is>
          <t>STR-008</t>
        </is>
      </c>
      <c r="D15" s="13" t="inlineStr">
        <is>
          <t>COL-01D (1 nos) 10th to roof top terrace - links</t>
        </is>
      </c>
      <c r="E15" s="19" t="inlineStr">
        <is>
          <t>1002</t>
        </is>
      </c>
      <c r="F15" s="19" t="n">
        <v>10</v>
      </c>
      <c r="G15" s="19" t="n">
        <v>1</v>
      </c>
      <c r="H15" s="19" t="n">
        <v>48</v>
      </c>
      <c r="I15" s="13">
        <f>G15*H15</f>
        <v>48.0</v>
      </c>
      <c r="J15" s="20">
        <f>1330/1000</f>
        <v>1.33</v>
      </c>
      <c r="K15" s="21">
        <f>I15*J15</f>
        <v>63.84</v>
      </c>
      <c r="L15" s="22">
        <f>F15^2/162</f>
        <v>0.6172839506172839</v>
      </c>
      <c r="M15" s="21">
        <f>K15*L15</f>
        <v>39.407407407407405</v>
      </c>
      <c r="N15" s="22">
        <f>M15/1000</f>
        <v>0.039407407407407405</v>
      </c>
      <c r="O15" s="13" t="inlineStr">
        <is>
          <t>Elevation + BBS length</t>
        </is>
      </c>
    </row>
    <row r="16">
      <c r="A16" s="13" t="n">
        <v>11</v>
      </c>
      <c r="B16" s="13" t="inlineStr">
        <is>
          <t>Columns</t>
        </is>
      </c>
      <c r="C16" s="13" t="inlineStr">
        <is>
          <t>STR-008</t>
        </is>
      </c>
      <c r="D16" s="13" t="inlineStr">
        <is>
          <t>COL-01D (1 nos) 10th to roof top terrace - links</t>
        </is>
      </c>
      <c r="E16" s="19" t="inlineStr">
        <is>
          <t>1003</t>
        </is>
      </c>
      <c r="F16" s="19" t="n">
        <v>10</v>
      </c>
      <c r="G16" s="19" t="n">
        <v>1</v>
      </c>
      <c r="H16" s="19" t="n">
        <v>24</v>
      </c>
      <c r="I16" s="13">
        <f>G16*H16</f>
        <v>24.0</v>
      </c>
      <c r="J16" s="20">
        <f>1830/1000</f>
        <v>1.83</v>
      </c>
      <c r="K16" s="21">
        <f>I16*J16</f>
        <v>43.92</v>
      </c>
      <c r="L16" s="22">
        <f>F16^2/162</f>
        <v>0.6172839506172839</v>
      </c>
      <c r="M16" s="21">
        <f>K16*L16</f>
        <v>27.11111111111111</v>
      </c>
      <c r="N16" s="22">
        <f>M16/1000</f>
        <v>0.02711111111111111</v>
      </c>
      <c r="O16" s="13" t="inlineStr">
        <is>
          <t>Elevation + BBS length</t>
        </is>
      </c>
    </row>
    <row r="17">
      <c r="A17" s="13" t="n">
        <v>12</v>
      </c>
      <c r="B17" s="13" t="inlineStr">
        <is>
          <t>Columns</t>
        </is>
      </c>
      <c r="C17" s="13" t="inlineStr">
        <is>
          <t>STR-008</t>
        </is>
      </c>
      <c r="D17" s="13" t="inlineStr">
        <is>
          <t>COL-01D (1 nos) 10th to roof top terrace - main bars</t>
        </is>
      </c>
      <c r="E17" s="19" t="inlineStr">
        <is>
          <t>2002</t>
        </is>
      </c>
      <c r="F17" s="19" t="n">
        <v>20</v>
      </c>
      <c r="G17" s="19" t="n">
        <v>1</v>
      </c>
      <c r="H17" s="19" t="n">
        <v>16</v>
      </c>
      <c r="I17" s="13">
        <f>G17*H17</f>
        <v>16.0</v>
      </c>
      <c r="J17" s="20">
        <f>3670/1000</f>
        <v>3.67</v>
      </c>
      <c r="K17" s="21">
        <f>I17*J17</f>
        <v>58.72</v>
      </c>
      <c r="L17" s="22">
        <f>F17^2/162</f>
        <v>2.4691358024691357</v>
      </c>
      <c r="M17" s="21">
        <f>K17*L17</f>
        <v>144.98765432098764</v>
      </c>
      <c r="N17" s="22">
        <f>M17/1000</f>
        <v>0.14498765432098765</v>
      </c>
      <c r="O17" s="13" t="inlineStr">
        <is>
          <t>Elevation + BBS length</t>
        </is>
      </c>
    </row>
    <row r="18">
      <c r="A18" s="13" t="n">
        <v>13</v>
      </c>
      <c r="B18" s="13" t="inlineStr">
        <is>
          <t>Columns</t>
        </is>
      </c>
      <c r="C18" s="13" t="inlineStr">
        <is>
          <t>STR-010</t>
        </is>
      </c>
      <c r="D18" s="13" t="inlineStr">
        <is>
          <t>COL-02B (6 nos) 10th to roof top terrace - links</t>
        </is>
      </c>
      <c r="E18" s="19" t="inlineStr">
        <is>
          <t>1004</t>
        </is>
      </c>
      <c r="F18" s="19" t="n">
        <v>10</v>
      </c>
      <c r="G18" s="19" t="n">
        <v>6</v>
      </c>
      <c r="H18" s="19" t="n">
        <v>20</v>
      </c>
      <c r="I18" s="13">
        <f>G18*H18</f>
        <v>120.0</v>
      </c>
      <c r="J18" s="20">
        <f>2910/1000</f>
        <v>2.91</v>
      </c>
      <c r="K18" s="21">
        <f>I18*J18</f>
        <v>349.20000000000005</v>
      </c>
      <c r="L18" s="22">
        <f>F18^2/162</f>
        <v>0.6172839506172839</v>
      </c>
      <c r="M18" s="21">
        <f>K18*L18</f>
        <v>215.55555555555557</v>
      </c>
      <c r="N18" s="22">
        <f>M18/1000</f>
        <v>0.21555555555555558</v>
      </c>
      <c r="O18" s="13" t="inlineStr">
        <is>
          <t>Elevation + BBS length</t>
        </is>
      </c>
    </row>
    <row r="19">
      <c r="A19" s="13" t="n">
        <v>14</v>
      </c>
      <c r="B19" s="13" t="inlineStr">
        <is>
          <t>Columns</t>
        </is>
      </c>
      <c r="C19" s="13" t="inlineStr">
        <is>
          <t>STR-010</t>
        </is>
      </c>
      <c r="D19" s="13" t="inlineStr">
        <is>
          <t>COL-02B (6 nos) 10th to roof top terrace - links</t>
        </is>
      </c>
      <c r="E19" s="19" t="inlineStr">
        <is>
          <t>1005</t>
        </is>
      </c>
      <c r="F19" s="19" t="n">
        <v>10</v>
      </c>
      <c r="G19" s="19" t="n">
        <v>6</v>
      </c>
      <c r="H19" s="19">
        <f>5*20</f>
        <v>100.0</v>
      </c>
      <c r="I19" s="13">
        <f>G19*H19</f>
        <v>600.0</v>
      </c>
      <c r="J19" s="20">
        <f>1008/1000</f>
        <v>1.008</v>
      </c>
      <c r="K19" s="21">
        <f>I19*J19</f>
        <v>604.8</v>
      </c>
      <c r="L19" s="22">
        <f>F19^2/162</f>
        <v>0.6172839506172839</v>
      </c>
      <c r="M19" s="21">
        <f>K19*L19</f>
        <v>373.33333333333326</v>
      </c>
      <c r="N19" s="22">
        <f>M19/1000</f>
        <v>0.37333333333333324</v>
      </c>
      <c r="O19" s="13" t="inlineStr">
        <is>
          <t>Elevation + BBS length</t>
        </is>
      </c>
    </row>
    <row r="20">
      <c r="A20" s="13" t="n">
        <v>15</v>
      </c>
      <c r="B20" s="13" t="inlineStr">
        <is>
          <t>Columns</t>
        </is>
      </c>
      <c r="C20" s="13" t="inlineStr">
        <is>
          <t>STR-010</t>
        </is>
      </c>
      <c r="D20" s="13" t="inlineStr">
        <is>
          <t>COL-02B (6 nos) 10th to roof top terrace - main bars</t>
        </is>
      </c>
      <c r="E20" s="19" t="inlineStr">
        <is>
          <t>2006</t>
        </is>
      </c>
      <c r="F20" s="19" t="n">
        <v>20</v>
      </c>
      <c r="G20" s="19" t="n">
        <v>6</v>
      </c>
      <c r="H20" s="19" t="n">
        <v>18</v>
      </c>
      <c r="I20" s="13">
        <f>G20*H20</f>
        <v>108.0</v>
      </c>
      <c r="J20" s="20">
        <f>3470/1000</f>
        <v>3.47</v>
      </c>
      <c r="K20" s="21">
        <f>I20*J20</f>
        <v>374.76000000000005</v>
      </c>
      <c r="L20" s="22">
        <f>F20^2/162</f>
        <v>2.4691358024691357</v>
      </c>
      <c r="M20" s="21">
        <f>K20*L20</f>
        <v>925.3333333333334</v>
      </c>
      <c r="N20" s="22">
        <f>M20/1000</f>
        <v>0.9253333333333333</v>
      </c>
      <c r="O20" s="13" t="inlineStr">
        <is>
          <t>Elevation + BBS length</t>
        </is>
      </c>
    </row>
    <row r="21">
      <c r="A21" s="13" t="n">
        <v>16</v>
      </c>
      <c r="B21" s="13" t="inlineStr">
        <is>
          <t>Columns</t>
        </is>
      </c>
      <c r="C21" s="13" t="inlineStr">
        <is>
          <t>STR-011</t>
        </is>
      </c>
      <c r="D21" s="13" t="inlineStr">
        <is>
          <t>COL-02C (1 nos) 10th to roof top terrace - links</t>
        </is>
      </c>
      <c r="E21" s="19" t="inlineStr">
        <is>
          <t>1004</t>
        </is>
      </c>
      <c r="F21" s="19" t="n">
        <v>10</v>
      </c>
      <c r="G21" s="19" t="n">
        <v>1</v>
      </c>
      <c r="H21" s="19" t="n">
        <v>29</v>
      </c>
      <c r="I21" s="13">
        <f>G21*H21</f>
        <v>29.0</v>
      </c>
      <c r="J21" s="20">
        <f>2910/1000</f>
        <v>2.91</v>
      </c>
      <c r="K21" s="21">
        <f>I21*J21</f>
        <v>84.39</v>
      </c>
      <c r="L21" s="22">
        <f>F21^2/162</f>
        <v>0.6172839506172839</v>
      </c>
      <c r="M21" s="21">
        <f>K21*L21</f>
        <v>52.09259259259259</v>
      </c>
      <c r="N21" s="22">
        <f>M21/1000</f>
        <v>0.052092592592592586</v>
      </c>
      <c r="O21" s="13" t="inlineStr">
        <is>
          <t>Elevation + BBS length</t>
        </is>
      </c>
    </row>
    <row r="22">
      <c r="A22" s="13" t="n">
        <v>17</v>
      </c>
      <c r="B22" s="13" t="inlineStr">
        <is>
          <t>Columns</t>
        </is>
      </c>
      <c r="C22" s="13" t="inlineStr">
        <is>
          <t>STR-011</t>
        </is>
      </c>
      <c r="D22" s="13" t="inlineStr">
        <is>
          <t>COL-02C (1 nos) 10th to roof top terrace - links</t>
        </is>
      </c>
      <c r="E22" s="19" t="inlineStr">
        <is>
          <t>1005</t>
        </is>
      </c>
      <c r="F22" s="19" t="n">
        <v>10</v>
      </c>
      <c r="G22" s="19" t="n">
        <v>1</v>
      </c>
      <c r="H22" s="19">
        <f>3*29</f>
        <v>87.0</v>
      </c>
      <c r="I22" s="13">
        <f>G22*H22</f>
        <v>87.0</v>
      </c>
      <c r="J22" s="20">
        <f>1008/1000</f>
        <v>1.008</v>
      </c>
      <c r="K22" s="21">
        <f>I22*J22</f>
        <v>87.696</v>
      </c>
      <c r="L22" s="22">
        <f>F22^2/162</f>
        <v>0.6172839506172839</v>
      </c>
      <c r="M22" s="21">
        <f>K22*L22</f>
        <v>54.133333333333326</v>
      </c>
      <c r="N22" s="22">
        <f>M22/1000</f>
        <v>0.054133333333333325</v>
      </c>
      <c r="O22" s="13" t="inlineStr">
        <is>
          <t>Elevation + BBS length</t>
        </is>
      </c>
    </row>
    <row r="23">
      <c r="A23" s="13" t="n">
        <v>18</v>
      </c>
      <c r="B23" s="13" t="inlineStr">
        <is>
          <t>Columns</t>
        </is>
      </c>
      <c r="C23" s="13" t="inlineStr">
        <is>
          <t>STR-011</t>
        </is>
      </c>
      <c r="D23" s="13" t="inlineStr">
        <is>
          <t>COL-02C (1 nos) 10th to roof top terrace - main bars</t>
        </is>
      </c>
      <c r="E23" s="19" t="inlineStr">
        <is>
          <t>2001</t>
        </is>
      </c>
      <c r="F23" s="19" t="n">
        <v>20</v>
      </c>
      <c r="G23" s="19" t="n">
        <v>1</v>
      </c>
      <c r="H23" s="19" t="n">
        <v>18</v>
      </c>
      <c r="I23" s="13">
        <f>G23*H23</f>
        <v>18.0</v>
      </c>
      <c r="J23" s="20">
        <f>4500/1000</f>
        <v>4.5</v>
      </c>
      <c r="K23" s="21">
        <f>I23*J23</f>
        <v>81.0</v>
      </c>
      <c r="L23" s="22">
        <f>F23^2/162</f>
        <v>2.4691358024691357</v>
      </c>
      <c r="M23" s="21">
        <f>K23*L23</f>
        <v>200.0</v>
      </c>
      <c r="N23" s="22">
        <f>M23/1000</f>
        <v>0.2</v>
      </c>
      <c r="O23" s="13" t="inlineStr">
        <is>
          <t>Elevation + BBS length</t>
        </is>
      </c>
    </row>
    <row r="24">
      <c r="A24" s="13" t="n">
        <v>19</v>
      </c>
      <c r="B24" s="13" t="inlineStr">
        <is>
          <t>Columns</t>
        </is>
      </c>
      <c r="C24" s="13" t="inlineStr">
        <is>
          <t>STR-011</t>
        </is>
      </c>
      <c r="D24" s="13" t="inlineStr">
        <is>
          <t>COL-02D (15 nos) 10th to roof top terrace - links</t>
        </is>
      </c>
      <c r="E24" s="19" t="inlineStr">
        <is>
          <t>1004</t>
        </is>
      </c>
      <c r="F24" s="19" t="n">
        <v>10</v>
      </c>
      <c r="G24" s="19" t="n">
        <v>15</v>
      </c>
      <c r="H24" s="19" t="n">
        <v>24</v>
      </c>
      <c r="I24" s="13">
        <f>G24*H24</f>
        <v>360.0</v>
      </c>
      <c r="J24" s="20">
        <f>2910/1000</f>
        <v>2.91</v>
      </c>
      <c r="K24" s="21">
        <f>I24*J24</f>
        <v>1047.6000000000001</v>
      </c>
      <c r="L24" s="22">
        <f>F24^2/162</f>
        <v>0.6172839506172839</v>
      </c>
      <c r="M24" s="21">
        <f>K24*L24</f>
        <v>646.6666666666667</v>
      </c>
      <c r="N24" s="22">
        <f>M24/1000</f>
        <v>0.6466666666666667</v>
      </c>
      <c r="O24" s="13" t="inlineStr">
        <is>
          <t>Elevation + BBS length</t>
        </is>
      </c>
    </row>
    <row r="25">
      <c r="A25" s="13" t="n">
        <v>20</v>
      </c>
      <c r="B25" s="13" t="inlineStr">
        <is>
          <t>Columns</t>
        </is>
      </c>
      <c r="C25" s="13" t="inlineStr">
        <is>
          <t>STR-011</t>
        </is>
      </c>
      <c r="D25" s="13" t="inlineStr">
        <is>
          <t>COL-02D (15 nos) 10th to roof top terrace - links</t>
        </is>
      </c>
      <c r="E25" s="19" t="inlineStr">
        <is>
          <t>1005</t>
        </is>
      </c>
      <c r="F25" s="19" t="n">
        <v>10</v>
      </c>
      <c r="G25" s="19" t="n">
        <v>15</v>
      </c>
      <c r="H25" s="19">
        <f>3*24</f>
        <v>72.0</v>
      </c>
      <c r="I25" s="13">
        <f>G25*H25</f>
        <v>1080.0</v>
      </c>
      <c r="J25" s="20">
        <f>1008/1000</f>
        <v>1.008</v>
      </c>
      <c r="K25" s="21">
        <f>I25*J25</f>
        <v>1088.64</v>
      </c>
      <c r="L25" s="22">
        <f>F25^2/162</f>
        <v>0.6172839506172839</v>
      </c>
      <c r="M25" s="21">
        <f>K25*L25</f>
        <v>672.0</v>
      </c>
      <c r="N25" s="22">
        <f>M25/1000</f>
        <v>0.672</v>
      </c>
      <c r="O25" s="13" t="inlineStr">
        <is>
          <t>Elevation + BBS length</t>
        </is>
      </c>
    </row>
    <row r="26">
      <c r="A26" s="13" t="n">
        <v>21</v>
      </c>
      <c r="B26" s="13" t="inlineStr">
        <is>
          <t>Columns</t>
        </is>
      </c>
      <c r="C26" s="13" t="inlineStr">
        <is>
          <t>STR-011</t>
        </is>
      </c>
      <c r="D26" s="13" t="inlineStr">
        <is>
          <t>COL-02D (15 nos) 10th to roof top terrace - main bars</t>
        </is>
      </c>
      <c r="E26" s="19" t="inlineStr">
        <is>
          <t>2006</t>
        </is>
      </c>
      <c r="F26" s="19" t="n">
        <v>20</v>
      </c>
      <c r="G26" s="19" t="n">
        <v>15</v>
      </c>
      <c r="H26" s="19" t="n">
        <v>18</v>
      </c>
      <c r="I26" s="13">
        <f>G26*H26</f>
        <v>270.0</v>
      </c>
      <c r="J26" s="20">
        <f>3470/1000</f>
        <v>3.47</v>
      </c>
      <c r="K26" s="21">
        <f>I26*J26</f>
        <v>936.9000000000001</v>
      </c>
      <c r="L26" s="22">
        <f>F26^2/162</f>
        <v>2.4691358024691357</v>
      </c>
      <c r="M26" s="21">
        <f>K26*L26</f>
        <v>2313.3333333333335</v>
      </c>
      <c r="N26" s="22">
        <f>M26/1000</f>
        <v>2.3133333333333335</v>
      </c>
      <c r="O26" s="13" t="inlineStr">
        <is>
          <t>Elevation + BBS length</t>
        </is>
      </c>
    </row>
    <row r="27">
      <c r="A27" s="13" t="n">
        <v>22</v>
      </c>
      <c r="B27" s="13" t="inlineStr">
        <is>
          <t>Shear Walls</t>
        </is>
      </c>
      <c r="C27" s="13" t="inlineStr">
        <is>
          <t>STR-015/016</t>
        </is>
      </c>
      <c r="D27" s="13" t="inlineStr">
        <is>
          <t>Main core CW-01 (L=3600mm) 10th to roof top terrace - horizontal Y12@150 NF/FF</t>
        </is>
      </c>
      <c r="E27" s="19" t="inlineStr">
        <is>
          <t>H-Y12</t>
        </is>
      </c>
      <c r="F27" s="19" t="n">
        <v>12</v>
      </c>
      <c r="G27" s="19" t="n">
        <v>1</v>
      </c>
      <c r="H27" s="19">
        <f>2*20</f>
        <v>40.0</v>
      </c>
      <c r="I27" s="13">
        <f>G27*H27</f>
        <v>40.0</v>
      </c>
      <c r="J27" s="20">
        <f>(3600-2*30+40*12)/1000</f>
        <v>4.02</v>
      </c>
      <c r="K27" s="21">
        <f>I27*J27</f>
        <v>160.79999999999998</v>
      </c>
      <c r="L27" s="22">
        <f>F27^2/162</f>
        <v>0.8888888888888888</v>
      </c>
      <c r="M27" s="21">
        <f>K27*L27</f>
        <v>142.9333333333333</v>
      </c>
      <c r="N27" s="22">
        <f>M27/1000</f>
        <v>0.1429333333333333</v>
      </c>
      <c r="O27" s="13" t="inlineStr">
        <is>
          <t>Elevation count / plan length</t>
        </is>
      </c>
    </row>
    <row r="28">
      <c r="A28" s="13" t="n">
        <v>23</v>
      </c>
      <c r="B28" s="13" t="inlineStr">
        <is>
          <t>Shear Walls</t>
        </is>
      </c>
      <c r="C28" s="13" t="inlineStr">
        <is>
          <t>STR-015/016</t>
        </is>
      </c>
      <c r="D28" s="13" t="inlineStr">
        <is>
          <t>Main core CW-01 10th to roof top terrace - vertical Y20@150 NF/FF</t>
        </is>
      </c>
      <c r="E28" s="19" t="inlineStr">
        <is>
          <t>V-Y20</t>
        </is>
      </c>
      <c r="F28" s="19" t="n">
        <v>20</v>
      </c>
      <c r="G28" s="19" t="n">
        <v>1</v>
      </c>
      <c r="H28" s="19">
        <f>2*29</f>
        <v>58.0</v>
      </c>
      <c r="I28" s="13">
        <f>G28*H28</f>
        <v>58.0</v>
      </c>
      <c r="J28" s="20">
        <f>(3300+40*20)/1000</f>
        <v>4.1</v>
      </c>
      <c r="K28" s="21">
        <f>I28*J28</f>
        <v>237.79999999999998</v>
      </c>
      <c r="L28" s="22">
        <f>F28^2/162</f>
        <v>2.4691358024691357</v>
      </c>
      <c r="M28" s="21">
        <f>K28*L28</f>
        <v>587.1604938271604</v>
      </c>
      <c r="N28" s="22">
        <f>M28/1000</f>
        <v>0.5871604938271604</v>
      </c>
      <c r="O28" s="13" t="inlineStr">
        <is>
          <t>Elevation / plan</t>
        </is>
      </c>
    </row>
    <row r="29">
      <c r="A29" s="13" t="n">
        <v>24</v>
      </c>
      <c r="B29" s="13" t="inlineStr">
        <is>
          <t>Shear Walls</t>
        </is>
      </c>
      <c r="C29" s="13" t="inlineStr">
        <is>
          <t>STR-015/016</t>
        </is>
      </c>
      <c r="D29" s="13" t="inlineStr">
        <is>
          <t>Main core CW-05 (L=7250mm) 10th to roof top terrace - horizontal Y12@150 NF/FF</t>
        </is>
      </c>
      <c r="E29" s="19" t="inlineStr">
        <is>
          <t>H-Y12</t>
        </is>
      </c>
      <c r="F29" s="19" t="n">
        <v>12</v>
      </c>
      <c r="G29" s="19" t="n">
        <v>1</v>
      </c>
      <c r="H29" s="19">
        <f>2*20</f>
        <v>40.0</v>
      </c>
      <c r="I29" s="13">
        <f>G29*H29</f>
        <v>40.0</v>
      </c>
      <c r="J29" s="20">
        <f>(7250-2*30+40*12)/1000</f>
        <v>7.67</v>
      </c>
      <c r="K29" s="21">
        <f>I29*J29</f>
        <v>306.8</v>
      </c>
      <c r="L29" s="22">
        <f>F29^2/162</f>
        <v>0.8888888888888888</v>
      </c>
      <c r="M29" s="21">
        <f>K29*L29</f>
        <v>272.7111111111111</v>
      </c>
      <c r="N29" s="22">
        <f>M29/1000</f>
        <v>0.2727111111111111</v>
      </c>
      <c r="O29" s="13" t="inlineStr">
        <is>
          <t>Elevation count / plan length</t>
        </is>
      </c>
    </row>
    <row r="30">
      <c r="A30" s="13" t="n">
        <v>25</v>
      </c>
      <c r="B30" s="13" t="inlineStr">
        <is>
          <t>Shear Walls</t>
        </is>
      </c>
      <c r="C30" s="13" t="inlineStr">
        <is>
          <t>STR-015/016</t>
        </is>
      </c>
      <c r="D30" s="13" t="inlineStr">
        <is>
          <t>Main core CW-05 10th to roof top terrace - vertical Y20@150 NF/FF</t>
        </is>
      </c>
      <c r="E30" s="19" t="inlineStr">
        <is>
          <t>V-Y20</t>
        </is>
      </c>
      <c r="F30" s="19" t="n">
        <v>20</v>
      </c>
      <c r="G30" s="19" t="n">
        <v>1</v>
      </c>
      <c r="H30" s="19">
        <f>2*(ROUNDUP(7250/150,0)+1)</f>
        <v>100.0</v>
      </c>
      <c r="I30" s="13">
        <f>G30*H30</f>
        <v>100.0</v>
      </c>
      <c r="J30" s="20">
        <f>(3300+40*20)/1000</f>
        <v>4.1</v>
      </c>
      <c r="K30" s="21">
        <f>I30*J30</f>
        <v>409.99999999999994</v>
      </c>
      <c r="L30" s="22">
        <f>F30^2/162</f>
        <v>2.4691358024691357</v>
      </c>
      <c r="M30" s="21">
        <f>K30*L30</f>
        <v>1012.3456790123455</v>
      </c>
      <c r="N30" s="22">
        <f>M30/1000</f>
        <v>1.0123456790123455</v>
      </c>
      <c r="O30" s="13" t="inlineStr">
        <is>
          <t>Elevation / plan</t>
        </is>
      </c>
    </row>
    <row r="31">
      <c r="A31" s="13" t="n">
        <v>26</v>
      </c>
      <c r="B31" s="13" t="inlineStr">
        <is>
          <t>Shear Walls</t>
        </is>
      </c>
      <c r="C31" s="13" t="inlineStr">
        <is>
          <t>STR-015/016</t>
        </is>
      </c>
      <c r="D31" s="13" t="inlineStr">
        <is>
          <t>Main core CW-07 (stair section) (L=7250mm) 10th to roof top terrace - horizontal Y12@150 NF/FF</t>
        </is>
      </c>
      <c r="E31" s="19" t="inlineStr">
        <is>
          <t>H-Y12</t>
        </is>
      </c>
      <c r="F31" s="19" t="n">
        <v>12</v>
      </c>
      <c r="G31" s="19" t="n">
        <v>1</v>
      </c>
      <c r="H31" s="19">
        <f>2*20</f>
        <v>40.0</v>
      </c>
      <c r="I31" s="13">
        <f>G31*H31</f>
        <v>40.0</v>
      </c>
      <c r="J31" s="20">
        <f>(7250-2*30+40*12)/1000</f>
        <v>7.67</v>
      </c>
      <c r="K31" s="21">
        <f>I31*J31</f>
        <v>306.8</v>
      </c>
      <c r="L31" s="22">
        <f>F31^2/162</f>
        <v>0.8888888888888888</v>
      </c>
      <c r="M31" s="21">
        <f>K31*L31</f>
        <v>272.7111111111111</v>
      </c>
      <c r="N31" s="22">
        <f>M31/1000</f>
        <v>0.2727111111111111</v>
      </c>
      <c r="O31" s="13" t="inlineStr">
        <is>
          <t>Elevation count / plan length</t>
        </is>
      </c>
    </row>
    <row r="32">
      <c r="A32" s="13" t="n">
        <v>27</v>
      </c>
      <c r="B32" s="13" t="inlineStr">
        <is>
          <t>Shear Walls</t>
        </is>
      </c>
      <c r="C32" s="13" t="inlineStr">
        <is>
          <t>STR-015/016</t>
        </is>
      </c>
      <c r="D32" s="13" t="inlineStr">
        <is>
          <t>Main core CW-07 (stair section) 10th to roof top terrace - vertical Y20@150 NF/FF</t>
        </is>
      </c>
      <c r="E32" s="19" t="inlineStr">
        <is>
          <t>V-Y20</t>
        </is>
      </c>
      <c r="F32" s="19" t="n">
        <v>20</v>
      </c>
      <c r="G32" s="19" t="n">
        <v>1</v>
      </c>
      <c r="H32" s="19">
        <f>2*(ROUNDUP(7250/150,0)+1)</f>
        <v>100.0</v>
      </c>
      <c r="I32" s="13">
        <f>G32*H32</f>
        <v>100.0</v>
      </c>
      <c r="J32" s="20">
        <f>(3300+40*20)/1000</f>
        <v>4.1</v>
      </c>
      <c r="K32" s="21">
        <f>I32*J32</f>
        <v>409.99999999999994</v>
      </c>
      <c r="L32" s="22">
        <f>F32^2/162</f>
        <v>2.4691358024691357</v>
      </c>
      <c r="M32" s="21">
        <f>K32*L32</f>
        <v>1012.3456790123455</v>
      </c>
      <c r="N32" s="22">
        <f>M32/1000</f>
        <v>1.0123456790123455</v>
      </c>
      <c r="O32" s="13" t="inlineStr">
        <is>
          <t>Elevation / plan</t>
        </is>
      </c>
    </row>
    <row r="33">
      <c r="A33" s="13" t="n">
        <v>28</v>
      </c>
      <c r="B33" s="13" t="inlineStr">
        <is>
          <t>Shear Walls</t>
        </is>
      </c>
      <c r="C33" s="13" t="inlineStr">
        <is>
          <t>STR-015/016</t>
        </is>
      </c>
      <c r="D33" s="13" t="inlineStr">
        <is>
          <t>Main core CW-09 (L=1150mm) 10th to roof top terrace - horizontal Y12@150 NF/FF</t>
        </is>
      </c>
      <c r="E33" s="19" t="inlineStr">
        <is>
          <t>H-Y12</t>
        </is>
      </c>
      <c r="F33" s="19" t="n">
        <v>12</v>
      </c>
      <c r="G33" s="19" t="n">
        <v>1</v>
      </c>
      <c r="H33" s="19">
        <f>2*20</f>
        <v>40.0</v>
      </c>
      <c r="I33" s="13">
        <f>G33*H33</f>
        <v>40.0</v>
      </c>
      <c r="J33" s="20">
        <f>(1150-2*30+40*12)/1000</f>
        <v>1.57</v>
      </c>
      <c r="K33" s="21">
        <f>I33*J33</f>
        <v>62.800000000000004</v>
      </c>
      <c r="L33" s="22">
        <f>F33^2/162</f>
        <v>0.8888888888888888</v>
      </c>
      <c r="M33" s="21">
        <f>K33*L33</f>
        <v>55.82222222222222</v>
      </c>
      <c r="N33" s="22">
        <f>M33/1000</f>
        <v>0.055822222222222224</v>
      </c>
      <c r="O33" s="13" t="inlineStr">
        <is>
          <t>Elevation count / plan length</t>
        </is>
      </c>
    </row>
    <row r="34">
      <c r="A34" s="13" t="n">
        <v>29</v>
      </c>
      <c r="B34" s="13" t="inlineStr">
        <is>
          <t>Shear Walls</t>
        </is>
      </c>
      <c r="C34" s="13" t="inlineStr">
        <is>
          <t>STR-015/016</t>
        </is>
      </c>
      <c r="D34" s="13" t="inlineStr">
        <is>
          <t>Main core CW-09 10th to roof top terrace - vertical Y20@150 NF/FF</t>
        </is>
      </c>
      <c r="E34" s="19" t="inlineStr">
        <is>
          <t>V-Y20</t>
        </is>
      </c>
      <c r="F34" s="19" t="n">
        <v>20</v>
      </c>
      <c r="G34" s="19" t="n">
        <v>1</v>
      </c>
      <c r="H34" s="19">
        <f>2*(ROUNDUP(1150/150,0)+1)</f>
        <v>18.0</v>
      </c>
      <c r="I34" s="13">
        <f>G34*H34</f>
        <v>18.0</v>
      </c>
      <c r="J34" s="20">
        <f>(3300+40*20)/1000</f>
        <v>4.1</v>
      </c>
      <c r="K34" s="21">
        <f>I34*J34</f>
        <v>73.8</v>
      </c>
      <c r="L34" s="22">
        <f>F34^2/162</f>
        <v>2.4691358024691357</v>
      </c>
      <c r="M34" s="21">
        <f>K34*L34</f>
        <v>182.2222222222222</v>
      </c>
      <c r="N34" s="22">
        <f>M34/1000</f>
        <v>0.1822222222222222</v>
      </c>
      <c r="O34" s="13" t="inlineStr">
        <is>
          <t>Elevation / plan</t>
        </is>
      </c>
    </row>
    <row r="35">
      <c r="A35" s="13" t="n">
        <v>30</v>
      </c>
      <c r="B35" s="13" t="inlineStr">
        <is>
          <t>Shear Walls</t>
        </is>
      </c>
      <c r="C35" s="13" t="inlineStr">
        <is>
          <t>STR-015/016</t>
        </is>
      </c>
      <c r="D35" s="13" t="inlineStr">
        <is>
          <t>Main core CW-10 (L=1150mm) 10th to roof top terrace - horizontal Y12@150 NF/FF</t>
        </is>
      </c>
      <c r="E35" s="19" t="inlineStr">
        <is>
          <t>H-Y12</t>
        </is>
      </c>
      <c r="F35" s="19" t="n">
        <v>12</v>
      </c>
      <c r="G35" s="19" t="n">
        <v>1</v>
      </c>
      <c r="H35" s="19">
        <f>2*20</f>
        <v>40.0</v>
      </c>
      <c r="I35" s="13">
        <f>G35*H35</f>
        <v>40.0</v>
      </c>
      <c r="J35" s="20">
        <f>(1150-2*30+40*12)/1000</f>
        <v>1.57</v>
      </c>
      <c r="K35" s="21">
        <f>I35*J35</f>
        <v>62.800000000000004</v>
      </c>
      <c r="L35" s="22">
        <f>F35^2/162</f>
        <v>0.8888888888888888</v>
      </c>
      <c r="M35" s="21">
        <f>K35*L35</f>
        <v>55.82222222222222</v>
      </c>
      <c r="N35" s="22">
        <f>M35/1000</f>
        <v>0.055822222222222224</v>
      </c>
      <c r="O35" s="13" t="inlineStr">
        <is>
          <t>Elevation count / plan length</t>
        </is>
      </c>
    </row>
    <row r="36">
      <c r="A36" s="13" t="n">
        <v>31</v>
      </c>
      <c r="B36" s="13" t="inlineStr">
        <is>
          <t>Shear Walls</t>
        </is>
      </c>
      <c r="C36" s="13" t="inlineStr">
        <is>
          <t>STR-015/016</t>
        </is>
      </c>
      <c r="D36" s="13" t="inlineStr">
        <is>
          <t>Main core CW-10 10th to roof top terrace - vertical Y20@150 NF/FF</t>
        </is>
      </c>
      <c r="E36" s="19" t="inlineStr">
        <is>
          <t>V-Y20</t>
        </is>
      </c>
      <c r="F36" s="19" t="n">
        <v>20</v>
      </c>
      <c r="G36" s="19" t="n">
        <v>1</v>
      </c>
      <c r="H36" s="19">
        <f>2*(ROUNDUP(1150/150,0)+1)</f>
        <v>18.0</v>
      </c>
      <c r="I36" s="13">
        <f>G36*H36</f>
        <v>18.0</v>
      </c>
      <c r="J36" s="20">
        <f>(3300+40*20)/1000</f>
        <v>4.1</v>
      </c>
      <c r="K36" s="21">
        <f>I36*J36</f>
        <v>73.8</v>
      </c>
      <c r="L36" s="22">
        <f>F36^2/162</f>
        <v>2.4691358024691357</v>
      </c>
      <c r="M36" s="21">
        <f>K36*L36</f>
        <v>182.2222222222222</v>
      </c>
      <c r="N36" s="22">
        <f>M36/1000</f>
        <v>0.1822222222222222</v>
      </c>
      <c r="O36" s="13" t="inlineStr">
        <is>
          <t>Elevation / plan</t>
        </is>
      </c>
    </row>
    <row r="37">
      <c r="A37" s="13" t="n">
        <v>32</v>
      </c>
      <c r="B37" s="13" t="inlineStr">
        <is>
          <t>Shear Walls</t>
        </is>
      </c>
      <c r="C37" s="13" t="inlineStr">
        <is>
          <t>STR-015/016</t>
        </is>
      </c>
      <c r="D37" s="13" t="inlineStr">
        <is>
          <t>Main core CW-11 (L=1650mm) 10th to roof top terrace - horizontal Y12@150 NF/FF</t>
        </is>
      </c>
      <c r="E37" s="19" t="inlineStr">
        <is>
          <t>H-Y12</t>
        </is>
      </c>
      <c r="F37" s="19" t="n">
        <v>12</v>
      </c>
      <c r="G37" s="19" t="n">
        <v>1</v>
      </c>
      <c r="H37" s="19">
        <f>2*20</f>
        <v>40.0</v>
      </c>
      <c r="I37" s="13">
        <f>G37*H37</f>
        <v>40.0</v>
      </c>
      <c r="J37" s="20">
        <f>(1650-2*30+40*12)/1000</f>
        <v>2.07</v>
      </c>
      <c r="K37" s="21">
        <f>I37*J37</f>
        <v>82.8</v>
      </c>
      <c r="L37" s="22">
        <f>F37^2/162</f>
        <v>0.8888888888888888</v>
      </c>
      <c r="M37" s="21">
        <f>K37*L37</f>
        <v>73.6</v>
      </c>
      <c r="N37" s="22">
        <f>M37/1000</f>
        <v>0.0736</v>
      </c>
      <c r="O37" s="13" t="inlineStr">
        <is>
          <t>Elevation count / plan length</t>
        </is>
      </c>
    </row>
    <row r="38">
      <c r="A38" s="13" t="n">
        <v>33</v>
      </c>
      <c r="B38" s="13" t="inlineStr">
        <is>
          <t>Shear Walls</t>
        </is>
      </c>
      <c r="C38" s="13" t="inlineStr">
        <is>
          <t>STR-015/016</t>
        </is>
      </c>
      <c r="D38" s="13" t="inlineStr">
        <is>
          <t>Main core CW-11 10th to roof top terrace - vertical Y20@150 NF/FF</t>
        </is>
      </c>
      <c r="E38" s="19" t="inlineStr">
        <is>
          <t>V-Y20</t>
        </is>
      </c>
      <c r="F38" s="19" t="n">
        <v>20</v>
      </c>
      <c r="G38" s="19" t="n">
        <v>1</v>
      </c>
      <c r="H38" s="19">
        <f>2*(ROUNDUP(1650/150,0)+1)</f>
        <v>24.0</v>
      </c>
      <c r="I38" s="13">
        <f>G38*H38</f>
        <v>24.0</v>
      </c>
      <c r="J38" s="20">
        <f>(3300+40*20)/1000</f>
        <v>4.1</v>
      </c>
      <c r="K38" s="21">
        <f>I38*J38</f>
        <v>98.39999999999999</v>
      </c>
      <c r="L38" s="22">
        <f>F38^2/162</f>
        <v>2.4691358024691357</v>
      </c>
      <c r="M38" s="21">
        <f>K38*L38</f>
        <v>242.96296296296293</v>
      </c>
      <c r="N38" s="22">
        <f>M38/1000</f>
        <v>0.24296296296296294</v>
      </c>
      <c r="O38" s="13" t="inlineStr">
        <is>
          <t>Elevation / plan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STR-015/016</t>
        </is>
      </c>
      <c r="D39" s="13" t="inlineStr">
        <is>
          <t>Main core confinement links Y10@150 (26 positions on plan) 10th to roof top terrace</t>
        </is>
      </c>
      <c r="E39" s="19" t="inlineStr">
        <is>
          <t>LNK-Y10</t>
        </is>
      </c>
      <c r="F39" s="19" t="n">
        <v>10</v>
      </c>
      <c r="G39" s="19" t="n">
        <v>1</v>
      </c>
      <c r="H39" s="19">
        <f>26*ROUNDUP(3300/150,0)</f>
        <v>572.0</v>
      </c>
      <c r="I39" s="13">
        <f>G39*H39</f>
        <v>572.0</v>
      </c>
      <c r="J39" s="20">
        <f>1800/1000</f>
        <v>1.8</v>
      </c>
      <c r="K39" s="21">
        <f>I39*J39</f>
        <v>1029.6000000000001</v>
      </c>
      <c r="L39" s="22">
        <f>F39^2/162</f>
        <v>0.6172839506172839</v>
      </c>
      <c r="M39" s="21">
        <f>K39*L39</f>
        <v>635.5555555555557</v>
      </c>
      <c r="N39" s="22">
        <f>M39/1000</f>
        <v>0.6355555555555557</v>
      </c>
      <c r="O39" s="13" t="inlineStr">
        <is>
          <t>Assumed link cut length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STR-013/014</t>
        </is>
      </c>
      <c r="D40" s="13" t="inlineStr">
        <is>
          <t>Emergency stair core CW-12 (L=7050mm) 10th to roof top terrace - horizontal Y12@150 NF/FF</t>
        </is>
      </c>
      <c r="E40" s="19" t="inlineStr">
        <is>
          <t>H-Y12</t>
        </is>
      </c>
      <c r="F40" s="19" t="n">
        <v>12</v>
      </c>
      <c r="G40" s="19" t="n">
        <v>1</v>
      </c>
      <c r="H40" s="19">
        <f>2*20</f>
        <v>40.0</v>
      </c>
      <c r="I40" s="13">
        <f>G40*H40</f>
        <v>40.0</v>
      </c>
      <c r="J40" s="20">
        <f>(7050-2*30+40*12)/1000</f>
        <v>7.47</v>
      </c>
      <c r="K40" s="21">
        <f>I40*J40</f>
        <v>298.8</v>
      </c>
      <c r="L40" s="22">
        <f>F40^2/162</f>
        <v>0.8888888888888888</v>
      </c>
      <c r="M40" s="21">
        <f>K40*L40</f>
        <v>265.6</v>
      </c>
      <c r="N40" s="22">
        <f>M40/1000</f>
        <v>0.2656</v>
      </c>
      <c r="O40" s="13" t="inlineStr">
        <is>
          <t>Elevation count / plan length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STR-013/014</t>
        </is>
      </c>
      <c r="D41" s="13" t="inlineStr">
        <is>
          <t>Emergency stair core CW-12 10th to roof top terrace - vertical Y20@150 NF/FF</t>
        </is>
      </c>
      <c r="E41" s="19" t="inlineStr">
        <is>
          <t>V-Y20</t>
        </is>
      </c>
      <c r="F41" s="19" t="n">
        <v>20</v>
      </c>
      <c r="G41" s="19" t="n">
        <v>1</v>
      </c>
      <c r="H41" s="19">
        <f>2*(ROUNDUP(7050/150,0)+1)</f>
        <v>96.0</v>
      </c>
      <c r="I41" s="13">
        <f>G41*H41</f>
        <v>96.0</v>
      </c>
      <c r="J41" s="20">
        <f>(3300+40*20)/1000</f>
        <v>4.1</v>
      </c>
      <c r="K41" s="21">
        <f>I41*J41</f>
        <v>393.59999999999997</v>
      </c>
      <c r="L41" s="22">
        <f>F41^2/162</f>
        <v>2.4691358024691357</v>
      </c>
      <c r="M41" s="21">
        <f>K41*L41</f>
        <v>971.8518518518517</v>
      </c>
      <c r="N41" s="22">
        <f>M41/1000</f>
        <v>0.9718518518518517</v>
      </c>
      <c r="O41" s="13" t="inlineStr">
        <is>
          <t>Elevation / plan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STR-013/014</t>
        </is>
      </c>
      <c r="D42" s="13" t="inlineStr">
        <is>
          <t>Emergency stair core CW-13 (L=7810mm) 10th to roof top terrace - horizontal Y12@150 NF/FF</t>
        </is>
      </c>
      <c r="E42" s="19" t="inlineStr">
        <is>
          <t>H-Y12</t>
        </is>
      </c>
      <c r="F42" s="19" t="n">
        <v>12</v>
      </c>
      <c r="G42" s="19" t="n">
        <v>1</v>
      </c>
      <c r="H42" s="19">
        <f>2*20</f>
        <v>40.0</v>
      </c>
      <c r="I42" s="13">
        <f>G42*H42</f>
        <v>40.0</v>
      </c>
      <c r="J42" s="20">
        <f>(7810-2*30+40*12)/1000</f>
        <v>8.23</v>
      </c>
      <c r="K42" s="21">
        <f>I42*J42</f>
        <v>329.20000000000005</v>
      </c>
      <c r="L42" s="22">
        <f>F42^2/162</f>
        <v>0.8888888888888888</v>
      </c>
      <c r="M42" s="21">
        <f>K42*L42</f>
        <v>292.62222222222226</v>
      </c>
      <c r="N42" s="22">
        <f>M42/1000</f>
        <v>0.2926222222222223</v>
      </c>
      <c r="O42" s="13" t="inlineStr">
        <is>
          <t>Elevation count / plan length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STR-013/014</t>
        </is>
      </c>
      <c r="D43" s="13" t="inlineStr">
        <is>
          <t>Emergency stair core CW-13 10th to roof top terrace - vertical Y20@150 NF/FF</t>
        </is>
      </c>
      <c r="E43" s="19" t="inlineStr">
        <is>
          <t>V-Y20</t>
        </is>
      </c>
      <c r="F43" s="19" t="n">
        <v>20</v>
      </c>
      <c r="G43" s="19" t="n">
        <v>1</v>
      </c>
      <c r="H43" s="19">
        <f>2*52</f>
        <v>104.0</v>
      </c>
      <c r="I43" s="13">
        <f>G43*H43</f>
        <v>104.0</v>
      </c>
      <c r="J43" s="20">
        <f>(3300+40*20)/1000</f>
        <v>4.1</v>
      </c>
      <c r="K43" s="21">
        <f>I43*J43</f>
        <v>426.4</v>
      </c>
      <c r="L43" s="22">
        <f>F43^2/162</f>
        <v>2.4691358024691357</v>
      </c>
      <c r="M43" s="21">
        <f>K43*L43</f>
        <v>1052.8395061728395</v>
      </c>
      <c r="N43" s="22">
        <f>M43/1000</f>
        <v>1.0528395061728395</v>
      </c>
      <c r="O43" s="13" t="inlineStr">
        <is>
          <t>Elevation / plan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STR-013/014</t>
        </is>
      </c>
      <c r="D44" s="13" t="inlineStr">
        <is>
          <t>Emergency stair core CW-14 (L=3450mm) 10th to roof top terrace - horizontal Y12@150 NF/FF</t>
        </is>
      </c>
      <c r="E44" s="19" t="inlineStr">
        <is>
          <t>H-Y12</t>
        </is>
      </c>
      <c r="F44" s="19" t="n">
        <v>12</v>
      </c>
      <c r="G44" s="19" t="n">
        <v>1</v>
      </c>
      <c r="H44" s="19">
        <f>2*20</f>
        <v>40.0</v>
      </c>
      <c r="I44" s="13">
        <f>G44*H44</f>
        <v>40.0</v>
      </c>
      <c r="J44" s="20">
        <f>(3450-2*30+40*12)/1000</f>
        <v>3.87</v>
      </c>
      <c r="K44" s="21">
        <f>I44*J44</f>
        <v>154.8</v>
      </c>
      <c r="L44" s="22">
        <f>F44^2/162</f>
        <v>0.8888888888888888</v>
      </c>
      <c r="M44" s="21">
        <f>K44*L44</f>
        <v>137.6</v>
      </c>
      <c r="N44" s="22">
        <f>M44/1000</f>
        <v>0.1376</v>
      </c>
      <c r="O44" s="13" t="inlineStr">
        <is>
          <t>Elevation count / plan length</t>
        </is>
      </c>
    </row>
    <row r="45">
      <c r="A45" s="13" t="n">
        <v>40</v>
      </c>
      <c r="B45" s="13" t="inlineStr">
        <is>
          <t>Shear Walls</t>
        </is>
      </c>
      <c r="C45" s="13" t="inlineStr">
        <is>
          <t>STR-013/014</t>
        </is>
      </c>
      <c r="D45" s="13" t="inlineStr">
        <is>
          <t>Emergency stair core CW-14 10th to roof top terrace - vertical Y20@150 NF/FF</t>
        </is>
      </c>
      <c r="E45" s="19" t="inlineStr">
        <is>
          <t>V-Y20</t>
        </is>
      </c>
      <c r="F45" s="19" t="n">
        <v>20</v>
      </c>
      <c r="G45" s="19" t="n">
        <v>1</v>
      </c>
      <c r="H45" s="19">
        <f>2*(ROUNDUP(3450/150,0)+1)</f>
        <v>48.0</v>
      </c>
      <c r="I45" s="13">
        <f>G45*H45</f>
        <v>48.0</v>
      </c>
      <c r="J45" s="20">
        <f>(3300+40*20)/1000</f>
        <v>4.1</v>
      </c>
      <c r="K45" s="21">
        <f>I45*J45</f>
        <v>196.79999999999998</v>
      </c>
      <c r="L45" s="22">
        <f>F45^2/162</f>
        <v>2.4691358024691357</v>
      </c>
      <c r="M45" s="21">
        <f>K45*L45</f>
        <v>485.92592592592587</v>
      </c>
      <c r="N45" s="22">
        <f>M45/1000</f>
        <v>0.4859259259259259</v>
      </c>
      <c r="O45" s="13" t="inlineStr">
        <is>
          <t>Elevation / plan</t>
        </is>
      </c>
    </row>
    <row r="46">
      <c r="A46" s="13" t="n">
        <v>41</v>
      </c>
      <c r="B46" s="13" t="inlineStr">
        <is>
          <t>Shear Walls</t>
        </is>
      </c>
      <c r="C46" s="13" t="inlineStr">
        <is>
          <t>STR-013/014</t>
        </is>
      </c>
      <c r="D46" s="13" t="inlineStr">
        <is>
          <t>Emergency stair core CW-15 (L=2425mm) 10th to roof top terrace - horizontal Y12@150 NF/FF</t>
        </is>
      </c>
      <c r="E46" s="19" t="inlineStr">
        <is>
          <t>H-Y12</t>
        </is>
      </c>
      <c r="F46" s="19" t="n">
        <v>12</v>
      </c>
      <c r="G46" s="19" t="n">
        <v>1</v>
      </c>
      <c r="H46" s="19">
        <f>2*20</f>
        <v>40.0</v>
      </c>
      <c r="I46" s="13">
        <f>G46*H46</f>
        <v>40.0</v>
      </c>
      <c r="J46" s="20">
        <f>(2425-2*30+40*12)/1000</f>
        <v>2.845</v>
      </c>
      <c r="K46" s="21">
        <f>I46*J46</f>
        <v>113.80000000000001</v>
      </c>
      <c r="L46" s="22">
        <f>F46^2/162</f>
        <v>0.8888888888888888</v>
      </c>
      <c r="M46" s="21">
        <f>K46*L46</f>
        <v>101.15555555555557</v>
      </c>
      <c r="N46" s="22">
        <f>M46/1000</f>
        <v>0.10115555555555557</v>
      </c>
      <c r="O46" s="13" t="inlineStr">
        <is>
          <t>Elevation count / plan length</t>
        </is>
      </c>
    </row>
    <row r="47">
      <c r="A47" s="13" t="n">
        <v>42</v>
      </c>
      <c r="B47" s="13" t="inlineStr">
        <is>
          <t>Shear Walls</t>
        </is>
      </c>
      <c r="C47" s="13" t="inlineStr">
        <is>
          <t>STR-013/014</t>
        </is>
      </c>
      <c r="D47" s="13" t="inlineStr">
        <is>
          <t>Emergency stair core CW-15 10th to roof top terrace - vertical Y20@150 NF/FF</t>
        </is>
      </c>
      <c r="E47" s="19" t="inlineStr">
        <is>
          <t>V-Y20</t>
        </is>
      </c>
      <c r="F47" s="19" t="n">
        <v>20</v>
      </c>
      <c r="G47" s="19" t="n">
        <v>1</v>
      </c>
      <c r="H47" s="19">
        <f>2*(ROUNDUP(2425/150,0)+1)</f>
        <v>36.0</v>
      </c>
      <c r="I47" s="13">
        <f>G47*H47</f>
        <v>36.0</v>
      </c>
      <c r="J47" s="20">
        <f>(3300+40*20)/1000</f>
        <v>4.1</v>
      </c>
      <c r="K47" s="21">
        <f>I47*J47</f>
        <v>147.6</v>
      </c>
      <c r="L47" s="22">
        <f>F47^2/162</f>
        <v>2.4691358024691357</v>
      </c>
      <c r="M47" s="21">
        <f>K47*L47</f>
        <v>364.4444444444444</v>
      </c>
      <c r="N47" s="22">
        <f>M47/1000</f>
        <v>0.3644444444444444</v>
      </c>
      <c r="O47" s="13" t="inlineStr">
        <is>
          <t>Elevation / plan</t>
        </is>
      </c>
    </row>
    <row r="48">
      <c r="A48" s="13" t="n">
        <v>43</v>
      </c>
      <c r="B48" s="13" t="inlineStr">
        <is>
          <t>Shear Walls</t>
        </is>
      </c>
      <c r="C48" s="13" t="inlineStr">
        <is>
          <t>STR-013/014</t>
        </is>
      </c>
      <c r="D48" s="13" t="inlineStr">
        <is>
          <t>Emergency stair core CW-16 (L=775mm) 10th to roof top terrace - horizontal Y12@150 NF/FF</t>
        </is>
      </c>
      <c r="E48" s="19" t="inlineStr">
        <is>
          <t>H-Y12</t>
        </is>
      </c>
      <c r="F48" s="19" t="n">
        <v>12</v>
      </c>
      <c r="G48" s="19" t="n">
        <v>1</v>
      </c>
      <c r="H48" s="19">
        <f>2*20</f>
        <v>40.0</v>
      </c>
      <c r="I48" s="13">
        <f>G48*H48</f>
        <v>40.0</v>
      </c>
      <c r="J48" s="20">
        <f>(775-2*30+40*12)/1000</f>
        <v>1.195</v>
      </c>
      <c r="K48" s="21">
        <f>I48*J48</f>
        <v>47.800000000000004</v>
      </c>
      <c r="L48" s="22">
        <f>F48^2/162</f>
        <v>0.8888888888888888</v>
      </c>
      <c r="M48" s="21">
        <f>K48*L48</f>
        <v>42.48888888888889</v>
      </c>
      <c r="N48" s="22">
        <f>M48/1000</f>
        <v>0.04248888888888889</v>
      </c>
      <c r="O48" s="13" t="inlineStr">
        <is>
          <t>Elevation count / plan length</t>
        </is>
      </c>
    </row>
    <row r="49">
      <c r="A49" s="13" t="n">
        <v>44</v>
      </c>
      <c r="B49" s="13" t="inlineStr">
        <is>
          <t>Shear Walls</t>
        </is>
      </c>
      <c r="C49" s="13" t="inlineStr">
        <is>
          <t>STR-013/014</t>
        </is>
      </c>
      <c r="D49" s="13" t="inlineStr">
        <is>
          <t>Emergency stair core CW-16 10th to roof top terrace - vertical Y20@150 NF/FF</t>
        </is>
      </c>
      <c r="E49" s="19" t="inlineStr">
        <is>
          <t>V-Y20</t>
        </is>
      </c>
      <c r="F49" s="19" t="n">
        <v>20</v>
      </c>
      <c r="G49" s="19" t="n">
        <v>1</v>
      </c>
      <c r="H49" s="19">
        <f>2*(ROUNDUP(775/150,0)+1)</f>
        <v>14.0</v>
      </c>
      <c r="I49" s="13">
        <f>G49*H49</f>
        <v>14.0</v>
      </c>
      <c r="J49" s="20">
        <f>(3300+40*20)/1000</f>
        <v>4.1</v>
      </c>
      <c r="K49" s="21">
        <f>I49*J49</f>
        <v>57.39999999999999</v>
      </c>
      <c r="L49" s="22">
        <f>F49^2/162</f>
        <v>2.4691358024691357</v>
      </c>
      <c r="M49" s="21">
        <f>K49*L49</f>
        <v>141.72839506172838</v>
      </c>
      <c r="N49" s="22">
        <f>M49/1000</f>
        <v>0.14172839506172838</v>
      </c>
      <c r="O49" s="13" t="inlineStr">
        <is>
          <t>Elevation / plan</t>
        </is>
      </c>
    </row>
    <row r="50">
      <c r="A50" s="13" t="n">
        <v>45</v>
      </c>
      <c r="B50" s="13" t="inlineStr">
        <is>
          <t>Shear Walls</t>
        </is>
      </c>
      <c r="C50" s="13" t="inlineStr">
        <is>
          <t>STR-013/014</t>
        </is>
      </c>
      <c r="D50" s="13" t="inlineStr">
        <is>
          <t>Emergency stair core CW-17 (L=360mm) 10th to roof top terrace - horizontal Y12@150 NF/FF</t>
        </is>
      </c>
      <c r="E50" s="19" t="inlineStr">
        <is>
          <t>H-Y12</t>
        </is>
      </c>
      <c r="F50" s="19" t="n">
        <v>12</v>
      </c>
      <c r="G50" s="19" t="n">
        <v>1</v>
      </c>
      <c r="H50" s="19">
        <f>2*20</f>
        <v>40.0</v>
      </c>
      <c r="I50" s="13">
        <f>G50*H50</f>
        <v>40.0</v>
      </c>
      <c r="J50" s="20">
        <f>(360-2*30+40*12)/1000</f>
        <v>0.78</v>
      </c>
      <c r="K50" s="21">
        <f>I50*J50</f>
        <v>31.200000000000003</v>
      </c>
      <c r="L50" s="22">
        <f>F50^2/162</f>
        <v>0.8888888888888888</v>
      </c>
      <c r="M50" s="21">
        <f>K50*L50</f>
        <v>27.733333333333334</v>
      </c>
      <c r="N50" s="22">
        <f>M50/1000</f>
        <v>0.027733333333333336</v>
      </c>
      <c r="O50" s="13" t="inlineStr">
        <is>
          <t>Elevation count / plan length</t>
        </is>
      </c>
    </row>
    <row r="51">
      <c r="A51" s="13" t="n">
        <v>46</v>
      </c>
      <c r="B51" s="13" t="inlineStr">
        <is>
          <t>Shear Walls</t>
        </is>
      </c>
      <c r="C51" s="13" t="inlineStr">
        <is>
          <t>STR-013/014</t>
        </is>
      </c>
      <c r="D51" s="13" t="inlineStr">
        <is>
          <t>Emergency stair core CW-17 10th to roof top terrace - vertical Y20@150 NF/FF</t>
        </is>
      </c>
      <c r="E51" s="19" t="inlineStr">
        <is>
          <t>V-Y20</t>
        </is>
      </c>
      <c r="F51" s="19" t="n">
        <v>20</v>
      </c>
      <c r="G51" s="19" t="n">
        <v>1</v>
      </c>
      <c r="H51" s="19">
        <f>2*(ROUNDUP(360/150,0)+1)</f>
        <v>8.0</v>
      </c>
      <c r="I51" s="13">
        <f>G51*H51</f>
        <v>8.0</v>
      </c>
      <c r="J51" s="20">
        <f>(3300+40*20)/1000</f>
        <v>4.1</v>
      </c>
      <c r="K51" s="21">
        <f>I51*J51</f>
        <v>32.8</v>
      </c>
      <c r="L51" s="22">
        <f>F51^2/162</f>
        <v>2.4691358024691357</v>
      </c>
      <c r="M51" s="21">
        <f>K51*L51</f>
        <v>80.98765432098764</v>
      </c>
      <c r="N51" s="22">
        <f>M51/1000</f>
        <v>0.08098765432098765</v>
      </c>
      <c r="O51" s="13" t="inlineStr">
        <is>
          <t>Elevation / plan</t>
        </is>
      </c>
    </row>
    <row r="52">
      <c r="A52" s="13" t="n">
        <v>47</v>
      </c>
      <c r="B52" s="13" t="inlineStr">
        <is>
          <t>Shear Walls</t>
        </is>
      </c>
      <c r="C52" s="13" t="inlineStr">
        <is>
          <t>STR-013/014</t>
        </is>
      </c>
      <c r="D52" s="13" t="inlineStr">
        <is>
          <t>Emergency stair core CW-18 (L=1300mm) 10th to roof top terrace - horizontal Y12@150 NF/FF</t>
        </is>
      </c>
      <c r="E52" s="19" t="inlineStr">
        <is>
          <t>H-Y12</t>
        </is>
      </c>
      <c r="F52" s="19" t="n">
        <v>12</v>
      </c>
      <c r="G52" s="19" t="n">
        <v>1</v>
      </c>
      <c r="H52" s="19">
        <f>2*20</f>
        <v>40.0</v>
      </c>
      <c r="I52" s="13">
        <f>G52*H52</f>
        <v>40.0</v>
      </c>
      <c r="J52" s="20">
        <f>(1300-2*30+40*12)/1000</f>
        <v>1.72</v>
      </c>
      <c r="K52" s="21">
        <f>I52*J52</f>
        <v>68.8</v>
      </c>
      <c r="L52" s="22">
        <f>F52^2/162</f>
        <v>0.8888888888888888</v>
      </c>
      <c r="M52" s="21">
        <f>K52*L52</f>
        <v>61.15555555555555</v>
      </c>
      <c r="N52" s="22">
        <f>M52/1000</f>
        <v>0.06115555555555555</v>
      </c>
      <c r="O52" s="13" t="inlineStr">
        <is>
          <t>Elevation count / plan length</t>
        </is>
      </c>
    </row>
    <row r="53">
      <c r="A53" s="13" t="n">
        <v>48</v>
      </c>
      <c r="B53" s="13" t="inlineStr">
        <is>
          <t>Shear Walls</t>
        </is>
      </c>
      <c r="C53" s="13" t="inlineStr">
        <is>
          <t>STR-013/014</t>
        </is>
      </c>
      <c r="D53" s="13" t="inlineStr">
        <is>
          <t>Emergency stair core CW-18 10th to roof top terrace - vertical Y20@150 NF/FF</t>
        </is>
      </c>
      <c r="E53" s="19" t="inlineStr">
        <is>
          <t>V-Y20</t>
        </is>
      </c>
      <c r="F53" s="19" t="n">
        <v>20</v>
      </c>
      <c r="G53" s="19" t="n">
        <v>1</v>
      </c>
      <c r="H53" s="19">
        <f>2*(ROUNDUP(1300/150,0)+1)</f>
        <v>20.0</v>
      </c>
      <c r="I53" s="13">
        <f>G53*H53</f>
        <v>20.0</v>
      </c>
      <c r="J53" s="20">
        <f>(3300+40*20)/1000</f>
        <v>4.1</v>
      </c>
      <c r="K53" s="21">
        <f>I53*J53</f>
        <v>82.0</v>
      </c>
      <c r="L53" s="22">
        <f>F53^2/162</f>
        <v>2.4691358024691357</v>
      </c>
      <c r="M53" s="21">
        <f>K53*L53</f>
        <v>202.4691358024691</v>
      </c>
      <c r="N53" s="22">
        <f>M53/1000</f>
        <v>0.2024691358024691</v>
      </c>
      <c r="O53" s="13" t="inlineStr">
        <is>
          <t>Elevation / plan</t>
        </is>
      </c>
    </row>
    <row r="54">
      <c r="A54" s="13" t="n">
        <v>49</v>
      </c>
      <c r="B54" s="13" t="inlineStr">
        <is>
          <t>Shear Walls</t>
        </is>
      </c>
      <c r="C54" s="13" t="inlineStr">
        <is>
          <t>STR-013/014</t>
        </is>
      </c>
      <c r="D54" s="13" t="inlineStr">
        <is>
          <t>Emergency stair core CW-19 (L=1100mm) 10th to roof top terrace - horizontal Y12@150 NF/FF</t>
        </is>
      </c>
      <c r="E54" s="19" t="inlineStr">
        <is>
          <t>H-Y12</t>
        </is>
      </c>
      <c r="F54" s="19" t="n">
        <v>12</v>
      </c>
      <c r="G54" s="19" t="n">
        <v>1</v>
      </c>
      <c r="H54" s="19">
        <f>2*20</f>
        <v>40.0</v>
      </c>
      <c r="I54" s="13">
        <f>G54*H54</f>
        <v>40.0</v>
      </c>
      <c r="J54" s="20">
        <f>(1100-2*30+40*12)/1000</f>
        <v>1.52</v>
      </c>
      <c r="K54" s="21">
        <f>I54*J54</f>
        <v>60.8</v>
      </c>
      <c r="L54" s="22">
        <f>F54^2/162</f>
        <v>0.8888888888888888</v>
      </c>
      <c r="M54" s="21">
        <f>K54*L54</f>
        <v>54.04444444444444</v>
      </c>
      <c r="N54" s="22">
        <f>M54/1000</f>
        <v>0.05404444444444444</v>
      </c>
      <c r="O54" s="13" t="inlineStr">
        <is>
          <t>Elevation count / plan length</t>
        </is>
      </c>
    </row>
    <row r="55">
      <c r="A55" s="13" t="n">
        <v>50</v>
      </c>
      <c r="B55" s="13" t="inlineStr">
        <is>
          <t>Shear Walls</t>
        </is>
      </c>
      <c r="C55" s="13" t="inlineStr">
        <is>
          <t>STR-013/014</t>
        </is>
      </c>
      <c r="D55" s="13" t="inlineStr">
        <is>
          <t>Emergency stair core CW-19 10th to roof top terrace - vertical Y20@150 NF/FF</t>
        </is>
      </c>
      <c r="E55" s="19" t="inlineStr">
        <is>
          <t>V-Y20</t>
        </is>
      </c>
      <c r="F55" s="19" t="n">
        <v>20</v>
      </c>
      <c r="G55" s="19" t="n">
        <v>1</v>
      </c>
      <c r="H55" s="19">
        <f>2*(ROUNDUP(1100/150,0)+1)</f>
        <v>18.0</v>
      </c>
      <c r="I55" s="13">
        <f>G55*H55</f>
        <v>18.0</v>
      </c>
      <c r="J55" s="20">
        <f>(3300+40*20)/1000</f>
        <v>4.1</v>
      </c>
      <c r="K55" s="21">
        <f>I55*J55</f>
        <v>73.8</v>
      </c>
      <c r="L55" s="22">
        <f>F55^2/162</f>
        <v>2.4691358024691357</v>
      </c>
      <c r="M55" s="21">
        <f>K55*L55</f>
        <v>182.2222222222222</v>
      </c>
      <c r="N55" s="22">
        <f>M55/1000</f>
        <v>0.1822222222222222</v>
      </c>
      <c r="O55" s="13" t="inlineStr">
        <is>
          <t>Elevation / plan</t>
        </is>
      </c>
    </row>
    <row r="56">
      <c r="A56" s="13" t="n">
        <v>51</v>
      </c>
      <c r="B56" s="13" t="inlineStr">
        <is>
          <t>Shear Walls</t>
        </is>
      </c>
      <c r="C56" s="13" t="inlineStr">
        <is>
          <t>STR-013/014</t>
        </is>
      </c>
      <c r="D56" s="13" t="inlineStr">
        <is>
          <t>Emergency stair core CW-20 (L=1300mm) 10th to roof top terrace - horizontal Y12@150 NF/FF</t>
        </is>
      </c>
      <c r="E56" s="19" t="inlineStr">
        <is>
          <t>H-Y12</t>
        </is>
      </c>
      <c r="F56" s="19" t="n">
        <v>12</v>
      </c>
      <c r="G56" s="19" t="n">
        <v>1</v>
      </c>
      <c r="H56" s="19">
        <f>2*20</f>
        <v>40.0</v>
      </c>
      <c r="I56" s="13">
        <f>G56*H56</f>
        <v>40.0</v>
      </c>
      <c r="J56" s="20">
        <f>(1300-2*30+40*12)/1000</f>
        <v>1.72</v>
      </c>
      <c r="K56" s="21">
        <f>I56*J56</f>
        <v>68.8</v>
      </c>
      <c r="L56" s="22">
        <f>F56^2/162</f>
        <v>0.8888888888888888</v>
      </c>
      <c r="M56" s="21">
        <f>K56*L56</f>
        <v>61.15555555555555</v>
      </c>
      <c r="N56" s="22">
        <f>M56/1000</f>
        <v>0.06115555555555555</v>
      </c>
      <c r="O56" s="13" t="inlineStr">
        <is>
          <t>Elevation count / plan length</t>
        </is>
      </c>
    </row>
    <row r="57">
      <c r="A57" s="13" t="n">
        <v>52</v>
      </c>
      <c r="B57" s="13" t="inlineStr">
        <is>
          <t>Shear Walls</t>
        </is>
      </c>
      <c r="C57" s="13" t="inlineStr">
        <is>
          <t>STR-013/014</t>
        </is>
      </c>
      <c r="D57" s="13" t="inlineStr">
        <is>
          <t>Emergency stair core CW-20 10th to roof top terrace - vertical Y20@150 NF/FF</t>
        </is>
      </c>
      <c r="E57" s="19" t="inlineStr">
        <is>
          <t>V-Y20</t>
        </is>
      </c>
      <c r="F57" s="19" t="n">
        <v>20</v>
      </c>
      <c r="G57" s="19" t="n">
        <v>1</v>
      </c>
      <c r="H57" s="19">
        <f>2*(ROUNDUP(1300/150,0)+1)</f>
        <v>20.0</v>
      </c>
      <c r="I57" s="13">
        <f>G57*H57</f>
        <v>20.0</v>
      </c>
      <c r="J57" s="20">
        <f>(3300+40*20)/1000</f>
        <v>4.1</v>
      </c>
      <c r="K57" s="21">
        <f>I57*J57</f>
        <v>82.0</v>
      </c>
      <c r="L57" s="22">
        <f>F57^2/162</f>
        <v>2.4691358024691357</v>
      </c>
      <c r="M57" s="21">
        <f>K57*L57</f>
        <v>202.4691358024691</v>
      </c>
      <c r="N57" s="22">
        <f>M57/1000</f>
        <v>0.2024691358024691</v>
      </c>
      <c r="O57" s="13" t="inlineStr">
        <is>
          <t>Elevation / plan</t>
        </is>
      </c>
    </row>
    <row r="58">
      <c r="A58" s="13" t="n">
        <v>53</v>
      </c>
      <c r="B58" s="13" t="inlineStr">
        <is>
          <t>Shear Walls</t>
        </is>
      </c>
      <c r="C58" s="13" t="inlineStr">
        <is>
          <t>STR-013/014</t>
        </is>
      </c>
      <c r="D58" s="13" t="inlineStr">
        <is>
          <t>Emergency stair core confinement links Y10@150 (33 positions on plan) 10th to roof top terrace</t>
        </is>
      </c>
      <c r="E58" s="19" t="inlineStr">
        <is>
          <t>LNK-Y10</t>
        </is>
      </c>
      <c r="F58" s="19" t="n">
        <v>10</v>
      </c>
      <c r="G58" s="19" t="n">
        <v>1</v>
      </c>
      <c r="H58" s="19">
        <f>33*ROUNDUP(3300/150,0)</f>
        <v>726.0</v>
      </c>
      <c r="I58" s="13">
        <f>G58*H58</f>
        <v>726.0</v>
      </c>
      <c r="J58" s="20">
        <f>1800/1000</f>
        <v>1.8</v>
      </c>
      <c r="K58" s="21">
        <f>I58*J58</f>
        <v>1306.8</v>
      </c>
      <c r="L58" s="22">
        <f>F58^2/162</f>
        <v>0.6172839506172839</v>
      </c>
      <c r="M58" s="21">
        <f>K58*L58</f>
        <v>806.6666666666666</v>
      </c>
      <c r="N58" s="22">
        <f>M58/1000</f>
        <v>0.8066666666666666</v>
      </c>
      <c r="O58" s="13" t="inlineStr">
        <is>
          <t>Assumed link cut length</t>
        </is>
      </c>
    </row>
    <row r="59">
      <c r="A59" s="13" t="n">
        <v>54</v>
      </c>
      <c r="B59" s="13" t="inlineStr">
        <is>
          <t>Lift Walls</t>
        </is>
      </c>
      <c r="C59" s="13" t="inlineStr">
        <is>
          <t>STR-015/017</t>
        </is>
      </c>
      <c r="D59" s="13" t="inlineStr">
        <is>
          <t>Main core (lift shafts) CW-02 (L=3600mm) 10th to roof top terrace - horizontal Y12@150 NF/FF</t>
        </is>
      </c>
      <c r="E59" s="19" t="inlineStr">
        <is>
          <t>H-Y12</t>
        </is>
      </c>
      <c r="F59" s="19" t="n">
        <v>12</v>
      </c>
      <c r="G59" s="19" t="n">
        <v>1</v>
      </c>
      <c r="H59" s="19">
        <f>2*20</f>
        <v>40.0</v>
      </c>
      <c r="I59" s="13">
        <f>G59*H59</f>
        <v>40.0</v>
      </c>
      <c r="J59" s="20">
        <f>(3600-2*30+40*12)/1000</f>
        <v>4.02</v>
      </c>
      <c r="K59" s="21">
        <f>I59*J59</f>
        <v>160.79999999999998</v>
      </c>
      <c r="L59" s="22">
        <f>F59^2/162</f>
        <v>0.8888888888888888</v>
      </c>
      <c r="M59" s="21">
        <f>K59*L59</f>
        <v>142.9333333333333</v>
      </c>
      <c r="N59" s="22">
        <f>M59/1000</f>
        <v>0.1429333333333333</v>
      </c>
      <c r="O59" s="13" t="inlineStr">
        <is>
          <t>Elevation count / plan length</t>
        </is>
      </c>
    </row>
    <row r="60">
      <c r="A60" s="13" t="n">
        <v>55</v>
      </c>
      <c r="B60" s="13" t="inlineStr">
        <is>
          <t>Lift Walls</t>
        </is>
      </c>
      <c r="C60" s="13" t="inlineStr">
        <is>
          <t>STR-015/017</t>
        </is>
      </c>
      <c r="D60" s="13" t="inlineStr">
        <is>
          <t>Main core (lift shafts) CW-02 10th to roof top terrace - vertical Y20@150 NF/FF</t>
        </is>
      </c>
      <c r="E60" s="19" t="inlineStr">
        <is>
          <t>V-Y20</t>
        </is>
      </c>
      <c r="F60" s="19" t="n">
        <v>20</v>
      </c>
      <c r="G60" s="19" t="n">
        <v>1</v>
      </c>
      <c r="H60" s="19">
        <f>2*29</f>
        <v>58.0</v>
      </c>
      <c r="I60" s="13">
        <f>G60*H60</f>
        <v>58.0</v>
      </c>
      <c r="J60" s="20">
        <f>(3300+40*20)/1000</f>
        <v>4.1</v>
      </c>
      <c r="K60" s="21">
        <f>I60*J60</f>
        <v>237.79999999999998</v>
      </c>
      <c r="L60" s="22">
        <f>F60^2/162</f>
        <v>2.4691358024691357</v>
      </c>
      <c r="M60" s="21">
        <f>K60*L60</f>
        <v>587.1604938271604</v>
      </c>
      <c r="N60" s="22">
        <f>M60/1000</f>
        <v>0.5871604938271604</v>
      </c>
      <c r="O60" s="13" t="inlineStr">
        <is>
          <t>Elevation / plan</t>
        </is>
      </c>
    </row>
    <row r="61">
      <c r="A61" s="13" t="n">
        <v>56</v>
      </c>
      <c r="B61" s="13" t="inlineStr">
        <is>
          <t>Lift Walls</t>
        </is>
      </c>
      <c r="C61" s="13" t="inlineStr">
        <is>
          <t>STR-015/017</t>
        </is>
      </c>
      <c r="D61" s="13" t="inlineStr">
        <is>
          <t>Main core (lift shafts) CW-03 (L=3600mm) 10th to roof top terrace - horizontal Y12@150 NF/FF</t>
        </is>
      </c>
      <c r="E61" s="19" t="inlineStr">
        <is>
          <t>H-Y12</t>
        </is>
      </c>
      <c r="F61" s="19" t="n">
        <v>12</v>
      </c>
      <c r="G61" s="19" t="n">
        <v>1</v>
      </c>
      <c r="H61" s="19">
        <f>2*20</f>
        <v>40.0</v>
      </c>
      <c r="I61" s="13">
        <f>G61*H61</f>
        <v>40.0</v>
      </c>
      <c r="J61" s="20">
        <f>(3600-2*30+40*12)/1000</f>
        <v>4.02</v>
      </c>
      <c r="K61" s="21">
        <f>I61*J61</f>
        <v>160.79999999999998</v>
      </c>
      <c r="L61" s="22">
        <f>F61^2/162</f>
        <v>0.8888888888888888</v>
      </c>
      <c r="M61" s="21">
        <f>K61*L61</f>
        <v>142.9333333333333</v>
      </c>
      <c r="N61" s="22">
        <f>M61/1000</f>
        <v>0.1429333333333333</v>
      </c>
      <c r="O61" s="13" t="inlineStr">
        <is>
          <t>Elevation count / plan length</t>
        </is>
      </c>
    </row>
    <row r="62">
      <c r="A62" s="13" t="n">
        <v>57</v>
      </c>
      <c r="B62" s="13" t="inlineStr">
        <is>
          <t>Lift Walls</t>
        </is>
      </c>
      <c r="C62" s="13" t="inlineStr">
        <is>
          <t>STR-015/017</t>
        </is>
      </c>
      <c r="D62" s="13" t="inlineStr">
        <is>
          <t>Main core (lift shafts) CW-03 10th to roof top terrace - vertical Y20@150 NF/FF</t>
        </is>
      </c>
      <c r="E62" s="19" t="inlineStr">
        <is>
          <t>V-Y20</t>
        </is>
      </c>
      <c r="F62" s="19" t="n">
        <v>20</v>
      </c>
      <c r="G62" s="19" t="n">
        <v>1</v>
      </c>
      <c r="H62" s="19">
        <f>2*29</f>
        <v>58.0</v>
      </c>
      <c r="I62" s="13">
        <f>G62*H62</f>
        <v>58.0</v>
      </c>
      <c r="J62" s="20">
        <f>(3300+40*20)/1000</f>
        <v>4.1</v>
      </c>
      <c r="K62" s="21">
        <f>I62*J62</f>
        <v>237.79999999999998</v>
      </c>
      <c r="L62" s="22">
        <f>F62^2/162</f>
        <v>2.4691358024691357</v>
      </c>
      <c r="M62" s="21">
        <f>K62*L62</f>
        <v>587.1604938271604</v>
      </c>
      <c r="N62" s="22">
        <f>M62/1000</f>
        <v>0.5871604938271604</v>
      </c>
      <c r="O62" s="13" t="inlineStr">
        <is>
          <t>Elevation / plan</t>
        </is>
      </c>
    </row>
    <row r="63">
      <c r="A63" s="13" t="n">
        <v>58</v>
      </c>
      <c r="B63" s="13" t="inlineStr">
        <is>
          <t>Lift Walls</t>
        </is>
      </c>
      <c r="C63" s="13" t="inlineStr">
        <is>
          <t>STR-015/017</t>
        </is>
      </c>
      <c r="D63" s="13" t="inlineStr">
        <is>
          <t>Main core (lift shafts) CW-04 (L=3600mm) 10th to roof top terrace - horizontal Y12@150 NF/FF</t>
        </is>
      </c>
      <c r="E63" s="19" t="inlineStr">
        <is>
          <t>H-Y12</t>
        </is>
      </c>
      <c r="F63" s="19" t="n">
        <v>12</v>
      </c>
      <c r="G63" s="19" t="n">
        <v>1</v>
      </c>
      <c r="H63" s="19">
        <f>2*20</f>
        <v>40.0</v>
      </c>
      <c r="I63" s="13">
        <f>G63*H63</f>
        <v>40.0</v>
      </c>
      <c r="J63" s="20">
        <f>(3600-2*30+40*12)/1000</f>
        <v>4.02</v>
      </c>
      <c r="K63" s="21">
        <f>I63*J63</f>
        <v>160.79999999999998</v>
      </c>
      <c r="L63" s="22">
        <f>F63^2/162</f>
        <v>0.8888888888888888</v>
      </c>
      <c r="M63" s="21">
        <f>K63*L63</f>
        <v>142.9333333333333</v>
      </c>
      <c r="N63" s="22">
        <f>M63/1000</f>
        <v>0.1429333333333333</v>
      </c>
      <c r="O63" s="13" t="inlineStr">
        <is>
          <t>Elevation count / plan length</t>
        </is>
      </c>
    </row>
    <row r="64">
      <c r="A64" s="13" t="n">
        <v>59</v>
      </c>
      <c r="B64" s="13" t="inlineStr">
        <is>
          <t>Lift Walls</t>
        </is>
      </c>
      <c r="C64" s="13" t="inlineStr">
        <is>
          <t>STR-015/017</t>
        </is>
      </c>
      <c r="D64" s="13" t="inlineStr">
        <is>
          <t>Main core (lift shafts) CW-04 10th to roof top terrace - vertical Y20@150 NF/FF</t>
        </is>
      </c>
      <c r="E64" s="19" t="inlineStr">
        <is>
          <t>V-Y20</t>
        </is>
      </c>
      <c r="F64" s="19" t="n">
        <v>20</v>
      </c>
      <c r="G64" s="19" t="n">
        <v>1</v>
      </c>
      <c r="H64" s="19">
        <f>2*29</f>
        <v>58.0</v>
      </c>
      <c r="I64" s="13">
        <f>G64*H64</f>
        <v>58.0</v>
      </c>
      <c r="J64" s="20">
        <f>(3300+40*20)/1000</f>
        <v>4.1</v>
      </c>
      <c r="K64" s="21">
        <f>I64*J64</f>
        <v>237.79999999999998</v>
      </c>
      <c r="L64" s="22">
        <f>F64^2/162</f>
        <v>2.4691358024691357</v>
      </c>
      <c r="M64" s="21">
        <f>K64*L64</f>
        <v>587.1604938271604</v>
      </c>
      <c r="N64" s="22">
        <f>M64/1000</f>
        <v>0.5871604938271604</v>
      </c>
      <c r="O64" s="13" t="inlineStr">
        <is>
          <t>Elevation / plan</t>
        </is>
      </c>
    </row>
    <row r="65">
      <c r="A65" s="13" t="n">
        <v>60</v>
      </c>
      <c r="B65" s="13" t="inlineStr">
        <is>
          <t>Lift Walls</t>
        </is>
      </c>
      <c r="C65" s="13" t="inlineStr">
        <is>
          <t>STR-015/017</t>
        </is>
      </c>
      <c r="D65" s="13" t="inlineStr">
        <is>
          <t>Main core (lift shafts) CW-06 (L=2025mm) 10th to roof top terrace - horizontal Y12@150 NF/FF</t>
        </is>
      </c>
      <c r="E65" s="19" t="inlineStr">
        <is>
          <t>H-Y12</t>
        </is>
      </c>
      <c r="F65" s="19" t="n">
        <v>12</v>
      </c>
      <c r="G65" s="19" t="n">
        <v>1</v>
      </c>
      <c r="H65" s="19">
        <f>2*20</f>
        <v>40.0</v>
      </c>
      <c r="I65" s="13">
        <f>G65*H65</f>
        <v>40.0</v>
      </c>
      <c r="J65" s="20">
        <f>(2025-2*30+40*12)/1000</f>
        <v>2.445</v>
      </c>
      <c r="K65" s="21">
        <f>I65*J65</f>
        <v>97.8</v>
      </c>
      <c r="L65" s="22">
        <f>F65^2/162</f>
        <v>0.8888888888888888</v>
      </c>
      <c r="M65" s="21">
        <f>K65*L65</f>
        <v>86.93333333333332</v>
      </c>
      <c r="N65" s="22">
        <f>M65/1000</f>
        <v>0.08693333333333332</v>
      </c>
      <c r="O65" s="13" t="inlineStr">
        <is>
          <t>Elevation count / plan length</t>
        </is>
      </c>
    </row>
    <row r="66">
      <c r="A66" s="13" t="n">
        <v>61</v>
      </c>
      <c r="B66" s="13" t="inlineStr">
        <is>
          <t>Lift Walls</t>
        </is>
      </c>
      <c r="C66" s="13" t="inlineStr">
        <is>
          <t>STR-015/017</t>
        </is>
      </c>
      <c r="D66" s="13" t="inlineStr">
        <is>
          <t>Main core (lift shafts) CW-06 10th to roof top terrace - vertical Y20@150 NF/FF</t>
        </is>
      </c>
      <c r="E66" s="19" t="inlineStr">
        <is>
          <t>V-Y20</t>
        </is>
      </c>
      <c r="F66" s="19" t="n">
        <v>20</v>
      </c>
      <c r="G66" s="19" t="n">
        <v>1</v>
      </c>
      <c r="H66" s="19">
        <f>2*(ROUNDUP(2025/150,0)+1)</f>
        <v>30.0</v>
      </c>
      <c r="I66" s="13">
        <f>G66*H66</f>
        <v>30.0</v>
      </c>
      <c r="J66" s="20">
        <f>(3300+40*20)/1000</f>
        <v>4.1</v>
      </c>
      <c r="K66" s="21">
        <f>I66*J66</f>
        <v>122.99999999999999</v>
      </c>
      <c r="L66" s="22">
        <f>F66^2/162</f>
        <v>2.4691358024691357</v>
      </c>
      <c r="M66" s="21">
        <f>K66*L66</f>
        <v>303.70370370370364</v>
      </c>
      <c r="N66" s="22">
        <f>M66/1000</f>
        <v>0.30370370370370364</v>
      </c>
      <c r="O66" s="13" t="inlineStr">
        <is>
          <t>Elevation / plan</t>
        </is>
      </c>
    </row>
    <row r="67">
      <c r="A67" s="13" t="n">
        <v>62</v>
      </c>
      <c r="B67" s="13" t="inlineStr">
        <is>
          <t>Lift Walls</t>
        </is>
      </c>
      <c r="C67" s="13" t="inlineStr">
        <is>
          <t>STR-015/017</t>
        </is>
      </c>
      <c r="D67" s="13" t="inlineStr">
        <is>
          <t>Main core (lift shafts) CW-08 (L=4500mm) 10th to roof top terrace - horizontal Y12@150 NF/FF</t>
        </is>
      </c>
      <c r="E67" s="19" t="inlineStr">
        <is>
          <t>H-Y12</t>
        </is>
      </c>
      <c r="F67" s="19" t="n">
        <v>12</v>
      </c>
      <c r="G67" s="19" t="n">
        <v>1</v>
      </c>
      <c r="H67" s="19">
        <f>2*20</f>
        <v>40.0</v>
      </c>
      <c r="I67" s="13">
        <f>G67*H67</f>
        <v>40.0</v>
      </c>
      <c r="J67" s="20">
        <f>(4500-2*30+40*12)/1000</f>
        <v>4.92</v>
      </c>
      <c r="K67" s="21">
        <f>I67*J67</f>
        <v>196.8</v>
      </c>
      <c r="L67" s="22">
        <f>F67^2/162</f>
        <v>0.8888888888888888</v>
      </c>
      <c r="M67" s="21">
        <f>K67*L67</f>
        <v>174.93333333333334</v>
      </c>
      <c r="N67" s="22">
        <f>M67/1000</f>
        <v>0.17493333333333333</v>
      </c>
      <c r="O67" s="13" t="inlineStr">
        <is>
          <t>Elevation count / plan length</t>
        </is>
      </c>
    </row>
    <row r="68">
      <c r="A68" s="13" t="n">
        <v>63</v>
      </c>
      <c r="B68" s="13" t="inlineStr">
        <is>
          <t>Lift Walls</t>
        </is>
      </c>
      <c r="C68" s="13" t="inlineStr">
        <is>
          <t>STR-015/017</t>
        </is>
      </c>
      <c r="D68" s="13" t="inlineStr">
        <is>
          <t>Main core (lift shafts) CW-08 10th to roof top terrace - vertical Y20@150 NF/FF</t>
        </is>
      </c>
      <c r="E68" s="19" t="inlineStr">
        <is>
          <t>V-Y20</t>
        </is>
      </c>
      <c r="F68" s="19" t="n">
        <v>20</v>
      </c>
      <c r="G68" s="19" t="n">
        <v>1</v>
      </c>
      <c r="H68" s="19">
        <f>2*(ROUNDUP(4500/150,0)+1)</f>
        <v>62.0</v>
      </c>
      <c r="I68" s="13">
        <f>G68*H68</f>
        <v>62.0</v>
      </c>
      <c r="J68" s="20">
        <f>(3300+40*20)/1000</f>
        <v>4.1</v>
      </c>
      <c r="K68" s="21">
        <f>I68*J68</f>
        <v>254.2</v>
      </c>
      <c r="L68" s="22">
        <f>F68^2/162</f>
        <v>2.4691358024691357</v>
      </c>
      <c r="M68" s="21">
        <f>K68*L68</f>
        <v>627.6543209876543</v>
      </c>
      <c r="N68" s="22">
        <f>M68/1000</f>
        <v>0.6276543209876543</v>
      </c>
      <c r="O68" s="13" t="inlineStr">
        <is>
          <t>Elevation / plan</t>
        </is>
      </c>
    </row>
    <row r="69">
      <c r="A69" s="13" t="n">
        <v>64</v>
      </c>
      <c r="B69" s="13" t="inlineStr">
        <is>
          <t>Lift Walls</t>
        </is>
      </c>
      <c r="C69" s="13" t="inlineStr">
        <is>
          <t>STR-015/017</t>
        </is>
      </c>
      <c r="D69" s="13" t="inlineStr">
        <is>
          <t>Main core (lift shafts) CW-07 (lift section) (L=4500mm) 10th to roof top terrace - horizontal Y12@150 NF/FF</t>
        </is>
      </c>
      <c r="E69" s="19" t="inlineStr">
        <is>
          <t>H-Y12</t>
        </is>
      </c>
      <c r="F69" s="19" t="n">
        <v>12</v>
      </c>
      <c r="G69" s="19" t="n">
        <v>1</v>
      </c>
      <c r="H69" s="19">
        <f>2*20</f>
        <v>40.0</v>
      </c>
      <c r="I69" s="13">
        <f>G69*H69</f>
        <v>40.0</v>
      </c>
      <c r="J69" s="20">
        <f>(4500-2*30+40*12)/1000</f>
        <v>4.92</v>
      </c>
      <c r="K69" s="21">
        <f>I69*J69</f>
        <v>196.8</v>
      </c>
      <c r="L69" s="22">
        <f>F69^2/162</f>
        <v>0.8888888888888888</v>
      </c>
      <c r="M69" s="21">
        <f>K69*L69</f>
        <v>174.93333333333334</v>
      </c>
      <c r="N69" s="22">
        <f>M69/1000</f>
        <v>0.17493333333333333</v>
      </c>
      <c r="O69" s="13" t="inlineStr">
        <is>
          <t>Elevation count / plan length</t>
        </is>
      </c>
    </row>
    <row r="70">
      <c r="A70" s="13" t="n">
        <v>65</v>
      </c>
      <c r="B70" s="13" t="inlineStr">
        <is>
          <t>Lift Walls</t>
        </is>
      </c>
      <c r="C70" s="13" t="inlineStr">
        <is>
          <t>STR-015/017</t>
        </is>
      </c>
      <c r="D70" s="13" t="inlineStr">
        <is>
          <t>Main core (lift shafts) CW-07 (lift section) 10th to roof top terrace - vertical Y20@150 NF/FF</t>
        </is>
      </c>
      <c r="E70" s="19" t="inlineStr">
        <is>
          <t>V-Y20</t>
        </is>
      </c>
      <c r="F70" s="19" t="n">
        <v>20</v>
      </c>
      <c r="G70" s="19" t="n">
        <v>1</v>
      </c>
      <c r="H70" s="19">
        <f>2*(ROUNDUP(4500/150,0)+1)</f>
        <v>62.0</v>
      </c>
      <c r="I70" s="13">
        <f>G70*H70</f>
        <v>62.0</v>
      </c>
      <c r="J70" s="20">
        <f>(3300+40*20)/1000</f>
        <v>4.1</v>
      </c>
      <c r="K70" s="21">
        <f>I70*J70</f>
        <v>254.2</v>
      </c>
      <c r="L70" s="22">
        <f>F70^2/162</f>
        <v>2.4691358024691357</v>
      </c>
      <c r="M70" s="21">
        <f>K70*L70</f>
        <v>627.6543209876543</v>
      </c>
      <c r="N70" s="22">
        <f>M70/1000</f>
        <v>0.6276543209876543</v>
      </c>
      <c r="O70" s="13" t="inlineStr">
        <is>
          <t>Elevation / plan</t>
        </is>
      </c>
    </row>
    <row r="71">
      <c r="A71" s="13" t="n">
        <v>66</v>
      </c>
      <c r="B71" s="13" t="inlineStr">
        <is>
          <t>Lift Walls</t>
        </is>
      </c>
      <c r="C71" s="13" t="inlineStr">
        <is>
          <t>STR-015/017</t>
        </is>
      </c>
      <c r="D71" s="13" t="inlineStr">
        <is>
          <t>Main core (lift shafts) confinement links Y10@150 (26 positions on plan) 10th to roof top terrace</t>
        </is>
      </c>
      <c r="E71" s="19" t="inlineStr">
        <is>
          <t>LNK-Y10</t>
        </is>
      </c>
      <c r="F71" s="19" t="n">
        <v>10</v>
      </c>
      <c r="G71" s="19" t="n">
        <v>1</v>
      </c>
      <c r="H71" s="19">
        <f>26*ROUNDUP(3300/150,0)</f>
        <v>572.0</v>
      </c>
      <c r="I71" s="13">
        <f>G71*H71</f>
        <v>572.0</v>
      </c>
      <c r="J71" s="20">
        <f>1800/1000</f>
        <v>1.8</v>
      </c>
      <c r="K71" s="21">
        <f>I71*J71</f>
        <v>1029.6000000000001</v>
      </c>
      <c r="L71" s="22">
        <f>F71^2/162</f>
        <v>0.6172839506172839</v>
      </c>
      <c r="M71" s="21">
        <f>K71*L71</f>
        <v>635.5555555555557</v>
      </c>
      <c r="N71" s="22">
        <f>M71/1000</f>
        <v>0.6355555555555557</v>
      </c>
      <c r="O71" s="13" t="inlineStr">
        <is>
          <t>Assumed link cut length</t>
        </is>
      </c>
    </row>
    <row r="72">
      <c r="A72" s="13" t="n">
        <v>67</v>
      </c>
      <c r="B72" s="13" t="inlineStr">
        <is>
          <t>Beams</t>
        </is>
      </c>
      <c r="C72" s="13" t="inlineStr">
        <is>
          <t>STR-092</t>
        </is>
      </c>
      <c r="D72" s="13" t="inlineStr">
        <is>
          <t>Tenth floor beams (1 of 2)</t>
        </is>
      </c>
      <c r="E72" s="19" t="inlineStr">
        <is>
          <t>1001</t>
        </is>
      </c>
      <c r="F72" s="19" t="n">
        <v>10</v>
      </c>
      <c r="G72" s="19" t="n">
        <v>1</v>
      </c>
      <c r="H72" s="19" t="n">
        <v>736</v>
      </c>
      <c r="I72" s="13">
        <f>G72*H72</f>
        <v>736.0</v>
      </c>
      <c r="J72" s="20">
        <f>1700/1000</f>
        <v>1.7</v>
      </c>
      <c r="K72" s="21">
        <f>I72*J72</f>
        <v>1251.2</v>
      </c>
      <c r="L72" s="22">
        <f>F72^2/162</f>
        <v>0.6172839506172839</v>
      </c>
      <c r="M72" s="21">
        <f>K72*L72</f>
        <v>772.3456790123456</v>
      </c>
      <c r="N72" s="22">
        <f>M72/1000</f>
        <v>0.7723456790123456</v>
      </c>
      <c r="O72" s="13" t="inlineStr">
        <is>
          <t>BBS</t>
        </is>
      </c>
    </row>
    <row r="73">
      <c r="A73" s="13" t="n">
        <v>68</v>
      </c>
      <c r="B73" s="13" t="inlineStr">
        <is>
          <t>Beams</t>
        </is>
      </c>
      <c r="C73" s="13" t="inlineStr">
        <is>
          <t>STR-092</t>
        </is>
      </c>
      <c r="D73" s="13" t="inlineStr">
        <is>
          <t>Tenth floor beams (1 of 2)</t>
        </is>
      </c>
      <c r="E73" s="19" t="inlineStr">
        <is>
          <t>1601</t>
        </is>
      </c>
      <c r="F73" s="19" t="n">
        <v>16</v>
      </c>
      <c r="G73" s="19" t="n">
        <v>1</v>
      </c>
      <c r="H73" s="19" t="n">
        <v>12</v>
      </c>
      <c r="I73" s="13">
        <f>G73*H73</f>
        <v>12.0</v>
      </c>
      <c r="J73" s="20">
        <f>12000/1000</f>
        <v>12.0</v>
      </c>
      <c r="K73" s="21">
        <f>I73*J73</f>
        <v>144.0</v>
      </c>
      <c r="L73" s="22">
        <f>F73^2/162</f>
        <v>1.5802469135802468</v>
      </c>
      <c r="M73" s="21">
        <f>K73*L73</f>
        <v>227.55555555555554</v>
      </c>
      <c r="N73" s="22">
        <f>M73/1000</f>
        <v>0.22755555555555554</v>
      </c>
      <c r="O73" s="13" t="inlineStr">
        <is>
          <t>BBS</t>
        </is>
      </c>
    </row>
    <row r="74">
      <c r="A74" s="13" t="n">
        <v>69</v>
      </c>
      <c r="B74" s="13" t="inlineStr">
        <is>
          <t>Beams</t>
        </is>
      </c>
      <c r="C74" s="13" t="inlineStr">
        <is>
          <t>STR-092</t>
        </is>
      </c>
      <c r="D74" s="13" t="inlineStr">
        <is>
          <t>Tenth floor beams (1 of 2)</t>
        </is>
      </c>
      <c r="E74" s="19" t="inlineStr">
        <is>
          <t>1602</t>
        </is>
      </c>
      <c r="F74" s="19" t="n">
        <v>16</v>
      </c>
      <c r="G74" s="19" t="n">
        <v>1</v>
      </c>
      <c r="H74" s="19" t="n">
        <v>2</v>
      </c>
      <c r="I74" s="13">
        <f>G74*H74</f>
        <v>2.0</v>
      </c>
      <c r="J74" s="20">
        <f>7275/1000</f>
        <v>7.275</v>
      </c>
      <c r="K74" s="21">
        <f>I74*J74</f>
        <v>14.55</v>
      </c>
      <c r="L74" s="22">
        <f>F74^2/162</f>
        <v>1.5802469135802468</v>
      </c>
      <c r="M74" s="21">
        <f>K74*L74</f>
        <v>22.992592592592594</v>
      </c>
      <c r="N74" s="22">
        <f>M74/1000</f>
        <v>0.022992592592592592</v>
      </c>
      <c r="O74" s="13" t="inlineStr">
        <is>
          <t>BBS</t>
        </is>
      </c>
    </row>
    <row r="75">
      <c r="A75" s="13" t="n">
        <v>70</v>
      </c>
      <c r="B75" s="13" t="inlineStr">
        <is>
          <t>Beams</t>
        </is>
      </c>
      <c r="C75" s="13" t="inlineStr">
        <is>
          <t>STR-092</t>
        </is>
      </c>
      <c r="D75" s="13" t="inlineStr">
        <is>
          <t>Tenth floor beams (1 of 2)</t>
        </is>
      </c>
      <c r="E75" s="19" t="inlineStr">
        <is>
          <t>1603</t>
        </is>
      </c>
      <c r="F75" s="19" t="n">
        <v>16</v>
      </c>
      <c r="G75" s="19" t="n">
        <v>1</v>
      </c>
      <c r="H75" s="19" t="n">
        <v>5</v>
      </c>
      <c r="I75" s="13">
        <f>G75*H75</f>
        <v>5.0</v>
      </c>
      <c r="J75" s="20">
        <f>9000/1000</f>
        <v>9.0</v>
      </c>
      <c r="K75" s="21">
        <f>I75*J75</f>
        <v>45.0</v>
      </c>
      <c r="L75" s="22">
        <f>F75^2/162</f>
        <v>1.5802469135802468</v>
      </c>
      <c r="M75" s="21">
        <f>K75*L75</f>
        <v>71.11111111111111</v>
      </c>
      <c r="N75" s="22">
        <f>M75/1000</f>
        <v>0.07111111111111111</v>
      </c>
      <c r="O75" s="13" t="inlineStr">
        <is>
          <t>BBS</t>
        </is>
      </c>
    </row>
    <row r="76">
      <c r="A76" s="13" t="n">
        <v>71</v>
      </c>
      <c r="B76" s="13" t="inlineStr">
        <is>
          <t>Beams</t>
        </is>
      </c>
      <c r="C76" s="13" t="inlineStr">
        <is>
          <t>STR-092</t>
        </is>
      </c>
      <c r="D76" s="13" t="inlineStr">
        <is>
          <t>Tenth floor beams (1 of 2)</t>
        </is>
      </c>
      <c r="E76" s="19" t="inlineStr">
        <is>
          <t>1604</t>
        </is>
      </c>
      <c r="F76" s="19" t="n">
        <v>16</v>
      </c>
      <c r="G76" s="19" t="n">
        <v>1</v>
      </c>
      <c r="H76" s="19" t="n">
        <v>2</v>
      </c>
      <c r="I76" s="13">
        <f>G76*H76</f>
        <v>2.0</v>
      </c>
      <c r="J76" s="20">
        <f>7000/1000</f>
        <v>7.0</v>
      </c>
      <c r="K76" s="21">
        <f>I76*J76</f>
        <v>14.0</v>
      </c>
      <c r="L76" s="22">
        <f>F76^2/162</f>
        <v>1.5802469135802468</v>
      </c>
      <c r="M76" s="21">
        <f>K76*L76</f>
        <v>22.123456790123456</v>
      </c>
      <c r="N76" s="22">
        <f>M76/1000</f>
        <v>0.022123456790123456</v>
      </c>
      <c r="O76" s="13" t="inlineStr">
        <is>
          <t>BBS</t>
        </is>
      </c>
    </row>
    <row r="77">
      <c r="A77" s="13" t="n">
        <v>72</v>
      </c>
      <c r="B77" s="13" t="inlineStr">
        <is>
          <t>Beams</t>
        </is>
      </c>
      <c r="C77" s="13" t="inlineStr">
        <is>
          <t>STR-092</t>
        </is>
      </c>
      <c r="D77" s="13" t="inlineStr">
        <is>
          <t>Tenth floor beams (1 of 2)</t>
        </is>
      </c>
      <c r="E77" s="19" t="inlineStr">
        <is>
          <t>1605</t>
        </is>
      </c>
      <c r="F77" s="19" t="n">
        <v>16</v>
      </c>
      <c r="G77" s="19" t="n">
        <v>1</v>
      </c>
      <c r="H77" s="19" t="n">
        <v>4</v>
      </c>
      <c r="I77" s="13">
        <f>G77*H77</f>
        <v>4.0</v>
      </c>
      <c r="J77" s="20">
        <f>9400/1000</f>
        <v>9.4</v>
      </c>
      <c r="K77" s="21">
        <f>I77*J77</f>
        <v>37.6</v>
      </c>
      <c r="L77" s="22">
        <f>F77^2/162</f>
        <v>1.5802469135802468</v>
      </c>
      <c r="M77" s="21">
        <f>K77*L77</f>
        <v>59.41728395061728</v>
      </c>
      <c r="N77" s="22">
        <f>M77/1000</f>
        <v>0.05941728395061728</v>
      </c>
      <c r="O77" s="13" t="inlineStr">
        <is>
          <t>BBS</t>
        </is>
      </c>
    </row>
    <row r="78">
      <c r="A78" s="13" t="n">
        <v>73</v>
      </c>
      <c r="B78" s="13" t="inlineStr">
        <is>
          <t>Beams</t>
        </is>
      </c>
      <c r="C78" s="13" t="inlineStr">
        <is>
          <t>STR-092</t>
        </is>
      </c>
      <c r="D78" s="13" t="inlineStr">
        <is>
          <t>Tenth floor beams (1 of 2)</t>
        </is>
      </c>
      <c r="E78" s="19" t="inlineStr">
        <is>
          <t>1606</t>
        </is>
      </c>
      <c r="F78" s="19" t="n">
        <v>16</v>
      </c>
      <c r="G78" s="19" t="n">
        <v>1</v>
      </c>
      <c r="H78" s="19" t="n">
        <v>4</v>
      </c>
      <c r="I78" s="13">
        <f>G78*H78</f>
        <v>4.0</v>
      </c>
      <c r="J78" s="20">
        <f>7400/1000</f>
        <v>7.4</v>
      </c>
      <c r="K78" s="21">
        <f>I78*J78</f>
        <v>29.6</v>
      </c>
      <c r="L78" s="22">
        <f>F78^2/162</f>
        <v>1.5802469135802468</v>
      </c>
      <c r="M78" s="21">
        <f>K78*L78</f>
        <v>46.77530864197531</v>
      </c>
      <c r="N78" s="22">
        <f>M78/1000</f>
        <v>0.04677530864197531</v>
      </c>
      <c r="O78" s="13" t="inlineStr">
        <is>
          <t>BBS</t>
        </is>
      </c>
    </row>
    <row r="79">
      <c r="A79" s="13" t="n">
        <v>74</v>
      </c>
      <c r="B79" s="13" t="inlineStr">
        <is>
          <t>Beams</t>
        </is>
      </c>
      <c r="C79" s="13" t="inlineStr">
        <is>
          <t>STR-092</t>
        </is>
      </c>
      <c r="D79" s="13" t="inlineStr">
        <is>
          <t>Tenth floor beams (1 of 2)</t>
        </is>
      </c>
      <c r="E79" s="19" t="inlineStr">
        <is>
          <t>1607</t>
        </is>
      </c>
      <c r="F79" s="19" t="n">
        <v>16</v>
      </c>
      <c r="G79" s="19" t="n">
        <v>1</v>
      </c>
      <c r="H79" s="19" t="n">
        <v>3</v>
      </c>
      <c r="I79" s="13">
        <f>G79*H79</f>
        <v>3.0</v>
      </c>
      <c r="J79" s="20">
        <f>8900/1000</f>
        <v>8.9</v>
      </c>
      <c r="K79" s="21">
        <f>I79*J79</f>
        <v>26.700000000000003</v>
      </c>
      <c r="L79" s="22">
        <f>F79^2/162</f>
        <v>1.5802469135802468</v>
      </c>
      <c r="M79" s="21">
        <f>K79*L79</f>
        <v>42.1925925925926</v>
      </c>
      <c r="N79" s="22">
        <f>M79/1000</f>
        <v>0.042192592592592594</v>
      </c>
      <c r="O79" s="13" t="inlineStr">
        <is>
          <t>BBS</t>
        </is>
      </c>
    </row>
    <row r="80">
      <c r="A80" s="13" t="n">
        <v>75</v>
      </c>
      <c r="B80" s="13" t="inlineStr">
        <is>
          <t>Beams</t>
        </is>
      </c>
      <c r="C80" s="13" t="inlineStr">
        <is>
          <t>STR-092</t>
        </is>
      </c>
      <c r="D80" s="13" t="inlineStr">
        <is>
          <t>Tenth floor beams (1 of 2)</t>
        </is>
      </c>
      <c r="E80" s="19" t="inlineStr">
        <is>
          <t>1608</t>
        </is>
      </c>
      <c r="F80" s="19" t="n">
        <v>16</v>
      </c>
      <c r="G80" s="19" t="n">
        <v>1</v>
      </c>
      <c r="H80" s="19" t="n">
        <v>3</v>
      </c>
      <c r="I80" s="13">
        <f>G80*H80</f>
        <v>3.0</v>
      </c>
      <c r="J80" s="20">
        <f>5600/1000</f>
        <v>5.6</v>
      </c>
      <c r="K80" s="21">
        <f>I80*J80</f>
        <v>16.799999999999997</v>
      </c>
      <c r="L80" s="22">
        <f>F80^2/162</f>
        <v>1.5802469135802468</v>
      </c>
      <c r="M80" s="21">
        <f>K80*L80</f>
        <v>26.548148148148144</v>
      </c>
      <c r="N80" s="22">
        <f>M80/1000</f>
        <v>0.026548148148148144</v>
      </c>
      <c r="O80" s="13" t="inlineStr">
        <is>
          <t>BBS</t>
        </is>
      </c>
    </row>
    <row r="81">
      <c r="A81" s="13" t="n">
        <v>76</v>
      </c>
      <c r="B81" s="13" t="inlineStr">
        <is>
          <t>Beams</t>
        </is>
      </c>
      <c r="C81" s="13" t="inlineStr">
        <is>
          <t>STR-092</t>
        </is>
      </c>
      <c r="D81" s="13" t="inlineStr">
        <is>
          <t>Tenth floor beams (1 of 2)</t>
        </is>
      </c>
      <c r="E81" s="19" t="inlineStr">
        <is>
          <t>1609</t>
        </is>
      </c>
      <c r="F81" s="19" t="n">
        <v>16</v>
      </c>
      <c r="G81" s="19" t="n">
        <v>1</v>
      </c>
      <c r="H81" s="19" t="n">
        <v>2</v>
      </c>
      <c r="I81" s="13">
        <f>G81*H81</f>
        <v>2.0</v>
      </c>
      <c r="J81" s="20">
        <f>10300/1000</f>
        <v>10.3</v>
      </c>
      <c r="K81" s="21">
        <f>I81*J81</f>
        <v>20.6</v>
      </c>
      <c r="L81" s="22">
        <f>F81^2/162</f>
        <v>1.5802469135802468</v>
      </c>
      <c r="M81" s="21">
        <f>K81*L81</f>
        <v>32.553086419753086</v>
      </c>
      <c r="N81" s="22">
        <f>M81/1000</f>
        <v>0.03255308641975309</v>
      </c>
      <c r="O81" s="13" t="inlineStr">
        <is>
          <t>BBS</t>
        </is>
      </c>
    </row>
    <row r="82">
      <c r="A82" s="13" t="n">
        <v>77</v>
      </c>
      <c r="B82" s="13" t="inlineStr">
        <is>
          <t>Beams</t>
        </is>
      </c>
      <c r="C82" s="13" t="inlineStr">
        <is>
          <t>STR-092</t>
        </is>
      </c>
      <c r="D82" s="13" t="inlineStr">
        <is>
          <t>Tenth floor beams (1 of 2)</t>
        </is>
      </c>
      <c r="E82" s="19" t="inlineStr">
        <is>
          <t>1610</t>
        </is>
      </c>
      <c r="F82" s="19" t="n">
        <v>16</v>
      </c>
      <c r="G82" s="19" t="n">
        <v>1</v>
      </c>
      <c r="H82" s="19" t="n">
        <v>2</v>
      </c>
      <c r="I82" s="13">
        <f>G82*H82</f>
        <v>2.0</v>
      </c>
      <c r="J82" s="20">
        <f>10850/1000</f>
        <v>10.85</v>
      </c>
      <c r="K82" s="21">
        <f>I82*J82</f>
        <v>21.7</v>
      </c>
      <c r="L82" s="22">
        <f>F82^2/162</f>
        <v>1.5802469135802468</v>
      </c>
      <c r="M82" s="21">
        <f>K82*L82</f>
        <v>34.291358024691355</v>
      </c>
      <c r="N82" s="22">
        <f>M82/1000</f>
        <v>0.034291358024691354</v>
      </c>
      <c r="O82" s="13" t="inlineStr">
        <is>
          <t>BBS</t>
        </is>
      </c>
    </row>
    <row r="83">
      <c r="A83" s="13" t="n">
        <v>78</v>
      </c>
      <c r="B83" s="13" t="inlineStr">
        <is>
          <t>Beams</t>
        </is>
      </c>
      <c r="C83" s="13" t="inlineStr">
        <is>
          <t>STR-092</t>
        </is>
      </c>
      <c r="D83" s="13" t="inlineStr">
        <is>
          <t>Tenth floor beams (1 of 2)</t>
        </is>
      </c>
      <c r="E83" s="19" t="inlineStr">
        <is>
          <t>1611</t>
        </is>
      </c>
      <c r="F83" s="19" t="n">
        <v>16</v>
      </c>
      <c r="G83" s="19" t="n">
        <v>1</v>
      </c>
      <c r="H83" s="19" t="n">
        <v>2</v>
      </c>
      <c r="I83" s="13">
        <f>G83*H83</f>
        <v>2.0</v>
      </c>
      <c r="J83" s="20">
        <f>8000/1000</f>
        <v>8.0</v>
      </c>
      <c r="K83" s="21">
        <f>I83*J83</f>
        <v>16.0</v>
      </c>
      <c r="L83" s="22">
        <f>F83^2/162</f>
        <v>1.5802469135802468</v>
      </c>
      <c r="M83" s="21">
        <f>K83*L83</f>
        <v>25.28395061728395</v>
      </c>
      <c r="N83" s="22">
        <f>M83/1000</f>
        <v>0.02528395061728395</v>
      </c>
      <c r="O83" s="13" t="inlineStr">
        <is>
          <t>BBS</t>
        </is>
      </c>
    </row>
    <row r="84">
      <c r="A84" s="13" t="n">
        <v>79</v>
      </c>
      <c r="B84" s="13" t="inlineStr">
        <is>
          <t>Beams</t>
        </is>
      </c>
      <c r="C84" s="13" t="inlineStr">
        <is>
          <t>STR-092</t>
        </is>
      </c>
      <c r="D84" s="13" t="inlineStr">
        <is>
          <t>Tenth floor beams (1 of 2)</t>
        </is>
      </c>
      <c r="E84" s="19" t="inlineStr">
        <is>
          <t>1612</t>
        </is>
      </c>
      <c r="F84" s="19" t="n">
        <v>16</v>
      </c>
      <c r="G84" s="19" t="n">
        <v>1</v>
      </c>
      <c r="H84" s="19" t="n">
        <v>2</v>
      </c>
      <c r="I84" s="13">
        <f>G84*H84</f>
        <v>2.0</v>
      </c>
      <c r="J84" s="20">
        <f>8875/1000</f>
        <v>8.875</v>
      </c>
      <c r="K84" s="21">
        <f>I84*J84</f>
        <v>17.75</v>
      </c>
      <c r="L84" s="22">
        <f>F84^2/162</f>
        <v>1.5802469135802468</v>
      </c>
      <c r="M84" s="21">
        <f>K84*L84</f>
        <v>28.04938271604938</v>
      </c>
      <c r="N84" s="22">
        <f>M84/1000</f>
        <v>0.02804938271604938</v>
      </c>
      <c r="O84" s="13" t="inlineStr">
        <is>
          <t>BBS</t>
        </is>
      </c>
    </row>
    <row r="85">
      <c r="A85" s="13" t="n">
        <v>80</v>
      </c>
      <c r="B85" s="13" t="inlineStr">
        <is>
          <t>Beams</t>
        </is>
      </c>
      <c r="C85" s="13" t="inlineStr">
        <is>
          <t>STR-092</t>
        </is>
      </c>
      <c r="D85" s="13" t="inlineStr">
        <is>
          <t>Tenth floor beams (1 of 2)</t>
        </is>
      </c>
      <c r="E85" s="19" t="inlineStr">
        <is>
          <t>2001</t>
        </is>
      </c>
      <c r="F85" s="19" t="n">
        <v>20</v>
      </c>
      <c r="G85" s="19" t="n">
        <v>1</v>
      </c>
      <c r="H85" s="19" t="n">
        <v>3</v>
      </c>
      <c r="I85" s="13">
        <f>G85*H85</f>
        <v>3.0</v>
      </c>
      <c r="J85" s="20">
        <f>11100/1000</f>
        <v>11.1</v>
      </c>
      <c r="K85" s="21">
        <f>I85*J85</f>
        <v>33.3</v>
      </c>
      <c r="L85" s="22">
        <f>F85^2/162</f>
        <v>2.4691358024691357</v>
      </c>
      <c r="M85" s="21">
        <f>K85*L85</f>
        <v>82.22222222222221</v>
      </c>
      <c r="N85" s="22">
        <f>M85/1000</f>
        <v>0.08222222222222221</v>
      </c>
      <c r="O85" s="13" t="inlineStr">
        <is>
          <t>BBS</t>
        </is>
      </c>
    </row>
    <row r="86">
      <c r="A86" s="13" t="n">
        <v>81</v>
      </c>
      <c r="B86" s="13" t="inlineStr">
        <is>
          <t>Beams</t>
        </is>
      </c>
      <c r="C86" s="13" t="inlineStr">
        <is>
          <t>STR-092</t>
        </is>
      </c>
      <c r="D86" s="13" t="inlineStr">
        <is>
          <t>Tenth floor beams (1 of 2)</t>
        </is>
      </c>
      <c r="E86" s="19" t="inlineStr">
        <is>
          <t>2002</t>
        </is>
      </c>
      <c r="F86" s="19" t="n">
        <v>20</v>
      </c>
      <c r="G86" s="19" t="n">
        <v>1</v>
      </c>
      <c r="H86" s="19" t="n">
        <v>3</v>
      </c>
      <c r="I86" s="13">
        <f>G86*H86</f>
        <v>3.0</v>
      </c>
      <c r="J86" s="20">
        <f>9300/1000</f>
        <v>9.3</v>
      </c>
      <c r="K86" s="21">
        <f>I86*J86</f>
        <v>27.900000000000002</v>
      </c>
      <c r="L86" s="22">
        <f>F86^2/162</f>
        <v>2.4691358024691357</v>
      </c>
      <c r="M86" s="21">
        <f>K86*L86</f>
        <v>68.88888888888889</v>
      </c>
      <c r="N86" s="22">
        <f>M86/1000</f>
        <v>0.06888888888888889</v>
      </c>
      <c r="O86" s="13" t="inlineStr">
        <is>
          <t>BBS</t>
        </is>
      </c>
    </row>
    <row r="87">
      <c r="A87" s="13" t="n">
        <v>82</v>
      </c>
      <c r="B87" s="13" t="inlineStr">
        <is>
          <t>Beams</t>
        </is>
      </c>
      <c r="C87" s="13" t="inlineStr">
        <is>
          <t>STR-092</t>
        </is>
      </c>
      <c r="D87" s="13" t="inlineStr">
        <is>
          <t>Tenth floor beams (1 of 2)</t>
        </is>
      </c>
      <c r="E87" s="19" t="inlineStr">
        <is>
          <t>2003</t>
        </is>
      </c>
      <c r="F87" s="19" t="n">
        <v>20</v>
      </c>
      <c r="G87" s="19" t="n">
        <v>1</v>
      </c>
      <c r="H87" s="19" t="n">
        <v>3</v>
      </c>
      <c r="I87" s="13">
        <f>G87*H87</f>
        <v>3.0</v>
      </c>
      <c r="J87" s="20">
        <f>12000/1000</f>
        <v>12.0</v>
      </c>
      <c r="K87" s="21">
        <f>I87*J87</f>
        <v>36.0</v>
      </c>
      <c r="L87" s="22">
        <f>F87^2/162</f>
        <v>2.4691358024691357</v>
      </c>
      <c r="M87" s="21">
        <f>K87*L87</f>
        <v>88.88888888888889</v>
      </c>
      <c r="N87" s="22">
        <f>M87/1000</f>
        <v>0.08888888888888889</v>
      </c>
      <c r="O87" s="13" t="inlineStr">
        <is>
          <t>BBS</t>
        </is>
      </c>
    </row>
    <row r="88">
      <c r="A88" s="13" t="n">
        <v>83</v>
      </c>
      <c r="B88" s="13" t="inlineStr">
        <is>
          <t>Beams</t>
        </is>
      </c>
      <c r="C88" s="13" t="inlineStr">
        <is>
          <t>STR-092</t>
        </is>
      </c>
      <c r="D88" s="13" t="inlineStr">
        <is>
          <t>Tenth floor beams (1 of 2)</t>
        </is>
      </c>
      <c r="E88" s="19" t="inlineStr">
        <is>
          <t>2004</t>
        </is>
      </c>
      <c r="F88" s="19" t="n">
        <v>20</v>
      </c>
      <c r="G88" s="19" t="n">
        <v>1</v>
      </c>
      <c r="H88" s="19" t="n">
        <v>3</v>
      </c>
      <c r="I88" s="13">
        <f>G88*H88</f>
        <v>3.0</v>
      </c>
      <c r="J88" s="20">
        <f>7000/1000</f>
        <v>7.0</v>
      </c>
      <c r="K88" s="21">
        <f>I88*J88</f>
        <v>21.0</v>
      </c>
      <c r="L88" s="22">
        <f>F88^2/162</f>
        <v>2.4691358024691357</v>
      </c>
      <c r="M88" s="21">
        <f>K88*L88</f>
        <v>51.85185185185185</v>
      </c>
      <c r="N88" s="22">
        <f>M88/1000</f>
        <v>0.05185185185185185</v>
      </c>
      <c r="O88" s="13" t="inlineStr">
        <is>
          <t>BBS</t>
        </is>
      </c>
    </row>
    <row r="89">
      <c r="A89" s="13" t="n">
        <v>84</v>
      </c>
      <c r="B89" s="13" t="inlineStr">
        <is>
          <t>Beams</t>
        </is>
      </c>
      <c r="C89" s="13" t="inlineStr">
        <is>
          <t>STR-092</t>
        </is>
      </c>
      <c r="D89" s="13" t="inlineStr">
        <is>
          <t>Tenth floor beams (1 of 2)</t>
        </is>
      </c>
      <c r="E89" s="19" t="inlineStr">
        <is>
          <t>2005</t>
        </is>
      </c>
      <c r="F89" s="19" t="n">
        <v>20</v>
      </c>
      <c r="G89" s="19" t="n">
        <v>1</v>
      </c>
      <c r="H89" s="19" t="n">
        <v>6</v>
      </c>
      <c r="I89" s="13">
        <f>G89*H89</f>
        <v>6.0</v>
      </c>
      <c r="J89" s="20">
        <f>9300/1000</f>
        <v>9.3</v>
      </c>
      <c r="K89" s="21">
        <f>I89*J89</f>
        <v>55.800000000000004</v>
      </c>
      <c r="L89" s="22">
        <f>F89^2/162</f>
        <v>2.4691358024691357</v>
      </c>
      <c r="M89" s="21">
        <f>K89*L89</f>
        <v>137.77777777777777</v>
      </c>
      <c r="N89" s="22">
        <f>M89/1000</f>
        <v>0.13777777777777778</v>
      </c>
      <c r="O89" s="13" t="inlineStr">
        <is>
          <t>BBS</t>
        </is>
      </c>
    </row>
    <row r="90">
      <c r="A90" s="13" t="n">
        <v>85</v>
      </c>
      <c r="B90" s="13" t="inlineStr">
        <is>
          <t>Beams</t>
        </is>
      </c>
      <c r="C90" s="13" t="inlineStr">
        <is>
          <t>STR-092</t>
        </is>
      </c>
      <c r="D90" s="13" t="inlineStr">
        <is>
          <t>Tenth floor beams (1 of 2)</t>
        </is>
      </c>
      <c r="E90" s="19" t="inlineStr">
        <is>
          <t>2006</t>
        </is>
      </c>
      <c r="F90" s="19" t="n">
        <v>20</v>
      </c>
      <c r="G90" s="19" t="n">
        <v>1</v>
      </c>
      <c r="H90" s="19" t="n">
        <v>3</v>
      </c>
      <c r="I90" s="13">
        <f>G90*H90</f>
        <v>3.0</v>
      </c>
      <c r="J90" s="20">
        <f>9000/1000</f>
        <v>9.0</v>
      </c>
      <c r="K90" s="21">
        <f>I90*J90</f>
        <v>27.0</v>
      </c>
      <c r="L90" s="22">
        <f>F90^2/162</f>
        <v>2.4691358024691357</v>
      </c>
      <c r="M90" s="21">
        <f>K90*L90</f>
        <v>66.66666666666666</v>
      </c>
      <c r="N90" s="22">
        <f>M90/1000</f>
        <v>0.06666666666666665</v>
      </c>
      <c r="O90" s="13" t="inlineStr">
        <is>
          <t>BBS</t>
        </is>
      </c>
    </row>
    <row r="91">
      <c r="A91" s="13" t="n">
        <v>86</v>
      </c>
      <c r="B91" s="13" t="inlineStr">
        <is>
          <t>Beams</t>
        </is>
      </c>
      <c r="C91" s="13" t="inlineStr">
        <is>
          <t>STR-092</t>
        </is>
      </c>
      <c r="D91" s="13" t="inlineStr">
        <is>
          <t>Tenth floor beams (1 of 2)</t>
        </is>
      </c>
      <c r="E91" s="19" t="inlineStr">
        <is>
          <t>2007</t>
        </is>
      </c>
      <c r="F91" s="19" t="n">
        <v>20</v>
      </c>
      <c r="G91" s="19" t="n">
        <v>1</v>
      </c>
      <c r="H91" s="19" t="n">
        <v>2</v>
      </c>
      <c r="I91" s="13">
        <f>G91*H91</f>
        <v>2.0</v>
      </c>
      <c r="J91" s="20">
        <f>6100/1000</f>
        <v>6.1</v>
      </c>
      <c r="K91" s="21">
        <f>I91*J91</f>
        <v>12.2</v>
      </c>
      <c r="L91" s="22">
        <f>F91^2/162</f>
        <v>2.4691358024691357</v>
      </c>
      <c r="M91" s="21">
        <f>K91*L91</f>
        <v>30.123456790123452</v>
      </c>
      <c r="N91" s="22">
        <f>M91/1000</f>
        <v>0.030123456790123453</v>
      </c>
      <c r="O91" s="13" t="inlineStr">
        <is>
          <t>BBS</t>
        </is>
      </c>
    </row>
    <row r="92">
      <c r="A92" s="13" t="n">
        <v>87</v>
      </c>
      <c r="B92" s="13" t="inlineStr">
        <is>
          <t>Beams</t>
        </is>
      </c>
      <c r="C92" s="13" t="inlineStr">
        <is>
          <t>STR-092</t>
        </is>
      </c>
      <c r="D92" s="13" t="inlineStr">
        <is>
          <t>Tenth floor beams (1 of 2)</t>
        </is>
      </c>
      <c r="E92" s="19" t="inlineStr">
        <is>
          <t>2008</t>
        </is>
      </c>
      <c r="F92" s="19" t="n">
        <v>20</v>
      </c>
      <c r="G92" s="19" t="n">
        <v>1</v>
      </c>
      <c r="H92" s="19" t="n">
        <v>2</v>
      </c>
      <c r="I92" s="13">
        <f>G92*H92</f>
        <v>2.0</v>
      </c>
      <c r="J92" s="20">
        <f>12000/1000</f>
        <v>12.0</v>
      </c>
      <c r="K92" s="21">
        <f>I92*J92</f>
        <v>24.0</v>
      </c>
      <c r="L92" s="22">
        <f>F92^2/162</f>
        <v>2.4691358024691357</v>
      </c>
      <c r="M92" s="21">
        <f>K92*L92</f>
        <v>59.25925925925925</v>
      </c>
      <c r="N92" s="22">
        <f>M92/1000</f>
        <v>0.059259259259259255</v>
      </c>
      <c r="O92" s="13" t="inlineStr">
        <is>
          <t>BBS</t>
        </is>
      </c>
    </row>
    <row r="93">
      <c r="A93" s="13" t="n">
        <v>88</v>
      </c>
      <c r="B93" s="13" t="inlineStr">
        <is>
          <t>Beams</t>
        </is>
      </c>
      <c r="C93" s="13" t="inlineStr">
        <is>
          <t>STR-092</t>
        </is>
      </c>
      <c r="D93" s="13" t="inlineStr">
        <is>
          <t>Tenth floor beams (1 of 2)</t>
        </is>
      </c>
      <c r="E93" s="19" t="inlineStr">
        <is>
          <t>2009</t>
        </is>
      </c>
      <c r="F93" s="19" t="n">
        <v>20</v>
      </c>
      <c r="G93" s="19" t="n">
        <v>1</v>
      </c>
      <c r="H93" s="19" t="n">
        <v>2</v>
      </c>
      <c r="I93" s="13">
        <f>G93*H93</f>
        <v>2.0</v>
      </c>
      <c r="J93" s="20">
        <f>9400/1000</f>
        <v>9.4</v>
      </c>
      <c r="K93" s="21">
        <f>I93*J93</f>
        <v>18.8</v>
      </c>
      <c r="L93" s="22">
        <f>F93^2/162</f>
        <v>2.4691358024691357</v>
      </c>
      <c r="M93" s="21">
        <f>K93*L93</f>
        <v>46.41975308641975</v>
      </c>
      <c r="N93" s="22">
        <f>M93/1000</f>
        <v>0.046419753086419754</v>
      </c>
      <c r="O93" s="13" t="inlineStr">
        <is>
          <t>BBS</t>
        </is>
      </c>
    </row>
    <row r="94">
      <c r="A94" s="13" t="n">
        <v>89</v>
      </c>
      <c r="B94" s="13" t="inlineStr">
        <is>
          <t>Beams</t>
        </is>
      </c>
      <c r="C94" s="13" t="inlineStr">
        <is>
          <t>STR-092</t>
        </is>
      </c>
      <c r="D94" s="13" t="inlineStr">
        <is>
          <t>Tenth floor beams (1 of 2)</t>
        </is>
      </c>
      <c r="E94" s="19" t="inlineStr">
        <is>
          <t>2010</t>
        </is>
      </c>
      <c r="F94" s="19" t="n">
        <v>20</v>
      </c>
      <c r="G94" s="19" t="n">
        <v>1</v>
      </c>
      <c r="H94" s="19" t="n">
        <v>2</v>
      </c>
      <c r="I94" s="13">
        <f>G94*H94</f>
        <v>2.0</v>
      </c>
      <c r="J94" s="20">
        <f>9100/1000</f>
        <v>9.1</v>
      </c>
      <c r="K94" s="21">
        <f>I94*J94</f>
        <v>18.2</v>
      </c>
      <c r="L94" s="22">
        <f>F94^2/162</f>
        <v>2.4691358024691357</v>
      </c>
      <c r="M94" s="21">
        <f>K94*L94</f>
        <v>44.938271604938265</v>
      </c>
      <c r="N94" s="22">
        <f>M94/1000</f>
        <v>0.04493827160493827</v>
      </c>
      <c r="O94" s="13" t="inlineStr">
        <is>
          <t>BBS</t>
        </is>
      </c>
    </row>
    <row r="95">
      <c r="A95" s="13" t="n">
        <v>90</v>
      </c>
      <c r="B95" s="13" t="inlineStr">
        <is>
          <t>Beams</t>
        </is>
      </c>
      <c r="C95" s="13" t="inlineStr">
        <is>
          <t>STR-092</t>
        </is>
      </c>
      <c r="D95" s="13" t="inlineStr">
        <is>
          <t>Tenth floor beams (1 of 2)</t>
        </is>
      </c>
      <c r="E95" s="19" t="inlineStr">
        <is>
          <t>2501</t>
        </is>
      </c>
      <c r="F95" s="19" t="n">
        <v>25</v>
      </c>
      <c r="G95" s="19" t="n">
        <v>1</v>
      </c>
      <c r="H95" s="19" t="n">
        <v>3</v>
      </c>
      <c r="I95" s="13">
        <f>G95*H95</f>
        <v>3.0</v>
      </c>
      <c r="J95" s="20">
        <f>11200/1000</f>
        <v>11.2</v>
      </c>
      <c r="K95" s="21">
        <f>I95*J95</f>
        <v>33.599999999999994</v>
      </c>
      <c r="L95" s="22">
        <f>F95^2/162</f>
        <v>3.8580246913580245</v>
      </c>
      <c r="M95" s="21">
        <f>K95*L95</f>
        <v>129.6296296296296</v>
      </c>
      <c r="N95" s="22">
        <f>M95/1000</f>
        <v>0.1296296296296296</v>
      </c>
      <c r="O95" s="13" t="inlineStr">
        <is>
          <t>BBS</t>
        </is>
      </c>
    </row>
    <row r="96">
      <c r="A96" s="13" t="n">
        <v>91</v>
      </c>
      <c r="B96" s="13" t="inlineStr">
        <is>
          <t>Beams</t>
        </is>
      </c>
      <c r="C96" s="13" t="inlineStr">
        <is>
          <t>STR-092</t>
        </is>
      </c>
      <c r="D96" s="13" t="inlineStr">
        <is>
          <t>Tenth floor beams (1 of 2)</t>
        </is>
      </c>
      <c r="E96" s="19" t="inlineStr">
        <is>
          <t>2502</t>
        </is>
      </c>
      <c r="F96" s="19" t="n">
        <v>25</v>
      </c>
      <c r="G96" s="19" t="n">
        <v>1</v>
      </c>
      <c r="H96" s="19" t="n">
        <v>3</v>
      </c>
      <c r="I96" s="13">
        <f>G96*H96</f>
        <v>3.0</v>
      </c>
      <c r="J96" s="20">
        <f>9400/1000</f>
        <v>9.4</v>
      </c>
      <c r="K96" s="21">
        <f>I96*J96</f>
        <v>28.200000000000003</v>
      </c>
      <c r="L96" s="22">
        <f>F96^2/162</f>
        <v>3.8580246913580245</v>
      </c>
      <c r="M96" s="21">
        <f>K96*L96</f>
        <v>108.7962962962963</v>
      </c>
      <c r="N96" s="22">
        <f>M96/1000</f>
        <v>0.10879629629629631</v>
      </c>
      <c r="O96" s="13" t="inlineStr">
        <is>
          <t>BBS</t>
        </is>
      </c>
    </row>
    <row r="97">
      <c r="A97" s="13" t="n">
        <v>92</v>
      </c>
      <c r="B97" s="13" t="inlineStr">
        <is>
          <t>Beams</t>
        </is>
      </c>
      <c r="C97" s="13" t="inlineStr">
        <is>
          <t>STR-092</t>
        </is>
      </c>
      <c r="D97" s="13" t="inlineStr">
        <is>
          <t>Tenth floor beams (1 of 2)</t>
        </is>
      </c>
      <c r="E97" s="19" t="inlineStr">
        <is>
          <t>2503</t>
        </is>
      </c>
      <c r="F97" s="19" t="n">
        <v>25</v>
      </c>
      <c r="G97" s="19" t="n">
        <v>1</v>
      </c>
      <c r="H97" s="19" t="n">
        <v>3</v>
      </c>
      <c r="I97" s="13">
        <f>G97*H97</f>
        <v>3.0</v>
      </c>
      <c r="J97" s="20">
        <f>12000/1000</f>
        <v>12.0</v>
      </c>
      <c r="K97" s="21">
        <f>I97*J97</f>
        <v>36.0</v>
      </c>
      <c r="L97" s="22">
        <f>F97^2/162</f>
        <v>3.8580246913580245</v>
      </c>
      <c r="M97" s="21">
        <f>K97*L97</f>
        <v>138.88888888888889</v>
      </c>
      <c r="N97" s="22">
        <f>M97/1000</f>
        <v>0.1388888888888889</v>
      </c>
      <c r="O97" s="13" t="inlineStr">
        <is>
          <t>BBS</t>
        </is>
      </c>
    </row>
    <row r="98">
      <c r="A98" s="13" t="n">
        <v>93</v>
      </c>
      <c r="B98" s="13" t="inlineStr">
        <is>
          <t>Beams</t>
        </is>
      </c>
      <c r="C98" s="13" t="inlineStr">
        <is>
          <t>STR-092</t>
        </is>
      </c>
      <c r="D98" s="13" t="inlineStr">
        <is>
          <t>Tenth floor beams (1 of 2)</t>
        </is>
      </c>
      <c r="E98" s="19" t="inlineStr">
        <is>
          <t>2504</t>
        </is>
      </c>
      <c r="F98" s="19" t="n">
        <v>25</v>
      </c>
      <c r="G98" s="19" t="n">
        <v>1</v>
      </c>
      <c r="H98" s="19" t="n">
        <v>3</v>
      </c>
      <c r="I98" s="13">
        <f>G98*H98</f>
        <v>3.0</v>
      </c>
      <c r="J98" s="20">
        <f>7100/1000</f>
        <v>7.1</v>
      </c>
      <c r="K98" s="21">
        <f>I98*J98</f>
        <v>21.299999999999997</v>
      </c>
      <c r="L98" s="22">
        <f>F98^2/162</f>
        <v>3.8580246913580245</v>
      </c>
      <c r="M98" s="21">
        <f>K98*L98</f>
        <v>82.17592592592591</v>
      </c>
      <c r="N98" s="22">
        <f>M98/1000</f>
        <v>0.08217592592592592</v>
      </c>
      <c r="O98" s="13" t="inlineStr">
        <is>
          <t>BBS</t>
        </is>
      </c>
    </row>
    <row r="99">
      <c r="A99" s="13" t="n">
        <v>94</v>
      </c>
      <c r="B99" s="13" t="inlineStr">
        <is>
          <t>Beams</t>
        </is>
      </c>
      <c r="C99" s="13" t="inlineStr">
        <is>
          <t>STR-092</t>
        </is>
      </c>
      <c r="D99" s="13" t="inlineStr">
        <is>
          <t>Tenth floor beams (1 of 2)</t>
        </is>
      </c>
      <c r="E99" s="19" t="inlineStr">
        <is>
          <t>2505</t>
        </is>
      </c>
      <c r="F99" s="19" t="n">
        <v>25</v>
      </c>
      <c r="G99" s="19" t="n">
        <v>1</v>
      </c>
      <c r="H99" s="19" t="n">
        <v>6</v>
      </c>
      <c r="I99" s="13">
        <f>G99*H99</f>
        <v>6.0</v>
      </c>
      <c r="J99" s="20">
        <f>9300/1000</f>
        <v>9.3</v>
      </c>
      <c r="K99" s="21">
        <f>I99*J99</f>
        <v>55.800000000000004</v>
      </c>
      <c r="L99" s="22">
        <f>F99^2/162</f>
        <v>3.8580246913580245</v>
      </c>
      <c r="M99" s="21">
        <f>K99*L99</f>
        <v>215.27777777777777</v>
      </c>
      <c r="N99" s="22">
        <f>M99/1000</f>
        <v>0.21527777777777776</v>
      </c>
      <c r="O99" s="13" t="inlineStr">
        <is>
          <t>BBS</t>
        </is>
      </c>
    </row>
    <row r="100">
      <c r="A100" s="13" t="n">
        <v>95</v>
      </c>
      <c r="B100" s="13" t="inlineStr">
        <is>
          <t>Beams</t>
        </is>
      </c>
      <c r="C100" s="13" t="inlineStr">
        <is>
          <t>STR-092</t>
        </is>
      </c>
      <c r="D100" s="13" t="inlineStr">
        <is>
          <t>Tenth floor beams (1 of 2)</t>
        </is>
      </c>
      <c r="E100" s="19" t="inlineStr">
        <is>
          <t>2506</t>
        </is>
      </c>
      <c r="F100" s="19" t="n">
        <v>25</v>
      </c>
      <c r="G100" s="19" t="n">
        <v>1</v>
      </c>
      <c r="H100" s="19" t="n">
        <v>3</v>
      </c>
      <c r="I100" s="13">
        <f>G100*H100</f>
        <v>3.0</v>
      </c>
      <c r="J100" s="20">
        <f>9100/1000</f>
        <v>9.1</v>
      </c>
      <c r="K100" s="21">
        <f>I100*J100</f>
        <v>27.299999999999997</v>
      </c>
      <c r="L100" s="22">
        <f>F100^2/162</f>
        <v>3.8580246913580245</v>
      </c>
      <c r="M100" s="21">
        <f>K100*L100</f>
        <v>105.32407407407406</v>
      </c>
      <c r="N100" s="22">
        <f>M100/1000</f>
        <v>0.10532407407407406</v>
      </c>
      <c r="O100" s="13" t="inlineStr">
        <is>
          <t>BBS</t>
        </is>
      </c>
    </row>
    <row r="101">
      <c r="A101" s="13" t="n">
        <v>96</v>
      </c>
      <c r="B101" s="13" t="inlineStr">
        <is>
          <t>Beams</t>
        </is>
      </c>
      <c r="C101" s="13" t="inlineStr">
        <is>
          <t>STR-092</t>
        </is>
      </c>
      <c r="D101" s="13" t="inlineStr">
        <is>
          <t>Tenth floor beams (1 of 2)</t>
        </is>
      </c>
      <c r="E101" s="19" t="inlineStr">
        <is>
          <t>2507</t>
        </is>
      </c>
      <c r="F101" s="19" t="n">
        <v>25</v>
      </c>
      <c r="G101" s="19" t="n">
        <v>1</v>
      </c>
      <c r="H101" s="19" t="n">
        <v>3</v>
      </c>
      <c r="I101" s="13">
        <f>G101*H101</f>
        <v>3.0</v>
      </c>
      <c r="J101" s="20">
        <f>6100/1000</f>
        <v>6.1</v>
      </c>
      <c r="K101" s="21">
        <f>I101*J101</f>
        <v>18.299999999999997</v>
      </c>
      <c r="L101" s="22">
        <f>F101^2/162</f>
        <v>3.8580246913580245</v>
      </c>
      <c r="M101" s="21">
        <f>K101*L101</f>
        <v>70.60185185185183</v>
      </c>
      <c r="N101" s="22">
        <f>M101/1000</f>
        <v>0.07060185185185183</v>
      </c>
      <c r="O101" s="13" t="inlineStr">
        <is>
          <t>BBS</t>
        </is>
      </c>
    </row>
    <row r="102">
      <c r="A102" s="13" t="n">
        <v>97</v>
      </c>
      <c r="B102" s="13" t="inlineStr">
        <is>
          <t>Beams</t>
        </is>
      </c>
      <c r="C102" s="13" t="inlineStr">
        <is>
          <t>STR-092</t>
        </is>
      </c>
      <c r="D102" s="13" t="inlineStr">
        <is>
          <t>Tenth floor beams (1 of 2)</t>
        </is>
      </c>
      <c r="E102" s="19" t="inlineStr">
        <is>
          <t>2508</t>
        </is>
      </c>
      <c r="F102" s="19" t="n">
        <v>25</v>
      </c>
      <c r="G102" s="19" t="n">
        <v>1</v>
      </c>
      <c r="H102" s="19" t="n">
        <v>3</v>
      </c>
      <c r="I102" s="13">
        <f>G102*H102</f>
        <v>3.0</v>
      </c>
      <c r="J102" s="20">
        <f>12000/1000</f>
        <v>12.0</v>
      </c>
      <c r="K102" s="21">
        <f>I102*J102</f>
        <v>36.0</v>
      </c>
      <c r="L102" s="22">
        <f>F102^2/162</f>
        <v>3.8580246913580245</v>
      </c>
      <c r="M102" s="21">
        <f>K102*L102</f>
        <v>138.88888888888889</v>
      </c>
      <c r="N102" s="22">
        <f>M102/1000</f>
        <v>0.1388888888888889</v>
      </c>
      <c r="O102" s="13" t="inlineStr">
        <is>
          <t>BBS</t>
        </is>
      </c>
    </row>
    <row r="103">
      <c r="A103" s="13" t="n">
        <v>98</v>
      </c>
      <c r="B103" s="13" t="inlineStr">
        <is>
          <t>Beams</t>
        </is>
      </c>
      <c r="C103" s="13" t="inlineStr">
        <is>
          <t>STR-092</t>
        </is>
      </c>
      <c r="D103" s="13" t="inlineStr">
        <is>
          <t>Tenth floor beams (1 of 2)</t>
        </is>
      </c>
      <c r="E103" s="19" t="inlineStr">
        <is>
          <t>2509</t>
        </is>
      </c>
      <c r="F103" s="19" t="n">
        <v>25</v>
      </c>
      <c r="G103" s="19" t="n">
        <v>1</v>
      </c>
      <c r="H103" s="19" t="n">
        <v>6</v>
      </c>
      <c r="I103" s="13">
        <f>G103*H103</f>
        <v>6.0</v>
      </c>
      <c r="J103" s="20">
        <f>9400/1000</f>
        <v>9.4</v>
      </c>
      <c r="K103" s="21">
        <f>I103*J103</f>
        <v>56.400000000000006</v>
      </c>
      <c r="L103" s="22">
        <f>F103^2/162</f>
        <v>3.8580246913580245</v>
      </c>
      <c r="M103" s="21">
        <f>K103*L103</f>
        <v>217.5925925925926</v>
      </c>
      <c r="N103" s="22">
        <f>M103/1000</f>
        <v>0.21759259259259262</v>
      </c>
      <c r="O103" s="13" t="inlineStr">
        <is>
          <t>BBS</t>
        </is>
      </c>
    </row>
    <row r="104">
      <c r="A104" s="13" t="n">
        <v>99</v>
      </c>
      <c r="B104" s="13" t="inlineStr">
        <is>
          <t>Beams</t>
        </is>
      </c>
      <c r="C104" s="13" t="inlineStr">
        <is>
          <t>STR-092</t>
        </is>
      </c>
      <c r="D104" s="13" t="inlineStr">
        <is>
          <t>Tenth floor beams (1 of 2)</t>
        </is>
      </c>
      <c r="E104" s="19" t="inlineStr">
        <is>
          <t>2510</t>
        </is>
      </c>
      <c r="F104" s="19" t="n">
        <v>25</v>
      </c>
      <c r="G104" s="19" t="n">
        <v>1</v>
      </c>
      <c r="H104" s="19" t="n">
        <v>3</v>
      </c>
      <c r="I104" s="13">
        <f>G104*H104</f>
        <v>3.0</v>
      </c>
      <c r="J104" s="20">
        <f>9100/1000</f>
        <v>9.1</v>
      </c>
      <c r="K104" s="21">
        <f>I104*J104</f>
        <v>27.299999999999997</v>
      </c>
      <c r="L104" s="22">
        <f>F104^2/162</f>
        <v>3.8580246913580245</v>
      </c>
      <c r="M104" s="21">
        <f>K104*L104</f>
        <v>105.32407407407406</v>
      </c>
      <c r="N104" s="22">
        <f>M104/1000</f>
        <v>0.10532407407407406</v>
      </c>
      <c r="O104" s="13" t="inlineStr">
        <is>
          <t>BBS</t>
        </is>
      </c>
    </row>
    <row r="105">
      <c r="A105" s="13" t="n">
        <v>100</v>
      </c>
      <c r="B105" s="13" t="inlineStr">
        <is>
          <t>Beams</t>
        </is>
      </c>
      <c r="C105" s="13" t="inlineStr">
        <is>
          <t>STR-092</t>
        </is>
      </c>
      <c r="D105" s="13" t="inlineStr">
        <is>
          <t>Tenth floor beams (1 of 2)</t>
        </is>
      </c>
      <c r="E105" s="19" t="inlineStr">
        <is>
          <t>2511</t>
        </is>
      </c>
      <c r="F105" s="19" t="n">
        <v>25</v>
      </c>
      <c r="G105" s="19" t="n">
        <v>1</v>
      </c>
      <c r="H105" s="19" t="n">
        <v>3</v>
      </c>
      <c r="I105" s="13">
        <f>G105*H105</f>
        <v>3.0</v>
      </c>
      <c r="J105" s="20">
        <f>5600/1000</f>
        <v>5.6</v>
      </c>
      <c r="K105" s="21">
        <f>I105*J105</f>
        <v>16.799999999999997</v>
      </c>
      <c r="L105" s="22">
        <f>F105^2/162</f>
        <v>3.8580246913580245</v>
      </c>
      <c r="M105" s="21">
        <f>K105*L105</f>
        <v>64.8148148148148</v>
      </c>
      <c r="N105" s="22">
        <f>M105/1000</f>
        <v>0.0648148148148148</v>
      </c>
      <c r="O105" s="13" t="inlineStr">
        <is>
          <t>BBS</t>
        </is>
      </c>
    </row>
    <row r="106">
      <c r="A106" s="13" t="n">
        <v>101</v>
      </c>
      <c r="B106" s="13" t="inlineStr">
        <is>
          <t>Beams</t>
        </is>
      </c>
      <c r="C106" s="13" t="inlineStr">
        <is>
          <t>STR-092</t>
        </is>
      </c>
      <c r="D106" s="13" t="inlineStr">
        <is>
          <t>Tenth floor beams (1 of 2)</t>
        </is>
      </c>
      <c r="E106" s="19" t="inlineStr">
        <is>
          <t>2512</t>
        </is>
      </c>
      <c r="F106" s="19" t="n">
        <v>25</v>
      </c>
      <c r="G106" s="19" t="n">
        <v>1</v>
      </c>
      <c r="H106" s="19" t="n">
        <v>3</v>
      </c>
      <c r="I106" s="13">
        <f>G106*H106</f>
        <v>3.0</v>
      </c>
      <c r="J106" s="20">
        <f>11550/1000</f>
        <v>11.55</v>
      </c>
      <c r="K106" s="21">
        <f>I106*J106</f>
        <v>34.650000000000006</v>
      </c>
      <c r="L106" s="22">
        <f>F106^2/162</f>
        <v>3.8580246913580245</v>
      </c>
      <c r="M106" s="21">
        <f>K106*L106</f>
        <v>133.68055555555557</v>
      </c>
      <c r="N106" s="22">
        <f>M106/1000</f>
        <v>0.13368055555555558</v>
      </c>
      <c r="O106" s="13" t="inlineStr">
        <is>
          <t>BBS</t>
        </is>
      </c>
    </row>
    <row r="107">
      <c r="A107" s="13" t="n">
        <v>102</v>
      </c>
      <c r="B107" s="13" t="inlineStr">
        <is>
          <t>Beams</t>
        </is>
      </c>
      <c r="C107" s="13" t="inlineStr">
        <is>
          <t>STR-092</t>
        </is>
      </c>
      <c r="D107" s="13" t="inlineStr">
        <is>
          <t>Tenth floor beams (1 of 2)</t>
        </is>
      </c>
      <c r="E107" s="19" t="inlineStr">
        <is>
          <t>2513</t>
        </is>
      </c>
      <c r="F107" s="19" t="n">
        <v>25</v>
      </c>
      <c r="G107" s="19" t="n">
        <v>1</v>
      </c>
      <c r="H107" s="19" t="n">
        <v>3</v>
      </c>
      <c r="I107" s="13">
        <f>G107*H107</f>
        <v>3.0</v>
      </c>
      <c r="J107" s="20">
        <f>6050/1000</f>
        <v>6.05</v>
      </c>
      <c r="K107" s="21">
        <f>I107*J107</f>
        <v>18.15</v>
      </c>
      <c r="L107" s="22">
        <f>F107^2/162</f>
        <v>3.8580246913580245</v>
      </c>
      <c r="M107" s="21">
        <f>K107*L107</f>
        <v>70.02314814814814</v>
      </c>
      <c r="N107" s="22">
        <f>M107/1000</f>
        <v>0.07002314814814814</v>
      </c>
      <c r="O107" s="13" t="inlineStr">
        <is>
          <t>BBS</t>
        </is>
      </c>
    </row>
    <row r="108">
      <c r="A108" s="13" t="n">
        <v>103</v>
      </c>
      <c r="B108" s="13" t="inlineStr">
        <is>
          <t>Beams</t>
        </is>
      </c>
      <c r="C108" s="13" t="inlineStr">
        <is>
          <t>STR-092</t>
        </is>
      </c>
      <c r="D108" s="13" t="inlineStr">
        <is>
          <t>Tenth floor beams (1 of 2)</t>
        </is>
      </c>
      <c r="E108" s="19" t="inlineStr">
        <is>
          <t>2514</t>
        </is>
      </c>
      <c r="F108" s="19" t="n">
        <v>25</v>
      </c>
      <c r="G108" s="19" t="n">
        <v>1</v>
      </c>
      <c r="H108" s="19" t="n">
        <v>3</v>
      </c>
      <c r="I108" s="13">
        <f>G108*H108</f>
        <v>3.0</v>
      </c>
      <c r="J108" s="20">
        <f>9000/1000</f>
        <v>9.0</v>
      </c>
      <c r="K108" s="21">
        <f>I108*J108</f>
        <v>27.0</v>
      </c>
      <c r="L108" s="22">
        <f>F108^2/162</f>
        <v>3.8580246913580245</v>
      </c>
      <c r="M108" s="21">
        <f>K108*L108</f>
        <v>104.16666666666666</v>
      </c>
      <c r="N108" s="22">
        <f>M108/1000</f>
        <v>0.10416666666666666</v>
      </c>
      <c r="O108" s="13" t="inlineStr">
        <is>
          <t>BBS</t>
        </is>
      </c>
    </row>
    <row r="109">
      <c r="A109" s="13" t="n">
        <v>104</v>
      </c>
      <c r="B109" s="13" t="inlineStr">
        <is>
          <t>Beams</t>
        </is>
      </c>
      <c r="C109" s="13" t="inlineStr">
        <is>
          <t>STR-092</t>
        </is>
      </c>
      <c r="D109" s="13" t="inlineStr">
        <is>
          <t>Tenth floor beams (1 of 2)</t>
        </is>
      </c>
      <c r="E109" s="19" t="inlineStr">
        <is>
          <t>2515</t>
        </is>
      </c>
      <c r="F109" s="19" t="n">
        <v>25</v>
      </c>
      <c r="G109" s="19" t="n">
        <v>1</v>
      </c>
      <c r="H109" s="19" t="n">
        <v>3</v>
      </c>
      <c r="I109" s="13">
        <f>G109*H109</f>
        <v>3.0</v>
      </c>
      <c r="J109" s="20">
        <f>5600/1000</f>
        <v>5.6</v>
      </c>
      <c r="K109" s="21">
        <f>I109*J109</f>
        <v>16.799999999999997</v>
      </c>
      <c r="L109" s="22">
        <f>F109^2/162</f>
        <v>3.8580246913580245</v>
      </c>
      <c r="M109" s="21">
        <f>K109*L109</f>
        <v>64.8148148148148</v>
      </c>
      <c r="N109" s="22">
        <f>M109/1000</f>
        <v>0.0648148148148148</v>
      </c>
      <c r="O109" s="13" t="inlineStr">
        <is>
          <t>BBS</t>
        </is>
      </c>
    </row>
    <row r="110">
      <c r="A110" s="13" t="n">
        <v>105</v>
      </c>
      <c r="B110" s="13" t="inlineStr">
        <is>
          <t>Beams</t>
        </is>
      </c>
      <c r="C110" s="13" t="inlineStr">
        <is>
          <t>STR-092</t>
        </is>
      </c>
      <c r="D110" s="13" t="inlineStr">
        <is>
          <t>Tenth floor beams (1 of 2)</t>
        </is>
      </c>
      <c r="E110" s="19" t="inlineStr">
        <is>
          <t>2516</t>
        </is>
      </c>
      <c r="F110" s="19" t="n">
        <v>25</v>
      </c>
      <c r="G110" s="19" t="n">
        <v>1</v>
      </c>
      <c r="H110" s="19" t="n">
        <v>6</v>
      </c>
      <c r="I110" s="13">
        <f>G110*H110</f>
        <v>6.0</v>
      </c>
      <c r="J110" s="20">
        <f>9150/1000</f>
        <v>9.15</v>
      </c>
      <c r="K110" s="21">
        <f>I110*J110</f>
        <v>54.900000000000006</v>
      </c>
      <c r="L110" s="22">
        <f>F110^2/162</f>
        <v>3.8580246913580245</v>
      </c>
      <c r="M110" s="21">
        <f>K110*L110</f>
        <v>211.80555555555557</v>
      </c>
      <c r="N110" s="22">
        <f>M110/1000</f>
        <v>0.21180555555555558</v>
      </c>
      <c r="O110" s="13" t="inlineStr">
        <is>
          <t>BBS</t>
        </is>
      </c>
    </row>
    <row r="111">
      <c r="A111" s="13" t="n">
        <v>106</v>
      </c>
      <c r="B111" s="13" t="inlineStr">
        <is>
          <t>Beams</t>
        </is>
      </c>
      <c r="C111" s="13" t="inlineStr">
        <is>
          <t>STR-092</t>
        </is>
      </c>
      <c r="D111" s="13" t="inlineStr">
        <is>
          <t>Tenth floor beams (1 of 2)</t>
        </is>
      </c>
      <c r="E111" s="19" t="inlineStr">
        <is>
          <t>2517</t>
        </is>
      </c>
      <c r="F111" s="19" t="n">
        <v>25</v>
      </c>
      <c r="G111" s="19" t="n">
        <v>1</v>
      </c>
      <c r="H111" s="19" t="n">
        <v>2</v>
      </c>
      <c r="I111" s="13">
        <f>G111*H111</f>
        <v>2.0</v>
      </c>
      <c r="J111" s="20">
        <f>9425/1000</f>
        <v>9.425</v>
      </c>
      <c r="K111" s="21">
        <f>I111*J111</f>
        <v>18.85</v>
      </c>
      <c r="L111" s="22">
        <f>F111^2/162</f>
        <v>3.8580246913580245</v>
      </c>
      <c r="M111" s="21">
        <f>K111*L111</f>
        <v>72.72376543209877</v>
      </c>
      <c r="N111" s="22">
        <f>M111/1000</f>
        <v>0.07272376543209877</v>
      </c>
      <c r="O111" s="13" t="inlineStr">
        <is>
          <t>BBS</t>
        </is>
      </c>
    </row>
    <row r="112">
      <c r="A112" s="13" t="n">
        <v>107</v>
      </c>
      <c r="B112" s="13" t="inlineStr">
        <is>
          <t>Beams</t>
        </is>
      </c>
      <c r="C112" s="13" t="inlineStr">
        <is>
          <t>STR-092</t>
        </is>
      </c>
      <c r="D112" s="13" t="inlineStr">
        <is>
          <t>Tenth floor beams (1 of 2)</t>
        </is>
      </c>
      <c r="E112" s="19" t="inlineStr">
        <is>
          <t>2518</t>
        </is>
      </c>
      <c r="F112" s="19" t="n">
        <v>25</v>
      </c>
      <c r="G112" s="19" t="n">
        <v>1</v>
      </c>
      <c r="H112" s="19" t="n">
        <v>6</v>
      </c>
      <c r="I112" s="13">
        <f>G112*H112</f>
        <v>6.0</v>
      </c>
      <c r="J112" s="20">
        <f>9325/1000</f>
        <v>9.325</v>
      </c>
      <c r="K112" s="21">
        <f>I112*J112</f>
        <v>55.949999999999996</v>
      </c>
      <c r="L112" s="22">
        <f>F112^2/162</f>
        <v>3.8580246913580245</v>
      </c>
      <c r="M112" s="21">
        <f>K112*L112</f>
        <v>215.85648148148147</v>
      </c>
      <c r="N112" s="22">
        <f>M112/1000</f>
        <v>0.21585648148148145</v>
      </c>
      <c r="O112" s="13" t="inlineStr">
        <is>
          <t>BBS</t>
        </is>
      </c>
    </row>
    <row r="113">
      <c r="A113" s="13" t="n">
        <v>108</v>
      </c>
      <c r="B113" s="13" t="inlineStr">
        <is>
          <t>Beams</t>
        </is>
      </c>
      <c r="C113" s="13" t="inlineStr">
        <is>
          <t>STR-093</t>
        </is>
      </c>
      <c r="D113" s="13" t="inlineStr">
        <is>
          <t>Tenth floor beams (2 of 2)</t>
        </is>
      </c>
      <c r="E113" s="19" t="inlineStr">
        <is>
          <t>1001</t>
        </is>
      </c>
      <c r="F113" s="19" t="n">
        <v>10</v>
      </c>
      <c r="G113" s="19" t="n">
        <v>1</v>
      </c>
      <c r="H113" s="19" t="n">
        <v>432</v>
      </c>
      <c r="I113" s="13">
        <f>G113*H113</f>
        <v>432.0</v>
      </c>
      <c r="J113" s="20">
        <f>1700/1000</f>
        <v>1.7</v>
      </c>
      <c r="K113" s="21">
        <f>I113*J113</f>
        <v>734.4</v>
      </c>
      <c r="L113" s="22">
        <f>F113^2/162</f>
        <v>0.6172839506172839</v>
      </c>
      <c r="M113" s="21">
        <f>K113*L113</f>
        <v>453.3333333333333</v>
      </c>
      <c r="N113" s="22">
        <f>M113/1000</f>
        <v>0.4533333333333333</v>
      </c>
      <c r="O113" s="13" t="inlineStr">
        <is>
          <t>BBS</t>
        </is>
      </c>
    </row>
    <row r="114">
      <c r="A114" s="13" t="n">
        <v>109</v>
      </c>
      <c r="B114" s="13" t="inlineStr">
        <is>
          <t>Beams</t>
        </is>
      </c>
      <c r="C114" s="13" t="inlineStr">
        <is>
          <t>STR-093</t>
        </is>
      </c>
      <c r="D114" s="13" t="inlineStr">
        <is>
          <t>Tenth floor beams (2 of 2)</t>
        </is>
      </c>
      <c r="E114" s="19" t="inlineStr">
        <is>
          <t>1601</t>
        </is>
      </c>
      <c r="F114" s="19" t="n">
        <v>16</v>
      </c>
      <c r="G114" s="19" t="n">
        <v>1</v>
      </c>
      <c r="H114" s="19" t="n">
        <v>4</v>
      </c>
      <c r="I114" s="13">
        <f>G114*H114</f>
        <v>4.0</v>
      </c>
      <c r="J114" s="20">
        <f>12000/1000</f>
        <v>12.0</v>
      </c>
      <c r="K114" s="21">
        <f>I114*J114</f>
        <v>48.0</v>
      </c>
      <c r="L114" s="22">
        <f>F114^2/162</f>
        <v>1.5802469135802468</v>
      </c>
      <c r="M114" s="21">
        <f>K114*L114</f>
        <v>75.85185185185185</v>
      </c>
      <c r="N114" s="22">
        <f>M114/1000</f>
        <v>0.07585185185185185</v>
      </c>
      <c r="O114" s="13" t="inlineStr">
        <is>
          <t>BBS</t>
        </is>
      </c>
    </row>
    <row r="115">
      <c r="A115" s="13" t="n">
        <v>110</v>
      </c>
      <c r="B115" s="13" t="inlineStr">
        <is>
          <t>Beams</t>
        </is>
      </c>
      <c r="C115" s="13" t="inlineStr">
        <is>
          <t>STR-093</t>
        </is>
      </c>
      <c r="D115" s="13" t="inlineStr">
        <is>
          <t>Tenth floor beams (2 of 2)</t>
        </is>
      </c>
      <c r="E115" s="19" t="inlineStr">
        <is>
          <t>1602</t>
        </is>
      </c>
      <c r="F115" s="19" t="n">
        <v>16</v>
      </c>
      <c r="G115" s="19" t="n">
        <v>1</v>
      </c>
      <c r="H115" s="19" t="n">
        <v>3</v>
      </c>
      <c r="I115" s="13">
        <f>G115*H115</f>
        <v>3.0</v>
      </c>
      <c r="J115" s="20">
        <f>11550/1000</f>
        <v>11.55</v>
      </c>
      <c r="K115" s="21">
        <f>I115*J115</f>
        <v>34.650000000000006</v>
      </c>
      <c r="L115" s="22">
        <f>F115^2/162</f>
        <v>1.5802469135802468</v>
      </c>
      <c r="M115" s="21">
        <f>K115*L115</f>
        <v>54.75555555555556</v>
      </c>
      <c r="N115" s="22">
        <f>M115/1000</f>
        <v>0.05475555555555556</v>
      </c>
      <c r="O115" s="13" t="inlineStr">
        <is>
          <t>BBS</t>
        </is>
      </c>
    </row>
    <row r="116">
      <c r="A116" s="13" t="n">
        <v>111</v>
      </c>
      <c r="B116" s="13" t="inlineStr">
        <is>
          <t>Beams</t>
        </is>
      </c>
      <c r="C116" s="13" t="inlineStr">
        <is>
          <t>STR-093</t>
        </is>
      </c>
      <c r="D116" s="13" t="inlineStr">
        <is>
          <t>Tenth floor beams (2 of 2)</t>
        </is>
      </c>
      <c r="E116" s="19" t="inlineStr">
        <is>
          <t>1603</t>
        </is>
      </c>
      <c r="F116" s="19" t="n">
        <v>16</v>
      </c>
      <c r="G116" s="19" t="n">
        <v>1</v>
      </c>
      <c r="H116" s="19" t="n">
        <v>3</v>
      </c>
      <c r="I116" s="13">
        <f>G116*H116</f>
        <v>3.0</v>
      </c>
      <c r="J116" s="20">
        <f>6450/1000</f>
        <v>6.45</v>
      </c>
      <c r="K116" s="21">
        <f>I116*J116</f>
        <v>19.35</v>
      </c>
      <c r="L116" s="22">
        <f>F116^2/162</f>
        <v>1.5802469135802468</v>
      </c>
      <c r="M116" s="21">
        <f>K116*L116</f>
        <v>30.57777777777778</v>
      </c>
      <c r="N116" s="22">
        <f>M116/1000</f>
        <v>0.03057777777777778</v>
      </c>
      <c r="O116" s="13" t="inlineStr">
        <is>
          <t>BBS</t>
        </is>
      </c>
    </row>
    <row r="117">
      <c r="A117" s="13" t="n">
        <v>112</v>
      </c>
      <c r="B117" s="13" t="inlineStr">
        <is>
          <t>Beams</t>
        </is>
      </c>
      <c r="C117" s="13" t="inlineStr">
        <is>
          <t>STR-093</t>
        </is>
      </c>
      <c r="D117" s="13" t="inlineStr">
        <is>
          <t>Tenth floor beams (2 of 2)</t>
        </is>
      </c>
      <c r="E117" s="19" t="inlineStr">
        <is>
          <t>1604</t>
        </is>
      </c>
      <c r="F117" s="19" t="n">
        <v>16</v>
      </c>
      <c r="G117" s="19" t="n">
        <v>1</v>
      </c>
      <c r="H117" s="19" t="n">
        <v>3</v>
      </c>
      <c r="I117" s="13">
        <f>G117*H117</f>
        <v>3.0</v>
      </c>
      <c r="J117" s="20">
        <f>7600/1000</f>
        <v>7.6</v>
      </c>
      <c r="K117" s="21">
        <f>I117*J117</f>
        <v>22.799999999999997</v>
      </c>
      <c r="L117" s="22">
        <f>F117^2/162</f>
        <v>1.5802469135802468</v>
      </c>
      <c r="M117" s="21">
        <f>K117*L117</f>
        <v>36.029629629629625</v>
      </c>
      <c r="N117" s="22">
        <f>M117/1000</f>
        <v>0.03602962962962963</v>
      </c>
      <c r="O117" s="13" t="inlineStr">
        <is>
          <t>BBS</t>
        </is>
      </c>
    </row>
    <row r="118">
      <c r="A118" s="13" t="n">
        <v>113</v>
      </c>
      <c r="B118" s="13" t="inlineStr">
        <is>
          <t>Beams</t>
        </is>
      </c>
      <c r="C118" s="13" t="inlineStr">
        <is>
          <t>STR-093</t>
        </is>
      </c>
      <c r="D118" s="13" t="inlineStr">
        <is>
          <t>Tenth floor beams (2 of 2)</t>
        </is>
      </c>
      <c r="E118" s="19" t="inlineStr">
        <is>
          <t>1605</t>
        </is>
      </c>
      <c r="F118" s="19" t="n">
        <v>16</v>
      </c>
      <c r="G118" s="19" t="n">
        <v>1</v>
      </c>
      <c r="H118" s="19" t="n">
        <v>2</v>
      </c>
      <c r="I118" s="13">
        <f>G118*H118</f>
        <v>2.0</v>
      </c>
      <c r="J118" s="20">
        <f>11100/1000</f>
        <v>11.1</v>
      </c>
      <c r="K118" s="21">
        <f>I118*J118</f>
        <v>22.2</v>
      </c>
      <c r="L118" s="22">
        <f>F118^2/162</f>
        <v>1.5802469135802468</v>
      </c>
      <c r="M118" s="21">
        <f>K118*L118</f>
        <v>35.081481481481475</v>
      </c>
      <c r="N118" s="22">
        <f>M118/1000</f>
        <v>0.03508148148148148</v>
      </c>
      <c r="O118" s="13" t="inlineStr">
        <is>
          <t>BBS</t>
        </is>
      </c>
    </row>
    <row r="119">
      <c r="A119" s="13" t="n">
        <v>114</v>
      </c>
      <c r="B119" s="13" t="inlineStr">
        <is>
          <t>Beams</t>
        </is>
      </c>
      <c r="C119" s="13" t="inlineStr">
        <is>
          <t>STR-093</t>
        </is>
      </c>
      <c r="D119" s="13" t="inlineStr">
        <is>
          <t>Tenth floor beams (2 of 2)</t>
        </is>
      </c>
      <c r="E119" s="19" t="inlineStr">
        <is>
          <t>1606</t>
        </is>
      </c>
      <c r="F119" s="19" t="n">
        <v>16</v>
      </c>
      <c r="G119" s="19" t="n">
        <v>1</v>
      </c>
      <c r="H119" s="19" t="n">
        <v>2</v>
      </c>
      <c r="I119" s="13">
        <f>G119*H119</f>
        <v>2.0</v>
      </c>
      <c r="J119" s="20">
        <f>11800/1000</f>
        <v>11.8</v>
      </c>
      <c r="K119" s="21">
        <f>I119*J119</f>
        <v>23.6</v>
      </c>
      <c r="L119" s="22">
        <f>F119^2/162</f>
        <v>1.5802469135802468</v>
      </c>
      <c r="M119" s="21">
        <f>K119*L119</f>
        <v>37.29382716049383</v>
      </c>
      <c r="N119" s="22">
        <f>M119/1000</f>
        <v>0.03729382716049383</v>
      </c>
      <c r="O119" s="13" t="inlineStr">
        <is>
          <t>BBS</t>
        </is>
      </c>
    </row>
    <row r="120">
      <c r="A120" s="13" t="n">
        <v>115</v>
      </c>
      <c r="B120" s="13" t="inlineStr">
        <is>
          <t>Beams</t>
        </is>
      </c>
      <c r="C120" s="13" t="inlineStr">
        <is>
          <t>STR-093</t>
        </is>
      </c>
      <c r="D120" s="13" t="inlineStr">
        <is>
          <t>Tenth floor beams (2 of 2)</t>
        </is>
      </c>
      <c r="E120" s="19" t="inlineStr">
        <is>
          <t>1607</t>
        </is>
      </c>
      <c r="F120" s="19" t="n">
        <v>16</v>
      </c>
      <c r="G120" s="19" t="n">
        <v>1</v>
      </c>
      <c r="H120" s="19" t="n">
        <v>3</v>
      </c>
      <c r="I120" s="13">
        <f>G120*H120</f>
        <v>3.0</v>
      </c>
      <c r="J120" s="20">
        <f>9000/1000</f>
        <v>9.0</v>
      </c>
      <c r="K120" s="21">
        <f>I120*J120</f>
        <v>27.0</v>
      </c>
      <c r="L120" s="22">
        <f>F120^2/162</f>
        <v>1.5802469135802468</v>
      </c>
      <c r="M120" s="21">
        <f>K120*L120</f>
        <v>42.666666666666664</v>
      </c>
      <c r="N120" s="22">
        <f>M120/1000</f>
        <v>0.042666666666666665</v>
      </c>
      <c r="O120" s="13" t="inlineStr">
        <is>
          <t>BBS</t>
        </is>
      </c>
    </row>
    <row r="121">
      <c r="A121" s="13" t="n">
        <v>116</v>
      </c>
      <c r="B121" s="13" t="inlineStr">
        <is>
          <t>Beams</t>
        </is>
      </c>
      <c r="C121" s="13" t="inlineStr">
        <is>
          <t>STR-093</t>
        </is>
      </c>
      <c r="D121" s="13" t="inlineStr">
        <is>
          <t>Tenth floor beams (2 of 2)</t>
        </is>
      </c>
      <c r="E121" s="19" t="inlineStr">
        <is>
          <t>1608</t>
        </is>
      </c>
      <c r="F121" s="19" t="n">
        <v>16</v>
      </c>
      <c r="G121" s="19" t="n">
        <v>1</v>
      </c>
      <c r="H121" s="19" t="n">
        <v>3</v>
      </c>
      <c r="I121" s="13">
        <f>G121*H121</f>
        <v>3.0</v>
      </c>
      <c r="J121" s="20">
        <f>8800/1000</f>
        <v>8.8</v>
      </c>
      <c r="K121" s="21">
        <f>I121*J121</f>
        <v>26.400000000000002</v>
      </c>
      <c r="L121" s="22">
        <f>F121^2/162</f>
        <v>1.5802469135802468</v>
      </c>
      <c r="M121" s="21">
        <f>K121*L121</f>
        <v>41.71851851851852</v>
      </c>
      <c r="N121" s="22">
        <f>M121/1000</f>
        <v>0.04171851851851852</v>
      </c>
      <c r="O121" s="13" t="inlineStr">
        <is>
          <t>BBS</t>
        </is>
      </c>
    </row>
    <row r="122">
      <c r="A122" s="13" t="n">
        <v>117</v>
      </c>
      <c r="B122" s="13" t="inlineStr">
        <is>
          <t>Beams</t>
        </is>
      </c>
      <c r="C122" s="13" t="inlineStr">
        <is>
          <t>STR-093</t>
        </is>
      </c>
      <c r="D122" s="13" t="inlineStr">
        <is>
          <t>Tenth floor beams (2 of 2)</t>
        </is>
      </c>
      <c r="E122" s="19" t="inlineStr">
        <is>
          <t>1609</t>
        </is>
      </c>
      <c r="F122" s="19" t="n">
        <v>16</v>
      </c>
      <c r="G122" s="19" t="n">
        <v>1</v>
      </c>
      <c r="H122" s="19" t="n">
        <v>2</v>
      </c>
      <c r="I122" s="13">
        <f>G122*H122</f>
        <v>2.0</v>
      </c>
      <c r="J122" s="20">
        <f>7900/1000</f>
        <v>7.9</v>
      </c>
      <c r="K122" s="21">
        <f>I122*J122</f>
        <v>15.8</v>
      </c>
      <c r="L122" s="22">
        <f>F122^2/162</f>
        <v>1.5802469135802468</v>
      </c>
      <c r="M122" s="21">
        <f>K122*L122</f>
        <v>24.9679012345679</v>
      </c>
      <c r="N122" s="22">
        <f>M122/1000</f>
        <v>0.0249679012345679</v>
      </c>
      <c r="O122" s="13" t="inlineStr">
        <is>
          <t>BBS</t>
        </is>
      </c>
    </row>
    <row r="123">
      <c r="A123" s="13" t="n">
        <v>118</v>
      </c>
      <c r="B123" s="13" t="inlineStr">
        <is>
          <t>Beams</t>
        </is>
      </c>
      <c r="C123" s="13" t="inlineStr">
        <is>
          <t>STR-093</t>
        </is>
      </c>
      <c r="D123" s="13" t="inlineStr">
        <is>
          <t>Tenth floor beams (2 of 2)</t>
        </is>
      </c>
      <c r="E123" s="19" t="inlineStr">
        <is>
          <t>1610</t>
        </is>
      </c>
      <c r="F123" s="19" t="n">
        <v>16</v>
      </c>
      <c r="G123" s="19" t="n">
        <v>1</v>
      </c>
      <c r="H123" s="19" t="n">
        <v>6</v>
      </c>
      <c r="I123" s="13">
        <f>G123*H123</f>
        <v>6.0</v>
      </c>
      <c r="J123" s="20">
        <f>3350/1000</f>
        <v>3.35</v>
      </c>
      <c r="K123" s="21">
        <f>I123*J123</f>
        <v>20.1</v>
      </c>
      <c r="L123" s="22">
        <f>F123^2/162</f>
        <v>1.5802469135802468</v>
      </c>
      <c r="M123" s="21">
        <f>K123*L123</f>
        <v>31.762962962962963</v>
      </c>
      <c r="N123" s="22">
        <f>M123/1000</f>
        <v>0.031762962962962965</v>
      </c>
      <c r="O123" s="13" t="inlineStr">
        <is>
          <t>BBS</t>
        </is>
      </c>
    </row>
    <row r="124">
      <c r="A124" s="13" t="n">
        <v>119</v>
      </c>
      <c r="B124" s="13" t="inlineStr">
        <is>
          <t>Beams</t>
        </is>
      </c>
      <c r="C124" s="13" t="inlineStr">
        <is>
          <t>STR-093</t>
        </is>
      </c>
      <c r="D124" s="13" t="inlineStr">
        <is>
          <t>Tenth floor beams (2 of 2)</t>
        </is>
      </c>
      <c r="E124" s="19" t="inlineStr">
        <is>
          <t>1611</t>
        </is>
      </c>
      <c r="F124" s="19" t="n">
        <v>16</v>
      </c>
      <c r="G124" s="19" t="n">
        <v>1</v>
      </c>
      <c r="H124" s="19" t="n">
        <v>2</v>
      </c>
      <c r="I124" s="13">
        <f>G124*H124</f>
        <v>2.0</v>
      </c>
      <c r="J124" s="20">
        <f>2400/1000</f>
        <v>2.4</v>
      </c>
      <c r="K124" s="21">
        <f>I124*J124</f>
        <v>4.8</v>
      </c>
      <c r="L124" s="22">
        <f>F124^2/162</f>
        <v>1.5802469135802468</v>
      </c>
      <c r="M124" s="21">
        <f>K124*L124</f>
        <v>7.585185185185185</v>
      </c>
      <c r="N124" s="22">
        <f>M124/1000</f>
        <v>0.007585185185185184</v>
      </c>
      <c r="O124" s="13" t="inlineStr">
        <is>
          <t>BBS</t>
        </is>
      </c>
    </row>
    <row r="125">
      <c r="A125" s="13" t="n">
        <v>120</v>
      </c>
      <c r="B125" s="13" t="inlineStr">
        <is>
          <t>Beams</t>
        </is>
      </c>
      <c r="C125" s="13" t="inlineStr">
        <is>
          <t>STR-093</t>
        </is>
      </c>
      <c r="D125" s="13" t="inlineStr">
        <is>
          <t>Tenth floor beams (2 of 2)</t>
        </is>
      </c>
      <c r="E125" s="19" t="inlineStr">
        <is>
          <t>1612</t>
        </is>
      </c>
      <c r="F125" s="19" t="n">
        <v>16</v>
      </c>
      <c r="G125" s="19" t="n">
        <v>1</v>
      </c>
      <c r="H125" s="19" t="n">
        <v>3</v>
      </c>
      <c r="I125" s="13">
        <f>G125*H125</f>
        <v>3.0</v>
      </c>
      <c r="J125" s="20">
        <f>11550/1000</f>
        <v>11.55</v>
      </c>
      <c r="K125" s="21">
        <f>I125*J125</f>
        <v>34.650000000000006</v>
      </c>
      <c r="L125" s="22">
        <f>F125^2/162</f>
        <v>1.5802469135802468</v>
      </c>
      <c r="M125" s="21">
        <f>K125*L125</f>
        <v>54.75555555555556</v>
      </c>
      <c r="N125" s="22">
        <f>M125/1000</f>
        <v>0.05475555555555556</v>
      </c>
      <c r="O125" s="13" t="inlineStr">
        <is>
          <t>BBS</t>
        </is>
      </c>
    </row>
    <row r="126">
      <c r="A126" s="13" t="n">
        <v>121</v>
      </c>
      <c r="B126" s="13" t="inlineStr">
        <is>
          <t>Beams</t>
        </is>
      </c>
      <c r="C126" s="13" t="inlineStr">
        <is>
          <t>STR-093</t>
        </is>
      </c>
      <c r="D126" s="13" t="inlineStr">
        <is>
          <t>Tenth floor beams (2 of 2)</t>
        </is>
      </c>
      <c r="E126" s="19" t="inlineStr">
        <is>
          <t>1613</t>
        </is>
      </c>
      <c r="F126" s="19" t="n">
        <v>16</v>
      </c>
      <c r="G126" s="19" t="n">
        <v>1</v>
      </c>
      <c r="H126" s="19" t="n">
        <v>3</v>
      </c>
      <c r="I126" s="13">
        <f>G126*H126</f>
        <v>3.0</v>
      </c>
      <c r="J126" s="20">
        <f>9800/1000</f>
        <v>9.8</v>
      </c>
      <c r="K126" s="21">
        <f>I126*J126</f>
        <v>29.400000000000002</v>
      </c>
      <c r="L126" s="22">
        <f>F126^2/162</f>
        <v>1.5802469135802468</v>
      </c>
      <c r="M126" s="21">
        <f>K126*L126</f>
        <v>46.45925925925926</v>
      </c>
      <c r="N126" s="22">
        <f>M126/1000</f>
        <v>0.04645925925925926</v>
      </c>
      <c r="O126" s="13" t="inlineStr">
        <is>
          <t>BBS</t>
        </is>
      </c>
    </row>
    <row r="127">
      <c r="A127" s="13" t="n">
        <v>122</v>
      </c>
      <c r="B127" s="13" t="inlineStr">
        <is>
          <t>Beams</t>
        </is>
      </c>
      <c r="C127" s="13" t="inlineStr">
        <is>
          <t>STR-093</t>
        </is>
      </c>
      <c r="D127" s="13" t="inlineStr">
        <is>
          <t>Tenth floor beams (2 of 2)</t>
        </is>
      </c>
      <c r="E127" s="19" t="inlineStr">
        <is>
          <t>1614</t>
        </is>
      </c>
      <c r="F127" s="19" t="n">
        <v>16</v>
      </c>
      <c r="G127" s="19" t="n">
        <v>1</v>
      </c>
      <c r="H127" s="19" t="n">
        <v>2</v>
      </c>
      <c r="I127" s="13">
        <f>G127*H127</f>
        <v>2.0</v>
      </c>
      <c r="J127" s="20">
        <f>10100/1000</f>
        <v>10.1</v>
      </c>
      <c r="K127" s="21">
        <f>I127*J127</f>
        <v>20.2</v>
      </c>
      <c r="L127" s="22">
        <f>F127^2/162</f>
        <v>1.5802469135802468</v>
      </c>
      <c r="M127" s="21">
        <f>K127*L127</f>
        <v>31.920987654320985</v>
      </c>
      <c r="N127" s="22">
        <f>M127/1000</f>
        <v>0.031920987654320984</v>
      </c>
      <c r="O127" s="13" t="inlineStr">
        <is>
          <t>BBS</t>
        </is>
      </c>
    </row>
    <row r="128">
      <c r="A128" s="13" t="n">
        <v>123</v>
      </c>
      <c r="B128" s="13" t="inlineStr">
        <is>
          <t>Beams</t>
        </is>
      </c>
      <c r="C128" s="13" t="inlineStr">
        <is>
          <t>STR-093</t>
        </is>
      </c>
      <c r="D128" s="13" t="inlineStr">
        <is>
          <t>Tenth floor beams (2 of 2)</t>
        </is>
      </c>
      <c r="E128" s="19" t="inlineStr">
        <is>
          <t>1615</t>
        </is>
      </c>
      <c r="F128" s="19" t="n">
        <v>16</v>
      </c>
      <c r="G128" s="19" t="n">
        <v>1</v>
      </c>
      <c r="H128" s="19" t="n">
        <v>2</v>
      </c>
      <c r="I128" s="13">
        <f>G128*H128</f>
        <v>2.0</v>
      </c>
      <c r="J128" s="20">
        <f>9050/1000</f>
        <v>9.05</v>
      </c>
      <c r="K128" s="21">
        <f>I128*J128</f>
        <v>18.1</v>
      </c>
      <c r="L128" s="22">
        <f>F128^2/162</f>
        <v>1.5802469135802468</v>
      </c>
      <c r="M128" s="21">
        <f>K128*L128</f>
        <v>28.60246913580247</v>
      </c>
      <c r="N128" s="22">
        <f>M128/1000</f>
        <v>0.02860246913580247</v>
      </c>
      <c r="O128" s="13" t="inlineStr">
        <is>
          <t>BBS</t>
        </is>
      </c>
    </row>
    <row r="129">
      <c r="A129" s="13" t="n">
        <v>124</v>
      </c>
      <c r="B129" s="13" t="inlineStr">
        <is>
          <t>Beams</t>
        </is>
      </c>
      <c r="C129" s="13" t="inlineStr">
        <is>
          <t>STR-093</t>
        </is>
      </c>
      <c r="D129" s="13" t="inlineStr">
        <is>
          <t>Tenth floor beams (2 of 2)</t>
        </is>
      </c>
      <c r="E129" s="19" t="inlineStr">
        <is>
          <t>2001</t>
        </is>
      </c>
      <c r="F129" s="19" t="n">
        <v>20</v>
      </c>
      <c r="G129" s="19" t="n">
        <v>1</v>
      </c>
      <c r="H129" s="19" t="n">
        <v>6</v>
      </c>
      <c r="I129" s="13">
        <f>G129*H129</f>
        <v>6.0</v>
      </c>
      <c r="J129" s="20">
        <f>9000/1000</f>
        <v>9.0</v>
      </c>
      <c r="K129" s="21">
        <f>I129*J129</f>
        <v>54.0</v>
      </c>
      <c r="L129" s="22">
        <f>F129^2/162</f>
        <v>2.4691358024691357</v>
      </c>
      <c r="M129" s="21">
        <f>K129*L129</f>
        <v>133.33333333333331</v>
      </c>
      <c r="N129" s="22">
        <f>M129/1000</f>
        <v>0.1333333333333333</v>
      </c>
      <c r="O129" s="13" t="inlineStr">
        <is>
          <t>BBS</t>
        </is>
      </c>
    </row>
    <row r="130">
      <c r="A130" s="13" t="n">
        <v>125</v>
      </c>
      <c r="B130" s="13" t="inlineStr">
        <is>
          <t>Beams</t>
        </is>
      </c>
      <c r="C130" s="13" t="inlineStr">
        <is>
          <t>STR-093</t>
        </is>
      </c>
      <c r="D130" s="13" t="inlineStr">
        <is>
          <t>Tenth floor beams (2 of 2)</t>
        </is>
      </c>
      <c r="E130" s="19" t="inlineStr">
        <is>
          <t>2501</t>
        </is>
      </c>
      <c r="F130" s="19" t="n">
        <v>25</v>
      </c>
      <c r="G130" s="19" t="n">
        <v>1</v>
      </c>
      <c r="H130" s="19" t="n">
        <v>3</v>
      </c>
      <c r="I130" s="13">
        <f>G130*H130</f>
        <v>3.0</v>
      </c>
      <c r="J130" s="20">
        <f>5850/1000</f>
        <v>5.85</v>
      </c>
      <c r="K130" s="21">
        <f>I130*J130</f>
        <v>17.549999999999997</v>
      </c>
      <c r="L130" s="22">
        <f>F130^2/162</f>
        <v>3.8580246913580245</v>
      </c>
      <c r="M130" s="21">
        <f>K130*L130</f>
        <v>67.70833333333331</v>
      </c>
      <c r="N130" s="22">
        <f>M130/1000</f>
        <v>0.06770833333333331</v>
      </c>
      <c r="O130" s="13" t="inlineStr">
        <is>
          <t>BBS</t>
        </is>
      </c>
    </row>
    <row r="131">
      <c r="A131" s="13" t="n">
        <v>126</v>
      </c>
      <c r="B131" s="13" t="inlineStr">
        <is>
          <t>Beams</t>
        </is>
      </c>
      <c r="C131" s="13" t="inlineStr">
        <is>
          <t>STR-093</t>
        </is>
      </c>
      <c r="D131" s="13" t="inlineStr">
        <is>
          <t>Tenth floor beams (2 of 2)</t>
        </is>
      </c>
      <c r="E131" s="19" t="inlineStr">
        <is>
          <t>2502</t>
        </is>
      </c>
      <c r="F131" s="19" t="n">
        <v>25</v>
      </c>
      <c r="G131" s="19" t="n">
        <v>1</v>
      </c>
      <c r="H131" s="19" t="n">
        <v>3</v>
      </c>
      <c r="I131" s="13">
        <f>G131*H131</f>
        <v>3.0</v>
      </c>
      <c r="J131" s="20">
        <f>8000/1000</f>
        <v>8.0</v>
      </c>
      <c r="K131" s="21">
        <f>I131*J131</f>
        <v>24.0</v>
      </c>
      <c r="L131" s="22">
        <f>F131^2/162</f>
        <v>3.8580246913580245</v>
      </c>
      <c r="M131" s="21">
        <f>K131*L131</f>
        <v>92.59259259259258</v>
      </c>
      <c r="N131" s="22">
        <f>M131/1000</f>
        <v>0.09259259259259259</v>
      </c>
      <c r="O131" s="13" t="inlineStr">
        <is>
          <t>BBS</t>
        </is>
      </c>
    </row>
    <row r="132">
      <c r="A132" s="13" t="n">
        <v>127</v>
      </c>
      <c r="B132" s="13" t="inlineStr">
        <is>
          <t>Beams</t>
        </is>
      </c>
      <c r="C132" s="13" t="inlineStr">
        <is>
          <t>STR-093</t>
        </is>
      </c>
      <c r="D132" s="13" t="inlineStr">
        <is>
          <t>Tenth floor beams (2 of 2)</t>
        </is>
      </c>
      <c r="E132" s="19" t="inlineStr">
        <is>
          <t>2503</t>
        </is>
      </c>
      <c r="F132" s="19" t="n">
        <v>25</v>
      </c>
      <c r="G132" s="19" t="n">
        <v>1</v>
      </c>
      <c r="H132" s="19" t="n">
        <v>3</v>
      </c>
      <c r="I132" s="13">
        <f>G132*H132</f>
        <v>3.0</v>
      </c>
      <c r="J132" s="20">
        <f>8700/1000</f>
        <v>8.7</v>
      </c>
      <c r="K132" s="21">
        <f>I132*J132</f>
        <v>26.099999999999998</v>
      </c>
      <c r="L132" s="22">
        <f>F132^2/162</f>
        <v>3.8580246913580245</v>
      </c>
      <c r="M132" s="21">
        <f>K132*L132</f>
        <v>100.69444444444443</v>
      </c>
      <c r="N132" s="22">
        <f>M132/1000</f>
        <v>0.10069444444444443</v>
      </c>
      <c r="O132" s="13" t="inlineStr">
        <is>
          <t>BBS</t>
        </is>
      </c>
    </row>
    <row r="133">
      <c r="A133" s="13" t="n">
        <v>128</v>
      </c>
      <c r="B133" s="13" t="inlineStr">
        <is>
          <t>Beams</t>
        </is>
      </c>
      <c r="C133" s="13" t="inlineStr">
        <is>
          <t>STR-093</t>
        </is>
      </c>
      <c r="D133" s="13" t="inlineStr">
        <is>
          <t>Tenth floor beams (2 of 2)</t>
        </is>
      </c>
      <c r="E133" s="19" t="inlineStr">
        <is>
          <t>2504</t>
        </is>
      </c>
      <c r="F133" s="19" t="n">
        <v>25</v>
      </c>
      <c r="G133" s="19" t="n">
        <v>1</v>
      </c>
      <c r="H133" s="19" t="n">
        <v>3</v>
      </c>
      <c r="I133" s="13">
        <f>G133*H133</f>
        <v>3.0</v>
      </c>
      <c r="J133" s="20">
        <f>5900/1000</f>
        <v>5.9</v>
      </c>
      <c r="K133" s="21">
        <f>I133*J133</f>
        <v>17.700000000000003</v>
      </c>
      <c r="L133" s="22">
        <f>F133^2/162</f>
        <v>3.8580246913580245</v>
      </c>
      <c r="M133" s="21">
        <f>K133*L133</f>
        <v>68.28703703703704</v>
      </c>
      <c r="N133" s="22">
        <f>M133/1000</f>
        <v>0.06828703703703703</v>
      </c>
      <c r="O133" s="13" t="inlineStr">
        <is>
          <t>BBS</t>
        </is>
      </c>
    </row>
    <row r="134">
      <c r="A134" s="13" t="n">
        <v>129</v>
      </c>
      <c r="B134" s="13" t="inlineStr">
        <is>
          <t>Beams</t>
        </is>
      </c>
      <c r="C134" s="13" t="inlineStr">
        <is>
          <t>STR-093</t>
        </is>
      </c>
      <c r="D134" s="13" t="inlineStr">
        <is>
          <t>Tenth floor beams (2 of 2)</t>
        </is>
      </c>
      <c r="E134" s="19" t="inlineStr">
        <is>
          <t>2505</t>
        </is>
      </c>
      <c r="F134" s="19" t="n">
        <v>25</v>
      </c>
      <c r="G134" s="19" t="n">
        <v>1</v>
      </c>
      <c r="H134" s="19" t="n">
        <v>3</v>
      </c>
      <c r="I134" s="13">
        <f>G134*H134</f>
        <v>3.0</v>
      </c>
      <c r="J134" s="20">
        <f>7750/1000</f>
        <v>7.75</v>
      </c>
      <c r="K134" s="21">
        <f>I134*J134</f>
        <v>23.25</v>
      </c>
      <c r="L134" s="22">
        <f>F134^2/162</f>
        <v>3.8580246913580245</v>
      </c>
      <c r="M134" s="21">
        <f>K134*L134</f>
        <v>89.69907407407408</v>
      </c>
      <c r="N134" s="22">
        <f>M134/1000</f>
        <v>0.08969907407407407</v>
      </c>
      <c r="O134" s="13" t="inlineStr">
        <is>
          <t>BBS</t>
        </is>
      </c>
    </row>
    <row r="135">
      <c r="A135" s="13" t="n">
        <v>130</v>
      </c>
      <c r="B135" s="13" t="inlineStr">
        <is>
          <t>Beams</t>
        </is>
      </c>
      <c r="C135" s="13" t="inlineStr">
        <is>
          <t>STR-093</t>
        </is>
      </c>
      <c r="D135" s="13" t="inlineStr">
        <is>
          <t>Tenth floor beams (2 of 2)</t>
        </is>
      </c>
      <c r="E135" s="19" t="inlineStr">
        <is>
          <t>2506</t>
        </is>
      </c>
      <c r="F135" s="19" t="n">
        <v>25</v>
      </c>
      <c r="G135" s="19" t="n">
        <v>1</v>
      </c>
      <c r="H135" s="19" t="n">
        <v>3</v>
      </c>
      <c r="I135" s="13">
        <f>G135*H135</f>
        <v>3.0</v>
      </c>
      <c r="J135" s="20">
        <f>6500/1000</f>
        <v>6.5</v>
      </c>
      <c r="K135" s="21">
        <f>I135*J135</f>
        <v>19.5</v>
      </c>
      <c r="L135" s="22">
        <f>F135^2/162</f>
        <v>3.8580246913580245</v>
      </c>
      <c r="M135" s="21">
        <f>K135*L135</f>
        <v>75.23148148148148</v>
      </c>
      <c r="N135" s="22">
        <f>M135/1000</f>
        <v>0.07523148148148148</v>
      </c>
      <c r="O135" s="13" t="inlineStr">
        <is>
          <t>BBS</t>
        </is>
      </c>
    </row>
    <row r="136">
      <c r="A136" s="13" t="n">
        <v>131</v>
      </c>
      <c r="B136" s="13" t="inlineStr">
        <is>
          <t>Beams</t>
        </is>
      </c>
      <c r="C136" s="13" t="inlineStr">
        <is>
          <t>STR-093</t>
        </is>
      </c>
      <c r="D136" s="13" t="inlineStr">
        <is>
          <t>Tenth floor beams (2 of 2)</t>
        </is>
      </c>
      <c r="E136" s="19" t="inlineStr">
        <is>
          <t>2507</t>
        </is>
      </c>
      <c r="F136" s="19" t="n">
        <v>25</v>
      </c>
      <c r="G136" s="19" t="n">
        <v>1</v>
      </c>
      <c r="H136" s="19" t="n">
        <v>3</v>
      </c>
      <c r="I136" s="13">
        <f>G136*H136</f>
        <v>3.0</v>
      </c>
      <c r="J136" s="20">
        <f>9850/1000</f>
        <v>9.85</v>
      </c>
      <c r="K136" s="21">
        <f>I136*J136</f>
        <v>29.549999999999997</v>
      </c>
      <c r="L136" s="22">
        <f>F136^2/162</f>
        <v>3.8580246913580245</v>
      </c>
      <c r="M136" s="21">
        <f>K136*L136</f>
        <v>114.00462962962962</v>
      </c>
      <c r="N136" s="22">
        <f>M136/1000</f>
        <v>0.11400462962962962</v>
      </c>
      <c r="O136" s="13" t="inlineStr">
        <is>
          <t>BBS</t>
        </is>
      </c>
    </row>
    <row r="137">
      <c r="A137" s="13" t="n">
        <v>132</v>
      </c>
      <c r="B137" s="13" t="inlineStr">
        <is>
          <t>Beams</t>
        </is>
      </c>
      <c r="C137" s="13" t="inlineStr">
        <is>
          <t>STR-093</t>
        </is>
      </c>
      <c r="D137" s="13" t="inlineStr">
        <is>
          <t>Tenth floor beams (2 of 2)</t>
        </is>
      </c>
      <c r="E137" s="19" t="inlineStr">
        <is>
          <t>2508</t>
        </is>
      </c>
      <c r="F137" s="19" t="n">
        <v>25</v>
      </c>
      <c r="G137" s="19" t="n">
        <v>1</v>
      </c>
      <c r="H137" s="19" t="n">
        <v>3</v>
      </c>
      <c r="I137" s="13">
        <f>G137*H137</f>
        <v>3.0</v>
      </c>
      <c r="J137" s="20">
        <f>11650/1000</f>
        <v>11.65</v>
      </c>
      <c r="K137" s="21">
        <f>I137*J137</f>
        <v>34.95</v>
      </c>
      <c r="L137" s="22">
        <f>F137^2/162</f>
        <v>3.8580246913580245</v>
      </c>
      <c r="M137" s="21">
        <f>K137*L137</f>
        <v>134.83796296296296</v>
      </c>
      <c r="N137" s="22">
        <f>M137/1000</f>
        <v>0.13483796296296297</v>
      </c>
      <c r="O137" s="13" t="inlineStr">
        <is>
          <t>BBS</t>
        </is>
      </c>
    </row>
    <row r="138">
      <c r="A138" s="13" t="n">
        <v>133</v>
      </c>
      <c r="B138" s="13" t="inlineStr">
        <is>
          <t>Beams</t>
        </is>
      </c>
      <c r="C138" s="13" t="inlineStr">
        <is>
          <t>STR-093</t>
        </is>
      </c>
      <c r="D138" s="13" t="inlineStr">
        <is>
          <t>Tenth floor beams (2 of 2)</t>
        </is>
      </c>
      <c r="E138" s="19" t="inlineStr">
        <is>
          <t>2509</t>
        </is>
      </c>
      <c r="F138" s="19" t="n">
        <v>25</v>
      </c>
      <c r="G138" s="19" t="n">
        <v>1</v>
      </c>
      <c r="H138" s="19" t="n">
        <v>3</v>
      </c>
      <c r="I138" s="13">
        <f>G138*H138</f>
        <v>3.0</v>
      </c>
      <c r="J138" s="20">
        <f>6450/1000</f>
        <v>6.45</v>
      </c>
      <c r="K138" s="21">
        <f>I138*J138</f>
        <v>19.35</v>
      </c>
      <c r="L138" s="22">
        <f>F138^2/162</f>
        <v>3.8580246913580245</v>
      </c>
      <c r="M138" s="21">
        <f>K138*L138</f>
        <v>74.65277777777779</v>
      </c>
      <c r="N138" s="22">
        <f>M138/1000</f>
        <v>0.07465277777777779</v>
      </c>
      <c r="O138" s="13" t="inlineStr">
        <is>
          <t>BBS</t>
        </is>
      </c>
    </row>
    <row r="139">
      <c r="A139" s="13" t="n">
        <v>134</v>
      </c>
      <c r="B139" s="13" t="inlineStr">
        <is>
          <t>Beams</t>
        </is>
      </c>
      <c r="C139" s="13" t="inlineStr">
        <is>
          <t>STR-093</t>
        </is>
      </c>
      <c r="D139" s="13" t="inlineStr">
        <is>
          <t>Tenth floor beams (2 of 2)</t>
        </is>
      </c>
      <c r="E139" s="19" t="inlineStr">
        <is>
          <t>2510</t>
        </is>
      </c>
      <c r="F139" s="19" t="n">
        <v>25</v>
      </c>
      <c r="G139" s="19" t="n">
        <v>1</v>
      </c>
      <c r="H139" s="19" t="n">
        <v>3</v>
      </c>
      <c r="I139" s="13">
        <f>G139*H139</f>
        <v>3.0</v>
      </c>
      <c r="J139" s="20">
        <f>7700/1000</f>
        <v>7.7</v>
      </c>
      <c r="K139" s="21">
        <f>I139*J139</f>
        <v>23.1</v>
      </c>
      <c r="L139" s="22">
        <f>F139^2/162</f>
        <v>3.8580246913580245</v>
      </c>
      <c r="M139" s="21">
        <f>K139*L139</f>
        <v>89.12037037037037</v>
      </c>
      <c r="N139" s="22">
        <f>M139/1000</f>
        <v>0.08912037037037036</v>
      </c>
      <c r="O139" s="13" t="inlineStr">
        <is>
          <t>BBS</t>
        </is>
      </c>
    </row>
    <row r="140">
      <c r="A140" s="13" t="n">
        <v>135</v>
      </c>
      <c r="B140" s="13" t="inlineStr">
        <is>
          <t>Beams</t>
        </is>
      </c>
      <c r="C140" s="13" t="inlineStr">
        <is>
          <t>STR-093</t>
        </is>
      </c>
      <c r="D140" s="13" t="inlineStr">
        <is>
          <t>Tenth floor beams (2 of 2)</t>
        </is>
      </c>
      <c r="E140" s="19" t="inlineStr">
        <is>
          <t>2511</t>
        </is>
      </c>
      <c r="F140" s="19" t="n">
        <v>25</v>
      </c>
      <c r="G140" s="19" t="n">
        <v>1</v>
      </c>
      <c r="H140" s="19" t="n">
        <v>6</v>
      </c>
      <c r="I140" s="13">
        <f>G140*H140</f>
        <v>6.0</v>
      </c>
      <c r="J140" s="20">
        <f>3550/1000</f>
        <v>3.55</v>
      </c>
      <c r="K140" s="21">
        <f>I140*J140</f>
        <v>21.299999999999997</v>
      </c>
      <c r="L140" s="22">
        <f>F140^2/162</f>
        <v>3.8580246913580245</v>
      </c>
      <c r="M140" s="21">
        <f>K140*L140</f>
        <v>82.17592592592591</v>
      </c>
      <c r="N140" s="22">
        <f>M140/1000</f>
        <v>0.08217592592592592</v>
      </c>
      <c r="O140" s="13" t="inlineStr">
        <is>
          <t>BBS</t>
        </is>
      </c>
    </row>
    <row r="141">
      <c r="A141" s="13" t="n">
        <v>136</v>
      </c>
      <c r="B141" s="13" t="inlineStr">
        <is>
          <t>Beams</t>
        </is>
      </c>
      <c r="C141" s="13" t="inlineStr">
        <is>
          <t>STR-093</t>
        </is>
      </c>
      <c r="D141" s="13" t="inlineStr">
        <is>
          <t>Tenth floor beams (2 of 2)</t>
        </is>
      </c>
      <c r="E141" s="19" t="inlineStr">
        <is>
          <t>2512</t>
        </is>
      </c>
      <c r="F141" s="19" t="n">
        <v>25</v>
      </c>
      <c r="G141" s="19" t="n">
        <v>1</v>
      </c>
      <c r="H141" s="19" t="n">
        <v>3</v>
      </c>
      <c r="I141" s="13">
        <f>G141*H141</f>
        <v>3.0</v>
      </c>
      <c r="J141" s="20">
        <f>7750/1000</f>
        <v>7.75</v>
      </c>
      <c r="K141" s="21">
        <f>I141*J141</f>
        <v>23.25</v>
      </c>
      <c r="L141" s="22">
        <f>F141^2/162</f>
        <v>3.8580246913580245</v>
      </c>
      <c r="M141" s="21">
        <f>K141*L141</f>
        <v>89.69907407407408</v>
      </c>
      <c r="N141" s="22">
        <f>M141/1000</f>
        <v>0.08969907407407407</v>
      </c>
      <c r="O141" s="13" t="inlineStr">
        <is>
          <t>BBS</t>
        </is>
      </c>
    </row>
    <row r="142">
      <c r="A142" s="13" t="n">
        <v>137</v>
      </c>
      <c r="B142" s="13" t="inlineStr">
        <is>
          <t>Beams</t>
        </is>
      </c>
      <c r="C142" s="13" t="inlineStr">
        <is>
          <t>STR-093</t>
        </is>
      </c>
      <c r="D142" s="13" t="inlineStr">
        <is>
          <t>Tenth floor beams (2 of 2)</t>
        </is>
      </c>
      <c r="E142" s="19" t="inlineStr">
        <is>
          <t>2513</t>
        </is>
      </c>
      <c r="F142" s="19" t="n">
        <v>25</v>
      </c>
      <c r="G142" s="19" t="n">
        <v>1</v>
      </c>
      <c r="H142" s="19" t="n">
        <v>6</v>
      </c>
      <c r="I142" s="13">
        <f>G142*H142</f>
        <v>6.0</v>
      </c>
      <c r="J142" s="20">
        <f>6350/1000</f>
        <v>6.35</v>
      </c>
      <c r="K142" s="21">
        <f>I142*J142</f>
        <v>38.099999999999994</v>
      </c>
      <c r="L142" s="22">
        <f>F142^2/162</f>
        <v>3.8580246913580245</v>
      </c>
      <c r="M142" s="21">
        <f>K142*L142</f>
        <v>146.9907407407407</v>
      </c>
      <c r="N142" s="22">
        <f>M142/1000</f>
        <v>0.1469907407407407</v>
      </c>
      <c r="O142" s="13" t="inlineStr">
        <is>
          <t>BBS</t>
        </is>
      </c>
    </row>
    <row r="143">
      <c r="A143" s="13" t="n">
        <v>138</v>
      </c>
      <c r="B143" s="13" t="inlineStr">
        <is>
          <t>Beams</t>
        </is>
      </c>
      <c r="C143" s="13" t="inlineStr">
        <is>
          <t>STR-093</t>
        </is>
      </c>
      <c r="D143" s="13" t="inlineStr">
        <is>
          <t>Tenth floor beams (2 of 2)</t>
        </is>
      </c>
      <c r="E143" s="19" t="inlineStr">
        <is>
          <t>2514</t>
        </is>
      </c>
      <c r="F143" s="19" t="n">
        <v>25</v>
      </c>
      <c r="G143" s="19" t="n">
        <v>1</v>
      </c>
      <c r="H143" s="19" t="n">
        <v>3</v>
      </c>
      <c r="I143" s="13">
        <f>G143*H143</f>
        <v>3.0</v>
      </c>
      <c r="J143" s="20">
        <f>10450/1000</f>
        <v>10.45</v>
      </c>
      <c r="K143" s="21">
        <f>I143*J143</f>
        <v>31.349999999999998</v>
      </c>
      <c r="L143" s="22">
        <f>F143^2/162</f>
        <v>3.8580246913580245</v>
      </c>
      <c r="M143" s="21">
        <f>K143*L143</f>
        <v>120.94907407407406</v>
      </c>
      <c r="N143" s="22">
        <f>M143/1000</f>
        <v>0.12094907407407406</v>
      </c>
      <c r="O143" s="13" t="inlineStr">
        <is>
          <t>BBS</t>
        </is>
      </c>
    </row>
    <row r="144">
      <c r="A144" s="13" t="n">
        <v>139</v>
      </c>
      <c r="B144" s="13" t="inlineStr">
        <is>
          <t>Beams</t>
        </is>
      </c>
      <c r="C144" s="13" t="inlineStr">
        <is>
          <t>STR-093</t>
        </is>
      </c>
      <c r="D144" s="13" t="inlineStr">
        <is>
          <t>Tenth floor beams (2 of 2)</t>
        </is>
      </c>
      <c r="E144" s="19" t="inlineStr">
        <is>
          <t>2515</t>
        </is>
      </c>
      <c r="F144" s="19" t="n">
        <v>25</v>
      </c>
      <c r="G144" s="19" t="n">
        <v>1</v>
      </c>
      <c r="H144" s="19" t="n">
        <v>3</v>
      </c>
      <c r="I144" s="13">
        <f>G144*H144</f>
        <v>3.0</v>
      </c>
      <c r="J144" s="20">
        <f>11200/1000</f>
        <v>11.2</v>
      </c>
      <c r="K144" s="21">
        <f>I144*J144</f>
        <v>33.599999999999994</v>
      </c>
      <c r="L144" s="22">
        <f>F144^2/162</f>
        <v>3.8580246913580245</v>
      </c>
      <c r="M144" s="21">
        <f>K144*L144</f>
        <v>129.6296296296296</v>
      </c>
      <c r="N144" s="22">
        <f>M144/1000</f>
        <v>0.1296296296296296</v>
      </c>
      <c r="O144" s="13" t="inlineStr">
        <is>
          <t>BBS</t>
        </is>
      </c>
    </row>
    <row r="145">
      <c r="A145" s="13" t="n">
        <v>140</v>
      </c>
      <c r="B145" s="13" t="inlineStr">
        <is>
          <t>Beams</t>
        </is>
      </c>
      <c r="C145" s="13" t="inlineStr">
        <is>
          <t>STR-093</t>
        </is>
      </c>
      <c r="D145" s="13" t="inlineStr">
        <is>
          <t>Tenth floor beams (2 of 2)</t>
        </is>
      </c>
      <c r="E145" s="19" t="inlineStr">
        <is>
          <t>2516</t>
        </is>
      </c>
      <c r="F145" s="19" t="n">
        <v>25</v>
      </c>
      <c r="G145" s="19" t="n">
        <v>1</v>
      </c>
      <c r="H145" s="19" t="n">
        <v>3</v>
      </c>
      <c r="I145" s="13">
        <f>G145*H145</f>
        <v>3.0</v>
      </c>
      <c r="J145" s="20">
        <f>8275/1000</f>
        <v>8.275</v>
      </c>
      <c r="K145" s="21">
        <f>I145*J145</f>
        <v>24.825000000000003</v>
      </c>
      <c r="L145" s="22">
        <f>F145^2/162</f>
        <v>3.8580246913580245</v>
      </c>
      <c r="M145" s="21">
        <f>K145*L145</f>
        <v>95.77546296296298</v>
      </c>
      <c r="N145" s="22">
        <f>M145/1000</f>
        <v>0.09577546296296298</v>
      </c>
      <c r="O145" s="13" t="inlineStr">
        <is>
          <t>BBS</t>
        </is>
      </c>
    </row>
    <row r="146">
      <c r="A146" s="13" t="n">
        <v>141</v>
      </c>
      <c r="B146" s="13" t="inlineStr">
        <is>
          <t>Beams</t>
        </is>
      </c>
      <c r="C146" s="13" t="inlineStr">
        <is>
          <t>STR-093</t>
        </is>
      </c>
      <c r="D146" s="13" t="inlineStr">
        <is>
          <t>Tenth floor beams (2 of 2)</t>
        </is>
      </c>
      <c r="E146" s="19" t="inlineStr">
        <is>
          <t>2517</t>
        </is>
      </c>
      <c r="F146" s="19" t="n">
        <v>25</v>
      </c>
      <c r="G146" s="19" t="n">
        <v>1</v>
      </c>
      <c r="H146" s="19" t="n">
        <v>6</v>
      </c>
      <c r="I146" s="13">
        <f>G146*H146</f>
        <v>6.0</v>
      </c>
      <c r="J146" s="20">
        <f>10150/1000</f>
        <v>10.15</v>
      </c>
      <c r="K146" s="21">
        <f>I146*J146</f>
        <v>60.900000000000006</v>
      </c>
      <c r="L146" s="22">
        <f>F146^2/162</f>
        <v>3.8580246913580245</v>
      </c>
      <c r="M146" s="21">
        <f>K146*L146</f>
        <v>234.95370370370372</v>
      </c>
      <c r="N146" s="22">
        <f>M146/1000</f>
        <v>0.23495370370370372</v>
      </c>
      <c r="O146" s="13" t="inlineStr">
        <is>
          <t>BBS</t>
        </is>
      </c>
    </row>
    <row r="147">
      <c r="A147" s="13" t="n">
        <v>142</v>
      </c>
      <c r="B147" s="13" t="inlineStr">
        <is>
          <t>Floor Slabs</t>
        </is>
      </c>
      <c r="C147" s="13" t="inlineStr">
        <is>
          <t>STR-094</t>
        </is>
      </c>
      <c r="D147" s="13" t="inlineStr">
        <is>
          <t>Tenth floor slab - bottom</t>
        </is>
      </c>
      <c r="E147" s="19" t="inlineStr">
        <is>
          <t>1201</t>
        </is>
      </c>
      <c r="F147" s="19" t="n">
        <v>12</v>
      </c>
      <c r="G147" s="19" t="n">
        <v>1</v>
      </c>
      <c r="H147" s="19" t="n">
        <v>116</v>
      </c>
      <c r="I147" s="13">
        <f>G147*H147</f>
        <v>116.0</v>
      </c>
      <c r="J147" s="20">
        <f>9650/1000</f>
        <v>9.65</v>
      </c>
      <c r="K147" s="21">
        <f>I147*J147</f>
        <v>1119.4</v>
      </c>
      <c r="L147" s="22">
        <f>F147^2/162</f>
        <v>0.8888888888888888</v>
      </c>
      <c r="M147" s="21">
        <f>K147*L147</f>
        <v>995.0222222222222</v>
      </c>
      <c r="N147" s="22">
        <f>M147/1000</f>
        <v>0.9950222222222223</v>
      </c>
      <c r="O147" s="13" t="inlineStr">
        <is>
          <t>BBS</t>
        </is>
      </c>
    </row>
    <row r="148">
      <c r="A148" s="13" t="n">
        <v>143</v>
      </c>
      <c r="B148" s="13" t="inlineStr">
        <is>
          <t>Floor Slabs</t>
        </is>
      </c>
      <c r="C148" s="13" t="inlineStr">
        <is>
          <t>STR-094</t>
        </is>
      </c>
      <c r="D148" s="13" t="inlineStr">
        <is>
          <t>Tenth floor slab - bottom</t>
        </is>
      </c>
      <c r="E148" s="19" t="inlineStr">
        <is>
          <t>1202</t>
        </is>
      </c>
      <c r="F148" s="19" t="n">
        <v>12</v>
      </c>
      <c r="G148" s="19" t="n">
        <v>1</v>
      </c>
      <c r="H148" s="19" t="n">
        <v>148</v>
      </c>
      <c r="I148" s="13">
        <f>G148*H148</f>
        <v>148.0</v>
      </c>
      <c r="J148" s="20">
        <f>5400/1000</f>
        <v>5.4</v>
      </c>
      <c r="K148" s="21">
        <f>I148*J148</f>
        <v>799.2</v>
      </c>
      <c r="L148" s="22">
        <f>F148^2/162</f>
        <v>0.8888888888888888</v>
      </c>
      <c r="M148" s="21">
        <f>K148*L148</f>
        <v>710.4</v>
      </c>
      <c r="N148" s="22">
        <f>M148/1000</f>
        <v>0.7104</v>
      </c>
      <c r="O148" s="13" t="inlineStr">
        <is>
          <t>BBS</t>
        </is>
      </c>
    </row>
    <row r="149">
      <c r="A149" s="13" t="n">
        <v>144</v>
      </c>
      <c r="B149" s="13" t="inlineStr">
        <is>
          <t>Floor Slabs</t>
        </is>
      </c>
      <c r="C149" s="13" t="inlineStr">
        <is>
          <t>STR-094</t>
        </is>
      </c>
      <c r="D149" s="13" t="inlineStr">
        <is>
          <t>Tenth floor slab - bottom</t>
        </is>
      </c>
      <c r="E149" s="19" t="inlineStr">
        <is>
          <t>1203</t>
        </is>
      </c>
      <c r="F149" s="19" t="n">
        <v>12</v>
      </c>
      <c r="G149" s="19" t="n">
        <v>1</v>
      </c>
      <c r="H149" s="19" t="n">
        <v>29</v>
      </c>
      <c r="I149" s="13">
        <f>G149*H149</f>
        <v>29.0</v>
      </c>
      <c r="J149" s="20">
        <f>4450/1000</f>
        <v>4.45</v>
      </c>
      <c r="K149" s="21">
        <f>I149*J149</f>
        <v>129.05</v>
      </c>
      <c r="L149" s="22">
        <f>F149^2/162</f>
        <v>0.8888888888888888</v>
      </c>
      <c r="M149" s="21">
        <f>K149*L149</f>
        <v>114.71111111111111</v>
      </c>
      <c r="N149" s="22">
        <f>M149/1000</f>
        <v>0.11471111111111111</v>
      </c>
      <c r="O149" s="13" t="inlineStr">
        <is>
          <t>BBS</t>
        </is>
      </c>
    </row>
    <row r="150">
      <c r="A150" s="13" t="n">
        <v>145</v>
      </c>
      <c r="B150" s="13" t="inlineStr">
        <is>
          <t>Floor Slabs</t>
        </is>
      </c>
      <c r="C150" s="13" t="inlineStr">
        <is>
          <t>STR-094</t>
        </is>
      </c>
      <c r="D150" s="13" t="inlineStr">
        <is>
          <t>Tenth floor slab - bottom</t>
        </is>
      </c>
      <c r="E150" s="19" t="inlineStr">
        <is>
          <t>1204</t>
        </is>
      </c>
      <c r="F150" s="19" t="n">
        <v>12</v>
      </c>
      <c r="G150" s="19" t="n">
        <v>1</v>
      </c>
      <c r="H150" s="19" t="n">
        <v>263</v>
      </c>
      <c r="I150" s="13">
        <f>G150*H150</f>
        <v>263.0</v>
      </c>
      <c r="J150" s="20">
        <f>8800/1000</f>
        <v>8.8</v>
      </c>
      <c r="K150" s="21">
        <f>I150*J150</f>
        <v>2314.4</v>
      </c>
      <c r="L150" s="22">
        <f>F150^2/162</f>
        <v>0.8888888888888888</v>
      </c>
      <c r="M150" s="21">
        <f>K150*L150</f>
        <v>2057.2444444444445</v>
      </c>
      <c r="N150" s="22">
        <f>M150/1000</f>
        <v>2.0572444444444447</v>
      </c>
      <c r="O150" s="13" t="inlineStr">
        <is>
          <t>BBS</t>
        </is>
      </c>
    </row>
    <row r="151">
      <c r="A151" s="13" t="n">
        <v>146</v>
      </c>
      <c r="B151" s="13" t="inlineStr">
        <is>
          <t>Floor Slabs</t>
        </is>
      </c>
      <c r="C151" s="13" t="inlineStr">
        <is>
          <t>STR-094</t>
        </is>
      </c>
      <c r="D151" s="13" t="inlineStr">
        <is>
          <t>Tenth floor slab - bottom</t>
        </is>
      </c>
      <c r="E151" s="19" t="inlineStr">
        <is>
          <t>1205</t>
        </is>
      </c>
      <c r="F151" s="19" t="n">
        <v>12</v>
      </c>
      <c r="G151" s="19" t="n">
        <v>1</v>
      </c>
      <c r="H151" s="19" t="n">
        <v>16</v>
      </c>
      <c r="I151" s="13">
        <f>G151*H151</f>
        <v>16.0</v>
      </c>
      <c r="J151" s="20">
        <f>3400/1000</f>
        <v>3.4</v>
      </c>
      <c r="K151" s="21">
        <f>I151*J151</f>
        <v>54.4</v>
      </c>
      <c r="L151" s="22">
        <f>F151^2/162</f>
        <v>0.8888888888888888</v>
      </c>
      <c r="M151" s="21">
        <f>K151*L151</f>
        <v>48.355555555555554</v>
      </c>
      <c r="N151" s="22">
        <f>M151/1000</f>
        <v>0.048355555555555554</v>
      </c>
      <c r="O151" s="13" t="inlineStr">
        <is>
          <t>BBS</t>
        </is>
      </c>
    </row>
    <row r="152">
      <c r="A152" s="13" t="n">
        <v>147</v>
      </c>
      <c r="B152" s="13" t="inlineStr">
        <is>
          <t>Floor Slabs</t>
        </is>
      </c>
      <c r="C152" s="13" t="inlineStr">
        <is>
          <t>STR-094</t>
        </is>
      </c>
      <c r="D152" s="13" t="inlineStr">
        <is>
          <t>Tenth floor slab - bottom</t>
        </is>
      </c>
      <c r="E152" s="19" t="inlineStr">
        <is>
          <t>1206</t>
        </is>
      </c>
      <c r="F152" s="19" t="n">
        <v>12</v>
      </c>
      <c r="G152" s="19" t="n">
        <v>1</v>
      </c>
      <c r="H152" s="19" t="n">
        <v>130</v>
      </c>
      <c r="I152" s="13">
        <f>G152*H152</f>
        <v>130.0</v>
      </c>
      <c r="J152" s="20">
        <f>4600/1000</f>
        <v>4.6</v>
      </c>
      <c r="K152" s="21">
        <f>I152*J152</f>
        <v>598.0</v>
      </c>
      <c r="L152" s="22">
        <f>F152^2/162</f>
        <v>0.8888888888888888</v>
      </c>
      <c r="M152" s="21">
        <f>K152*L152</f>
        <v>531.5555555555555</v>
      </c>
      <c r="N152" s="22">
        <f>M152/1000</f>
        <v>0.5315555555555556</v>
      </c>
      <c r="O152" s="13" t="inlineStr">
        <is>
          <t>BBS</t>
        </is>
      </c>
    </row>
    <row r="153">
      <c r="A153" s="13" t="n">
        <v>148</v>
      </c>
      <c r="B153" s="13" t="inlineStr">
        <is>
          <t>Floor Slabs</t>
        </is>
      </c>
      <c r="C153" s="13" t="inlineStr">
        <is>
          <t>STR-094</t>
        </is>
      </c>
      <c r="D153" s="13" t="inlineStr">
        <is>
          <t>Tenth floor slab - bottom</t>
        </is>
      </c>
      <c r="E153" s="19" t="inlineStr">
        <is>
          <t>1207</t>
        </is>
      </c>
      <c r="F153" s="19" t="n">
        <v>12</v>
      </c>
      <c r="G153" s="19" t="n">
        <v>1</v>
      </c>
      <c r="H153" s="19" t="n">
        <v>21</v>
      </c>
      <c r="I153" s="13">
        <f>G153*H153</f>
        <v>21.0</v>
      </c>
      <c r="J153" s="20">
        <f>4575/1000</f>
        <v>4.575</v>
      </c>
      <c r="K153" s="21">
        <f>I153*J153</f>
        <v>96.075</v>
      </c>
      <c r="L153" s="22">
        <f>F153^2/162</f>
        <v>0.8888888888888888</v>
      </c>
      <c r="M153" s="21">
        <f>K153*L153</f>
        <v>85.39999999999999</v>
      </c>
      <c r="N153" s="22">
        <f>M153/1000</f>
        <v>0.08539999999999999</v>
      </c>
      <c r="O153" s="13" t="inlineStr">
        <is>
          <t>BBS</t>
        </is>
      </c>
    </row>
    <row r="154">
      <c r="A154" s="13" t="n">
        <v>149</v>
      </c>
      <c r="B154" s="13" t="inlineStr">
        <is>
          <t>Floor Slabs</t>
        </is>
      </c>
      <c r="C154" s="13" t="inlineStr">
        <is>
          <t>STR-094</t>
        </is>
      </c>
      <c r="D154" s="13" t="inlineStr">
        <is>
          <t>Tenth floor slab - bottom</t>
        </is>
      </c>
      <c r="E154" s="19" t="inlineStr">
        <is>
          <t>1208</t>
        </is>
      </c>
      <c r="F154" s="19" t="n">
        <v>12</v>
      </c>
      <c r="G154" s="19" t="n">
        <v>1</v>
      </c>
      <c r="H154" s="19" t="n">
        <v>47</v>
      </c>
      <c r="I154" s="13">
        <f>G154*H154</f>
        <v>47.0</v>
      </c>
      <c r="J154" s="20">
        <f>5325/1000</f>
        <v>5.325</v>
      </c>
      <c r="K154" s="21">
        <f>I154*J154</f>
        <v>250.275</v>
      </c>
      <c r="L154" s="22">
        <f>F154^2/162</f>
        <v>0.8888888888888888</v>
      </c>
      <c r="M154" s="21">
        <f>K154*L154</f>
        <v>222.46666666666667</v>
      </c>
      <c r="N154" s="22">
        <f>M154/1000</f>
        <v>0.22246666666666667</v>
      </c>
      <c r="O154" s="13" t="inlineStr">
        <is>
          <t>BBS</t>
        </is>
      </c>
    </row>
    <row r="155">
      <c r="A155" s="13" t="n">
        <v>150</v>
      </c>
      <c r="B155" s="13" t="inlineStr">
        <is>
          <t>Floor Slabs</t>
        </is>
      </c>
      <c r="C155" s="13" t="inlineStr">
        <is>
          <t>STR-094</t>
        </is>
      </c>
      <c r="D155" s="13" t="inlineStr">
        <is>
          <t>Tenth floor slab - bottom</t>
        </is>
      </c>
      <c r="E155" s="19" t="inlineStr">
        <is>
          <t>1209</t>
        </is>
      </c>
      <c r="F155" s="19" t="n">
        <v>12</v>
      </c>
      <c r="G155" s="19" t="n">
        <v>1</v>
      </c>
      <c r="H155" s="19" t="n">
        <v>93</v>
      </c>
      <c r="I155" s="13">
        <f>G155*H155</f>
        <v>93.0</v>
      </c>
      <c r="J155" s="20">
        <f>8700/1000</f>
        <v>8.7</v>
      </c>
      <c r="K155" s="21">
        <f>I155*J155</f>
        <v>809.0999999999999</v>
      </c>
      <c r="L155" s="22">
        <f>F155^2/162</f>
        <v>0.8888888888888888</v>
      </c>
      <c r="M155" s="21">
        <f>K155*L155</f>
        <v>719.1999999999999</v>
      </c>
      <c r="N155" s="22">
        <f>M155/1000</f>
        <v>0.7192</v>
      </c>
      <c r="O155" s="13" t="inlineStr">
        <is>
          <t>BBS</t>
        </is>
      </c>
    </row>
    <row r="156">
      <c r="A156" s="13" t="n">
        <v>151</v>
      </c>
      <c r="B156" s="13" t="inlineStr">
        <is>
          <t>Floor Slabs</t>
        </is>
      </c>
      <c r="C156" s="13" t="inlineStr">
        <is>
          <t>STR-094</t>
        </is>
      </c>
      <c r="D156" s="13" t="inlineStr">
        <is>
          <t>Tenth floor slab - bottom</t>
        </is>
      </c>
      <c r="E156" s="19" t="inlineStr">
        <is>
          <t>1210</t>
        </is>
      </c>
      <c r="F156" s="19" t="n">
        <v>12</v>
      </c>
      <c r="G156" s="19" t="n">
        <v>1</v>
      </c>
      <c r="H156" s="19" t="n">
        <v>89</v>
      </c>
      <c r="I156" s="13">
        <f>G156*H156</f>
        <v>89.0</v>
      </c>
      <c r="J156" s="20">
        <f>8575/1000</f>
        <v>8.575</v>
      </c>
      <c r="K156" s="21">
        <f>I156*J156</f>
        <v>763.175</v>
      </c>
      <c r="L156" s="22">
        <f>F156^2/162</f>
        <v>0.8888888888888888</v>
      </c>
      <c r="M156" s="21">
        <f>K156*L156</f>
        <v>678.3777777777777</v>
      </c>
      <c r="N156" s="22">
        <f>M156/1000</f>
        <v>0.6783777777777777</v>
      </c>
      <c r="O156" s="13" t="inlineStr">
        <is>
          <t>BBS</t>
        </is>
      </c>
    </row>
    <row r="157">
      <c r="A157" s="13" t="n">
        <v>152</v>
      </c>
      <c r="B157" s="13" t="inlineStr">
        <is>
          <t>Floor Slabs</t>
        </is>
      </c>
      <c r="C157" s="13" t="inlineStr">
        <is>
          <t>STR-094</t>
        </is>
      </c>
      <c r="D157" s="13" t="inlineStr">
        <is>
          <t>Tenth floor slab - bottom</t>
        </is>
      </c>
      <c r="E157" s="19" t="inlineStr">
        <is>
          <t>1211</t>
        </is>
      </c>
      <c r="F157" s="19" t="n">
        <v>12</v>
      </c>
      <c r="G157" s="19" t="n">
        <v>1</v>
      </c>
      <c r="H157" s="19" t="n">
        <v>15</v>
      </c>
      <c r="I157" s="13">
        <f>G157*H157</f>
        <v>15.0</v>
      </c>
      <c r="J157" s="20">
        <f>8650/1000</f>
        <v>8.65</v>
      </c>
      <c r="K157" s="21">
        <f>I157*J157</f>
        <v>129.75</v>
      </c>
      <c r="L157" s="22">
        <f>F157^2/162</f>
        <v>0.8888888888888888</v>
      </c>
      <c r="M157" s="21">
        <f>K157*L157</f>
        <v>115.33333333333333</v>
      </c>
      <c r="N157" s="22">
        <f>M157/1000</f>
        <v>0.11533333333333333</v>
      </c>
      <c r="O157" s="13" t="inlineStr">
        <is>
          <t>BBS</t>
        </is>
      </c>
    </row>
    <row r="158">
      <c r="A158" s="13" t="n">
        <v>153</v>
      </c>
      <c r="B158" s="13" t="inlineStr">
        <is>
          <t>Floor Slabs</t>
        </is>
      </c>
      <c r="C158" s="13" t="inlineStr">
        <is>
          <t>STR-094</t>
        </is>
      </c>
      <c r="D158" s="13" t="inlineStr">
        <is>
          <t>Tenth floor slab - bottom</t>
        </is>
      </c>
      <c r="E158" s="19" t="inlineStr">
        <is>
          <t>1212</t>
        </is>
      </c>
      <c r="F158" s="19" t="n">
        <v>12</v>
      </c>
      <c r="G158" s="19" t="n">
        <v>1</v>
      </c>
      <c r="H158" s="19" t="n">
        <v>23</v>
      </c>
      <c r="I158" s="13">
        <f>G158*H158</f>
        <v>23.0</v>
      </c>
      <c r="J158" s="20">
        <f>8550/1000</f>
        <v>8.55</v>
      </c>
      <c r="K158" s="21">
        <f>I158*J158</f>
        <v>196.65</v>
      </c>
      <c r="L158" s="22">
        <f>F158^2/162</f>
        <v>0.8888888888888888</v>
      </c>
      <c r="M158" s="21">
        <f>K158*L158</f>
        <v>174.79999999999998</v>
      </c>
      <c r="N158" s="22">
        <f>M158/1000</f>
        <v>0.17479999999999998</v>
      </c>
      <c r="O158" s="13" t="inlineStr">
        <is>
          <t>BBS</t>
        </is>
      </c>
    </row>
    <row r="159">
      <c r="A159" s="13" t="n">
        <v>154</v>
      </c>
      <c r="B159" s="13" t="inlineStr">
        <is>
          <t>Floor Slabs</t>
        </is>
      </c>
      <c r="C159" s="13" t="inlineStr">
        <is>
          <t>STR-094</t>
        </is>
      </c>
      <c r="D159" s="13" t="inlineStr">
        <is>
          <t>Tenth floor slab - bottom</t>
        </is>
      </c>
      <c r="E159" s="19" t="inlineStr">
        <is>
          <t>1213</t>
        </is>
      </c>
      <c r="F159" s="19" t="n">
        <v>12</v>
      </c>
      <c r="G159" s="19" t="n">
        <v>1</v>
      </c>
      <c r="H159" s="19" t="n">
        <v>31</v>
      </c>
      <c r="I159" s="13">
        <f>G159*H159</f>
        <v>31.0</v>
      </c>
      <c r="J159" s="20">
        <f>8700/1000</f>
        <v>8.7</v>
      </c>
      <c r="K159" s="21">
        <f>I159*J159</f>
        <v>269.7</v>
      </c>
      <c r="L159" s="22">
        <f>F159^2/162</f>
        <v>0.8888888888888888</v>
      </c>
      <c r="M159" s="21">
        <f>K159*L159</f>
        <v>239.73333333333332</v>
      </c>
      <c r="N159" s="22">
        <f>M159/1000</f>
        <v>0.23973333333333333</v>
      </c>
      <c r="O159" s="13" t="inlineStr">
        <is>
          <t>BBS</t>
        </is>
      </c>
    </row>
    <row r="160">
      <c r="A160" s="13" t="n">
        <v>155</v>
      </c>
      <c r="B160" s="13" t="inlineStr">
        <is>
          <t>Floor Slabs</t>
        </is>
      </c>
      <c r="C160" s="13" t="inlineStr">
        <is>
          <t>STR-094</t>
        </is>
      </c>
      <c r="D160" s="13" t="inlineStr">
        <is>
          <t>Tenth floor slab - bottom</t>
        </is>
      </c>
      <c r="E160" s="19" t="inlineStr">
        <is>
          <t>1214</t>
        </is>
      </c>
      <c r="F160" s="19" t="n">
        <v>12</v>
      </c>
      <c r="G160" s="19" t="n">
        <v>1</v>
      </c>
      <c r="H160" s="19" t="n">
        <v>7</v>
      </c>
      <c r="I160" s="13">
        <f>G160*H160</f>
        <v>7.0</v>
      </c>
      <c r="J160" s="20">
        <f>10200/1000</f>
        <v>10.2</v>
      </c>
      <c r="K160" s="21">
        <f>I160*J160</f>
        <v>71.39999999999999</v>
      </c>
      <c r="L160" s="22">
        <f>F160^2/162</f>
        <v>0.8888888888888888</v>
      </c>
      <c r="M160" s="21">
        <f>K160*L160</f>
        <v>63.466666666666654</v>
      </c>
      <c r="N160" s="22">
        <f>M160/1000</f>
        <v>0.06346666666666666</v>
      </c>
      <c r="O160" s="13" t="inlineStr">
        <is>
          <t>BBS</t>
        </is>
      </c>
    </row>
    <row r="161">
      <c r="A161" s="13" t="n">
        <v>156</v>
      </c>
      <c r="B161" s="13" t="inlineStr">
        <is>
          <t>Floor Slabs</t>
        </is>
      </c>
      <c r="C161" s="13" t="inlineStr">
        <is>
          <t>STR-094</t>
        </is>
      </c>
      <c r="D161" s="13" t="inlineStr">
        <is>
          <t>Tenth floor slab - bottom</t>
        </is>
      </c>
      <c r="E161" s="19" t="inlineStr">
        <is>
          <t>1215</t>
        </is>
      </c>
      <c r="F161" s="19" t="n">
        <v>12</v>
      </c>
      <c r="G161" s="19" t="n">
        <v>1</v>
      </c>
      <c r="H161" s="19" t="n">
        <v>202</v>
      </c>
      <c r="I161" s="13">
        <f>G161*H161</f>
        <v>202.0</v>
      </c>
      <c r="J161" s="20">
        <f>10000/1000</f>
        <v>10.0</v>
      </c>
      <c r="K161" s="21">
        <f>I161*J161</f>
        <v>2020.0</v>
      </c>
      <c r="L161" s="22">
        <f>F161^2/162</f>
        <v>0.8888888888888888</v>
      </c>
      <c r="M161" s="21">
        <f>K161*L161</f>
        <v>1795.5555555555554</v>
      </c>
      <c r="N161" s="22">
        <f>M161/1000</f>
        <v>1.7955555555555553</v>
      </c>
      <c r="O161" s="13" t="inlineStr">
        <is>
          <t>BBS</t>
        </is>
      </c>
    </row>
    <row r="162">
      <c r="A162" s="13" t="n">
        <v>157</v>
      </c>
      <c r="B162" s="13" t="inlineStr">
        <is>
          <t>Floor Slabs</t>
        </is>
      </c>
      <c r="C162" s="13" t="inlineStr">
        <is>
          <t>STR-094</t>
        </is>
      </c>
      <c r="D162" s="13" t="inlineStr">
        <is>
          <t>Tenth floor slab - bottom</t>
        </is>
      </c>
      <c r="E162" s="19" t="inlineStr">
        <is>
          <t>1216</t>
        </is>
      </c>
      <c r="F162" s="19" t="n">
        <v>12</v>
      </c>
      <c r="G162" s="19" t="n">
        <v>1</v>
      </c>
      <c r="H162" s="19" t="n">
        <v>158</v>
      </c>
      <c r="I162" s="13">
        <f>G162*H162</f>
        <v>158.0</v>
      </c>
      <c r="J162" s="20">
        <f>9550/1000</f>
        <v>9.55</v>
      </c>
      <c r="K162" s="21">
        <f>I162*J162</f>
        <v>1508.9</v>
      </c>
      <c r="L162" s="22">
        <f>F162^2/162</f>
        <v>0.8888888888888888</v>
      </c>
      <c r="M162" s="21">
        <f>K162*L162</f>
        <v>1341.2444444444445</v>
      </c>
      <c r="N162" s="22">
        <f>M162/1000</f>
        <v>1.3412444444444445</v>
      </c>
      <c r="O162" s="13" t="inlineStr">
        <is>
          <t>BBS</t>
        </is>
      </c>
    </row>
    <row r="163">
      <c r="A163" s="13" t="n">
        <v>158</v>
      </c>
      <c r="B163" s="13" t="inlineStr">
        <is>
          <t>Floor Slabs</t>
        </is>
      </c>
      <c r="C163" s="13" t="inlineStr">
        <is>
          <t>STR-094</t>
        </is>
      </c>
      <c r="D163" s="13" t="inlineStr">
        <is>
          <t>Tenth floor slab - bottom</t>
        </is>
      </c>
      <c r="E163" s="19" t="inlineStr">
        <is>
          <t>1217</t>
        </is>
      </c>
      <c r="F163" s="19" t="n">
        <v>12</v>
      </c>
      <c r="G163" s="19" t="n">
        <v>1</v>
      </c>
      <c r="H163" s="19" t="n">
        <v>106</v>
      </c>
      <c r="I163" s="13">
        <f>G163*H163</f>
        <v>106.0</v>
      </c>
      <c r="J163" s="20">
        <f>7250/1000</f>
        <v>7.25</v>
      </c>
      <c r="K163" s="21">
        <f>I163*J163</f>
        <v>768.5</v>
      </c>
      <c r="L163" s="22">
        <f>F163^2/162</f>
        <v>0.8888888888888888</v>
      </c>
      <c r="M163" s="21">
        <f>K163*L163</f>
        <v>683.1111111111111</v>
      </c>
      <c r="N163" s="22">
        <f>M163/1000</f>
        <v>0.6831111111111111</v>
      </c>
      <c r="O163" s="13" t="inlineStr">
        <is>
          <t>BBS</t>
        </is>
      </c>
    </row>
    <row r="164">
      <c r="A164" s="13" t="n">
        <v>159</v>
      </c>
      <c r="B164" s="13" t="inlineStr">
        <is>
          <t>Floor Slabs</t>
        </is>
      </c>
      <c r="C164" s="13" t="inlineStr">
        <is>
          <t>STR-094</t>
        </is>
      </c>
      <c r="D164" s="13" t="inlineStr">
        <is>
          <t>Tenth floor slab - bottom</t>
        </is>
      </c>
      <c r="E164" s="19" t="inlineStr">
        <is>
          <t>1218</t>
        </is>
      </c>
      <c r="F164" s="19" t="n">
        <v>12</v>
      </c>
      <c r="G164" s="19" t="n">
        <v>1</v>
      </c>
      <c r="H164" s="19" t="n">
        <v>23</v>
      </c>
      <c r="I164" s="13">
        <f>G164*H164</f>
        <v>23.0</v>
      </c>
      <c r="J164" s="20">
        <f>12000/1000</f>
        <v>12.0</v>
      </c>
      <c r="K164" s="21">
        <f>I164*J164</f>
        <v>276.0</v>
      </c>
      <c r="L164" s="22">
        <f>F164^2/162</f>
        <v>0.8888888888888888</v>
      </c>
      <c r="M164" s="21">
        <f>K164*L164</f>
        <v>245.33333333333331</v>
      </c>
      <c r="N164" s="22">
        <f>M164/1000</f>
        <v>0.24533333333333332</v>
      </c>
      <c r="O164" s="13" t="inlineStr">
        <is>
          <t>BBS</t>
        </is>
      </c>
    </row>
    <row r="165">
      <c r="A165" s="13" t="n">
        <v>160</v>
      </c>
      <c r="B165" s="13" t="inlineStr">
        <is>
          <t>Floor Slabs</t>
        </is>
      </c>
      <c r="C165" s="13" t="inlineStr">
        <is>
          <t>STR-094</t>
        </is>
      </c>
      <c r="D165" s="13" t="inlineStr">
        <is>
          <t>Tenth floor slab - bottom</t>
        </is>
      </c>
      <c r="E165" s="19" t="inlineStr">
        <is>
          <t>1219</t>
        </is>
      </c>
      <c r="F165" s="19" t="n">
        <v>12</v>
      </c>
      <c r="G165" s="19" t="n">
        <v>1</v>
      </c>
      <c r="H165" s="19" t="n">
        <v>212</v>
      </c>
      <c r="I165" s="13">
        <f>G165*H165</f>
        <v>212.0</v>
      </c>
      <c r="J165" s="20">
        <f>6200/1000</f>
        <v>6.2</v>
      </c>
      <c r="K165" s="21">
        <f>I165*J165</f>
        <v>1314.4</v>
      </c>
      <c r="L165" s="22">
        <f>F165^2/162</f>
        <v>0.8888888888888888</v>
      </c>
      <c r="M165" s="21">
        <f>K165*L165</f>
        <v>1168.3555555555556</v>
      </c>
      <c r="N165" s="22">
        <f>M165/1000</f>
        <v>1.1683555555555556</v>
      </c>
      <c r="O165" s="13" t="inlineStr">
        <is>
          <t>BBS</t>
        </is>
      </c>
    </row>
    <row r="166">
      <c r="A166" s="13" t="n">
        <v>161</v>
      </c>
      <c r="B166" s="13" t="inlineStr">
        <is>
          <t>Floor Slabs</t>
        </is>
      </c>
      <c r="C166" s="13" t="inlineStr">
        <is>
          <t>STR-094</t>
        </is>
      </c>
      <c r="D166" s="13" t="inlineStr">
        <is>
          <t>Tenth floor slab - bottom</t>
        </is>
      </c>
      <c r="E166" s="19" t="inlineStr">
        <is>
          <t>1220</t>
        </is>
      </c>
      <c r="F166" s="19" t="n">
        <v>12</v>
      </c>
      <c r="G166" s="19" t="n">
        <v>1</v>
      </c>
      <c r="H166" s="19" t="n">
        <v>25</v>
      </c>
      <c r="I166" s="13">
        <f>G166*H166</f>
        <v>25.0</v>
      </c>
      <c r="J166" s="20">
        <f>7400/1000</f>
        <v>7.4</v>
      </c>
      <c r="K166" s="21">
        <f>I166*J166</f>
        <v>185.0</v>
      </c>
      <c r="L166" s="22">
        <f>F166^2/162</f>
        <v>0.8888888888888888</v>
      </c>
      <c r="M166" s="21">
        <f>K166*L166</f>
        <v>164.44444444444443</v>
      </c>
      <c r="N166" s="22">
        <f>M166/1000</f>
        <v>0.16444444444444442</v>
      </c>
      <c r="O166" s="13" t="inlineStr">
        <is>
          <t>BBS</t>
        </is>
      </c>
    </row>
    <row r="167">
      <c r="A167" s="13" t="n">
        <v>162</v>
      </c>
      <c r="B167" s="13" t="inlineStr">
        <is>
          <t>Floor Slabs</t>
        </is>
      </c>
      <c r="C167" s="13" t="inlineStr">
        <is>
          <t>STR-094</t>
        </is>
      </c>
      <c r="D167" s="13" t="inlineStr">
        <is>
          <t>Tenth floor slab - bottom</t>
        </is>
      </c>
      <c r="E167" s="19" t="inlineStr">
        <is>
          <t>1221</t>
        </is>
      </c>
      <c r="F167" s="19" t="n">
        <v>12</v>
      </c>
      <c r="G167" s="19" t="n">
        <v>1</v>
      </c>
      <c r="H167" s="19" t="n">
        <v>149</v>
      </c>
      <c r="I167" s="13">
        <f>G167*H167</f>
        <v>149.0</v>
      </c>
      <c r="J167" s="20">
        <f>12000/1000</f>
        <v>12.0</v>
      </c>
      <c r="K167" s="21">
        <f>I167*J167</f>
        <v>1788.0</v>
      </c>
      <c r="L167" s="22">
        <f>F167^2/162</f>
        <v>0.8888888888888888</v>
      </c>
      <c r="M167" s="21">
        <f>K167*L167</f>
        <v>1589.3333333333333</v>
      </c>
      <c r="N167" s="22">
        <f>M167/1000</f>
        <v>1.5893333333333333</v>
      </c>
      <c r="O167" s="13" t="inlineStr">
        <is>
          <t>BBS</t>
        </is>
      </c>
    </row>
    <row r="168">
      <c r="A168" s="13" t="n">
        <v>163</v>
      </c>
      <c r="B168" s="13" t="inlineStr">
        <is>
          <t>Floor Slabs</t>
        </is>
      </c>
      <c r="C168" s="13" t="inlineStr">
        <is>
          <t>STR-094</t>
        </is>
      </c>
      <c r="D168" s="13" t="inlineStr">
        <is>
          <t>Tenth floor slab - bottom</t>
        </is>
      </c>
      <c r="E168" s="19" t="inlineStr">
        <is>
          <t>1222</t>
        </is>
      </c>
      <c r="F168" s="19" t="n">
        <v>12</v>
      </c>
      <c r="G168" s="19" t="n">
        <v>1</v>
      </c>
      <c r="H168" s="19" t="n">
        <v>88</v>
      </c>
      <c r="I168" s="13">
        <f>G168*H168</f>
        <v>88.0</v>
      </c>
      <c r="J168" s="20">
        <f>7325/1000</f>
        <v>7.325</v>
      </c>
      <c r="K168" s="21">
        <f>I168*J168</f>
        <v>644.6</v>
      </c>
      <c r="L168" s="22">
        <f>F168^2/162</f>
        <v>0.8888888888888888</v>
      </c>
      <c r="M168" s="21">
        <f>K168*L168</f>
        <v>572.9777777777778</v>
      </c>
      <c r="N168" s="22">
        <f>M168/1000</f>
        <v>0.5729777777777778</v>
      </c>
      <c r="O168" s="13" t="inlineStr">
        <is>
          <t>BBS</t>
        </is>
      </c>
    </row>
    <row r="169">
      <c r="A169" s="13" t="n">
        <v>164</v>
      </c>
      <c r="B169" s="13" t="inlineStr">
        <is>
          <t>Floor Slabs</t>
        </is>
      </c>
      <c r="C169" s="13" t="inlineStr">
        <is>
          <t>STR-094</t>
        </is>
      </c>
      <c r="D169" s="13" t="inlineStr">
        <is>
          <t>Tenth floor slab - bottom</t>
        </is>
      </c>
      <c r="E169" s="19" t="inlineStr">
        <is>
          <t>1223</t>
        </is>
      </c>
      <c r="F169" s="19" t="n">
        <v>12</v>
      </c>
      <c r="G169" s="19" t="n">
        <v>1</v>
      </c>
      <c r="H169" s="19" t="n">
        <v>13</v>
      </c>
      <c r="I169" s="13">
        <f>G169*H169</f>
        <v>13.0</v>
      </c>
      <c r="J169" s="20">
        <f>4250/1000</f>
        <v>4.25</v>
      </c>
      <c r="K169" s="21">
        <f>I169*J169</f>
        <v>55.25</v>
      </c>
      <c r="L169" s="22">
        <f>F169^2/162</f>
        <v>0.8888888888888888</v>
      </c>
      <c r="M169" s="21">
        <f>K169*L169</f>
        <v>49.11111111111111</v>
      </c>
      <c r="N169" s="22">
        <f>M169/1000</f>
        <v>0.049111111111111105</v>
      </c>
      <c r="O169" s="13" t="inlineStr">
        <is>
          <t>BBS</t>
        </is>
      </c>
    </row>
    <row r="170">
      <c r="A170" s="13" t="n">
        <v>165</v>
      </c>
      <c r="B170" s="13" t="inlineStr">
        <is>
          <t>Floor Slabs</t>
        </is>
      </c>
      <c r="C170" s="13" t="inlineStr">
        <is>
          <t>STR-094</t>
        </is>
      </c>
      <c r="D170" s="13" t="inlineStr">
        <is>
          <t>Tenth floor slab - bottom</t>
        </is>
      </c>
      <c r="E170" s="19" t="inlineStr">
        <is>
          <t>1224</t>
        </is>
      </c>
      <c r="F170" s="19" t="n">
        <v>12</v>
      </c>
      <c r="G170" s="19" t="n">
        <v>1</v>
      </c>
      <c r="H170" s="19" t="n">
        <v>151</v>
      </c>
      <c r="I170" s="13">
        <f>G170*H170</f>
        <v>151.0</v>
      </c>
      <c r="J170" s="20">
        <f>6200/1000</f>
        <v>6.2</v>
      </c>
      <c r="K170" s="21">
        <f>I170*J170</f>
        <v>936.2</v>
      </c>
      <c r="L170" s="22">
        <f>F170^2/162</f>
        <v>0.8888888888888888</v>
      </c>
      <c r="M170" s="21">
        <f>K170*L170</f>
        <v>832.1777777777778</v>
      </c>
      <c r="N170" s="22">
        <f>M170/1000</f>
        <v>0.8321777777777778</v>
      </c>
      <c r="O170" s="13" t="inlineStr">
        <is>
          <t>BBS</t>
        </is>
      </c>
    </row>
    <row r="171">
      <c r="A171" s="13" t="n">
        <v>166</v>
      </c>
      <c r="B171" s="13" t="inlineStr">
        <is>
          <t>Floor Slabs</t>
        </is>
      </c>
      <c r="C171" s="13" t="inlineStr">
        <is>
          <t>STR-094</t>
        </is>
      </c>
      <c r="D171" s="13" t="inlineStr">
        <is>
          <t>Tenth floor slab - bottom</t>
        </is>
      </c>
      <c r="E171" s="19" t="inlineStr">
        <is>
          <t>1225</t>
        </is>
      </c>
      <c r="F171" s="19" t="n">
        <v>12</v>
      </c>
      <c r="G171" s="19" t="n">
        <v>1</v>
      </c>
      <c r="H171" s="19" t="n">
        <v>12</v>
      </c>
      <c r="I171" s="13">
        <f>G171*H171</f>
        <v>12.0</v>
      </c>
      <c r="J171" s="20">
        <f>9475/1000</f>
        <v>9.475</v>
      </c>
      <c r="K171" s="21">
        <f>I171*J171</f>
        <v>113.69999999999999</v>
      </c>
      <c r="L171" s="22">
        <f>F171^2/162</f>
        <v>0.8888888888888888</v>
      </c>
      <c r="M171" s="21">
        <f>K171*L171</f>
        <v>101.06666666666665</v>
      </c>
      <c r="N171" s="22">
        <f>M171/1000</f>
        <v>0.10106666666666665</v>
      </c>
      <c r="O171" s="13" t="inlineStr">
        <is>
          <t>BBS</t>
        </is>
      </c>
    </row>
    <row r="172">
      <c r="A172" s="13" t="n">
        <v>167</v>
      </c>
      <c r="B172" s="13" t="inlineStr">
        <is>
          <t>Floor Slabs</t>
        </is>
      </c>
      <c r="C172" s="13" t="inlineStr">
        <is>
          <t>STR-094</t>
        </is>
      </c>
      <c r="D172" s="13" t="inlineStr">
        <is>
          <t>Tenth floor slab - bottom</t>
        </is>
      </c>
      <c r="E172" s="19" t="inlineStr">
        <is>
          <t>1226</t>
        </is>
      </c>
      <c r="F172" s="19" t="n">
        <v>12</v>
      </c>
      <c r="G172" s="19" t="n">
        <v>1</v>
      </c>
      <c r="H172" s="19" t="n">
        <v>7</v>
      </c>
      <c r="I172" s="13">
        <f>G172*H172</f>
        <v>7.0</v>
      </c>
      <c r="J172" s="20">
        <f>4800/1000</f>
        <v>4.8</v>
      </c>
      <c r="K172" s="21">
        <f>I172*J172</f>
        <v>33.6</v>
      </c>
      <c r="L172" s="22">
        <f>F172^2/162</f>
        <v>0.8888888888888888</v>
      </c>
      <c r="M172" s="21">
        <f>K172*L172</f>
        <v>29.866666666666667</v>
      </c>
      <c r="N172" s="22">
        <f>M172/1000</f>
        <v>0.029866666666666666</v>
      </c>
      <c r="O172" s="13" t="inlineStr">
        <is>
          <t>BBS</t>
        </is>
      </c>
    </row>
    <row r="173">
      <c r="A173" s="13" t="n">
        <v>168</v>
      </c>
      <c r="B173" s="13" t="inlineStr">
        <is>
          <t>Floor Slabs</t>
        </is>
      </c>
      <c r="C173" s="13" t="inlineStr">
        <is>
          <t>STR-094</t>
        </is>
      </c>
      <c r="D173" s="13" t="inlineStr">
        <is>
          <t>Tenth floor slab - bottom</t>
        </is>
      </c>
      <c r="E173" s="19" t="inlineStr">
        <is>
          <t>1227</t>
        </is>
      </c>
      <c r="F173" s="19" t="n">
        <v>12</v>
      </c>
      <c r="G173" s="19" t="n">
        <v>1</v>
      </c>
      <c r="H173" s="19" t="n">
        <v>74</v>
      </c>
      <c r="I173" s="13">
        <f>G173*H173</f>
        <v>74.0</v>
      </c>
      <c r="J173" s="20">
        <f>7375/1000</f>
        <v>7.375</v>
      </c>
      <c r="K173" s="21">
        <f>I173*J173</f>
        <v>545.75</v>
      </c>
      <c r="L173" s="22">
        <f>F173^2/162</f>
        <v>0.8888888888888888</v>
      </c>
      <c r="M173" s="21">
        <f>K173*L173</f>
        <v>485.1111111111111</v>
      </c>
      <c r="N173" s="22">
        <f>M173/1000</f>
        <v>0.4851111111111111</v>
      </c>
      <c r="O173" s="13" t="inlineStr">
        <is>
          <t>BBS</t>
        </is>
      </c>
    </row>
    <row r="174">
      <c r="A174" s="13" t="n">
        <v>169</v>
      </c>
      <c r="B174" s="13" t="inlineStr">
        <is>
          <t>Floor Slabs</t>
        </is>
      </c>
      <c r="C174" s="13" t="inlineStr">
        <is>
          <t>STR-094</t>
        </is>
      </c>
      <c r="D174" s="13" t="inlineStr">
        <is>
          <t>Tenth floor slab - bottom</t>
        </is>
      </c>
      <c r="E174" s="19" t="inlineStr">
        <is>
          <t>1228</t>
        </is>
      </c>
      <c r="F174" s="19" t="n">
        <v>12</v>
      </c>
      <c r="G174" s="19" t="n">
        <v>1</v>
      </c>
      <c r="H174" s="19" t="n">
        <v>13</v>
      </c>
      <c r="I174" s="13">
        <f>G174*H174</f>
        <v>13.0</v>
      </c>
      <c r="J174" s="20">
        <f>6900/1000</f>
        <v>6.9</v>
      </c>
      <c r="K174" s="21">
        <f>I174*J174</f>
        <v>89.7</v>
      </c>
      <c r="L174" s="22">
        <f>F174^2/162</f>
        <v>0.8888888888888888</v>
      </c>
      <c r="M174" s="21">
        <f>K174*L174</f>
        <v>79.73333333333333</v>
      </c>
      <c r="N174" s="22">
        <f>M174/1000</f>
        <v>0.07973333333333334</v>
      </c>
      <c r="O174" s="13" t="inlineStr">
        <is>
          <t>BBS</t>
        </is>
      </c>
    </row>
    <row r="175">
      <c r="A175" s="13" t="n">
        <v>170</v>
      </c>
      <c r="B175" s="13" t="inlineStr">
        <is>
          <t>Floor Slabs</t>
        </is>
      </c>
      <c r="C175" s="13" t="inlineStr">
        <is>
          <t>STR-094</t>
        </is>
      </c>
      <c r="D175" s="13" t="inlineStr">
        <is>
          <t>Tenth floor slab - bottom</t>
        </is>
      </c>
      <c r="E175" s="19" t="inlineStr">
        <is>
          <t>1229</t>
        </is>
      </c>
      <c r="F175" s="19" t="n">
        <v>12</v>
      </c>
      <c r="G175" s="19" t="n">
        <v>1</v>
      </c>
      <c r="H175" s="19" t="n">
        <v>12</v>
      </c>
      <c r="I175" s="13">
        <f>G175*H175</f>
        <v>12.0</v>
      </c>
      <c r="J175" s="20">
        <f>5900/1000</f>
        <v>5.9</v>
      </c>
      <c r="K175" s="21">
        <f>I175*J175</f>
        <v>70.80000000000001</v>
      </c>
      <c r="L175" s="22">
        <f>F175^2/162</f>
        <v>0.8888888888888888</v>
      </c>
      <c r="M175" s="21">
        <f>K175*L175</f>
        <v>62.93333333333334</v>
      </c>
      <c r="N175" s="22">
        <f>M175/1000</f>
        <v>0.06293333333333334</v>
      </c>
      <c r="O175" s="13" t="inlineStr">
        <is>
          <t>BBS</t>
        </is>
      </c>
    </row>
    <row r="176">
      <c r="A176" s="13" t="n">
        <v>171</v>
      </c>
      <c r="B176" s="13" t="inlineStr">
        <is>
          <t>Floor Slabs</t>
        </is>
      </c>
      <c r="C176" s="13" t="inlineStr">
        <is>
          <t>STR-094</t>
        </is>
      </c>
      <c r="D176" s="13" t="inlineStr">
        <is>
          <t>Tenth floor slab - bottom</t>
        </is>
      </c>
      <c r="E176" s="19" t="inlineStr">
        <is>
          <t>1230</t>
        </is>
      </c>
      <c r="F176" s="19" t="n">
        <v>12</v>
      </c>
      <c r="G176" s="19" t="n">
        <v>1</v>
      </c>
      <c r="H176" s="19" t="n">
        <v>99</v>
      </c>
      <c r="I176" s="13">
        <f>G176*H176</f>
        <v>99.0</v>
      </c>
      <c r="J176" s="20">
        <f>6000/1000</f>
        <v>6.0</v>
      </c>
      <c r="K176" s="21">
        <f>I176*J176</f>
        <v>594.0</v>
      </c>
      <c r="L176" s="22">
        <f>F176^2/162</f>
        <v>0.8888888888888888</v>
      </c>
      <c r="M176" s="21">
        <f>K176*L176</f>
        <v>528.0</v>
      </c>
      <c r="N176" s="22">
        <f>M176/1000</f>
        <v>0.528</v>
      </c>
      <c r="O176" s="13" t="inlineStr">
        <is>
          <t>BBS</t>
        </is>
      </c>
    </row>
    <row r="177">
      <c r="A177" s="13" t="n">
        <v>172</v>
      </c>
      <c r="B177" s="13" t="inlineStr">
        <is>
          <t>Floor Slabs</t>
        </is>
      </c>
      <c r="C177" s="13" t="inlineStr">
        <is>
          <t>STR-094</t>
        </is>
      </c>
      <c r="D177" s="13" t="inlineStr">
        <is>
          <t>Tenth floor slab - bottom</t>
        </is>
      </c>
      <c r="E177" s="19" t="inlineStr">
        <is>
          <t>1231</t>
        </is>
      </c>
      <c r="F177" s="19" t="n">
        <v>12</v>
      </c>
      <c r="G177" s="19" t="n">
        <v>1</v>
      </c>
      <c r="H177" s="19" t="n">
        <v>57</v>
      </c>
      <c r="I177" s="13">
        <f>G177*H177</f>
        <v>57.0</v>
      </c>
      <c r="J177" s="20">
        <f>11800/1000</f>
        <v>11.8</v>
      </c>
      <c r="K177" s="21">
        <f>I177*J177</f>
        <v>672.6</v>
      </c>
      <c r="L177" s="22">
        <f>F177^2/162</f>
        <v>0.8888888888888888</v>
      </c>
      <c r="M177" s="21">
        <f>K177*L177</f>
        <v>597.8666666666667</v>
      </c>
      <c r="N177" s="22">
        <f>M177/1000</f>
        <v>0.5978666666666667</v>
      </c>
      <c r="O177" s="13" t="inlineStr">
        <is>
          <t>BBS</t>
        </is>
      </c>
    </row>
    <row r="178">
      <c r="A178" s="13" t="n">
        <v>173</v>
      </c>
      <c r="B178" s="13" t="inlineStr">
        <is>
          <t>Floor Slabs</t>
        </is>
      </c>
      <c r="C178" s="13" t="inlineStr">
        <is>
          <t>STR-094</t>
        </is>
      </c>
      <c r="D178" s="13" t="inlineStr">
        <is>
          <t>Tenth floor slab - bottom</t>
        </is>
      </c>
      <c r="E178" s="19" t="inlineStr">
        <is>
          <t>1232</t>
        </is>
      </c>
      <c r="F178" s="19" t="n">
        <v>12</v>
      </c>
      <c r="G178" s="19" t="n">
        <v>1</v>
      </c>
      <c r="H178" s="19" t="n">
        <v>16</v>
      </c>
      <c r="I178" s="13">
        <f>G178*H178</f>
        <v>16.0</v>
      </c>
      <c r="J178" s="20">
        <f>8400/1000</f>
        <v>8.4</v>
      </c>
      <c r="K178" s="21">
        <f>I178*J178</f>
        <v>134.4</v>
      </c>
      <c r="L178" s="22">
        <f>F178^2/162</f>
        <v>0.8888888888888888</v>
      </c>
      <c r="M178" s="21">
        <f>K178*L178</f>
        <v>119.46666666666667</v>
      </c>
      <c r="N178" s="22">
        <f>M178/1000</f>
        <v>0.11946666666666667</v>
      </c>
      <c r="O178" s="13" t="inlineStr">
        <is>
          <t>BBS</t>
        </is>
      </c>
    </row>
    <row r="179">
      <c r="A179" s="13" t="n">
        <v>174</v>
      </c>
      <c r="B179" s="13" t="inlineStr">
        <is>
          <t>Floor Slabs</t>
        </is>
      </c>
      <c r="C179" s="13" t="inlineStr">
        <is>
          <t>STR-094</t>
        </is>
      </c>
      <c r="D179" s="13" t="inlineStr">
        <is>
          <t>Tenth floor slab - bottom</t>
        </is>
      </c>
      <c r="E179" s="19" t="inlineStr">
        <is>
          <t>1233</t>
        </is>
      </c>
      <c r="F179" s="19" t="n">
        <v>12</v>
      </c>
      <c r="G179" s="19" t="n">
        <v>1</v>
      </c>
      <c r="H179" s="19" t="n">
        <v>75</v>
      </c>
      <c r="I179" s="13">
        <f>G179*H179</f>
        <v>75.0</v>
      </c>
      <c r="J179" s="20">
        <f>11250/1000</f>
        <v>11.25</v>
      </c>
      <c r="K179" s="21">
        <f>I179*J179</f>
        <v>843.75</v>
      </c>
      <c r="L179" s="22">
        <f>F179^2/162</f>
        <v>0.8888888888888888</v>
      </c>
      <c r="M179" s="21">
        <f>K179*L179</f>
        <v>750.0</v>
      </c>
      <c r="N179" s="22">
        <f>M179/1000</f>
        <v>0.75</v>
      </c>
      <c r="O179" s="13" t="inlineStr">
        <is>
          <t>BBS</t>
        </is>
      </c>
    </row>
    <row r="180">
      <c r="A180" s="13" t="n">
        <v>175</v>
      </c>
      <c r="B180" s="13" t="inlineStr">
        <is>
          <t>Floor Slabs</t>
        </is>
      </c>
      <c r="C180" s="13" t="inlineStr">
        <is>
          <t>STR-095</t>
        </is>
      </c>
      <c r="D180" s="13" t="inlineStr">
        <is>
          <t>Tenth floor slab - top</t>
        </is>
      </c>
      <c r="E180" s="19" t="inlineStr">
        <is>
          <t>1234</t>
        </is>
      </c>
      <c r="F180" s="19" t="n">
        <v>12</v>
      </c>
      <c r="G180" s="19" t="n">
        <v>1</v>
      </c>
      <c r="H180" s="19" t="n">
        <v>155</v>
      </c>
      <c r="I180" s="13">
        <f>G180*H180</f>
        <v>155.0</v>
      </c>
      <c r="J180" s="20">
        <f>11650/1000</f>
        <v>11.65</v>
      </c>
      <c r="K180" s="21">
        <f>I180*J180</f>
        <v>1805.75</v>
      </c>
      <c r="L180" s="22">
        <f>F180^2/162</f>
        <v>0.8888888888888888</v>
      </c>
      <c r="M180" s="21">
        <f>K180*L180</f>
        <v>1605.111111111111</v>
      </c>
      <c r="N180" s="22">
        <f>M180/1000</f>
        <v>1.6051111111111112</v>
      </c>
      <c r="O180" s="13" t="inlineStr">
        <is>
          <t>BBS</t>
        </is>
      </c>
    </row>
    <row r="181">
      <c r="A181" s="13" t="n">
        <v>176</v>
      </c>
      <c r="B181" s="13" t="inlineStr">
        <is>
          <t>Floor Slabs</t>
        </is>
      </c>
      <c r="C181" s="13" t="inlineStr">
        <is>
          <t>STR-095</t>
        </is>
      </c>
      <c r="D181" s="13" t="inlineStr">
        <is>
          <t>Tenth floor slab - top</t>
        </is>
      </c>
      <c r="E181" s="19" t="inlineStr">
        <is>
          <t>1235</t>
        </is>
      </c>
      <c r="F181" s="19" t="n">
        <v>12</v>
      </c>
      <c r="G181" s="19" t="n">
        <v>1</v>
      </c>
      <c r="H181" s="19" t="n">
        <v>32</v>
      </c>
      <c r="I181" s="13">
        <f>G181*H181</f>
        <v>32.0</v>
      </c>
      <c r="J181" s="20">
        <f>5850/1000</f>
        <v>5.85</v>
      </c>
      <c r="K181" s="21">
        <f>I181*J181</f>
        <v>187.2</v>
      </c>
      <c r="L181" s="22">
        <f>F181^2/162</f>
        <v>0.8888888888888888</v>
      </c>
      <c r="M181" s="21">
        <f>K181*L181</f>
        <v>166.39999999999998</v>
      </c>
      <c r="N181" s="22">
        <f>M181/1000</f>
        <v>0.16639999999999996</v>
      </c>
      <c r="O181" s="13" t="inlineStr">
        <is>
          <t>BBS</t>
        </is>
      </c>
    </row>
    <row r="182">
      <c r="A182" s="13" t="n">
        <v>177</v>
      </c>
      <c r="B182" s="13" t="inlineStr">
        <is>
          <t>Floor Slabs</t>
        </is>
      </c>
      <c r="C182" s="13" t="inlineStr">
        <is>
          <t>STR-095</t>
        </is>
      </c>
      <c r="D182" s="13" t="inlineStr">
        <is>
          <t>Tenth floor slab - top</t>
        </is>
      </c>
      <c r="E182" s="19" t="inlineStr">
        <is>
          <t>1236</t>
        </is>
      </c>
      <c r="F182" s="19" t="n">
        <v>12</v>
      </c>
      <c r="G182" s="19" t="n">
        <v>1</v>
      </c>
      <c r="H182" s="19" t="n">
        <v>21</v>
      </c>
      <c r="I182" s="13">
        <f>G182*H182</f>
        <v>21.0</v>
      </c>
      <c r="J182" s="20">
        <f>8250/1000</f>
        <v>8.25</v>
      </c>
      <c r="K182" s="21">
        <f>I182*J182</f>
        <v>173.25</v>
      </c>
      <c r="L182" s="22">
        <f>F182^2/162</f>
        <v>0.8888888888888888</v>
      </c>
      <c r="M182" s="21">
        <f>K182*L182</f>
        <v>154.0</v>
      </c>
      <c r="N182" s="22">
        <f>M182/1000</f>
        <v>0.154</v>
      </c>
      <c r="O182" s="13" t="inlineStr">
        <is>
          <t>BBS</t>
        </is>
      </c>
    </row>
    <row r="183">
      <c r="A183" s="13" t="n">
        <v>178</v>
      </c>
      <c r="B183" s="13" t="inlineStr">
        <is>
          <t>Floor Slabs</t>
        </is>
      </c>
      <c r="C183" s="13" t="inlineStr">
        <is>
          <t>STR-095</t>
        </is>
      </c>
      <c r="D183" s="13" t="inlineStr">
        <is>
          <t>Tenth floor slab - top</t>
        </is>
      </c>
      <c r="E183" s="19" t="inlineStr">
        <is>
          <t>1237</t>
        </is>
      </c>
      <c r="F183" s="19" t="n">
        <v>12</v>
      </c>
      <c r="G183" s="19" t="n">
        <v>1</v>
      </c>
      <c r="H183" s="19" t="n">
        <v>148</v>
      </c>
      <c r="I183" s="13">
        <f>G183*H183</f>
        <v>148.0</v>
      </c>
      <c r="J183" s="20">
        <f>7350/1000</f>
        <v>7.35</v>
      </c>
      <c r="K183" s="21">
        <f>I183*J183</f>
        <v>1087.8</v>
      </c>
      <c r="L183" s="22">
        <f>F183^2/162</f>
        <v>0.8888888888888888</v>
      </c>
      <c r="M183" s="21">
        <f>K183*L183</f>
        <v>966.9333333333333</v>
      </c>
      <c r="N183" s="22">
        <f>M183/1000</f>
        <v>0.9669333333333333</v>
      </c>
      <c r="O183" s="13" t="inlineStr">
        <is>
          <t>BBS</t>
        </is>
      </c>
    </row>
    <row r="184">
      <c r="A184" s="13" t="n">
        <v>179</v>
      </c>
      <c r="B184" s="13" t="inlineStr">
        <is>
          <t>Floor Slabs</t>
        </is>
      </c>
      <c r="C184" s="13" t="inlineStr">
        <is>
          <t>STR-095</t>
        </is>
      </c>
      <c r="D184" s="13" t="inlineStr">
        <is>
          <t>Tenth floor slab - top</t>
        </is>
      </c>
      <c r="E184" s="19" t="inlineStr">
        <is>
          <t>1238</t>
        </is>
      </c>
      <c r="F184" s="19" t="n">
        <v>12</v>
      </c>
      <c r="G184" s="19" t="n">
        <v>1</v>
      </c>
      <c r="H184" s="19" t="n">
        <v>108</v>
      </c>
      <c r="I184" s="13">
        <f>G184*H184</f>
        <v>108.0</v>
      </c>
      <c r="J184" s="20">
        <f>8800/1000</f>
        <v>8.8</v>
      </c>
      <c r="K184" s="21">
        <f>I184*J184</f>
        <v>950.4000000000001</v>
      </c>
      <c r="L184" s="22">
        <f>F184^2/162</f>
        <v>0.8888888888888888</v>
      </c>
      <c r="M184" s="21">
        <f>K184*L184</f>
        <v>844.8000000000001</v>
      </c>
      <c r="N184" s="22">
        <f>M184/1000</f>
        <v>0.8448000000000001</v>
      </c>
      <c r="O184" s="13" t="inlineStr">
        <is>
          <t>BBS</t>
        </is>
      </c>
    </row>
    <row r="185">
      <c r="A185" s="13" t="n">
        <v>180</v>
      </c>
      <c r="B185" s="13" t="inlineStr">
        <is>
          <t>Floor Slabs</t>
        </is>
      </c>
      <c r="C185" s="13" t="inlineStr">
        <is>
          <t>STR-095</t>
        </is>
      </c>
      <c r="D185" s="13" t="inlineStr">
        <is>
          <t>Tenth floor slab - top</t>
        </is>
      </c>
      <c r="E185" s="19" t="inlineStr">
        <is>
          <t>1239</t>
        </is>
      </c>
      <c r="F185" s="19" t="n">
        <v>12</v>
      </c>
      <c r="G185" s="19" t="n">
        <v>1</v>
      </c>
      <c r="H185" s="19" t="n">
        <v>16</v>
      </c>
      <c r="I185" s="13">
        <f>G185*H185</f>
        <v>16.0</v>
      </c>
      <c r="J185" s="20">
        <f>7325/1000</f>
        <v>7.325</v>
      </c>
      <c r="K185" s="21">
        <f>I185*J185</f>
        <v>117.2</v>
      </c>
      <c r="L185" s="22">
        <f>F185^2/162</f>
        <v>0.8888888888888888</v>
      </c>
      <c r="M185" s="21">
        <f>K185*L185</f>
        <v>104.17777777777778</v>
      </c>
      <c r="N185" s="22">
        <f>M185/1000</f>
        <v>0.10417777777777777</v>
      </c>
      <c r="O185" s="13" t="inlineStr">
        <is>
          <t>BBS</t>
        </is>
      </c>
    </row>
    <row r="186">
      <c r="A186" s="13" t="n">
        <v>181</v>
      </c>
      <c r="B186" s="13" t="inlineStr">
        <is>
          <t>Floor Slabs</t>
        </is>
      </c>
      <c r="C186" s="13" t="inlineStr">
        <is>
          <t>STR-095</t>
        </is>
      </c>
      <c r="D186" s="13" t="inlineStr">
        <is>
          <t>Tenth floor slab - top</t>
        </is>
      </c>
      <c r="E186" s="19" t="inlineStr">
        <is>
          <t>1240</t>
        </is>
      </c>
      <c r="F186" s="19" t="n">
        <v>12</v>
      </c>
      <c r="G186" s="19" t="n">
        <v>1</v>
      </c>
      <c r="H186" s="19" t="n">
        <v>37</v>
      </c>
      <c r="I186" s="13">
        <f>G186*H186</f>
        <v>37.0</v>
      </c>
      <c r="J186" s="20">
        <f>8700/1000</f>
        <v>8.7</v>
      </c>
      <c r="K186" s="21">
        <f>I186*J186</f>
        <v>321.9</v>
      </c>
      <c r="L186" s="22">
        <f>F186^2/162</f>
        <v>0.8888888888888888</v>
      </c>
      <c r="M186" s="21">
        <f>K186*L186</f>
        <v>286.13333333333327</v>
      </c>
      <c r="N186" s="22">
        <f>M186/1000</f>
        <v>0.2861333333333333</v>
      </c>
      <c r="O186" s="13" t="inlineStr">
        <is>
          <t>BBS</t>
        </is>
      </c>
    </row>
    <row r="187">
      <c r="A187" s="13" t="n">
        <v>182</v>
      </c>
      <c r="B187" s="13" t="inlineStr">
        <is>
          <t>Floor Slabs</t>
        </is>
      </c>
      <c r="C187" s="13" t="inlineStr">
        <is>
          <t>STR-095</t>
        </is>
      </c>
      <c r="D187" s="13" t="inlineStr">
        <is>
          <t>Tenth floor slab - top</t>
        </is>
      </c>
      <c r="E187" s="19" t="inlineStr">
        <is>
          <t>1241</t>
        </is>
      </c>
      <c r="F187" s="19" t="n">
        <v>12</v>
      </c>
      <c r="G187" s="19" t="n">
        <v>1</v>
      </c>
      <c r="H187" s="19" t="n">
        <v>21</v>
      </c>
      <c r="I187" s="13">
        <f>G187*H187</f>
        <v>21.0</v>
      </c>
      <c r="J187" s="20">
        <f>4975/1000</f>
        <v>4.975</v>
      </c>
      <c r="K187" s="21">
        <f>I187*J187</f>
        <v>104.475</v>
      </c>
      <c r="L187" s="22">
        <f>F187^2/162</f>
        <v>0.8888888888888888</v>
      </c>
      <c r="M187" s="21">
        <f>K187*L187</f>
        <v>92.86666666666666</v>
      </c>
      <c r="N187" s="22">
        <f>M187/1000</f>
        <v>0.09286666666666667</v>
      </c>
      <c r="O187" s="13" t="inlineStr">
        <is>
          <t>BBS</t>
        </is>
      </c>
    </row>
    <row r="188">
      <c r="A188" s="13" t="n">
        <v>183</v>
      </c>
      <c r="B188" s="13" t="inlineStr">
        <is>
          <t>Floor Slabs</t>
        </is>
      </c>
      <c r="C188" s="13" t="inlineStr">
        <is>
          <t>STR-095</t>
        </is>
      </c>
      <c r="D188" s="13" t="inlineStr">
        <is>
          <t>Tenth floor slab - top</t>
        </is>
      </c>
      <c r="E188" s="19" t="inlineStr">
        <is>
          <t>1242</t>
        </is>
      </c>
      <c r="F188" s="19" t="n">
        <v>12</v>
      </c>
      <c r="G188" s="19" t="n">
        <v>1</v>
      </c>
      <c r="H188" s="19" t="n">
        <v>83</v>
      </c>
      <c r="I188" s="13">
        <f>G188*H188</f>
        <v>83.0</v>
      </c>
      <c r="J188" s="20">
        <f>4650/1000</f>
        <v>4.65</v>
      </c>
      <c r="K188" s="21">
        <f>I188*J188</f>
        <v>385.95000000000005</v>
      </c>
      <c r="L188" s="22">
        <f>F188^2/162</f>
        <v>0.8888888888888888</v>
      </c>
      <c r="M188" s="21">
        <f>K188*L188</f>
        <v>343.06666666666666</v>
      </c>
      <c r="N188" s="22">
        <f>M188/1000</f>
        <v>0.3430666666666667</v>
      </c>
      <c r="O188" s="13" t="inlineStr">
        <is>
          <t>BBS</t>
        </is>
      </c>
    </row>
    <row r="189">
      <c r="A189" s="13" t="n">
        <v>184</v>
      </c>
      <c r="B189" s="13" t="inlineStr">
        <is>
          <t>Floor Slabs</t>
        </is>
      </c>
      <c r="C189" s="13" t="inlineStr">
        <is>
          <t>STR-095</t>
        </is>
      </c>
      <c r="D189" s="13" t="inlineStr">
        <is>
          <t>Tenth floor slab - top</t>
        </is>
      </c>
      <c r="E189" s="19" t="inlineStr">
        <is>
          <t>1243</t>
        </is>
      </c>
      <c r="F189" s="19" t="n">
        <v>12</v>
      </c>
      <c r="G189" s="19" t="n">
        <v>1</v>
      </c>
      <c r="H189" s="19" t="n">
        <v>47</v>
      </c>
      <c r="I189" s="13">
        <f>G189*H189</f>
        <v>47.0</v>
      </c>
      <c r="J189" s="20">
        <f>5325/1000</f>
        <v>5.325</v>
      </c>
      <c r="K189" s="21">
        <f>I189*J189</f>
        <v>250.275</v>
      </c>
      <c r="L189" s="22">
        <f>F189^2/162</f>
        <v>0.8888888888888888</v>
      </c>
      <c r="M189" s="21">
        <f>K189*L189</f>
        <v>222.46666666666667</v>
      </c>
      <c r="N189" s="22">
        <f>M189/1000</f>
        <v>0.22246666666666667</v>
      </c>
      <c r="O189" s="13" t="inlineStr">
        <is>
          <t>BBS</t>
        </is>
      </c>
    </row>
    <row r="190">
      <c r="A190" s="13" t="n">
        <v>185</v>
      </c>
      <c r="B190" s="13" t="inlineStr">
        <is>
          <t>Floor Slabs</t>
        </is>
      </c>
      <c r="C190" s="13" t="inlineStr">
        <is>
          <t>STR-095</t>
        </is>
      </c>
      <c r="D190" s="13" t="inlineStr">
        <is>
          <t>Tenth floor slab - top</t>
        </is>
      </c>
      <c r="E190" s="19" t="inlineStr">
        <is>
          <t>1244</t>
        </is>
      </c>
      <c r="F190" s="19" t="n">
        <v>12</v>
      </c>
      <c r="G190" s="19" t="n">
        <v>1</v>
      </c>
      <c r="H190" s="19" t="n">
        <v>15</v>
      </c>
      <c r="I190" s="13">
        <f>G190*H190</f>
        <v>15.0</v>
      </c>
      <c r="J190" s="20">
        <f>4500/1000</f>
        <v>4.5</v>
      </c>
      <c r="K190" s="21">
        <f>I190*J190</f>
        <v>67.5</v>
      </c>
      <c r="L190" s="22">
        <f>F190^2/162</f>
        <v>0.8888888888888888</v>
      </c>
      <c r="M190" s="21">
        <f>K190*L190</f>
        <v>60.0</v>
      </c>
      <c r="N190" s="22">
        <f>M190/1000</f>
        <v>0.06</v>
      </c>
      <c r="O190" s="13" t="inlineStr">
        <is>
          <t>BBS</t>
        </is>
      </c>
    </row>
    <row r="191">
      <c r="A191" s="13" t="n">
        <v>186</v>
      </c>
      <c r="B191" s="13" t="inlineStr">
        <is>
          <t>Floor Slabs</t>
        </is>
      </c>
      <c r="C191" s="13" t="inlineStr">
        <is>
          <t>STR-095</t>
        </is>
      </c>
      <c r="D191" s="13" t="inlineStr">
        <is>
          <t>Tenth floor slab - top</t>
        </is>
      </c>
      <c r="E191" s="19" t="inlineStr">
        <is>
          <t>1245</t>
        </is>
      </c>
      <c r="F191" s="19" t="n">
        <v>12</v>
      </c>
      <c r="G191" s="19" t="n">
        <v>1</v>
      </c>
      <c r="H191" s="19" t="n">
        <v>24</v>
      </c>
      <c r="I191" s="13">
        <f>G191*H191</f>
        <v>24.0</v>
      </c>
      <c r="J191" s="20">
        <f>8550/1000</f>
        <v>8.55</v>
      </c>
      <c r="K191" s="21">
        <f>I191*J191</f>
        <v>205.20000000000002</v>
      </c>
      <c r="L191" s="22">
        <f>F191^2/162</f>
        <v>0.8888888888888888</v>
      </c>
      <c r="M191" s="21">
        <f>K191*L191</f>
        <v>182.4</v>
      </c>
      <c r="N191" s="22">
        <f>M191/1000</f>
        <v>0.1824</v>
      </c>
      <c r="O191" s="13" t="inlineStr">
        <is>
          <t>BBS</t>
        </is>
      </c>
    </row>
    <row r="192">
      <c r="A192" s="13" t="n">
        <v>187</v>
      </c>
      <c r="B192" s="13" t="inlineStr">
        <is>
          <t>Floor Slabs</t>
        </is>
      </c>
      <c r="C192" s="13" t="inlineStr">
        <is>
          <t>STR-095</t>
        </is>
      </c>
      <c r="D192" s="13" t="inlineStr">
        <is>
          <t>Tenth floor slab - top</t>
        </is>
      </c>
      <c r="E192" s="19" t="inlineStr">
        <is>
          <t>1246</t>
        </is>
      </c>
      <c r="F192" s="19" t="n">
        <v>12</v>
      </c>
      <c r="G192" s="19" t="n">
        <v>1</v>
      </c>
      <c r="H192" s="19" t="n">
        <v>8</v>
      </c>
      <c r="I192" s="13">
        <f>G192*H192</f>
        <v>8.0</v>
      </c>
      <c r="J192" s="20">
        <f>10000/1000</f>
        <v>10.0</v>
      </c>
      <c r="K192" s="21">
        <f>I192*J192</f>
        <v>80.0</v>
      </c>
      <c r="L192" s="22">
        <f>F192^2/162</f>
        <v>0.8888888888888888</v>
      </c>
      <c r="M192" s="21">
        <f>K192*L192</f>
        <v>71.11111111111111</v>
      </c>
      <c r="N192" s="22">
        <f>M192/1000</f>
        <v>0.07111111111111111</v>
      </c>
      <c r="O192" s="13" t="inlineStr">
        <is>
          <t>BBS</t>
        </is>
      </c>
    </row>
    <row r="193">
      <c r="A193" s="13" t="n">
        <v>188</v>
      </c>
      <c r="B193" s="13" t="inlineStr">
        <is>
          <t>Floor Slabs</t>
        </is>
      </c>
      <c r="C193" s="13" t="inlineStr">
        <is>
          <t>STR-095</t>
        </is>
      </c>
      <c r="D193" s="13" t="inlineStr">
        <is>
          <t>Tenth floor slab - top</t>
        </is>
      </c>
      <c r="E193" s="19" t="inlineStr">
        <is>
          <t>1247</t>
        </is>
      </c>
      <c r="F193" s="19" t="n">
        <v>12</v>
      </c>
      <c r="G193" s="19" t="n">
        <v>1</v>
      </c>
      <c r="H193" s="19" t="n">
        <v>176</v>
      </c>
      <c r="I193" s="13">
        <f>G193*H193</f>
        <v>176.0</v>
      </c>
      <c r="J193" s="20">
        <f>8850/1000</f>
        <v>8.85</v>
      </c>
      <c r="K193" s="21">
        <f>I193*J193</f>
        <v>1557.6</v>
      </c>
      <c r="L193" s="22">
        <f>F193^2/162</f>
        <v>0.8888888888888888</v>
      </c>
      <c r="M193" s="21">
        <f>K193*L193</f>
        <v>1384.533333333333</v>
      </c>
      <c r="N193" s="22">
        <f>M193/1000</f>
        <v>1.3845333333333332</v>
      </c>
      <c r="O193" s="13" t="inlineStr">
        <is>
          <t>BBS</t>
        </is>
      </c>
    </row>
    <row r="194">
      <c r="A194" s="13" t="n">
        <v>189</v>
      </c>
      <c r="B194" s="13" t="inlineStr">
        <is>
          <t>Floor Slabs</t>
        </is>
      </c>
      <c r="C194" s="13" t="inlineStr">
        <is>
          <t>STR-095</t>
        </is>
      </c>
      <c r="D194" s="13" t="inlineStr">
        <is>
          <t>Tenth floor slab - top</t>
        </is>
      </c>
      <c r="E194" s="19" t="inlineStr">
        <is>
          <t>1248</t>
        </is>
      </c>
      <c r="F194" s="19" t="n">
        <v>12</v>
      </c>
      <c r="G194" s="19" t="n">
        <v>1</v>
      </c>
      <c r="H194" s="19" t="n">
        <v>31</v>
      </c>
      <c r="I194" s="13">
        <f>G194*H194</f>
        <v>31.0</v>
      </c>
      <c r="J194" s="20">
        <f>4600/1000</f>
        <v>4.6</v>
      </c>
      <c r="K194" s="21">
        <f>I194*J194</f>
        <v>142.6</v>
      </c>
      <c r="L194" s="22">
        <f>F194^2/162</f>
        <v>0.8888888888888888</v>
      </c>
      <c r="M194" s="21">
        <f>K194*L194</f>
        <v>126.75555555555555</v>
      </c>
      <c r="N194" s="22">
        <f>M194/1000</f>
        <v>0.12675555555555554</v>
      </c>
      <c r="O194" s="13" t="inlineStr">
        <is>
          <t>BBS</t>
        </is>
      </c>
    </row>
    <row r="195">
      <c r="A195" s="13" t="n">
        <v>190</v>
      </c>
      <c r="B195" s="13" t="inlineStr">
        <is>
          <t>Floor Slabs</t>
        </is>
      </c>
      <c r="C195" s="13" t="inlineStr">
        <is>
          <t>STR-095</t>
        </is>
      </c>
      <c r="D195" s="13" t="inlineStr">
        <is>
          <t>Tenth floor slab - top</t>
        </is>
      </c>
      <c r="E195" s="19" t="inlineStr">
        <is>
          <t>1249</t>
        </is>
      </c>
      <c r="F195" s="19" t="n">
        <v>12</v>
      </c>
      <c r="G195" s="19" t="n">
        <v>1</v>
      </c>
      <c r="H195" s="19" t="n">
        <v>154</v>
      </c>
      <c r="I195" s="13">
        <f>G195*H195</f>
        <v>154.0</v>
      </c>
      <c r="J195" s="20">
        <f>5900/1000</f>
        <v>5.9</v>
      </c>
      <c r="K195" s="21">
        <f>I195*J195</f>
        <v>908.6</v>
      </c>
      <c r="L195" s="22">
        <f>F195^2/162</f>
        <v>0.8888888888888888</v>
      </c>
      <c r="M195" s="21">
        <f>K195*L195</f>
        <v>807.6444444444444</v>
      </c>
      <c r="N195" s="22">
        <f>M195/1000</f>
        <v>0.8076444444444444</v>
      </c>
      <c r="O195" s="13" t="inlineStr">
        <is>
          <t>BBS</t>
        </is>
      </c>
    </row>
    <row r="196">
      <c r="A196" s="13" t="n">
        <v>191</v>
      </c>
      <c r="B196" s="13" t="inlineStr">
        <is>
          <t>Floor Slabs</t>
        </is>
      </c>
      <c r="C196" s="13" t="inlineStr">
        <is>
          <t>STR-095</t>
        </is>
      </c>
      <c r="D196" s="13" t="inlineStr">
        <is>
          <t>Tenth floor slab - top</t>
        </is>
      </c>
      <c r="E196" s="19" t="inlineStr">
        <is>
          <t>1250</t>
        </is>
      </c>
      <c r="F196" s="19" t="n">
        <v>12</v>
      </c>
      <c r="G196" s="19" t="n">
        <v>1</v>
      </c>
      <c r="H196" s="19" t="n">
        <v>75</v>
      </c>
      <c r="I196" s="13">
        <f>G196*H196</f>
        <v>75.0</v>
      </c>
      <c r="J196" s="20">
        <f>9525/1000</f>
        <v>9.525</v>
      </c>
      <c r="K196" s="21">
        <f>I196*J196</f>
        <v>714.375</v>
      </c>
      <c r="L196" s="22">
        <f>F196^2/162</f>
        <v>0.8888888888888888</v>
      </c>
      <c r="M196" s="21">
        <f>K196*L196</f>
        <v>635.0</v>
      </c>
      <c r="N196" s="22">
        <f>M196/1000</f>
        <v>0.635</v>
      </c>
      <c r="O196" s="13" t="inlineStr">
        <is>
          <t>BBS</t>
        </is>
      </c>
    </row>
    <row r="197">
      <c r="A197" s="13" t="n">
        <v>192</v>
      </c>
      <c r="B197" s="13" t="inlineStr">
        <is>
          <t>Floor Slabs</t>
        </is>
      </c>
      <c r="C197" s="13" t="inlineStr">
        <is>
          <t>STR-095</t>
        </is>
      </c>
      <c r="D197" s="13" t="inlineStr">
        <is>
          <t>Tenth floor slab - top</t>
        </is>
      </c>
      <c r="E197" s="19" t="inlineStr">
        <is>
          <t>1251</t>
        </is>
      </c>
      <c r="F197" s="19" t="n">
        <v>12</v>
      </c>
      <c r="G197" s="19" t="n">
        <v>1</v>
      </c>
      <c r="H197" s="19" t="n">
        <v>16</v>
      </c>
      <c r="I197" s="13">
        <f>G197*H197</f>
        <v>16.0</v>
      </c>
      <c r="J197" s="20">
        <f>1925/1000</f>
        <v>1.925</v>
      </c>
      <c r="K197" s="21">
        <f>I197*J197</f>
        <v>30.8</v>
      </c>
      <c r="L197" s="22">
        <f>F197^2/162</f>
        <v>0.8888888888888888</v>
      </c>
      <c r="M197" s="21">
        <f>K197*L197</f>
        <v>27.377777777777776</v>
      </c>
      <c r="N197" s="22">
        <f>M197/1000</f>
        <v>0.027377777777777775</v>
      </c>
      <c r="O197" s="13" t="inlineStr">
        <is>
          <t>BBS</t>
        </is>
      </c>
    </row>
    <row r="198">
      <c r="A198" s="13" t="n">
        <v>193</v>
      </c>
      <c r="B198" s="13" t="inlineStr">
        <is>
          <t>Floor Slabs</t>
        </is>
      </c>
      <c r="C198" s="13" t="inlineStr">
        <is>
          <t>STR-095</t>
        </is>
      </c>
      <c r="D198" s="13" t="inlineStr">
        <is>
          <t>Tenth floor slab - top</t>
        </is>
      </c>
      <c r="E198" s="19" t="inlineStr">
        <is>
          <t>1252</t>
        </is>
      </c>
      <c r="F198" s="19" t="n">
        <v>12</v>
      </c>
      <c r="G198" s="19" t="n">
        <v>1</v>
      </c>
      <c r="H198" s="19" t="n">
        <v>116</v>
      </c>
      <c r="I198" s="13">
        <f>G198*H198</f>
        <v>116.0</v>
      </c>
      <c r="J198" s="20">
        <f>3800/1000</f>
        <v>3.8</v>
      </c>
      <c r="K198" s="21">
        <f>I198*J198</f>
        <v>440.79999999999995</v>
      </c>
      <c r="L198" s="22">
        <f>F198^2/162</f>
        <v>0.8888888888888888</v>
      </c>
      <c r="M198" s="21">
        <f>K198*L198</f>
        <v>391.82222222222214</v>
      </c>
      <c r="N198" s="22">
        <f>M198/1000</f>
        <v>0.3918222222222221</v>
      </c>
      <c r="O198" s="13" t="inlineStr">
        <is>
          <t>BBS</t>
        </is>
      </c>
    </row>
    <row r="199">
      <c r="A199" s="13" t="n">
        <v>194</v>
      </c>
      <c r="B199" s="13" t="inlineStr">
        <is>
          <t>Floor Slabs</t>
        </is>
      </c>
      <c r="C199" s="13" t="inlineStr">
        <is>
          <t>STR-095</t>
        </is>
      </c>
      <c r="D199" s="13" t="inlineStr">
        <is>
          <t>Tenth floor slab - top</t>
        </is>
      </c>
      <c r="E199" s="19" t="inlineStr">
        <is>
          <t>1253</t>
        </is>
      </c>
      <c r="F199" s="19" t="n">
        <v>12</v>
      </c>
      <c r="G199" s="19" t="n">
        <v>1</v>
      </c>
      <c r="H199" s="19" t="n">
        <v>36</v>
      </c>
      <c r="I199" s="13">
        <f>G199*H199</f>
        <v>36.0</v>
      </c>
      <c r="J199" s="20">
        <f>10400/1000</f>
        <v>10.4</v>
      </c>
      <c r="K199" s="21">
        <f>I199*J199</f>
        <v>374.40000000000003</v>
      </c>
      <c r="L199" s="22">
        <f>F199^2/162</f>
        <v>0.8888888888888888</v>
      </c>
      <c r="M199" s="21">
        <f>K199*L199</f>
        <v>332.8</v>
      </c>
      <c r="N199" s="22">
        <f>M199/1000</f>
        <v>0.3328</v>
      </c>
      <c r="O199" s="13" t="inlineStr">
        <is>
          <t>BBS</t>
        </is>
      </c>
    </row>
    <row r="200">
      <c r="A200" s="13" t="n">
        <v>195</v>
      </c>
      <c r="B200" s="13" t="inlineStr">
        <is>
          <t>Floor Slabs</t>
        </is>
      </c>
      <c r="C200" s="13" t="inlineStr">
        <is>
          <t>STR-095</t>
        </is>
      </c>
      <c r="D200" s="13" t="inlineStr">
        <is>
          <t>Tenth floor slab - top</t>
        </is>
      </c>
      <c r="E200" s="19" t="inlineStr">
        <is>
          <t>1254</t>
        </is>
      </c>
      <c r="F200" s="19" t="n">
        <v>12</v>
      </c>
      <c r="G200" s="19" t="n">
        <v>1</v>
      </c>
      <c r="H200" s="19" t="n">
        <v>23</v>
      </c>
      <c r="I200" s="13">
        <f>G200*H200</f>
        <v>23.0</v>
      </c>
      <c r="J200" s="20">
        <f>3450/1000</f>
        <v>3.45</v>
      </c>
      <c r="K200" s="21">
        <f>I200*J200</f>
        <v>79.35000000000001</v>
      </c>
      <c r="L200" s="22">
        <f>F200^2/162</f>
        <v>0.8888888888888888</v>
      </c>
      <c r="M200" s="21">
        <f>K200*L200</f>
        <v>70.53333333333333</v>
      </c>
      <c r="N200" s="22">
        <f>M200/1000</f>
        <v>0.07053333333333334</v>
      </c>
      <c r="O200" s="13" t="inlineStr">
        <is>
          <t>BBS</t>
        </is>
      </c>
    </row>
    <row r="201">
      <c r="A201" s="13" t="n">
        <v>196</v>
      </c>
      <c r="B201" s="13" t="inlineStr">
        <is>
          <t>Floor Slabs</t>
        </is>
      </c>
      <c r="C201" s="13" t="inlineStr">
        <is>
          <t>STR-095</t>
        </is>
      </c>
      <c r="D201" s="13" t="inlineStr">
        <is>
          <t>Tenth floor slab - top</t>
        </is>
      </c>
      <c r="E201" s="19" t="inlineStr">
        <is>
          <t>1255</t>
        </is>
      </c>
      <c r="F201" s="19" t="n">
        <v>12</v>
      </c>
      <c r="G201" s="19" t="n">
        <v>1</v>
      </c>
      <c r="H201" s="19" t="n">
        <v>212</v>
      </c>
      <c r="I201" s="13">
        <f>G201*H201</f>
        <v>212.0</v>
      </c>
      <c r="J201" s="20">
        <f>9500/1000</f>
        <v>9.5</v>
      </c>
      <c r="K201" s="21">
        <f>I201*J201</f>
        <v>2014.0</v>
      </c>
      <c r="L201" s="22">
        <f>F201^2/162</f>
        <v>0.8888888888888888</v>
      </c>
      <c r="M201" s="21">
        <f>K201*L201</f>
        <v>1790.2222222222222</v>
      </c>
      <c r="N201" s="22">
        <f>M201/1000</f>
        <v>1.7902222222222222</v>
      </c>
      <c r="O201" s="13" t="inlineStr">
        <is>
          <t>BBS</t>
        </is>
      </c>
    </row>
    <row r="202">
      <c r="A202" s="13" t="n">
        <v>197</v>
      </c>
      <c r="B202" s="13" t="inlineStr">
        <is>
          <t>Floor Slabs</t>
        </is>
      </c>
      <c r="C202" s="13" t="inlineStr">
        <is>
          <t>STR-095</t>
        </is>
      </c>
      <c r="D202" s="13" t="inlineStr">
        <is>
          <t>Tenth floor slab - top</t>
        </is>
      </c>
      <c r="E202" s="19" t="inlineStr">
        <is>
          <t>1256</t>
        </is>
      </c>
      <c r="F202" s="19" t="n">
        <v>12</v>
      </c>
      <c r="G202" s="19" t="n">
        <v>1</v>
      </c>
      <c r="H202" s="19" t="n">
        <v>49</v>
      </c>
      <c r="I202" s="13">
        <f>G202*H202</f>
        <v>49.0</v>
      </c>
      <c r="J202" s="20">
        <f>7300/1000</f>
        <v>7.3</v>
      </c>
      <c r="K202" s="21">
        <f>I202*J202</f>
        <v>357.7</v>
      </c>
      <c r="L202" s="22">
        <f>F202^2/162</f>
        <v>0.8888888888888888</v>
      </c>
      <c r="M202" s="21">
        <f>K202*L202</f>
        <v>317.9555555555555</v>
      </c>
      <c r="N202" s="22">
        <f>M202/1000</f>
        <v>0.31795555555555555</v>
      </c>
      <c r="O202" s="13" t="inlineStr">
        <is>
          <t>BBS</t>
        </is>
      </c>
    </row>
    <row r="203">
      <c r="A203" s="13" t="n">
        <v>198</v>
      </c>
      <c r="B203" s="13" t="inlineStr">
        <is>
          <t>Floor Slabs</t>
        </is>
      </c>
      <c r="C203" s="13" t="inlineStr">
        <is>
          <t>STR-095</t>
        </is>
      </c>
      <c r="D203" s="13" t="inlineStr">
        <is>
          <t>Tenth floor slab - top</t>
        </is>
      </c>
      <c r="E203" s="19" t="inlineStr">
        <is>
          <t>1257</t>
        </is>
      </c>
      <c r="F203" s="19" t="n">
        <v>12</v>
      </c>
      <c r="G203" s="19" t="n">
        <v>1</v>
      </c>
      <c r="H203" s="19" t="n">
        <v>113</v>
      </c>
      <c r="I203" s="13">
        <f>G203*H203</f>
        <v>113.0</v>
      </c>
      <c r="J203" s="20">
        <f>8750/1000</f>
        <v>8.75</v>
      </c>
      <c r="K203" s="21">
        <f>I203*J203</f>
        <v>988.75</v>
      </c>
      <c r="L203" s="22">
        <f>F203^2/162</f>
        <v>0.8888888888888888</v>
      </c>
      <c r="M203" s="21">
        <f>K203*L203</f>
        <v>878.8888888888888</v>
      </c>
      <c r="N203" s="22">
        <f>M203/1000</f>
        <v>0.8788888888888888</v>
      </c>
      <c r="O203" s="13" t="inlineStr">
        <is>
          <t>BBS</t>
        </is>
      </c>
    </row>
    <row r="204">
      <c r="A204" s="13" t="n">
        <v>199</v>
      </c>
      <c r="B204" s="13" t="inlineStr">
        <is>
          <t>Floor Slabs</t>
        </is>
      </c>
      <c r="C204" s="13" t="inlineStr">
        <is>
          <t>STR-095</t>
        </is>
      </c>
      <c r="D204" s="13" t="inlineStr">
        <is>
          <t>Tenth floor slab - top</t>
        </is>
      </c>
      <c r="E204" s="19" t="inlineStr">
        <is>
          <t>1258</t>
        </is>
      </c>
      <c r="F204" s="19" t="n">
        <v>12</v>
      </c>
      <c r="G204" s="19" t="n">
        <v>1</v>
      </c>
      <c r="H204" s="19" t="n">
        <v>13</v>
      </c>
      <c r="I204" s="13">
        <f>G204*H204</f>
        <v>13.0</v>
      </c>
      <c r="J204" s="20">
        <f>4150/1000</f>
        <v>4.15</v>
      </c>
      <c r="K204" s="21">
        <f>I204*J204</f>
        <v>53.95</v>
      </c>
      <c r="L204" s="22">
        <f>F204^2/162</f>
        <v>0.8888888888888888</v>
      </c>
      <c r="M204" s="21">
        <f>K204*L204</f>
        <v>47.955555555555556</v>
      </c>
      <c r="N204" s="22">
        <f>M204/1000</f>
        <v>0.04795555555555556</v>
      </c>
      <c r="O204" s="13" t="inlineStr">
        <is>
          <t>BBS</t>
        </is>
      </c>
    </row>
    <row r="205">
      <c r="A205" s="13" t="n">
        <v>200</v>
      </c>
      <c r="B205" s="13" t="inlineStr">
        <is>
          <t>Floor Slabs</t>
        </is>
      </c>
      <c r="C205" s="13" t="inlineStr">
        <is>
          <t>STR-095</t>
        </is>
      </c>
      <c r="D205" s="13" t="inlineStr">
        <is>
          <t>Tenth floor slab - top</t>
        </is>
      </c>
      <c r="E205" s="19" t="inlineStr">
        <is>
          <t>1259</t>
        </is>
      </c>
      <c r="F205" s="19" t="n">
        <v>12</v>
      </c>
      <c r="G205" s="19" t="n">
        <v>1</v>
      </c>
      <c r="H205" s="19" t="n">
        <v>13</v>
      </c>
      <c r="I205" s="13">
        <f>G205*H205</f>
        <v>13.0</v>
      </c>
      <c r="J205" s="20">
        <f>4250/1000</f>
        <v>4.25</v>
      </c>
      <c r="K205" s="21">
        <f>I205*J205</f>
        <v>55.25</v>
      </c>
      <c r="L205" s="22">
        <f>F205^2/162</f>
        <v>0.8888888888888888</v>
      </c>
      <c r="M205" s="21">
        <f>K205*L205</f>
        <v>49.11111111111111</v>
      </c>
      <c r="N205" s="22">
        <f>M205/1000</f>
        <v>0.049111111111111105</v>
      </c>
      <c r="O205" s="13" t="inlineStr">
        <is>
          <t>BBS</t>
        </is>
      </c>
    </row>
    <row r="206">
      <c r="A206" s="13" t="n">
        <v>201</v>
      </c>
      <c r="B206" s="13" t="inlineStr">
        <is>
          <t>Floor Slabs</t>
        </is>
      </c>
      <c r="C206" s="13" t="inlineStr">
        <is>
          <t>STR-095</t>
        </is>
      </c>
      <c r="D206" s="13" t="inlineStr">
        <is>
          <t>Tenth floor slab - top</t>
        </is>
      </c>
      <c r="E206" s="19" t="inlineStr">
        <is>
          <t>1260</t>
        </is>
      </c>
      <c r="F206" s="19" t="n">
        <v>12</v>
      </c>
      <c r="G206" s="19" t="n">
        <v>1</v>
      </c>
      <c r="H206" s="19" t="n">
        <v>151</v>
      </c>
      <c r="I206" s="13">
        <f>G206*H206</f>
        <v>151.0</v>
      </c>
      <c r="J206" s="20">
        <f>9200/1000</f>
        <v>9.2</v>
      </c>
      <c r="K206" s="21">
        <f>I206*J206</f>
        <v>1389.1999999999998</v>
      </c>
      <c r="L206" s="22">
        <f>F206^2/162</f>
        <v>0.8888888888888888</v>
      </c>
      <c r="M206" s="21">
        <f>K206*L206</f>
        <v>1234.8444444444442</v>
      </c>
      <c r="N206" s="22">
        <f>M206/1000</f>
        <v>1.2348444444444442</v>
      </c>
      <c r="O206" s="13" t="inlineStr">
        <is>
          <t>BBS</t>
        </is>
      </c>
    </row>
    <row r="207">
      <c r="A207" s="13" t="n">
        <v>202</v>
      </c>
      <c r="B207" s="13" t="inlineStr">
        <is>
          <t>Floor Slabs</t>
        </is>
      </c>
      <c r="C207" s="13" t="inlineStr">
        <is>
          <t>STR-095</t>
        </is>
      </c>
      <c r="D207" s="13" t="inlineStr">
        <is>
          <t>Tenth floor slab - top</t>
        </is>
      </c>
      <c r="E207" s="19" t="inlineStr">
        <is>
          <t>1261</t>
        </is>
      </c>
      <c r="F207" s="19" t="n">
        <v>12</v>
      </c>
      <c r="G207" s="19" t="n">
        <v>1</v>
      </c>
      <c r="H207" s="19" t="n">
        <v>12</v>
      </c>
      <c r="I207" s="13">
        <f>G207*H207</f>
        <v>12.0</v>
      </c>
      <c r="J207" s="20">
        <f>9475/1000</f>
        <v>9.475</v>
      </c>
      <c r="K207" s="21">
        <f>I207*J207</f>
        <v>113.69999999999999</v>
      </c>
      <c r="L207" s="22">
        <f>F207^2/162</f>
        <v>0.8888888888888888</v>
      </c>
      <c r="M207" s="21">
        <f>K207*L207</f>
        <v>101.06666666666665</v>
      </c>
      <c r="N207" s="22">
        <f>M207/1000</f>
        <v>0.10106666666666665</v>
      </c>
      <c r="O207" s="13" t="inlineStr">
        <is>
          <t>BBS</t>
        </is>
      </c>
    </row>
    <row r="208">
      <c r="A208" s="13" t="n">
        <v>203</v>
      </c>
      <c r="B208" s="13" t="inlineStr">
        <is>
          <t>Floor Slabs</t>
        </is>
      </c>
      <c r="C208" s="13" t="inlineStr">
        <is>
          <t>STR-095</t>
        </is>
      </c>
      <c r="D208" s="13" t="inlineStr">
        <is>
          <t>Tenth floor slab - top</t>
        </is>
      </c>
      <c r="E208" s="19" t="inlineStr">
        <is>
          <t>1262</t>
        </is>
      </c>
      <c r="F208" s="19" t="n">
        <v>12</v>
      </c>
      <c r="G208" s="19" t="n">
        <v>1</v>
      </c>
      <c r="H208" s="19" t="n">
        <v>105</v>
      </c>
      <c r="I208" s="13">
        <f>G208*H208</f>
        <v>105.0</v>
      </c>
      <c r="J208" s="20">
        <f>2200/1000</f>
        <v>2.2</v>
      </c>
      <c r="K208" s="21">
        <f>I208*J208</f>
        <v>231.00000000000003</v>
      </c>
      <c r="L208" s="22">
        <f>F208^2/162</f>
        <v>0.8888888888888888</v>
      </c>
      <c r="M208" s="21">
        <f>K208*L208</f>
        <v>205.33333333333334</v>
      </c>
      <c r="N208" s="22">
        <f>M208/1000</f>
        <v>0.20533333333333334</v>
      </c>
      <c r="O208" s="13" t="inlineStr">
        <is>
          <t>BBS</t>
        </is>
      </c>
    </row>
    <row r="209">
      <c r="A209" s="13" t="n">
        <v>204</v>
      </c>
      <c r="B209" s="13" t="inlineStr">
        <is>
          <t>Floor Slabs</t>
        </is>
      </c>
      <c r="C209" s="13" t="inlineStr">
        <is>
          <t>STR-095</t>
        </is>
      </c>
      <c r="D209" s="13" t="inlineStr">
        <is>
          <t>Tenth floor slab - top</t>
        </is>
      </c>
      <c r="E209" s="19" t="inlineStr">
        <is>
          <t>1263</t>
        </is>
      </c>
      <c r="F209" s="19" t="n">
        <v>12</v>
      </c>
      <c r="G209" s="19" t="n">
        <v>1</v>
      </c>
      <c r="H209" s="19" t="n">
        <v>7</v>
      </c>
      <c r="I209" s="13">
        <f>G209*H209</f>
        <v>7.0</v>
      </c>
      <c r="J209" s="20">
        <f>6000/1000</f>
        <v>6.0</v>
      </c>
      <c r="K209" s="21">
        <f>I209*J209</f>
        <v>42.0</v>
      </c>
      <c r="L209" s="22">
        <f>F209^2/162</f>
        <v>0.8888888888888888</v>
      </c>
      <c r="M209" s="21">
        <f>K209*L209</f>
        <v>37.33333333333333</v>
      </c>
      <c r="N209" s="22">
        <f>M209/1000</f>
        <v>0.03733333333333333</v>
      </c>
      <c r="O209" s="13" t="inlineStr">
        <is>
          <t>BBS</t>
        </is>
      </c>
    </row>
    <row r="210">
      <c r="A210" s="13" t="n">
        <v>205</v>
      </c>
      <c r="B210" s="13" t="inlineStr">
        <is>
          <t>Floor Slabs</t>
        </is>
      </c>
      <c r="C210" s="13" t="inlineStr">
        <is>
          <t>STR-095</t>
        </is>
      </c>
      <c r="D210" s="13" t="inlineStr">
        <is>
          <t>Tenth floor slab - top</t>
        </is>
      </c>
      <c r="E210" s="19" t="inlineStr">
        <is>
          <t>1264</t>
        </is>
      </c>
      <c r="F210" s="19" t="n">
        <v>12</v>
      </c>
      <c r="G210" s="19" t="n">
        <v>1</v>
      </c>
      <c r="H210" s="19" t="n">
        <v>85</v>
      </c>
      <c r="I210" s="13">
        <f>G210*H210</f>
        <v>85.0</v>
      </c>
      <c r="J210" s="20">
        <f>4600/1000</f>
        <v>4.6</v>
      </c>
      <c r="K210" s="21">
        <f>I210*J210</f>
        <v>390.99999999999994</v>
      </c>
      <c r="L210" s="22">
        <f>F210^2/162</f>
        <v>0.8888888888888888</v>
      </c>
      <c r="M210" s="21">
        <f>K210*L210</f>
        <v>347.5555555555555</v>
      </c>
      <c r="N210" s="22">
        <f>M210/1000</f>
        <v>0.3475555555555555</v>
      </c>
      <c r="O210" s="13" t="inlineStr">
        <is>
          <t>BBS</t>
        </is>
      </c>
    </row>
    <row r="211">
      <c r="A211" s="13" t="n">
        <v>206</v>
      </c>
      <c r="B211" s="13" t="inlineStr">
        <is>
          <t>Floor Slabs</t>
        </is>
      </c>
      <c r="C211" s="13" t="inlineStr">
        <is>
          <t>STR-095</t>
        </is>
      </c>
      <c r="D211" s="13" t="inlineStr">
        <is>
          <t>Tenth floor slab - top</t>
        </is>
      </c>
      <c r="E211" s="19" t="inlineStr">
        <is>
          <t>1265</t>
        </is>
      </c>
      <c r="F211" s="19" t="n">
        <v>12</v>
      </c>
      <c r="G211" s="19" t="n">
        <v>1</v>
      </c>
      <c r="H211" s="19" t="n">
        <v>12</v>
      </c>
      <c r="I211" s="13">
        <f>G211*H211</f>
        <v>12.0</v>
      </c>
      <c r="J211" s="20">
        <f>8750/1000</f>
        <v>8.75</v>
      </c>
      <c r="K211" s="21">
        <f>I211*J211</f>
        <v>105.0</v>
      </c>
      <c r="L211" s="22">
        <f>F211^2/162</f>
        <v>0.8888888888888888</v>
      </c>
      <c r="M211" s="21">
        <f>K211*L211</f>
        <v>93.33333333333333</v>
      </c>
      <c r="N211" s="22">
        <f>M211/1000</f>
        <v>0.09333333333333332</v>
      </c>
      <c r="O211" s="13" t="inlineStr">
        <is>
          <t>BBS</t>
        </is>
      </c>
    </row>
    <row r="212">
      <c r="A212" s="13" t="n">
        <v>207</v>
      </c>
      <c r="B212" s="13" t="inlineStr">
        <is>
          <t>Floor Slabs</t>
        </is>
      </c>
      <c r="C212" s="13" t="inlineStr">
        <is>
          <t>STR-095</t>
        </is>
      </c>
      <c r="D212" s="13" t="inlineStr">
        <is>
          <t>Tenth floor slab - top</t>
        </is>
      </c>
      <c r="E212" s="19" t="inlineStr">
        <is>
          <t>1266</t>
        </is>
      </c>
      <c r="F212" s="19" t="n">
        <v>12</v>
      </c>
      <c r="G212" s="19" t="n">
        <v>1</v>
      </c>
      <c r="H212" s="19" t="n">
        <v>98</v>
      </c>
      <c r="I212" s="13">
        <f>G212*H212</f>
        <v>98.0</v>
      </c>
      <c r="J212" s="20">
        <f>12000/1000</f>
        <v>12.0</v>
      </c>
      <c r="K212" s="21">
        <f>I212*J212</f>
        <v>1176.0</v>
      </c>
      <c r="L212" s="22">
        <f>F212^2/162</f>
        <v>0.8888888888888888</v>
      </c>
      <c r="M212" s="21">
        <f>K212*L212</f>
        <v>1045.3333333333333</v>
      </c>
      <c r="N212" s="22">
        <f>M212/1000</f>
        <v>1.0453333333333332</v>
      </c>
      <c r="O212" s="13" t="inlineStr">
        <is>
          <t>BBS</t>
        </is>
      </c>
    </row>
    <row r="213">
      <c r="A213" s="13" t="n">
        <v>208</v>
      </c>
      <c r="B213" s="13" t="inlineStr">
        <is>
          <t>Floor Slabs</t>
        </is>
      </c>
      <c r="C213" s="13" t="inlineStr">
        <is>
          <t>STR-095</t>
        </is>
      </c>
      <c r="D213" s="13" t="inlineStr">
        <is>
          <t>Tenth floor slab - top</t>
        </is>
      </c>
      <c r="E213" s="19" t="inlineStr">
        <is>
          <t>1267</t>
        </is>
      </c>
      <c r="F213" s="19" t="n">
        <v>12</v>
      </c>
      <c r="G213" s="19" t="n">
        <v>1</v>
      </c>
      <c r="H213" s="19" t="n">
        <v>36</v>
      </c>
      <c r="I213" s="13">
        <f>G213*H213</f>
        <v>36.0</v>
      </c>
      <c r="J213" s="20">
        <f>8725/1000</f>
        <v>8.725</v>
      </c>
      <c r="K213" s="21">
        <f>I213*J213</f>
        <v>314.09999999999997</v>
      </c>
      <c r="L213" s="22">
        <f>F213^2/162</f>
        <v>0.8888888888888888</v>
      </c>
      <c r="M213" s="21">
        <f>K213*L213</f>
        <v>279.19999999999993</v>
      </c>
      <c r="N213" s="22">
        <f>M213/1000</f>
        <v>0.27919999999999995</v>
      </c>
      <c r="O213" s="13" t="inlineStr">
        <is>
          <t>BBS</t>
        </is>
      </c>
    </row>
    <row r="214">
      <c r="A214" s="13" t="n">
        <v>209</v>
      </c>
      <c r="B214" s="13" t="inlineStr">
        <is>
          <t>Floor Slabs</t>
        </is>
      </c>
      <c r="C214" s="13" t="inlineStr">
        <is>
          <t>STR-095</t>
        </is>
      </c>
      <c r="D214" s="13" t="inlineStr">
        <is>
          <t>Tenth floor slab - top</t>
        </is>
      </c>
      <c r="E214" s="19" t="inlineStr">
        <is>
          <t>1268</t>
        </is>
      </c>
      <c r="F214" s="19" t="n">
        <v>12</v>
      </c>
      <c r="G214" s="19" t="n">
        <v>1</v>
      </c>
      <c r="H214" s="19" t="n">
        <v>58</v>
      </c>
      <c r="I214" s="13">
        <f>G214*H214</f>
        <v>58.0</v>
      </c>
      <c r="J214" s="20">
        <f>11800/1000</f>
        <v>11.8</v>
      </c>
      <c r="K214" s="21">
        <f>I214*J214</f>
        <v>684.4000000000001</v>
      </c>
      <c r="L214" s="22">
        <f>F214^2/162</f>
        <v>0.8888888888888888</v>
      </c>
      <c r="M214" s="21">
        <f>K214*L214</f>
        <v>608.3555555555556</v>
      </c>
      <c r="N214" s="22">
        <f>M214/1000</f>
        <v>0.6083555555555556</v>
      </c>
      <c r="O214" s="13" t="inlineStr">
        <is>
          <t>BBS</t>
        </is>
      </c>
    </row>
    <row r="215">
      <c r="A215" s="13" t="n">
        <v>210</v>
      </c>
      <c r="B215" s="13" t="inlineStr">
        <is>
          <t>Floor Slabs</t>
        </is>
      </c>
      <c r="C215" s="13" t="inlineStr">
        <is>
          <t>STR-095</t>
        </is>
      </c>
      <c r="D215" s="13" t="inlineStr">
        <is>
          <t>Tenth floor slab - top</t>
        </is>
      </c>
      <c r="E215" s="19" t="inlineStr">
        <is>
          <t>1269</t>
        </is>
      </c>
      <c r="F215" s="19" t="n">
        <v>12</v>
      </c>
      <c r="G215" s="19" t="n">
        <v>1</v>
      </c>
      <c r="H215" s="19" t="n">
        <v>12</v>
      </c>
      <c r="I215" s="13">
        <f>G215*H215</f>
        <v>12.0</v>
      </c>
      <c r="J215" s="20">
        <f>11550/1000</f>
        <v>11.55</v>
      </c>
      <c r="K215" s="21">
        <f>I215*J215</f>
        <v>138.60000000000002</v>
      </c>
      <c r="L215" s="22">
        <f>F215^2/162</f>
        <v>0.8888888888888888</v>
      </c>
      <c r="M215" s="21">
        <f>K215*L215</f>
        <v>123.20000000000002</v>
      </c>
      <c r="N215" s="22">
        <f>M215/1000</f>
        <v>0.12320000000000002</v>
      </c>
      <c r="O215" s="13" t="inlineStr">
        <is>
          <t>BBS</t>
        </is>
      </c>
    </row>
    <row r="216">
      <c r="A216" s="13" t="n">
        <v>211</v>
      </c>
      <c r="B216" s="13" t="inlineStr">
        <is>
          <t>Floor Slabs</t>
        </is>
      </c>
      <c r="C216" s="13" t="inlineStr">
        <is>
          <t>STR-095</t>
        </is>
      </c>
      <c r="D216" s="13" t="inlineStr">
        <is>
          <t>Tenth floor slab - top</t>
        </is>
      </c>
      <c r="E216" s="19" t="inlineStr">
        <is>
          <t>1270</t>
        </is>
      </c>
      <c r="F216" s="19" t="n">
        <v>12</v>
      </c>
      <c r="G216" s="19" t="n">
        <v>1</v>
      </c>
      <c r="H216" s="19" t="n">
        <v>75</v>
      </c>
      <c r="I216" s="13">
        <f>G216*H216</f>
        <v>75.0</v>
      </c>
      <c r="J216" s="20">
        <f>7900/1000</f>
        <v>7.9</v>
      </c>
      <c r="K216" s="21">
        <f>I216*J216</f>
        <v>592.5</v>
      </c>
      <c r="L216" s="22">
        <f>F216^2/162</f>
        <v>0.8888888888888888</v>
      </c>
      <c r="M216" s="21">
        <f>K216*L216</f>
        <v>526.6666666666666</v>
      </c>
      <c r="N216" s="22">
        <f>M216/1000</f>
        <v>0.5266666666666666</v>
      </c>
      <c r="O216" s="13" t="inlineStr">
        <is>
          <t>BBS</t>
        </is>
      </c>
    </row>
    <row r="217">
      <c r="A217" s="13" t="n">
        <v>212</v>
      </c>
      <c r="B217" s="13" t="inlineStr">
        <is>
          <t>Floor Slabs</t>
        </is>
      </c>
      <c r="C217" s="13" t="inlineStr">
        <is>
          <t>STR-096</t>
        </is>
      </c>
      <c r="D217" s="13" t="inlineStr">
        <is>
          <t>Tenth floor slab - additional top</t>
        </is>
      </c>
      <c r="E217" s="19" t="inlineStr">
        <is>
          <t>1271</t>
        </is>
      </c>
      <c r="F217" s="19" t="n">
        <v>12</v>
      </c>
      <c r="G217" s="19" t="n">
        <v>1</v>
      </c>
      <c r="H217" s="19" t="n">
        <v>40</v>
      </c>
      <c r="I217" s="13">
        <f>G217*H217</f>
        <v>40.0</v>
      </c>
      <c r="J217" s="20">
        <f>11000/1000</f>
        <v>11.0</v>
      </c>
      <c r="K217" s="21">
        <f>I217*J217</f>
        <v>440.0</v>
      </c>
      <c r="L217" s="22">
        <f>F217^2/162</f>
        <v>0.8888888888888888</v>
      </c>
      <c r="M217" s="21">
        <f>K217*L217</f>
        <v>391.1111111111111</v>
      </c>
      <c r="N217" s="22">
        <f>M217/1000</f>
        <v>0.3911111111111111</v>
      </c>
      <c r="O217" s="13" t="inlineStr">
        <is>
          <t>BBS</t>
        </is>
      </c>
    </row>
    <row r="218">
      <c r="A218" s="13" t="n">
        <v>213</v>
      </c>
      <c r="B218" s="13" t="inlineStr">
        <is>
          <t>Floor Slabs</t>
        </is>
      </c>
      <c r="C218" s="13" t="inlineStr">
        <is>
          <t>STR-096</t>
        </is>
      </c>
      <c r="D218" s="13" t="inlineStr">
        <is>
          <t>Tenth floor slab - additional top</t>
        </is>
      </c>
      <c r="E218" s="19" t="inlineStr">
        <is>
          <t>1272</t>
        </is>
      </c>
      <c r="F218" s="19" t="n">
        <v>12</v>
      </c>
      <c r="G218" s="19" t="n">
        <v>1</v>
      </c>
      <c r="H218" s="19" t="n">
        <v>139</v>
      </c>
      <c r="I218" s="13">
        <f>G218*H218</f>
        <v>139.0</v>
      </c>
      <c r="J218" s="20">
        <f>3000/1000</f>
        <v>3.0</v>
      </c>
      <c r="K218" s="21">
        <f>I218*J218</f>
        <v>417.0</v>
      </c>
      <c r="L218" s="22">
        <f>F218^2/162</f>
        <v>0.8888888888888888</v>
      </c>
      <c r="M218" s="21">
        <f>K218*L218</f>
        <v>370.66666666666663</v>
      </c>
      <c r="N218" s="22">
        <f>M218/1000</f>
        <v>0.37066666666666664</v>
      </c>
      <c r="O218" s="13" t="inlineStr">
        <is>
          <t>BBS</t>
        </is>
      </c>
    </row>
    <row r="219">
      <c r="A219" s="13" t="n">
        <v>214</v>
      </c>
      <c r="B219" s="13" t="inlineStr">
        <is>
          <t>Floor Slabs</t>
        </is>
      </c>
      <c r="C219" s="13" t="inlineStr">
        <is>
          <t>STR-096</t>
        </is>
      </c>
      <c r="D219" s="13" t="inlineStr">
        <is>
          <t>Tenth floor slab - additional top</t>
        </is>
      </c>
      <c r="E219" s="19" t="inlineStr">
        <is>
          <t>1273</t>
        </is>
      </c>
      <c r="F219" s="19" t="n">
        <v>12</v>
      </c>
      <c r="G219" s="19" t="n">
        <v>1</v>
      </c>
      <c r="H219" s="19" t="n">
        <v>79</v>
      </c>
      <c r="I219" s="13">
        <f>G219*H219</f>
        <v>79.0</v>
      </c>
      <c r="J219" s="20">
        <f>4150/1000</f>
        <v>4.15</v>
      </c>
      <c r="K219" s="21">
        <f>I219*J219</f>
        <v>327.85</v>
      </c>
      <c r="L219" s="22">
        <f>F219^2/162</f>
        <v>0.8888888888888888</v>
      </c>
      <c r="M219" s="21">
        <f>K219*L219</f>
        <v>291.4222222222222</v>
      </c>
      <c r="N219" s="22">
        <f>M219/1000</f>
        <v>0.2914222222222222</v>
      </c>
      <c r="O219" s="13" t="inlineStr">
        <is>
          <t>BBS</t>
        </is>
      </c>
    </row>
    <row r="220">
      <c r="A220" s="13" t="n">
        <v>215</v>
      </c>
      <c r="B220" s="13" t="inlineStr">
        <is>
          <t>Floor Slabs</t>
        </is>
      </c>
      <c r="C220" s="13" t="inlineStr">
        <is>
          <t>STR-096</t>
        </is>
      </c>
      <c r="D220" s="13" t="inlineStr">
        <is>
          <t>Tenth floor slab - additional top</t>
        </is>
      </c>
      <c r="E220" s="19" t="inlineStr">
        <is>
          <t>1274</t>
        </is>
      </c>
      <c r="F220" s="19" t="n">
        <v>12</v>
      </c>
      <c r="G220" s="19" t="n">
        <v>1</v>
      </c>
      <c r="H220" s="19" t="n">
        <v>10</v>
      </c>
      <c r="I220" s="13">
        <f>G220*H220</f>
        <v>10.0</v>
      </c>
      <c r="J220" s="20">
        <f>2875/1000</f>
        <v>2.875</v>
      </c>
      <c r="K220" s="21">
        <f>I220*J220</f>
        <v>28.75</v>
      </c>
      <c r="L220" s="22">
        <f>F220^2/162</f>
        <v>0.8888888888888888</v>
      </c>
      <c r="M220" s="21">
        <f>K220*L220</f>
        <v>25.555555555555554</v>
      </c>
      <c r="N220" s="22">
        <f>M220/1000</f>
        <v>0.025555555555555554</v>
      </c>
      <c r="O220" s="13" t="inlineStr">
        <is>
          <t>BBS</t>
        </is>
      </c>
    </row>
    <row r="221">
      <c r="A221" s="13" t="n">
        <v>216</v>
      </c>
      <c r="B221" s="13" t="inlineStr">
        <is>
          <t>Floor Slabs</t>
        </is>
      </c>
      <c r="C221" s="13" t="inlineStr">
        <is>
          <t>STR-096</t>
        </is>
      </c>
      <c r="D221" s="13" t="inlineStr">
        <is>
          <t>Tenth floor slab - additional top</t>
        </is>
      </c>
      <c r="E221" s="19" t="inlineStr">
        <is>
          <t>1275</t>
        </is>
      </c>
      <c r="F221" s="19" t="n">
        <v>12</v>
      </c>
      <c r="G221" s="19" t="n">
        <v>1</v>
      </c>
      <c r="H221" s="19" t="n">
        <v>73</v>
      </c>
      <c r="I221" s="13">
        <f>G221*H221</f>
        <v>73.0</v>
      </c>
      <c r="J221" s="20">
        <f>6000/1000</f>
        <v>6.0</v>
      </c>
      <c r="K221" s="21">
        <f>I221*J221</f>
        <v>438.0</v>
      </c>
      <c r="L221" s="22">
        <f>F221^2/162</f>
        <v>0.8888888888888888</v>
      </c>
      <c r="M221" s="21">
        <f>K221*L221</f>
        <v>389.3333333333333</v>
      </c>
      <c r="N221" s="22">
        <f>M221/1000</f>
        <v>0.3893333333333333</v>
      </c>
      <c r="O221" s="13" t="inlineStr">
        <is>
          <t>BBS</t>
        </is>
      </c>
    </row>
    <row r="222">
      <c r="A222" s="13" t="n">
        <v>217</v>
      </c>
      <c r="B222" s="13" t="inlineStr">
        <is>
          <t>Floor Slabs</t>
        </is>
      </c>
      <c r="C222" s="13" t="inlineStr">
        <is>
          <t>STR-096</t>
        </is>
      </c>
      <c r="D222" s="13" t="inlineStr">
        <is>
          <t>Tenth floor slab - additional top</t>
        </is>
      </c>
      <c r="E222" s="19" t="inlineStr">
        <is>
          <t>1276</t>
        </is>
      </c>
      <c r="F222" s="19" t="n">
        <v>12</v>
      </c>
      <c r="G222" s="19" t="n">
        <v>1</v>
      </c>
      <c r="H222" s="19" t="n">
        <v>60</v>
      </c>
      <c r="I222" s="13">
        <f>G222*H222</f>
        <v>60.0</v>
      </c>
      <c r="J222" s="20">
        <f>4900/1000</f>
        <v>4.9</v>
      </c>
      <c r="K222" s="21">
        <f>I222*J222</f>
        <v>294.0</v>
      </c>
      <c r="L222" s="22">
        <f>F222^2/162</f>
        <v>0.8888888888888888</v>
      </c>
      <c r="M222" s="21">
        <f>K222*L222</f>
        <v>261.3333333333333</v>
      </c>
      <c r="N222" s="22">
        <f>M222/1000</f>
        <v>0.2613333333333333</v>
      </c>
      <c r="O222" s="13" t="inlineStr">
        <is>
          <t>BBS</t>
        </is>
      </c>
    </row>
    <row r="223">
      <c r="A223" s="13" t="n">
        <v>218</v>
      </c>
      <c r="B223" s="13" t="inlineStr">
        <is>
          <t>Floor Slabs</t>
        </is>
      </c>
      <c r="C223" s="13" t="inlineStr">
        <is>
          <t>STR-096</t>
        </is>
      </c>
      <c r="D223" s="13" t="inlineStr">
        <is>
          <t>Tenth floor slab - additional top</t>
        </is>
      </c>
      <c r="E223" s="19" t="inlineStr">
        <is>
          <t>1277</t>
        </is>
      </c>
      <c r="F223" s="19" t="n">
        <v>12</v>
      </c>
      <c r="G223" s="19" t="n">
        <v>1</v>
      </c>
      <c r="H223" s="19" t="n">
        <v>25</v>
      </c>
      <c r="I223" s="13">
        <f>G223*H223</f>
        <v>25.0</v>
      </c>
      <c r="J223" s="20">
        <f>1475/1000</f>
        <v>1.475</v>
      </c>
      <c r="K223" s="21">
        <f>I223*J223</f>
        <v>36.875</v>
      </c>
      <c r="L223" s="22">
        <f>F223^2/162</f>
        <v>0.8888888888888888</v>
      </c>
      <c r="M223" s="21">
        <f>K223*L223</f>
        <v>32.77777777777778</v>
      </c>
      <c r="N223" s="22">
        <f>M223/1000</f>
        <v>0.03277777777777778</v>
      </c>
      <c r="O223" s="13" t="inlineStr">
        <is>
          <t>BBS</t>
        </is>
      </c>
    </row>
    <row r="224">
      <c r="A224" s="13" t="n">
        <v>219</v>
      </c>
      <c r="B224" s="13" t="inlineStr">
        <is>
          <t>Floor Slabs</t>
        </is>
      </c>
      <c r="C224" s="13" t="inlineStr">
        <is>
          <t>STR-096</t>
        </is>
      </c>
      <c r="D224" s="13" t="inlineStr">
        <is>
          <t>Tenth floor slab - additional top</t>
        </is>
      </c>
      <c r="E224" s="19" t="inlineStr">
        <is>
          <t>1601</t>
        </is>
      </c>
      <c r="F224" s="19" t="n">
        <v>16</v>
      </c>
      <c r="G224" s="19" t="n">
        <v>1</v>
      </c>
      <c r="H224" s="19" t="n">
        <v>6</v>
      </c>
      <c r="I224" s="13">
        <f>G224*H224</f>
        <v>6.0</v>
      </c>
      <c r="J224" s="20">
        <f>3375/1000</f>
        <v>3.375</v>
      </c>
      <c r="K224" s="21">
        <f>I224*J224</f>
        <v>20.25</v>
      </c>
      <c r="L224" s="22">
        <f>F224^2/162</f>
        <v>1.5802469135802468</v>
      </c>
      <c r="M224" s="21">
        <f>K224*L224</f>
        <v>32.0</v>
      </c>
      <c r="N224" s="22">
        <f>M224/1000</f>
        <v>0.032</v>
      </c>
      <c r="O224" s="13" t="inlineStr">
        <is>
          <t>BBS</t>
        </is>
      </c>
    </row>
    <row r="225">
      <c r="A225" s="13" t="n">
        <v>220</v>
      </c>
      <c r="B225" s="13" t="inlineStr">
        <is>
          <t>Floor Slabs</t>
        </is>
      </c>
      <c r="C225" s="13" t="inlineStr">
        <is>
          <t>STR-096</t>
        </is>
      </c>
      <c r="D225" s="13" t="inlineStr">
        <is>
          <t>Tenth floor slab - additional top</t>
        </is>
      </c>
      <c r="E225" s="19" t="inlineStr">
        <is>
          <t>1602</t>
        </is>
      </c>
      <c r="F225" s="19" t="n">
        <v>16</v>
      </c>
      <c r="G225" s="19" t="n">
        <v>1</v>
      </c>
      <c r="H225" s="19" t="n">
        <v>6</v>
      </c>
      <c r="I225" s="13">
        <f>G225*H225</f>
        <v>6.0</v>
      </c>
      <c r="J225" s="20">
        <f>6675/1000</f>
        <v>6.675</v>
      </c>
      <c r="K225" s="21">
        <f>I225*J225</f>
        <v>40.05</v>
      </c>
      <c r="L225" s="22">
        <f>F225^2/162</f>
        <v>1.5802469135802468</v>
      </c>
      <c r="M225" s="21">
        <f>K225*L225</f>
        <v>63.288888888888884</v>
      </c>
      <c r="N225" s="22">
        <f>M225/1000</f>
        <v>0.06328888888888888</v>
      </c>
      <c r="O225" s="13" t="inlineStr">
        <is>
          <t>BBS</t>
        </is>
      </c>
    </row>
    <row r="226">
      <c r="A226" s="13" t="n">
        <v>221</v>
      </c>
      <c r="B226" s="13" t="inlineStr">
        <is>
          <t>Floor Slabs</t>
        </is>
      </c>
      <c r="C226" s="13" t="inlineStr">
        <is>
          <t>STR-096</t>
        </is>
      </c>
      <c r="D226" s="13" t="inlineStr">
        <is>
          <t>Tenth floor slab - additional top</t>
        </is>
      </c>
      <c r="E226" s="19" t="inlineStr">
        <is>
          <t>1604</t>
        </is>
      </c>
      <c r="F226" s="19" t="n">
        <v>16</v>
      </c>
      <c r="G226" s="19" t="n">
        <v>1</v>
      </c>
      <c r="H226" s="19" t="n">
        <v>3</v>
      </c>
      <c r="I226" s="13">
        <f>G226*H226</f>
        <v>3.0</v>
      </c>
      <c r="J226" s="20">
        <f>3000/1000</f>
        <v>3.0</v>
      </c>
      <c r="K226" s="21">
        <f>I226*J226</f>
        <v>9.0</v>
      </c>
      <c r="L226" s="22">
        <f>F226^2/162</f>
        <v>1.5802469135802468</v>
      </c>
      <c r="M226" s="21">
        <f>K226*L226</f>
        <v>14.222222222222221</v>
      </c>
      <c r="N226" s="22">
        <f>M226/1000</f>
        <v>0.014222222222222221</v>
      </c>
      <c r="O226" s="13" t="inlineStr">
        <is>
          <t>BBS</t>
        </is>
      </c>
    </row>
    <row r="227">
      <c r="A227" s="13" t="n">
        <v>222</v>
      </c>
      <c r="B227" s="13" t="inlineStr">
        <is>
          <t>Floor Slabs</t>
        </is>
      </c>
      <c r="C227" s="13" t="inlineStr">
        <is>
          <t>STR-096</t>
        </is>
      </c>
      <c r="D227" s="13" t="inlineStr">
        <is>
          <t>Tenth floor slab - additional top</t>
        </is>
      </c>
      <c r="E227" s="19" t="inlineStr">
        <is>
          <t>1605</t>
        </is>
      </c>
      <c r="F227" s="19" t="n">
        <v>16</v>
      </c>
      <c r="G227" s="19" t="n">
        <v>1</v>
      </c>
      <c r="H227" s="19" t="n">
        <v>6</v>
      </c>
      <c r="I227" s="13">
        <f>G227*H227</f>
        <v>6.0</v>
      </c>
      <c r="J227" s="20">
        <f>4025/1000</f>
        <v>4.025</v>
      </c>
      <c r="K227" s="21">
        <f>I227*J227</f>
        <v>24.150000000000002</v>
      </c>
      <c r="L227" s="22">
        <f>F227^2/162</f>
        <v>1.5802469135802468</v>
      </c>
      <c r="M227" s="21">
        <f>K227*L227</f>
        <v>38.162962962962965</v>
      </c>
      <c r="N227" s="22">
        <f>M227/1000</f>
        <v>0.03816296296296297</v>
      </c>
      <c r="O227" s="13" t="inlineStr">
        <is>
          <t>BBS</t>
        </is>
      </c>
    </row>
    <row r="228">
      <c r="A228" s="13" t="n">
        <v>223</v>
      </c>
      <c r="B228" s="13" t="inlineStr">
        <is>
          <t>Staircases</t>
        </is>
      </c>
      <c r="C228" s="13" t="inlineStr">
        <is>
          <t>STR-029</t>
        </is>
      </c>
      <c r="D228" s="13" t="inlineStr">
        <is>
          <t>Main staircase 10th floor to roof top terrace</t>
        </is>
      </c>
      <c r="E228" s="19" t="inlineStr">
        <is>
          <t>1201</t>
        </is>
      </c>
      <c r="F228" s="19" t="n">
        <v>12</v>
      </c>
      <c r="G228" s="19" t="n">
        <v>1</v>
      </c>
      <c r="H228" s="19" t="n">
        <v>30</v>
      </c>
      <c r="I228" s="13">
        <f>G228*H228</f>
        <v>30.0</v>
      </c>
      <c r="J228" s="20">
        <f>6200/1000</f>
        <v>6.2</v>
      </c>
      <c r="K228" s="21">
        <f>I228*J228</f>
        <v>186.0</v>
      </c>
      <c r="L228" s="22">
        <f>F228^2/162</f>
        <v>0.8888888888888888</v>
      </c>
      <c r="M228" s="21">
        <f>K228*L228</f>
        <v>165.33333333333331</v>
      </c>
      <c r="N228" s="22">
        <f>M228/1000</f>
        <v>0.1653333333333333</v>
      </c>
      <c r="O228" s="13" t="inlineStr">
        <is>
          <t>BBS</t>
        </is>
      </c>
    </row>
    <row r="229">
      <c r="A229" s="13" t="n">
        <v>224</v>
      </c>
      <c r="B229" s="13" t="inlineStr">
        <is>
          <t>Staircases</t>
        </is>
      </c>
      <c r="C229" s="13" t="inlineStr">
        <is>
          <t>STR-029</t>
        </is>
      </c>
      <c r="D229" s="13" t="inlineStr">
        <is>
          <t>Main staircase 10th floor to roof top terrace</t>
        </is>
      </c>
      <c r="E229" s="19" t="inlineStr">
        <is>
          <t>1202</t>
        </is>
      </c>
      <c r="F229" s="19" t="n">
        <v>12</v>
      </c>
      <c r="G229" s="19" t="n">
        <v>1</v>
      </c>
      <c r="H229" s="19" t="n">
        <v>80</v>
      </c>
      <c r="I229" s="13">
        <f>G229*H229</f>
        <v>80.0</v>
      </c>
      <c r="J229" s="20">
        <f>2300/1000</f>
        <v>2.3</v>
      </c>
      <c r="K229" s="21">
        <f>I229*J229</f>
        <v>184.0</v>
      </c>
      <c r="L229" s="22">
        <f>F229^2/162</f>
        <v>0.8888888888888888</v>
      </c>
      <c r="M229" s="21">
        <f>K229*L229</f>
        <v>163.55555555555554</v>
      </c>
      <c r="N229" s="22">
        <f>M229/1000</f>
        <v>0.16355555555555554</v>
      </c>
      <c r="O229" s="13" t="inlineStr">
        <is>
          <t>BBS</t>
        </is>
      </c>
    </row>
    <row r="230">
      <c r="A230" s="13" t="n">
        <v>225</v>
      </c>
      <c r="B230" s="13" t="inlineStr">
        <is>
          <t>Staircases</t>
        </is>
      </c>
      <c r="C230" s="13" t="inlineStr">
        <is>
          <t>STR-029</t>
        </is>
      </c>
      <c r="D230" s="13" t="inlineStr">
        <is>
          <t>Main staircase 10th floor to roof top terrace</t>
        </is>
      </c>
      <c r="E230" s="19" t="inlineStr">
        <is>
          <t>1203</t>
        </is>
      </c>
      <c r="F230" s="19" t="n">
        <v>12</v>
      </c>
      <c r="G230" s="19" t="n">
        <v>1</v>
      </c>
      <c r="H230" s="19" t="n">
        <v>26</v>
      </c>
      <c r="I230" s="13">
        <f>G230*H230</f>
        <v>26.0</v>
      </c>
      <c r="J230" s="20">
        <f>4800/1000</f>
        <v>4.8</v>
      </c>
      <c r="K230" s="21">
        <f>I230*J230</f>
        <v>124.8</v>
      </c>
      <c r="L230" s="22">
        <f>F230^2/162</f>
        <v>0.8888888888888888</v>
      </c>
      <c r="M230" s="21">
        <f>K230*L230</f>
        <v>110.93333333333332</v>
      </c>
      <c r="N230" s="22">
        <f>M230/1000</f>
        <v>0.11093333333333333</v>
      </c>
      <c r="O230" s="13" t="inlineStr">
        <is>
          <t>BBS</t>
        </is>
      </c>
    </row>
    <row r="231">
      <c r="A231" s="13" t="n">
        <v>226</v>
      </c>
      <c r="B231" s="13" t="inlineStr">
        <is>
          <t>Staircases</t>
        </is>
      </c>
      <c r="C231" s="13" t="inlineStr">
        <is>
          <t>STR-029</t>
        </is>
      </c>
      <c r="D231" s="13" t="inlineStr">
        <is>
          <t>Main staircase 10th floor to roof top terrace</t>
        </is>
      </c>
      <c r="E231" s="19" t="inlineStr">
        <is>
          <t>1601</t>
        </is>
      </c>
      <c r="F231" s="19" t="n">
        <v>16</v>
      </c>
      <c r="G231" s="19" t="n">
        <v>1</v>
      </c>
      <c r="H231" s="19" t="n">
        <v>11</v>
      </c>
      <c r="I231" s="13">
        <f>G231*H231</f>
        <v>11.0</v>
      </c>
      <c r="J231" s="20">
        <f>8450/1000</f>
        <v>8.45</v>
      </c>
      <c r="K231" s="21">
        <f>I231*J231</f>
        <v>92.94999999999999</v>
      </c>
      <c r="L231" s="22">
        <f>F231^2/162</f>
        <v>1.5802469135802468</v>
      </c>
      <c r="M231" s="21">
        <f>K231*L231</f>
        <v>146.88395061728392</v>
      </c>
      <c r="N231" s="22">
        <f>M231/1000</f>
        <v>0.1468839506172839</v>
      </c>
      <c r="O231" s="13" t="inlineStr">
        <is>
          <t>BBS</t>
        </is>
      </c>
    </row>
    <row r="232">
      <c r="A232" s="13" t="n">
        <v>227</v>
      </c>
      <c r="B232" s="13" t="inlineStr">
        <is>
          <t>Staircases</t>
        </is>
      </c>
      <c r="C232" s="13" t="inlineStr">
        <is>
          <t>STR-029</t>
        </is>
      </c>
      <c r="D232" s="13" t="inlineStr">
        <is>
          <t>Main staircase 10th floor to roof top terrace</t>
        </is>
      </c>
      <c r="E232" s="19" t="inlineStr">
        <is>
          <t>1602</t>
        </is>
      </c>
      <c r="F232" s="19" t="n">
        <v>16</v>
      </c>
      <c r="G232" s="19" t="n">
        <v>1</v>
      </c>
      <c r="H232" s="19" t="n">
        <v>11</v>
      </c>
      <c r="I232" s="13">
        <f>G232*H232</f>
        <v>11.0</v>
      </c>
      <c r="J232" s="20">
        <f>4475/1000</f>
        <v>4.475</v>
      </c>
      <c r="K232" s="21">
        <f>I232*J232</f>
        <v>49.224999999999994</v>
      </c>
      <c r="L232" s="22">
        <f>F232^2/162</f>
        <v>1.5802469135802468</v>
      </c>
      <c r="M232" s="21">
        <f>K232*L232</f>
        <v>77.78765432098764</v>
      </c>
      <c r="N232" s="22">
        <f>M232/1000</f>
        <v>0.07778765432098764</v>
      </c>
      <c r="O232" s="13" t="inlineStr">
        <is>
          <t>BBS</t>
        </is>
      </c>
    </row>
    <row r="233">
      <c r="A233" s="13" t="n">
        <v>228</v>
      </c>
      <c r="B233" s="13" t="inlineStr">
        <is>
          <t>Staircases</t>
        </is>
      </c>
      <c r="C233" s="13" t="inlineStr">
        <is>
          <t>STR-029</t>
        </is>
      </c>
      <c r="D233" s="13" t="inlineStr">
        <is>
          <t>Main staircase 10th floor to roof top terrace</t>
        </is>
      </c>
      <c r="E233" s="19" t="inlineStr">
        <is>
          <t>1603</t>
        </is>
      </c>
      <c r="F233" s="19" t="n">
        <v>16</v>
      </c>
      <c r="G233" s="19" t="n">
        <v>1</v>
      </c>
      <c r="H233" s="19" t="n">
        <v>11</v>
      </c>
      <c r="I233" s="13">
        <f>G233*H233</f>
        <v>11.0</v>
      </c>
      <c r="J233" s="20">
        <f>2400/1000</f>
        <v>2.4</v>
      </c>
      <c r="K233" s="21">
        <f>I233*J233</f>
        <v>26.4</v>
      </c>
      <c r="L233" s="22">
        <f>F233^2/162</f>
        <v>1.5802469135802468</v>
      </c>
      <c r="M233" s="21">
        <f>K233*L233</f>
        <v>41.718518518518515</v>
      </c>
      <c r="N233" s="22">
        <f>M233/1000</f>
        <v>0.041718518518518516</v>
      </c>
      <c r="O233" s="13" t="inlineStr">
        <is>
          <t>BBS</t>
        </is>
      </c>
    </row>
    <row r="234">
      <c r="A234" s="13" t="n">
        <v>229</v>
      </c>
      <c r="B234" s="13" t="inlineStr">
        <is>
          <t>Staircases</t>
        </is>
      </c>
      <c r="C234" s="13" t="inlineStr">
        <is>
          <t>STR-029</t>
        </is>
      </c>
      <c r="D234" s="13" t="inlineStr">
        <is>
          <t>Main staircase 10th floor to roof top terrace</t>
        </is>
      </c>
      <c r="E234" s="19" t="inlineStr">
        <is>
          <t>1604</t>
        </is>
      </c>
      <c r="F234" s="19" t="n">
        <v>16</v>
      </c>
      <c r="G234" s="19" t="n">
        <v>1</v>
      </c>
      <c r="H234" s="19" t="n">
        <v>11</v>
      </c>
      <c r="I234" s="13">
        <f>G234*H234</f>
        <v>11.0</v>
      </c>
      <c r="J234" s="20">
        <f>4250/1000</f>
        <v>4.25</v>
      </c>
      <c r="K234" s="21">
        <f>I234*J234</f>
        <v>46.75</v>
      </c>
      <c r="L234" s="22">
        <f>F234^2/162</f>
        <v>1.5802469135802468</v>
      </c>
      <c r="M234" s="21">
        <f>K234*L234</f>
        <v>73.87654320987654</v>
      </c>
      <c r="N234" s="22">
        <f>M234/1000</f>
        <v>0.07387654320987655</v>
      </c>
      <c r="O234" s="13" t="inlineStr">
        <is>
          <t>BBS</t>
        </is>
      </c>
    </row>
    <row r="235">
      <c r="A235" s="13" t="n">
        <v>230</v>
      </c>
      <c r="B235" s="13" t="inlineStr">
        <is>
          <t>Staircases</t>
        </is>
      </c>
      <c r="C235" s="13" t="inlineStr">
        <is>
          <t>STR-029</t>
        </is>
      </c>
      <c r="D235" s="13" t="inlineStr">
        <is>
          <t>Main staircase 10th floor to roof top terrace</t>
        </is>
      </c>
      <c r="E235" s="19" t="inlineStr">
        <is>
          <t>1605</t>
        </is>
      </c>
      <c r="F235" s="19" t="n">
        <v>16</v>
      </c>
      <c r="G235" s="19" t="n">
        <v>1</v>
      </c>
      <c r="H235" s="19" t="n">
        <v>11</v>
      </c>
      <c r="I235" s="13">
        <f>G235*H235</f>
        <v>11.0</v>
      </c>
      <c r="J235" s="20">
        <f>2100/1000</f>
        <v>2.1</v>
      </c>
      <c r="K235" s="21">
        <f>I235*J235</f>
        <v>23.1</v>
      </c>
      <c r="L235" s="22">
        <f>F235^2/162</f>
        <v>1.5802469135802468</v>
      </c>
      <c r="M235" s="21">
        <f>K235*L235</f>
        <v>36.50370370370371</v>
      </c>
      <c r="N235" s="22">
        <f>M235/1000</f>
        <v>0.036503703703703705</v>
      </c>
      <c r="O235" s="13" t="inlineStr">
        <is>
          <t>BBS</t>
        </is>
      </c>
    </row>
    <row r="236">
      <c r="A236" s="13" t="n">
        <v>231</v>
      </c>
      <c r="B236" s="13" t="inlineStr">
        <is>
          <t>Staircases</t>
        </is>
      </c>
      <c r="C236" s="13" t="inlineStr">
        <is>
          <t>STR-029</t>
        </is>
      </c>
      <c r="D236" s="13" t="inlineStr">
        <is>
          <t>Main staircase 10th floor to roof top terrace</t>
        </is>
      </c>
      <c r="E236" s="19" t="inlineStr">
        <is>
          <t>1606</t>
        </is>
      </c>
      <c r="F236" s="19" t="n">
        <v>16</v>
      </c>
      <c r="G236" s="19" t="n">
        <v>1</v>
      </c>
      <c r="H236" s="19" t="n">
        <v>11</v>
      </c>
      <c r="I236" s="13">
        <f>G236*H236</f>
        <v>11.0</v>
      </c>
      <c r="J236" s="20">
        <f>6950/1000</f>
        <v>6.95</v>
      </c>
      <c r="K236" s="21">
        <f>I236*J236</f>
        <v>76.45</v>
      </c>
      <c r="L236" s="22">
        <f>F236^2/162</f>
        <v>1.5802469135802468</v>
      </c>
      <c r="M236" s="21">
        <f>K236*L236</f>
        <v>120.80987654320987</v>
      </c>
      <c r="N236" s="22">
        <f>M236/1000</f>
        <v>0.12080987654320986</v>
      </c>
      <c r="O236" s="13" t="inlineStr">
        <is>
          <t>BBS</t>
        </is>
      </c>
    </row>
    <row r="237">
      <c r="A237" s="13" t="n">
        <v>232</v>
      </c>
      <c r="B237" s="13" t="inlineStr">
        <is>
          <t>Staircases</t>
        </is>
      </c>
      <c r="C237" s="13" t="inlineStr">
        <is>
          <t>STR-029</t>
        </is>
      </c>
      <c r="D237" s="13" t="inlineStr">
        <is>
          <t>Main staircase 10th floor to roof top terrace</t>
        </is>
      </c>
      <c r="E237" s="19" t="inlineStr">
        <is>
          <t>1607</t>
        </is>
      </c>
      <c r="F237" s="19" t="n">
        <v>16</v>
      </c>
      <c r="G237" s="19" t="n">
        <v>1</v>
      </c>
      <c r="H237" s="19" t="n">
        <v>11</v>
      </c>
      <c r="I237" s="13">
        <f>G237*H237</f>
        <v>11.0</v>
      </c>
      <c r="J237" s="20">
        <f>3300/1000</f>
        <v>3.3</v>
      </c>
      <c r="K237" s="21">
        <f>I237*J237</f>
        <v>36.3</v>
      </c>
      <c r="L237" s="22">
        <f>F237^2/162</f>
        <v>1.5802469135802468</v>
      </c>
      <c r="M237" s="21">
        <f>K237*L237</f>
        <v>57.36296296296295</v>
      </c>
      <c r="N237" s="22">
        <f>M237/1000</f>
        <v>0.057362962962962956</v>
      </c>
      <c r="O237" s="13" t="inlineStr">
        <is>
          <t>BBS</t>
        </is>
      </c>
    </row>
    <row r="238">
      <c r="A238" s="13" t="n">
        <v>233</v>
      </c>
      <c r="B238" s="13" t="inlineStr">
        <is>
          <t>Staircases</t>
        </is>
      </c>
      <c r="C238" s="13" t="inlineStr">
        <is>
          <t>STR-029</t>
        </is>
      </c>
      <c r="D238" s="13" t="inlineStr">
        <is>
          <t>Main staircase 10th floor to roof top terrace</t>
        </is>
      </c>
      <c r="E238" s="19" t="inlineStr">
        <is>
          <t>1608</t>
        </is>
      </c>
      <c r="F238" s="19" t="n">
        <v>16</v>
      </c>
      <c r="G238" s="19" t="n">
        <v>1</v>
      </c>
      <c r="H238" s="19" t="n">
        <v>11</v>
      </c>
      <c r="I238" s="13">
        <f>G238*H238</f>
        <v>11.0</v>
      </c>
      <c r="J238" s="20">
        <f>1200/1000</f>
        <v>1.2</v>
      </c>
      <c r="K238" s="21">
        <f>I238*J238</f>
        <v>13.2</v>
      </c>
      <c r="L238" s="22">
        <f>F238^2/162</f>
        <v>1.5802469135802468</v>
      </c>
      <c r="M238" s="21">
        <f>K238*L238</f>
        <v>20.859259259259257</v>
      </c>
      <c r="N238" s="22">
        <f>M238/1000</f>
        <v>0.020859259259259258</v>
      </c>
      <c r="O238" s="13" t="inlineStr">
        <is>
          <t>BBS</t>
        </is>
      </c>
    </row>
    <row r="239">
      <c r="A239" s="13" t="n">
        <v>234</v>
      </c>
      <c r="B239" s="13" t="inlineStr">
        <is>
          <t>Staircases</t>
        </is>
      </c>
      <c r="C239" s="13" t="inlineStr">
        <is>
          <t>STR-029</t>
        </is>
      </c>
      <c r="D239" s="13" t="inlineStr">
        <is>
          <t>Main staircase 10th floor to roof top terrace</t>
        </is>
      </c>
      <c r="E239" s="19" t="inlineStr">
        <is>
          <t>1609</t>
        </is>
      </c>
      <c r="F239" s="19" t="n">
        <v>16</v>
      </c>
      <c r="G239" s="19" t="n">
        <v>1</v>
      </c>
      <c r="H239" s="19" t="n">
        <v>11</v>
      </c>
      <c r="I239" s="13">
        <f>G239*H239</f>
        <v>11.0</v>
      </c>
      <c r="J239" s="20">
        <f>6225/1000</f>
        <v>6.225</v>
      </c>
      <c r="K239" s="21">
        <f>I239*J239</f>
        <v>68.475</v>
      </c>
      <c r="L239" s="22">
        <f>F239^2/162</f>
        <v>1.5802469135802468</v>
      </c>
      <c r="M239" s="21">
        <f>K239*L239</f>
        <v>108.20740740740739</v>
      </c>
      <c r="N239" s="22">
        <f>M239/1000</f>
        <v>0.10820740740740739</v>
      </c>
      <c r="O239" s="13" t="inlineStr">
        <is>
          <t>BBS</t>
        </is>
      </c>
    </row>
    <row r="240">
      <c r="A240" s="13" t="n">
        <v>235</v>
      </c>
      <c r="B240" s="13" t="inlineStr">
        <is>
          <t>Staircases</t>
        </is>
      </c>
      <c r="C240" s="13" t="inlineStr">
        <is>
          <t>STR-029</t>
        </is>
      </c>
      <c r="D240" s="13" t="inlineStr">
        <is>
          <t>Main staircase 10th floor to roof top terrace</t>
        </is>
      </c>
      <c r="E240" s="19" t="inlineStr">
        <is>
          <t>1610</t>
        </is>
      </c>
      <c r="F240" s="19" t="n">
        <v>16</v>
      </c>
      <c r="G240" s="19" t="n">
        <v>1</v>
      </c>
      <c r="H240" s="19" t="n">
        <v>11</v>
      </c>
      <c r="I240" s="13">
        <f>G240*H240</f>
        <v>11.0</v>
      </c>
      <c r="J240" s="20">
        <f>3225/1000</f>
        <v>3.225</v>
      </c>
      <c r="K240" s="21">
        <f>I240*J240</f>
        <v>35.475</v>
      </c>
      <c r="L240" s="22">
        <f>F240^2/162</f>
        <v>1.5802469135802468</v>
      </c>
      <c r="M240" s="21">
        <f>K240*L240</f>
        <v>56.05925925925926</v>
      </c>
      <c r="N240" s="22">
        <f>M240/1000</f>
        <v>0.05605925925925926</v>
      </c>
      <c r="O240" s="13" t="inlineStr">
        <is>
          <t>BBS</t>
        </is>
      </c>
    </row>
    <row r="241">
      <c r="A241" s="13" t="n">
        <v>236</v>
      </c>
      <c r="B241" s="13" t="inlineStr">
        <is>
          <t>Staircases</t>
        </is>
      </c>
      <c r="C241" s="13" t="inlineStr">
        <is>
          <t>STR-039</t>
        </is>
      </c>
      <c r="D241" s="13" t="inlineStr">
        <is>
          <t>Emergency staircase 10th floor to roof top terrace</t>
        </is>
      </c>
      <c r="E241" s="19" t="inlineStr">
        <is>
          <t>1201</t>
        </is>
      </c>
      <c r="F241" s="19" t="n">
        <v>12</v>
      </c>
      <c r="G241" s="19" t="n">
        <v>1</v>
      </c>
      <c r="H241" s="19" t="n">
        <v>30</v>
      </c>
      <c r="I241" s="13">
        <f>G241*H241</f>
        <v>30.0</v>
      </c>
      <c r="J241" s="20">
        <f>6200/1000</f>
        <v>6.2</v>
      </c>
      <c r="K241" s="21">
        <f>I241*J241</f>
        <v>186.0</v>
      </c>
      <c r="L241" s="22">
        <f>F241^2/162</f>
        <v>0.8888888888888888</v>
      </c>
      <c r="M241" s="21">
        <f>K241*L241</f>
        <v>165.33333333333331</v>
      </c>
      <c r="N241" s="22">
        <f>M241/1000</f>
        <v>0.1653333333333333</v>
      </c>
      <c r="O241" s="13" t="inlineStr">
        <is>
          <t>BBS</t>
        </is>
      </c>
    </row>
    <row r="242">
      <c r="A242" s="13" t="n">
        <v>237</v>
      </c>
      <c r="B242" s="13" t="inlineStr">
        <is>
          <t>Staircases</t>
        </is>
      </c>
      <c r="C242" s="13" t="inlineStr">
        <is>
          <t>STR-039</t>
        </is>
      </c>
      <c r="D242" s="13" t="inlineStr">
        <is>
          <t>Emergency staircase 10th floor to roof top terrace</t>
        </is>
      </c>
      <c r="E242" s="19" t="inlineStr">
        <is>
          <t>1202</t>
        </is>
      </c>
      <c r="F242" s="19" t="n">
        <v>12</v>
      </c>
      <c r="G242" s="19" t="n">
        <v>1</v>
      </c>
      <c r="H242" s="19" t="n">
        <v>80</v>
      </c>
      <c r="I242" s="13">
        <f>G242*H242</f>
        <v>80.0</v>
      </c>
      <c r="J242" s="20">
        <f>2300/1000</f>
        <v>2.3</v>
      </c>
      <c r="K242" s="21">
        <f>I242*J242</f>
        <v>184.0</v>
      </c>
      <c r="L242" s="22">
        <f>F242^2/162</f>
        <v>0.8888888888888888</v>
      </c>
      <c r="M242" s="21">
        <f>K242*L242</f>
        <v>163.55555555555554</v>
      </c>
      <c r="N242" s="22">
        <f>M242/1000</f>
        <v>0.16355555555555554</v>
      </c>
      <c r="O242" s="13" t="inlineStr">
        <is>
          <t>BBS</t>
        </is>
      </c>
    </row>
    <row r="243">
      <c r="A243" s="13" t="n">
        <v>238</v>
      </c>
      <c r="B243" s="13" t="inlineStr">
        <is>
          <t>Staircases</t>
        </is>
      </c>
      <c r="C243" s="13" t="inlineStr">
        <is>
          <t>STR-039</t>
        </is>
      </c>
      <c r="D243" s="13" t="inlineStr">
        <is>
          <t>Emergency staircase 10th floor to roof top terrace</t>
        </is>
      </c>
      <c r="E243" s="19" t="inlineStr">
        <is>
          <t>1203</t>
        </is>
      </c>
      <c r="F243" s="19" t="n">
        <v>12</v>
      </c>
      <c r="G243" s="19" t="n">
        <v>1</v>
      </c>
      <c r="H243" s="19" t="n">
        <v>26</v>
      </c>
      <c r="I243" s="13">
        <f>G243*H243</f>
        <v>26.0</v>
      </c>
      <c r="J243" s="20">
        <f>4800/1000</f>
        <v>4.8</v>
      </c>
      <c r="K243" s="21">
        <f>I243*J243</f>
        <v>124.8</v>
      </c>
      <c r="L243" s="22">
        <f>F243^2/162</f>
        <v>0.8888888888888888</v>
      </c>
      <c r="M243" s="21">
        <f>K243*L243</f>
        <v>110.93333333333332</v>
      </c>
      <c r="N243" s="22">
        <f>M243/1000</f>
        <v>0.11093333333333333</v>
      </c>
      <c r="O243" s="13" t="inlineStr">
        <is>
          <t>BBS</t>
        </is>
      </c>
    </row>
    <row r="244">
      <c r="A244" s="13" t="n">
        <v>239</v>
      </c>
      <c r="B244" s="13" t="inlineStr">
        <is>
          <t>Staircases</t>
        </is>
      </c>
      <c r="C244" s="13" t="inlineStr">
        <is>
          <t>STR-039</t>
        </is>
      </c>
      <c r="D244" s="13" t="inlineStr">
        <is>
          <t>Emergency staircase 10th floor to roof top terrace</t>
        </is>
      </c>
      <c r="E244" s="19" t="inlineStr">
        <is>
          <t>1601</t>
        </is>
      </c>
      <c r="F244" s="19" t="n">
        <v>16</v>
      </c>
      <c r="G244" s="19" t="n">
        <v>1</v>
      </c>
      <c r="H244" s="19" t="n">
        <v>11</v>
      </c>
      <c r="I244" s="13">
        <f>G244*H244</f>
        <v>11.0</v>
      </c>
      <c r="J244" s="20">
        <f>8175/1000</f>
        <v>8.175</v>
      </c>
      <c r="K244" s="21">
        <f>I244*J244</f>
        <v>89.92500000000001</v>
      </c>
      <c r="L244" s="22">
        <f>F244^2/162</f>
        <v>1.5802469135802468</v>
      </c>
      <c r="M244" s="21">
        <f>K244*L244</f>
        <v>142.1037037037037</v>
      </c>
      <c r="N244" s="22">
        <f>M244/1000</f>
        <v>0.1421037037037037</v>
      </c>
      <c r="O244" s="13" t="inlineStr">
        <is>
          <t>BBS</t>
        </is>
      </c>
    </row>
    <row r="245">
      <c r="A245" s="13" t="n">
        <v>240</v>
      </c>
      <c r="B245" s="13" t="inlineStr">
        <is>
          <t>Staircases</t>
        </is>
      </c>
      <c r="C245" s="13" t="inlineStr">
        <is>
          <t>STR-039</t>
        </is>
      </c>
      <c r="D245" s="13" t="inlineStr">
        <is>
          <t>Emergency staircase 10th floor to roof top terrace</t>
        </is>
      </c>
      <c r="E245" s="19" t="inlineStr">
        <is>
          <t>1602</t>
        </is>
      </c>
      <c r="F245" s="19" t="n">
        <v>16</v>
      </c>
      <c r="G245" s="19" t="n">
        <v>1</v>
      </c>
      <c r="H245" s="19" t="n">
        <v>11</v>
      </c>
      <c r="I245" s="13">
        <f>G245*H245</f>
        <v>11.0</v>
      </c>
      <c r="J245" s="20">
        <f>2650/1000</f>
        <v>2.65</v>
      </c>
      <c r="K245" s="21">
        <f>I245*J245</f>
        <v>29.15</v>
      </c>
      <c r="L245" s="22">
        <f>F245^2/162</f>
        <v>1.5802469135802468</v>
      </c>
      <c r="M245" s="21">
        <f>K245*L245</f>
        <v>46.06419753086419</v>
      </c>
      <c r="N245" s="22">
        <f>M245/1000</f>
        <v>0.046064197530864194</v>
      </c>
      <c r="O245" s="13" t="inlineStr">
        <is>
          <t>BBS</t>
        </is>
      </c>
    </row>
    <row r="246">
      <c r="A246" s="13" t="n">
        <v>241</v>
      </c>
      <c r="B246" s="13" t="inlineStr">
        <is>
          <t>Staircases</t>
        </is>
      </c>
      <c r="C246" s="13" t="inlineStr">
        <is>
          <t>STR-039</t>
        </is>
      </c>
      <c r="D246" s="13" t="inlineStr">
        <is>
          <t>Emergency staircase 10th floor to roof top terrace</t>
        </is>
      </c>
      <c r="E246" s="19" t="inlineStr">
        <is>
          <t>1603</t>
        </is>
      </c>
      <c r="F246" s="19" t="n">
        <v>16</v>
      </c>
      <c r="G246" s="19" t="n">
        <v>1</v>
      </c>
      <c r="H246" s="19" t="n">
        <v>11</v>
      </c>
      <c r="I246" s="13">
        <f>G246*H246</f>
        <v>11.0</v>
      </c>
      <c r="J246" s="20">
        <f>2400/1000</f>
        <v>2.4</v>
      </c>
      <c r="K246" s="21">
        <f>I246*J246</f>
        <v>26.4</v>
      </c>
      <c r="L246" s="22">
        <f>F246^2/162</f>
        <v>1.5802469135802468</v>
      </c>
      <c r="M246" s="21">
        <f>K246*L246</f>
        <v>41.718518518518515</v>
      </c>
      <c r="N246" s="22">
        <f>M246/1000</f>
        <v>0.041718518518518516</v>
      </c>
      <c r="O246" s="13" t="inlineStr">
        <is>
          <t>BBS</t>
        </is>
      </c>
    </row>
    <row r="247">
      <c r="A247" s="13" t="n">
        <v>242</v>
      </c>
      <c r="B247" s="13" t="inlineStr">
        <is>
          <t>Staircases</t>
        </is>
      </c>
      <c r="C247" s="13" t="inlineStr">
        <is>
          <t>STR-039</t>
        </is>
      </c>
      <c r="D247" s="13" t="inlineStr">
        <is>
          <t>Emergency staircase 10th floor to roof top terrace</t>
        </is>
      </c>
      <c r="E247" s="19" t="inlineStr">
        <is>
          <t>1604</t>
        </is>
      </c>
      <c r="F247" s="19" t="n">
        <v>16</v>
      </c>
      <c r="G247" s="19" t="n">
        <v>1</v>
      </c>
      <c r="H247" s="19" t="n">
        <v>11</v>
      </c>
      <c r="I247" s="13">
        <f>G247*H247</f>
        <v>11.0</v>
      </c>
      <c r="J247" s="20">
        <f>4300/1000</f>
        <v>4.3</v>
      </c>
      <c r="K247" s="21">
        <f>I247*J247</f>
        <v>47.3</v>
      </c>
      <c r="L247" s="22">
        <f>F247^2/162</f>
        <v>1.5802469135802468</v>
      </c>
      <c r="M247" s="21">
        <f>K247*L247</f>
        <v>74.74567901234568</v>
      </c>
      <c r="N247" s="22">
        <f>M247/1000</f>
        <v>0.07474567901234568</v>
      </c>
      <c r="O247" s="13" t="inlineStr">
        <is>
          <t>BBS</t>
        </is>
      </c>
    </row>
    <row r="248">
      <c r="A248" s="13" t="n">
        <v>243</v>
      </c>
      <c r="B248" s="13" t="inlineStr">
        <is>
          <t>Staircases</t>
        </is>
      </c>
      <c r="C248" s="13" t="inlineStr">
        <is>
          <t>STR-039</t>
        </is>
      </c>
      <c r="D248" s="13" t="inlineStr">
        <is>
          <t>Emergency staircase 10th floor to roof top terrace</t>
        </is>
      </c>
      <c r="E248" s="19" t="inlineStr">
        <is>
          <t>1605</t>
        </is>
      </c>
      <c r="F248" s="19" t="n">
        <v>16</v>
      </c>
      <c r="G248" s="19" t="n">
        <v>1</v>
      </c>
      <c r="H248" s="19" t="n">
        <v>11</v>
      </c>
      <c r="I248" s="13">
        <f>G248*H248</f>
        <v>11.0</v>
      </c>
      <c r="J248" s="20">
        <f>2100/1000</f>
        <v>2.1</v>
      </c>
      <c r="K248" s="21">
        <f>I248*J248</f>
        <v>23.1</v>
      </c>
      <c r="L248" s="22">
        <f>F248^2/162</f>
        <v>1.5802469135802468</v>
      </c>
      <c r="M248" s="21">
        <f>K248*L248</f>
        <v>36.50370370370371</v>
      </c>
      <c r="N248" s="22">
        <f>M248/1000</f>
        <v>0.036503703703703705</v>
      </c>
      <c r="O248" s="13" t="inlineStr">
        <is>
          <t>BBS</t>
        </is>
      </c>
    </row>
    <row r="249">
      <c r="A249" s="13" t="n">
        <v>244</v>
      </c>
      <c r="B249" s="13" t="inlineStr">
        <is>
          <t>Staircases</t>
        </is>
      </c>
      <c r="C249" s="13" t="inlineStr">
        <is>
          <t>STR-039</t>
        </is>
      </c>
      <c r="D249" s="13" t="inlineStr">
        <is>
          <t>Emergency staircase 10th floor to roof top terrace</t>
        </is>
      </c>
      <c r="E249" s="19" t="inlineStr">
        <is>
          <t>1606</t>
        </is>
      </c>
      <c r="F249" s="19" t="n">
        <v>16</v>
      </c>
      <c r="G249" s="19" t="n">
        <v>1</v>
      </c>
      <c r="H249" s="19" t="n">
        <v>11</v>
      </c>
      <c r="I249" s="13">
        <f>G249*H249</f>
        <v>11.0</v>
      </c>
      <c r="J249" s="20">
        <f>6900/1000</f>
        <v>6.9</v>
      </c>
      <c r="K249" s="21">
        <f>I249*J249</f>
        <v>75.9</v>
      </c>
      <c r="L249" s="22">
        <f>F249^2/162</f>
        <v>1.5802469135802468</v>
      </c>
      <c r="M249" s="21">
        <f>K249*L249</f>
        <v>119.94074074074074</v>
      </c>
      <c r="N249" s="22">
        <f>M249/1000</f>
        <v>0.11994074074074074</v>
      </c>
      <c r="O249" s="13" t="inlineStr">
        <is>
          <t>BBS</t>
        </is>
      </c>
    </row>
    <row r="250">
      <c r="A250" s="13" t="n">
        <v>245</v>
      </c>
      <c r="B250" s="13" t="inlineStr">
        <is>
          <t>Staircases</t>
        </is>
      </c>
      <c r="C250" s="13" t="inlineStr">
        <is>
          <t>STR-039</t>
        </is>
      </c>
      <c r="D250" s="13" t="inlineStr">
        <is>
          <t>Emergency staircase 10th floor to roof top terrace</t>
        </is>
      </c>
      <c r="E250" s="19" t="inlineStr">
        <is>
          <t>1607</t>
        </is>
      </c>
      <c r="F250" s="19" t="n">
        <v>16</v>
      </c>
      <c r="G250" s="19" t="n">
        <v>1</v>
      </c>
      <c r="H250" s="19" t="n">
        <v>11</v>
      </c>
      <c r="I250" s="13">
        <f>G250*H250</f>
        <v>11.0</v>
      </c>
      <c r="J250" s="20">
        <f>4800/1000</f>
        <v>4.8</v>
      </c>
      <c r="K250" s="21">
        <f>I250*J250</f>
        <v>52.8</v>
      </c>
      <c r="L250" s="22">
        <f>F250^2/162</f>
        <v>1.5802469135802468</v>
      </c>
      <c r="M250" s="21">
        <f>K250*L250</f>
        <v>83.43703703703703</v>
      </c>
      <c r="N250" s="22">
        <f>M250/1000</f>
        <v>0.08343703703703703</v>
      </c>
      <c r="O250" s="13" t="inlineStr">
        <is>
          <t>BBS</t>
        </is>
      </c>
    </row>
    <row r="251">
      <c r="A251" s="13" t="n">
        <v>246</v>
      </c>
      <c r="B251" s="13" t="inlineStr">
        <is>
          <t>Staircases</t>
        </is>
      </c>
      <c r="C251" s="13" t="inlineStr">
        <is>
          <t>STR-039</t>
        </is>
      </c>
      <c r="D251" s="13" t="inlineStr">
        <is>
          <t>Emergency staircase 10th floor to roof top terrace</t>
        </is>
      </c>
      <c r="E251" s="19" t="inlineStr">
        <is>
          <t>1608</t>
        </is>
      </c>
      <c r="F251" s="19" t="n">
        <v>16</v>
      </c>
      <c r="G251" s="19" t="n">
        <v>1</v>
      </c>
      <c r="H251" s="19" t="n">
        <v>11</v>
      </c>
      <c r="I251" s="13">
        <f>G251*H251</f>
        <v>11.0</v>
      </c>
      <c r="J251" s="20">
        <f>3400/1000</f>
        <v>3.4</v>
      </c>
      <c r="K251" s="21">
        <f>I251*J251</f>
        <v>37.4</v>
      </c>
      <c r="L251" s="22">
        <f>F251^2/162</f>
        <v>1.5802469135802468</v>
      </c>
      <c r="M251" s="21">
        <f>K251*L251</f>
        <v>59.10123456790123</v>
      </c>
      <c r="N251" s="22">
        <f>M251/1000</f>
        <v>0.05910123456790123</v>
      </c>
      <c r="O251" s="13" t="inlineStr">
        <is>
          <t>BBS</t>
        </is>
      </c>
    </row>
    <row r="252">
      <c r="A252" s="13" t="n">
        <v>247</v>
      </c>
      <c r="B252" s="13" t="inlineStr">
        <is>
          <t>Staircases</t>
        </is>
      </c>
      <c r="C252" s="13" t="inlineStr">
        <is>
          <t>STR-039</t>
        </is>
      </c>
      <c r="D252" s="13" t="inlineStr">
        <is>
          <t>Emergency staircase 10th floor to roof top terrace</t>
        </is>
      </c>
      <c r="E252" s="19" t="inlineStr">
        <is>
          <t>1609</t>
        </is>
      </c>
      <c r="F252" s="19" t="n">
        <v>16</v>
      </c>
      <c r="G252" s="19" t="n">
        <v>1</v>
      </c>
      <c r="H252" s="19" t="n">
        <v>11</v>
      </c>
      <c r="I252" s="13">
        <f>G252*H252</f>
        <v>11.0</v>
      </c>
      <c r="J252" s="20">
        <f>3200/1000</f>
        <v>3.2</v>
      </c>
      <c r="K252" s="21">
        <f>I252*J252</f>
        <v>35.2</v>
      </c>
      <c r="L252" s="22">
        <f>F252^2/162</f>
        <v>1.5802469135802468</v>
      </c>
      <c r="M252" s="21">
        <f>K252*L252</f>
        <v>55.62469135802469</v>
      </c>
      <c r="N252" s="22">
        <f>M252/1000</f>
        <v>0.05562469135802469</v>
      </c>
      <c r="O252" s="13" t="inlineStr">
        <is>
          <t>BBS</t>
        </is>
      </c>
    </row>
    <row r="253">
      <c r="A253" s="13" t="n">
        <v>248</v>
      </c>
      <c r="B253" s="13" t="inlineStr">
        <is>
          <t>Staircases</t>
        </is>
      </c>
      <c r="C253" s="13" t="inlineStr">
        <is>
          <t>STR-039</t>
        </is>
      </c>
      <c r="D253" s="13" t="inlineStr">
        <is>
          <t>Emergency staircase 10th floor to roof top terrace</t>
        </is>
      </c>
      <c r="E253" s="19" t="inlineStr">
        <is>
          <t>1610</t>
        </is>
      </c>
      <c r="F253" s="19" t="n">
        <v>16</v>
      </c>
      <c r="G253" s="19" t="n">
        <v>1</v>
      </c>
      <c r="H253" s="19" t="n">
        <v>11</v>
      </c>
      <c r="I253" s="13">
        <f>G253*H253</f>
        <v>11.0</v>
      </c>
      <c r="J253" s="20">
        <f>2000/1000</f>
        <v>2.0</v>
      </c>
      <c r="K253" s="21">
        <f>I253*J253</f>
        <v>22.0</v>
      </c>
      <c r="L253" s="22">
        <f>F253^2/162</f>
        <v>1.5802469135802468</v>
      </c>
      <c r="M253" s="21">
        <f>K253*L253</f>
        <v>34.76543209876543</v>
      </c>
      <c r="N253" s="22">
        <f>M253/1000</f>
        <v>0.03476543209876543</v>
      </c>
      <c r="O253" s="13" t="inlineStr">
        <is>
          <t>BBS</t>
        </is>
      </c>
    </row>
    <row r="255">
      <c r="D255" s="10" t="inlineStr">
        <is>
          <t>SUMMARY - TENTH FLOOR: ELEMENT BY BAR SIZE (TONNES)</t>
        </is>
      </c>
    </row>
    <row r="256">
      <c r="D256" s="23" t="inlineStr">
        <is>
          <t>Element</t>
        </is>
      </c>
      <c r="E256" s="24" t="n">
        <v>10</v>
      </c>
      <c r="F256" s="24" t="n">
        <v>12</v>
      </c>
      <c r="G256" s="24" t="n">
        <v>16</v>
      </c>
      <c r="H256" s="24" t="n">
        <v>20</v>
      </c>
      <c r="I256" s="24" t="n">
        <v>25</v>
      </c>
      <c r="J256" s="23" t="inlineStr">
        <is>
          <t>Total (t)</t>
        </is>
      </c>
    </row>
    <row r="257">
      <c r="D257" s="13" t="inlineStr">
        <is>
          <t>Raft Foundation</t>
        </is>
      </c>
      <c r="E257" s="25">
        <f>SUMIFS($N$6:$N$253,$B$6:$B$253,$D257,$F$6:$F$253,E$256)</f>
        <v>0.0</v>
      </c>
      <c r="F257" s="25">
        <f>SUMIFS($N$6:$N$253,$B$6:$B$253,$D257,$F$6:$F$253,F$256)</f>
        <v>0.0</v>
      </c>
      <c r="G257" s="25">
        <f>SUMIFS($N$6:$N$253,$B$6:$B$253,$D257,$F$6:$F$253,G$256)</f>
        <v>0.0</v>
      </c>
      <c r="H257" s="25">
        <f>SUMIFS($N$6:$N$253,$B$6:$B$253,$D257,$F$6:$F$253,H$256)</f>
        <v>0.0</v>
      </c>
      <c r="I257" s="25">
        <f>SUMIFS($N$6:$N$253,$B$6:$B$253,$D257,$F$6:$F$253,I$256)</f>
        <v>0.0</v>
      </c>
      <c r="J257" s="17">
        <f>SUM(E257:I257)</f>
        <v>0.0</v>
      </c>
    </row>
    <row r="258">
      <c r="D258" s="13" t="inlineStr">
        <is>
          <t>Columns</t>
        </is>
      </c>
      <c r="E258" s="25">
        <f>SUMIFS($N$6:$N$253,$B$6:$B$253,$D258,$F$6:$F$253,E$256)</f>
        <v>2.4684481481481484</v>
      </c>
      <c r="F258" s="25">
        <f>SUMIFS($N$6:$N$253,$B$6:$B$253,$D258,$F$6:$F$253,F$256)</f>
        <v>0.0</v>
      </c>
      <c r="G258" s="25">
        <f>SUMIFS($N$6:$N$253,$B$6:$B$253,$D258,$F$6:$F$253,G$256)</f>
        <v>0.0</v>
      </c>
      <c r="H258" s="25">
        <f>SUMIFS($N$6:$N$253,$B$6:$B$253,$D258,$F$6:$F$253,H$256)</f>
        <v>4.084197530864198</v>
      </c>
      <c r="I258" s="25">
        <f>SUMIFS($N$6:$N$253,$B$6:$B$253,$D258,$F$6:$F$253,I$256)</f>
        <v>0.0</v>
      </c>
      <c r="J258" s="17">
        <f>SUM(E258:I258)</f>
        <v>6.552645679012346</v>
      </c>
    </row>
    <row r="259">
      <c r="D259" s="13" t="inlineStr">
        <is>
          <t>Shear Walls</t>
        </is>
      </c>
      <c r="E259" s="25">
        <f>SUMIFS($N$6:$N$253,$B$6:$B$253,$D259,$F$6:$F$253,E$256)</f>
        <v>1.4422222222222223</v>
      </c>
      <c r="F259" s="25">
        <f>SUMIFS($N$6:$N$253,$B$6:$B$253,$D259,$F$6:$F$253,F$256)</f>
        <v>1.9171555555555557</v>
      </c>
      <c r="G259" s="25">
        <f>SUMIFS($N$6:$N$253,$B$6:$B$253,$D259,$F$6:$F$253,G$256)</f>
        <v>0.0</v>
      </c>
      <c r="H259" s="25">
        <f>SUMIFS($N$6:$N$253,$B$6:$B$253,$D259,$F$6:$F$253,H$256)</f>
        <v>6.904197530864199</v>
      </c>
      <c r="I259" s="25">
        <f>SUMIFS($N$6:$N$253,$B$6:$B$253,$D259,$F$6:$F$253,I$256)</f>
        <v>0.0</v>
      </c>
      <c r="J259" s="17">
        <f>SUM(E259:I259)</f>
        <v>10.263575308641977</v>
      </c>
    </row>
    <row r="260">
      <c r="D260" s="13" t="inlineStr">
        <is>
          <t>Lift Walls</t>
        </is>
      </c>
      <c r="E260" s="25">
        <f>SUMIFS($N$6:$N$253,$B$6:$B$253,$D260,$F$6:$F$253,E$256)</f>
        <v>0.6355555555555557</v>
      </c>
      <c r="F260" s="25">
        <f>SUMIFS($N$6:$N$253,$B$6:$B$253,$D260,$F$6:$F$253,F$256)</f>
        <v>0.8655999999999999</v>
      </c>
      <c r="G260" s="25">
        <f>SUMIFS($N$6:$N$253,$B$6:$B$253,$D260,$F$6:$F$253,G$256)</f>
        <v>0.0</v>
      </c>
      <c r="H260" s="25">
        <f>SUMIFS($N$6:$N$253,$B$6:$B$253,$D260,$F$6:$F$253,H$256)</f>
        <v>3.320493827160494</v>
      </c>
      <c r="I260" s="25">
        <f>SUMIFS($N$6:$N$253,$B$6:$B$253,$D260,$F$6:$F$253,I$256)</f>
        <v>0.0</v>
      </c>
      <c r="J260" s="17">
        <f>SUM(E260:I260)</f>
        <v>4.82164938271605</v>
      </c>
    </row>
    <row r="261">
      <c r="D261" s="13" t="inlineStr">
        <is>
          <t>Retaining / Ramp Walls</t>
        </is>
      </c>
      <c r="E261" s="25">
        <f>SUMIFS($N$6:$N$253,$B$6:$B$253,$D261,$F$6:$F$253,E$256)</f>
        <v>0.0</v>
      </c>
      <c r="F261" s="25">
        <f>SUMIFS($N$6:$N$253,$B$6:$B$253,$D261,$F$6:$F$253,F$256)</f>
        <v>0.0</v>
      </c>
      <c r="G261" s="25">
        <f>SUMIFS($N$6:$N$253,$B$6:$B$253,$D261,$F$6:$F$253,G$256)</f>
        <v>0.0</v>
      </c>
      <c r="H261" s="25">
        <f>SUMIFS($N$6:$N$253,$B$6:$B$253,$D261,$F$6:$F$253,H$256)</f>
        <v>0.0</v>
      </c>
      <c r="I261" s="25">
        <f>SUMIFS($N$6:$N$253,$B$6:$B$253,$D261,$F$6:$F$253,I$256)</f>
        <v>0.0</v>
      </c>
      <c r="J261" s="17">
        <f>SUM(E261:I261)</f>
        <v>0.0</v>
      </c>
    </row>
    <row r="262">
      <c r="D262" s="13" t="inlineStr">
        <is>
          <t>Beams</t>
        </is>
      </c>
      <c r="E262" s="25">
        <f>SUMIFS($N$6:$N$253,$B$6:$B$253,$D262,$F$6:$F$253,E$256)</f>
        <v>1.2256790123456789</v>
      </c>
      <c r="F262" s="25">
        <f>SUMIFS($N$6:$N$253,$B$6:$B$253,$D262,$F$6:$F$253,F$256)</f>
        <v>0.0</v>
      </c>
      <c r="G262" s="25">
        <f>SUMIFS($N$6:$N$253,$B$6:$B$253,$D262,$F$6:$F$253,G$256)</f>
        <v>1.2189234567901233</v>
      </c>
      <c r="H262" s="25">
        <f>SUMIFS($N$6:$N$253,$B$6:$B$253,$D262,$F$6:$F$253,H$256)</f>
        <v>0.8103703703703703</v>
      </c>
      <c r="I262" s="25">
        <f>SUMIFS($N$6:$N$253,$B$6:$B$253,$D262,$F$6:$F$253,I$256)</f>
        <v>4.057388117283951</v>
      </c>
      <c r="J262" s="17">
        <f>SUM(E262:I262)</f>
        <v>7.312360956790123</v>
      </c>
    </row>
    <row r="263">
      <c r="D263" s="13" t="inlineStr">
        <is>
          <t>Floor Slabs</t>
        </is>
      </c>
      <c r="E263" s="25">
        <f>SUMIFS($N$6:$N$253,$B$6:$B$253,$D263,$F$6:$F$253,E$256)</f>
        <v>0.0</v>
      </c>
      <c r="F263" s="25">
        <f>SUMIFS($N$6:$N$253,$B$6:$B$253,$D263,$F$6:$F$253,F$256)</f>
        <v>36.276244444444444</v>
      </c>
      <c r="G263" s="25">
        <f>SUMIFS($N$6:$N$253,$B$6:$B$253,$D263,$F$6:$F$253,G$256)</f>
        <v>0.14767407407407407</v>
      </c>
      <c r="H263" s="25">
        <f>SUMIFS($N$6:$N$253,$B$6:$B$253,$D263,$F$6:$F$253,H$256)</f>
        <v>0.0</v>
      </c>
      <c r="I263" s="25">
        <f>SUMIFS($N$6:$N$253,$B$6:$B$253,$D263,$F$6:$F$253,I$256)</f>
        <v>0.0</v>
      </c>
      <c r="J263" s="17">
        <f>SUM(E263:I263)</f>
        <v>36.42391851851852</v>
      </c>
    </row>
    <row r="264">
      <c r="D264" s="13" t="inlineStr">
        <is>
          <t>Staircases</t>
        </is>
      </c>
      <c r="E264" s="25">
        <f>SUMIFS($N$6:$N$253,$B$6:$B$253,$D264,$F$6:$F$253,E$256)</f>
        <v>0.0</v>
      </c>
      <c r="F264" s="25">
        <f>SUMIFS($N$6:$N$253,$B$6:$B$253,$D264,$F$6:$F$253,F$256)</f>
        <v>0.8796444444444443</v>
      </c>
      <c r="G264" s="25">
        <f>SUMIFS($N$6:$N$253,$B$6:$B$253,$D264,$F$6:$F$253,G$256)</f>
        <v>1.4340740740740738</v>
      </c>
      <c r="H264" s="25">
        <f>SUMIFS($N$6:$N$253,$B$6:$B$253,$D264,$F$6:$F$253,H$256)</f>
        <v>0.0</v>
      </c>
      <c r="I264" s="25">
        <f>SUMIFS($N$6:$N$253,$B$6:$B$253,$D264,$F$6:$F$253,I$256)</f>
        <v>0.0</v>
      </c>
      <c r="J264" s="17">
        <f>SUM(E264:I264)</f>
        <v>2.313718518518518</v>
      </c>
    </row>
    <row r="265">
      <c r="D265" s="13" t="inlineStr">
        <is>
          <t>Lift Core Roof Slab</t>
        </is>
      </c>
      <c r="E265" s="25">
        <f>SUMIFS($N$6:$N$253,$B$6:$B$253,$D265,$F$6:$F$253,E$256)</f>
        <v>0.0</v>
      </c>
      <c r="F265" s="25">
        <f>SUMIFS($N$6:$N$253,$B$6:$B$253,$D265,$F$6:$F$253,F$256)</f>
        <v>0.0</v>
      </c>
      <c r="G265" s="25">
        <f>SUMIFS($N$6:$N$253,$B$6:$B$253,$D265,$F$6:$F$253,G$256)</f>
        <v>0.0</v>
      </c>
      <c r="H265" s="25">
        <f>SUMIFS($N$6:$N$253,$B$6:$B$253,$D265,$F$6:$F$253,H$256)</f>
        <v>0.0</v>
      </c>
      <c r="I265" s="25">
        <f>SUMIFS($N$6:$N$253,$B$6:$B$253,$D265,$F$6:$F$253,I$256)</f>
        <v>0.0</v>
      </c>
      <c r="J265" s="17">
        <f>SUM(E265:I265)</f>
        <v>0.0</v>
      </c>
    </row>
    <row r="266">
      <c r="D266" s="16" t="inlineStr">
        <is>
          <t>TOTAL - TENTH FLOOR</t>
        </is>
      </c>
      <c r="E266" s="26">
        <f>SUM(E257:E265)</f>
        <v>5.771904938271605</v>
      </c>
      <c r="F266" s="26">
        <f>SUM(F257:F265)</f>
        <v>39.93864444444444</v>
      </c>
      <c r="G266" s="26">
        <f>SUM(G257:G265)</f>
        <v>2.8006716049382714</v>
      </c>
      <c r="H266" s="26">
        <f>SUM(H257:H265)</f>
        <v>15.11925925925926</v>
      </c>
      <c r="I266" s="26">
        <f>SUM(I257:I265)</f>
        <v>4.057388117283951</v>
      </c>
      <c r="J266" s="26">
        <f>SUM(J257:J265)</f>
        <v>67.68786836419753</v>
      </c>
      <c r="K266" s="7" t="inlineStr">
        <is>
          <t>Check vs detail (should be 0):</t>
        </is>
      </c>
      <c r="N266" s="7">
        <f>ROUND(SUM(N6:N253)-J266,6)</f>
        <v>0.0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4472C4"/>
    <outlinePr summaryBelow="1" summaryRight="1"/>
    <pageSetUpPr/>
  </sheetPr>
  <dimension ref="A1:O22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ROOF TOP TERRACE (+37300)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Columns</t>
        </is>
      </c>
      <c r="C6" s="13" t="inlineStr">
        <is>
          <t>STR-008</t>
        </is>
      </c>
      <c r="D6" s="13" t="inlineStr">
        <is>
          <t>COL-01C (2 nos) Roof top terrace to roof level - links</t>
        </is>
      </c>
      <c r="E6" s="19" t="inlineStr">
        <is>
          <t>1001</t>
        </is>
      </c>
      <c r="F6" s="19" t="n">
        <v>10</v>
      </c>
      <c r="G6" s="19" t="n">
        <v>2</v>
      </c>
      <c r="H6" s="19" t="n">
        <v>18</v>
      </c>
      <c r="I6" s="13">
        <f>G6*H6</f>
        <v>36.0</v>
      </c>
      <c r="J6" s="20">
        <f>2330/1000</f>
        <v>2.33</v>
      </c>
      <c r="K6" s="21">
        <f>I6*J6</f>
        <v>83.88</v>
      </c>
      <c r="L6" s="22">
        <f>F6^2/162</f>
        <v>0.6172839506172839</v>
      </c>
      <c r="M6" s="21">
        <f>K6*L6</f>
        <v>51.77777777777777</v>
      </c>
      <c r="N6" s="22">
        <f>M6/1000</f>
        <v>0.05177777777777777</v>
      </c>
      <c r="O6" s="13" t="inlineStr">
        <is>
          <t>Elevation + BBS length</t>
        </is>
      </c>
    </row>
    <row r="7">
      <c r="A7" s="13" t="n">
        <v>2</v>
      </c>
      <c r="B7" s="13" t="inlineStr">
        <is>
          <t>Columns</t>
        </is>
      </c>
      <c r="C7" s="13" t="inlineStr">
        <is>
          <t>STR-008</t>
        </is>
      </c>
      <c r="D7" s="13" t="inlineStr">
        <is>
          <t>COL-01C (2 nos) Roof top terrace to roof level - links</t>
        </is>
      </c>
      <c r="E7" s="19" t="inlineStr">
        <is>
          <t>1002</t>
        </is>
      </c>
      <c r="F7" s="19" t="n">
        <v>10</v>
      </c>
      <c r="G7" s="19" t="n">
        <v>2</v>
      </c>
      <c r="H7" s="19" t="n">
        <v>36</v>
      </c>
      <c r="I7" s="13">
        <f>G7*H7</f>
        <v>72.0</v>
      </c>
      <c r="J7" s="20">
        <f>1330/1000</f>
        <v>1.33</v>
      </c>
      <c r="K7" s="21">
        <f>I7*J7</f>
        <v>95.76</v>
      </c>
      <c r="L7" s="22">
        <f>F7^2/162</f>
        <v>0.6172839506172839</v>
      </c>
      <c r="M7" s="21">
        <f>K7*L7</f>
        <v>59.111111111111114</v>
      </c>
      <c r="N7" s="22">
        <f>M7/1000</f>
        <v>0.059111111111111114</v>
      </c>
      <c r="O7" s="13" t="inlineStr">
        <is>
          <t>Elevation + BBS length</t>
        </is>
      </c>
    </row>
    <row r="8">
      <c r="A8" s="13" t="n">
        <v>3</v>
      </c>
      <c r="B8" s="13" t="inlineStr">
        <is>
          <t>Columns</t>
        </is>
      </c>
      <c r="C8" s="13" t="inlineStr">
        <is>
          <t>STR-008</t>
        </is>
      </c>
      <c r="D8" s="13" t="inlineStr">
        <is>
          <t>COL-01C (2 nos) Roof top terrace to roof level - links</t>
        </is>
      </c>
      <c r="E8" s="19" t="inlineStr">
        <is>
          <t>1003</t>
        </is>
      </c>
      <c r="F8" s="19" t="n">
        <v>10</v>
      </c>
      <c r="G8" s="19" t="n">
        <v>2</v>
      </c>
      <c r="H8" s="19" t="n">
        <v>18</v>
      </c>
      <c r="I8" s="13">
        <f>G8*H8</f>
        <v>36.0</v>
      </c>
      <c r="J8" s="20">
        <f>1830/1000</f>
        <v>1.83</v>
      </c>
      <c r="K8" s="21">
        <f>I8*J8</f>
        <v>65.88</v>
      </c>
      <c r="L8" s="22">
        <f>F8^2/162</f>
        <v>0.6172839506172839</v>
      </c>
      <c r="M8" s="21">
        <f>K8*L8</f>
        <v>40.666666666666664</v>
      </c>
      <c r="N8" s="22">
        <f>M8/1000</f>
        <v>0.04066666666666666</v>
      </c>
      <c r="O8" s="13" t="inlineStr">
        <is>
          <t>Elevation + BBS length</t>
        </is>
      </c>
    </row>
    <row r="9">
      <c r="A9" s="13" t="n">
        <v>4</v>
      </c>
      <c r="B9" s="13" t="inlineStr">
        <is>
          <t>Columns</t>
        </is>
      </c>
      <c r="C9" s="13" t="inlineStr">
        <is>
          <t>STR-008</t>
        </is>
      </c>
      <c r="D9" s="13" t="inlineStr">
        <is>
          <t>COL-01C (2 nos) Roof top terrace to roof level - main bars</t>
        </is>
      </c>
      <c r="E9" s="19" t="inlineStr">
        <is>
          <t>2003</t>
        </is>
      </c>
      <c r="F9" s="19" t="n">
        <v>20</v>
      </c>
      <c r="G9" s="19" t="n">
        <v>2</v>
      </c>
      <c r="H9" s="19" t="n">
        <v>16</v>
      </c>
      <c r="I9" s="13">
        <f>G9*H9</f>
        <v>32.0</v>
      </c>
      <c r="J9" s="20">
        <f>3520/1000</f>
        <v>3.52</v>
      </c>
      <c r="K9" s="21">
        <f>I9*J9</f>
        <v>112.64</v>
      </c>
      <c r="L9" s="22">
        <f>F9^2/162</f>
        <v>2.4691358024691357</v>
      </c>
      <c r="M9" s="21">
        <f>K9*L9</f>
        <v>278.12345679012344</v>
      </c>
      <c r="N9" s="22">
        <f>M9/1000</f>
        <v>0.27812345679012346</v>
      </c>
      <c r="O9" s="13" t="inlineStr">
        <is>
          <t>Elevation + BBS length</t>
        </is>
      </c>
    </row>
    <row r="10">
      <c r="A10" s="13" t="n">
        <v>5</v>
      </c>
      <c r="B10" s="13" t="inlineStr">
        <is>
          <t>Columns</t>
        </is>
      </c>
      <c r="C10" s="13" t="inlineStr">
        <is>
          <t>STR-011</t>
        </is>
      </c>
      <c r="D10" s="13" t="inlineStr">
        <is>
          <t>COL-02C (1 nos) Roof top terrace to roof level - links</t>
        </is>
      </c>
      <c r="E10" s="19" t="inlineStr">
        <is>
          <t>1004</t>
        </is>
      </c>
      <c r="F10" s="19" t="n">
        <v>10</v>
      </c>
      <c r="G10" s="19" t="n">
        <v>1</v>
      </c>
      <c r="H10" s="19" t="n">
        <v>16</v>
      </c>
      <c r="I10" s="13">
        <f>G10*H10</f>
        <v>16.0</v>
      </c>
      <c r="J10" s="20">
        <f>2910/1000</f>
        <v>2.91</v>
      </c>
      <c r="K10" s="21">
        <f>I10*J10</f>
        <v>46.56</v>
      </c>
      <c r="L10" s="22">
        <f>F10^2/162</f>
        <v>0.6172839506172839</v>
      </c>
      <c r="M10" s="21">
        <f>K10*L10</f>
        <v>28.74074074074074</v>
      </c>
      <c r="N10" s="22">
        <f>M10/1000</f>
        <v>0.02874074074074074</v>
      </c>
      <c r="O10" s="13" t="inlineStr">
        <is>
          <t>Elevation + BBS length</t>
        </is>
      </c>
    </row>
    <row r="11">
      <c r="A11" s="13" t="n">
        <v>6</v>
      </c>
      <c r="B11" s="13" t="inlineStr">
        <is>
          <t>Columns</t>
        </is>
      </c>
      <c r="C11" s="13" t="inlineStr">
        <is>
          <t>STR-011</t>
        </is>
      </c>
      <c r="D11" s="13" t="inlineStr">
        <is>
          <t>COL-02C (1 nos) Roof top terrace to roof level - links</t>
        </is>
      </c>
      <c r="E11" s="19" t="inlineStr">
        <is>
          <t>1005</t>
        </is>
      </c>
      <c r="F11" s="19" t="n">
        <v>10</v>
      </c>
      <c r="G11" s="19" t="n">
        <v>1</v>
      </c>
      <c r="H11" s="19">
        <f>3*16</f>
        <v>48.0</v>
      </c>
      <c r="I11" s="13">
        <f>G11*H11</f>
        <v>48.0</v>
      </c>
      <c r="J11" s="20">
        <f>1008/1000</f>
        <v>1.008</v>
      </c>
      <c r="K11" s="21">
        <f>I11*J11</f>
        <v>48.384</v>
      </c>
      <c r="L11" s="22">
        <f>F11^2/162</f>
        <v>0.6172839506172839</v>
      </c>
      <c r="M11" s="21">
        <f>K11*L11</f>
        <v>29.866666666666664</v>
      </c>
      <c r="N11" s="22">
        <f>M11/1000</f>
        <v>0.029866666666666663</v>
      </c>
      <c r="O11" s="13" t="inlineStr">
        <is>
          <t>Elevation + BBS length</t>
        </is>
      </c>
    </row>
    <row r="12">
      <c r="A12" s="13" t="n">
        <v>7</v>
      </c>
      <c r="B12" s="13" t="inlineStr">
        <is>
          <t>Columns</t>
        </is>
      </c>
      <c r="C12" s="13" t="inlineStr">
        <is>
          <t>STR-011</t>
        </is>
      </c>
      <c r="D12" s="13" t="inlineStr">
        <is>
          <t>COL-02C (1 nos) Roof top terrace to roof level - main bars</t>
        </is>
      </c>
      <c r="E12" s="19" t="inlineStr">
        <is>
          <t>2007</t>
        </is>
      </c>
      <c r="F12" s="19" t="n">
        <v>20</v>
      </c>
      <c r="G12" s="19" t="n">
        <v>1</v>
      </c>
      <c r="H12" s="19" t="n">
        <v>18</v>
      </c>
      <c r="I12" s="13">
        <f>G12*H12</f>
        <v>18.0</v>
      </c>
      <c r="J12" s="20">
        <f>3320/1000</f>
        <v>3.32</v>
      </c>
      <c r="K12" s="21">
        <f>I12*J12</f>
        <v>59.76</v>
      </c>
      <c r="L12" s="22">
        <f>F12^2/162</f>
        <v>2.4691358024691357</v>
      </c>
      <c r="M12" s="21">
        <f>K12*L12</f>
        <v>147.55555555555554</v>
      </c>
      <c r="N12" s="22">
        <f>M12/1000</f>
        <v>0.14755555555555555</v>
      </c>
      <c r="O12" s="13" t="inlineStr">
        <is>
          <t>Elevation + BBS length</t>
        </is>
      </c>
    </row>
    <row r="13">
      <c r="A13" s="13" t="n">
        <v>8</v>
      </c>
      <c r="B13" s="13" t="inlineStr">
        <is>
          <t>Shear Walls</t>
        </is>
      </c>
      <c r="C13" s="13" t="inlineStr">
        <is>
          <t>STR-015/016</t>
        </is>
      </c>
      <c r="D13" s="13" t="inlineStr">
        <is>
          <t>Main core CW-01 (L=3600mm) Roof top terrace to roof level - horizontal Y12@150 NF/FF</t>
        </is>
      </c>
      <c r="E13" s="19" t="inlineStr">
        <is>
          <t>H-Y12</t>
        </is>
      </c>
      <c r="F13" s="19" t="n">
        <v>12</v>
      </c>
      <c r="G13" s="19" t="n">
        <v>1</v>
      </c>
      <c r="H13" s="19">
        <f>2*19</f>
        <v>38.0</v>
      </c>
      <c r="I13" s="13">
        <f>G13*H13</f>
        <v>38.0</v>
      </c>
      <c r="J13" s="20">
        <f>(3600-2*30+40*12)/1000</f>
        <v>4.02</v>
      </c>
      <c r="K13" s="21">
        <f>I13*J13</f>
        <v>152.76</v>
      </c>
      <c r="L13" s="22">
        <f>F13^2/162</f>
        <v>0.8888888888888888</v>
      </c>
      <c r="M13" s="21">
        <f>K13*L13</f>
        <v>135.78666666666666</v>
      </c>
      <c r="N13" s="22">
        <f>M13/1000</f>
        <v>0.13578666666666667</v>
      </c>
      <c r="O13" s="13" t="inlineStr">
        <is>
          <t>Elevation count / plan length</t>
        </is>
      </c>
    </row>
    <row r="14">
      <c r="A14" s="13" t="n">
        <v>9</v>
      </c>
      <c r="B14" s="13" t="inlineStr">
        <is>
          <t>Shear Walls</t>
        </is>
      </c>
      <c r="C14" s="13" t="inlineStr">
        <is>
          <t>STR-015/016</t>
        </is>
      </c>
      <c r="D14" s="13" t="inlineStr">
        <is>
          <t>Main core CW-01 Roof top terrace to roof level - vertical Y20@150 NF/FF</t>
        </is>
      </c>
      <c r="E14" s="19" t="inlineStr">
        <is>
          <t>V-Y20</t>
        </is>
      </c>
      <c r="F14" s="19" t="n">
        <v>20</v>
      </c>
      <c r="G14" s="19" t="n">
        <v>1</v>
      </c>
      <c r="H14" s="19">
        <f>2*29</f>
        <v>58.0</v>
      </c>
      <c r="I14" s="13">
        <f>G14*H14</f>
        <v>58.0</v>
      </c>
      <c r="J14" s="20">
        <f>(3150+40*20)/1000</f>
        <v>3.95</v>
      </c>
      <c r="K14" s="21">
        <f>I14*J14</f>
        <v>229.10000000000002</v>
      </c>
      <c r="L14" s="22">
        <f>F14^2/162</f>
        <v>2.4691358024691357</v>
      </c>
      <c r="M14" s="21">
        <f>K14*L14</f>
        <v>565.679012345679</v>
      </c>
      <c r="N14" s="22">
        <f>M14/1000</f>
        <v>0.565679012345679</v>
      </c>
      <c r="O14" s="13" t="inlineStr">
        <is>
          <t>Elevation / plan</t>
        </is>
      </c>
    </row>
    <row r="15">
      <c r="A15" s="13" t="n">
        <v>10</v>
      </c>
      <c r="B15" s="13" t="inlineStr">
        <is>
          <t>Shear Walls</t>
        </is>
      </c>
      <c r="C15" s="13" t="inlineStr">
        <is>
          <t>STR-015/016</t>
        </is>
      </c>
      <c r="D15" s="13" t="inlineStr">
        <is>
          <t>Main core CW-05 (L=7250mm) Roof top terrace to roof level - horizontal Y12@150 NF/FF</t>
        </is>
      </c>
      <c r="E15" s="19" t="inlineStr">
        <is>
          <t>H-Y12</t>
        </is>
      </c>
      <c r="F15" s="19" t="n">
        <v>12</v>
      </c>
      <c r="G15" s="19" t="n">
        <v>1</v>
      </c>
      <c r="H15" s="19">
        <f>2*19</f>
        <v>38.0</v>
      </c>
      <c r="I15" s="13">
        <f>G15*H15</f>
        <v>38.0</v>
      </c>
      <c r="J15" s="20">
        <f>(7250-2*30+40*12)/1000</f>
        <v>7.67</v>
      </c>
      <c r="K15" s="21">
        <f>I15*J15</f>
        <v>291.46</v>
      </c>
      <c r="L15" s="22">
        <f>F15^2/162</f>
        <v>0.8888888888888888</v>
      </c>
      <c r="M15" s="21">
        <f>K15*L15</f>
        <v>259.0755555555555</v>
      </c>
      <c r="N15" s="22">
        <f>M15/1000</f>
        <v>0.2590755555555555</v>
      </c>
      <c r="O15" s="13" t="inlineStr">
        <is>
          <t>Elevation count / plan length</t>
        </is>
      </c>
    </row>
    <row r="16">
      <c r="A16" s="13" t="n">
        <v>11</v>
      </c>
      <c r="B16" s="13" t="inlineStr">
        <is>
          <t>Shear Walls</t>
        </is>
      </c>
      <c r="C16" s="13" t="inlineStr">
        <is>
          <t>STR-015/016</t>
        </is>
      </c>
      <c r="D16" s="13" t="inlineStr">
        <is>
          <t>Main core CW-05 Roof top terrace to roof level - vertical Y20@150 NF/FF</t>
        </is>
      </c>
      <c r="E16" s="19" t="inlineStr">
        <is>
          <t>V-Y20</t>
        </is>
      </c>
      <c r="F16" s="19" t="n">
        <v>20</v>
      </c>
      <c r="G16" s="19" t="n">
        <v>1</v>
      </c>
      <c r="H16" s="19">
        <f>2*(ROUNDUP(7250/150,0)+1)</f>
        <v>100.0</v>
      </c>
      <c r="I16" s="13">
        <f>G16*H16</f>
        <v>100.0</v>
      </c>
      <c r="J16" s="20">
        <f>(3150+40*20)/1000</f>
        <v>3.95</v>
      </c>
      <c r="K16" s="21">
        <f>I16*J16</f>
        <v>395.0</v>
      </c>
      <c r="L16" s="22">
        <f>F16^2/162</f>
        <v>2.4691358024691357</v>
      </c>
      <c r="M16" s="21">
        <f>K16*L16</f>
        <v>975.3086419753085</v>
      </c>
      <c r="N16" s="22">
        <f>M16/1000</f>
        <v>0.9753086419753085</v>
      </c>
      <c r="O16" s="13" t="inlineStr">
        <is>
          <t>Elevation / plan</t>
        </is>
      </c>
    </row>
    <row r="17">
      <c r="A17" s="13" t="n">
        <v>12</v>
      </c>
      <c r="B17" s="13" t="inlineStr">
        <is>
          <t>Shear Walls</t>
        </is>
      </c>
      <c r="C17" s="13" t="inlineStr">
        <is>
          <t>STR-015/016</t>
        </is>
      </c>
      <c r="D17" s="13" t="inlineStr">
        <is>
          <t>Main core CW-07 (stair section) (L=7250mm) Roof top terrace to roof level - horizontal Y12@150 NF/FF</t>
        </is>
      </c>
      <c r="E17" s="19" t="inlineStr">
        <is>
          <t>H-Y12</t>
        </is>
      </c>
      <c r="F17" s="19" t="n">
        <v>12</v>
      </c>
      <c r="G17" s="19" t="n">
        <v>1</v>
      </c>
      <c r="H17" s="19">
        <f>2*19</f>
        <v>38.0</v>
      </c>
      <c r="I17" s="13">
        <f>G17*H17</f>
        <v>38.0</v>
      </c>
      <c r="J17" s="20">
        <f>(7250-2*30+40*12)/1000</f>
        <v>7.67</v>
      </c>
      <c r="K17" s="21">
        <f>I17*J17</f>
        <v>291.46</v>
      </c>
      <c r="L17" s="22">
        <f>F17^2/162</f>
        <v>0.8888888888888888</v>
      </c>
      <c r="M17" s="21">
        <f>K17*L17</f>
        <v>259.0755555555555</v>
      </c>
      <c r="N17" s="22">
        <f>M17/1000</f>
        <v>0.2590755555555555</v>
      </c>
      <c r="O17" s="13" t="inlineStr">
        <is>
          <t>Elevation count / plan length</t>
        </is>
      </c>
    </row>
    <row r="18">
      <c r="A18" s="13" t="n">
        <v>13</v>
      </c>
      <c r="B18" s="13" t="inlineStr">
        <is>
          <t>Shear Walls</t>
        </is>
      </c>
      <c r="C18" s="13" t="inlineStr">
        <is>
          <t>STR-015/016</t>
        </is>
      </c>
      <c r="D18" s="13" t="inlineStr">
        <is>
          <t>Main core CW-07 (stair section) Roof top terrace to roof level - vertical Y20@150 NF/FF</t>
        </is>
      </c>
      <c r="E18" s="19" t="inlineStr">
        <is>
          <t>V-Y20</t>
        </is>
      </c>
      <c r="F18" s="19" t="n">
        <v>20</v>
      </c>
      <c r="G18" s="19" t="n">
        <v>1</v>
      </c>
      <c r="H18" s="19">
        <f>2*(ROUNDUP(7250/150,0)+1)</f>
        <v>100.0</v>
      </c>
      <c r="I18" s="13">
        <f>G18*H18</f>
        <v>100.0</v>
      </c>
      <c r="J18" s="20">
        <f>(3150+40*20)/1000</f>
        <v>3.95</v>
      </c>
      <c r="K18" s="21">
        <f>I18*J18</f>
        <v>395.0</v>
      </c>
      <c r="L18" s="22">
        <f>F18^2/162</f>
        <v>2.4691358024691357</v>
      </c>
      <c r="M18" s="21">
        <f>K18*L18</f>
        <v>975.3086419753085</v>
      </c>
      <c r="N18" s="22">
        <f>M18/1000</f>
        <v>0.9753086419753085</v>
      </c>
      <c r="O18" s="13" t="inlineStr">
        <is>
          <t>Elevation / plan</t>
        </is>
      </c>
    </row>
    <row r="19">
      <c r="A19" s="13" t="n">
        <v>14</v>
      </c>
      <c r="B19" s="13" t="inlineStr">
        <is>
          <t>Shear Walls</t>
        </is>
      </c>
      <c r="C19" s="13" t="inlineStr">
        <is>
          <t>STR-015/016</t>
        </is>
      </c>
      <c r="D19" s="13" t="inlineStr">
        <is>
          <t>Main core CW-09 (L=1150mm) Roof top terrace to roof level - horizontal Y12@150 NF/FF</t>
        </is>
      </c>
      <c r="E19" s="19" t="inlineStr">
        <is>
          <t>H-Y12</t>
        </is>
      </c>
      <c r="F19" s="19" t="n">
        <v>12</v>
      </c>
      <c r="G19" s="19" t="n">
        <v>1</v>
      </c>
      <c r="H19" s="19">
        <f>2*19</f>
        <v>38.0</v>
      </c>
      <c r="I19" s="13">
        <f>G19*H19</f>
        <v>38.0</v>
      </c>
      <c r="J19" s="20">
        <f>(1150-2*30+40*12)/1000</f>
        <v>1.57</v>
      </c>
      <c r="K19" s="21">
        <f>I19*J19</f>
        <v>59.660000000000004</v>
      </c>
      <c r="L19" s="22">
        <f>F19^2/162</f>
        <v>0.8888888888888888</v>
      </c>
      <c r="M19" s="21">
        <f>K19*L19</f>
        <v>53.03111111111111</v>
      </c>
      <c r="N19" s="22">
        <f>M19/1000</f>
        <v>0.05303111111111111</v>
      </c>
      <c r="O19" s="13" t="inlineStr">
        <is>
          <t>Elevation count / plan length</t>
        </is>
      </c>
    </row>
    <row r="20">
      <c r="A20" s="13" t="n">
        <v>15</v>
      </c>
      <c r="B20" s="13" t="inlineStr">
        <is>
          <t>Shear Walls</t>
        </is>
      </c>
      <c r="C20" s="13" t="inlineStr">
        <is>
          <t>STR-015/016</t>
        </is>
      </c>
      <c r="D20" s="13" t="inlineStr">
        <is>
          <t>Main core CW-09 Roof top terrace to roof level - vertical Y20@150 NF/FF</t>
        </is>
      </c>
      <c r="E20" s="19" t="inlineStr">
        <is>
          <t>V-Y20</t>
        </is>
      </c>
      <c r="F20" s="19" t="n">
        <v>20</v>
      </c>
      <c r="G20" s="19" t="n">
        <v>1</v>
      </c>
      <c r="H20" s="19">
        <f>2*(ROUNDUP(1150/150,0)+1)</f>
        <v>18.0</v>
      </c>
      <c r="I20" s="13">
        <f>G20*H20</f>
        <v>18.0</v>
      </c>
      <c r="J20" s="20">
        <f>(3150+40*20)/1000</f>
        <v>3.95</v>
      </c>
      <c r="K20" s="21">
        <f>I20*J20</f>
        <v>71.10000000000001</v>
      </c>
      <c r="L20" s="22">
        <f>F20^2/162</f>
        <v>2.4691358024691357</v>
      </c>
      <c r="M20" s="21">
        <f>K20*L20</f>
        <v>175.55555555555557</v>
      </c>
      <c r="N20" s="22">
        <f>M20/1000</f>
        <v>0.17555555555555558</v>
      </c>
      <c r="O20" s="13" t="inlineStr">
        <is>
          <t>Elevation / plan</t>
        </is>
      </c>
    </row>
    <row r="21">
      <c r="A21" s="13" t="n">
        <v>16</v>
      </c>
      <c r="B21" s="13" t="inlineStr">
        <is>
          <t>Shear Walls</t>
        </is>
      </c>
      <c r="C21" s="13" t="inlineStr">
        <is>
          <t>STR-015/016</t>
        </is>
      </c>
      <c r="D21" s="13" t="inlineStr">
        <is>
          <t>Main core CW-10 (L=1150mm) Roof top terrace to roof level - horizontal Y12@150 NF/FF</t>
        </is>
      </c>
      <c r="E21" s="19" t="inlineStr">
        <is>
          <t>H-Y12</t>
        </is>
      </c>
      <c r="F21" s="19" t="n">
        <v>12</v>
      </c>
      <c r="G21" s="19" t="n">
        <v>1</v>
      </c>
      <c r="H21" s="19">
        <f>2*19</f>
        <v>38.0</v>
      </c>
      <c r="I21" s="13">
        <f>G21*H21</f>
        <v>38.0</v>
      </c>
      <c r="J21" s="20">
        <f>(1150-2*30+40*12)/1000</f>
        <v>1.57</v>
      </c>
      <c r="K21" s="21">
        <f>I21*J21</f>
        <v>59.660000000000004</v>
      </c>
      <c r="L21" s="22">
        <f>F21^2/162</f>
        <v>0.8888888888888888</v>
      </c>
      <c r="M21" s="21">
        <f>K21*L21</f>
        <v>53.03111111111111</v>
      </c>
      <c r="N21" s="22">
        <f>M21/1000</f>
        <v>0.05303111111111111</v>
      </c>
      <c r="O21" s="13" t="inlineStr">
        <is>
          <t>Elevation count / plan length</t>
        </is>
      </c>
    </row>
    <row r="22">
      <c r="A22" s="13" t="n">
        <v>17</v>
      </c>
      <c r="B22" s="13" t="inlineStr">
        <is>
          <t>Shear Walls</t>
        </is>
      </c>
      <c r="C22" s="13" t="inlineStr">
        <is>
          <t>STR-015/016</t>
        </is>
      </c>
      <c r="D22" s="13" t="inlineStr">
        <is>
          <t>Main core CW-10 Roof top terrace to roof level - vertical Y20@150 NF/FF</t>
        </is>
      </c>
      <c r="E22" s="19" t="inlineStr">
        <is>
          <t>V-Y20</t>
        </is>
      </c>
      <c r="F22" s="19" t="n">
        <v>20</v>
      </c>
      <c r="G22" s="19" t="n">
        <v>1</v>
      </c>
      <c r="H22" s="19">
        <f>2*(ROUNDUP(1150/150,0)+1)</f>
        <v>18.0</v>
      </c>
      <c r="I22" s="13">
        <f>G22*H22</f>
        <v>18.0</v>
      </c>
      <c r="J22" s="20">
        <f>(3150+40*20)/1000</f>
        <v>3.95</v>
      </c>
      <c r="K22" s="21">
        <f>I22*J22</f>
        <v>71.10000000000001</v>
      </c>
      <c r="L22" s="22">
        <f>F22^2/162</f>
        <v>2.4691358024691357</v>
      </c>
      <c r="M22" s="21">
        <f>K22*L22</f>
        <v>175.55555555555557</v>
      </c>
      <c r="N22" s="22">
        <f>M22/1000</f>
        <v>0.17555555555555558</v>
      </c>
      <c r="O22" s="13" t="inlineStr">
        <is>
          <t>Elevation / plan</t>
        </is>
      </c>
    </row>
    <row r="23">
      <c r="A23" s="13" t="n">
        <v>18</v>
      </c>
      <c r="B23" s="13" t="inlineStr">
        <is>
          <t>Shear Walls</t>
        </is>
      </c>
      <c r="C23" s="13" t="inlineStr">
        <is>
          <t>STR-015/016</t>
        </is>
      </c>
      <c r="D23" s="13" t="inlineStr">
        <is>
          <t>Main core CW-11 (L=1650mm) Roof top terrace to roof level - horizontal Y12@150 NF/FF</t>
        </is>
      </c>
      <c r="E23" s="19" t="inlineStr">
        <is>
          <t>H-Y12</t>
        </is>
      </c>
      <c r="F23" s="19" t="n">
        <v>12</v>
      </c>
      <c r="G23" s="19" t="n">
        <v>1</v>
      </c>
      <c r="H23" s="19">
        <f>2*19</f>
        <v>38.0</v>
      </c>
      <c r="I23" s="13">
        <f>G23*H23</f>
        <v>38.0</v>
      </c>
      <c r="J23" s="20">
        <f>(1650-2*30+40*12)/1000</f>
        <v>2.07</v>
      </c>
      <c r="K23" s="21">
        <f>I23*J23</f>
        <v>78.66</v>
      </c>
      <c r="L23" s="22">
        <f>F23^2/162</f>
        <v>0.8888888888888888</v>
      </c>
      <c r="M23" s="21">
        <f>K23*L23</f>
        <v>69.91999999999999</v>
      </c>
      <c r="N23" s="22">
        <f>M23/1000</f>
        <v>0.06991999999999998</v>
      </c>
      <c r="O23" s="13" t="inlineStr">
        <is>
          <t>Elevation count / plan length</t>
        </is>
      </c>
    </row>
    <row r="24">
      <c r="A24" s="13" t="n">
        <v>19</v>
      </c>
      <c r="B24" s="13" t="inlineStr">
        <is>
          <t>Shear Walls</t>
        </is>
      </c>
      <c r="C24" s="13" t="inlineStr">
        <is>
          <t>STR-015/016</t>
        </is>
      </c>
      <c r="D24" s="13" t="inlineStr">
        <is>
          <t>Main core CW-11 Roof top terrace to roof level - vertical Y20@150 NF/FF</t>
        </is>
      </c>
      <c r="E24" s="19" t="inlineStr">
        <is>
          <t>V-Y20</t>
        </is>
      </c>
      <c r="F24" s="19" t="n">
        <v>20</v>
      </c>
      <c r="G24" s="19" t="n">
        <v>1</v>
      </c>
      <c r="H24" s="19">
        <f>2*(ROUNDUP(1650/150,0)+1)</f>
        <v>24.0</v>
      </c>
      <c r="I24" s="13">
        <f>G24*H24</f>
        <v>24.0</v>
      </c>
      <c r="J24" s="20">
        <f>(3150+40*20)/1000</f>
        <v>3.95</v>
      </c>
      <c r="K24" s="21">
        <f>I24*J24</f>
        <v>94.80000000000001</v>
      </c>
      <c r="L24" s="22">
        <f>F24^2/162</f>
        <v>2.4691358024691357</v>
      </c>
      <c r="M24" s="21">
        <f>K24*L24</f>
        <v>234.07407407407408</v>
      </c>
      <c r="N24" s="22">
        <f>M24/1000</f>
        <v>0.23407407407407407</v>
      </c>
      <c r="O24" s="13" t="inlineStr">
        <is>
          <t>Elevation / plan</t>
        </is>
      </c>
    </row>
    <row r="25">
      <c r="A25" s="13" t="n">
        <v>20</v>
      </c>
      <c r="B25" s="13" t="inlineStr">
        <is>
          <t>Shear Walls</t>
        </is>
      </c>
      <c r="C25" s="13" t="inlineStr">
        <is>
          <t>STR-015/016</t>
        </is>
      </c>
      <c r="D25" s="13" t="inlineStr">
        <is>
          <t>Main core confinement links Y10@150 (26 positions on plan) Roof top terrace to roof level</t>
        </is>
      </c>
      <c r="E25" s="19" t="inlineStr">
        <is>
          <t>LNK-Y10</t>
        </is>
      </c>
      <c r="F25" s="19" t="n">
        <v>10</v>
      </c>
      <c r="G25" s="19" t="n">
        <v>1</v>
      </c>
      <c r="H25" s="19">
        <f>26*ROUNDUP(3150/150,0)</f>
        <v>546.0</v>
      </c>
      <c r="I25" s="13">
        <f>G25*H25</f>
        <v>546.0</v>
      </c>
      <c r="J25" s="20">
        <f>1800/1000</f>
        <v>1.8</v>
      </c>
      <c r="K25" s="21">
        <f>I25*J25</f>
        <v>982.8000000000001</v>
      </c>
      <c r="L25" s="22">
        <f>F25^2/162</f>
        <v>0.6172839506172839</v>
      </c>
      <c r="M25" s="21">
        <f>K25*L25</f>
        <v>606.6666666666666</v>
      </c>
      <c r="N25" s="22">
        <f>M25/1000</f>
        <v>0.6066666666666666</v>
      </c>
      <c r="O25" s="13" t="inlineStr">
        <is>
          <t>Assumed link cut length</t>
        </is>
      </c>
    </row>
    <row r="26">
      <c r="A26" s="13" t="n">
        <v>21</v>
      </c>
      <c r="B26" s="13" t="inlineStr">
        <is>
          <t>Shear Walls</t>
        </is>
      </c>
      <c r="C26" s="13" t="inlineStr">
        <is>
          <t>STR-013/014</t>
        </is>
      </c>
      <c r="D26" s="13" t="inlineStr">
        <is>
          <t>Emergency stair core CW-12 (L=7050mm) Roof top terrace to roof level - horizontal Y12@150 NF/FF</t>
        </is>
      </c>
      <c r="E26" s="19" t="inlineStr">
        <is>
          <t>H-Y12</t>
        </is>
      </c>
      <c r="F26" s="19" t="n">
        <v>12</v>
      </c>
      <c r="G26" s="19" t="n">
        <v>1</v>
      </c>
      <c r="H26" s="19">
        <f>2*19</f>
        <v>38.0</v>
      </c>
      <c r="I26" s="13">
        <f>G26*H26</f>
        <v>38.0</v>
      </c>
      <c r="J26" s="20">
        <f>(7050-2*30+40*12)/1000</f>
        <v>7.47</v>
      </c>
      <c r="K26" s="21">
        <f>I26*J26</f>
        <v>283.86</v>
      </c>
      <c r="L26" s="22">
        <f>F26^2/162</f>
        <v>0.8888888888888888</v>
      </c>
      <c r="M26" s="21">
        <f>K26*L26</f>
        <v>252.32</v>
      </c>
      <c r="N26" s="22">
        <f>M26/1000</f>
        <v>0.25232</v>
      </c>
      <c r="O26" s="13" t="inlineStr">
        <is>
          <t>Elevation count / plan length</t>
        </is>
      </c>
    </row>
    <row r="27">
      <c r="A27" s="13" t="n">
        <v>22</v>
      </c>
      <c r="B27" s="13" t="inlineStr">
        <is>
          <t>Shear Walls</t>
        </is>
      </c>
      <c r="C27" s="13" t="inlineStr">
        <is>
          <t>STR-013/014</t>
        </is>
      </c>
      <c r="D27" s="13" t="inlineStr">
        <is>
          <t>Emergency stair core CW-12 Roof top terrace to roof level - vertical Y20@150 NF/FF</t>
        </is>
      </c>
      <c r="E27" s="19" t="inlineStr">
        <is>
          <t>V-Y20</t>
        </is>
      </c>
      <c r="F27" s="19" t="n">
        <v>20</v>
      </c>
      <c r="G27" s="19" t="n">
        <v>1</v>
      </c>
      <c r="H27" s="19">
        <f>2*(ROUNDUP(7050/150,0)+1)</f>
        <v>96.0</v>
      </c>
      <c r="I27" s="13">
        <f>G27*H27</f>
        <v>96.0</v>
      </c>
      <c r="J27" s="20">
        <f>(3150+40*20)/1000</f>
        <v>3.95</v>
      </c>
      <c r="K27" s="21">
        <f>I27*J27</f>
        <v>379.20000000000005</v>
      </c>
      <c r="L27" s="22">
        <f>F27^2/162</f>
        <v>2.4691358024691357</v>
      </c>
      <c r="M27" s="21">
        <f>K27*L27</f>
        <v>936.2962962962963</v>
      </c>
      <c r="N27" s="22">
        <f>M27/1000</f>
        <v>0.9362962962962963</v>
      </c>
      <c r="O27" s="13" t="inlineStr">
        <is>
          <t>Elevation / plan</t>
        </is>
      </c>
    </row>
    <row r="28">
      <c r="A28" s="13" t="n">
        <v>23</v>
      </c>
      <c r="B28" s="13" t="inlineStr">
        <is>
          <t>Shear Walls</t>
        </is>
      </c>
      <c r="C28" s="13" t="inlineStr">
        <is>
          <t>STR-013/014</t>
        </is>
      </c>
      <c r="D28" s="13" t="inlineStr">
        <is>
          <t>Emergency stair core CW-13 (L=7810mm) Roof top terrace to roof level - horizontal Y12@150 NF/FF</t>
        </is>
      </c>
      <c r="E28" s="19" t="inlineStr">
        <is>
          <t>H-Y12</t>
        </is>
      </c>
      <c r="F28" s="19" t="n">
        <v>12</v>
      </c>
      <c r="G28" s="19" t="n">
        <v>1</v>
      </c>
      <c r="H28" s="19">
        <f>2*19</f>
        <v>38.0</v>
      </c>
      <c r="I28" s="13">
        <f>G28*H28</f>
        <v>38.0</v>
      </c>
      <c r="J28" s="20">
        <f>(7810-2*30+40*12)/1000</f>
        <v>8.23</v>
      </c>
      <c r="K28" s="21">
        <f>I28*J28</f>
        <v>312.74</v>
      </c>
      <c r="L28" s="22">
        <f>F28^2/162</f>
        <v>0.8888888888888888</v>
      </c>
      <c r="M28" s="21">
        <f>K28*L28</f>
        <v>277.9911111111111</v>
      </c>
      <c r="N28" s="22">
        <f>M28/1000</f>
        <v>0.2779911111111111</v>
      </c>
      <c r="O28" s="13" t="inlineStr">
        <is>
          <t>Elevation count / plan length</t>
        </is>
      </c>
    </row>
    <row r="29">
      <c r="A29" s="13" t="n">
        <v>24</v>
      </c>
      <c r="B29" s="13" t="inlineStr">
        <is>
          <t>Shear Walls</t>
        </is>
      </c>
      <c r="C29" s="13" t="inlineStr">
        <is>
          <t>STR-013/014</t>
        </is>
      </c>
      <c r="D29" s="13" t="inlineStr">
        <is>
          <t>Emergency stair core CW-13 Roof top terrace to roof level - vertical Y20@150 NF/FF</t>
        </is>
      </c>
      <c r="E29" s="19" t="inlineStr">
        <is>
          <t>V-Y20</t>
        </is>
      </c>
      <c r="F29" s="19" t="n">
        <v>20</v>
      </c>
      <c r="G29" s="19" t="n">
        <v>1</v>
      </c>
      <c r="H29" s="19">
        <f>2*52</f>
        <v>104.0</v>
      </c>
      <c r="I29" s="13">
        <f>G29*H29</f>
        <v>104.0</v>
      </c>
      <c r="J29" s="20">
        <f>(3150+40*20)/1000</f>
        <v>3.95</v>
      </c>
      <c r="K29" s="21">
        <f>I29*J29</f>
        <v>410.8</v>
      </c>
      <c r="L29" s="22">
        <f>F29^2/162</f>
        <v>2.4691358024691357</v>
      </c>
      <c r="M29" s="21">
        <f>K29*L29</f>
        <v>1014.320987654321</v>
      </c>
      <c r="N29" s="22">
        <f>M29/1000</f>
        <v>1.014320987654321</v>
      </c>
      <c r="O29" s="13" t="inlineStr">
        <is>
          <t>Elevation / plan</t>
        </is>
      </c>
    </row>
    <row r="30">
      <c r="A30" s="13" t="n">
        <v>25</v>
      </c>
      <c r="B30" s="13" t="inlineStr">
        <is>
          <t>Shear Walls</t>
        </is>
      </c>
      <c r="C30" s="13" t="inlineStr">
        <is>
          <t>STR-013/014</t>
        </is>
      </c>
      <c r="D30" s="13" t="inlineStr">
        <is>
          <t>Emergency stair core CW-14 (L=3450mm) Roof top terrace to roof level - horizontal Y12@150 NF/FF</t>
        </is>
      </c>
      <c r="E30" s="19" t="inlineStr">
        <is>
          <t>H-Y12</t>
        </is>
      </c>
      <c r="F30" s="19" t="n">
        <v>12</v>
      </c>
      <c r="G30" s="19" t="n">
        <v>1</v>
      </c>
      <c r="H30" s="19">
        <f>2*19</f>
        <v>38.0</v>
      </c>
      <c r="I30" s="13">
        <f>G30*H30</f>
        <v>38.0</v>
      </c>
      <c r="J30" s="20">
        <f>(3450-2*30+40*12)/1000</f>
        <v>3.87</v>
      </c>
      <c r="K30" s="21">
        <f>I30*J30</f>
        <v>147.06</v>
      </c>
      <c r="L30" s="22">
        <f>F30^2/162</f>
        <v>0.8888888888888888</v>
      </c>
      <c r="M30" s="21">
        <f>K30*L30</f>
        <v>130.72</v>
      </c>
      <c r="N30" s="22">
        <f>M30/1000</f>
        <v>0.13072</v>
      </c>
      <c r="O30" s="13" t="inlineStr">
        <is>
          <t>Elevation count / plan length</t>
        </is>
      </c>
    </row>
    <row r="31">
      <c r="A31" s="13" t="n">
        <v>26</v>
      </c>
      <c r="B31" s="13" t="inlineStr">
        <is>
          <t>Shear Walls</t>
        </is>
      </c>
      <c r="C31" s="13" t="inlineStr">
        <is>
          <t>STR-013/014</t>
        </is>
      </c>
      <c r="D31" s="13" t="inlineStr">
        <is>
          <t>Emergency stair core CW-14 Roof top terrace to roof level - vertical Y20@150 NF/FF</t>
        </is>
      </c>
      <c r="E31" s="19" t="inlineStr">
        <is>
          <t>V-Y20</t>
        </is>
      </c>
      <c r="F31" s="19" t="n">
        <v>20</v>
      </c>
      <c r="G31" s="19" t="n">
        <v>1</v>
      </c>
      <c r="H31" s="19">
        <f>2*(ROUNDUP(3450/150,0)+1)</f>
        <v>48.0</v>
      </c>
      <c r="I31" s="13">
        <f>G31*H31</f>
        <v>48.0</v>
      </c>
      <c r="J31" s="20">
        <f>(3150+40*20)/1000</f>
        <v>3.95</v>
      </c>
      <c r="K31" s="21">
        <f>I31*J31</f>
        <v>189.60000000000002</v>
      </c>
      <c r="L31" s="22">
        <f>F31^2/162</f>
        <v>2.4691358024691357</v>
      </c>
      <c r="M31" s="21">
        <f>K31*L31</f>
        <v>468.14814814814815</v>
      </c>
      <c r="N31" s="22">
        <f>M31/1000</f>
        <v>0.46814814814814815</v>
      </c>
      <c r="O31" s="13" t="inlineStr">
        <is>
          <t>Elevation / plan</t>
        </is>
      </c>
    </row>
    <row r="32">
      <c r="A32" s="13" t="n">
        <v>27</v>
      </c>
      <c r="B32" s="13" t="inlineStr">
        <is>
          <t>Shear Walls</t>
        </is>
      </c>
      <c r="C32" s="13" t="inlineStr">
        <is>
          <t>STR-013/014</t>
        </is>
      </c>
      <c r="D32" s="13" t="inlineStr">
        <is>
          <t>Emergency stair core CW-15 (L=2425mm) Roof top terrace to roof level - horizontal Y12@150 NF/FF</t>
        </is>
      </c>
      <c r="E32" s="19" t="inlineStr">
        <is>
          <t>H-Y12</t>
        </is>
      </c>
      <c r="F32" s="19" t="n">
        <v>12</v>
      </c>
      <c r="G32" s="19" t="n">
        <v>1</v>
      </c>
      <c r="H32" s="19">
        <f>2*19</f>
        <v>38.0</v>
      </c>
      <c r="I32" s="13">
        <f>G32*H32</f>
        <v>38.0</v>
      </c>
      <c r="J32" s="20">
        <f>(2425-2*30+40*12)/1000</f>
        <v>2.845</v>
      </c>
      <c r="K32" s="21">
        <f>I32*J32</f>
        <v>108.11000000000001</v>
      </c>
      <c r="L32" s="22">
        <f>F32^2/162</f>
        <v>0.8888888888888888</v>
      </c>
      <c r="M32" s="21">
        <f>K32*L32</f>
        <v>96.09777777777778</v>
      </c>
      <c r="N32" s="22">
        <f>M32/1000</f>
        <v>0.09609777777777778</v>
      </c>
      <c r="O32" s="13" t="inlineStr">
        <is>
          <t>Elevation count / plan length</t>
        </is>
      </c>
    </row>
    <row r="33">
      <c r="A33" s="13" t="n">
        <v>28</v>
      </c>
      <c r="B33" s="13" t="inlineStr">
        <is>
          <t>Shear Walls</t>
        </is>
      </c>
      <c r="C33" s="13" t="inlineStr">
        <is>
          <t>STR-013/014</t>
        </is>
      </c>
      <c r="D33" s="13" t="inlineStr">
        <is>
          <t>Emergency stair core CW-15 Roof top terrace to roof level - vertical Y20@150 NF/FF</t>
        </is>
      </c>
      <c r="E33" s="19" t="inlineStr">
        <is>
          <t>V-Y20</t>
        </is>
      </c>
      <c r="F33" s="19" t="n">
        <v>20</v>
      </c>
      <c r="G33" s="19" t="n">
        <v>1</v>
      </c>
      <c r="H33" s="19">
        <f>2*(ROUNDUP(2425/150,0)+1)</f>
        <v>36.0</v>
      </c>
      <c r="I33" s="13">
        <f>G33*H33</f>
        <v>36.0</v>
      </c>
      <c r="J33" s="20">
        <f>(3150+40*20)/1000</f>
        <v>3.95</v>
      </c>
      <c r="K33" s="21">
        <f>I33*J33</f>
        <v>142.20000000000002</v>
      </c>
      <c r="L33" s="22">
        <f>F33^2/162</f>
        <v>2.4691358024691357</v>
      </c>
      <c r="M33" s="21">
        <f>K33*L33</f>
        <v>351.11111111111114</v>
      </c>
      <c r="N33" s="22">
        <f>M33/1000</f>
        <v>0.35111111111111115</v>
      </c>
      <c r="O33" s="13" t="inlineStr">
        <is>
          <t>Elevation / plan</t>
        </is>
      </c>
    </row>
    <row r="34">
      <c r="A34" s="13" t="n">
        <v>29</v>
      </c>
      <c r="B34" s="13" t="inlineStr">
        <is>
          <t>Shear Walls</t>
        </is>
      </c>
      <c r="C34" s="13" t="inlineStr">
        <is>
          <t>STR-013/014</t>
        </is>
      </c>
      <c r="D34" s="13" t="inlineStr">
        <is>
          <t>Emergency stair core CW-16 (L=775mm) Roof top terrace to roof level - horizontal Y12@150 NF/FF</t>
        </is>
      </c>
      <c r="E34" s="19" t="inlineStr">
        <is>
          <t>H-Y12</t>
        </is>
      </c>
      <c r="F34" s="19" t="n">
        <v>12</v>
      </c>
      <c r="G34" s="19" t="n">
        <v>1</v>
      </c>
      <c r="H34" s="19">
        <f>2*19</f>
        <v>38.0</v>
      </c>
      <c r="I34" s="13">
        <f>G34*H34</f>
        <v>38.0</v>
      </c>
      <c r="J34" s="20">
        <f>(775-2*30+40*12)/1000</f>
        <v>1.195</v>
      </c>
      <c r="K34" s="21">
        <f>I34*J34</f>
        <v>45.410000000000004</v>
      </c>
      <c r="L34" s="22">
        <f>F34^2/162</f>
        <v>0.8888888888888888</v>
      </c>
      <c r="M34" s="21">
        <f>K34*L34</f>
        <v>40.364444444444445</v>
      </c>
      <c r="N34" s="22">
        <f>M34/1000</f>
        <v>0.040364444444444446</v>
      </c>
      <c r="O34" s="13" t="inlineStr">
        <is>
          <t>Elevation count / plan length</t>
        </is>
      </c>
    </row>
    <row r="35">
      <c r="A35" s="13" t="n">
        <v>30</v>
      </c>
      <c r="B35" s="13" t="inlineStr">
        <is>
          <t>Shear Walls</t>
        </is>
      </c>
      <c r="C35" s="13" t="inlineStr">
        <is>
          <t>STR-013/014</t>
        </is>
      </c>
      <c r="D35" s="13" t="inlineStr">
        <is>
          <t>Emergency stair core CW-16 Roof top terrace to roof level - vertical Y20@150 NF/FF</t>
        </is>
      </c>
      <c r="E35" s="19" t="inlineStr">
        <is>
          <t>V-Y20</t>
        </is>
      </c>
      <c r="F35" s="19" t="n">
        <v>20</v>
      </c>
      <c r="G35" s="19" t="n">
        <v>1</v>
      </c>
      <c r="H35" s="19">
        <f>2*(ROUNDUP(775/150,0)+1)</f>
        <v>14.0</v>
      </c>
      <c r="I35" s="13">
        <f>G35*H35</f>
        <v>14.0</v>
      </c>
      <c r="J35" s="20">
        <f>(3150+40*20)/1000</f>
        <v>3.95</v>
      </c>
      <c r="K35" s="21">
        <f>I35*J35</f>
        <v>55.300000000000004</v>
      </c>
      <c r="L35" s="22">
        <f>F35^2/162</f>
        <v>2.4691358024691357</v>
      </c>
      <c r="M35" s="21">
        <f>K35*L35</f>
        <v>136.54320987654322</v>
      </c>
      <c r="N35" s="22">
        <f>M35/1000</f>
        <v>0.13654320987654323</v>
      </c>
      <c r="O35" s="13" t="inlineStr">
        <is>
          <t>Elevation / plan</t>
        </is>
      </c>
    </row>
    <row r="36">
      <c r="A36" s="13" t="n">
        <v>31</v>
      </c>
      <c r="B36" s="13" t="inlineStr">
        <is>
          <t>Shear Walls</t>
        </is>
      </c>
      <c r="C36" s="13" t="inlineStr">
        <is>
          <t>STR-013/014</t>
        </is>
      </c>
      <c r="D36" s="13" t="inlineStr">
        <is>
          <t>Emergency stair core CW-17 (L=360mm) Roof top terrace to roof level - horizontal Y12@150 NF/FF</t>
        </is>
      </c>
      <c r="E36" s="19" t="inlineStr">
        <is>
          <t>H-Y12</t>
        </is>
      </c>
      <c r="F36" s="19" t="n">
        <v>12</v>
      </c>
      <c r="G36" s="19" t="n">
        <v>1</v>
      </c>
      <c r="H36" s="19">
        <f>2*19</f>
        <v>38.0</v>
      </c>
      <c r="I36" s="13">
        <f>G36*H36</f>
        <v>38.0</v>
      </c>
      <c r="J36" s="20">
        <f>(360-2*30+40*12)/1000</f>
        <v>0.78</v>
      </c>
      <c r="K36" s="21">
        <f>I36*J36</f>
        <v>29.64</v>
      </c>
      <c r="L36" s="22">
        <f>F36^2/162</f>
        <v>0.8888888888888888</v>
      </c>
      <c r="M36" s="21">
        <f>K36*L36</f>
        <v>26.346666666666664</v>
      </c>
      <c r="N36" s="22">
        <f>M36/1000</f>
        <v>0.026346666666666664</v>
      </c>
      <c r="O36" s="13" t="inlineStr">
        <is>
          <t>Elevation count / plan length</t>
        </is>
      </c>
    </row>
    <row r="37">
      <c r="A37" s="13" t="n">
        <v>32</v>
      </c>
      <c r="B37" s="13" t="inlineStr">
        <is>
          <t>Shear Walls</t>
        </is>
      </c>
      <c r="C37" s="13" t="inlineStr">
        <is>
          <t>STR-013/014</t>
        </is>
      </c>
      <c r="D37" s="13" t="inlineStr">
        <is>
          <t>Emergency stair core CW-17 Roof top terrace to roof level - vertical Y20@150 NF/FF</t>
        </is>
      </c>
      <c r="E37" s="19" t="inlineStr">
        <is>
          <t>V-Y20</t>
        </is>
      </c>
      <c r="F37" s="19" t="n">
        <v>20</v>
      </c>
      <c r="G37" s="19" t="n">
        <v>1</v>
      </c>
      <c r="H37" s="19">
        <f>2*(ROUNDUP(360/150,0)+1)</f>
        <v>8.0</v>
      </c>
      <c r="I37" s="13">
        <f>G37*H37</f>
        <v>8.0</v>
      </c>
      <c r="J37" s="20">
        <f>(3150+40*20)/1000</f>
        <v>3.95</v>
      </c>
      <c r="K37" s="21">
        <f>I37*J37</f>
        <v>31.6</v>
      </c>
      <c r="L37" s="22">
        <f>F37^2/162</f>
        <v>2.4691358024691357</v>
      </c>
      <c r="M37" s="21">
        <f>K37*L37</f>
        <v>78.0246913580247</v>
      </c>
      <c r="N37" s="22">
        <f>M37/1000</f>
        <v>0.0780246913580247</v>
      </c>
      <c r="O37" s="13" t="inlineStr">
        <is>
          <t>Elevation / plan</t>
        </is>
      </c>
    </row>
    <row r="38">
      <c r="A38" s="13" t="n">
        <v>33</v>
      </c>
      <c r="B38" s="13" t="inlineStr">
        <is>
          <t>Shear Walls</t>
        </is>
      </c>
      <c r="C38" s="13" t="inlineStr">
        <is>
          <t>STR-013/014</t>
        </is>
      </c>
      <c r="D38" s="13" t="inlineStr">
        <is>
          <t>Emergency stair core CW-18 (L=1300mm) Roof top terrace to roof level - horizontal Y12@150 NF/FF</t>
        </is>
      </c>
      <c r="E38" s="19" t="inlineStr">
        <is>
          <t>H-Y12</t>
        </is>
      </c>
      <c r="F38" s="19" t="n">
        <v>12</v>
      </c>
      <c r="G38" s="19" t="n">
        <v>1</v>
      </c>
      <c r="H38" s="19">
        <f>2*19</f>
        <v>38.0</v>
      </c>
      <c r="I38" s="13">
        <f>G38*H38</f>
        <v>38.0</v>
      </c>
      <c r="J38" s="20">
        <f>(1300-2*30+40*12)/1000</f>
        <v>1.72</v>
      </c>
      <c r="K38" s="21">
        <f>I38*J38</f>
        <v>65.36</v>
      </c>
      <c r="L38" s="22">
        <f>F38^2/162</f>
        <v>0.8888888888888888</v>
      </c>
      <c r="M38" s="21">
        <f>K38*L38</f>
        <v>58.09777777777777</v>
      </c>
      <c r="N38" s="22">
        <f>M38/1000</f>
        <v>0.05809777777777777</v>
      </c>
      <c r="O38" s="13" t="inlineStr">
        <is>
          <t>Elevation count / plan length</t>
        </is>
      </c>
    </row>
    <row r="39">
      <c r="A39" s="13" t="n">
        <v>34</v>
      </c>
      <c r="B39" s="13" t="inlineStr">
        <is>
          <t>Shear Walls</t>
        </is>
      </c>
      <c r="C39" s="13" t="inlineStr">
        <is>
          <t>STR-013/014</t>
        </is>
      </c>
      <c r="D39" s="13" t="inlineStr">
        <is>
          <t>Emergency stair core CW-18 Roof top terrace to roof level - vertical Y20@150 NF/FF</t>
        </is>
      </c>
      <c r="E39" s="19" t="inlineStr">
        <is>
          <t>V-Y20</t>
        </is>
      </c>
      <c r="F39" s="19" t="n">
        <v>20</v>
      </c>
      <c r="G39" s="19" t="n">
        <v>1</v>
      </c>
      <c r="H39" s="19">
        <f>2*(ROUNDUP(1300/150,0)+1)</f>
        <v>20.0</v>
      </c>
      <c r="I39" s="13">
        <f>G39*H39</f>
        <v>20.0</v>
      </c>
      <c r="J39" s="20">
        <f>(3150+40*20)/1000</f>
        <v>3.95</v>
      </c>
      <c r="K39" s="21">
        <f>I39*J39</f>
        <v>79.0</v>
      </c>
      <c r="L39" s="22">
        <f>F39^2/162</f>
        <v>2.4691358024691357</v>
      </c>
      <c r="M39" s="21">
        <f>K39*L39</f>
        <v>195.06172839506172</v>
      </c>
      <c r="N39" s="22">
        <f>M39/1000</f>
        <v>0.19506172839506172</v>
      </c>
      <c r="O39" s="13" t="inlineStr">
        <is>
          <t>Elevation / plan</t>
        </is>
      </c>
    </row>
    <row r="40">
      <c r="A40" s="13" t="n">
        <v>35</v>
      </c>
      <c r="B40" s="13" t="inlineStr">
        <is>
          <t>Shear Walls</t>
        </is>
      </c>
      <c r="C40" s="13" t="inlineStr">
        <is>
          <t>STR-013/014</t>
        </is>
      </c>
      <c r="D40" s="13" t="inlineStr">
        <is>
          <t>Emergency stair core CW-19 (L=1100mm) Roof top terrace to roof level - horizontal Y12@150 NF/FF</t>
        </is>
      </c>
      <c r="E40" s="19" t="inlineStr">
        <is>
          <t>H-Y12</t>
        </is>
      </c>
      <c r="F40" s="19" t="n">
        <v>12</v>
      </c>
      <c r="G40" s="19" t="n">
        <v>1</v>
      </c>
      <c r="H40" s="19">
        <f>2*19</f>
        <v>38.0</v>
      </c>
      <c r="I40" s="13">
        <f>G40*H40</f>
        <v>38.0</v>
      </c>
      <c r="J40" s="20">
        <f>(1100-2*30+40*12)/1000</f>
        <v>1.52</v>
      </c>
      <c r="K40" s="21">
        <f>I40*J40</f>
        <v>57.76</v>
      </c>
      <c r="L40" s="22">
        <f>F40^2/162</f>
        <v>0.8888888888888888</v>
      </c>
      <c r="M40" s="21">
        <f>K40*L40</f>
        <v>51.34222222222222</v>
      </c>
      <c r="N40" s="22">
        <f>M40/1000</f>
        <v>0.05134222222222222</v>
      </c>
      <c r="O40" s="13" t="inlineStr">
        <is>
          <t>Elevation count / plan length</t>
        </is>
      </c>
    </row>
    <row r="41">
      <c r="A41" s="13" t="n">
        <v>36</v>
      </c>
      <c r="B41" s="13" t="inlineStr">
        <is>
          <t>Shear Walls</t>
        </is>
      </c>
      <c r="C41" s="13" t="inlineStr">
        <is>
          <t>STR-013/014</t>
        </is>
      </c>
      <c r="D41" s="13" t="inlineStr">
        <is>
          <t>Emergency stair core CW-19 Roof top terrace to roof level - vertical Y20@150 NF/FF</t>
        </is>
      </c>
      <c r="E41" s="19" t="inlineStr">
        <is>
          <t>V-Y20</t>
        </is>
      </c>
      <c r="F41" s="19" t="n">
        <v>20</v>
      </c>
      <c r="G41" s="19" t="n">
        <v>1</v>
      </c>
      <c r="H41" s="19">
        <f>2*(ROUNDUP(1100/150,0)+1)</f>
        <v>18.0</v>
      </c>
      <c r="I41" s="13">
        <f>G41*H41</f>
        <v>18.0</v>
      </c>
      <c r="J41" s="20">
        <f>(3150+40*20)/1000</f>
        <v>3.95</v>
      </c>
      <c r="K41" s="21">
        <f>I41*J41</f>
        <v>71.10000000000001</v>
      </c>
      <c r="L41" s="22">
        <f>F41^2/162</f>
        <v>2.4691358024691357</v>
      </c>
      <c r="M41" s="21">
        <f>K41*L41</f>
        <v>175.55555555555557</v>
      </c>
      <c r="N41" s="22">
        <f>M41/1000</f>
        <v>0.17555555555555558</v>
      </c>
      <c r="O41" s="13" t="inlineStr">
        <is>
          <t>Elevation / plan</t>
        </is>
      </c>
    </row>
    <row r="42">
      <c r="A42" s="13" t="n">
        <v>37</v>
      </c>
      <c r="B42" s="13" t="inlineStr">
        <is>
          <t>Shear Walls</t>
        </is>
      </c>
      <c r="C42" s="13" t="inlineStr">
        <is>
          <t>STR-013/014</t>
        </is>
      </c>
      <c r="D42" s="13" t="inlineStr">
        <is>
          <t>Emergency stair core CW-20 (L=1300mm) Roof top terrace to roof level - horizontal Y12@150 NF/FF</t>
        </is>
      </c>
      <c r="E42" s="19" t="inlineStr">
        <is>
          <t>H-Y12</t>
        </is>
      </c>
      <c r="F42" s="19" t="n">
        <v>12</v>
      </c>
      <c r="G42" s="19" t="n">
        <v>1</v>
      </c>
      <c r="H42" s="19">
        <f>2*19</f>
        <v>38.0</v>
      </c>
      <c r="I42" s="13">
        <f>G42*H42</f>
        <v>38.0</v>
      </c>
      <c r="J42" s="20">
        <f>(1300-2*30+40*12)/1000</f>
        <v>1.72</v>
      </c>
      <c r="K42" s="21">
        <f>I42*J42</f>
        <v>65.36</v>
      </c>
      <c r="L42" s="22">
        <f>F42^2/162</f>
        <v>0.8888888888888888</v>
      </c>
      <c r="M42" s="21">
        <f>K42*L42</f>
        <v>58.09777777777777</v>
      </c>
      <c r="N42" s="22">
        <f>M42/1000</f>
        <v>0.05809777777777777</v>
      </c>
      <c r="O42" s="13" t="inlineStr">
        <is>
          <t>Elevation count / plan length</t>
        </is>
      </c>
    </row>
    <row r="43">
      <c r="A43" s="13" t="n">
        <v>38</v>
      </c>
      <c r="B43" s="13" t="inlineStr">
        <is>
          <t>Shear Walls</t>
        </is>
      </c>
      <c r="C43" s="13" t="inlineStr">
        <is>
          <t>STR-013/014</t>
        </is>
      </c>
      <c r="D43" s="13" t="inlineStr">
        <is>
          <t>Emergency stair core CW-20 Roof top terrace to roof level - vertical Y20@150 NF/FF</t>
        </is>
      </c>
      <c r="E43" s="19" t="inlineStr">
        <is>
          <t>V-Y20</t>
        </is>
      </c>
      <c r="F43" s="19" t="n">
        <v>20</v>
      </c>
      <c r="G43" s="19" t="n">
        <v>1</v>
      </c>
      <c r="H43" s="19">
        <f>2*(ROUNDUP(1300/150,0)+1)</f>
        <v>20.0</v>
      </c>
      <c r="I43" s="13">
        <f>G43*H43</f>
        <v>20.0</v>
      </c>
      <c r="J43" s="20">
        <f>(3150+40*20)/1000</f>
        <v>3.95</v>
      </c>
      <c r="K43" s="21">
        <f>I43*J43</f>
        <v>79.0</v>
      </c>
      <c r="L43" s="22">
        <f>F43^2/162</f>
        <v>2.4691358024691357</v>
      </c>
      <c r="M43" s="21">
        <f>K43*L43</f>
        <v>195.06172839506172</v>
      </c>
      <c r="N43" s="22">
        <f>M43/1000</f>
        <v>0.19506172839506172</v>
      </c>
      <c r="O43" s="13" t="inlineStr">
        <is>
          <t>Elevation / plan</t>
        </is>
      </c>
    </row>
    <row r="44">
      <c r="A44" s="13" t="n">
        <v>39</v>
      </c>
      <c r="B44" s="13" t="inlineStr">
        <is>
          <t>Shear Walls</t>
        </is>
      </c>
      <c r="C44" s="13" t="inlineStr">
        <is>
          <t>STR-013/014</t>
        </is>
      </c>
      <c r="D44" s="13" t="inlineStr">
        <is>
          <t>Emergency stair core confinement links Y10@150 (33 positions on plan) Roof top terrace to roof level</t>
        </is>
      </c>
      <c r="E44" s="19" t="inlineStr">
        <is>
          <t>LNK-Y10</t>
        </is>
      </c>
      <c r="F44" s="19" t="n">
        <v>10</v>
      </c>
      <c r="G44" s="19" t="n">
        <v>1</v>
      </c>
      <c r="H44" s="19">
        <f>33*ROUNDUP(3150/150,0)</f>
        <v>693.0</v>
      </c>
      <c r="I44" s="13">
        <f>G44*H44</f>
        <v>693.0</v>
      </c>
      <c r="J44" s="20">
        <f>1800/1000</f>
        <v>1.8</v>
      </c>
      <c r="K44" s="21">
        <f>I44*J44</f>
        <v>1247.4</v>
      </c>
      <c r="L44" s="22">
        <f>F44^2/162</f>
        <v>0.6172839506172839</v>
      </c>
      <c r="M44" s="21">
        <f>K44*L44</f>
        <v>770.0</v>
      </c>
      <c r="N44" s="22">
        <f>M44/1000</f>
        <v>0.77</v>
      </c>
      <c r="O44" s="13" t="inlineStr">
        <is>
          <t>Assumed link cut length</t>
        </is>
      </c>
    </row>
    <row r="45">
      <c r="A45" s="13" t="n">
        <v>40</v>
      </c>
      <c r="B45" s="13" t="inlineStr">
        <is>
          <t>Lift Walls</t>
        </is>
      </c>
      <c r="C45" s="13" t="inlineStr">
        <is>
          <t>STR-015/017</t>
        </is>
      </c>
      <c r="D45" s="13" t="inlineStr">
        <is>
          <t>Main core (lift shafts) CW-02 (L=3600mm) Roof top terrace to roof level - horizontal Y12@150 NF/FF</t>
        </is>
      </c>
      <c r="E45" s="19" t="inlineStr">
        <is>
          <t>H-Y12</t>
        </is>
      </c>
      <c r="F45" s="19" t="n">
        <v>12</v>
      </c>
      <c r="G45" s="19" t="n">
        <v>1</v>
      </c>
      <c r="H45" s="19">
        <f>2*19</f>
        <v>38.0</v>
      </c>
      <c r="I45" s="13">
        <f>G45*H45</f>
        <v>38.0</v>
      </c>
      <c r="J45" s="20">
        <f>(3600-2*30+40*12)/1000</f>
        <v>4.02</v>
      </c>
      <c r="K45" s="21">
        <f>I45*J45</f>
        <v>152.76</v>
      </c>
      <c r="L45" s="22">
        <f>F45^2/162</f>
        <v>0.8888888888888888</v>
      </c>
      <c r="M45" s="21">
        <f>K45*L45</f>
        <v>135.78666666666666</v>
      </c>
      <c r="N45" s="22">
        <f>M45/1000</f>
        <v>0.13578666666666667</v>
      </c>
      <c r="O45" s="13" t="inlineStr">
        <is>
          <t>Elevation count / plan length</t>
        </is>
      </c>
    </row>
    <row r="46">
      <c r="A46" s="13" t="n">
        <v>41</v>
      </c>
      <c r="B46" s="13" t="inlineStr">
        <is>
          <t>Lift Walls</t>
        </is>
      </c>
      <c r="C46" s="13" t="inlineStr">
        <is>
          <t>STR-015/017</t>
        </is>
      </c>
      <c r="D46" s="13" t="inlineStr">
        <is>
          <t>Main core (lift shafts) CW-02 Roof top terrace to roof level - vertical Y20@150 NF/FF</t>
        </is>
      </c>
      <c r="E46" s="19" t="inlineStr">
        <is>
          <t>V-Y20</t>
        </is>
      </c>
      <c r="F46" s="19" t="n">
        <v>20</v>
      </c>
      <c r="G46" s="19" t="n">
        <v>1</v>
      </c>
      <c r="H46" s="19">
        <f>2*29</f>
        <v>58.0</v>
      </c>
      <c r="I46" s="13">
        <f>G46*H46</f>
        <v>58.0</v>
      </c>
      <c r="J46" s="20">
        <f>(3150+40*20)/1000</f>
        <v>3.95</v>
      </c>
      <c r="K46" s="21">
        <f>I46*J46</f>
        <v>229.10000000000002</v>
      </c>
      <c r="L46" s="22">
        <f>F46^2/162</f>
        <v>2.4691358024691357</v>
      </c>
      <c r="M46" s="21">
        <f>K46*L46</f>
        <v>565.679012345679</v>
      </c>
      <c r="N46" s="22">
        <f>M46/1000</f>
        <v>0.565679012345679</v>
      </c>
      <c r="O46" s="13" t="inlineStr">
        <is>
          <t>Elevation / plan</t>
        </is>
      </c>
    </row>
    <row r="47">
      <c r="A47" s="13" t="n">
        <v>42</v>
      </c>
      <c r="B47" s="13" t="inlineStr">
        <is>
          <t>Lift Walls</t>
        </is>
      </c>
      <c r="C47" s="13" t="inlineStr">
        <is>
          <t>STR-015/017</t>
        </is>
      </c>
      <c r="D47" s="13" t="inlineStr">
        <is>
          <t>Main core (lift shafts) CW-03 (L=3600mm) Roof top terrace to roof level - horizontal Y12@150 NF/FF</t>
        </is>
      </c>
      <c r="E47" s="19" t="inlineStr">
        <is>
          <t>H-Y12</t>
        </is>
      </c>
      <c r="F47" s="19" t="n">
        <v>12</v>
      </c>
      <c r="G47" s="19" t="n">
        <v>1</v>
      </c>
      <c r="H47" s="19">
        <f>2*19</f>
        <v>38.0</v>
      </c>
      <c r="I47" s="13">
        <f>G47*H47</f>
        <v>38.0</v>
      </c>
      <c r="J47" s="20">
        <f>(3600-2*30+40*12)/1000</f>
        <v>4.02</v>
      </c>
      <c r="K47" s="21">
        <f>I47*J47</f>
        <v>152.76</v>
      </c>
      <c r="L47" s="22">
        <f>F47^2/162</f>
        <v>0.8888888888888888</v>
      </c>
      <c r="M47" s="21">
        <f>K47*L47</f>
        <v>135.78666666666666</v>
      </c>
      <c r="N47" s="22">
        <f>M47/1000</f>
        <v>0.13578666666666667</v>
      </c>
      <c r="O47" s="13" t="inlineStr">
        <is>
          <t>Elevation count / plan length</t>
        </is>
      </c>
    </row>
    <row r="48">
      <c r="A48" s="13" t="n">
        <v>43</v>
      </c>
      <c r="B48" s="13" t="inlineStr">
        <is>
          <t>Lift Walls</t>
        </is>
      </c>
      <c r="C48" s="13" t="inlineStr">
        <is>
          <t>STR-015/017</t>
        </is>
      </c>
      <c r="D48" s="13" t="inlineStr">
        <is>
          <t>Main core (lift shafts) CW-03 Roof top terrace to roof level - vertical Y20@150 NF/FF</t>
        </is>
      </c>
      <c r="E48" s="19" t="inlineStr">
        <is>
          <t>V-Y20</t>
        </is>
      </c>
      <c r="F48" s="19" t="n">
        <v>20</v>
      </c>
      <c r="G48" s="19" t="n">
        <v>1</v>
      </c>
      <c r="H48" s="19">
        <f>2*29</f>
        <v>58.0</v>
      </c>
      <c r="I48" s="13">
        <f>G48*H48</f>
        <v>58.0</v>
      </c>
      <c r="J48" s="20">
        <f>(3150+40*20)/1000</f>
        <v>3.95</v>
      </c>
      <c r="K48" s="21">
        <f>I48*J48</f>
        <v>229.10000000000002</v>
      </c>
      <c r="L48" s="22">
        <f>F48^2/162</f>
        <v>2.4691358024691357</v>
      </c>
      <c r="M48" s="21">
        <f>K48*L48</f>
        <v>565.679012345679</v>
      </c>
      <c r="N48" s="22">
        <f>M48/1000</f>
        <v>0.565679012345679</v>
      </c>
      <c r="O48" s="13" t="inlineStr">
        <is>
          <t>Elevation / plan</t>
        </is>
      </c>
    </row>
    <row r="49">
      <c r="A49" s="13" t="n">
        <v>44</v>
      </c>
      <c r="B49" s="13" t="inlineStr">
        <is>
          <t>Lift Walls</t>
        </is>
      </c>
      <c r="C49" s="13" t="inlineStr">
        <is>
          <t>STR-015/017</t>
        </is>
      </c>
      <c r="D49" s="13" t="inlineStr">
        <is>
          <t>Main core (lift shafts) CW-04 (L=3600mm) Roof top terrace to roof level - horizontal Y12@150 NF/FF</t>
        </is>
      </c>
      <c r="E49" s="19" t="inlineStr">
        <is>
          <t>H-Y12</t>
        </is>
      </c>
      <c r="F49" s="19" t="n">
        <v>12</v>
      </c>
      <c r="G49" s="19" t="n">
        <v>1</v>
      </c>
      <c r="H49" s="19">
        <f>2*19</f>
        <v>38.0</v>
      </c>
      <c r="I49" s="13">
        <f>G49*H49</f>
        <v>38.0</v>
      </c>
      <c r="J49" s="20">
        <f>(3600-2*30+40*12)/1000</f>
        <v>4.02</v>
      </c>
      <c r="K49" s="21">
        <f>I49*J49</f>
        <v>152.76</v>
      </c>
      <c r="L49" s="22">
        <f>F49^2/162</f>
        <v>0.8888888888888888</v>
      </c>
      <c r="M49" s="21">
        <f>K49*L49</f>
        <v>135.78666666666666</v>
      </c>
      <c r="N49" s="22">
        <f>M49/1000</f>
        <v>0.13578666666666667</v>
      </c>
      <c r="O49" s="13" t="inlineStr">
        <is>
          <t>Elevation count / plan length</t>
        </is>
      </c>
    </row>
    <row r="50">
      <c r="A50" s="13" t="n">
        <v>45</v>
      </c>
      <c r="B50" s="13" t="inlineStr">
        <is>
          <t>Lift Walls</t>
        </is>
      </c>
      <c r="C50" s="13" t="inlineStr">
        <is>
          <t>STR-015/017</t>
        </is>
      </c>
      <c r="D50" s="13" t="inlineStr">
        <is>
          <t>Main core (lift shafts) CW-04 Roof top terrace to roof level - vertical Y20@150 NF/FF</t>
        </is>
      </c>
      <c r="E50" s="19" t="inlineStr">
        <is>
          <t>V-Y20</t>
        </is>
      </c>
      <c r="F50" s="19" t="n">
        <v>20</v>
      </c>
      <c r="G50" s="19" t="n">
        <v>1</v>
      </c>
      <c r="H50" s="19">
        <f>2*29</f>
        <v>58.0</v>
      </c>
      <c r="I50" s="13">
        <f>G50*H50</f>
        <v>58.0</v>
      </c>
      <c r="J50" s="20">
        <f>(3150+40*20)/1000</f>
        <v>3.95</v>
      </c>
      <c r="K50" s="21">
        <f>I50*J50</f>
        <v>229.10000000000002</v>
      </c>
      <c r="L50" s="22">
        <f>F50^2/162</f>
        <v>2.4691358024691357</v>
      </c>
      <c r="M50" s="21">
        <f>K50*L50</f>
        <v>565.679012345679</v>
      </c>
      <c r="N50" s="22">
        <f>M50/1000</f>
        <v>0.565679012345679</v>
      </c>
      <c r="O50" s="13" t="inlineStr">
        <is>
          <t>Elevation / plan</t>
        </is>
      </c>
    </row>
    <row r="51">
      <c r="A51" s="13" t="n">
        <v>46</v>
      </c>
      <c r="B51" s="13" t="inlineStr">
        <is>
          <t>Lift Walls</t>
        </is>
      </c>
      <c r="C51" s="13" t="inlineStr">
        <is>
          <t>STR-015/017</t>
        </is>
      </c>
      <c r="D51" s="13" t="inlineStr">
        <is>
          <t>Main core (lift shafts) CW-06 (L=2025mm) Roof top terrace to roof level - horizontal Y12@150 NF/FF</t>
        </is>
      </c>
      <c r="E51" s="19" t="inlineStr">
        <is>
          <t>H-Y12</t>
        </is>
      </c>
      <c r="F51" s="19" t="n">
        <v>12</v>
      </c>
      <c r="G51" s="19" t="n">
        <v>1</v>
      </c>
      <c r="H51" s="19">
        <f>2*19</f>
        <v>38.0</v>
      </c>
      <c r="I51" s="13">
        <f>G51*H51</f>
        <v>38.0</v>
      </c>
      <c r="J51" s="20">
        <f>(2025-2*30+40*12)/1000</f>
        <v>2.445</v>
      </c>
      <c r="K51" s="21">
        <f>I51*J51</f>
        <v>92.91</v>
      </c>
      <c r="L51" s="22">
        <f>F51^2/162</f>
        <v>0.8888888888888888</v>
      </c>
      <c r="M51" s="21">
        <f>K51*L51</f>
        <v>82.58666666666666</v>
      </c>
      <c r="N51" s="22">
        <f>M51/1000</f>
        <v>0.08258666666666666</v>
      </c>
      <c r="O51" s="13" t="inlineStr">
        <is>
          <t>Elevation count / plan length</t>
        </is>
      </c>
    </row>
    <row r="52">
      <c r="A52" s="13" t="n">
        <v>47</v>
      </c>
      <c r="B52" s="13" t="inlineStr">
        <is>
          <t>Lift Walls</t>
        </is>
      </c>
      <c r="C52" s="13" t="inlineStr">
        <is>
          <t>STR-015/017</t>
        </is>
      </c>
      <c r="D52" s="13" t="inlineStr">
        <is>
          <t>Main core (lift shafts) CW-06 Roof top terrace to roof level - vertical Y20@150 NF/FF</t>
        </is>
      </c>
      <c r="E52" s="19" t="inlineStr">
        <is>
          <t>V-Y20</t>
        </is>
      </c>
      <c r="F52" s="19" t="n">
        <v>20</v>
      </c>
      <c r="G52" s="19" t="n">
        <v>1</v>
      </c>
      <c r="H52" s="19">
        <f>2*(ROUNDUP(2025/150,0)+1)</f>
        <v>30.0</v>
      </c>
      <c r="I52" s="13">
        <f>G52*H52</f>
        <v>30.0</v>
      </c>
      <c r="J52" s="20">
        <f>(3150+40*20)/1000</f>
        <v>3.95</v>
      </c>
      <c r="K52" s="21">
        <f>I52*J52</f>
        <v>118.5</v>
      </c>
      <c r="L52" s="22">
        <f>F52^2/162</f>
        <v>2.4691358024691357</v>
      </c>
      <c r="M52" s="21">
        <f>K52*L52</f>
        <v>292.59259259259255</v>
      </c>
      <c r="N52" s="22">
        <f>M52/1000</f>
        <v>0.29259259259259257</v>
      </c>
      <c r="O52" s="13" t="inlineStr">
        <is>
          <t>Elevation / plan</t>
        </is>
      </c>
    </row>
    <row r="53">
      <c r="A53" s="13" t="n">
        <v>48</v>
      </c>
      <c r="B53" s="13" t="inlineStr">
        <is>
          <t>Lift Walls</t>
        </is>
      </c>
      <c r="C53" s="13" t="inlineStr">
        <is>
          <t>STR-015/017</t>
        </is>
      </c>
      <c r="D53" s="13" t="inlineStr">
        <is>
          <t>Main core (lift shafts) CW-08 (L=4500mm) Roof top terrace to roof level - horizontal Y12@150 NF/FF</t>
        </is>
      </c>
      <c r="E53" s="19" t="inlineStr">
        <is>
          <t>H-Y12</t>
        </is>
      </c>
      <c r="F53" s="19" t="n">
        <v>12</v>
      </c>
      <c r="G53" s="19" t="n">
        <v>1</v>
      </c>
      <c r="H53" s="19">
        <f>2*19</f>
        <v>38.0</v>
      </c>
      <c r="I53" s="13">
        <f>G53*H53</f>
        <v>38.0</v>
      </c>
      <c r="J53" s="20">
        <f>(4500-2*30+40*12)/1000</f>
        <v>4.92</v>
      </c>
      <c r="K53" s="21">
        <f>I53*J53</f>
        <v>186.96</v>
      </c>
      <c r="L53" s="22">
        <f>F53^2/162</f>
        <v>0.8888888888888888</v>
      </c>
      <c r="M53" s="21">
        <f>K53*L53</f>
        <v>166.18666666666667</v>
      </c>
      <c r="N53" s="22">
        <f>M53/1000</f>
        <v>0.16618666666666668</v>
      </c>
      <c r="O53" s="13" t="inlineStr">
        <is>
          <t>Elevation count / plan length</t>
        </is>
      </c>
    </row>
    <row r="54">
      <c r="A54" s="13" t="n">
        <v>49</v>
      </c>
      <c r="B54" s="13" t="inlineStr">
        <is>
          <t>Lift Walls</t>
        </is>
      </c>
      <c r="C54" s="13" t="inlineStr">
        <is>
          <t>STR-015/017</t>
        </is>
      </c>
      <c r="D54" s="13" t="inlineStr">
        <is>
          <t>Main core (lift shafts) CW-08 Roof top terrace to roof level - vertical Y20@150 NF/FF</t>
        </is>
      </c>
      <c r="E54" s="19" t="inlineStr">
        <is>
          <t>V-Y20</t>
        </is>
      </c>
      <c r="F54" s="19" t="n">
        <v>20</v>
      </c>
      <c r="G54" s="19" t="n">
        <v>1</v>
      </c>
      <c r="H54" s="19">
        <f>2*(ROUNDUP(4500/150,0)+1)</f>
        <v>62.0</v>
      </c>
      <c r="I54" s="13">
        <f>G54*H54</f>
        <v>62.0</v>
      </c>
      <c r="J54" s="20">
        <f>(3150+40*20)/1000</f>
        <v>3.95</v>
      </c>
      <c r="K54" s="21">
        <f>I54*J54</f>
        <v>244.9</v>
      </c>
      <c r="L54" s="22">
        <f>F54^2/162</f>
        <v>2.4691358024691357</v>
      </c>
      <c r="M54" s="21">
        <f>K54*L54</f>
        <v>604.6913580246913</v>
      </c>
      <c r="N54" s="22">
        <f>M54/1000</f>
        <v>0.6046913580246913</v>
      </c>
      <c r="O54" s="13" t="inlineStr">
        <is>
          <t>Elevation / plan</t>
        </is>
      </c>
    </row>
    <row r="55">
      <c r="A55" s="13" t="n">
        <v>50</v>
      </c>
      <c r="B55" s="13" t="inlineStr">
        <is>
          <t>Lift Walls</t>
        </is>
      </c>
      <c r="C55" s="13" t="inlineStr">
        <is>
          <t>STR-015/017</t>
        </is>
      </c>
      <c r="D55" s="13" t="inlineStr">
        <is>
          <t>Main core (lift shafts) CW-07 (lift section) (L=4500mm) Roof top terrace to roof level - horizontal Y12@150 NF/FF</t>
        </is>
      </c>
      <c r="E55" s="19" t="inlineStr">
        <is>
          <t>H-Y12</t>
        </is>
      </c>
      <c r="F55" s="19" t="n">
        <v>12</v>
      </c>
      <c r="G55" s="19" t="n">
        <v>1</v>
      </c>
      <c r="H55" s="19">
        <f>2*19</f>
        <v>38.0</v>
      </c>
      <c r="I55" s="13">
        <f>G55*H55</f>
        <v>38.0</v>
      </c>
      <c r="J55" s="20">
        <f>(4500-2*30+40*12)/1000</f>
        <v>4.92</v>
      </c>
      <c r="K55" s="21">
        <f>I55*J55</f>
        <v>186.96</v>
      </c>
      <c r="L55" s="22">
        <f>F55^2/162</f>
        <v>0.8888888888888888</v>
      </c>
      <c r="M55" s="21">
        <f>K55*L55</f>
        <v>166.18666666666667</v>
      </c>
      <c r="N55" s="22">
        <f>M55/1000</f>
        <v>0.16618666666666668</v>
      </c>
      <c r="O55" s="13" t="inlineStr">
        <is>
          <t>Elevation count / plan length</t>
        </is>
      </c>
    </row>
    <row r="56">
      <c r="A56" s="13" t="n">
        <v>51</v>
      </c>
      <c r="B56" s="13" t="inlineStr">
        <is>
          <t>Lift Walls</t>
        </is>
      </c>
      <c r="C56" s="13" t="inlineStr">
        <is>
          <t>STR-015/017</t>
        </is>
      </c>
      <c r="D56" s="13" t="inlineStr">
        <is>
          <t>Main core (lift shafts) CW-07 (lift section) Roof top terrace to roof level - vertical Y20@150 NF/FF</t>
        </is>
      </c>
      <c r="E56" s="19" t="inlineStr">
        <is>
          <t>V-Y20</t>
        </is>
      </c>
      <c r="F56" s="19" t="n">
        <v>20</v>
      </c>
      <c r="G56" s="19" t="n">
        <v>1</v>
      </c>
      <c r="H56" s="19">
        <f>2*(ROUNDUP(4500/150,0)+1)</f>
        <v>62.0</v>
      </c>
      <c r="I56" s="13">
        <f>G56*H56</f>
        <v>62.0</v>
      </c>
      <c r="J56" s="20">
        <f>(3150+40*20)/1000</f>
        <v>3.95</v>
      </c>
      <c r="K56" s="21">
        <f>I56*J56</f>
        <v>244.9</v>
      </c>
      <c r="L56" s="22">
        <f>F56^2/162</f>
        <v>2.4691358024691357</v>
      </c>
      <c r="M56" s="21">
        <f>K56*L56</f>
        <v>604.6913580246913</v>
      </c>
      <c r="N56" s="22">
        <f>M56/1000</f>
        <v>0.6046913580246913</v>
      </c>
      <c r="O56" s="13" t="inlineStr">
        <is>
          <t>Elevation / plan</t>
        </is>
      </c>
    </row>
    <row r="57">
      <c r="A57" s="13" t="n">
        <v>52</v>
      </c>
      <c r="B57" s="13" t="inlineStr">
        <is>
          <t>Lift Walls</t>
        </is>
      </c>
      <c r="C57" s="13" t="inlineStr">
        <is>
          <t>STR-015/017</t>
        </is>
      </c>
      <c r="D57" s="13" t="inlineStr">
        <is>
          <t>Main core (lift shafts) confinement links Y10@150 (26 positions on plan) Roof top terrace to roof level</t>
        </is>
      </c>
      <c r="E57" s="19" t="inlineStr">
        <is>
          <t>LNK-Y10</t>
        </is>
      </c>
      <c r="F57" s="19" t="n">
        <v>10</v>
      </c>
      <c r="G57" s="19" t="n">
        <v>1</v>
      </c>
      <c r="H57" s="19">
        <f>26*ROUNDUP(3150/150,0)</f>
        <v>546.0</v>
      </c>
      <c r="I57" s="13">
        <f>G57*H57</f>
        <v>546.0</v>
      </c>
      <c r="J57" s="20">
        <f>1800/1000</f>
        <v>1.8</v>
      </c>
      <c r="K57" s="21">
        <f>I57*J57</f>
        <v>982.8000000000001</v>
      </c>
      <c r="L57" s="22">
        <f>F57^2/162</f>
        <v>0.6172839506172839</v>
      </c>
      <c r="M57" s="21">
        <f>K57*L57</f>
        <v>606.6666666666666</v>
      </c>
      <c r="N57" s="22">
        <f>M57/1000</f>
        <v>0.6066666666666666</v>
      </c>
      <c r="O57" s="13" t="inlineStr">
        <is>
          <t>Assumed link cut length</t>
        </is>
      </c>
    </row>
    <row r="58">
      <c r="A58" s="13" t="n">
        <v>53</v>
      </c>
      <c r="B58" s="13" t="inlineStr">
        <is>
          <t>Beams</t>
        </is>
      </c>
      <c r="C58" s="13" t="inlineStr">
        <is>
          <t>STR-099</t>
        </is>
      </c>
      <c r="D58" s="13" t="inlineStr">
        <is>
          <t>Roof top terrace beams (1 of 2)</t>
        </is>
      </c>
      <c r="E58" s="19" t="inlineStr">
        <is>
          <t>1001</t>
        </is>
      </c>
      <c r="F58" s="19" t="n">
        <v>10</v>
      </c>
      <c r="G58" s="19" t="n">
        <v>1</v>
      </c>
      <c r="H58" s="19" t="n">
        <v>864</v>
      </c>
      <c r="I58" s="13">
        <f>G58*H58</f>
        <v>864.0</v>
      </c>
      <c r="J58" s="20">
        <f>1700/1000</f>
        <v>1.7</v>
      </c>
      <c r="K58" s="21">
        <f>I58*J58</f>
        <v>1468.8</v>
      </c>
      <c r="L58" s="22">
        <f>F58^2/162</f>
        <v>0.6172839506172839</v>
      </c>
      <c r="M58" s="21">
        <f>K58*L58</f>
        <v>906.6666666666666</v>
      </c>
      <c r="N58" s="22">
        <f>M58/1000</f>
        <v>0.9066666666666666</v>
      </c>
      <c r="O58" s="13" t="inlineStr">
        <is>
          <t>BBS</t>
        </is>
      </c>
    </row>
    <row r="59">
      <c r="A59" s="13" t="n">
        <v>54</v>
      </c>
      <c r="B59" s="13" t="inlineStr">
        <is>
          <t>Beams</t>
        </is>
      </c>
      <c r="C59" s="13" t="inlineStr">
        <is>
          <t>STR-099</t>
        </is>
      </c>
      <c r="D59" s="13" t="inlineStr">
        <is>
          <t>Roof top terrace beams (1 of 2)</t>
        </is>
      </c>
      <c r="E59" s="19" t="inlineStr">
        <is>
          <t>1001(2)</t>
        </is>
      </c>
      <c r="F59" s="19" t="n">
        <v>10</v>
      </c>
      <c r="G59" s="19" t="n">
        <v>1</v>
      </c>
      <c r="H59" s="19" t="n">
        <v>32</v>
      </c>
      <c r="I59" s="13">
        <f>G59*H59</f>
        <v>32.0</v>
      </c>
      <c r="J59" s="20">
        <f>1400/1000</f>
        <v>1.4</v>
      </c>
      <c r="K59" s="21">
        <f>I59*J59</f>
        <v>44.8</v>
      </c>
      <c r="L59" s="22">
        <f>F59^2/162</f>
        <v>0.6172839506172839</v>
      </c>
      <c r="M59" s="21">
        <f>K59*L59</f>
        <v>27.65432098765432</v>
      </c>
      <c r="N59" s="22">
        <f>M59/1000</f>
        <v>0.02765432098765432</v>
      </c>
      <c r="O59" s="13" t="inlineStr">
        <is>
          <t>BBS</t>
        </is>
      </c>
    </row>
    <row r="60">
      <c r="A60" s="13" t="n">
        <v>55</v>
      </c>
      <c r="B60" s="13" t="inlineStr">
        <is>
          <t>Beams</t>
        </is>
      </c>
      <c r="C60" s="13" t="inlineStr">
        <is>
          <t>STR-099</t>
        </is>
      </c>
      <c r="D60" s="13" t="inlineStr">
        <is>
          <t>Roof top terrace beams (1 of 2)</t>
        </is>
      </c>
      <c r="E60" s="19" t="inlineStr">
        <is>
          <t>1002</t>
        </is>
      </c>
      <c r="F60" s="19" t="n">
        <v>10</v>
      </c>
      <c r="G60" s="19" t="n">
        <v>1</v>
      </c>
      <c r="H60" s="19" t="n">
        <v>117</v>
      </c>
      <c r="I60" s="13">
        <f>G60*H60</f>
        <v>117.0</v>
      </c>
      <c r="J60" s="20">
        <f>1500/1000</f>
        <v>1.5</v>
      </c>
      <c r="K60" s="21">
        <f>I60*J60</f>
        <v>175.5</v>
      </c>
      <c r="L60" s="22">
        <f>F60^2/162</f>
        <v>0.6172839506172839</v>
      </c>
      <c r="M60" s="21">
        <f>K60*L60</f>
        <v>108.33333333333333</v>
      </c>
      <c r="N60" s="22">
        <f>M60/1000</f>
        <v>0.10833333333333332</v>
      </c>
      <c r="O60" s="13" t="inlineStr">
        <is>
          <t>BBS</t>
        </is>
      </c>
    </row>
    <row r="61">
      <c r="A61" s="13" t="n">
        <v>56</v>
      </c>
      <c r="B61" s="13" t="inlineStr">
        <is>
          <t>Beams</t>
        </is>
      </c>
      <c r="C61" s="13" t="inlineStr">
        <is>
          <t>STR-099</t>
        </is>
      </c>
      <c r="D61" s="13" t="inlineStr">
        <is>
          <t>Roof top terrace beams (1 of 2)</t>
        </is>
      </c>
      <c r="E61" s="19" t="inlineStr">
        <is>
          <t>1601</t>
        </is>
      </c>
      <c r="F61" s="19" t="n">
        <v>16</v>
      </c>
      <c r="G61" s="19" t="n">
        <v>1</v>
      </c>
      <c r="H61" s="19" t="n">
        <v>12</v>
      </c>
      <c r="I61" s="13">
        <f>G61*H61</f>
        <v>12.0</v>
      </c>
      <c r="J61" s="20">
        <f>12000/1000</f>
        <v>12.0</v>
      </c>
      <c r="K61" s="21">
        <f>I61*J61</f>
        <v>144.0</v>
      </c>
      <c r="L61" s="22">
        <f>F61^2/162</f>
        <v>1.5802469135802468</v>
      </c>
      <c r="M61" s="21">
        <f>K61*L61</f>
        <v>227.55555555555554</v>
      </c>
      <c r="N61" s="22">
        <f>M61/1000</f>
        <v>0.22755555555555554</v>
      </c>
      <c r="O61" s="13" t="inlineStr">
        <is>
          <t>BBS</t>
        </is>
      </c>
    </row>
    <row r="62">
      <c r="A62" s="13" t="n">
        <v>57</v>
      </c>
      <c r="B62" s="13" t="inlineStr">
        <is>
          <t>Beams</t>
        </is>
      </c>
      <c r="C62" s="13" t="inlineStr">
        <is>
          <t>STR-099</t>
        </is>
      </c>
      <c r="D62" s="13" t="inlineStr">
        <is>
          <t>Roof top terrace beams (1 of 2)</t>
        </is>
      </c>
      <c r="E62" s="19" t="inlineStr">
        <is>
          <t>1602</t>
        </is>
      </c>
      <c r="F62" s="19" t="n">
        <v>16</v>
      </c>
      <c r="G62" s="19" t="n">
        <v>1</v>
      </c>
      <c r="H62" s="19" t="n">
        <v>2</v>
      </c>
      <c r="I62" s="13">
        <f>G62*H62</f>
        <v>2.0</v>
      </c>
      <c r="J62" s="20">
        <f>7275/1000</f>
        <v>7.275</v>
      </c>
      <c r="K62" s="21">
        <f>I62*J62</f>
        <v>14.55</v>
      </c>
      <c r="L62" s="22">
        <f>F62^2/162</f>
        <v>1.5802469135802468</v>
      </c>
      <c r="M62" s="21">
        <f>K62*L62</f>
        <v>22.992592592592594</v>
      </c>
      <c r="N62" s="22">
        <f>M62/1000</f>
        <v>0.022992592592592592</v>
      </c>
      <c r="O62" s="13" t="inlineStr">
        <is>
          <t>BBS</t>
        </is>
      </c>
    </row>
    <row r="63">
      <c r="A63" s="13" t="n">
        <v>58</v>
      </c>
      <c r="B63" s="13" t="inlineStr">
        <is>
          <t>Beams</t>
        </is>
      </c>
      <c r="C63" s="13" t="inlineStr">
        <is>
          <t>STR-099</t>
        </is>
      </c>
      <c r="D63" s="13" t="inlineStr">
        <is>
          <t>Roof top terrace beams (1 of 2)</t>
        </is>
      </c>
      <c r="E63" s="19" t="inlineStr">
        <is>
          <t>1603</t>
        </is>
      </c>
      <c r="F63" s="19" t="n">
        <v>16</v>
      </c>
      <c r="G63" s="19" t="n">
        <v>1</v>
      </c>
      <c r="H63" s="19" t="n">
        <v>3</v>
      </c>
      <c r="I63" s="13">
        <f>G63*H63</f>
        <v>3.0</v>
      </c>
      <c r="J63" s="20">
        <f>8900/1000</f>
        <v>8.9</v>
      </c>
      <c r="K63" s="21">
        <f>I63*J63</f>
        <v>26.700000000000003</v>
      </c>
      <c r="L63" s="22">
        <f>F63^2/162</f>
        <v>1.5802469135802468</v>
      </c>
      <c r="M63" s="21">
        <f>K63*L63</f>
        <v>42.1925925925926</v>
      </c>
      <c r="N63" s="22">
        <f>M63/1000</f>
        <v>0.042192592592592594</v>
      </c>
      <c r="O63" s="13" t="inlineStr">
        <is>
          <t>BBS</t>
        </is>
      </c>
    </row>
    <row r="64">
      <c r="A64" s="13" t="n">
        <v>59</v>
      </c>
      <c r="B64" s="13" t="inlineStr">
        <is>
          <t>Beams</t>
        </is>
      </c>
      <c r="C64" s="13" t="inlineStr">
        <is>
          <t>STR-099</t>
        </is>
      </c>
      <c r="D64" s="13" t="inlineStr">
        <is>
          <t>Roof top terrace beams (1 of 2)</t>
        </is>
      </c>
      <c r="E64" s="19" t="inlineStr">
        <is>
          <t>1604</t>
        </is>
      </c>
      <c r="F64" s="19" t="n">
        <v>16</v>
      </c>
      <c r="G64" s="19" t="n">
        <v>1</v>
      </c>
      <c r="H64" s="19" t="n">
        <v>3</v>
      </c>
      <c r="I64" s="13">
        <f>G64*H64</f>
        <v>3.0</v>
      </c>
      <c r="J64" s="20">
        <f>5600/1000</f>
        <v>5.6</v>
      </c>
      <c r="K64" s="21">
        <f>I64*J64</f>
        <v>16.799999999999997</v>
      </c>
      <c r="L64" s="22">
        <f>F64^2/162</f>
        <v>1.5802469135802468</v>
      </c>
      <c r="M64" s="21">
        <f>K64*L64</f>
        <v>26.548148148148144</v>
      </c>
      <c r="N64" s="22">
        <f>M64/1000</f>
        <v>0.026548148148148144</v>
      </c>
      <c r="O64" s="13" t="inlineStr">
        <is>
          <t>BBS</t>
        </is>
      </c>
    </row>
    <row r="65">
      <c r="A65" s="13" t="n">
        <v>60</v>
      </c>
      <c r="B65" s="13" t="inlineStr">
        <is>
          <t>Beams</t>
        </is>
      </c>
      <c r="C65" s="13" t="inlineStr">
        <is>
          <t>STR-099</t>
        </is>
      </c>
      <c r="D65" s="13" t="inlineStr">
        <is>
          <t>Roof top terrace beams (1 of 2)</t>
        </is>
      </c>
      <c r="E65" s="19" t="inlineStr">
        <is>
          <t>1605</t>
        </is>
      </c>
      <c r="F65" s="19" t="n">
        <v>16</v>
      </c>
      <c r="G65" s="19" t="n">
        <v>1</v>
      </c>
      <c r="H65" s="19" t="n">
        <v>3</v>
      </c>
      <c r="I65" s="13">
        <f>G65*H65</f>
        <v>3.0</v>
      </c>
      <c r="J65" s="20">
        <f>9300/1000</f>
        <v>9.3</v>
      </c>
      <c r="K65" s="21">
        <f>I65*J65</f>
        <v>27.900000000000002</v>
      </c>
      <c r="L65" s="22">
        <f>F65^2/162</f>
        <v>1.5802469135802468</v>
      </c>
      <c r="M65" s="21">
        <f>K65*L65</f>
        <v>44.08888888888889</v>
      </c>
      <c r="N65" s="22">
        <f>M65/1000</f>
        <v>0.044088888888888886</v>
      </c>
      <c r="O65" s="13" t="inlineStr">
        <is>
          <t>BBS</t>
        </is>
      </c>
    </row>
    <row r="66">
      <c r="A66" s="13" t="n">
        <v>61</v>
      </c>
      <c r="B66" s="13" t="inlineStr">
        <is>
          <t>Beams</t>
        </is>
      </c>
      <c r="C66" s="13" t="inlineStr">
        <is>
          <t>STR-099</t>
        </is>
      </c>
      <c r="D66" s="13" t="inlineStr">
        <is>
          <t>Roof top terrace beams (1 of 2)</t>
        </is>
      </c>
      <c r="E66" s="19" t="inlineStr">
        <is>
          <t>1606</t>
        </is>
      </c>
      <c r="F66" s="19" t="n">
        <v>16</v>
      </c>
      <c r="G66" s="19" t="n">
        <v>1</v>
      </c>
      <c r="H66" s="19" t="n">
        <v>2</v>
      </c>
      <c r="I66" s="13">
        <f>G66*H66</f>
        <v>2.0</v>
      </c>
      <c r="J66" s="20">
        <f>9125/1000</f>
        <v>9.125</v>
      </c>
      <c r="K66" s="21">
        <f>I66*J66</f>
        <v>18.25</v>
      </c>
      <c r="L66" s="22">
        <f>F66^2/162</f>
        <v>1.5802469135802468</v>
      </c>
      <c r="M66" s="21">
        <f>K66*L66</f>
        <v>28.839506172839506</v>
      </c>
      <c r="N66" s="22">
        <f>M66/1000</f>
        <v>0.028839506172839507</v>
      </c>
      <c r="O66" s="13" t="inlineStr">
        <is>
          <t>BBS</t>
        </is>
      </c>
    </row>
    <row r="67">
      <c r="A67" s="13" t="n">
        <v>62</v>
      </c>
      <c r="B67" s="13" t="inlineStr">
        <is>
          <t>Beams</t>
        </is>
      </c>
      <c r="C67" s="13" t="inlineStr">
        <is>
          <t>STR-099</t>
        </is>
      </c>
      <c r="D67" s="13" t="inlineStr">
        <is>
          <t>Roof top terrace beams (1 of 2)</t>
        </is>
      </c>
      <c r="E67" s="19" t="inlineStr">
        <is>
          <t>1607</t>
        </is>
      </c>
      <c r="F67" s="19" t="n">
        <v>16</v>
      </c>
      <c r="G67" s="19" t="n">
        <v>1</v>
      </c>
      <c r="H67" s="19" t="n">
        <v>2</v>
      </c>
      <c r="I67" s="13">
        <f>G67*H67</f>
        <v>2.0</v>
      </c>
      <c r="J67" s="20">
        <f>8000/1000</f>
        <v>8.0</v>
      </c>
      <c r="K67" s="21">
        <f>I67*J67</f>
        <v>16.0</v>
      </c>
      <c r="L67" s="22">
        <f>F67^2/162</f>
        <v>1.5802469135802468</v>
      </c>
      <c r="M67" s="21">
        <f>K67*L67</f>
        <v>25.28395061728395</v>
      </c>
      <c r="N67" s="22">
        <f>M67/1000</f>
        <v>0.02528395061728395</v>
      </c>
      <c r="O67" s="13" t="inlineStr">
        <is>
          <t>BBS</t>
        </is>
      </c>
    </row>
    <row r="68">
      <c r="A68" s="13" t="n">
        <v>63</v>
      </c>
      <c r="B68" s="13" t="inlineStr">
        <is>
          <t>Beams</t>
        </is>
      </c>
      <c r="C68" s="13" t="inlineStr">
        <is>
          <t>STR-099</t>
        </is>
      </c>
      <c r="D68" s="13" t="inlineStr">
        <is>
          <t>Roof top terrace beams (1 of 2)</t>
        </is>
      </c>
      <c r="E68" s="19" t="inlineStr">
        <is>
          <t>1608</t>
        </is>
      </c>
      <c r="F68" s="19" t="n">
        <v>16</v>
      </c>
      <c r="G68" s="19" t="n">
        <v>1</v>
      </c>
      <c r="H68" s="19" t="n">
        <v>2</v>
      </c>
      <c r="I68" s="13">
        <f>G68*H68</f>
        <v>2.0</v>
      </c>
      <c r="J68" s="20">
        <f>4775/1000</f>
        <v>4.775</v>
      </c>
      <c r="K68" s="21">
        <f>I68*J68</f>
        <v>9.55</v>
      </c>
      <c r="L68" s="22">
        <f>F68^2/162</f>
        <v>1.5802469135802468</v>
      </c>
      <c r="M68" s="21">
        <f>K68*L68</f>
        <v>15.091358024691358</v>
      </c>
      <c r="N68" s="22">
        <f>M68/1000</f>
        <v>0.015091358024691357</v>
      </c>
      <c r="O68" s="13" t="inlineStr">
        <is>
          <t>BBS</t>
        </is>
      </c>
    </row>
    <row r="69">
      <c r="A69" s="13" t="n">
        <v>64</v>
      </c>
      <c r="B69" s="13" t="inlineStr">
        <is>
          <t>Beams</t>
        </is>
      </c>
      <c r="C69" s="13" t="inlineStr">
        <is>
          <t>STR-099</t>
        </is>
      </c>
      <c r="D69" s="13" t="inlineStr">
        <is>
          <t>Roof top terrace beams (1 of 2)</t>
        </is>
      </c>
      <c r="E69" s="19" t="inlineStr">
        <is>
          <t>1609</t>
        </is>
      </c>
      <c r="F69" s="19" t="n">
        <v>16</v>
      </c>
      <c r="G69" s="19" t="n">
        <v>1</v>
      </c>
      <c r="H69" s="19" t="n">
        <v>2</v>
      </c>
      <c r="I69" s="13">
        <f>G69*H69</f>
        <v>2.0</v>
      </c>
      <c r="J69" s="20">
        <f>8875/1000</f>
        <v>8.875</v>
      </c>
      <c r="K69" s="21">
        <f>I69*J69</f>
        <v>17.75</v>
      </c>
      <c r="L69" s="22">
        <f>F69^2/162</f>
        <v>1.5802469135802468</v>
      </c>
      <c r="M69" s="21">
        <f>K69*L69</f>
        <v>28.04938271604938</v>
      </c>
      <c r="N69" s="22">
        <f>M69/1000</f>
        <v>0.02804938271604938</v>
      </c>
      <c r="O69" s="13" t="inlineStr">
        <is>
          <t>BBS</t>
        </is>
      </c>
    </row>
    <row r="70">
      <c r="A70" s="13" t="n">
        <v>65</v>
      </c>
      <c r="B70" s="13" t="inlineStr">
        <is>
          <t>Beams</t>
        </is>
      </c>
      <c r="C70" s="13" t="inlineStr">
        <is>
          <t>STR-099</t>
        </is>
      </c>
      <c r="D70" s="13" t="inlineStr">
        <is>
          <t>Roof top terrace beams (1 of 2)</t>
        </is>
      </c>
      <c r="E70" s="19" t="inlineStr">
        <is>
          <t>1610</t>
        </is>
      </c>
      <c r="F70" s="19" t="n">
        <v>16</v>
      </c>
      <c r="G70" s="19" t="n">
        <v>1</v>
      </c>
      <c r="H70" s="19" t="n">
        <v>2</v>
      </c>
      <c r="I70" s="13">
        <f>G70*H70</f>
        <v>2.0</v>
      </c>
      <c r="J70" s="20">
        <f>7700/1000</f>
        <v>7.7</v>
      </c>
      <c r="K70" s="21">
        <f>I70*J70</f>
        <v>15.4</v>
      </c>
      <c r="L70" s="22">
        <f>F70^2/162</f>
        <v>1.5802469135802468</v>
      </c>
      <c r="M70" s="21">
        <f>K70*L70</f>
        <v>24.335802469135803</v>
      </c>
      <c r="N70" s="22">
        <f>M70/1000</f>
        <v>0.024335802469135803</v>
      </c>
      <c r="O70" s="13" t="inlineStr">
        <is>
          <t>BBS</t>
        </is>
      </c>
    </row>
    <row r="71">
      <c r="A71" s="13" t="n">
        <v>66</v>
      </c>
      <c r="B71" s="13" t="inlineStr">
        <is>
          <t>Beams</t>
        </is>
      </c>
      <c r="C71" s="13" t="inlineStr">
        <is>
          <t>STR-099</t>
        </is>
      </c>
      <c r="D71" s="13" t="inlineStr">
        <is>
          <t>Roof top terrace beams (1 of 2)</t>
        </is>
      </c>
      <c r="E71" s="19" t="inlineStr">
        <is>
          <t>1611</t>
        </is>
      </c>
      <c r="F71" s="19" t="n">
        <v>16</v>
      </c>
      <c r="G71" s="19" t="n">
        <v>1</v>
      </c>
      <c r="H71" s="19" t="n">
        <v>2</v>
      </c>
      <c r="I71" s="13">
        <f>G71*H71</f>
        <v>2.0</v>
      </c>
      <c r="J71" s="20">
        <f>10550/1000</f>
        <v>10.55</v>
      </c>
      <c r="K71" s="21">
        <f>I71*J71</f>
        <v>21.1</v>
      </c>
      <c r="L71" s="22">
        <f>F71^2/162</f>
        <v>1.5802469135802468</v>
      </c>
      <c r="M71" s="21">
        <f>K71*L71</f>
        <v>33.34320987654321</v>
      </c>
      <c r="N71" s="22">
        <f>M71/1000</f>
        <v>0.03334320987654321</v>
      </c>
      <c r="O71" s="13" t="inlineStr">
        <is>
          <t>BBS</t>
        </is>
      </c>
    </row>
    <row r="72">
      <c r="A72" s="13" t="n">
        <v>67</v>
      </c>
      <c r="B72" s="13" t="inlineStr">
        <is>
          <t>Beams</t>
        </is>
      </c>
      <c r="C72" s="13" t="inlineStr">
        <is>
          <t>STR-099</t>
        </is>
      </c>
      <c r="D72" s="13" t="inlineStr">
        <is>
          <t>Roof top terrace beams (1 of 2)</t>
        </is>
      </c>
      <c r="E72" s="19" t="inlineStr">
        <is>
          <t>1612</t>
        </is>
      </c>
      <c r="F72" s="19" t="n">
        <v>16</v>
      </c>
      <c r="G72" s="19" t="n">
        <v>1</v>
      </c>
      <c r="H72" s="19" t="n">
        <v>2</v>
      </c>
      <c r="I72" s="13">
        <f>G72*H72</f>
        <v>2.0</v>
      </c>
      <c r="J72" s="20">
        <f>9075/1000</f>
        <v>9.075</v>
      </c>
      <c r="K72" s="21">
        <f>I72*J72</f>
        <v>18.15</v>
      </c>
      <c r="L72" s="22">
        <f>F72^2/162</f>
        <v>1.5802469135802468</v>
      </c>
      <c r="M72" s="21">
        <f>K72*L72</f>
        <v>28.681481481481477</v>
      </c>
      <c r="N72" s="22">
        <f>M72/1000</f>
        <v>0.028681481481481478</v>
      </c>
      <c r="O72" s="13" t="inlineStr">
        <is>
          <t>BBS</t>
        </is>
      </c>
    </row>
    <row r="73">
      <c r="A73" s="13" t="n">
        <v>68</v>
      </c>
      <c r="B73" s="13" t="inlineStr">
        <is>
          <t>Beams</t>
        </is>
      </c>
      <c r="C73" s="13" t="inlineStr">
        <is>
          <t>STR-099</t>
        </is>
      </c>
      <c r="D73" s="13" t="inlineStr">
        <is>
          <t>Roof top terrace beams (1 of 2)</t>
        </is>
      </c>
      <c r="E73" s="19" t="inlineStr">
        <is>
          <t>2001</t>
        </is>
      </c>
      <c r="F73" s="19" t="n">
        <v>20</v>
      </c>
      <c r="G73" s="19" t="n">
        <v>1</v>
      </c>
      <c r="H73" s="19" t="n">
        <v>3</v>
      </c>
      <c r="I73" s="13">
        <f>G73*H73</f>
        <v>3.0</v>
      </c>
      <c r="J73" s="20">
        <f>11100/1000</f>
        <v>11.1</v>
      </c>
      <c r="K73" s="21">
        <f>I73*J73</f>
        <v>33.3</v>
      </c>
      <c r="L73" s="22">
        <f>F73^2/162</f>
        <v>2.4691358024691357</v>
      </c>
      <c r="M73" s="21">
        <f>K73*L73</f>
        <v>82.22222222222221</v>
      </c>
      <c r="N73" s="22">
        <f>M73/1000</f>
        <v>0.08222222222222221</v>
      </c>
      <c r="O73" s="13" t="inlineStr">
        <is>
          <t>BBS</t>
        </is>
      </c>
    </row>
    <row r="74">
      <c r="A74" s="13" t="n">
        <v>69</v>
      </c>
      <c r="B74" s="13" t="inlineStr">
        <is>
          <t>Beams</t>
        </is>
      </c>
      <c r="C74" s="13" t="inlineStr">
        <is>
          <t>STR-099</t>
        </is>
      </c>
      <c r="D74" s="13" t="inlineStr">
        <is>
          <t>Roof top terrace beams (1 of 2)</t>
        </is>
      </c>
      <c r="E74" s="19" t="inlineStr">
        <is>
          <t>2002</t>
        </is>
      </c>
      <c r="F74" s="19" t="n">
        <v>20</v>
      </c>
      <c r="G74" s="19" t="n">
        <v>1</v>
      </c>
      <c r="H74" s="19" t="n">
        <v>3</v>
      </c>
      <c r="I74" s="13">
        <f>G74*H74</f>
        <v>3.0</v>
      </c>
      <c r="J74" s="20">
        <f>9300/1000</f>
        <v>9.3</v>
      </c>
      <c r="K74" s="21">
        <f>I74*J74</f>
        <v>27.900000000000002</v>
      </c>
      <c r="L74" s="22">
        <f>F74^2/162</f>
        <v>2.4691358024691357</v>
      </c>
      <c r="M74" s="21">
        <f>K74*L74</f>
        <v>68.88888888888889</v>
      </c>
      <c r="N74" s="22">
        <f>M74/1000</f>
        <v>0.06888888888888889</v>
      </c>
      <c r="O74" s="13" t="inlineStr">
        <is>
          <t>BBS</t>
        </is>
      </c>
    </row>
    <row r="75">
      <c r="A75" s="13" t="n">
        <v>70</v>
      </c>
      <c r="B75" s="13" t="inlineStr">
        <is>
          <t>Beams</t>
        </is>
      </c>
      <c r="C75" s="13" t="inlineStr">
        <is>
          <t>STR-099</t>
        </is>
      </c>
      <c r="D75" s="13" t="inlineStr">
        <is>
          <t>Roof top terrace beams (1 of 2)</t>
        </is>
      </c>
      <c r="E75" s="19" t="inlineStr">
        <is>
          <t>2003</t>
        </is>
      </c>
      <c r="F75" s="19" t="n">
        <v>20</v>
      </c>
      <c r="G75" s="19" t="n">
        <v>1</v>
      </c>
      <c r="H75" s="19" t="n">
        <v>3</v>
      </c>
      <c r="I75" s="13">
        <f>G75*H75</f>
        <v>3.0</v>
      </c>
      <c r="J75" s="20">
        <f>12000/1000</f>
        <v>12.0</v>
      </c>
      <c r="K75" s="21">
        <f>I75*J75</f>
        <v>36.0</v>
      </c>
      <c r="L75" s="22">
        <f>F75^2/162</f>
        <v>2.4691358024691357</v>
      </c>
      <c r="M75" s="21">
        <f>K75*L75</f>
        <v>88.88888888888889</v>
      </c>
      <c r="N75" s="22">
        <f>M75/1000</f>
        <v>0.08888888888888889</v>
      </c>
      <c r="O75" s="13" t="inlineStr">
        <is>
          <t>BBS</t>
        </is>
      </c>
    </row>
    <row r="76">
      <c r="A76" s="13" t="n">
        <v>71</v>
      </c>
      <c r="B76" s="13" t="inlineStr">
        <is>
          <t>Beams</t>
        </is>
      </c>
      <c r="C76" s="13" t="inlineStr">
        <is>
          <t>STR-099</t>
        </is>
      </c>
      <c r="D76" s="13" t="inlineStr">
        <is>
          <t>Roof top terrace beams (1 of 2)</t>
        </is>
      </c>
      <c r="E76" s="19" t="inlineStr">
        <is>
          <t>2004</t>
        </is>
      </c>
      <c r="F76" s="19" t="n">
        <v>20</v>
      </c>
      <c r="G76" s="19" t="n">
        <v>1</v>
      </c>
      <c r="H76" s="19" t="n">
        <v>3</v>
      </c>
      <c r="I76" s="13">
        <f>G76*H76</f>
        <v>3.0</v>
      </c>
      <c r="J76" s="20">
        <f>7000/1000</f>
        <v>7.0</v>
      </c>
      <c r="K76" s="21">
        <f>I76*J76</f>
        <v>21.0</v>
      </c>
      <c r="L76" s="22">
        <f>F76^2/162</f>
        <v>2.4691358024691357</v>
      </c>
      <c r="M76" s="21">
        <f>K76*L76</f>
        <v>51.85185185185185</v>
      </c>
      <c r="N76" s="22">
        <f>M76/1000</f>
        <v>0.05185185185185185</v>
      </c>
      <c r="O76" s="13" t="inlineStr">
        <is>
          <t>BBS</t>
        </is>
      </c>
    </row>
    <row r="77">
      <c r="A77" s="13" t="n">
        <v>72</v>
      </c>
      <c r="B77" s="13" t="inlineStr">
        <is>
          <t>Beams</t>
        </is>
      </c>
      <c r="C77" s="13" t="inlineStr">
        <is>
          <t>STR-099</t>
        </is>
      </c>
      <c r="D77" s="13" t="inlineStr">
        <is>
          <t>Roof top terrace beams (1 of 2)</t>
        </is>
      </c>
      <c r="E77" s="19" t="inlineStr">
        <is>
          <t>2005</t>
        </is>
      </c>
      <c r="F77" s="19" t="n">
        <v>20</v>
      </c>
      <c r="G77" s="19" t="n">
        <v>1</v>
      </c>
      <c r="H77" s="19" t="n">
        <v>6</v>
      </c>
      <c r="I77" s="13">
        <f>G77*H77</f>
        <v>6.0</v>
      </c>
      <c r="J77" s="20">
        <f>9300/1000</f>
        <v>9.3</v>
      </c>
      <c r="K77" s="21">
        <f>I77*J77</f>
        <v>55.800000000000004</v>
      </c>
      <c r="L77" s="22">
        <f>F77^2/162</f>
        <v>2.4691358024691357</v>
      </c>
      <c r="M77" s="21">
        <f>K77*L77</f>
        <v>137.77777777777777</v>
      </c>
      <c r="N77" s="22">
        <f>M77/1000</f>
        <v>0.13777777777777778</v>
      </c>
      <c r="O77" s="13" t="inlineStr">
        <is>
          <t>BBS</t>
        </is>
      </c>
    </row>
    <row r="78">
      <c r="A78" s="13" t="n">
        <v>73</v>
      </c>
      <c r="B78" s="13" t="inlineStr">
        <is>
          <t>Beams</t>
        </is>
      </c>
      <c r="C78" s="13" t="inlineStr">
        <is>
          <t>STR-099</t>
        </is>
      </c>
      <c r="D78" s="13" t="inlineStr">
        <is>
          <t>Roof top terrace beams (1 of 2)</t>
        </is>
      </c>
      <c r="E78" s="19" t="inlineStr">
        <is>
          <t>2006</t>
        </is>
      </c>
      <c r="F78" s="19" t="n">
        <v>20</v>
      </c>
      <c r="G78" s="19" t="n">
        <v>1</v>
      </c>
      <c r="H78" s="19" t="n">
        <v>3</v>
      </c>
      <c r="I78" s="13">
        <f>G78*H78</f>
        <v>3.0</v>
      </c>
      <c r="J78" s="20">
        <f>9000/1000</f>
        <v>9.0</v>
      </c>
      <c r="K78" s="21">
        <f>I78*J78</f>
        <v>27.0</v>
      </c>
      <c r="L78" s="22">
        <f>F78^2/162</f>
        <v>2.4691358024691357</v>
      </c>
      <c r="M78" s="21">
        <f>K78*L78</f>
        <v>66.66666666666666</v>
      </c>
      <c r="N78" s="22">
        <f>M78/1000</f>
        <v>0.06666666666666665</v>
      </c>
      <c r="O78" s="13" t="inlineStr">
        <is>
          <t>BBS</t>
        </is>
      </c>
    </row>
    <row r="79">
      <c r="A79" s="13" t="n">
        <v>74</v>
      </c>
      <c r="B79" s="13" t="inlineStr">
        <is>
          <t>Beams</t>
        </is>
      </c>
      <c r="C79" s="13" t="inlineStr">
        <is>
          <t>STR-099</t>
        </is>
      </c>
      <c r="D79" s="13" t="inlineStr">
        <is>
          <t>Roof top terrace beams (1 of 2)</t>
        </is>
      </c>
      <c r="E79" s="19" t="inlineStr">
        <is>
          <t>2007</t>
        </is>
      </c>
      <c r="F79" s="19" t="n">
        <v>20</v>
      </c>
      <c r="G79" s="19" t="n">
        <v>1</v>
      </c>
      <c r="H79" s="19" t="n">
        <v>2</v>
      </c>
      <c r="I79" s="13">
        <f>G79*H79</f>
        <v>2.0</v>
      </c>
      <c r="J79" s="20">
        <f>6100/1000</f>
        <v>6.1</v>
      </c>
      <c r="K79" s="21">
        <f>I79*J79</f>
        <v>12.2</v>
      </c>
      <c r="L79" s="22">
        <f>F79^2/162</f>
        <v>2.4691358024691357</v>
      </c>
      <c r="M79" s="21">
        <f>K79*L79</f>
        <v>30.123456790123452</v>
      </c>
      <c r="N79" s="22">
        <f>M79/1000</f>
        <v>0.030123456790123453</v>
      </c>
      <c r="O79" s="13" t="inlineStr">
        <is>
          <t>BBS</t>
        </is>
      </c>
    </row>
    <row r="80">
      <c r="A80" s="13" t="n">
        <v>75</v>
      </c>
      <c r="B80" s="13" t="inlineStr">
        <is>
          <t>Beams</t>
        </is>
      </c>
      <c r="C80" s="13" t="inlineStr">
        <is>
          <t>STR-099</t>
        </is>
      </c>
      <c r="D80" s="13" t="inlineStr">
        <is>
          <t>Roof top terrace beams (1 of 2)</t>
        </is>
      </c>
      <c r="E80" s="19" t="inlineStr">
        <is>
          <t>2008</t>
        </is>
      </c>
      <c r="F80" s="19" t="n">
        <v>20</v>
      </c>
      <c r="G80" s="19" t="n">
        <v>1</v>
      </c>
      <c r="H80" s="19" t="n">
        <v>2</v>
      </c>
      <c r="I80" s="13">
        <f>G80*H80</f>
        <v>2.0</v>
      </c>
      <c r="J80" s="20">
        <f>12000/1000</f>
        <v>12.0</v>
      </c>
      <c r="K80" s="21">
        <f>I80*J80</f>
        <v>24.0</v>
      </c>
      <c r="L80" s="22">
        <f>F80^2/162</f>
        <v>2.4691358024691357</v>
      </c>
      <c r="M80" s="21">
        <f>K80*L80</f>
        <v>59.25925925925925</v>
      </c>
      <c r="N80" s="22">
        <f>M80/1000</f>
        <v>0.059259259259259255</v>
      </c>
      <c r="O80" s="13" t="inlineStr">
        <is>
          <t>BBS</t>
        </is>
      </c>
    </row>
    <row r="81">
      <c r="A81" s="13" t="n">
        <v>76</v>
      </c>
      <c r="B81" s="13" t="inlineStr">
        <is>
          <t>Beams</t>
        </is>
      </c>
      <c r="C81" s="13" t="inlineStr">
        <is>
          <t>STR-099</t>
        </is>
      </c>
      <c r="D81" s="13" t="inlineStr">
        <is>
          <t>Roof top terrace beams (1 of 2)</t>
        </is>
      </c>
      <c r="E81" s="19" t="inlineStr">
        <is>
          <t>2009</t>
        </is>
      </c>
      <c r="F81" s="19" t="n">
        <v>20</v>
      </c>
      <c r="G81" s="19" t="n">
        <v>1</v>
      </c>
      <c r="H81" s="19" t="n">
        <v>2</v>
      </c>
      <c r="I81" s="13">
        <f>G81*H81</f>
        <v>2.0</v>
      </c>
      <c r="J81" s="20">
        <f>9400/1000</f>
        <v>9.4</v>
      </c>
      <c r="K81" s="21">
        <f>I81*J81</f>
        <v>18.8</v>
      </c>
      <c r="L81" s="22">
        <f>F81^2/162</f>
        <v>2.4691358024691357</v>
      </c>
      <c r="M81" s="21">
        <f>K81*L81</f>
        <v>46.41975308641975</v>
      </c>
      <c r="N81" s="22">
        <f>M81/1000</f>
        <v>0.046419753086419754</v>
      </c>
      <c r="O81" s="13" t="inlineStr">
        <is>
          <t>BBS</t>
        </is>
      </c>
    </row>
    <row r="82">
      <c r="A82" s="13" t="n">
        <v>77</v>
      </c>
      <c r="B82" s="13" t="inlineStr">
        <is>
          <t>Beams</t>
        </is>
      </c>
      <c r="C82" s="13" t="inlineStr">
        <is>
          <t>STR-099</t>
        </is>
      </c>
      <c r="D82" s="13" t="inlineStr">
        <is>
          <t>Roof top terrace beams (1 of 2)</t>
        </is>
      </c>
      <c r="E82" s="19" t="inlineStr">
        <is>
          <t>2010</t>
        </is>
      </c>
      <c r="F82" s="19" t="n">
        <v>20</v>
      </c>
      <c r="G82" s="19" t="n">
        <v>1</v>
      </c>
      <c r="H82" s="19" t="n">
        <v>2</v>
      </c>
      <c r="I82" s="13">
        <f>G82*H82</f>
        <v>2.0</v>
      </c>
      <c r="J82" s="20">
        <f>9100/1000</f>
        <v>9.1</v>
      </c>
      <c r="K82" s="21">
        <f>I82*J82</f>
        <v>18.2</v>
      </c>
      <c r="L82" s="22">
        <f>F82^2/162</f>
        <v>2.4691358024691357</v>
      </c>
      <c r="M82" s="21">
        <f>K82*L82</f>
        <v>44.938271604938265</v>
      </c>
      <c r="N82" s="22">
        <f>M82/1000</f>
        <v>0.04493827160493827</v>
      </c>
      <c r="O82" s="13" t="inlineStr">
        <is>
          <t>BBS</t>
        </is>
      </c>
    </row>
    <row r="83">
      <c r="A83" s="13" t="n">
        <v>78</v>
      </c>
      <c r="B83" s="13" t="inlineStr">
        <is>
          <t>Beams</t>
        </is>
      </c>
      <c r="C83" s="13" t="inlineStr">
        <is>
          <t>STR-099</t>
        </is>
      </c>
      <c r="D83" s="13" t="inlineStr">
        <is>
          <t>Roof top terrace beams (1 of 2)</t>
        </is>
      </c>
      <c r="E83" s="19" t="inlineStr">
        <is>
          <t>2011</t>
        </is>
      </c>
      <c r="F83" s="19" t="n">
        <v>20</v>
      </c>
      <c r="G83" s="19" t="n">
        <v>1</v>
      </c>
      <c r="H83" s="19" t="n">
        <v>6</v>
      </c>
      <c r="I83" s="13">
        <f>G83*H83</f>
        <v>6.0</v>
      </c>
      <c r="J83" s="20">
        <f>5750/1000</f>
        <v>5.75</v>
      </c>
      <c r="K83" s="21">
        <f>I83*J83</f>
        <v>34.5</v>
      </c>
      <c r="L83" s="22">
        <f>F83^2/162</f>
        <v>2.4691358024691357</v>
      </c>
      <c r="M83" s="21">
        <f>K83*L83</f>
        <v>85.18518518518518</v>
      </c>
      <c r="N83" s="22">
        <f>M83/1000</f>
        <v>0.08518518518518517</v>
      </c>
      <c r="O83" s="13" t="inlineStr">
        <is>
          <t>BBS</t>
        </is>
      </c>
    </row>
    <row r="84">
      <c r="A84" s="13" t="n">
        <v>79</v>
      </c>
      <c r="B84" s="13" t="inlineStr">
        <is>
          <t>Beams</t>
        </is>
      </c>
      <c r="C84" s="13" t="inlineStr">
        <is>
          <t>STR-099</t>
        </is>
      </c>
      <c r="D84" s="13" t="inlineStr">
        <is>
          <t>Roof top terrace beams (1 of 2)</t>
        </is>
      </c>
      <c r="E84" s="19" t="inlineStr">
        <is>
          <t>2501</t>
        </is>
      </c>
      <c r="F84" s="19" t="n">
        <v>25</v>
      </c>
      <c r="G84" s="19" t="n">
        <v>1</v>
      </c>
      <c r="H84" s="19" t="n">
        <v>3</v>
      </c>
      <c r="I84" s="13">
        <f>G84*H84</f>
        <v>3.0</v>
      </c>
      <c r="J84" s="20">
        <f>11200/1000</f>
        <v>11.2</v>
      </c>
      <c r="K84" s="21">
        <f>I84*J84</f>
        <v>33.599999999999994</v>
      </c>
      <c r="L84" s="22">
        <f>F84^2/162</f>
        <v>3.8580246913580245</v>
      </c>
      <c r="M84" s="21">
        <f>K84*L84</f>
        <v>129.6296296296296</v>
      </c>
      <c r="N84" s="22">
        <f>M84/1000</f>
        <v>0.1296296296296296</v>
      </c>
      <c r="O84" s="13" t="inlineStr">
        <is>
          <t>BBS</t>
        </is>
      </c>
    </row>
    <row r="85">
      <c r="A85" s="13" t="n">
        <v>80</v>
      </c>
      <c r="B85" s="13" t="inlineStr">
        <is>
          <t>Beams</t>
        </is>
      </c>
      <c r="C85" s="13" t="inlineStr">
        <is>
          <t>STR-099</t>
        </is>
      </c>
      <c r="D85" s="13" t="inlineStr">
        <is>
          <t>Roof top terrace beams (1 of 2)</t>
        </is>
      </c>
      <c r="E85" s="19" t="inlineStr">
        <is>
          <t>2502</t>
        </is>
      </c>
      <c r="F85" s="19" t="n">
        <v>25</v>
      </c>
      <c r="G85" s="19" t="n">
        <v>1</v>
      </c>
      <c r="H85" s="19" t="n">
        <v>3</v>
      </c>
      <c r="I85" s="13">
        <f>G85*H85</f>
        <v>3.0</v>
      </c>
      <c r="J85" s="20">
        <f>9400/1000</f>
        <v>9.4</v>
      </c>
      <c r="K85" s="21">
        <f>I85*J85</f>
        <v>28.200000000000003</v>
      </c>
      <c r="L85" s="22">
        <f>F85^2/162</f>
        <v>3.8580246913580245</v>
      </c>
      <c r="M85" s="21">
        <f>K85*L85</f>
        <v>108.7962962962963</v>
      </c>
      <c r="N85" s="22">
        <f>M85/1000</f>
        <v>0.10879629629629631</v>
      </c>
      <c r="O85" s="13" t="inlineStr">
        <is>
          <t>BBS</t>
        </is>
      </c>
    </row>
    <row r="86">
      <c r="A86" s="13" t="n">
        <v>81</v>
      </c>
      <c r="B86" s="13" t="inlineStr">
        <is>
          <t>Beams</t>
        </is>
      </c>
      <c r="C86" s="13" t="inlineStr">
        <is>
          <t>STR-099</t>
        </is>
      </c>
      <c r="D86" s="13" t="inlineStr">
        <is>
          <t>Roof top terrace beams (1 of 2)</t>
        </is>
      </c>
      <c r="E86" s="19" t="inlineStr">
        <is>
          <t>2503</t>
        </is>
      </c>
      <c r="F86" s="19" t="n">
        <v>25</v>
      </c>
      <c r="G86" s="19" t="n">
        <v>1</v>
      </c>
      <c r="H86" s="19" t="n">
        <v>3</v>
      </c>
      <c r="I86" s="13">
        <f>G86*H86</f>
        <v>3.0</v>
      </c>
      <c r="J86" s="20">
        <f>12000/1000</f>
        <v>12.0</v>
      </c>
      <c r="K86" s="21">
        <f>I86*J86</f>
        <v>36.0</v>
      </c>
      <c r="L86" s="22">
        <f>F86^2/162</f>
        <v>3.8580246913580245</v>
      </c>
      <c r="M86" s="21">
        <f>K86*L86</f>
        <v>138.88888888888889</v>
      </c>
      <c r="N86" s="22">
        <f>M86/1000</f>
        <v>0.1388888888888889</v>
      </c>
      <c r="O86" s="13" t="inlineStr">
        <is>
          <t>BBS</t>
        </is>
      </c>
    </row>
    <row r="87">
      <c r="A87" s="13" t="n">
        <v>82</v>
      </c>
      <c r="B87" s="13" t="inlineStr">
        <is>
          <t>Beams</t>
        </is>
      </c>
      <c r="C87" s="13" t="inlineStr">
        <is>
          <t>STR-099</t>
        </is>
      </c>
      <c r="D87" s="13" t="inlineStr">
        <is>
          <t>Roof top terrace beams (1 of 2)</t>
        </is>
      </c>
      <c r="E87" s="19" t="inlineStr">
        <is>
          <t>2504</t>
        </is>
      </c>
      <c r="F87" s="19" t="n">
        <v>25</v>
      </c>
      <c r="G87" s="19" t="n">
        <v>1</v>
      </c>
      <c r="H87" s="19" t="n">
        <v>3</v>
      </c>
      <c r="I87" s="13">
        <f>G87*H87</f>
        <v>3.0</v>
      </c>
      <c r="J87" s="20">
        <f>7100/1000</f>
        <v>7.1</v>
      </c>
      <c r="K87" s="21">
        <f>I87*J87</f>
        <v>21.299999999999997</v>
      </c>
      <c r="L87" s="22">
        <f>F87^2/162</f>
        <v>3.8580246913580245</v>
      </c>
      <c r="M87" s="21">
        <f>K87*L87</f>
        <v>82.17592592592591</v>
      </c>
      <c r="N87" s="22">
        <f>M87/1000</f>
        <v>0.08217592592592592</v>
      </c>
      <c r="O87" s="13" t="inlineStr">
        <is>
          <t>BBS</t>
        </is>
      </c>
    </row>
    <row r="88">
      <c r="A88" s="13" t="n">
        <v>83</v>
      </c>
      <c r="B88" s="13" t="inlineStr">
        <is>
          <t>Beams</t>
        </is>
      </c>
      <c r="C88" s="13" t="inlineStr">
        <is>
          <t>STR-099</t>
        </is>
      </c>
      <c r="D88" s="13" t="inlineStr">
        <is>
          <t>Roof top terrace beams (1 of 2)</t>
        </is>
      </c>
      <c r="E88" s="19" t="inlineStr">
        <is>
          <t>2505</t>
        </is>
      </c>
      <c r="F88" s="19" t="n">
        <v>25</v>
      </c>
      <c r="G88" s="19" t="n">
        <v>1</v>
      </c>
      <c r="H88" s="19" t="n">
        <v>6</v>
      </c>
      <c r="I88" s="13">
        <f>G88*H88</f>
        <v>6.0</v>
      </c>
      <c r="J88" s="20">
        <f>9300/1000</f>
        <v>9.3</v>
      </c>
      <c r="K88" s="21">
        <f>I88*J88</f>
        <v>55.800000000000004</v>
      </c>
      <c r="L88" s="22">
        <f>F88^2/162</f>
        <v>3.8580246913580245</v>
      </c>
      <c r="M88" s="21">
        <f>K88*L88</f>
        <v>215.27777777777777</v>
      </c>
      <c r="N88" s="22">
        <f>M88/1000</f>
        <v>0.21527777777777776</v>
      </c>
      <c r="O88" s="13" t="inlineStr">
        <is>
          <t>BBS</t>
        </is>
      </c>
    </row>
    <row r="89">
      <c r="A89" s="13" t="n">
        <v>84</v>
      </c>
      <c r="B89" s="13" t="inlineStr">
        <is>
          <t>Beams</t>
        </is>
      </c>
      <c r="C89" s="13" t="inlineStr">
        <is>
          <t>STR-099</t>
        </is>
      </c>
      <c r="D89" s="13" t="inlineStr">
        <is>
          <t>Roof top terrace beams (1 of 2)</t>
        </is>
      </c>
      <c r="E89" s="19" t="inlineStr">
        <is>
          <t>2506</t>
        </is>
      </c>
      <c r="F89" s="19" t="n">
        <v>25</v>
      </c>
      <c r="G89" s="19" t="n">
        <v>1</v>
      </c>
      <c r="H89" s="19" t="n">
        <v>3</v>
      </c>
      <c r="I89" s="13">
        <f>G89*H89</f>
        <v>3.0</v>
      </c>
      <c r="J89" s="20">
        <f>9100/1000</f>
        <v>9.1</v>
      </c>
      <c r="K89" s="21">
        <f>I89*J89</f>
        <v>27.299999999999997</v>
      </c>
      <c r="L89" s="22">
        <f>F89^2/162</f>
        <v>3.8580246913580245</v>
      </c>
      <c r="M89" s="21">
        <f>K89*L89</f>
        <v>105.32407407407406</v>
      </c>
      <c r="N89" s="22">
        <f>M89/1000</f>
        <v>0.10532407407407406</v>
      </c>
      <c r="O89" s="13" t="inlineStr">
        <is>
          <t>BBS</t>
        </is>
      </c>
    </row>
    <row r="90">
      <c r="A90" s="13" t="n">
        <v>85</v>
      </c>
      <c r="B90" s="13" t="inlineStr">
        <is>
          <t>Beams</t>
        </is>
      </c>
      <c r="C90" s="13" t="inlineStr">
        <is>
          <t>STR-099</t>
        </is>
      </c>
      <c r="D90" s="13" t="inlineStr">
        <is>
          <t>Roof top terrace beams (1 of 2)</t>
        </is>
      </c>
      <c r="E90" s="19" t="inlineStr">
        <is>
          <t>2507</t>
        </is>
      </c>
      <c r="F90" s="19" t="n">
        <v>25</v>
      </c>
      <c r="G90" s="19" t="n">
        <v>1</v>
      </c>
      <c r="H90" s="19" t="n">
        <v>3</v>
      </c>
      <c r="I90" s="13">
        <f>G90*H90</f>
        <v>3.0</v>
      </c>
      <c r="J90" s="20">
        <f>5600/1000</f>
        <v>5.6</v>
      </c>
      <c r="K90" s="21">
        <f>I90*J90</f>
        <v>16.799999999999997</v>
      </c>
      <c r="L90" s="22">
        <f>F90^2/162</f>
        <v>3.8580246913580245</v>
      </c>
      <c r="M90" s="21">
        <f>K90*L90</f>
        <v>64.8148148148148</v>
      </c>
      <c r="N90" s="22">
        <f>M90/1000</f>
        <v>0.0648148148148148</v>
      </c>
      <c r="O90" s="13" t="inlineStr">
        <is>
          <t>BBS</t>
        </is>
      </c>
    </row>
    <row r="91">
      <c r="A91" s="13" t="n">
        <v>86</v>
      </c>
      <c r="B91" s="13" t="inlineStr">
        <is>
          <t>Beams</t>
        </is>
      </c>
      <c r="C91" s="13" t="inlineStr">
        <is>
          <t>STR-099</t>
        </is>
      </c>
      <c r="D91" s="13" t="inlineStr">
        <is>
          <t>Roof top terrace beams (1 of 2)</t>
        </is>
      </c>
      <c r="E91" s="19" t="inlineStr">
        <is>
          <t>2508</t>
        </is>
      </c>
      <c r="F91" s="19" t="n">
        <v>25</v>
      </c>
      <c r="G91" s="19" t="n">
        <v>1</v>
      </c>
      <c r="H91" s="19" t="n">
        <v>3</v>
      </c>
      <c r="I91" s="13">
        <f>G91*H91</f>
        <v>3.0</v>
      </c>
      <c r="J91" s="20">
        <f>11600/1000</f>
        <v>11.6</v>
      </c>
      <c r="K91" s="21">
        <f>I91*J91</f>
        <v>34.8</v>
      </c>
      <c r="L91" s="22">
        <f>F91^2/162</f>
        <v>3.8580246913580245</v>
      </c>
      <c r="M91" s="21">
        <f>K91*L91</f>
        <v>134.25925925925924</v>
      </c>
      <c r="N91" s="22">
        <f>M91/1000</f>
        <v>0.13425925925925924</v>
      </c>
      <c r="O91" s="13" t="inlineStr">
        <is>
          <t>BBS</t>
        </is>
      </c>
    </row>
    <row r="92">
      <c r="A92" s="13" t="n">
        <v>87</v>
      </c>
      <c r="B92" s="13" t="inlineStr">
        <is>
          <t>Beams</t>
        </is>
      </c>
      <c r="C92" s="13" t="inlineStr">
        <is>
          <t>STR-099</t>
        </is>
      </c>
      <c r="D92" s="13" t="inlineStr">
        <is>
          <t>Roof top terrace beams (1 of 2)</t>
        </is>
      </c>
      <c r="E92" s="19" t="inlineStr">
        <is>
          <t>2509</t>
        </is>
      </c>
      <c r="F92" s="19" t="n">
        <v>25</v>
      </c>
      <c r="G92" s="19" t="n">
        <v>1</v>
      </c>
      <c r="H92" s="19" t="n">
        <v>3</v>
      </c>
      <c r="I92" s="13">
        <f>G92*H92</f>
        <v>3.0</v>
      </c>
      <c r="J92" s="20">
        <f>6050/1000</f>
        <v>6.05</v>
      </c>
      <c r="K92" s="21">
        <f>I92*J92</f>
        <v>18.15</v>
      </c>
      <c r="L92" s="22">
        <f>F92^2/162</f>
        <v>3.8580246913580245</v>
      </c>
      <c r="M92" s="21">
        <f>K92*L92</f>
        <v>70.02314814814814</v>
      </c>
      <c r="N92" s="22">
        <f>M92/1000</f>
        <v>0.07002314814814814</v>
      </c>
      <c r="O92" s="13" t="inlineStr">
        <is>
          <t>BBS</t>
        </is>
      </c>
    </row>
    <row r="93">
      <c r="A93" s="13" t="n">
        <v>88</v>
      </c>
      <c r="B93" s="13" t="inlineStr">
        <is>
          <t>Beams</t>
        </is>
      </c>
      <c r="C93" s="13" t="inlineStr">
        <is>
          <t>STR-099</t>
        </is>
      </c>
      <c r="D93" s="13" t="inlineStr">
        <is>
          <t>Roof top terrace beams (1 of 2)</t>
        </is>
      </c>
      <c r="E93" s="19" t="inlineStr">
        <is>
          <t>2510</t>
        </is>
      </c>
      <c r="F93" s="19" t="n">
        <v>25</v>
      </c>
      <c r="G93" s="19" t="n">
        <v>1</v>
      </c>
      <c r="H93" s="19" t="n">
        <v>3</v>
      </c>
      <c r="I93" s="13">
        <f>G93*H93</f>
        <v>3.0</v>
      </c>
      <c r="J93" s="20">
        <f>9000/1000</f>
        <v>9.0</v>
      </c>
      <c r="K93" s="21">
        <f>I93*J93</f>
        <v>27.0</v>
      </c>
      <c r="L93" s="22">
        <f>F93^2/162</f>
        <v>3.8580246913580245</v>
      </c>
      <c r="M93" s="21">
        <f>K93*L93</f>
        <v>104.16666666666666</v>
      </c>
      <c r="N93" s="22">
        <f>M93/1000</f>
        <v>0.10416666666666666</v>
      </c>
      <c r="O93" s="13" t="inlineStr">
        <is>
          <t>BBS</t>
        </is>
      </c>
    </row>
    <row r="94">
      <c r="A94" s="13" t="n">
        <v>89</v>
      </c>
      <c r="B94" s="13" t="inlineStr">
        <is>
          <t>Beams</t>
        </is>
      </c>
      <c r="C94" s="13" t="inlineStr">
        <is>
          <t>STR-099</t>
        </is>
      </c>
      <c r="D94" s="13" t="inlineStr">
        <is>
          <t>Roof top terrace beams (1 of 2)</t>
        </is>
      </c>
      <c r="E94" s="19" t="inlineStr">
        <is>
          <t>2511</t>
        </is>
      </c>
      <c r="F94" s="19" t="n">
        <v>25</v>
      </c>
      <c r="G94" s="19" t="n">
        <v>1</v>
      </c>
      <c r="H94" s="19" t="n">
        <v>3</v>
      </c>
      <c r="I94" s="13">
        <f>G94*H94</f>
        <v>3.0</v>
      </c>
      <c r="J94" s="20">
        <f>5600/1000</f>
        <v>5.6</v>
      </c>
      <c r="K94" s="21">
        <f>I94*J94</f>
        <v>16.799999999999997</v>
      </c>
      <c r="L94" s="22">
        <f>F94^2/162</f>
        <v>3.8580246913580245</v>
      </c>
      <c r="M94" s="21">
        <f>K94*L94</f>
        <v>64.8148148148148</v>
      </c>
      <c r="N94" s="22">
        <f>M94/1000</f>
        <v>0.0648148148148148</v>
      </c>
      <c r="O94" s="13" t="inlineStr">
        <is>
          <t>BBS</t>
        </is>
      </c>
    </row>
    <row r="95">
      <c r="A95" s="13" t="n">
        <v>90</v>
      </c>
      <c r="B95" s="13" t="inlineStr">
        <is>
          <t>Beams</t>
        </is>
      </c>
      <c r="C95" s="13" t="inlineStr">
        <is>
          <t>STR-099</t>
        </is>
      </c>
      <c r="D95" s="13" t="inlineStr">
        <is>
          <t>Roof top terrace beams (1 of 2)</t>
        </is>
      </c>
      <c r="E95" s="19" t="inlineStr">
        <is>
          <t>2512</t>
        </is>
      </c>
      <c r="F95" s="19" t="n">
        <v>25</v>
      </c>
      <c r="G95" s="19" t="n">
        <v>1</v>
      </c>
      <c r="H95" s="19" t="n">
        <v>3</v>
      </c>
      <c r="I95" s="13">
        <f>G95*H95</f>
        <v>3.0</v>
      </c>
      <c r="J95" s="20">
        <f>9400/1000</f>
        <v>9.4</v>
      </c>
      <c r="K95" s="21">
        <f>I95*J95</f>
        <v>28.200000000000003</v>
      </c>
      <c r="L95" s="22">
        <f>F95^2/162</f>
        <v>3.8580246913580245</v>
      </c>
      <c r="M95" s="21">
        <f>K95*L95</f>
        <v>108.7962962962963</v>
      </c>
      <c r="N95" s="22">
        <f>M95/1000</f>
        <v>0.10879629629629631</v>
      </c>
      <c r="O95" s="13" t="inlineStr">
        <is>
          <t>BBS</t>
        </is>
      </c>
    </row>
    <row r="96">
      <c r="A96" s="13" t="n">
        <v>91</v>
      </c>
      <c r="B96" s="13" t="inlineStr">
        <is>
          <t>Beams</t>
        </is>
      </c>
      <c r="C96" s="13" t="inlineStr">
        <is>
          <t>STR-099</t>
        </is>
      </c>
      <c r="D96" s="13" t="inlineStr">
        <is>
          <t>Roof top terrace beams (1 of 2)</t>
        </is>
      </c>
      <c r="E96" s="19" t="inlineStr">
        <is>
          <t>2513</t>
        </is>
      </c>
      <c r="F96" s="19" t="n">
        <v>25</v>
      </c>
      <c r="G96" s="19" t="n">
        <v>1</v>
      </c>
      <c r="H96" s="19" t="n">
        <v>6</v>
      </c>
      <c r="I96" s="13">
        <f>G96*H96</f>
        <v>6.0</v>
      </c>
      <c r="J96" s="20">
        <f>9150/1000</f>
        <v>9.15</v>
      </c>
      <c r="K96" s="21">
        <f>I96*J96</f>
        <v>54.900000000000006</v>
      </c>
      <c r="L96" s="22">
        <f>F96^2/162</f>
        <v>3.8580246913580245</v>
      </c>
      <c r="M96" s="21">
        <f>K96*L96</f>
        <v>211.80555555555557</v>
      </c>
      <c r="N96" s="22">
        <f>M96/1000</f>
        <v>0.21180555555555558</v>
      </c>
      <c r="O96" s="13" t="inlineStr">
        <is>
          <t>BBS</t>
        </is>
      </c>
    </row>
    <row r="97">
      <c r="A97" s="13" t="n">
        <v>92</v>
      </c>
      <c r="B97" s="13" t="inlineStr">
        <is>
          <t>Beams</t>
        </is>
      </c>
      <c r="C97" s="13" t="inlineStr">
        <is>
          <t>STR-099</t>
        </is>
      </c>
      <c r="D97" s="13" t="inlineStr">
        <is>
          <t>Roof top terrace beams (1 of 2)</t>
        </is>
      </c>
      <c r="E97" s="19" t="inlineStr">
        <is>
          <t>2514</t>
        </is>
      </c>
      <c r="F97" s="19" t="n">
        <v>25</v>
      </c>
      <c r="G97" s="19" t="n">
        <v>1</v>
      </c>
      <c r="H97" s="19" t="n">
        <v>6</v>
      </c>
      <c r="I97" s="13">
        <f>G97*H97</f>
        <v>6.0</v>
      </c>
      <c r="J97" s="20">
        <f>9425/1000</f>
        <v>9.425</v>
      </c>
      <c r="K97" s="21">
        <f>I97*J97</f>
        <v>56.550000000000004</v>
      </c>
      <c r="L97" s="22">
        <f>F97^2/162</f>
        <v>3.8580246913580245</v>
      </c>
      <c r="M97" s="21">
        <f>K97*L97</f>
        <v>218.1712962962963</v>
      </c>
      <c r="N97" s="22">
        <f>M97/1000</f>
        <v>0.2181712962962963</v>
      </c>
      <c r="O97" s="13" t="inlineStr">
        <is>
          <t>BBS</t>
        </is>
      </c>
    </row>
    <row r="98">
      <c r="A98" s="13" t="n">
        <v>93</v>
      </c>
      <c r="B98" s="13" t="inlineStr">
        <is>
          <t>Beams</t>
        </is>
      </c>
      <c r="C98" s="13" t="inlineStr">
        <is>
          <t>STR-099</t>
        </is>
      </c>
      <c r="D98" s="13" t="inlineStr">
        <is>
          <t>Roof top terrace beams (1 of 2)</t>
        </is>
      </c>
      <c r="E98" s="19" t="inlineStr">
        <is>
          <t>2515</t>
        </is>
      </c>
      <c r="F98" s="19" t="n">
        <v>25</v>
      </c>
      <c r="G98" s="19" t="n">
        <v>1</v>
      </c>
      <c r="H98" s="19" t="n">
        <v>3</v>
      </c>
      <c r="I98" s="13">
        <f>G98*H98</f>
        <v>3.0</v>
      </c>
      <c r="J98" s="20">
        <f>4700/1000</f>
        <v>4.7</v>
      </c>
      <c r="K98" s="21">
        <f>I98*J98</f>
        <v>14.100000000000001</v>
      </c>
      <c r="L98" s="22">
        <f>F98^2/162</f>
        <v>3.8580246913580245</v>
      </c>
      <c r="M98" s="21">
        <f>K98*L98</f>
        <v>54.39814814814815</v>
      </c>
      <c r="N98" s="22">
        <f>M98/1000</f>
        <v>0.054398148148148154</v>
      </c>
      <c r="O98" s="13" t="inlineStr">
        <is>
          <t>BBS</t>
        </is>
      </c>
    </row>
    <row r="99">
      <c r="A99" s="13" t="n">
        <v>94</v>
      </c>
      <c r="B99" s="13" t="inlineStr">
        <is>
          <t>Beams</t>
        </is>
      </c>
      <c r="C99" s="13" t="inlineStr">
        <is>
          <t>STR-099</t>
        </is>
      </c>
      <c r="D99" s="13" t="inlineStr">
        <is>
          <t>Roof top terrace beams (1 of 2)</t>
        </is>
      </c>
      <c r="E99" s="19" t="inlineStr">
        <is>
          <t>2516</t>
        </is>
      </c>
      <c r="F99" s="19" t="n">
        <v>25</v>
      </c>
      <c r="G99" s="19" t="n">
        <v>1</v>
      </c>
      <c r="H99" s="19" t="n">
        <v>3</v>
      </c>
      <c r="I99" s="13">
        <f>G99*H99</f>
        <v>3.0</v>
      </c>
      <c r="J99" s="20">
        <f>7500/1000</f>
        <v>7.5</v>
      </c>
      <c r="K99" s="21">
        <f>I99*J99</f>
        <v>22.5</v>
      </c>
      <c r="L99" s="22">
        <f>F99^2/162</f>
        <v>3.8580246913580245</v>
      </c>
      <c r="M99" s="21">
        <f>K99*L99</f>
        <v>86.80555555555556</v>
      </c>
      <c r="N99" s="22">
        <f>M99/1000</f>
        <v>0.08680555555555555</v>
      </c>
      <c r="O99" s="13" t="inlineStr">
        <is>
          <t>BBS</t>
        </is>
      </c>
    </row>
    <row r="100">
      <c r="A100" s="13" t="n">
        <v>95</v>
      </c>
      <c r="B100" s="13" t="inlineStr">
        <is>
          <t>Beams</t>
        </is>
      </c>
      <c r="C100" s="13" t="inlineStr">
        <is>
          <t>STR-099</t>
        </is>
      </c>
      <c r="D100" s="13" t="inlineStr">
        <is>
          <t>Roof top terrace beams (1 of 2)</t>
        </is>
      </c>
      <c r="E100" s="19" t="inlineStr">
        <is>
          <t>2517</t>
        </is>
      </c>
      <c r="F100" s="19" t="n">
        <v>25</v>
      </c>
      <c r="G100" s="19" t="n">
        <v>1</v>
      </c>
      <c r="H100" s="19" t="n">
        <v>3</v>
      </c>
      <c r="I100" s="13">
        <f>G100*H100</f>
        <v>3.0</v>
      </c>
      <c r="J100" s="20">
        <f>9450/1000</f>
        <v>9.45</v>
      </c>
      <c r="K100" s="21">
        <f>I100*J100</f>
        <v>28.349999999999998</v>
      </c>
      <c r="L100" s="22">
        <f>F100^2/162</f>
        <v>3.8580246913580245</v>
      </c>
      <c r="M100" s="21">
        <f>K100*L100</f>
        <v>109.37499999999999</v>
      </c>
      <c r="N100" s="22">
        <f>M100/1000</f>
        <v>0.10937499999999999</v>
      </c>
      <c r="O100" s="13" t="inlineStr">
        <is>
          <t>BBS</t>
        </is>
      </c>
    </row>
    <row r="101">
      <c r="A101" s="13" t="n">
        <v>96</v>
      </c>
      <c r="B101" s="13" t="inlineStr">
        <is>
          <t>Beams</t>
        </is>
      </c>
      <c r="C101" s="13" t="inlineStr">
        <is>
          <t>STR-099</t>
        </is>
      </c>
      <c r="D101" s="13" t="inlineStr">
        <is>
          <t>Roof top terrace beams (1 of 2)</t>
        </is>
      </c>
      <c r="E101" s="19" t="inlineStr">
        <is>
          <t>2518</t>
        </is>
      </c>
      <c r="F101" s="19" t="n">
        <v>25</v>
      </c>
      <c r="G101" s="19" t="n">
        <v>1</v>
      </c>
      <c r="H101" s="19" t="n">
        <v>3</v>
      </c>
      <c r="I101" s="13">
        <f>G101*H101</f>
        <v>3.0</v>
      </c>
      <c r="J101" s="20">
        <f>8250/1000</f>
        <v>8.25</v>
      </c>
      <c r="K101" s="21">
        <f>I101*J101</f>
        <v>24.75</v>
      </c>
      <c r="L101" s="22">
        <f>F101^2/162</f>
        <v>3.8580246913580245</v>
      </c>
      <c r="M101" s="21">
        <f>K101*L101</f>
        <v>95.4861111111111</v>
      </c>
      <c r="N101" s="22">
        <f>M101/1000</f>
        <v>0.0954861111111111</v>
      </c>
      <c r="O101" s="13" t="inlineStr">
        <is>
          <t>BBS</t>
        </is>
      </c>
    </row>
    <row r="102">
      <c r="A102" s="13" t="n">
        <v>97</v>
      </c>
      <c r="B102" s="13" t="inlineStr">
        <is>
          <t>Beams</t>
        </is>
      </c>
      <c r="C102" s="13" t="inlineStr">
        <is>
          <t>STR-099</t>
        </is>
      </c>
      <c r="D102" s="13" t="inlineStr">
        <is>
          <t>Roof top terrace beams (1 of 2)</t>
        </is>
      </c>
      <c r="E102" s="19" t="inlineStr">
        <is>
          <t>2519</t>
        </is>
      </c>
      <c r="F102" s="19" t="n">
        <v>25</v>
      </c>
      <c r="G102" s="19" t="n">
        <v>1</v>
      </c>
      <c r="H102" s="19" t="n">
        <v>3</v>
      </c>
      <c r="I102" s="13">
        <f>G102*H102</f>
        <v>3.0</v>
      </c>
      <c r="J102" s="20">
        <f>8850/1000</f>
        <v>8.85</v>
      </c>
      <c r="K102" s="21">
        <f>I102*J102</f>
        <v>26.549999999999997</v>
      </c>
      <c r="L102" s="22">
        <f>F102^2/162</f>
        <v>3.8580246913580245</v>
      </c>
      <c r="M102" s="21">
        <f>K102*L102</f>
        <v>102.43055555555554</v>
      </c>
      <c r="N102" s="22">
        <f>M102/1000</f>
        <v>0.10243055555555554</v>
      </c>
      <c r="O102" s="13" t="inlineStr">
        <is>
          <t>BBS</t>
        </is>
      </c>
    </row>
    <row r="103">
      <c r="A103" s="13" t="n">
        <v>98</v>
      </c>
      <c r="B103" s="13" t="inlineStr">
        <is>
          <t>Beams</t>
        </is>
      </c>
      <c r="C103" s="13" t="inlineStr">
        <is>
          <t>STR-099</t>
        </is>
      </c>
      <c r="D103" s="13" t="inlineStr">
        <is>
          <t>Roof top terrace beams (1 of 2)</t>
        </is>
      </c>
      <c r="E103" s="19" t="inlineStr">
        <is>
          <t>2520</t>
        </is>
      </c>
      <c r="F103" s="19" t="n">
        <v>25</v>
      </c>
      <c r="G103" s="19" t="n">
        <v>1</v>
      </c>
      <c r="H103" s="19" t="n">
        <v>3</v>
      </c>
      <c r="I103" s="13">
        <f>G103*H103</f>
        <v>3.0</v>
      </c>
      <c r="J103" s="20">
        <f>6350/1000</f>
        <v>6.35</v>
      </c>
      <c r="K103" s="21">
        <f>I103*J103</f>
        <v>19.049999999999997</v>
      </c>
      <c r="L103" s="22">
        <f>F103^2/162</f>
        <v>3.8580246913580245</v>
      </c>
      <c r="M103" s="21">
        <f>K103*L103</f>
        <v>73.49537037037035</v>
      </c>
      <c r="N103" s="22">
        <f>M103/1000</f>
        <v>0.07349537037037035</v>
      </c>
      <c r="O103" s="13" t="inlineStr">
        <is>
          <t>BBS</t>
        </is>
      </c>
    </row>
    <row r="104">
      <c r="A104" s="13" t="n">
        <v>99</v>
      </c>
      <c r="B104" s="13" t="inlineStr">
        <is>
          <t>Beams</t>
        </is>
      </c>
      <c r="C104" s="13" t="inlineStr">
        <is>
          <t>STR-099</t>
        </is>
      </c>
      <c r="D104" s="13" t="inlineStr">
        <is>
          <t>Roof top terrace beams (1 of 2)</t>
        </is>
      </c>
      <c r="E104" s="19" t="inlineStr">
        <is>
          <t>2521</t>
        </is>
      </c>
      <c r="F104" s="19" t="n">
        <v>25</v>
      </c>
      <c r="G104" s="19" t="n">
        <v>1</v>
      </c>
      <c r="H104" s="19" t="n">
        <v>3</v>
      </c>
      <c r="I104" s="13">
        <f>G104*H104</f>
        <v>3.0</v>
      </c>
      <c r="J104" s="20">
        <f>7750/1000</f>
        <v>7.75</v>
      </c>
      <c r="K104" s="21">
        <f>I104*J104</f>
        <v>23.25</v>
      </c>
      <c r="L104" s="22">
        <f>F104^2/162</f>
        <v>3.8580246913580245</v>
      </c>
      <c r="M104" s="21">
        <f>K104*L104</f>
        <v>89.69907407407408</v>
      </c>
      <c r="N104" s="22">
        <f>M104/1000</f>
        <v>0.08969907407407407</v>
      </c>
      <c r="O104" s="13" t="inlineStr">
        <is>
          <t>BBS</t>
        </is>
      </c>
    </row>
    <row r="105">
      <c r="A105" s="13" t="n">
        <v>100</v>
      </c>
      <c r="B105" s="13" t="inlineStr">
        <is>
          <t>Beams</t>
        </is>
      </c>
      <c r="C105" s="13" t="inlineStr">
        <is>
          <t>STR-099</t>
        </is>
      </c>
      <c r="D105" s="13" t="inlineStr">
        <is>
          <t>Roof top terrace beams (1 of 2)</t>
        </is>
      </c>
      <c r="E105" s="19" t="inlineStr">
        <is>
          <t>2522</t>
        </is>
      </c>
      <c r="F105" s="19" t="n">
        <v>25</v>
      </c>
      <c r="G105" s="19" t="n">
        <v>1</v>
      </c>
      <c r="H105" s="19" t="n">
        <v>3</v>
      </c>
      <c r="I105" s="13">
        <f>G105*H105</f>
        <v>3.0</v>
      </c>
      <c r="J105" s="20">
        <f>6350/1000</f>
        <v>6.35</v>
      </c>
      <c r="K105" s="21">
        <f>I105*J105</f>
        <v>19.049999999999997</v>
      </c>
      <c r="L105" s="22">
        <f>F105^2/162</f>
        <v>3.8580246913580245</v>
      </c>
      <c r="M105" s="21">
        <f>K105*L105</f>
        <v>73.49537037037035</v>
      </c>
      <c r="N105" s="22">
        <f>M105/1000</f>
        <v>0.07349537037037035</v>
      </c>
      <c r="O105" s="13" t="inlineStr">
        <is>
          <t>BBS</t>
        </is>
      </c>
    </row>
    <row r="106">
      <c r="A106" s="13" t="n">
        <v>101</v>
      </c>
      <c r="B106" s="13" t="inlineStr">
        <is>
          <t>Beams</t>
        </is>
      </c>
      <c r="C106" s="13" t="inlineStr">
        <is>
          <t>STR-099</t>
        </is>
      </c>
      <c r="D106" s="13" t="inlineStr">
        <is>
          <t>Roof top terrace beams (1 of 2)</t>
        </is>
      </c>
      <c r="E106" s="19" t="inlineStr">
        <is>
          <t>2523</t>
        </is>
      </c>
      <c r="F106" s="19" t="n">
        <v>25</v>
      </c>
      <c r="G106" s="19" t="n">
        <v>1</v>
      </c>
      <c r="H106" s="19" t="n">
        <v>3</v>
      </c>
      <c r="I106" s="13">
        <f>G106*H106</f>
        <v>3.0</v>
      </c>
      <c r="J106" s="20">
        <f>10450/1000</f>
        <v>10.45</v>
      </c>
      <c r="K106" s="21">
        <f>I106*J106</f>
        <v>31.349999999999998</v>
      </c>
      <c r="L106" s="22">
        <f>F106^2/162</f>
        <v>3.8580246913580245</v>
      </c>
      <c r="M106" s="21">
        <f>K106*L106</f>
        <v>120.94907407407406</v>
      </c>
      <c r="N106" s="22">
        <f>M106/1000</f>
        <v>0.12094907407407406</v>
      </c>
      <c r="O106" s="13" t="inlineStr">
        <is>
          <t>BBS</t>
        </is>
      </c>
    </row>
    <row r="107">
      <c r="A107" s="13" t="n">
        <v>102</v>
      </c>
      <c r="B107" s="13" t="inlineStr">
        <is>
          <t>Beams</t>
        </is>
      </c>
      <c r="C107" s="13" t="inlineStr">
        <is>
          <t>STR-099</t>
        </is>
      </c>
      <c r="D107" s="13" t="inlineStr">
        <is>
          <t>Roof top terrace beams (1 of 2)</t>
        </is>
      </c>
      <c r="E107" s="19" t="inlineStr">
        <is>
          <t>2524</t>
        </is>
      </c>
      <c r="F107" s="19" t="n">
        <v>25</v>
      </c>
      <c r="G107" s="19" t="n">
        <v>1</v>
      </c>
      <c r="H107" s="19" t="n">
        <v>3</v>
      </c>
      <c r="I107" s="13">
        <f>G107*H107</f>
        <v>3.0</v>
      </c>
      <c r="J107" s="20">
        <f>11200/1000</f>
        <v>11.2</v>
      </c>
      <c r="K107" s="21">
        <f>I107*J107</f>
        <v>33.599999999999994</v>
      </c>
      <c r="L107" s="22">
        <f>F107^2/162</f>
        <v>3.8580246913580245</v>
      </c>
      <c r="M107" s="21">
        <f>K107*L107</f>
        <v>129.6296296296296</v>
      </c>
      <c r="N107" s="22">
        <f>M107/1000</f>
        <v>0.1296296296296296</v>
      </c>
      <c r="O107" s="13" t="inlineStr">
        <is>
          <t>BBS</t>
        </is>
      </c>
    </row>
    <row r="108">
      <c r="A108" s="13" t="n">
        <v>103</v>
      </c>
      <c r="B108" s="13" t="inlineStr">
        <is>
          <t>Beams</t>
        </is>
      </c>
      <c r="C108" s="13" t="inlineStr">
        <is>
          <t>STR-099</t>
        </is>
      </c>
      <c r="D108" s="13" t="inlineStr">
        <is>
          <t>Roof top terrace beams (1 of 2)</t>
        </is>
      </c>
      <c r="E108" s="19" t="inlineStr">
        <is>
          <t>2525</t>
        </is>
      </c>
      <c r="F108" s="19" t="n">
        <v>25</v>
      </c>
      <c r="G108" s="19" t="n">
        <v>1</v>
      </c>
      <c r="H108" s="19" t="n">
        <v>3</v>
      </c>
      <c r="I108" s="13">
        <f>G108*H108</f>
        <v>3.0</v>
      </c>
      <c r="J108" s="20">
        <f>6350/1000</f>
        <v>6.35</v>
      </c>
      <c r="K108" s="21">
        <f>I108*J108</f>
        <v>19.049999999999997</v>
      </c>
      <c r="L108" s="22">
        <f>F108^2/162</f>
        <v>3.8580246913580245</v>
      </c>
      <c r="M108" s="21">
        <f>K108*L108</f>
        <v>73.49537037037035</v>
      </c>
      <c r="N108" s="22">
        <f>M108/1000</f>
        <v>0.07349537037037035</v>
      </c>
      <c r="O108" s="13" t="inlineStr">
        <is>
          <t>BBS</t>
        </is>
      </c>
    </row>
    <row r="109">
      <c r="A109" s="13" t="n">
        <v>104</v>
      </c>
      <c r="B109" s="13" t="inlineStr">
        <is>
          <t>Beams</t>
        </is>
      </c>
      <c r="C109" s="13" t="inlineStr">
        <is>
          <t>STR-099</t>
        </is>
      </c>
      <c r="D109" s="13" t="inlineStr">
        <is>
          <t>Roof top terrace beams (1 of 2)</t>
        </is>
      </c>
      <c r="E109" s="19" t="inlineStr">
        <is>
          <t>2526</t>
        </is>
      </c>
      <c r="F109" s="19" t="n">
        <v>25</v>
      </c>
      <c r="G109" s="19" t="n">
        <v>1</v>
      </c>
      <c r="H109" s="19" t="n">
        <v>3</v>
      </c>
      <c r="I109" s="13">
        <f>G109*H109</f>
        <v>3.0</v>
      </c>
      <c r="J109" s="20">
        <f>8275/1000</f>
        <v>8.275</v>
      </c>
      <c r="K109" s="21">
        <f>I109*J109</f>
        <v>24.825000000000003</v>
      </c>
      <c r="L109" s="22">
        <f>F109^2/162</f>
        <v>3.8580246913580245</v>
      </c>
      <c r="M109" s="21">
        <f>K109*L109</f>
        <v>95.77546296296298</v>
      </c>
      <c r="N109" s="22">
        <f>M109/1000</f>
        <v>0.09577546296296298</v>
      </c>
      <c r="O109" s="13" t="inlineStr">
        <is>
          <t>BBS</t>
        </is>
      </c>
    </row>
    <row r="110">
      <c r="A110" s="13" t="n">
        <v>105</v>
      </c>
      <c r="B110" s="13" t="inlineStr">
        <is>
          <t>Beams</t>
        </is>
      </c>
      <c r="C110" s="13" t="inlineStr">
        <is>
          <t>STR-099</t>
        </is>
      </c>
      <c r="D110" s="13" t="inlineStr">
        <is>
          <t>Roof top terrace beams (1 of 2)</t>
        </is>
      </c>
      <c r="E110" s="19" t="inlineStr">
        <is>
          <t>2527</t>
        </is>
      </c>
      <c r="F110" s="19" t="n">
        <v>25</v>
      </c>
      <c r="G110" s="19" t="n">
        <v>1</v>
      </c>
      <c r="H110" s="19" t="n">
        <v>6</v>
      </c>
      <c r="I110" s="13">
        <f>G110*H110</f>
        <v>6.0</v>
      </c>
      <c r="J110" s="20">
        <f>10175/1000</f>
        <v>10.175</v>
      </c>
      <c r="K110" s="21">
        <f>I110*J110</f>
        <v>61.050000000000004</v>
      </c>
      <c r="L110" s="22">
        <f>F110^2/162</f>
        <v>3.8580246913580245</v>
      </c>
      <c r="M110" s="21">
        <f>K110*L110</f>
        <v>235.53240740740742</v>
      </c>
      <c r="N110" s="22">
        <f>M110/1000</f>
        <v>0.2355324074074074</v>
      </c>
      <c r="O110" s="13" t="inlineStr">
        <is>
          <t>BBS</t>
        </is>
      </c>
    </row>
    <row r="111">
      <c r="A111" s="13" t="n">
        <v>106</v>
      </c>
      <c r="B111" s="13" t="inlineStr">
        <is>
          <t>Beams</t>
        </is>
      </c>
      <c r="C111" s="13" t="inlineStr">
        <is>
          <t>STR-100</t>
        </is>
      </c>
      <c r="D111" s="13" t="inlineStr">
        <is>
          <t>Roof top terrace beams (2 of 2)</t>
        </is>
      </c>
      <c r="E111" s="19" t="inlineStr">
        <is>
          <t>1001</t>
        </is>
      </c>
      <c r="F111" s="19" t="n">
        <v>10</v>
      </c>
      <c r="G111" s="19" t="n">
        <v>1</v>
      </c>
      <c r="H111" s="19" t="n">
        <v>256</v>
      </c>
      <c r="I111" s="13">
        <f>G111*H111</f>
        <v>256.0</v>
      </c>
      <c r="J111" s="20">
        <f>1700/1000</f>
        <v>1.7</v>
      </c>
      <c r="K111" s="21">
        <f>I111*J111</f>
        <v>435.2</v>
      </c>
      <c r="L111" s="22">
        <f>F111^2/162</f>
        <v>0.6172839506172839</v>
      </c>
      <c r="M111" s="21">
        <f>K111*L111</f>
        <v>268.641975308642</v>
      </c>
      <c r="N111" s="22">
        <f>M111/1000</f>
        <v>0.268641975308642</v>
      </c>
      <c r="O111" s="13" t="inlineStr">
        <is>
          <t>BBS</t>
        </is>
      </c>
    </row>
    <row r="112">
      <c r="A112" s="13" t="n">
        <v>107</v>
      </c>
      <c r="B112" s="13" t="inlineStr">
        <is>
          <t>Beams</t>
        </is>
      </c>
      <c r="C112" s="13" t="inlineStr">
        <is>
          <t>STR-100</t>
        </is>
      </c>
      <c r="D112" s="13" t="inlineStr">
        <is>
          <t>Roof top terrace beams (2 of 2)</t>
        </is>
      </c>
      <c r="E112" s="19" t="inlineStr">
        <is>
          <t>1601</t>
        </is>
      </c>
      <c r="F112" s="19" t="n">
        <v>16</v>
      </c>
      <c r="G112" s="19" t="n">
        <v>1</v>
      </c>
      <c r="H112" s="19" t="n">
        <v>8</v>
      </c>
      <c r="I112" s="13">
        <f>G112*H112</f>
        <v>8.0</v>
      </c>
      <c r="J112" s="20">
        <f>9050/1000</f>
        <v>9.05</v>
      </c>
      <c r="K112" s="21">
        <f>I112*J112</f>
        <v>72.4</v>
      </c>
      <c r="L112" s="22">
        <f>F112^2/162</f>
        <v>1.5802469135802468</v>
      </c>
      <c r="M112" s="21">
        <f>K112*L112</f>
        <v>114.40987654320988</v>
      </c>
      <c r="N112" s="22">
        <f>M112/1000</f>
        <v>0.11440987654320987</v>
      </c>
      <c r="O112" s="13" t="inlineStr">
        <is>
          <t>BBS</t>
        </is>
      </c>
    </row>
    <row r="113">
      <c r="A113" s="13" t="n">
        <v>108</v>
      </c>
      <c r="B113" s="13" t="inlineStr">
        <is>
          <t>Beams</t>
        </is>
      </c>
      <c r="C113" s="13" t="inlineStr">
        <is>
          <t>STR-100</t>
        </is>
      </c>
      <c r="D113" s="13" t="inlineStr">
        <is>
          <t>Roof top terrace beams (2 of 2)</t>
        </is>
      </c>
      <c r="E113" s="19" t="inlineStr">
        <is>
          <t>1602</t>
        </is>
      </c>
      <c r="F113" s="19" t="n">
        <v>16</v>
      </c>
      <c r="G113" s="19" t="n">
        <v>1</v>
      </c>
      <c r="H113" s="19" t="n">
        <v>4</v>
      </c>
      <c r="I113" s="13">
        <f>G113*H113</f>
        <v>4.0</v>
      </c>
      <c r="J113" s="20">
        <f>8850/1000</f>
        <v>8.85</v>
      </c>
      <c r="K113" s="21">
        <f>I113*J113</f>
        <v>35.4</v>
      </c>
      <c r="L113" s="22">
        <f>F113^2/162</f>
        <v>1.5802469135802468</v>
      </c>
      <c r="M113" s="21">
        <f>K113*L113</f>
        <v>55.940740740740736</v>
      </c>
      <c r="N113" s="22">
        <f>M113/1000</f>
        <v>0.055940740740740735</v>
      </c>
      <c r="O113" s="13" t="inlineStr">
        <is>
          <t>BBS</t>
        </is>
      </c>
    </row>
    <row r="114">
      <c r="A114" s="13" t="n">
        <v>109</v>
      </c>
      <c r="B114" s="13" t="inlineStr">
        <is>
          <t>Beams</t>
        </is>
      </c>
      <c r="C114" s="13" t="inlineStr">
        <is>
          <t>STR-100</t>
        </is>
      </c>
      <c r="D114" s="13" t="inlineStr">
        <is>
          <t>Roof top terrace beams (2 of 2)</t>
        </is>
      </c>
      <c r="E114" s="19" t="inlineStr">
        <is>
          <t>1603</t>
        </is>
      </c>
      <c r="F114" s="19" t="n">
        <v>16</v>
      </c>
      <c r="G114" s="19" t="n">
        <v>1</v>
      </c>
      <c r="H114" s="19" t="n">
        <v>4</v>
      </c>
      <c r="I114" s="13">
        <f>G114*H114</f>
        <v>4.0</v>
      </c>
      <c r="J114" s="20">
        <f>4650/1000</f>
        <v>4.65</v>
      </c>
      <c r="K114" s="21">
        <f>I114*J114</f>
        <v>18.6</v>
      </c>
      <c r="L114" s="22">
        <f>F114^2/162</f>
        <v>1.5802469135802468</v>
      </c>
      <c r="M114" s="21">
        <f>K114*L114</f>
        <v>29.392592592592592</v>
      </c>
      <c r="N114" s="22">
        <f>M114/1000</f>
        <v>0.02939259259259259</v>
      </c>
      <c r="O114" s="13" t="inlineStr">
        <is>
          <t>BBS</t>
        </is>
      </c>
    </row>
    <row r="115">
      <c r="A115" s="13" t="n">
        <v>110</v>
      </c>
      <c r="B115" s="13" t="inlineStr">
        <is>
          <t>Beams</t>
        </is>
      </c>
      <c r="C115" s="13" t="inlineStr">
        <is>
          <t>STR-100</t>
        </is>
      </c>
      <c r="D115" s="13" t="inlineStr">
        <is>
          <t>Roof top terrace beams (2 of 2)</t>
        </is>
      </c>
      <c r="E115" s="19" t="inlineStr">
        <is>
          <t>1604</t>
        </is>
      </c>
      <c r="F115" s="19" t="n">
        <v>16</v>
      </c>
      <c r="G115" s="19" t="n">
        <v>1</v>
      </c>
      <c r="H115" s="19" t="n">
        <v>2</v>
      </c>
      <c r="I115" s="13">
        <f>G115*H115</f>
        <v>2.0</v>
      </c>
      <c r="J115" s="20">
        <f>7900/1000</f>
        <v>7.9</v>
      </c>
      <c r="K115" s="21">
        <f>I115*J115</f>
        <v>15.8</v>
      </c>
      <c r="L115" s="22">
        <f>F115^2/162</f>
        <v>1.5802469135802468</v>
      </c>
      <c r="M115" s="21">
        <f>K115*L115</f>
        <v>24.9679012345679</v>
      </c>
      <c r="N115" s="22">
        <f>M115/1000</f>
        <v>0.0249679012345679</v>
      </c>
      <c r="O115" s="13" t="inlineStr">
        <is>
          <t>BBS</t>
        </is>
      </c>
    </row>
    <row r="116">
      <c r="A116" s="13" t="n">
        <v>111</v>
      </c>
      <c r="B116" s="13" t="inlineStr">
        <is>
          <t>Beams</t>
        </is>
      </c>
      <c r="C116" s="13" t="inlineStr">
        <is>
          <t>STR-100</t>
        </is>
      </c>
      <c r="D116" s="13" t="inlineStr">
        <is>
          <t>Roof top terrace beams (2 of 2)</t>
        </is>
      </c>
      <c r="E116" s="19" t="inlineStr">
        <is>
          <t>1605</t>
        </is>
      </c>
      <c r="F116" s="19" t="n">
        <v>16</v>
      </c>
      <c r="G116" s="19" t="n">
        <v>1</v>
      </c>
      <c r="H116" s="19" t="n">
        <v>2</v>
      </c>
      <c r="I116" s="13">
        <f>G116*H116</f>
        <v>2.0</v>
      </c>
      <c r="J116" s="20">
        <f>2400/1000</f>
        <v>2.4</v>
      </c>
      <c r="K116" s="21">
        <f>I116*J116</f>
        <v>4.8</v>
      </c>
      <c r="L116" s="22">
        <f>F116^2/162</f>
        <v>1.5802469135802468</v>
      </c>
      <c r="M116" s="21">
        <f>K116*L116</f>
        <v>7.585185185185185</v>
      </c>
      <c r="N116" s="22">
        <f>M116/1000</f>
        <v>0.007585185185185184</v>
      </c>
      <c r="O116" s="13" t="inlineStr">
        <is>
          <t>BBS</t>
        </is>
      </c>
    </row>
    <row r="117">
      <c r="A117" s="13" t="n">
        <v>112</v>
      </c>
      <c r="B117" s="13" t="inlineStr">
        <is>
          <t>Beams</t>
        </is>
      </c>
      <c r="C117" s="13" t="inlineStr">
        <is>
          <t>STR-100</t>
        </is>
      </c>
      <c r="D117" s="13" t="inlineStr">
        <is>
          <t>Roof top terrace beams (2 of 2)</t>
        </is>
      </c>
      <c r="E117" s="19" t="inlineStr">
        <is>
          <t>1606</t>
        </is>
      </c>
      <c r="F117" s="19" t="n">
        <v>16</v>
      </c>
      <c r="G117" s="19" t="n">
        <v>1</v>
      </c>
      <c r="H117" s="19" t="n">
        <v>2</v>
      </c>
      <c r="I117" s="13">
        <f>G117*H117</f>
        <v>2.0</v>
      </c>
      <c r="J117" s="20">
        <f>9200/1000</f>
        <v>9.2</v>
      </c>
      <c r="K117" s="21">
        <f>I117*J117</f>
        <v>18.4</v>
      </c>
      <c r="L117" s="22">
        <f>F117^2/162</f>
        <v>1.5802469135802468</v>
      </c>
      <c r="M117" s="21">
        <f>K117*L117</f>
        <v>29.07654320987654</v>
      </c>
      <c r="N117" s="22">
        <f>M117/1000</f>
        <v>0.02907654320987654</v>
      </c>
      <c r="O117" s="13" t="inlineStr">
        <is>
          <t>BBS</t>
        </is>
      </c>
    </row>
    <row r="118">
      <c r="A118" s="13" t="n">
        <v>113</v>
      </c>
      <c r="B118" s="13" t="inlineStr">
        <is>
          <t>Beams</t>
        </is>
      </c>
      <c r="C118" s="13" t="inlineStr">
        <is>
          <t>STR-100</t>
        </is>
      </c>
      <c r="D118" s="13" t="inlineStr">
        <is>
          <t>Roof top terrace beams (2 of 2)</t>
        </is>
      </c>
      <c r="E118" s="19" t="inlineStr">
        <is>
          <t>1607</t>
        </is>
      </c>
      <c r="F118" s="19" t="n">
        <v>16</v>
      </c>
      <c r="G118" s="19" t="n">
        <v>1</v>
      </c>
      <c r="H118" s="19" t="n">
        <v>2</v>
      </c>
      <c r="I118" s="13">
        <f>G118*H118</f>
        <v>2.0</v>
      </c>
      <c r="J118" s="20">
        <f>9000/1000</f>
        <v>9.0</v>
      </c>
      <c r="K118" s="21">
        <f>I118*J118</f>
        <v>18.0</v>
      </c>
      <c r="L118" s="22">
        <f>F118^2/162</f>
        <v>1.5802469135802468</v>
      </c>
      <c r="M118" s="21">
        <f>K118*L118</f>
        <v>28.444444444444443</v>
      </c>
      <c r="N118" s="22">
        <f>M118/1000</f>
        <v>0.028444444444444442</v>
      </c>
      <c r="O118" s="13" t="inlineStr">
        <is>
          <t>BBS</t>
        </is>
      </c>
    </row>
    <row r="119">
      <c r="A119" s="13" t="n">
        <v>114</v>
      </c>
      <c r="B119" s="13" t="inlineStr">
        <is>
          <t>Beams</t>
        </is>
      </c>
      <c r="C119" s="13" t="inlineStr">
        <is>
          <t>STR-100</t>
        </is>
      </c>
      <c r="D119" s="13" t="inlineStr">
        <is>
          <t>Roof top terrace beams (2 of 2)</t>
        </is>
      </c>
      <c r="E119" s="19" t="inlineStr">
        <is>
          <t>1608</t>
        </is>
      </c>
      <c r="F119" s="19" t="n">
        <v>16</v>
      </c>
      <c r="G119" s="19" t="n">
        <v>1</v>
      </c>
      <c r="H119" s="19" t="n">
        <v>6</v>
      </c>
      <c r="I119" s="13">
        <f>G119*H119</f>
        <v>6.0</v>
      </c>
      <c r="J119" s="20">
        <f>12000/1000</f>
        <v>12.0</v>
      </c>
      <c r="K119" s="21">
        <f>I119*J119</f>
        <v>72.0</v>
      </c>
      <c r="L119" s="22">
        <f>F119^2/162</f>
        <v>1.5802469135802468</v>
      </c>
      <c r="M119" s="21">
        <f>K119*L119</f>
        <v>113.77777777777777</v>
      </c>
      <c r="N119" s="22">
        <f>M119/1000</f>
        <v>0.11377777777777777</v>
      </c>
      <c r="O119" s="13" t="inlineStr">
        <is>
          <t>BBS</t>
        </is>
      </c>
    </row>
    <row r="120">
      <c r="A120" s="13" t="n">
        <v>115</v>
      </c>
      <c r="B120" s="13" t="inlineStr">
        <is>
          <t>Beams</t>
        </is>
      </c>
      <c r="C120" s="13" t="inlineStr">
        <is>
          <t>STR-100</t>
        </is>
      </c>
      <c r="D120" s="13" t="inlineStr">
        <is>
          <t>Roof top terrace beams (2 of 2)</t>
        </is>
      </c>
      <c r="E120" s="19" t="inlineStr">
        <is>
          <t>1609</t>
        </is>
      </c>
      <c r="F120" s="19" t="n">
        <v>16</v>
      </c>
      <c r="G120" s="19" t="n">
        <v>1</v>
      </c>
      <c r="H120" s="19" t="n">
        <v>2</v>
      </c>
      <c r="I120" s="13">
        <f>G120*H120</f>
        <v>2.0</v>
      </c>
      <c r="J120" s="20">
        <f>4800/1000</f>
        <v>4.8</v>
      </c>
      <c r="K120" s="21">
        <f>I120*J120</f>
        <v>9.6</v>
      </c>
      <c r="L120" s="22">
        <f>F120^2/162</f>
        <v>1.5802469135802468</v>
      </c>
      <c r="M120" s="21">
        <f>K120*L120</f>
        <v>15.17037037037037</v>
      </c>
      <c r="N120" s="22">
        <f>M120/1000</f>
        <v>0.015170370370370369</v>
      </c>
      <c r="O120" s="13" t="inlineStr">
        <is>
          <t>BBS</t>
        </is>
      </c>
    </row>
    <row r="121">
      <c r="A121" s="13" t="n">
        <v>116</v>
      </c>
      <c r="B121" s="13" t="inlineStr">
        <is>
          <t>Beams</t>
        </is>
      </c>
      <c r="C121" s="13" t="inlineStr">
        <is>
          <t>STR-100</t>
        </is>
      </c>
      <c r="D121" s="13" t="inlineStr">
        <is>
          <t>Roof top terrace beams (2 of 2)</t>
        </is>
      </c>
      <c r="E121" s="19" t="inlineStr">
        <is>
          <t>1610</t>
        </is>
      </c>
      <c r="F121" s="19" t="n">
        <v>16</v>
      </c>
      <c r="G121" s="19" t="n">
        <v>1</v>
      </c>
      <c r="H121" s="19" t="n">
        <v>4</v>
      </c>
      <c r="I121" s="13">
        <f>G121*H121</f>
        <v>4.0</v>
      </c>
      <c r="J121" s="20">
        <f>8050/1000</f>
        <v>8.05</v>
      </c>
      <c r="K121" s="21">
        <f>I121*J121</f>
        <v>32.2</v>
      </c>
      <c r="L121" s="22">
        <f>F121^2/162</f>
        <v>1.5802469135802468</v>
      </c>
      <c r="M121" s="21">
        <f>K121*L121</f>
        <v>50.88395061728395</v>
      </c>
      <c r="N121" s="22">
        <f>M121/1000</f>
        <v>0.05088395061728395</v>
      </c>
      <c r="O121" s="13" t="inlineStr">
        <is>
          <t>BBS</t>
        </is>
      </c>
    </row>
    <row r="122">
      <c r="A122" s="13" t="n">
        <v>117</v>
      </c>
      <c r="B122" s="13" t="inlineStr">
        <is>
          <t>Beams</t>
        </is>
      </c>
      <c r="C122" s="13" t="inlineStr">
        <is>
          <t>STR-100</t>
        </is>
      </c>
      <c r="D122" s="13" t="inlineStr">
        <is>
          <t>Roof top terrace beams (2 of 2)</t>
        </is>
      </c>
      <c r="E122" s="19" t="inlineStr">
        <is>
          <t>1611</t>
        </is>
      </c>
      <c r="F122" s="19" t="n">
        <v>16</v>
      </c>
      <c r="G122" s="19" t="n">
        <v>1</v>
      </c>
      <c r="H122" s="19" t="n">
        <v>4</v>
      </c>
      <c r="I122" s="13">
        <f>G122*H122</f>
        <v>4.0</v>
      </c>
      <c r="J122" s="20">
        <f>9450/1000</f>
        <v>9.45</v>
      </c>
      <c r="K122" s="21">
        <f>I122*J122</f>
        <v>37.8</v>
      </c>
      <c r="L122" s="22">
        <f>F122^2/162</f>
        <v>1.5802469135802468</v>
      </c>
      <c r="M122" s="21">
        <f>K122*L122</f>
        <v>59.73333333333333</v>
      </c>
      <c r="N122" s="22">
        <f>M122/1000</f>
        <v>0.059733333333333326</v>
      </c>
      <c r="O122" s="13" t="inlineStr">
        <is>
          <t>BBS</t>
        </is>
      </c>
    </row>
    <row r="123">
      <c r="A123" s="13" t="n">
        <v>118</v>
      </c>
      <c r="B123" s="13" t="inlineStr">
        <is>
          <t>Beams</t>
        </is>
      </c>
      <c r="C123" s="13" t="inlineStr">
        <is>
          <t>STR-100</t>
        </is>
      </c>
      <c r="D123" s="13" t="inlineStr">
        <is>
          <t>Roof top terrace beams (2 of 2)</t>
        </is>
      </c>
      <c r="E123" s="19" t="inlineStr">
        <is>
          <t>1612</t>
        </is>
      </c>
      <c r="F123" s="19" t="n">
        <v>16</v>
      </c>
      <c r="G123" s="19" t="n">
        <v>1</v>
      </c>
      <c r="H123" s="19" t="n">
        <v>4</v>
      </c>
      <c r="I123" s="13">
        <f>G123*H123</f>
        <v>4.0</v>
      </c>
      <c r="J123" s="20">
        <f>7950/1000</f>
        <v>7.95</v>
      </c>
      <c r="K123" s="21">
        <f>I123*J123</f>
        <v>31.8</v>
      </c>
      <c r="L123" s="22">
        <f>F123^2/162</f>
        <v>1.5802469135802468</v>
      </c>
      <c r="M123" s="21">
        <f>K123*L123</f>
        <v>50.25185185185185</v>
      </c>
      <c r="N123" s="22">
        <f>M123/1000</f>
        <v>0.05025185185185185</v>
      </c>
      <c r="O123" s="13" t="inlineStr">
        <is>
          <t>BBS</t>
        </is>
      </c>
    </row>
    <row r="124">
      <c r="A124" s="13" t="n">
        <v>119</v>
      </c>
      <c r="B124" s="13" t="inlineStr">
        <is>
          <t>Beams</t>
        </is>
      </c>
      <c r="C124" s="13" t="inlineStr">
        <is>
          <t>STR-100</t>
        </is>
      </c>
      <c r="D124" s="13" t="inlineStr">
        <is>
          <t>Roof top terrace beams (2 of 2)</t>
        </is>
      </c>
      <c r="E124" s="19" t="inlineStr">
        <is>
          <t>1613</t>
        </is>
      </c>
      <c r="F124" s="19" t="n">
        <v>16</v>
      </c>
      <c r="G124" s="19" t="n">
        <v>1</v>
      </c>
      <c r="H124" s="19" t="n">
        <v>4</v>
      </c>
      <c r="I124" s="13">
        <f>G124*H124</f>
        <v>4.0</v>
      </c>
      <c r="J124" s="20">
        <f>11625/1000</f>
        <v>11.625</v>
      </c>
      <c r="K124" s="21">
        <f>I124*J124</f>
        <v>46.5</v>
      </c>
      <c r="L124" s="22">
        <f>F124^2/162</f>
        <v>1.5802469135802468</v>
      </c>
      <c r="M124" s="21">
        <f>K124*L124</f>
        <v>73.48148148148148</v>
      </c>
      <c r="N124" s="22">
        <f>M124/1000</f>
        <v>0.07348148148148148</v>
      </c>
      <c r="O124" s="13" t="inlineStr">
        <is>
          <t>BBS</t>
        </is>
      </c>
    </row>
    <row r="125">
      <c r="A125" s="13" t="n">
        <v>120</v>
      </c>
      <c r="B125" s="13" t="inlineStr">
        <is>
          <t>Beams</t>
        </is>
      </c>
      <c r="C125" s="13" t="inlineStr">
        <is>
          <t>STR-100</t>
        </is>
      </c>
      <c r="D125" s="13" t="inlineStr">
        <is>
          <t>Roof top terrace beams (2 of 2)</t>
        </is>
      </c>
      <c r="E125" s="19" t="inlineStr">
        <is>
          <t>1614</t>
        </is>
      </c>
      <c r="F125" s="19" t="n">
        <v>16</v>
      </c>
      <c r="G125" s="19" t="n">
        <v>1</v>
      </c>
      <c r="H125" s="19" t="n">
        <v>4</v>
      </c>
      <c r="I125" s="13">
        <f>G125*H125</f>
        <v>4.0</v>
      </c>
      <c r="J125" s="20">
        <f>6750/1000</f>
        <v>6.75</v>
      </c>
      <c r="K125" s="21">
        <f>I125*J125</f>
        <v>27.0</v>
      </c>
      <c r="L125" s="22">
        <f>F125^2/162</f>
        <v>1.5802469135802468</v>
      </c>
      <c r="M125" s="21">
        <f>K125*L125</f>
        <v>42.666666666666664</v>
      </c>
      <c r="N125" s="22">
        <f>M125/1000</f>
        <v>0.042666666666666665</v>
      </c>
      <c r="O125" s="13" t="inlineStr">
        <is>
          <t>BBS</t>
        </is>
      </c>
    </row>
    <row r="126">
      <c r="A126" s="13" t="n">
        <v>121</v>
      </c>
      <c r="B126" s="13" t="inlineStr">
        <is>
          <t>Beams</t>
        </is>
      </c>
      <c r="C126" s="13" t="inlineStr">
        <is>
          <t>STR-100</t>
        </is>
      </c>
      <c r="D126" s="13" t="inlineStr">
        <is>
          <t>Roof top terrace beams (2 of 2)</t>
        </is>
      </c>
      <c r="E126" s="19" t="inlineStr">
        <is>
          <t>1615</t>
        </is>
      </c>
      <c r="F126" s="19" t="n">
        <v>16</v>
      </c>
      <c r="G126" s="19" t="n">
        <v>1</v>
      </c>
      <c r="H126" s="19" t="n">
        <v>2</v>
      </c>
      <c r="I126" s="13">
        <f>G126*H126</f>
        <v>2.0</v>
      </c>
      <c r="J126" s="20">
        <f>4300/1000</f>
        <v>4.3</v>
      </c>
      <c r="K126" s="21">
        <f>I126*J126</f>
        <v>8.6</v>
      </c>
      <c r="L126" s="22">
        <f>F126^2/162</f>
        <v>1.5802469135802468</v>
      </c>
      <c r="M126" s="21">
        <f>K126*L126</f>
        <v>13.590123456790122</v>
      </c>
      <c r="N126" s="22">
        <f>M126/1000</f>
        <v>0.013590123456790122</v>
      </c>
      <c r="O126" s="13" t="inlineStr">
        <is>
          <t>BBS</t>
        </is>
      </c>
    </row>
    <row r="127">
      <c r="A127" s="13" t="n">
        <v>122</v>
      </c>
      <c r="B127" s="13" t="inlineStr">
        <is>
          <t>Beams</t>
        </is>
      </c>
      <c r="C127" s="13" t="inlineStr">
        <is>
          <t>STR-100</t>
        </is>
      </c>
      <c r="D127" s="13" t="inlineStr">
        <is>
          <t>Roof top terrace beams (2 of 2)</t>
        </is>
      </c>
      <c r="E127" s="19" t="inlineStr">
        <is>
          <t>2001</t>
        </is>
      </c>
      <c r="F127" s="19" t="n">
        <v>20</v>
      </c>
      <c r="G127" s="19" t="n">
        <v>1</v>
      </c>
      <c r="H127" s="19" t="n">
        <v>6</v>
      </c>
      <c r="I127" s="13">
        <f>G127*H127</f>
        <v>6.0</v>
      </c>
      <c r="J127" s="20">
        <f>11100/1000</f>
        <v>11.1</v>
      </c>
      <c r="K127" s="21">
        <f>I127*J127</f>
        <v>66.6</v>
      </c>
      <c r="L127" s="22">
        <f>F127^2/162</f>
        <v>2.4691358024691357</v>
      </c>
      <c r="M127" s="21">
        <f>K127*L127</f>
        <v>164.44444444444443</v>
      </c>
      <c r="N127" s="22">
        <f>M127/1000</f>
        <v>0.16444444444444442</v>
      </c>
      <c r="O127" s="13" t="inlineStr">
        <is>
          <t>BBS</t>
        </is>
      </c>
    </row>
    <row r="128">
      <c r="A128" s="13" t="n">
        <v>123</v>
      </c>
      <c r="B128" s="13" t="inlineStr">
        <is>
          <t>Beams</t>
        </is>
      </c>
      <c r="C128" s="13" t="inlineStr">
        <is>
          <t>STR-100</t>
        </is>
      </c>
      <c r="D128" s="13" t="inlineStr">
        <is>
          <t>Roof top terrace beams (2 of 2)</t>
        </is>
      </c>
      <c r="E128" s="19" t="inlineStr">
        <is>
          <t>2002</t>
        </is>
      </c>
      <c r="F128" s="19" t="n">
        <v>20</v>
      </c>
      <c r="G128" s="19" t="n">
        <v>1</v>
      </c>
      <c r="H128" s="19" t="n">
        <v>6</v>
      </c>
      <c r="I128" s="13">
        <f>G128*H128</f>
        <v>6.0</v>
      </c>
      <c r="J128" s="20">
        <f>9300/1000</f>
        <v>9.3</v>
      </c>
      <c r="K128" s="21">
        <f>I128*J128</f>
        <v>55.800000000000004</v>
      </c>
      <c r="L128" s="22">
        <f>F128^2/162</f>
        <v>2.4691358024691357</v>
      </c>
      <c r="M128" s="21">
        <f>K128*L128</f>
        <v>137.77777777777777</v>
      </c>
      <c r="N128" s="22">
        <f>M128/1000</f>
        <v>0.13777777777777778</v>
      </c>
      <c r="O128" s="13" t="inlineStr">
        <is>
          <t>BBS</t>
        </is>
      </c>
    </row>
    <row r="129">
      <c r="A129" s="13" t="n">
        <v>124</v>
      </c>
      <c r="B129" s="13" t="inlineStr">
        <is>
          <t>Beams</t>
        </is>
      </c>
      <c r="C129" s="13" t="inlineStr">
        <is>
          <t>STR-100</t>
        </is>
      </c>
      <c r="D129" s="13" t="inlineStr">
        <is>
          <t>Roof top terrace beams (2 of 2)</t>
        </is>
      </c>
      <c r="E129" s="19" t="inlineStr">
        <is>
          <t>2501</t>
        </is>
      </c>
      <c r="F129" s="19" t="n">
        <v>25</v>
      </c>
      <c r="G129" s="19" t="n">
        <v>1</v>
      </c>
      <c r="H129" s="19" t="n">
        <v>3</v>
      </c>
      <c r="I129" s="13">
        <f>G129*H129</f>
        <v>3.0</v>
      </c>
      <c r="J129" s="20">
        <f>6100/1000</f>
        <v>6.1</v>
      </c>
      <c r="K129" s="21">
        <f>I129*J129</f>
        <v>18.299999999999997</v>
      </c>
      <c r="L129" s="22">
        <f>F129^2/162</f>
        <v>3.8580246913580245</v>
      </c>
      <c r="M129" s="21">
        <f>K129*L129</f>
        <v>70.60185185185183</v>
      </c>
      <c r="N129" s="22">
        <f>M129/1000</f>
        <v>0.07060185185185183</v>
      </c>
      <c r="O129" s="13" t="inlineStr">
        <is>
          <t>BBS</t>
        </is>
      </c>
    </row>
    <row r="130">
      <c r="A130" s="13" t="n">
        <v>125</v>
      </c>
      <c r="B130" s="13" t="inlineStr">
        <is>
          <t>Beams</t>
        </is>
      </c>
      <c r="C130" s="13" t="inlineStr">
        <is>
          <t>STR-100</t>
        </is>
      </c>
      <c r="D130" s="13" t="inlineStr">
        <is>
          <t>Roof top terrace beams (2 of 2)</t>
        </is>
      </c>
      <c r="E130" s="19" t="inlineStr">
        <is>
          <t>2502</t>
        </is>
      </c>
      <c r="F130" s="19" t="n">
        <v>25</v>
      </c>
      <c r="G130" s="19" t="n">
        <v>1</v>
      </c>
      <c r="H130" s="19" t="n">
        <v>3</v>
      </c>
      <c r="I130" s="13">
        <f>G130*H130</f>
        <v>3.0</v>
      </c>
      <c r="J130" s="20">
        <f>12000/1000</f>
        <v>12.0</v>
      </c>
      <c r="K130" s="21">
        <f>I130*J130</f>
        <v>36.0</v>
      </c>
      <c r="L130" s="22">
        <f>F130^2/162</f>
        <v>3.8580246913580245</v>
      </c>
      <c r="M130" s="21">
        <f>K130*L130</f>
        <v>138.88888888888889</v>
      </c>
      <c r="N130" s="22">
        <f>M130/1000</f>
        <v>0.1388888888888889</v>
      </c>
      <c r="O130" s="13" t="inlineStr">
        <is>
          <t>BBS</t>
        </is>
      </c>
    </row>
    <row r="131">
      <c r="A131" s="13" t="n">
        <v>126</v>
      </c>
      <c r="B131" s="13" t="inlineStr">
        <is>
          <t>Beams</t>
        </is>
      </c>
      <c r="C131" s="13" t="inlineStr">
        <is>
          <t>STR-100</t>
        </is>
      </c>
      <c r="D131" s="13" t="inlineStr">
        <is>
          <t>Roof top terrace beams (2 of 2)</t>
        </is>
      </c>
      <c r="E131" s="19" t="inlineStr">
        <is>
          <t>2503</t>
        </is>
      </c>
      <c r="F131" s="19" t="n">
        <v>25</v>
      </c>
      <c r="G131" s="19" t="n">
        <v>1</v>
      </c>
      <c r="H131" s="19" t="n">
        <v>2</v>
      </c>
      <c r="I131" s="13">
        <f>G131*H131</f>
        <v>2.0</v>
      </c>
      <c r="J131" s="20">
        <f>6000/1000</f>
        <v>6.0</v>
      </c>
      <c r="K131" s="21">
        <f>I131*J131</f>
        <v>12.0</v>
      </c>
      <c r="L131" s="22">
        <f>F131^2/162</f>
        <v>3.8580246913580245</v>
      </c>
      <c r="M131" s="21">
        <f>K131*L131</f>
        <v>46.29629629629629</v>
      </c>
      <c r="N131" s="22">
        <f>M131/1000</f>
        <v>0.046296296296296294</v>
      </c>
      <c r="O131" s="13" t="inlineStr">
        <is>
          <t>BBS</t>
        </is>
      </c>
    </row>
    <row r="132">
      <c r="A132" s="13" t="n">
        <v>127</v>
      </c>
      <c r="B132" s="13" t="inlineStr">
        <is>
          <t>Beams</t>
        </is>
      </c>
      <c r="C132" s="13" t="inlineStr">
        <is>
          <t>STR-100</t>
        </is>
      </c>
      <c r="D132" s="13" t="inlineStr">
        <is>
          <t>Roof top terrace beams (2 of 2)</t>
        </is>
      </c>
      <c r="E132" s="19" t="inlineStr">
        <is>
          <t>2504</t>
        </is>
      </c>
      <c r="F132" s="19" t="n">
        <v>25</v>
      </c>
      <c r="G132" s="19" t="n">
        <v>1</v>
      </c>
      <c r="H132" s="19" t="n">
        <v>2</v>
      </c>
      <c r="I132" s="13">
        <f>G132*H132</f>
        <v>2.0</v>
      </c>
      <c r="J132" s="20">
        <f>11900/1000</f>
        <v>11.9</v>
      </c>
      <c r="K132" s="21">
        <f>I132*J132</f>
        <v>23.8</v>
      </c>
      <c r="L132" s="22">
        <f>F132^2/162</f>
        <v>3.8580246913580245</v>
      </c>
      <c r="M132" s="21">
        <f>K132*L132</f>
        <v>91.82098765432099</v>
      </c>
      <c r="N132" s="22">
        <f>M132/1000</f>
        <v>0.09182098765432099</v>
      </c>
      <c r="O132" s="13" t="inlineStr">
        <is>
          <t>BBS</t>
        </is>
      </c>
    </row>
    <row r="133">
      <c r="A133" s="13" t="n">
        <v>128</v>
      </c>
      <c r="B133" s="13" t="inlineStr">
        <is>
          <t>Beams</t>
        </is>
      </c>
      <c r="C133" s="13" t="inlineStr">
        <is>
          <t>STR-100</t>
        </is>
      </c>
      <c r="D133" s="13" t="inlineStr">
        <is>
          <t>Roof top terrace beams (2 of 2)</t>
        </is>
      </c>
      <c r="E133" s="19" t="inlineStr">
        <is>
          <t>2505</t>
        </is>
      </c>
      <c r="F133" s="19" t="n">
        <v>25</v>
      </c>
      <c r="G133" s="19" t="n">
        <v>1</v>
      </c>
      <c r="H133" s="19" t="n">
        <v>2</v>
      </c>
      <c r="I133" s="13">
        <f>G133*H133</f>
        <v>2.0</v>
      </c>
      <c r="J133" s="20">
        <f>9300/1000</f>
        <v>9.3</v>
      </c>
      <c r="K133" s="21">
        <f>I133*J133</f>
        <v>18.6</v>
      </c>
      <c r="L133" s="22">
        <f>F133^2/162</f>
        <v>3.8580246913580245</v>
      </c>
      <c r="M133" s="21">
        <f>K133*L133</f>
        <v>71.75925925925927</v>
      </c>
      <c r="N133" s="22">
        <f>M133/1000</f>
        <v>0.07175925925925927</v>
      </c>
      <c r="O133" s="13" t="inlineStr">
        <is>
          <t>BBS</t>
        </is>
      </c>
    </row>
    <row r="134">
      <c r="A134" s="13" t="n">
        <v>129</v>
      </c>
      <c r="B134" s="13" t="inlineStr">
        <is>
          <t>Beams</t>
        </is>
      </c>
      <c r="C134" s="13" t="inlineStr">
        <is>
          <t>STR-100</t>
        </is>
      </c>
      <c r="D134" s="13" t="inlineStr">
        <is>
          <t>Roof top terrace beams (2 of 2)</t>
        </is>
      </c>
      <c r="E134" s="19" t="inlineStr">
        <is>
          <t>2506</t>
        </is>
      </c>
      <c r="F134" s="19" t="n">
        <v>25</v>
      </c>
      <c r="G134" s="19" t="n">
        <v>1</v>
      </c>
      <c r="H134" s="19" t="n">
        <v>3</v>
      </c>
      <c r="I134" s="13">
        <f>G134*H134</f>
        <v>3.0</v>
      </c>
      <c r="J134" s="20">
        <f>9100/1000</f>
        <v>9.1</v>
      </c>
      <c r="K134" s="21">
        <f>I134*J134</f>
        <v>27.299999999999997</v>
      </c>
      <c r="L134" s="22">
        <f>F134^2/162</f>
        <v>3.8580246913580245</v>
      </c>
      <c r="M134" s="21">
        <f>K134*L134</f>
        <v>105.32407407407406</v>
      </c>
      <c r="N134" s="22">
        <f>M134/1000</f>
        <v>0.10532407407407406</v>
      </c>
      <c r="O134" s="13" t="inlineStr">
        <is>
          <t>BBS</t>
        </is>
      </c>
    </row>
    <row r="135">
      <c r="A135" s="13" t="n">
        <v>130</v>
      </c>
      <c r="B135" s="13" t="inlineStr">
        <is>
          <t>Floor Slabs</t>
        </is>
      </c>
      <c r="C135" s="13" t="inlineStr">
        <is>
          <t>STR-101</t>
        </is>
      </c>
      <c r="D135" s="13" t="inlineStr">
        <is>
          <t>Roof top terrace slab - bottom</t>
        </is>
      </c>
      <c r="E135" s="19" t="inlineStr">
        <is>
          <t>1201</t>
        </is>
      </c>
      <c r="F135" s="19" t="n">
        <v>12</v>
      </c>
      <c r="G135" s="19" t="n">
        <v>1</v>
      </c>
      <c r="H135" s="19" t="n">
        <v>154</v>
      </c>
      <c r="I135" s="13">
        <f>G135*H135</f>
        <v>154.0</v>
      </c>
      <c r="J135" s="20">
        <f>9650/1000</f>
        <v>9.65</v>
      </c>
      <c r="K135" s="21">
        <f>I135*J135</f>
        <v>1486.1000000000001</v>
      </c>
      <c r="L135" s="22">
        <f>F135^2/162</f>
        <v>0.8888888888888888</v>
      </c>
      <c r="M135" s="21">
        <f>K135*L135</f>
        <v>1320.9777777777779</v>
      </c>
      <c r="N135" s="22">
        <f>M135/1000</f>
        <v>1.3209777777777778</v>
      </c>
      <c r="O135" s="13" t="inlineStr">
        <is>
          <t>BBS</t>
        </is>
      </c>
    </row>
    <row r="136">
      <c r="A136" s="13" t="n">
        <v>131</v>
      </c>
      <c r="B136" s="13" t="inlineStr">
        <is>
          <t>Floor Slabs</t>
        </is>
      </c>
      <c r="C136" s="13" t="inlineStr">
        <is>
          <t>STR-101</t>
        </is>
      </c>
      <c r="D136" s="13" t="inlineStr">
        <is>
          <t>Roof top terrace slab - bottom</t>
        </is>
      </c>
      <c r="E136" s="19" t="inlineStr">
        <is>
          <t>1202</t>
        </is>
      </c>
      <c r="F136" s="19" t="n">
        <v>12</v>
      </c>
      <c r="G136" s="19" t="n">
        <v>1</v>
      </c>
      <c r="H136" s="19" t="n">
        <v>197</v>
      </c>
      <c r="I136" s="13">
        <f>G136*H136</f>
        <v>197.0</v>
      </c>
      <c r="J136" s="20">
        <f>5400/1000</f>
        <v>5.4</v>
      </c>
      <c r="K136" s="21">
        <f>I136*J136</f>
        <v>1063.8000000000002</v>
      </c>
      <c r="L136" s="22">
        <f>F136^2/162</f>
        <v>0.8888888888888888</v>
      </c>
      <c r="M136" s="21">
        <f>K136*L136</f>
        <v>945.6000000000001</v>
      </c>
      <c r="N136" s="22">
        <f>M136/1000</f>
        <v>0.9456000000000001</v>
      </c>
      <c r="O136" s="13" t="inlineStr">
        <is>
          <t>BBS</t>
        </is>
      </c>
    </row>
    <row r="137">
      <c r="A137" s="13" t="n">
        <v>132</v>
      </c>
      <c r="B137" s="13" t="inlineStr">
        <is>
          <t>Floor Slabs</t>
        </is>
      </c>
      <c r="C137" s="13" t="inlineStr">
        <is>
          <t>STR-101</t>
        </is>
      </c>
      <c r="D137" s="13" t="inlineStr">
        <is>
          <t>Roof top terrace slab - bottom</t>
        </is>
      </c>
      <c r="E137" s="19" t="inlineStr">
        <is>
          <t>1203</t>
        </is>
      </c>
      <c r="F137" s="19" t="n">
        <v>12</v>
      </c>
      <c r="G137" s="19" t="n">
        <v>1</v>
      </c>
      <c r="H137" s="19" t="n">
        <v>38</v>
      </c>
      <c r="I137" s="13">
        <f>G137*H137</f>
        <v>38.0</v>
      </c>
      <c r="J137" s="20">
        <f>4450/1000</f>
        <v>4.45</v>
      </c>
      <c r="K137" s="21">
        <f>I137*J137</f>
        <v>169.1</v>
      </c>
      <c r="L137" s="22">
        <f>F137^2/162</f>
        <v>0.8888888888888888</v>
      </c>
      <c r="M137" s="21">
        <f>K137*L137</f>
        <v>150.3111111111111</v>
      </c>
      <c r="N137" s="22">
        <f>M137/1000</f>
        <v>0.1503111111111111</v>
      </c>
      <c r="O137" s="13" t="inlineStr">
        <is>
          <t>BBS</t>
        </is>
      </c>
    </row>
    <row r="138">
      <c r="A138" s="13" t="n">
        <v>133</v>
      </c>
      <c r="B138" s="13" t="inlineStr">
        <is>
          <t>Floor Slabs</t>
        </is>
      </c>
      <c r="C138" s="13" t="inlineStr">
        <is>
          <t>STR-101</t>
        </is>
      </c>
      <c r="D138" s="13" t="inlineStr">
        <is>
          <t>Roof top terrace slab - bottom</t>
        </is>
      </c>
      <c r="E138" s="19" t="inlineStr">
        <is>
          <t>1204</t>
        </is>
      </c>
      <c r="F138" s="19" t="n">
        <v>12</v>
      </c>
      <c r="G138" s="19" t="n">
        <v>1</v>
      </c>
      <c r="H138" s="19" t="n">
        <v>278</v>
      </c>
      <c r="I138" s="13">
        <f>G138*H138</f>
        <v>278.0</v>
      </c>
      <c r="J138" s="20">
        <f>8800/1000</f>
        <v>8.8</v>
      </c>
      <c r="K138" s="21">
        <f>I138*J138</f>
        <v>2446.4</v>
      </c>
      <c r="L138" s="22">
        <f>F138^2/162</f>
        <v>0.8888888888888888</v>
      </c>
      <c r="M138" s="21">
        <f>K138*L138</f>
        <v>2174.5777777777776</v>
      </c>
      <c r="N138" s="22">
        <f>M138/1000</f>
        <v>2.1745777777777775</v>
      </c>
      <c r="O138" s="13" t="inlineStr">
        <is>
          <t>BBS</t>
        </is>
      </c>
    </row>
    <row r="139">
      <c r="A139" s="13" t="n">
        <v>134</v>
      </c>
      <c r="B139" s="13" t="inlineStr">
        <is>
          <t>Floor Slabs</t>
        </is>
      </c>
      <c r="C139" s="13" t="inlineStr">
        <is>
          <t>STR-101</t>
        </is>
      </c>
      <c r="D139" s="13" t="inlineStr">
        <is>
          <t>Roof top terrace slab - bottom</t>
        </is>
      </c>
      <c r="E139" s="19" t="inlineStr">
        <is>
          <t>1205</t>
        </is>
      </c>
      <c r="F139" s="19" t="n">
        <v>12</v>
      </c>
      <c r="G139" s="19" t="n">
        <v>1</v>
      </c>
      <c r="H139" s="19" t="n">
        <v>21</v>
      </c>
      <c r="I139" s="13">
        <f>G139*H139</f>
        <v>21.0</v>
      </c>
      <c r="J139" s="20">
        <f>3400/1000</f>
        <v>3.4</v>
      </c>
      <c r="K139" s="21">
        <f>I139*J139</f>
        <v>71.39999999999999</v>
      </c>
      <c r="L139" s="22">
        <f>F139^2/162</f>
        <v>0.8888888888888888</v>
      </c>
      <c r="M139" s="21">
        <f>K139*L139</f>
        <v>63.466666666666654</v>
      </c>
      <c r="N139" s="22">
        <f>M139/1000</f>
        <v>0.06346666666666666</v>
      </c>
      <c r="O139" s="13" t="inlineStr">
        <is>
          <t>BBS</t>
        </is>
      </c>
    </row>
    <row r="140">
      <c r="A140" s="13" t="n">
        <v>135</v>
      </c>
      <c r="B140" s="13" t="inlineStr">
        <is>
          <t>Floor Slabs</t>
        </is>
      </c>
      <c r="C140" s="13" t="inlineStr">
        <is>
          <t>STR-101</t>
        </is>
      </c>
      <c r="D140" s="13" t="inlineStr">
        <is>
          <t>Roof top terrace slab - bottom</t>
        </is>
      </c>
      <c r="E140" s="19" t="inlineStr">
        <is>
          <t>1206</t>
        </is>
      </c>
      <c r="F140" s="19" t="n">
        <v>12</v>
      </c>
      <c r="G140" s="19" t="n">
        <v>1</v>
      </c>
      <c r="H140" s="19" t="n">
        <v>49</v>
      </c>
      <c r="I140" s="13">
        <f>G140*H140</f>
        <v>49.0</v>
      </c>
      <c r="J140" s="20">
        <f>4600/1000</f>
        <v>4.6</v>
      </c>
      <c r="K140" s="21">
        <f>I140*J140</f>
        <v>225.39999999999998</v>
      </c>
      <c r="L140" s="22">
        <f>F140^2/162</f>
        <v>0.8888888888888888</v>
      </c>
      <c r="M140" s="21">
        <f>K140*L140</f>
        <v>200.35555555555553</v>
      </c>
      <c r="N140" s="22">
        <f>M140/1000</f>
        <v>0.20035555555555554</v>
      </c>
      <c r="O140" s="13" t="inlineStr">
        <is>
          <t>BBS</t>
        </is>
      </c>
    </row>
    <row r="141">
      <c r="A141" s="13" t="n">
        <v>136</v>
      </c>
      <c r="B141" s="13" t="inlineStr">
        <is>
          <t>Floor Slabs</t>
        </is>
      </c>
      <c r="C141" s="13" t="inlineStr">
        <is>
          <t>STR-101</t>
        </is>
      </c>
      <c r="D141" s="13" t="inlineStr">
        <is>
          <t>Roof top terrace slab - bottom</t>
        </is>
      </c>
      <c r="E141" s="19" t="inlineStr">
        <is>
          <t>1207</t>
        </is>
      </c>
      <c r="F141" s="19" t="n">
        <v>12</v>
      </c>
      <c r="G141" s="19" t="n">
        <v>1</v>
      </c>
      <c r="H141" s="19" t="n">
        <v>27</v>
      </c>
      <c r="I141" s="13">
        <f>G141*H141</f>
        <v>27.0</v>
      </c>
      <c r="J141" s="20">
        <f>4575/1000</f>
        <v>4.575</v>
      </c>
      <c r="K141" s="21">
        <f>I141*J141</f>
        <v>123.525</v>
      </c>
      <c r="L141" s="22">
        <f>F141^2/162</f>
        <v>0.8888888888888888</v>
      </c>
      <c r="M141" s="21">
        <f>K141*L141</f>
        <v>109.8</v>
      </c>
      <c r="N141" s="22">
        <f>M141/1000</f>
        <v>0.1098</v>
      </c>
      <c r="O141" s="13" t="inlineStr">
        <is>
          <t>BBS</t>
        </is>
      </c>
    </row>
    <row r="142">
      <c r="A142" s="13" t="n">
        <v>137</v>
      </c>
      <c r="B142" s="13" t="inlineStr">
        <is>
          <t>Floor Slabs</t>
        </is>
      </c>
      <c r="C142" s="13" t="inlineStr">
        <is>
          <t>STR-101</t>
        </is>
      </c>
      <c r="D142" s="13" t="inlineStr">
        <is>
          <t>Roof top terrace slab - bottom</t>
        </is>
      </c>
      <c r="E142" s="19" t="inlineStr">
        <is>
          <t>1208</t>
        </is>
      </c>
      <c r="F142" s="19" t="n">
        <v>12</v>
      </c>
      <c r="G142" s="19" t="n">
        <v>1</v>
      </c>
      <c r="H142" s="19" t="n">
        <v>63</v>
      </c>
      <c r="I142" s="13">
        <f>G142*H142</f>
        <v>63.0</v>
      </c>
      <c r="J142" s="20">
        <f>5325/1000</f>
        <v>5.325</v>
      </c>
      <c r="K142" s="21">
        <f>I142*J142</f>
        <v>335.475</v>
      </c>
      <c r="L142" s="22">
        <f>F142^2/162</f>
        <v>0.8888888888888888</v>
      </c>
      <c r="M142" s="21">
        <f>K142*L142</f>
        <v>298.2</v>
      </c>
      <c r="N142" s="22">
        <f>M142/1000</f>
        <v>0.29819999999999997</v>
      </c>
      <c r="O142" s="13" t="inlineStr">
        <is>
          <t>BBS</t>
        </is>
      </c>
    </row>
    <row r="143">
      <c r="A143" s="13" t="n">
        <v>138</v>
      </c>
      <c r="B143" s="13" t="inlineStr">
        <is>
          <t>Floor Slabs</t>
        </is>
      </c>
      <c r="C143" s="13" t="inlineStr">
        <is>
          <t>STR-101</t>
        </is>
      </c>
      <c r="D143" s="13" t="inlineStr">
        <is>
          <t>Roof top terrace slab - bottom</t>
        </is>
      </c>
      <c r="E143" s="19" t="inlineStr">
        <is>
          <t>1209</t>
        </is>
      </c>
      <c r="F143" s="19" t="n">
        <v>12</v>
      </c>
      <c r="G143" s="19" t="n">
        <v>1</v>
      </c>
      <c r="H143" s="19" t="n">
        <v>62</v>
      </c>
      <c r="I143" s="13">
        <f>G143*H143</f>
        <v>62.0</v>
      </c>
      <c r="J143" s="20">
        <f>8700/1000</f>
        <v>8.7</v>
      </c>
      <c r="K143" s="21">
        <f>I143*J143</f>
        <v>539.4</v>
      </c>
      <c r="L143" s="22">
        <f>F143^2/162</f>
        <v>0.8888888888888888</v>
      </c>
      <c r="M143" s="21">
        <f>K143*L143</f>
        <v>479.46666666666664</v>
      </c>
      <c r="N143" s="22">
        <f>M143/1000</f>
        <v>0.47946666666666665</v>
      </c>
      <c r="O143" s="13" t="inlineStr">
        <is>
          <t>BBS</t>
        </is>
      </c>
    </row>
    <row r="144">
      <c r="A144" s="13" t="n">
        <v>139</v>
      </c>
      <c r="B144" s="13" t="inlineStr">
        <is>
          <t>Floor Slabs</t>
        </is>
      </c>
      <c r="C144" s="13" t="inlineStr">
        <is>
          <t>STR-101</t>
        </is>
      </c>
      <c r="D144" s="13" t="inlineStr">
        <is>
          <t>Roof top terrace slab - bottom</t>
        </is>
      </c>
      <c r="E144" s="19" t="inlineStr">
        <is>
          <t>1210</t>
        </is>
      </c>
      <c r="F144" s="19" t="n">
        <v>12</v>
      </c>
      <c r="G144" s="19" t="n">
        <v>1</v>
      </c>
      <c r="H144" s="19" t="n">
        <v>110</v>
      </c>
      <c r="I144" s="13">
        <f>G144*H144</f>
        <v>110.0</v>
      </c>
      <c r="J144" s="20">
        <f>8575/1000</f>
        <v>8.575</v>
      </c>
      <c r="K144" s="21">
        <f>I144*J144</f>
        <v>943.2499999999999</v>
      </c>
      <c r="L144" s="22">
        <f>F144^2/162</f>
        <v>0.8888888888888888</v>
      </c>
      <c r="M144" s="21">
        <f>K144*L144</f>
        <v>838.4444444444443</v>
      </c>
      <c r="N144" s="22">
        <f>M144/1000</f>
        <v>0.8384444444444443</v>
      </c>
      <c r="O144" s="13" t="inlineStr">
        <is>
          <t>BBS</t>
        </is>
      </c>
    </row>
    <row r="145">
      <c r="A145" s="13" t="n">
        <v>140</v>
      </c>
      <c r="B145" s="13" t="inlineStr">
        <is>
          <t>Floor Slabs</t>
        </is>
      </c>
      <c r="C145" s="13" t="inlineStr">
        <is>
          <t>STR-101</t>
        </is>
      </c>
      <c r="D145" s="13" t="inlineStr">
        <is>
          <t>Roof top terrace slab - bottom</t>
        </is>
      </c>
      <c r="E145" s="19" t="inlineStr">
        <is>
          <t>1211</t>
        </is>
      </c>
      <c r="F145" s="19" t="n">
        <v>12</v>
      </c>
      <c r="G145" s="19" t="n">
        <v>1</v>
      </c>
      <c r="H145" s="19" t="n">
        <v>20</v>
      </c>
      <c r="I145" s="13">
        <f>G145*H145</f>
        <v>20.0</v>
      </c>
      <c r="J145" s="20">
        <f>8650/1000</f>
        <v>8.65</v>
      </c>
      <c r="K145" s="21">
        <f>I145*J145</f>
        <v>173.0</v>
      </c>
      <c r="L145" s="22">
        <f>F145^2/162</f>
        <v>0.8888888888888888</v>
      </c>
      <c r="M145" s="21">
        <f>K145*L145</f>
        <v>153.77777777777777</v>
      </c>
      <c r="N145" s="22">
        <f>M145/1000</f>
        <v>0.15377777777777776</v>
      </c>
      <c r="O145" s="13" t="inlineStr">
        <is>
          <t>BBS</t>
        </is>
      </c>
    </row>
    <row r="146">
      <c r="A146" s="13" t="n">
        <v>141</v>
      </c>
      <c r="B146" s="13" t="inlineStr">
        <is>
          <t>Floor Slabs</t>
        </is>
      </c>
      <c r="C146" s="13" t="inlineStr">
        <is>
          <t>STR-101</t>
        </is>
      </c>
      <c r="D146" s="13" t="inlineStr">
        <is>
          <t>Roof top terrace slab - bottom</t>
        </is>
      </c>
      <c r="E146" s="19" t="inlineStr">
        <is>
          <t>1212</t>
        </is>
      </c>
      <c r="F146" s="19" t="n">
        <v>12</v>
      </c>
      <c r="G146" s="19" t="n">
        <v>1</v>
      </c>
      <c r="H146" s="19" t="n">
        <v>31</v>
      </c>
      <c r="I146" s="13">
        <f>G146*H146</f>
        <v>31.0</v>
      </c>
      <c r="J146" s="20">
        <f>8550/1000</f>
        <v>8.55</v>
      </c>
      <c r="K146" s="21">
        <f>I146*J146</f>
        <v>265.05</v>
      </c>
      <c r="L146" s="22">
        <f>F146^2/162</f>
        <v>0.8888888888888888</v>
      </c>
      <c r="M146" s="21">
        <f>K146*L146</f>
        <v>235.6</v>
      </c>
      <c r="N146" s="22">
        <f>M146/1000</f>
        <v>0.2356</v>
      </c>
      <c r="O146" s="13" t="inlineStr">
        <is>
          <t>BBS</t>
        </is>
      </c>
    </row>
    <row r="147">
      <c r="A147" s="13" t="n">
        <v>142</v>
      </c>
      <c r="B147" s="13" t="inlineStr">
        <is>
          <t>Floor Slabs</t>
        </is>
      </c>
      <c r="C147" s="13" t="inlineStr">
        <is>
          <t>STR-101</t>
        </is>
      </c>
      <c r="D147" s="13" t="inlineStr">
        <is>
          <t>Roof top terrace slab - bottom</t>
        </is>
      </c>
      <c r="E147" s="19" t="inlineStr">
        <is>
          <t>1213</t>
        </is>
      </c>
      <c r="F147" s="19" t="n">
        <v>12</v>
      </c>
      <c r="G147" s="19" t="n">
        <v>1</v>
      </c>
      <c r="H147" s="19" t="n">
        <v>31</v>
      </c>
      <c r="I147" s="13">
        <f>G147*H147</f>
        <v>31.0</v>
      </c>
      <c r="J147" s="20">
        <f>8700/1000</f>
        <v>8.7</v>
      </c>
      <c r="K147" s="21">
        <f>I147*J147</f>
        <v>269.7</v>
      </c>
      <c r="L147" s="22">
        <f>F147^2/162</f>
        <v>0.8888888888888888</v>
      </c>
      <c r="M147" s="21">
        <f>K147*L147</f>
        <v>239.73333333333332</v>
      </c>
      <c r="N147" s="22">
        <f>M147/1000</f>
        <v>0.23973333333333333</v>
      </c>
      <c r="O147" s="13" t="inlineStr">
        <is>
          <t>BBS</t>
        </is>
      </c>
    </row>
    <row r="148">
      <c r="A148" s="13" t="n">
        <v>143</v>
      </c>
      <c r="B148" s="13" t="inlineStr">
        <is>
          <t>Floor Slabs</t>
        </is>
      </c>
      <c r="C148" s="13" t="inlineStr">
        <is>
          <t>STR-101</t>
        </is>
      </c>
      <c r="D148" s="13" t="inlineStr">
        <is>
          <t>Roof top terrace slab - bottom</t>
        </is>
      </c>
      <c r="E148" s="19" t="inlineStr">
        <is>
          <t>1214</t>
        </is>
      </c>
      <c r="F148" s="19" t="n">
        <v>12</v>
      </c>
      <c r="G148" s="19" t="n">
        <v>1</v>
      </c>
      <c r="H148" s="19" t="n">
        <v>10</v>
      </c>
      <c r="I148" s="13">
        <f>G148*H148</f>
        <v>10.0</v>
      </c>
      <c r="J148" s="20">
        <f>10200/1000</f>
        <v>10.2</v>
      </c>
      <c r="K148" s="21">
        <f>I148*J148</f>
        <v>102.0</v>
      </c>
      <c r="L148" s="22">
        <f>F148^2/162</f>
        <v>0.8888888888888888</v>
      </c>
      <c r="M148" s="21">
        <f>K148*L148</f>
        <v>90.66666666666666</v>
      </c>
      <c r="N148" s="22">
        <f>M148/1000</f>
        <v>0.09066666666666666</v>
      </c>
      <c r="O148" s="13" t="inlineStr">
        <is>
          <t>BBS</t>
        </is>
      </c>
    </row>
    <row r="149">
      <c r="A149" s="13" t="n">
        <v>144</v>
      </c>
      <c r="B149" s="13" t="inlineStr">
        <is>
          <t>Floor Slabs</t>
        </is>
      </c>
      <c r="C149" s="13" t="inlineStr">
        <is>
          <t>STR-101</t>
        </is>
      </c>
      <c r="D149" s="13" t="inlineStr">
        <is>
          <t>Roof top terrace slab - bottom</t>
        </is>
      </c>
      <c r="E149" s="19" t="inlineStr">
        <is>
          <t>1215</t>
        </is>
      </c>
      <c r="F149" s="19" t="n">
        <v>12</v>
      </c>
      <c r="G149" s="19" t="n">
        <v>1</v>
      </c>
      <c r="H149" s="19" t="n">
        <v>202</v>
      </c>
      <c r="I149" s="13">
        <f>G149*H149</f>
        <v>202.0</v>
      </c>
      <c r="J149" s="20">
        <f>10000/1000</f>
        <v>10.0</v>
      </c>
      <c r="K149" s="21">
        <f>I149*J149</f>
        <v>2020.0</v>
      </c>
      <c r="L149" s="22">
        <f>F149^2/162</f>
        <v>0.8888888888888888</v>
      </c>
      <c r="M149" s="21">
        <f>K149*L149</f>
        <v>1795.5555555555554</v>
      </c>
      <c r="N149" s="22">
        <f>M149/1000</f>
        <v>1.7955555555555553</v>
      </c>
      <c r="O149" s="13" t="inlineStr">
        <is>
          <t>BBS</t>
        </is>
      </c>
    </row>
    <row r="150">
      <c r="A150" s="13" t="n">
        <v>145</v>
      </c>
      <c r="B150" s="13" t="inlineStr">
        <is>
          <t>Floor Slabs</t>
        </is>
      </c>
      <c r="C150" s="13" t="inlineStr">
        <is>
          <t>STR-101</t>
        </is>
      </c>
      <c r="D150" s="13" t="inlineStr">
        <is>
          <t>Roof top terrace slab - bottom</t>
        </is>
      </c>
      <c r="E150" s="19" t="inlineStr">
        <is>
          <t>1216</t>
        </is>
      </c>
      <c r="F150" s="19" t="n">
        <v>12</v>
      </c>
      <c r="G150" s="19" t="n">
        <v>1</v>
      </c>
      <c r="H150" s="19" t="n">
        <v>158</v>
      </c>
      <c r="I150" s="13">
        <f>G150*H150</f>
        <v>158.0</v>
      </c>
      <c r="J150" s="20">
        <f>9550/1000</f>
        <v>9.55</v>
      </c>
      <c r="K150" s="21">
        <f>I150*J150</f>
        <v>1508.9</v>
      </c>
      <c r="L150" s="22">
        <f>F150^2/162</f>
        <v>0.8888888888888888</v>
      </c>
      <c r="M150" s="21">
        <f>K150*L150</f>
        <v>1341.2444444444445</v>
      </c>
      <c r="N150" s="22">
        <f>M150/1000</f>
        <v>1.3412444444444445</v>
      </c>
      <c r="O150" s="13" t="inlineStr">
        <is>
          <t>BBS</t>
        </is>
      </c>
    </row>
    <row r="151">
      <c r="A151" s="13" t="n">
        <v>146</v>
      </c>
      <c r="B151" s="13" t="inlineStr">
        <is>
          <t>Floor Slabs</t>
        </is>
      </c>
      <c r="C151" s="13" t="inlineStr">
        <is>
          <t>STR-101</t>
        </is>
      </c>
      <c r="D151" s="13" t="inlineStr">
        <is>
          <t>Roof top terrace slab - bottom</t>
        </is>
      </c>
      <c r="E151" s="19" t="inlineStr">
        <is>
          <t>1217</t>
        </is>
      </c>
      <c r="F151" s="19" t="n">
        <v>12</v>
      </c>
      <c r="G151" s="19" t="n">
        <v>1</v>
      </c>
      <c r="H151" s="19" t="n">
        <v>141</v>
      </c>
      <c r="I151" s="13">
        <f>G151*H151</f>
        <v>141.0</v>
      </c>
      <c r="J151" s="20">
        <f>7250/1000</f>
        <v>7.25</v>
      </c>
      <c r="K151" s="21">
        <f>I151*J151</f>
        <v>1022.25</v>
      </c>
      <c r="L151" s="22">
        <f>F151^2/162</f>
        <v>0.8888888888888888</v>
      </c>
      <c r="M151" s="21">
        <f>K151*L151</f>
        <v>908.6666666666666</v>
      </c>
      <c r="N151" s="22">
        <f>M151/1000</f>
        <v>0.9086666666666666</v>
      </c>
      <c r="O151" s="13" t="inlineStr">
        <is>
          <t>BBS</t>
        </is>
      </c>
    </row>
    <row r="152">
      <c r="A152" s="13" t="n">
        <v>147</v>
      </c>
      <c r="B152" s="13" t="inlineStr">
        <is>
          <t>Floor Slabs</t>
        </is>
      </c>
      <c r="C152" s="13" t="inlineStr">
        <is>
          <t>STR-101</t>
        </is>
      </c>
      <c r="D152" s="13" t="inlineStr">
        <is>
          <t>Roof top terrace slab - bottom</t>
        </is>
      </c>
      <c r="E152" s="19" t="inlineStr">
        <is>
          <t>1218</t>
        </is>
      </c>
      <c r="F152" s="19" t="n">
        <v>12</v>
      </c>
      <c r="G152" s="19" t="n">
        <v>1</v>
      </c>
      <c r="H152" s="19" t="n">
        <v>31</v>
      </c>
      <c r="I152" s="13">
        <f>G152*H152</f>
        <v>31.0</v>
      </c>
      <c r="J152" s="20">
        <f>12000/1000</f>
        <v>12.0</v>
      </c>
      <c r="K152" s="21">
        <f>I152*J152</f>
        <v>372.0</v>
      </c>
      <c r="L152" s="22">
        <f>F152^2/162</f>
        <v>0.8888888888888888</v>
      </c>
      <c r="M152" s="21">
        <f>K152*L152</f>
        <v>330.66666666666663</v>
      </c>
      <c r="N152" s="22">
        <f>M152/1000</f>
        <v>0.3306666666666666</v>
      </c>
      <c r="O152" s="13" t="inlineStr">
        <is>
          <t>BBS</t>
        </is>
      </c>
    </row>
    <row r="153">
      <c r="A153" s="13" t="n">
        <v>148</v>
      </c>
      <c r="B153" s="13" t="inlineStr">
        <is>
          <t>Floor Slabs</t>
        </is>
      </c>
      <c r="C153" s="13" t="inlineStr">
        <is>
          <t>STR-101</t>
        </is>
      </c>
      <c r="D153" s="13" t="inlineStr">
        <is>
          <t>Roof top terrace slab - bottom</t>
        </is>
      </c>
      <c r="E153" s="19" t="inlineStr">
        <is>
          <t>1219</t>
        </is>
      </c>
      <c r="F153" s="19" t="n">
        <v>12</v>
      </c>
      <c r="G153" s="19" t="n">
        <v>1</v>
      </c>
      <c r="H153" s="19" t="n">
        <v>282</v>
      </c>
      <c r="I153" s="13">
        <f>G153*H153</f>
        <v>282.0</v>
      </c>
      <c r="J153" s="20">
        <f>6200/1000</f>
        <v>6.2</v>
      </c>
      <c r="K153" s="21">
        <f>I153*J153</f>
        <v>1748.4</v>
      </c>
      <c r="L153" s="22">
        <f>F153^2/162</f>
        <v>0.8888888888888888</v>
      </c>
      <c r="M153" s="21">
        <f>K153*L153</f>
        <v>1554.1333333333334</v>
      </c>
      <c r="N153" s="22">
        <f>M153/1000</f>
        <v>1.5541333333333334</v>
      </c>
      <c r="O153" s="13" t="inlineStr">
        <is>
          <t>BBS</t>
        </is>
      </c>
    </row>
    <row r="154">
      <c r="A154" s="13" t="n">
        <v>149</v>
      </c>
      <c r="B154" s="13" t="inlineStr">
        <is>
          <t>Floor Slabs</t>
        </is>
      </c>
      <c r="C154" s="13" t="inlineStr">
        <is>
          <t>STR-101</t>
        </is>
      </c>
      <c r="D154" s="13" t="inlineStr">
        <is>
          <t>Roof top terrace slab - bottom</t>
        </is>
      </c>
      <c r="E154" s="19" t="inlineStr">
        <is>
          <t>1220</t>
        </is>
      </c>
      <c r="F154" s="19" t="n">
        <v>12</v>
      </c>
      <c r="G154" s="19" t="n">
        <v>1</v>
      </c>
      <c r="H154" s="19" t="n">
        <v>33</v>
      </c>
      <c r="I154" s="13">
        <f>G154*H154</f>
        <v>33.0</v>
      </c>
      <c r="J154" s="20">
        <f>7400/1000</f>
        <v>7.4</v>
      </c>
      <c r="K154" s="21">
        <f>I154*J154</f>
        <v>244.20000000000002</v>
      </c>
      <c r="L154" s="22">
        <f>F154^2/162</f>
        <v>0.8888888888888888</v>
      </c>
      <c r="M154" s="21">
        <f>K154*L154</f>
        <v>217.06666666666666</v>
      </c>
      <c r="N154" s="22">
        <f>M154/1000</f>
        <v>0.21706666666666666</v>
      </c>
      <c r="O154" s="13" t="inlineStr">
        <is>
          <t>BBS</t>
        </is>
      </c>
    </row>
    <row r="155">
      <c r="A155" s="13" t="n">
        <v>150</v>
      </c>
      <c r="B155" s="13" t="inlineStr">
        <is>
          <t>Floor Slabs</t>
        </is>
      </c>
      <c r="C155" s="13" t="inlineStr">
        <is>
          <t>STR-101</t>
        </is>
      </c>
      <c r="D155" s="13" t="inlineStr">
        <is>
          <t>Roof top terrace slab - bottom</t>
        </is>
      </c>
      <c r="E155" s="19" t="inlineStr">
        <is>
          <t>1221</t>
        </is>
      </c>
      <c r="F155" s="19" t="n">
        <v>12</v>
      </c>
      <c r="G155" s="19" t="n">
        <v>1</v>
      </c>
      <c r="H155" s="19" t="n">
        <v>203</v>
      </c>
      <c r="I155" s="13">
        <f>G155*H155</f>
        <v>203.0</v>
      </c>
      <c r="J155" s="20">
        <f>12000/1000</f>
        <v>12.0</v>
      </c>
      <c r="K155" s="21">
        <f>I155*J155</f>
        <v>2436.0</v>
      </c>
      <c r="L155" s="22">
        <f>F155^2/162</f>
        <v>0.8888888888888888</v>
      </c>
      <c r="M155" s="21">
        <f>K155*L155</f>
        <v>2165.333333333333</v>
      </c>
      <c r="N155" s="22">
        <f>M155/1000</f>
        <v>2.165333333333333</v>
      </c>
      <c r="O155" s="13" t="inlineStr">
        <is>
          <t>BBS</t>
        </is>
      </c>
    </row>
    <row r="156">
      <c r="A156" s="13" t="n">
        <v>151</v>
      </c>
      <c r="B156" s="13" t="inlineStr">
        <is>
          <t>Floor Slabs</t>
        </is>
      </c>
      <c r="C156" s="13" t="inlineStr">
        <is>
          <t>STR-101</t>
        </is>
      </c>
      <c r="D156" s="13" t="inlineStr">
        <is>
          <t>Roof top terrace slab - bottom</t>
        </is>
      </c>
      <c r="E156" s="19" t="inlineStr">
        <is>
          <t>1222</t>
        </is>
      </c>
      <c r="F156" s="19" t="n">
        <v>12</v>
      </c>
      <c r="G156" s="19" t="n">
        <v>1</v>
      </c>
      <c r="H156" s="19" t="n">
        <v>133</v>
      </c>
      <c r="I156" s="13">
        <f>G156*H156</f>
        <v>133.0</v>
      </c>
      <c r="J156" s="20">
        <f>7325/1000</f>
        <v>7.325</v>
      </c>
      <c r="K156" s="21">
        <f>I156*J156</f>
        <v>974.225</v>
      </c>
      <c r="L156" s="22">
        <f>F156^2/162</f>
        <v>0.8888888888888888</v>
      </c>
      <c r="M156" s="21">
        <f>K156*L156</f>
        <v>865.9777777777778</v>
      </c>
      <c r="N156" s="22">
        <f>M156/1000</f>
        <v>0.8659777777777777</v>
      </c>
      <c r="O156" s="13" t="inlineStr">
        <is>
          <t>BBS</t>
        </is>
      </c>
    </row>
    <row r="157">
      <c r="A157" s="13" t="n">
        <v>152</v>
      </c>
      <c r="B157" s="13" t="inlineStr">
        <is>
          <t>Floor Slabs</t>
        </is>
      </c>
      <c r="C157" s="13" t="inlineStr">
        <is>
          <t>STR-101</t>
        </is>
      </c>
      <c r="D157" s="13" t="inlineStr">
        <is>
          <t>Roof top terrace slab - bottom</t>
        </is>
      </c>
      <c r="E157" s="19" t="inlineStr">
        <is>
          <t>1223</t>
        </is>
      </c>
      <c r="F157" s="19" t="n">
        <v>12</v>
      </c>
      <c r="G157" s="19" t="n">
        <v>1</v>
      </c>
      <c r="H157" s="19" t="n">
        <v>17</v>
      </c>
      <c r="I157" s="13">
        <f>G157*H157</f>
        <v>17.0</v>
      </c>
      <c r="J157" s="20">
        <f>4250/1000</f>
        <v>4.25</v>
      </c>
      <c r="K157" s="21">
        <f>I157*J157</f>
        <v>72.25</v>
      </c>
      <c r="L157" s="22">
        <f>F157^2/162</f>
        <v>0.8888888888888888</v>
      </c>
      <c r="M157" s="21">
        <f>K157*L157</f>
        <v>64.22222222222221</v>
      </c>
      <c r="N157" s="22">
        <f>M157/1000</f>
        <v>0.06422222222222221</v>
      </c>
      <c r="O157" s="13" t="inlineStr">
        <is>
          <t>BBS</t>
        </is>
      </c>
    </row>
    <row r="158">
      <c r="A158" s="13" t="n">
        <v>153</v>
      </c>
      <c r="B158" s="13" t="inlineStr">
        <is>
          <t>Floor Slabs</t>
        </is>
      </c>
      <c r="C158" s="13" t="inlineStr">
        <is>
          <t>STR-101</t>
        </is>
      </c>
      <c r="D158" s="13" t="inlineStr">
        <is>
          <t>Roof top terrace slab - bottom</t>
        </is>
      </c>
      <c r="E158" s="19" t="inlineStr">
        <is>
          <t>1224</t>
        </is>
      </c>
      <c r="F158" s="19" t="n">
        <v>12</v>
      </c>
      <c r="G158" s="19" t="n">
        <v>1</v>
      </c>
      <c r="H158" s="19" t="n">
        <v>24</v>
      </c>
      <c r="I158" s="13">
        <f>G158*H158</f>
        <v>24.0</v>
      </c>
      <c r="J158" s="20">
        <f>6200/1000</f>
        <v>6.2</v>
      </c>
      <c r="K158" s="21">
        <f>I158*J158</f>
        <v>148.8</v>
      </c>
      <c r="L158" s="22">
        <f>F158^2/162</f>
        <v>0.8888888888888888</v>
      </c>
      <c r="M158" s="21">
        <f>K158*L158</f>
        <v>132.26666666666668</v>
      </c>
      <c r="N158" s="22">
        <f>M158/1000</f>
        <v>0.13226666666666667</v>
      </c>
      <c r="O158" s="13" t="inlineStr">
        <is>
          <t>BBS</t>
        </is>
      </c>
    </row>
    <row r="159">
      <c r="A159" s="13" t="n">
        <v>154</v>
      </c>
      <c r="B159" s="13" t="inlineStr">
        <is>
          <t>Floor Slabs</t>
        </is>
      </c>
      <c r="C159" s="13" t="inlineStr">
        <is>
          <t>STR-101</t>
        </is>
      </c>
      <c r="D159" s="13" t="inlineStr">
        <is>
          <t>Roof top terrace slab - bottom</t>
        </is>
      </c>
      <c r="E159" s="19" t="inlineStr">
        <is>
          <t>1225</t>
        </is>
      </c>
      <c r="F159" s="19" t="n">
        <v>12</v>
      </c>
      <c r="G159" s="19" t="n">
        <v>1</v>
      </c>
      <c r="H159" s="19" t="n">
        <v>16</v>
      </c>
      <c r="I159" s="13">
        <f>G159*H159</f>
        <v>16.0</v>
      </c>
      <c r="J159" s="20">
        <f>9475/1000</f>
        <v>9.475</v>
      </c>
      <c r="K159" s="21">
        <f>I159*J159</f>
        <v>151.6</v>
      </c>
      <c r="L159" s="22">
        <f>F159^2/162</f>
        <v>0.8888888888888888</v>
      </c>
      <c r="M159" s="21">
        <f>K159*L159</f>
        <v>134.75555555555553</v>
      </c>
      <c r="N159" s="22">
        <f>M159/1000</f>
        <v>0.13475555555555555</v>
      </c>
      <c r="O159" s="13" t="inlineStr">
        <is>
          <t>BBS</t>
        </is>
      </c>
    </row>
    <row r="160">
      <c r="A160" s="13" t="n">
        <v>155</v>
      </c>
      <c r="B160" s="13" t="inlineStr">
        <is>
          <t>Floor Slabs</t>
        </is>
      </c>
      <c r="C160" s="13" t="inlineStr">
        <is>
          <t>STR-101</t>
        </is>
      </c>
      <c r="D160" s="13" t="inlineStr">
        <is>
          <t>Roof top terrace slab - bottom</t>
        </is>
      </c>
      <c r="E160" s="19" t="inlineStr">
        <is>
          <t>1226</t>
        </is>
      </c>
      <c r="F160" s="19" t="n">
        <v>12</v>
      </c>
      <c r="G160" s="19" t="n">
        <v>1</v>
      </c>
      <c r="H160" s="19" t="n">
        <v>10</v>
      </c>
      <c r="I160" s="13">
        <f>G160*H160</f>
        <v>10.0</v>
      </c>
      <c r="J160" s="20">
        <f>4800/1000</f>
        <v>4.8</v>
      </c>
      <c r="K160" s="21">
        <f>I160*J160</f>
        <v>48.0</v>
      </c>
      <c r="L160" s="22">
        <f>F160^2/162</f>
        <v>0.8888888888888888</v>
      </c>
      <c r="M160" s="21">
        <f>K160*L160</f>
        <v>42.666666666666664</v>
      </c>
      <c r="N160" s="22">
        <f>M160/1000</f>
        <v>0.042666666666666665</v>
      </c>
      <c r="O160" s="13" t="inlineStr">
        <is>
          <t>BBS</t>
        </is>
      </c>
    </row>
    <row r="161">
      <c r="A161" s="13" t="n">
        <v>156</v>
      </c>
      <c r="B161" s="13" t="inlineStr">
        <is>
          <t>Floor Slabs</t>
        </is>
      </c>
      <c r="C161" s="13" t="inlineStr">
        <is>
          <t>STR-101</t>
        </is>
      </c>
      <c r="D161" s="13" t="inlineStr">
        <is>
          <t>Roof top terrace slab - bottom</t>
        </is>
      </c>
      <c r="E161" s="19" t="inlineStr">
        <is>
          <t>1227</t>
        </is>
      </c>
      <c r="F161" s="19" t="n">
        <v>12</v>
      </c>
      <c r="G161" s="19" t="n">
        <v>1</v>
      </c>
      <c r="H161" s="19" t="n">
        <v>99</v>
      </c>
      <c r="I161" s="13">
        <f>G161*H161</f>
        <v>99.0</v>
      </c>
      <c r="J161" s="20">
        <f>7375/1000</f>
        <v>7.375</v>
      </c>
      <c r="K161" s="21">
        <f>I161*J161</f>
        <v>730.125</v>
      </c>
      <c r="L161" s="22">
        <f>F161^2/162</f>
        <v>0.8888888888888888</v>
      </c>
      <c r="M161" s="21">
        <f>K161*L161</f>
        <v>649.0</v>
      </c>
      <c r="N161" s="22">
        <f>M161/1000</f>
        <v>0.649</v>
      </c>
      <c r="O161" s="13" t="inlineStr">
        <is>
          <t>BBS</t>
        </is>
      </c>
    </row>
    <row r="162">
      <c r="A162" s="13" t="n">
        <v>157</v>
      </c>
      <c r="B162" s="13" t="inlineStr">
        <is>
          <t>Floor Slabs</t>
        </is>
      </c>
      <c r="C162" s="13" t="inlineStr">
        <is>
          <t>STR-101</t>
        </is>
      </c>
      <c r="D162" s="13" t="inlineStr">
        <is>
          <t>Roof top terrace slab - bottom</t>
        </is>
      </c>
      <c r="E162" s="19" t="inlineStr">
        <is>
          <t>1228</t>
        </is>
      </c>
      <c r="F162" s="19" t="n">
        <v>12</v>
      </c>
      <c r="G162" s="19" t="n">
        <v>1</v>
      </c>
      <c r="H162" s="19" t="n">
        <v>17</v>
      </c>
      <c r="I162" s="13">
        <f>G162*H162</f>
        <v>17.0</v>
      </c>
      <c r="J162" s="20">
        <f>6900/1000</f>
        <v>6.9</v>
      </c>
      <c r="K162" s="21">
        <f>I162*J162</f>
        <v>117.30000000000001</v>
      </c>
      <c r="L162" s="22">
        <f>F162^2/162</f>
        <v>0.8888888888888888</v>
      </c>
      <c r="M162" s="21">
        <f>K162*L162</f>
        <v>104.26666666666667</v>
      </c>
      <c r="N162" s="22">
        <f>M162/1000</f>
        <v>0.10426666666666666</v>
      </c>
      <c r="O162" s="13" t="inlineStr">
        <is>
          <t>BBS</t>
        </is>
      </c>
    </row>
    <row r="163">
      <c r="A163" s="13" t="n">
        <v>158</v>
      </c>
      <c r="B163" s="13" t="inlineStr">
        <is>
          <t>Floor Slabs</t>
        </is>
      </c>
      <c r="C163" s="13" t="inlineStr">
        <is>
          <t>STR-101</t>
        </is>
      </c>
      <c r="D163" s="13" t="inlineStr">
        <is>
          <t>Roof top terrace slab - bottom</t>
        </is>
      </c>
      <c r="E163" s="19" t="inlineStr">
        <is>
          <t>1229</t>
        </is>
      </c>
      <c r="F163" s="19" t="n">
        <v>12</v>
      </c>
      <c r="G163" s="19" t="n">
        <v>1</v>
      </c>
      <c r="H163" s="19" t="n">
        <v>16</v>
      </c>
      <c r="I163" s="13">
        <f>G163*H163</f>
        <v>16.0</v>
      </c>
      <c r="J163" s="20">
        <f>5900/1000</f>
        <v>5.9</v>
      </c>
      <c r="K163" s="21">
        <f>I163*J163</f>
        <v>94.4</v>
      </c>
      <c r="L163" s="22">
        <f>F163^2/162</f>
        <v>0.8888888888888888</v>
      </c>
      <c r="M163" s="21">
        <f>K163*L163</f>
        <v>83.91111111111111</v>
      </c>
      <c r="N163" s="22">
        <f>M163/1000</f>
        <v>0.08391111111111112</v>
      </c>
      <c r="O163" s="13" t="inlineStr">
        <is>
          <t>BBS</t>
        </is>
      </c>
    </row>
    <row r="164">
      <c r="A164" s="13" t="n">
        <v>159</v>
      </c>
      <c r="B164" s="13" t="inlineStr">
        <is>
          <t>Floor Slabs</t>
        </is>
      </c>
      <c r="C164" s="13" t="inlineStr">
        <is>
          <t>STR-101</t>
        </is>
      </c>
      <c r="D164" s="13" t="inlineStr">
        <is>
          <t>Roof top terrace slab - bottom</t>
        </is>
      </c>
      <c r="E164" s="19" t="inlineStr">
        <is>
          <t>1230</t>
        </is>
      </c>
      <c r="F164" s="19" t="n">
        <v>12</v>
      </c>
      <c r="G164" s="19" t="n">
        <v>1</v>
      </c>
      <c r="H164" s="19" t="n">
        <v>99</v>
      </c>
      <c r="I164" s="13">
        <f>G164*H164</f>
        <v>99.0</v>
      </c>
      <c r="J164" s="20">
        <f>6000/1000</f>
        <v>6.0</v>
      </c>
      <c r="K164" s="21">
        <f>I164*J164</f>
        <v>594.0</v>
      </c>
      <c r="L164" s="22">
        <f>F164^2/162</f>
        <v>0.8888888888888888</v>
      </c>
      <c r="M164" s="21">
        <f>K164*L164</f>
        <v>528.0</v>
      </c>
      <c r="N164" s="22">
        <f>M164/1000</f>
        <v>0.528</v>
      </c>
      <c r="O164" s="13" t="inlineStr">
        <is>
          <t>BBS</t>
        </is>
      </c>
    </row>
    <row r="165">
      <c r="A165" s="13" t="n">
        <v>160</v>
      </c>
      <c r="B165" s="13" t="inlineStr">
        <is>
          <t>Floor Slabs</t>
        </is>
      </c>
      <c r="C165" s="13" t="inlineStr">
        <is>
          <t>STR-101</t>
        </is>
      </c>
      <c r="D165" s="13" t="inlineStr">
        <is>
          <t>Roof top terrace slab - bottom</t>
        </is>
      </c>
      <c r="E165" s="19" t="inlineStr">
        <is>
          <t>1231</t>
        </is>
      </c>
      <c r="F165" s="19" t="n">
        <v>12</v>
      </c>
      <c r="G165" s="19" t="n">
        <v>1</v>
      </c>
      <c r="H165" s="19" t="n">
        <v>57</v>
      </c>
      <c r="I165" s="13">
        <f>G165*H165</f>
        <v>57.0</v>
      </c>
      <c r="J165" s="20">
        <f>11800/1000</f>
        <v>11.8</v>
      </c>
      <c r="K165" s="21">
        <f>I165*J165</f>
        <v>672.6</v>
      </c>
      <c r="L165" s="22">
        <f>F165^2/162</f>
        <v>0.8888888888888888</v>
      </c>
      <c r="M165" s="21">
        <f>K165*L165</f>
        <v>597.8666666666667</v>
      </c>
      <c r="N165" s="22">
        <f>M165/1000</f>
        <v>0.5978666666666667</v>
      </c>
      <c r="O165" s="13" t="inlineStr">
        <is>
          <t>BBS</t>
        </is>
      </c>
    </row>
    <row r="166">
      <c r="A166" s="13" t="n">
        <v>161</v>
      </c>
      <c r="B166" s="13" t="inlineStr">
        <is>
          <t>Floor Slabs</t>
        </is>
      </c>
      <c r="C166" s="13" t="inlineStr">
        <is>
          <t>STR-101</t>
        </is>
      </c>
      <c r="D166" s="13" t="inlineStr">
        <is>
          <t>Roof top terrace slab - bottom</t>
        </is>
      </c>
      <c r="E166" s="19" t="inlineStr">
        <is>
          <t>1232</t>
        </is>
      </c>
      <c r="F166" s="19" t="n">
        <v>12</v>
      </c>
      <c r="G166" s="19" t="n">
        <v>1</v>
      </c>
      <c r="H166" s="19" t="n">
        <v>16</v>
      </c>
      <c r="I166" s="13">
        <f>G166*H166</f>
        <v>16.0</v>
      </c>
      <c r="J166" s="20">
        <f>8400/1000</f>
        <v>8.4</v>
      </c>
      <c r="K166" s="21">
        <f>I166*J166</f>
        <v>134.4</v>
      </c>
      <c r="L166" s="22">
        <f>F166^2/162</f>
        <v>0.8888888888888888</v>
      </c>
      <c r="M166" s="21">
        <f>K166*L166</f>
        <v>119.46666666666667</v>
      </c>
      <c r="N166" s="22">
        <f>M166/1000</f>
        <v>0.11946666666666667</v>
      </c>
      <c r="O166" s="13" t="inlineStr">
        <is>
          <t>BBS</t>
        </is>
      </c>
    </row>
    <row r="167">
      <c r="A167" s="13" t="n">
        <v>162</v>
      </c>
      <c r="B167" s="13" t="inlineStr">
        <is>
          <t>Floor Slabs</t>
        </is>
      </c>
      <c r="C167" s="13" t="inlineStr">
        <is>
          <t>STR-101</t>
        </is>
      </c>
      <c r="D167" s="13" t="inlineStr">
        <is>
          <t>Roof top terrace slab - bottom</t>
        </is>
      </c>
      <c r="E167" s="19" t="inlineStr">
        <is>
          <t>1233</t>
        </is>
      </c>
      <c r="F167" s="19" t="n">
        <v>12</v>
      </c>
      <c r="G167" s="19" t="n">
        <v>1</v>
      </c>
      <c r="H167" s="19" t="n">
        <v>100</v>
      </c>
      <c r="I167" s="13">
        <f>G167*H167</f>
        <v>100.0</v>
      </c>
      <c r="J167" s="20">
        <f>11250/1000</f>
        <v>11.25</v>
      </c>
      <c r="K167" s="21">
        <f>I167*J167</f>
        <v>1125.0</v>
      </c>
      <c r="L167" s="22">
        <f>F167^2/162</f>
        <v>0.8888888888888888</v>
      </c>
      <c r="M167" s="21">
        <f>K167*L167</f>
        <v>1000.0</v>
      </c>
      <c r="N167" s="22">
        <f>M167/1000</f>
        <v>1.0</v>
      </c>
      <c r="O167" s="13" t="inlineStr">
        <is>
          <t>BBS</t>
        </is>
      </c>
    </row>
    <row r="168">
      <c r="A168" s="13" t="n">
        <v>163</v>
      </c>
      <c r="B168" s="13" t="inlineStr">
        <is>
          <t>Floor Slabs</t>
        </is>
      </c>
      <c r="C168" s="13" t="inlineStr">
        <is>
          <t>STR-102</t>
        </is>
      </c>
      <c r="D168" s="13" t="inlineStr">
        <is>
          <t>Roof top terrace slab - top</t>
        </is>
      </c>
      <c r="E168" s="19" t="inlineStr">
        <is>
          <t>1234</t>
        </is>
      </c>
      <c r="F168" s="19" t="n">
        <v>12</v>
      </c>
      <c r="G168" s="19" t="n">
        <v>1</v>
      </c>
      <c r="H168" s="19" t="n">
        <v>155</v>
      </c>
      <c r="I168" s="13">
        <f>G168*H168</f>
        <v>155.0</v>
      </c>
      <c r="J168" s="20">
        <f>11650/1000</f>
        <v>11.65</v>
      </c>
      <c r="K168" s="21">
        <f>I168*J168</f>
        <v>1805.75</v>
      </c>
      <c r="L168" s="22">
        <f>F168^2/162</f>
        <v>0.8888888888888888</v>
      </c>
      <c r="M168" s="21">
        <f>K168*L168</f>
        <v>1605.111111111111</v>
      </c>
      <c r="N168" s="22">
        <f>M168/1000</f>
        <v>1.6051111111111112</v>
      </c>
      <c r="O168" s="13" t="inlineStr">
        <is>
          <t>BBS</t>
        </is>
      </c>
    </row>
    <row r="169">
      <c r="A169" s="13" t="n">
        <v>164</v>
      </c>
      <c r="B169" s="13" t="inlineStr">
        <is>
          <t>Floor Slabs</t>
        </is>
      </c>
      <c r="C169" s="13" t="inlineStr">
        <is>
          <t>STR-102</t>
        </is>
      </c>
      <c r="D169" s="13" t="inlineStr">
        <is>
          <t>Roof top terrace slab - top</t>
        </is>
      </c>
      <c r="E169" s="19" t="inlineStr">
        <is>
          <t>1235</t>
        </is>
      </c>
      <c r="F169" s="19" t="n">
        <v>12</v>
      </c>
      <c r="G169" s="19" t="n">
        <v>1</v>
      </c>
      <c r="H169" s="19" t="n">
        <v>45</v>
      </c>
      <c r="I169" s="13">
        <f>G169*H169</f>
        <v>45.0</v>
      </c>
      <c r="J169" s="20">
        <f>5850/1000</f>
        <v>5.85</v>
      </c>
      <c r="K169" s="21">
        <f>I169*J169</f>
        <v>263.25</v>
      </c>
      <c r="L169" s="22">
        <f>F169^2/162</f>
        <v>0.8888888888888888</v>
      </c>
      <c r="M169" s="21">
        <f>K169*L169</f>
        <v>234.0</v>
      </c>
      <c r="N169" s="22">
        <f>M169/1000</f>
        <v>0.234</v>
      </c>
      <c r="O169" s="13" t="inlineStr">
        <is>
          <t>BBS</t>
        </is>
      </c>
    </row>
    <row r="170">
      <c r="A170" s="13" t="n">
        <v>165</v>
      </c>
      <c r="B170" s="13" t="inlineStr">
        <is>
          <t>Floor Slabs</t>
        </is>
      </c>
      <c r="C170" s="13" t="inlineStr">
        <is>
          <t>STR-102</t>
        </is>
      </c>
      <c r="D170" s="13" t="inlineStr">
        <is>
          <t>Roof top terrace slab - top</t>
        </is>
      </c>
      <c r="E170" s="19" t="inlineStr">
        <is>
          <t>1236</t>
        </is>
      </c>
      <c r="F170" s="19" t="n">
        <v>12</v>
      </c>
      <c r="G170" s="19" t="n">
        <v>1</v>
      </c>
      <c r="H170" s="19" t="n">
        <v>21</v>
      </c>
      <c r="I170" s="13">
        <f>G170*H170</f>
        <v>21.0</v>
      </c>
      <c r="J170" s="20">
        <f>8250/1000</f>
        <v>8.25</v>
      </c>
      <c r="K170" s="21">
        <f>I170*J170</f>
        <v>173.25</v>
      </c>
      <c r="L170" s="22">
        <f>F170^2/162</f>
        <v>0.8888888888888888</v>
      </c>
      <c r="M170" s="21">
        <f>K170*L170</f>
        <v>154.0</v>
      </c>
      <c r="N170" s="22">
        <f>M170/1000</f>
        <v>0.154</v>
      </c>
      <c r="O170" s="13" t="inlineStr">
        <is>
          <t>BBS</t>
        </is>
      </c>
    </row>
    <row r="171">
      <c r="A171" s="13" t="n">
        <v>166</v>
      </c>
      <c r="B171" s="13" t="inlineStr">
        <is>
          <t>Floor Slabs</t>
        </is>
      </c>
      <c r="C171" s="13" t="inlineStr">
        <is>
          <t>STR-102</t>
        </is>
      </c>
      <c r="D171" s="13" t="inlineStr">
        <is>
          <t>Roof top terrace slab - top</t>
        </is>
      </c>
      <c r="E171" s="19" t="inlineStr">
        <is>
          <t>1237</t>
        </is>
      </c>
      <c r="F171" s="19" t="n">
        <v>12</v>
      </c>
      <c r="G171" s="19" t="n">
        <v>1</v>
      </c>
      <c r="H171" s="19" t="n">
        <v>200</v>
      </c>
      <c r="I171" s="13">
        <f>G171*H171</f>
        <v>200.0</v>
      </c>
      <c r="J171" s="20">
        <f>7350/1000</f>
        <v>7.35</v>
      </c>
      <c r="K171" s="21">
        <f>I171*J171</f>
        <v>1470.0</v>
      </c>
      <c r="L171" s="22">
        <f>F171^2/162</f>
        <v>0.8888888888888888</v>
      </c>
      <c r="M171" s="21">
        <f>K171*L171</f>
        <v>1306.6666666666665</v>
      </c>
      <c r="N171" s="22">
        <f>M171/1000</f>
        <v>1.3066666666666664</v>
      </c>
      <c r="O171" s="13" t="inlineStr">
        <is>
          <t>BBS</t>
        </is>
      </c>
    </row>
    <row r="172">
      <c r="A172" s="13" t="n">
        <v>167</v>
      </c>
      <c r="B172" s="13" t="inlineStr">
        <is>
          <t>Floor Slabs</t>
        </is>
      </c>
      <c r="C172" s="13" t="inlineStr">
        <is>
          <t>STR-102</t>
        </is>
      </c>
      <c r="D172" s="13" t="inlineStr">
        <is>
          <t>Roof top terrace slab - top</t>
        </is>
      </c>
      <c r="E172" s="19" t="inlineStr">
        <is>
          <t>1238</t>
        </is>
      </c>
      <c r="F172" s="19" t="n">
        <v>12</v>
      </c>
      <c r="G172" s="19" t="n">
        <v>1</v>
      </c>
      <c r="H172" s="19" t="n">
        <v>145</v>
      </c>
      <c r="I172" s="13">
        <f>G172*H172</f>
        <v>145.0</v>
      </c>
      <c r="J172" s="20">
        <f>8800/1000</f>
        <v>8.8</v>
      </c>
      <c r="K172" s="21">
        <f>I172*J172</f>
        <v>1276.0</v>
      </c>
      <c r="L172" s="22">
        <f>F172^2/162</f>
        <v>0.8888888888888888</v>
      </c>
      <c r="M172" s="21">
        <f>K172*L172</f>
        <v>1134.2222222222222</v>
      </c>
      <c r="N172" s="22">
        <f>M172/1000</f>
        <v>1.1342222222222222</v>
      </c>
      <c r="O172" s="13" t="inlineStr">
        <is>
          <t>BBS</t>
        </is>
      </c>
    </row>
    <row r="173">
      <c r="A173" s="13" t="n">
        <v>168</v>
      </c>
      <c r="B173" s="13" t="inlineStr">
        <is>
          <t>Floor Slabs</t>
        </is>
      </c>
      <c r="C173" s="13" t="inlineStr">
        <is>
          <t>STR-102</t>
        </is>
      </c>
      <c r="D173" s="13" t="inlineStr">
        <is>
          <t>Roof top terrace slab - top</t>
        </is>
      </c>
      <c r="E173" s="19" t="inlineStr">
        <is>
          <t>1239</t>
        </is>
      </c>
      <c r="F173" s="19" t="n">
        <v>12</v>
      </c>
      <c r="G173" s="19" t="n">
        <v>1</v>
      </c>
      <c r="H173" s="19" t="n">
        <v>20</v>
      </c>
      <c r="I173" s="13">
        <f>G173*H173</f>
        <v>20.0</v>
      </c>
      <c r="J173" s="20">
        <f>7325/1000</f>
        <v>7.325</v>
      </c>
      <c r="K173" s="21">
        <f>I173*J173</f>
        <v>146.5</v>
      </c>
      <c r="L173" s="22">
        <f>F173^2/162</f>
        <v>0.8888888888888888</v>
      </c>
      <c r="M173" s="21">
        <f>K173*L173</f>
        <v>130.22222222222223</v>
      </c>
      <c r="N173" s="22">
        <f>M173/1000</f>
        <v>0.13022222222222224</v>
      </c>
      <c r="O173" s="13" t="inlineStr">
        <is>
          <t>BBS</t>
        </is>
      </c>
    </row>
    <row r="174">
      <c r="A174" s="13" t="n">
        <v>169</v>
      </c>
      <c r="B174" s="13" t="inlineStr">
        <is>
          <t>Floor Slabs</t>
        </is>
      </c>
      <c r="C174" s="13" t="inlineStr">
        <is>
          <t>STR-102</t>
        </is>
      </c>
      <c r="D174" s="13" t="inlineStr">
        <is>
          <t>Roof top terrace slab - top</t>
        </is>
      </c>
      <c r="E174" s="19" t="inlineStr">
        <is>
          <t>1240</t>
        </is>
      </c>
      <c r="F174" s="19" t="n">
        <v>12</v>
      </c>
      <c r="G174" s="19" t="n">
        <v>1</v>
      </c>
      <c r="H174" s="19" t="n">
        <v>50</v>
      </c>
      <c r="I174" s="13">
        <f>G174*H174</f>
        <v>50.0</v>
      </c>
      <c r="J174" s="20">
        <f>8700/1000</f>
        <v>8.7</v>
      </c>
      <c r="K174" s="21">
        <f>I174*J174</f>
        <v>434.99999999999994</v>
      </c>
      <c r="L174" s="22">
        <f>F174^2/162</f>
        <v>0.8888888888888888</v>
      </c>
      <c r="M174" s="21">
        <f>K174*L174</f>
        <v>386.6666666666666</v>
      </c>
      <c r="N174" s="22">
        <f>M174/1000</f>
        <v>0.38666666666666655</v>
      </c>
      <c r="O174" s="13" t="inlineStr">
        <is>
          <t>BBS</t>
        </is>
      </c>
    </row>
    <row r="175">
      <c r="A175" s="13" t="n">
        <v>170</v>
      </c>
      <c r="B175" s="13" t="inlineStr">
        <is>
          <t>Floor Slabs</t>
        </is>
      </c>
      <c r="C175" s="13" t="inlineStr">
        <is>
          <t>STR-102</t>
        </is>
      </c>
      <c r="D175" s="13" t="inlineStr">
        <is>
          <t>Roof top terrace slab - top</t>
        </is>
      </c>
      <c r="E175" s="19" t="inlineStr">
        <is>
          <t>1241</t>
        </is>
      </c>
      <c r="F175" s="19" t="n">
        <v>12</v>
      </c>
      <c r="G175" s="19" t="n">
        <v>1</v>
      </c>
      <c r="H175" s="19" t="n">
        <v>28</v>
      </c>
      <c r="I175" s="13">
        <f>G175*H175</f>
        <v>28.0</v>
      </c>
      <c r="J175" s="20">
        <f>4975/1000</f>
        <v>4.975</v>
      </c>
      <c r="K175" s="21">
        <f>I175*J175</f>
        <v>139.29999999999998</v>
      </c>
      <c r="L175" s="22">
        <f>F175^2/162</f>
        <v>0.8888888888888888</v>
      </c>
      <c r="M175" s="21">
        <f>K175*L175</f>
        <v>123.8222222222222</v>
      </c>
      <c r="N175" s="22">
        <f>M175/1000</f>
        <v>0.1238222222222222</v>
      </c>
      <c r="O175" s="13" t="inlineStr">
        <is>
          <t>BBS</t>
        </is>
      </c>
    </row>
    <row r="176">
      <c r="A176" s="13" t="n">
        <v>171</v>
      </c>
      <c r="B176" s="13" t="inlineStr">
        <is>
          <t>Floor Slabs</t>
        </is>
      </c>
      <c r="C176" s="13" t="inlineStr">
        <is>
          <t>STR-102</t>
        </is>
      </c>
      <c r="D176" s="13" t="inlineStr">
        <is>
          <t>Roof top terrace slab - top</t>
        </is>
      </c>
      <c r="E176" s="19" t="inlineStr">
        <is>
          <t>1242</t>
        </is>
      </c>
      <c r="F176" s="19" t="n">
        <v>12</v>
      </c>
      <c r="G176" s="19" t="n">
        <v>1</v>
      </c>
      <c r="H176" s="19" t="n">
        <v>110</v>
      </c>
      <c r="I176" s="13">
        <f>G176*H176</f>
        <v>110.0</v>
      </c>
      <c r="J176" s="20">
        <f>4650/1000</f>
        <v>4.65</v>
      </c>
      <c r="K176" s="21">
        <f>I176*J176</f>
        <v>511.50000000000006</v>
      </c>
      <c r="L176" s="22">
        <f>F176^2/162</f>
        <v>0.8888888888888888</v>
      </c>
      <c r="M176" s="21">
        <f>K176*L176</f>
        <v>454.6666666666667</v>
      </c>
      <c r="N176" s="22">
        <f>M176/1000</f>
        <v>0.45466666666666666</v>
      </c>
      <c r="O176" s="13" t="inlineStr">
        <is>
          <t>BBS</t>
        </is>
      </c>
    </row>
    <row r="177">
      <c r="A177" s="13" t="n">
        <v>172</v>
      </c>
      <c r="B177" s="13" t="inlineStr">
        <is>
          <t>Floor Slabs</t>
        </is>
      </c>
      <c r="C177" s="13" t="inlineStr">
        <is>
          <t>STR-102</t>
        </is>
      </c>
      <c r="D177" s="13" t="inlineStr">
        <is>
          <t>Roof top terrace slab - top</t>
        </is>
      </c>
      <c r="E177" s="19" t="inlineStr">
        <is>
          <t>1243</t>
        </is>
      </c>
      <c r="F177" s="19" t="n">
        <v>12</v>
      </c>
      <c r="G177" s="19" t="n">
        <v>1</v>
      </c>
      <c r="H177" s="19" t="n">
        <v>63</v>
      </c>
      <c r="I177" s="13">
        <f>G177*H177</f>
        <v>63.0</v>
      </c>
      <c r="J177" s="20">
        <f>5325/1000</f>
        <v>5.325</v>
      </c>
      <c r="K177" s="21">
        <f>I177*J177</f>
        <v>335.475</v>
      </c>
      <c r="L177" s="22">
        <f>F177^2/162</f>
        <v>0.8888888888888888</v>
      </c>
      <c r="M177" s="21">
        <f>K177*L177</f>
        <v>298.2</v>
      </c>
      <c r="N177" s="22">
        <f>M177/1000</f>
        <v>0.29819999999999997</v>
      </c>
      <c r="O177" s="13" t="inlineStr">
        <is>
          <t>BBS</t>
        </is>
      </c>
    </row>
    <row r="178">
      <c r="A178" s="13" t="n">
        <v>173</v>
      </c>
      <c r="B178" s="13" t="inlineStr">
        <is>
          <t>Floor Slabs</t>
        </is>
      </c>
      <c r="C178" s="13" t="inlineStr">
        <is>
          <t>STR-102</t>
        </is>
      </c>
      <c r="D178" s="13" t="inlineStr">
        <is>
          <t>Roof top terrace slab - top</t>
        </is>
      </c>
      <c r="E178" s="19" t="inlineStr">
        <is>
          <t>1244</t>
        </is>
      </c>
      <c r="F178" s="19" t="n">
        <v>12</v>
      </c>
      <c r="G178" s="19" t="n">
        <v>1</v>
      </c>
      <c r="H178" s="19" t="n">
        <v>21</v>
      </c>
      <c r="I178" s="13">
        <f>G178*H178</f>
        <v>21.0</v>
      </c>
      <c r="J178" s="20">
        <f>4500/1000</f>
        <v>4.5</v>
      </c>
      <c r="K178" s="21">
        <f>I178*J178</f>
        <v>94.5</v>
      </c>
      <c r="L178" s="22">
        <f>F178^2/162</f>
        <v>0.8888888888888888</v>
      </c>
      <c r="M178" s="21">
        <f>K178*L178</f>
        <v>84.0</v>
      </c>
      <c r="N178" s="22">
        <f>M178/1000</f>
        <v>0.084</v>
      </c>
      <c r="O178" s="13" t="inlineStr">
        <is>
          <t>BBS</t>
        </is>
      </c>
    </row>
    <row r="179">
      <c r="A179" s="13" t="n">
        <v>174</v>
      </c>
      <c r="B179" s="13" t="inlineStr">
        <is>
          <t>Floor Slabs</t>
        </is>
      </c>
      <c r="C179" s="13" t="inlineStr">
        <is>
          <t>STR-102</t>
        </is>
      </c>
      <c r="D179" s="13" t="inlineStr">
        <is>
          <t>Roof top terrace slab - top</t>
        </is>
      </c>
      <c r="E179" s="19" t="inlineStr">
        <is>
          <t>1245</t>
        </is>
      </c>
      <c r="F179" s="19" t="n">
        <v>12</v>
      </c>
      <c r="G179" s="19" t="n">
        <v>1</v>
      </c>
      <c r="H179" s="19" t="n">
        <v>32</v>
      </c>
      <c r="I179" s="13">
        <f>G179*H179</f>
        <v>32.0</v>
      </c>
      <c r="J179" s="20">
        <f>8550/1000</f>
        <v>8.55</v>
      </c>
      <c r="K179" s="21">
        <f>I179*J179</f>
        <v>273.6</v>
      </c>
      <c r="L179" s="22">
        <f>F179^2/162</f>
        <v>0.8888888888888888</v>
      </c>
      <c r="M179" s="21">
        <f>K179*L179</f>
        <v>243.20000000000002</v>
      </c>
      <c r="N179" s="22">
        <f>M179/1000</f>
        <v>0.24320000000000003</v>
      </c>
      <c r="O179" s="13" t="inlineStr">
        <is>
          <t>BBS</t>
        </is>
      </c>
    </row>
    <row r="180">
      <c r="A180" s="13" t="n">
        <v>175</v>
      </c>
      <c r="B180" s="13" t="inlineStr">
        <is>
          <t>Floor Slabs</t>
        </is>
      </c>
      <c r="C180" s="13" t="inlineStr">
        <is>
          <t>STR-102</t>
        </is>
      </c>
      <c r="D180" s="13" t="inlineStr">
        <is>
          <t>Roof top terrace slab - top</t>
        </is>
      </c>
      <c r="E180" s="19" t="inlineStr">
        <is>
          <t>1246</t>
        </is>
      </c>
      <c r="F180" s="19" t="n">
        <v>12</v>
      </c>
      <c r="G180" s="19" t="n">
        <v>1</v>
      </c>
      <c r="H180" s="19" t="n">
        <v>10</v>
      </c>
      <c r="I180" s="13">
        <f>G180*H180</f>
        <v>10.0</v>
      </c>
      <c r="J180" s="20">
        <f>10000/1000</f>
        <v>10.0</v>
      </c>
      <c r="K180" s="21">
        <f>I180*J180</f>
        <v>100.0</v>
      </c>
      <c r="L180" s="22">
        <f>F180^2/162</f>
        <v>0.8888888888888888</v>
      </c>
      <c r="M180" s="21">
        <f>K180*L180</f>
        <v>88.88888888888889</v>
      </c>
      <c r="N180" s="22">
        <f>M180/1000</f>
        <v>0.08888888888888889</v>
      </c>
      <c r="O180" s="13" t="inlineStr">
        <is>
          <t>BBS</t>
        </is>
      </c>
    </row>
    <row r="181">
      <c r="A181" s="13" t="n">
        <v>176</v>
      </c>
      <c r="B181" s="13" t="inlineStr">
        <is>
          <t>Floor Slabs</t>
        </is>
      </c>
      <c r="C181" s="13" t="inlineStr">
        <is>
          <t>STR-102</t>
        </is>
      </c>
      <c r="D181" s="13" t="inlineStr">
        <is>
          <t>Roof top terrace slab - top</t>
        </is>
      </c>
      <c r="E181" s="19" t="inlineStr">
        <is>
          <t>1247</t>
        </is>
      </c>
      <c r="F181" s="19" t="n">
        <v>12</v>
      </c>
      <c r="G181" s="19" t="n">
        <v>1</v>
      </c>
      <c r="H181" s="19" t="n">
        <v>234</v>
      </c>
      <c r="I181" s="13">
        <f>G181*H181</f>
        <v>234.0</v>
      </c>
      <c r="J181" s="20">
        <f>8850/1000</f>
        <v>8.85</v>
      </c>
      <c r="K181" s="21">
        <f>I181*J181</f>
        <v>2070.9</v>
      </c>
      <c r="L181" s="22">
        <f>F181^2/162</f>
        <v>0.8888888888888888</v>
      </c>
      <c r="M181" s="21">
        <f>K181*L181</f>
        <v>1840.8</v>
      </c>
      <c r="N181" s="22">
        <f>M181/1000</f>
        <v>1.8408</v>
      </c>
      <c r="O181" s="13" t="inlineStr">
        <is>
          <t>BBS</t>
        </is>
      </c>
    </row>
    <row r="182">
      <c r="A182" s="13" t="n">
        <v>177</v>
      </c>
      <c r="B182" s="13" t="inlineStr">
        <is>
          <t>Floor Slabs</t>
        </is>
      </c>
      <c r="C182" s="13" t="inlineStr">
        <is>
          <t>STR-102</t>
        </is>
      </c>
      <c r="D182" s="13" t="inlineStr">
        <is>
          <t>Roof top terrace slab - top</t>
        </is>
      </c>
      <c r="E182" s="19" t="inlineStr">
        <is>
          <t>1248</t>
        </is>
      </c>
      <c r="F182" s="19" t="n">
        <v>12</v>
      </c>
      <c r="G182" s="19" t="n">
        <v>1</v>
      </c>
      <c r="H182" s="19" t="n">
        <v>31</v>
      </c>
      <c r="I182" s="13">
        <f>G182*H182</f>
        <v>31.0</v>
      </c>
      <c r="J182" s="20">
        <f>4600/1000</f>
        <v>4.6</v>
      </c>
      <c r="K182" s="21">
        <f>I182*J182</f>
        <v>142.6</v>
      </c>
      <c r="L182" s="22">
        <f>F182^2/162</f>
        <v>0.8888888888888888</v>
      </c>
      <c r="M182" s="21">
        <f>K182*L182</f>
        <v>126.75555555555555</v>
      </c>
      <c r="N182" s="22">
        <f>M182/1000</f>
        <v>0.12675555555555554</v>
      </c>
      <c r="O182" s="13" t="inlineStr">
        <is>
          <t>BBS</t>
        </is>
      </c>
    </row>
    <row r="183">
      <c r="A183" s="13" t="n">
        <v>178</v>
      </c>
      <c r="B183" s="13" t="inlineStr">
        <is>
          <t>Floor Slabs</t>
        </is>
      </c>
      <c r="C183" s="13" t="inlineStr">
        <is>
          <t>STR-102</t>
        </is>
      </c>
      <c r="D183" s="13" t="inlineStr">
        <is>
          <t>Roof top terrace slab - top</t>
        </is>
      </c>
      <c r="E183" s="19" t="inlineStr">
        <is>
          <t>1249</t>
        </is>
      </c>
      <c r="F183" s="19" t="n">
        <v>12</v>
      </c>
      <c r="G183" s="19" t="n">
        <v>1</v>
      </c>
      <c r="H183" s="19" t="n">
        <v>202</v>
      </c>
      <c r="I183" s="13">
        <f>G183*H183</f>
        <v>202.0</v>
      </c>
      <c r="J183" s="20">
        <f>5900/1000</f>
        <v>5.9</v>
      </c>
      <c r="K183" s="21">
        <f>I183*J183</f>
        <v>1191.8000000000002</v>
      </c>
      <c r="L183" s="22">
        <f>F183^2/162</f>
        <v>0.8888888888888888</v>
      </c>
      <c r="M183" s="21">
        <f>K183*L183</f>
        <v>1059.377777777778</v>
      </c>
      <c r="N183" s="22">
        <f>M183/1000</f>
        <v>1.059377777777778</v>
      </c>
      <c r="O183" s="13" t="inlineStr">
        <is>
          <t>BBS</t>
        </is>
      </c>
    </row>
    <row r="184">
      <c r="A184" s="13" t="n">
        <v>179</v>
      </c>
      <c r="B184" s="13" t="inlineStr">
        <is>
          <t>Floor Slabs</t>
        </is>
      </c>
      <c r="C184" s="13" t="inlineStr">
        <is>
          <t>STR-102</t>
        </is>
      </c>
      <c r="D184" s="13" t="inlineStr">
        <is>
          <t>Roof top terrace slab - top</t>
        </is>
      </c>
      <c r="E184" s="19" t="inlineStr">
        <is>
          <t>1250</t>
        </is>
      </c>
      <c r="F184" s="19" t="n">
        <v>12</v>
      </c>
      <c r="G184" s="19" t="n">
        <v>1</v>
      </c>
      <c r="H184" s="19" t="n">
        <v>158</v>
      </c>
      <c r="I184" s="13">
        <f>G184*H184</f>
        <v>158.0</v>
      </c>
      <c r="J184" s="20">
        <f>9525/1000</f>
        <v>9.525</v>
      </c>
      <c r="K184" s="21">
        <f>I184*J184</f>
        <v>1504.95</v>
      </c>
      <c r="L184" s="22">
        <f>F184^2/162</f>
        <v>0.8888888888888888</v>
      </c>
      <c r="M184" s="21">
        <f>K184*L184</f>
        <v>1337.7333333333333</v>
      </c>
      <c r="N184" s="22">
        <f>M184/1000</f>
        <v>1.3377333333333334</v>
      </c>
      <c r="O184" s="13" t="inlineStr">
        <is>
          <t>BBS</t>
        </is>
      </c>
    </row>
    <row r="185">
      <c r="A185" s="13" t="n">
        <v>180</v>
      </c>
      <c r="B185" s="13" t="inlineStr">
        <is>
          <t>Floor Slabs</t>
        </is>
      </c>
      <c r="C185" s="13" t="inlineStr">
        <is>
          <t>STR-102</t>
        </is>
      </c>
      <c r="D185" s="13" t="inlineStr">
        <is>
          <t>Roof top terrace slab - top</t>
        </is>
      </c>
      <c r="E185" s="19" t="inlineStr">
        <is>
          <t>1251</t>
        </is>
      </c>
      <c r="F185" s="19" t="n">
        <v>12</v>
      </c>
      <c r="G185" s="19" t="n">
        <v>1</v>
      </c>
      <c r="H185" s="19" t="n">
        <v>16</v>
      </c>
      <c r="I185" s="13">
        <f>G185*H185</f>
        <v>16.0</v>
      </c>
      <c r="J185" s="20">
        <f>1925/1000</f>
        <v>1.925</v>
      </c>
      <c r="K185" s="21">
        <f>I185*J185</f>
        <v>30.8</v>
      </c>
      <c r="L185" s="22">
        <f>F185^2/162</f>
        <v>0.8888888888888888</v>
      </c>
      <c r="M185" s="21">
        <f>K185*L185</f>
        <v>27.377777777777776</v>
      </c>
      <c r="N185" s="22">
        <f>M185/1000</f>
        <v>0.027377777777777775</v>
      </c>
      <c r="O185" s="13" t="inlineStr">
        <is>
          <t>BBS</t>
        </is>
      </c>
    </row>
    <row r="186">
      <c r="A186" s="13" t="n">
        <v>181</v>
      </c>
      <c r="B186" s="13" t="inlineStr">
        <is>
          <t>Floor Slabs</t>
        </is>
      </c>
      <c r="C186" s="13" t="inlineStr">
        <is>
          <t>STR-102</t>
        </is>
      </c>
      <c r="D186" s="13" t="inlineStr">
        <is>
          <t>Roof top terrace slab - top</t>
        </is>
      </c>
      <c r="E186" s="19" t="inlineStr">
        <is>
          <t>1252</t>
        </is>
      </c>
      <c r="F186" s="19" t="n">
        <v>12</v>
      </c>
      <c r="G186" s="19" t="n">
        <v>1</v>
      </c>
      <c r="H186" s="19" t="n">
        <v>155</v>
      </c>
      <c r="I186" s="13">
        <f>G186*H186</f>
        <v>155.0</v>
      </c>
      <c r="J186" s="20">
        <f>3800/1000</f>
        <v>3.8</v>
      </c>
      <c r="K186" s="21">
        <f>I186*J186</f>
        <v>589.0</v>
      </c>
      <c r="L186" s="22">
        <f>F186^2/162</f>
        <v>0.8888888888888888</v>
      </c>
      <c r="M186" s="21">
        <f>K186*L186</f>
        <v>523.5555555555555</v>
      </c>
      <c r="N186" s="22">
        <f>M186/1000</f>
        <v>0.5235555555555556</v>
      </c>
      <c r="O186" s="13" t="inlineStr">
        <is>
          <t>BBS</t>
        </is>
      </c>
    </row>
    <row r="187">
      <c r="A187" s="13" t="n">
        <v>182</v>
      </c>
      <c r="B187" s="13" t="inlineStr">
        <is>
          <t>Floor Slabs</t>
        </is>
      </c>
      <c r="C187" s="13" t="inlineStr">
        <is>
          <t>STR-102</t>
        </is>
      </c>
      <c r="D187" s="13" t="inlineStr">
        <is>
          <t>Roof top terrace slab - top</t>
        </is>
      </c>
      <c r="E187" s="19" t="inlineStr">
        <is>
          <t>1253</t>
        </is>
      </c>
      <c r="F187" s="19" t="n">
        <v>12</v>
      </c>
      <c r="G187" s="19" t="n">
        <v>1</v>
      </c>
      <c r="H187" s="19" t="n">
        <v>49</v>
      </c>
      <c r="I187" s="13">
        <f>G187*H187</f>
        <v>49.0</v>
      </c>
      <c r="J187" s="20">
        <f>10400/1000</f>
        <v>10.4</v>
      </c>
      <c r="K187" s="21">
        <f>I187*J187</f>
        <v>509.6</v>
      </c>
      <c r="L187" s="22">
        <f>F187^2/162</f>
        <v>0.8888888888888888</v>
      </c>
      <c r="M187" s="21">
        <f>K187*L187</f>
        <v>452.97777777777776</v>
      </c>
      <c r="N187" s="22">
        <f>M187/1000</f>
        <v>0.45297777777777776</v>
      </c>
      <c r="O187" s="13" t="inlineStr">
        <is>
          <t>BBS</t>
        </is>
      </c>
    </row>
    <row r="188">
      <c r="A188" s="13" t="n">
        <v>183</v>
      </c>
      <c r="B188" s="13" t="inlineStr">
        <is>
          <t>Floor Slabs</t>
        </is>
      </c>
      <c r="C188" s="13" t="inlineStr">
        <is>
          <t>STR-102</t>
        </is>
      </c>
      <c r="D188" s="13" t="inlineStr">
        <is>
          <t>Roof top terrace slab - top</t>
        </is>
      </c>
      <c r="E188" s="19" t="inlineStr">
        <is>
          <t>1254</t>
        </is>
      </c>
      <c r="F188" s="19" t="n">
        <v>12</v>
      </c>
      <c r="G188" s="19" t="n">
        <v>1</v>
      </c>
      <c r="H188" s="19" t="n">
        <v>30</v>
      </c>
      <c r="I188" s="13">
        <f>G188*H188</f>
        <v>30.0</v>
      </c>
      <c r="J188" s="20">
        <f>3450/1000</f>
        <v>3.45</v>
      </c>
      <c r="K188" s="21">
        <f>I188*J188</f>
        <v>103.5</v>
      </c>
      <c r="L188" s="22">
        <f>F188^2/162</f>
        <v>0.8888888888888888</v>
      </c>
      <c r="M188" s="21">
        <f>K188*L188</f>
        <v>92.0</v>
      </c>
      <c r="N188" s="22">
        <f>M188/1000</f>
        <v>0.092</v>
      </c>
      <c r="O188" s="13" t="inlineStr">
        <is>
          <t>BBS</t>
        </is>
      </c>
    </row>
    <row r="189">
      <c r="A189" s="13" t="n">
        <v>184</v>
      </c>
      <c r="B189" s="13" t="inlineStr">
        <is>
          <t>Floor Slabs</t>
        </is>
      </c>
      <c r="C189" s="13" t="inlineStr">
        <is>
          <t>STR-102</t>
        </is>
      </c>
      <c r="D189" s="13" t="inlineStr">
        <is>
          <t>Roof top terrace slab - top</t>
        </is>
      </c>
      <c r="E189" s="19" t="inlineStr">
        <is>
          <t>1255</t>
        </is>
      </c>
      <c r="F189" s="19" t="n">
        <v>12</v>
      </c>
      <c r="G189" s="19" t="n">
        <v>1</v>
      </c>
      <c r="H189" s="19" t="n">
        <v>283</v>
      </c>
      <c r="I189" s="13">
        <f>G189*H189</f>
        <v>283.0</v>
      </c>
      <c r="J189" s="20">
        <f>9500/1000</f>
        <v>9.5</v>
      </c>
      <c r="K189" s="21">
        <f>I189*J189</f>
        <v>2688.5</v>
      </c>
      <c r="L189" s="22">
        <f>F189^2/162</f>
        <v>0.8888888888888888</v>
      </c>
      <c r="M189" s="21">
        <f>K189*L189</f>
        <v>2389.777777777778</v>
      </c>
      <c r="N189" s="22">
        <f>M189/1000</f>
        <v>2.389777777777778</v>
      </c>
      <c r="O189" s="13" t="inlineStr">
        <is>
          <t>BBS</t>
        </is>
      </c>
    </row>
    <row r="190">
      <c r="A190" s="13" t="n">
        <v>185</v>
      </c>
      <c r="B190" s="13" t="inlineStr">
        <is>
          <t>Floor Slabs</t>
        </is>
      </c>
      <c r="C190" s="13" t="inlineStr">
        <is>
          <t>STR-102</t>
        </is>
      </c>
      <c r="D190" s="13" t="inlineStr">
        <is>
          <t>Roof top terrace slab - top</t>
        </is>
      </c>
      <c r="E190" s="19" t="inlineStr">
        <is>
          <t>1256</t>
        </is>
      </c>
      <c r="F190" s="19" t="n">
        <v>12</v>
      </c>
      <c r="G190" s="19" t="n">
        <v>1</v>
      </c>
      <c r="H190" s="19" t="n">
        <v>49</v>
      </c>
      <c r="I190" s="13">
        <f>G190*H190</f>
        <v>49.0</v>
      </c>
      <c r="J190" s="20">
        <f>7300/1000</f>
        <v>7.3</v>
      </c>
      <c r="K190" s="21">
        <f>I190*J190</f>
        <v>357.7</v>
      </c>
      <c r="L190" s="22">
        <f>F190^2/162</f>
        <v>0.8888888888888888</v>
      </c>
      <c r="M190" s="21">
        <f>K190*L190</f>
        <v>317.9555555555555</v>
      </c>
      <c r="N190" s="22">
        <f>M190/1000</f>
        <v>0.31795555555555555</v>
      </c>
      <c r="O190" s="13" t="inlineStr">
        <is>
          <t>BBS</t>
        </is>
      </c>
    </row>
    <row r="191">
      <c r="A191" s="13" t="n">
        <v>186</v>
      </c>
      <c r="B191" s="13" t="inlineStr">
        <is>
          <t>Floor Slabs</t>
        </is>
      </c>
      <c r="C191" s="13" t="inlineStr">
        <is>
          <t>STR-102</t>
        </is>
      </c>
      <c r="D191" s="13" t="inlineStr">
        <is>
          <t>Roof top terrace slab - top</t>
        </is>
      </c>
      <c r="E191" s="19" t="inlineStr">
        <is>
          <t>1257</t>
        </is>
      </c>
      <c r="F191" s="19" t="n">
        <v>12</v>
      </c>
      <c r="G191" s="19" t="n">
        <v>1</v>
      </c>
      <c r="H191" s="19" t="n">
        <v>152</v>
      </c>
      <c r="I191" s="13">
        <f>G191*H191</f>
        <v>152.0</v>
      </c>
      <c r="J191" s="20">
        <f>8750/1000</f>
        <v>8.75</v>
      </c>
      <c r="K191" s="21">
        <f>I191*J191</f>
        <v>1330.0</v>
      </c>
      <c r="L191" s="22">
        <f>F191^2/162</f>
        <v>0.8888888888888888</v>
      </c>
      <c r="M191" s="21">
        <f>K191*L191</f>
        <v>1182.2222222222222</v>
      </c>
      <c r="N191" s="22">
        <f>M191/1000</f>
        <v>1.182222222222222</v>
      </c>
      <c r="O191" s="13" t="inlineStr">
        <is>
          <t>BBS</t>
        </is>
      </c>
    </row>
    <row r="192">
      <c r="A192" s="13" t="n">
        <v>187</v>
      </c>
      <c r="B192" s="13" t="inlineStr">
        <is>
          <t>Floor Slabs</t>
        </is>
      </c>
      <c r="C192" s="13" t="inlineStr">
        <is>
          <t>STR-102</t>
        </is>
      </c>
      <c r="D192" s="13" t="inlineStr">
        <is>
          <t>Roof top terrace slab - top</t>
        </is>
      </c>
      <c r="E192" s="19" t="inlineStr">
        <is>
          <t>1258</t>
        </is>
      </c>
      <c r="F192" s="19" t="n">
        <v>12</v>
      </c>
      <c r="G192" s="19" t="n">
        <v>1</v>
      </c>
      <c r="H192" s="19" t="n">
        <v>17</v>
      </c>
      <c r="I192" s="13">
        <f>G192*H192</f>
        <v>17.0</v>
      </c>
      <c r="J192" s="20">
        <f>4150/1000</f>
        <v>4.15</v>
      </c>
      <c r="K192" s="21">
        <f>I192*J192</f>
        <v>70.55000000000001</v>
      </c>
      <c r="L192" s="22">
        <f>F192^2/162</f>
        <v>0.8888888888888888</v>
      </c>
      <c r="M192" s="21">
        <f>K192*L192</f>
        <v>62.711111111111116</v>
      </c>
      <c r="N192" s="22">
        <f>M192/1000</f>
        <v>0.06271111111111112</v>
      </c>
      <c r="O192" s="13" t="inlineStr">
        <is>
          <t>BBS</t>
        </is>
      </c>
    </row>
    <row r="193">
      <c r="A193" s="13" t="n">
        <v>188</v>
      </c>
      <c r="B193" s="13" t="inlineStr">
        <is>
          <t>Floor Slabs</t>
        </is>
      </c>
      <c r="C193" s="13" t="inlineStr">
        <is>
          <t>STR-102</t>
        </is>
      </c>
      <c r="D193" s="13" t="inlineStr">
        <is>
          <t>Roof top terrace slab - top</t>
        </is>
      </c>
      <c r="E193" s="19" t="inlineStr">
        <is>
          <t>1259</t>
        </is>
      </c>
      <c r="F193" s="19" t="n">
        <v>12</v>
      </c>
      <c r="G193" s="19" t="n">
        <v>1</v>
      </c>
      <c r="H193" s="19" t="n">
        <v>17</v>
      </c>
      <c r="I193" s="13">
        <f>G193*H193</f>
        <v>17.0</v>
      </c>
      <c r="J193" s="20">
        <f>4250/1000</f>
        <v>4.25</v>
      </c>
      <c r="K193" s="21">
        <f>I193*J193</f>
        <v>72.25</v>
      </c>
      <c r="L193" s="22">
        <f>F193^2/162</f>
        <v>0.8888888888888888</v>
      </c>
      <c r="M193" s="21">
        <f>K193*L193</f>
        <v>64.22222222222221</v>
      </c>
      <c r="N193" s="22">
        <f>M193/1000</f>
        <v>0.06422222222222221</v>
      </c>
      <c r="O193" s="13" t="inlineStr">
        <is>
          <t>BBS</t>
        </is>
      </c>
    </row>
    <row r="194">
      <c r="A194" s="13" t="n">
        <v>189</v>
      </c>
      <c r="B194" s="13" t="inlineStr">
        <is>
          <t>Floor Slabs</t>
        </is>
      </c>
      <c r="C194" s="13" t="inlineStr">
        <is>
          <t>STR-102</t>
        </is>
      </c>
      <c r="D194" s="13" t="inlineStr">
        <is>
          <t>Roof top terrace slab - top</t>
        </is>
      </c>
      <c r="E194" s="19" t="inlineStr">
        <is>
          <t>1260</t>
        </is>
      </c>
      <c r="F194" s="19" t="n">
        <v>12</v>
      </c>
      <c r="G194" s="19" t="n">
        <v>1</v>
      </c>
      <c r="H194" s="19" t="n">
        <v>210</v>
      </c>
      <c r="I194" s="13">
        <f>G194*H194</f>
        <v>210.0</v>
      </c>
      <c r="J194" s="20">
        <f>9200/1000</f>
        <v>9.2</v>
      </c>
      <c r="K194" s="21">
        <f>I194*J194</f>
        <v>1931.9999999999998</v>
      </c>
      <c r="L194" s="22">
        <f>F194^2/162</f>
        <v>0.8888888888888888</v>
      </c>
      <c r="M194" s="21">
        <f>K194*L194</f>
        <v>1717.333333333333</v>
      </c>
      <c r="N194" s="22">
        <f>M194/1000</f>
        <v>1.717333333333333</v>
      </c>
      <c r="O194" s="13" t="inlineStr">
        <is>
          <t>BBS</t>
        </is>
      </c>
    </row>
    <row r="195">
      <c r="A195" s="13" t="n">
        <v>190</v>
      </c>
      <c r="B195" s="13" t="inlineStr">
        <is>
          <t>Floor Slabs</t>
        </is>
      </c>
      <c r="C195" s="13" t="inlineStr">
        <is>
          <t>STR-102</t>
        </is>
      </c>
      <c r="D195" s="13" t="inlineStr">
        <is>
          <t>Roof top terrace slab - top</t>
        </is>
      </c>
      <c r="E195" s="19" t="inlineStr">
        <is>
          <t>1261</t>
        </is>
      </c>
      <c r="F195" s="19" t="n">
        <v>12</v>
      </c>
      <c r="G195" s="19" t="n">
        <v>1</v>
      </c>
      <c r="H195" s="19" t="n">
        <v>16</v>
      </c>
      <c r="I195" s="13">
        <f>G195*H195</f>
        <v>16.0</v>
      </c>
      <c r="J195" s="20">
        <f>9475/1000</f>
        <v>9.475</v>
      </c>
      <c r="K195" s="21">
        <f>I195*J195</f>
        <v>151.6</v>
      </c>
      <c r="L195" s="22">
        <f>F195^2/162</f>
        <v>0.8888888888888888</v>
      </c>
      <c r="M195" s="21">
        <f>K195*L195</f>
        <v>134.75555555555553</v>
      </c>
      <c r="N195" s="22">
        <f>M195/1000</f>
        <v>0.13475555555555555</v>
      </c>
      <c r="O195" s="13" t="inlineStr">
        <is>
          <t>BBS</t>
        </is>
      </c>
    </row>
    <row r="196">
      <c r="A196" s="13" t="n">
        <v>191</v>
      </c>
      <c r="B196" s="13" t="inlineStr">
        <is>
          <t>Floor Slabs</t>
        </is>
      </c>
      <c r="C196" s="13" t="inlineStr">
        <is>
          <t>STR-102</t>
        </is>
      </c>
      <c r="D196" s="13" t="inlineStr">
        <is>
          <t>Roof top terrace slab - top</t>
        </is>
      </c>
      <c r="E196" s="19" t="inlineStr">
        <is>
          <t>1262</t>
        </is>
      </c>
      <c r="F196" s="19" t="n">
        <v>12</v>
      </c>
      <c r="G196" s="19" t="n">
        <v>1</v>
      </c>
      <c r="H196" s="19" t="n">
        <v>133</v>
      </c>
      <c r="I196" s="13">
        <f>G196*H196</f>
        <v>133.0</v>
      </c>
      <c r="J196" s="20">
        <f>2200/1000</f>
        <v>2.2</v>
      </c>
      <c r="K196" s="21">
        <f>I196*J196</f>
        <v>292.6</v>
      </c>
      <c r="L196" s="22">
        <f>F196^2/162</f>
        <v>0.8888888888888888</v>
      </c>
      <c r="M196" s="21">
        <f>K196*L196</f>
        <v>260.0888888888889</v>
      </c>
      <c r="N196" s="22">
        <f>M196/1000</f>
        <v>0.2600888888888889</v>
      </c>
      <c r="O196" s="13" t="inlineStr">
        <is>
          <t>BBS</t>
        </is>
      </c>
    </row>
    <row r="197">
      <c r="A197" s="13" t="n">
        <v>192</v>
      </c>
      <c r="B197" s="13" t="inlineStr">
        <is>
          <t>Floor Slabs</t>
        </is>
      </c>
      <c r="C197" s="13" t="inlineStr">
        <is>
          <t>STR-102</t>
        </is>
      </c>
      <c r="D197" s="13" t="inlineStr">
        <is>
          <t>Roof top terrace slab - top</t>
        </is>
      </c>
      <c r="E197" s="19" t="inlineStr">
        <is>
          <t>1263</t>
        </is>
      </c>
      <c r="F197" s="19" t="n">
        <v>12</v>
      </c>
      <c r="G197" s="19" t="n">
        <v>1</v>
      </c>
      <c r="H197" s="19" t="n">
        <v>10</v>
      </c>
      <c r="I197" s="13">
        <f>G197*H197</f>
        <v>10.0</v>
      </c>
      <c r="J197" s="20">
        <f>6000/1000</f>
        <v>6.0</v>
      </c>
      <c r="K197" s="21">
        <f>I197*J197</f>
        <v>60.0</v>
      </c>
      <c r="L197" s="22">
        <f>F197^2/162</f>
        <v>0.8888888888888888</v>
      </c>
      <c r="M197" s="21">
        <f>K197*L197</f>
        <v>53.33333333333333</v>
      </c>
      <c r="N197" s="22">
        <f>M197/1000</f>
        <v>0.05333333333333333</v>
      </c>
      <c r="O197" s="13" t="inlineStr">
        <is>
          <t>BBS</t>
        </is>
      </c>
    </row>
    <row r="198">
      <c r="A198" s="13" t="n">
        <v>193</v>
      </c>
      <c r="B198" s="13" t="inlineStr">
        <is>
          <t>Floor Slabs</t>
        </is>
      </c>
      <c r="C198" s="13" t="inlineStr">
        <is>
          <t>STR-102</t>
        </is>
      </c>
      <c r="D198" s="13" t="inlineStr">
        <is>
          <t>Roof top terrace slab - top</t>
        </is>
      </c>
      <c r="E198" s="19" t="inlineStr">
        <is>
          <t>1264</t>
        </is>
      </c>
      <c r="F198" s="19" t="n">
        <v>12</v>
      </c>
      <c r="G198" s="19" t="n">
        <v>1</v>
      </c>
      <c r="H198" s="19" t="n">
        <v>114</v>
      </c>
      <c r="I198" s="13">
        <f>G198*H198</f>
        <v>114.0</v>
      </c>
      <c r="J198" s="20">
        <f>4600/1000</f>
        <v>4.6</v>
      </c>
      <c r="K198" s="21">
        <f>I198*J198</f>
        <v>524.4</v>
      </c>
      <c r="L198" s="22">
        <f>F198^2/162</f>
        <v>0.8888888888888888</v>
      </c>
      <c r="M198" s="21">
        <f>K198*L198</f>
        <v>466.13333333333327</v>
      </c>
      <c r="N198" s="22">
        <f>M198/1000</f>
        <v>0.4661333333333333</v>
      </c>
      <c r="O198" s="13" t="inlineStr">
        <is>
          <t>BBS</t>
        </is>
      </c>
    </row>
    <row r="199">
      <c r="A199" s="13" t="n">
        <v>194</v>
      </c>
      <c r="B199" s="13" t="inlineStr">
        <is>
          <t>Floor Slabs</t>
        </is>
      </c>
      <c r="C199" s="13" t="inlineStr">
        <is>
          <t>STR-102</t>
        </is>
      </c>
      <c r="D199" s="13" t="inlineStr">
        <is>
          <t>Roof top terrace slab - top</t>
        </is>
      </c>
      <c r="E199" s="19" t="inlineStr">
        <is>
          <t>1265</t>
        </is>
      </c>
      <c r="F199" s="19" t="n">
        <v>12</v>
      </c>
      <c r="G199" s="19" t="n">
        <v>1</v>
      </c>
      <c r="H199" s="19" t="n">
        <v>16</v>
      </c>
      <c r="I199" s="13">
        <f>G199*H199</f>
        <v>16.0</v>
      </c>
      <c r="J199" s="20">
        <f>8750/1000</f>
        <v>8.75</v>
      </c>
      <c r="K199" s="21">
        <f>I199*J199</f>
        <v>140.0</v>
      </c>
      <c r="L199" s="22">
        <f>F199^2/162</f>
        <v>0.8888888888888888</v>
      </c>
      <c r="M199" s="21">
        <f>K199*L199</f>
        <v>124.44444444444444</v>
      </c>
      <c r="N199" s="22">
        <f>M199/1000</f>
        <v>0.12444444444444444</v>
      </c>
      <c r="O199" s="13" t="inlineStr">
        <is>
          <t>BBS</t>
        </is>
      </c>
    </row>
    <row r="200">
      <c r="A200" s="13" t="n">
        <v>195</v>
      </c>
      <c r="B200" s="13" t="inlineStr">
        <is>
          <t>Floor Slabs</t>
        </is>
      </c>
      <c r="C200" s="13" t="inlineStr">
        <is>
          <t>STR-102</t>
        </is>
      </c>
      <c r="D200" s="13" t="inlineStr">
        <is>
          <t>Roof top terrace slab - top</t>
        </is>
      </c>
      <c r="E200" s="19" t="inlineStr">
        <is>
          <t>1266</t>
        </is>
      </c>
      <c r="F200" s="19" t="n">
        <v>12</v>
      </c>
      <c r="G200" s="19" t="n">
        <v>1</v>
      </c>
      <c r="H200" s="19" t="n">
        <v>98</v>
      </c>
      <c r="I200" s="13">
        <f>G200*H200</f>
        <v>98.0</v>
      </c>
      <c r="J200" s="20">
        <f>12000/1000</f>
        <v>12.0</v>
      </c>
      <c r="K200" s="21">
        <f>I200*J200</f>
        <v>1176.0</v>
      </c>
      <c r="L200" s="22">
        <f>F200^2/162</f>
        <v>0.8888888888888888</v>
      </c>
      <c r="M200" s="21">
        <f>K200*L200</f>
        <v>1045.3333333333333</v>
      </c>
      <c r="N200" s="22">
        <f>M200/1000</f>
        <v>1.0453333333333332</v>
      </c>
      <c r="O200" s="13" t="inlineStr">
        <is>
          <t>BBS</t>
        </is>
      </c>
    </row>
    <row r="201">
      <c r="A201" s="13" t="n">
        <v>196</v>
      </c>
      <c r="B201" s="13" t="inlineStr">
        <is>
          <t>Floor Slabs</t>
        </is>
      </c>
      <c r="C201" s="13" t="inlineStr">
        <is>
          <t>STR-102</t>
        </is>
      </c>
      <c r="D201" s="13" t="inlineStr">
        <is>
          <t>Roof top terrace slab - top</t>
        </is>
      </c>
      <c r="E201" s="19" t="inlineStr">
        <is>
          <t>1267</t>
        </is>
      </c>
      <c r="F201" s="19" t="n">
        <v>12</v>
      </c>
      <c r="G201" s="19" t="n">
        <v>1</v>
      </c>
      <c r="H201" s="19" t="n">
        <v>53</v>
      </c>
      <c r="I201" s="13">
        <f>G201*H201</f>
        <v>53.0</v>
      </c>
      <c r="J201" s="20">
        <f>8725/1000</f>
        <v>8.725</v>
      </c>
      <c r="K201" s="21">
        <f>I201*J201</f>
        <v>462.42499999999995</v>
      </c>
      <c r="L201" s="22">
        <f>F201^2/162</f>
        <v>0.8888888888888888</v>
      </c>
      <c r="M201" s="21">
        <f>K201*L201</f>
        <v>411.04444444444437</v>
      </c>
      <c r="N201" s="22">
        <f>M201/1000</f>
        <v>0.4110444444444444</v>
      </c>
      <c r="O201" s="13" t="inlineStr">
        <is>
          <t>BBS</t>
        </is>
      </c>
    </row>
    <row r="202">
      <c r="A202" s="13" t="n">
        <v>197</v>
      </c>
      <c r="B202" s="13" t="inlineStr">
        <is>
          <t>Floor Slabs</t>
        </is>
      </c>
      <c r="C202" s="13" t="inlineStr">
        <is>
          <t>STR-102</t>
        </is>
      </c>
      <c r="D202" s="13" t="inlineStr">
        <is>
          <t>Roof top terrace slab - top</t>
        </is>
      </c>
      <c r="E202" s="19" t="inlineStr">
        <is>
          <t>1268</t>
        </is>
      </c>
      <c r="F202" s="19" t="n">
        <v>12</v>
      </c>
      <c r="G202" s="19" t="n">
        <v>1</v>
      </c>
      <c r="H202" s="19" t="n">
        <v>58</v>
      </c>
      <c r="I202" s="13">
        <f>G202*H202</f>
        <v>58.0</v>
      </c>
      <c r="J202" s="20">
        <f>11800/1000</f>
        <v>11.8</v>
      </c>
      <c r="K202" s="21">
        <f>I202*J202</f>
        <v>684.4000000000001</v>
      </c>
      <c r="L202" s="22">
        <f>F202^2/162</f>
        <v>0.8888888888888888</v>
      </c>
      <c r="M202" s="21">
        <f>K202*L202</f>
        <v>608.3555555555556</v>
      </c>
      <c r="N202" s="22">
        <f>M202/1000</f>
        <v>0.6083555555555556</v>
      </c>
      <c r="O202" s="13" t="inlineStr">
        <is>
          <t>BBS</t>
        </is>
      </c>
    </row>
    <row r="203">
      <c r="A203" s="13" t="n">
        <v>198</v>
      </c>
      <c r="B203" s="13" t="inlineStr">
        <is>
          <t>Floor Slabs</t>
        </is>
      </c>
      <c r="C203" s="13" t="inlineStr">
        <is>
          <t>STR-102</t>
        </is>
      </c>
      <c r="D203" s="13" t="inlineStr">
        <is>
          <t>Roof top terrace slab - top</t>
        </is>
      </c>
      <c r="E203" s="19" t="inlineStr">
        <is>
          <t>1269</t>
        </is>
      </c>
      <c r="F203" s="19" t="n">
        <v>12</v>
      </c>
      <c r="G203" s="19" t="n">
        <v>1</v>
      </c>
      <c r="H203" s="19" t="n">
        <v>16</v>
      </c>
      <c r="I203" s="13">
        <f>G203*H203</f>
        <v>16.0</v>
      </c>
      <c r="J203" s="20">
        <f>11550/1000</f>
        <v>11.55</v>
      </c>
      <c r="K203" s="21">
        <f>I203*J203</f>
        <v>184.8</v>
      </c>
      <c r="L203" s="22">
        <f>F203^2/162</f>
        <v>0.8888888888888888</v>
      </c>
      <c r="M203" s="21">
        <f>K203*L203</f>
        <v>164.26666666666668</v>
      </c>
      <c r="N203" s="22">
        <f>M203/1000</f>
        <v>0.16426666666666667</v>
      </c>
      <c r="O203" s="13" t="inlineStr">
        <is>
          <t>BBS</t>
        </is>
      </c>
    </row>
    <row r="204">
      <c r="A204" s="13" t="n">
        <v>199</v>
      </c>
      <c r="B204" s="13" t="inlineStr">
        <is>
          <t>Floor Slabs</t>
        </is>
      </c>
      <c r="C204" s="13" t="inlineStr">
        <is>
          <t>STR-102</t>
        </is>
      </c>
      <c r="D204" s="13" t="inlineStr">
        <is>
          <t>Roof top terrace slab - top</t>
        </is>
      </c>
      <c r="E204" s="19" t="inlineStr">
        <is>
          <t>1270</t>
        </is>
      </c>
      <c r="F204" s="19" t="n">
        <v>12</v>
      </c>
      <c r="G204" s="19" t="n">
        <v>1</v>
      </c>
      <c r="H204" s="19" t="n">
        <v>101</v>
      </c>
      <c r="I204" s="13">
        <f>G204*H204</f>
        <v>101.0</v>
      </c>
      <c r="J204" s="20">
        <f>7900/1000</f>
        <v>7.9</v>
      </c>
      <c r="K204" s="21">
        <f>I204*J204</f>
        <v>797.9000000000001</v>
      </c>
      <c r="L204" s="22">
        <f>F204^2/162</f>
        <v>0.8888888888888888</v>
      </c>
      <c r="M204" s="21">
        <f>K204*L204</f>
        <v>709.2444444444445</v>
      </c>
      <c r="N204" s="22">
        <f>M204/1000</f>
        <v>0.7092444444444446</v>
      </c>
      <c r="O204" s="13" t="inlineStr">
        <is>
          <t>BBS</t>
        </is>
      </c>
    </row>
    <row r="205">
      <c r="A205" s="13" t="n">
        <v>200</v>
      </c>
      <c r="B205" s="13" t="inlineStr">
        <is>
          <t>Floor Slabs</t>
        </is>
      </c>
      <c r="C205" s="13" t="inlineStr">
        <is>
          <t>STR-103</t>
        </is>
      </c>
      <c r="D205" s="13" t="inlineStr">
        <is>
          <t>Roof top terrace slab - additional top</t>
        </is>
      </c>
      <c r="E205" s="19" t="inlineStr">
        <is>
          <t>1271</t>
        </is>
      </c>
      <c r="F205" s="19" t="n">
        <v>12</v>
      </c>
      <c r="G205" s="19" t="n">
        <v>1</v>
      </c>
      <c r="H205" s="19" t="n">
        <v>30</v>
      </c>
      <c r="I205" s="13">
        <f>G205*H205</f>
        <v>30.0</v>
      </c>
      <c r="J205" s="20">
        <f>11000/1000</f>
        <v>11.0</v>
      </c>
      <c r="K205" s="21">
        <f>I205*J205</f>
        <v>330.0</v>
      </c>
      <c r="L205" s="22">
        <f>F205^2/162</f>
        <v>0.8888888888888888</v>
      </c>
      <c r="M205" s="21">
        <f>K205*L205</f>
        <v>293.3333333333333</v>
      </c>
      <c r="N205" s="22">
        <f>M205/1000</f>
        <v>0.29333333333333333</v>
      </c>
      <c r="O205" s="13" t="inlineStr">
        <is>
          <t>BBS</t>
        </is>
      </c>
    </row>
    <row r="206">
      <c r="A206" s="13" t="n">
        <v>201</v>
      </c>
      <c r="B206" s="13" t="inlineStr">
        <is>
          <t>Floor Slabs</t>
        </is>
      </c>
      <c r="C206" s="13" t="inlineStr">
        <is>
          <t>STR-103</t>
        </is>
      </c>
      <c r="D206" s="13" t="inlineStr">
        <is>
          <t>Roof top terrace slab - additional top</t>
        </is>
      </c>
      <c r="E206" s="19" t="inlineStr">
        <is>
          <t>1272</t>
        </is>
      </c>
      <c r="F206" s="19" t="n">
        <v>12</v>
      </c>
      <c r="G206" s="19" t="n">
        <v>1</v>
      </c>
      <c r="H206" s="19" t="n">
        <v>159</v>
      </c>
      <c r="I206" s="13">
        <f>G206*H206</f>
        <v>159.0</v>
      </c>
      <c r="J206" s="20">
        <f>3000/1000</f>
        <v>3.0</v>
      </c>
      <c r="K206" s="21">
        <f>I206*J206</f>
        <v>477.0</v>
      </c>
      <c r="L206" s="22">
        <f>F206^2/162</f>
        <v>0.8888888888888888</v>
      </c>
      <c r="M206" s="21">
        <f>K206*L206</f>
        <v>424.0</v>
      </c>
      <c r="N206" s="22">
        <f>M206/1000</f>
        <v>0.424</v>
      </c>
      <c r="O206" s="13" t="inlineStr">
        <is>
          <t>BBS</t>
        </is>
      </c>
    </row>
    <row r="207">
      <c r="A207" s="13" t="n">
        <v>202</v>
      </c>
      <c r="B207" s="13" t="inlineStr">
        <is>
          <t>Floor Slabs</t>
        </is>
      </c>
      <c r="C207" s="13" t="inlineStr">
        <is>
          <t>STR-103</t>
        </is>
      </c>
      <c r="D207" s="13" t="inlineStr">
        <is>
          <t>Roof top terrace slab - additional top</t>
        </is>
      </c>
      <c r="E207" s="19" t="inlineStr">
        <is>
          <t>1273</t>
        </is>
      </c>
      <c r="F207" s="19" t="n">
        <v>12</v>
      </c>
      <c r="G207" s="19" t="n">
        <v>1</v>
      </c>
      <c r="H207" s="19" t="n">
        <v>47</v>
      </c>
      <c r="I207" s="13">
        <f>G207*H207</f>
        <v>47.0</v>
      </c>
      <c r="J207" s="20">
        <f>4150/1000</f>
        <v>4.15</v>
      </c>
      <c r="K207" s="21">
        <f>I207*J207</f>
        <v>195.05</v>
      </c>
      <c r="L207" s="22">
        <f>F207^2/162</f>
        <v>0.8888888888888888</v>
      </c>
      <c r="M207" s="21">
        <f>K207*L207</f>
        <v>173.37777777777777</v>
      </c>
      <c r="N207" s="22">
        <f>M207/1000</f>
        <v>0.17337777777777777</v>
      </c>
      <c r="O207" s="13" t="inlineStr">
        <is>
          <t>BBS</t>
        </is>
      </c>
    </row>
    <row r="208">
      <c r="A208" s="13" t="n">
        <v>203</v>
      </c>
      <c r="B208" s="13" t="inlineStr">
        <is>
          <t>Floor Slabs</t>
        </is>
      </c>
      <c r="C208" s="13" t="inlineStr">
        <is>
          <t>STR-103</t>
        </is>
      </c>
      <c r="D208" s="13" t="inlineStr">
        <is>
          <t>Roof top terrace slab - additional top</t>
        </is>
      </c>
      <c r="E208" s="19" t="inlineStr">
        <is>
          <t>1274</t>
        </is>
      </c>
      <c r="F208" s="19" t="n">
        <v>12</v>
      </c>
      <c r="G208" s="19" t="n">
        <v>1</v>
      </c>
      <c r="H208" s="19" t="n">
        <v>12</v>
      </c>
      <c r="I208" s="13">
        <f>G208*H208</f>
        <v>12.0</v>
      </c>
      <c r="J208" s="20">
        <f>2875/1000</f>
        <v>2.875</v>
      </c>
      <c r="K208" s="21">
        <f>I208*J208</f>
        <v>34.5</v>
      </c>
      <c r="L208" s="22">
        <f>F208^2/162</f>
        <v>0.8888888888888888</v>
      </c>
      <c r="M208" s="21">
        <f>K208*L208</f>
        <v>30.666666666666664</v>
      </c>
      <c r="N208" s="22">
        <f>M208/1000</f>
        <v>0.030666666666666665</v>
      </c>
      <c r="O208" s="13" t="inlineStr">
        <is>
          <t>BBS</t>
        </is>
      </c>
    </row>
    <row r="209">
      <c r="A209" s="13" t="n">
        <v>204</v>
      </c>
      <c r="B209" s="13" t="inlineStr">
        <is>
          <t>Floor Slabs</t>
        </is>
      </c>
      <c r="C209" s="13" t="inlineStr">
        <is>
          <t>STR-103</t>
        </is>
      </c>
      <c r="D209" s="13" t="inlineStr">
        <is>
          <t>Roof top terrace slab - additional top</t>
        </is>
      </c>
      <c r="E209" s="19" t="inlineStr">
        <is>
          <t>1275</t>
        </is>
      </c>
      <c r="F209" s="19" t="n">
        <v>12</v>
      </c>
      <c r="G209" s="19" t="n">
        <v>1</v>
      </c>
      <c r="H209" s="19" t="n">
        <v>55</v>
      </c>
      <c r="I209" s="13">
        <f>G209*H209</f>
        <v>55.0</v>
      </c>
      <c r="J209" s="20">
        <f>6000/1000</f>
        <v>6.0</v>
      </c>
      <c r="K209" s="21">
        <f>I209*J209</f>
        <v>330.0</v>
      </c>
      <c r="L209" s="22">
        <f>F209^2/162</f>
        <v>0.8888888888888888</v>
      </c>
      <c r="M209" s="21">
        <f>K209*L209</f>
        <v>293.3333333333333</v>
      </c>
      <c r="N209" s="22">
        <f>M209/1000</f>
        <v>0.29333333333333333</v>
      </c>
      <c r="O209" s="13" t="inlineStr">
        <is>
          <t>BBS</t>
        </is>
      </c>
    </row>
    <row r="210">
      <c r="A210" s="13" t="n">
        <v>205</v>
      </c>
      <c r="B210" s="13" t="inlineStr">
        <is>
          <t>Floor Slabs</t>
        </is>
      </c>
      <c r="C210" s="13" t="inlineStr">
        <is>
          <t>STR-103</t>
        </is>
      </c>
      <c r="D210" s="13" t="inlineStr">
        <is>
          <t>Roof top terrace slab - additional top</t>
        </is>
      </c>
      <c r="E210" s="19" t="inlineStr">
        <is>
          <t>1276</t>
        </is>
      </c>
      <c r="F210" s="19" t="n">
        <v>12</v>
      </c>
      <c r="G210" s="19" t="n">
        <v>1</v>
      </c>
      <c r="H210" s="19" t="n">
        <v>60</v>
      </c>
      <c r="I210" s="13">
        <f>G210*H210</f>
        <v>60.0</v>
      </c>
      <c r="J210" s="20">
        <f>4900/1000</f>
        <v>4.9</v>
      </c>
      <c r="K210" s="21">
        <f>I210*J210</f>
        <v>294.0</v>
      </c>
      <c r="L210" s="22">
        <f>F210^2/162</f>
        <v>0.8888888888888888</v>
      </c>
      <c r="M210" s="21">
        <f>K210*L210</f>
        <v>261.3333333333333</v>
      </c>
      <c r="N210" s="22">
        <f>M210/1000</f>
        <v>0.2613333333333333</v>
      </c>
      <c r="O210" s="13" t="inlineStr">
        <is>
          <t>BBS</t>
        </is>
      </c>
    </row>
    <row r="211">
      <c r="A211" s="13" t="n">
        <v>206</v>
      </c>
      <c r="B211" s="13" t="inlineStr">
        <is>
          <t>Floor Slabs</t>
        </is>
      </c>
      <c r="C211" s="13" t="inlineStr">
        <is>
          <t>STR-103</t>
        </is>
      </c>
      <c r="D211" s="13" t="inlineStr">
        <is>
          <t>Roof top terrace slab - additional top</t>
        </is>
      </c>
      <c r="E211" s="19" t="inlineStr">
        <is>
          <t>1277</t>
        </is>
      </c>
      <c r="F211" s="19" t="n">
        <v>12</v>
      </c>
      <c r="G211" s="19" t="n">
        <v>1</v>
      </c>
      <c r="H211" s="19" t="n">
        <v>10</v>
      </c>
      <c r="I211" s="13">
        <f>G211*H211</f>
        <v>10.0</v>
      </c>
      <c r="J211" s="20">
        <f>1475/1000</f>
        <v>1.475</v>
      </c>
      <c r="K211" s="21">
        <f>I211*J211</f>
        <v>14.75</v>
      </c>
      <c r="L211" s="22">
        <f>F211^2/162</f>
        <v>0.8888888888888888</v>
      </c>
      <c r="M211" s="21">
        <f>K211*L211</f>
        <v>13.11111111111111</v>
      </c>
      <c r="N211" s="22">
        <f>M211/1000</f>
        <v>0.013111111111111112</v>
      </c>
      <c r="O211" s="13" t="inlineStr">
        <is>
          <t>BBS</t>
        </is>
      </c>
    </row>
    <row r="212">
      <c r="A212" s="13" t="n">
        <v>207</v>
      </c>
      <c r="B212" s="13" t="inlineStr">
        <is>
          <t>Floor Slabs</t>
        </is>
      </c>
      <c r="C212" s="13" t="inlineStr">
        <is>
          <t>STR-103</t>
        </is>
      </c>
      <c r="D212" s="13" t="inlineStr">
        <is>
          <t>Roof top terrace slab - additional top</t>
        </is>
      </c>
      <c r="E212" s="19" t="inlineStr">
        <is>
          <t>1601</t>
        </is>
      </c>
      <c r="F212" s="19" t="n">
        <v>16</v>
      </c>
      <c r="G212" s="19" t="n">
        <v>1</v>
      </c>
      <c r="H212" s="19" t="n">
        <v>6</v>
      </c>
      <c r="I212" s="13">
        <f>G212*H212</f>
        <v>6.0</v>
      </c>
      <c r="J212" s="20">
        <f>3375/1000</f>
        <v>3.375</v>
      </c>
      <c r="K212" s="21">
        <f>I212*J212</f>
        <v>20.25</v>
      </c>
      <c r="L212" s="22">
        <f>F212^2/162</f>
        <v>1.5802469135802468</v>
      </c>
      <c r="M212" s="21">
        <f>K212*L212</f>
        <v>32.0</v>
      </c>
      <c r="N212" s="22">
        <f>M212/1000</f>
        <v>0.032</v>
      </c>
      <c r="O212" s="13" t="inlineStr">
        <is>
          <t>BBS</t>
        </is>
      </c>
    </row>
    <row r="213">
      <c r="A213" s="13" t="n">
        <v>208</v>
      </c>
      <c r="B213" s="13" t="inlineStr">
        <is>
          <t>Floor Slabs</t>
        </is>
      </c>
      <c r="C213" s="13" t="inlineStr">
        <is>
          <t>STR-103</t>
        </is>
      </c>
      <c r="D213" s="13" t="inlineStr">
        <is>
          <t>Roof top terrace slab - additional top</t>
        </is>
      </c>
      <c r="E213" s="19" t="inlineStr">
        <is>
          <t>1602</t>
        </is>
      </c>
      <c r="F213" s="19" t="n">
        <v>16</v>
      </c>
      <c r="G213" s="19" t="n">
        <v>1</v>
      </c>
      <c r="H213" s="19" t="n">
        <v>6</v>
      </c>
      <c r="I213" s="13">
        <f>G213*H213</f>
        <v>6.0</v>
      </c>
      <c r="J213" s="20">
        <f>6675/1000</f>
        <v>6.675</v>
      </c>
      <c r="K213" s="21">
        <f>I213*J213</f>
        <v>40.05</v>
      </c>
      <c r="L213" s="22">
        <f>F213^2/162</f>
        <v>1.5802469135802468</v>
      </c>
      <c r="M213" s="21">
        <f>K213*L213</f>
        <v>63.288888888888884</v>
      </c>
      <c r="N213" s="22">
        <f>M213/1000</f>
        <v>0.06328888888888888</v>
      </c>
      <c r="O213" s="13" t="inlineStr">
        <is>
          <t>BBS</t>
        </is>
      </c>
    </row>
    <row r="214">
      <c r="A214" s="13" t="n">
        <v>209</v>
      </c>
      <c r="B214" s="13" t="inlineStr">
        <is>
          <t>Floor Slabs</t>
        </is>
      </c>
      <c r="C214" s="13" t="inlineStr">
        <is>
          <t>STR-103</t>
        </is>
      </c>
      <c r="D214" s="13" t="inlineStr">
        <is>
          <t>Roof top terrace slab - additional top</t>
        </is>
      </c>
      <c r="E214" s="19" t="inlineStr">
        <is>
          <t>1603</t>
        </is>
      </c>
      <c r="F214" s="19" t="n">
        <v>16</v>
      </c>
      <c r="G214" s="19" t="n">
        <v>1</v>
      </c>
      <c r="H214" s="19" t="n">
        <v>3</v>
      </c>
      <c r="I214" s="13">
        <f>G214*H214</f>
        <v>3.0</v>
      </c>
      <c r="J214" s="20">
        <f>7650/1000</f>
        <v>7.65</v>
      </c>
      <c r="K214" s="21">
        <f>I214*J214</f>
        <v>22.950000000000003</v>
      </c>
      <c r="L214" s="22">
        <f>F214^2/162</f>
        <v>1.5802469135802468</v>
      </c>
      <c r="M214" s="21">
        <f>K214*L214</f>
        <v>36.266666666666666</v>
      </c>
      <c r="N214" s="22">
        <f>M214/1000</f>
        <v>0.03626666666666666</v>
      </c>
      <c r="O214" s="13" t="inlineStr">
        <is>
          <t>BBS</t>
        </is>
      </c>
    </row>
    <row r="215">
      <c r="A215" s="13" t="n">
        <v>210</v>
      </c>
      <c r="B215" s="13" t="inlineStr">
        <is>
          <t>Floor Slabs</t>
        </is>
      </c>
      <c r="C215" s="13" t="inlineStr">
        <is>
          <t>STR-103</t>
        </is>
      </c>
      <c r="D215" s="13" t="inlineStr">
        <is>
          <t>Roof top terrace slab - additional top</t>
        </is>
      </c>
      <c r="E215" s="19" t="inlineStr">
        <is>
          <t>1604</t>
        </is>
      </c>
      <c r="F215" s="19" t="n">
        <v>16</v>
      </c>
      <c r="G215" s="19" t="n">
        <v>1</v>
      </c>
      <c r="H215" s="19" t="n">
        <v>3</v>
      </c>
      <c r="I215" s="13">
        <f>G215*H215</f>
        <v>3.0</v>
      </c>
      <c r="J215" s="20">
        <f>3000/1000</f>
        <v>3.0</v>
      </c>
      <c r="K215" s="21">
        <f>I215*J215</f>
        <v>9.0</v>
      </c>
      <c r="L215" s="22">
        <f>F215^2/162</f>
        <v>1.5802469135802468</v>
      </c>
      <c r="M215" s="21">
        <f>K215*L215</f>
        <v>14.222222222222221</v>
      </c>
      <c r="N215" s="22">
        <f>M215/1000</f>
        <v>0.014222222222222221</v>
      </c>
      <c r="O215" s="13" t="inlineStr">
        <is>
          <t>BBS</t>
        </is>
      </c>
    </row>
    <row r="216">
      <c r="A216" s="13" t="n">
        <v>211</v>
      </c>
      <c r="B216" s="13" t="inlineStr">
        <is>
          <t>Floor Slabs</t>
        </is>
      </c>
      <c r="C216" s="13" t="inlineStr">
        <is>
          <t>STR-103</t>
        </is>
      </c>
      <c r="D216" s="13" t="inlineStr">
        <is>
          <t>Roof top terrace slab - additional top</t>
        </is>
      </c>
      <c r="E216" s="19" t="inlineStr">
        <is>
          <t>1605</t>
        </is>
      </c>
      <c r="F216" s="19" t="n">
        <v>16</v>
      </c>
      <c r="G216" s="19" t="n">
        <v>1</v>
      </c>
      <c r="H216" s="19" t="n">
        <v>6</v>
      </c>
      <c r="I216" s="13">
        <f>G216*H216</f>
        <v>6.0</v>
      </c>
      <c r="J216" s="20">
        <f>4025/1000</f>
        <v>4.025</v>
      </c>
      <c r="K216" s="21">
        <f>I216*J216</f>
        <v>24.150000000000002</v>
      </c>
      <c r="L216" s="22">
        <f>F216^2/162</f>
        <v>1.5802469135802468</v>
      </c>
      <c r="M216" s="21">
        <f>K216*L216</f>
        <v>38.162962962962965</v>
      </c>
      <c r="N216" s="22">
        <f>M216/1000</f>
        <v>0.03816296296296297</v>
      </c>
      <c r="O216" s="13" t="inlineStr">
        <is>
          <t>BBS</t>
        </is>
      </c>
    </row>
    <row r="218">
      <c r="D218" s="10" t="inlineStr">
        <is>
          <t>SUMMARY - ROOF TOP TERRACE: ELEMENT BY BAR SIZE (TONNES)</t>
        </is>
      </c>
    </row>
    <row r="219">
      <c r="D219" s="23" t="inlineStr">
        <is>
          <t>Element</t>
        </is>
      </c>
      <c r="E219" s="24" t="n">
        <v>10</v>
      </c>
      <c r="F219" s="24" t="n">
        <v>12</v>
      </c>
      <c r="G219" s="24" t="n">
        <v>16</v>
      </c>
      <c r="H219" s="24" t="n">
        <v>20</v>
      </c>
      <c r="I219" s="24" t="n">
        <v>25</v>
      </c>
      <c r="J219" s="23" t="inlineStr">
        <is>
          <t>Total (t)</t>
        </is>
      </c>
    </row>
    <row r="220">
      <c r="D220" s="13" t="inlineStr">
        <is>
          <t>Raft Foundation</t>
        </is>
      </c>
      <c r="E220" s="25">
        <f>SUMIFS($N$6:$N$216,$B$6:$B$216,$D220,$F$6:$F$216,E$219)</f>
        <v>0.0</v>
      </c>
      <c r="F220" s="25">
        <f>SUMIFS($N$6:$N$216,$B$6:$B$216,$D220,$F$6:$F$216,F$219)</f>
        <v>0.0</v>
      </c>
      <c r="G220" s="25">
        <f>SUMIFS($N$6:$N$216,$B$6:$B$216,$D220,$F$6:$F$216,G$219)</f>
        <v>0.0</v>
      </c>
      <c r="H220" s="25">
        <f>SUMIFS($N$6:$N$216,$B$6:$B$216,$D220,$F$6:$F$216,H$219)</f>
        <v>0.0</v>
      </c>
      <c r="I220" s="25">
        <f>SUMIFS($N$6:$N$216,$B$6:$B$216,$D220,$F$6:$F$216,I$219)</f>
        <v>0.0</v>
      </c>
      <c r="J220" s="17">
        <f>SUM(E220:I220)</f>
        <v>0.0</v>
      </c>
    </row>
    <row r="221">
      <c r="D221" s="13" t="inlineStr">
        <is>
          <t>Columns</t>
        </is>
      </c>
      <c r="E221" s="25">
        <f>SUMIFS($N$6:$N$216,$B$6:$B$216,$D221,$F$6:$F$216,E$219)</f>
        <v>0.21016296296296294</v>
      </c>
      <c r="F221" s="25">
        <f>SUMIFS($N$6:$N$216,$B$6:$B$216,$D221,$F$6:$F$216,F$219)</f>
        <v>0.0</v>
      </c>
      <c r="G221" s="25">
        <f>SUMIFS($N$6:$N$216,$B$6:$B$216,$D221,$F$6:$F$216,G$219)</f>
        <v>0.0</v>
      </c>
      <c r="H221" s="25">
        <f>SUMIFS($N$6:$N$216,$B$6:$B$216,$D221,$F$6:$F$216,H$219)</f>
        <v>0.425679012345679</v>
      </c>
      <c r="I221" s="25">
        <f>SUMIFS($N$6:$N$216,$B$6:$B$216,$D221,$F$6:$F$216,I$219)</f>
        <v>0.0</v>
      </c>
      <c r="J221" s="17">
        <f>SUM(E221:I221)</f>
        <v>0.635841975308642</v>
      </c>
    </row>
    <row r="222">
      <c r="D222" s="13" t="inlineStr">
        <is>
          <t>Shear Walls</t>
        </is>
      </c>
      <c r="E222" s="25">
        <f>SUMIFS($N$6:$N$216,$B$6:$B$216,$D222,$F$6:$F$216,E$219)</f>
        <v>1.3766666666666665</v>
      </c>
      <c r="F222" s="25">
        <f>SUMIFS($N$6:$N$216,$B$6:$B$216,$D222,$F$6:$F$216,F$219)</f>
        <v>1.8212977777777777</v>
      </c>
      <c r="G222" s="25">
        <f>SUMIFS($N$6:$N$216,$B$6:$B$216,$D222,$F$6:$F$216,G$219)</f>
        <v>0.0</v>
      </c>
      <c r="H222" s="25">
        <f>SUMIFS($N$6:$N$216,$B$6:$B$216,$D222,$F$6:$F$216,H$219)</f>
        <v>6.651604938271604</v>
      </c>
      <c r="I222" s="25">
        <f>SUMIFS($N$6:$N$216,$B$6:$B$216,$D222,$F$6:$F$216,I$219)</f>
        <v>0.0</v>
      </c>
      <c r="J222" s="17">
        <f>SUM(E222:I222)</f>
        <v>9.849569382716048</v>
      </c>
    </row>
    <row r="223">
      <c r="D223" s="13" t="inlineStr">
        <is>
          <t>Lift Walls</t>
        </is>
      </c>
      <c r="E223" s="25">
        <f>SUMIFS($N$6:$N$216,$B$6:$B$216,$D223,$F$6:$F$216,E$219)</f>
        <v>0.6066666666666666</v>
      </c>
      <c r="F223" s="25">
        <f>SUMIFS($N$6:$N$216,$B$6:$B$216,$D223,$F$6:$F$216,F$219)</f>
        <v>0.82232</v>
      </c>
      <c r="G223" s="25">
        <f>SUMIFS($N$6:$N$216,$B$6:$B$216,$D223,$F$6:$F$216,G$219)</f>
        <v>0.0</v>
      </c>
      <c r="H223" s="25">
        <f>SUMIFS($N$6:$N$216,$B$6:$B$216,$D223,$F$6:$F$216,H$219)</f>
        <v>3.1990123456790123</v>
      </c>
      <c r="I223" s="25">
        <f>SUMIFS($N$6:$N$216,$B$6:$B$216,$D223,$F$6:$F$216,I$219)</f>
        <v>0.0</v>
      </c>
      <c r="J223" s="17">
        <f>SUM(E223:I223)</f>
        <v>4.627999012345679</v>
      </c>
    </row>
    <row r="224">
      <c r="D224" s="13" t="inlineStr">
        <is>
          <t>Retaining / Ramp Walls</t>
        </is>
      </c>
      <c r="E224" s="25">
        <f>SUMIFS($N$6:$N$216,$B$6:$B$216,$D224,$F$6:$F$216,E$219)</f>
        <v>0.0</v>
      </c>
      <c r="F224" s="25">
        <f>SUMIFS($N$6:$N$216,$B$6:$B$216,$D224,$F$6:$F$216,F$219)</f>
        <v>0.0</v>
      </c>
      <c r="G224" s="25">
        <f>SUMIFS($N$6:$N$216,$B$6:$B$216,$D224,$F$6:$F$216,G$219)</f>
        <v>0.0</v>
      </c>
      <c r="H224" s="25">
        <f>SUMIFS($N$6:$N$216,$B$6:$B$216,$D224,$F$6:$F$216,H$219)</f>
        <v>0.0</v>
      </c>
      <c r="I224" s="25">
        <f>SUMIFS($N$6:$N$216,$B$6:$B$216,$D224,$F$6:$F$216,I$219)</f>
        <v>0.0</v>
      </c>
      <c r="J224" s="17">
        <f>SUM(E224:I224)</f>
        <v>0.0</v>
      </c>
    </row>
    <row r="225">
      <c r="D225" s="13" t="inlineStr">
        <is>
          <t>Beams</t>
        </is>
      </c>
      <c r="E225" s="25">
        <f>SUMIFS($N$6:$N$216,$B$6:$B$216,$D225,$F$6:$F$216,E$219)</f>
        <v>1.3112962962962962</v>
      </c>
      <c r="F225" s="25">
        <f>SUMIFS($N$6:$N$216,$B$6:$B$216,$D225,$F$6:$F$216,F$219)</f>
        <v>0.0</v>
      </c>
      <c r="G225" s="25">
        <f>SUMIFS($N$6:$N$216,$B$6:$B$216,$D225,$F$6:$F$216,G$219)</f>
        <v>1.2563753086419753</v>
      </c>
      <c r="H225" s="25">
        <f>SUMIFS($N$6:$N$216,$B$6:$B$216,$D225,$F$6:$F$216,H$219)</f>
        <v>1.0644444444444443</v>
      </c>
      <c r="I225" s="25">
        <f>SUMIFS($N$6:$N$216,$B$6:$B$216,$D225,$F$6:$F$216,I$219)</f>
        <v>3.6222029320987654</v>
      </c>
      <c r="J225" s="17">
        <f>SUM(E225:I225)</f>
        <v>7.2543189814814815</v>
      </c>
    </row>
    <row r="226">
      <c r="D226" s="13" t="inlineStr">
        <is>
          <t>Floor Slabs</t>
        </is>
      </c>
      <c r="E226" s="25">
        <f>SUMIFS($N$6:$N$216,$B$6:$B$216,$D226,$F$6:$F$216,E$219)</f>
        <v>0.0</v>
      </c>
      <c r="F226" s="25">
        <f>SUMIFS($N$6:$N$216,$B$6:$B$216,$D226,$F$6:$F$216,F$219)</f>
        <v>42.840666666666664</v>
      </c>
      <c r="G226" s="25">
        <f>SUMIFS($N$6:$N$216,$B$6:$B$216,$D226,$F$6:$F$216,G$219)</f>
        <v>0.18394074074074074</v>
      </c>
      <c r="H226" s="25">
        <f>SUMIFS($N$6:$N$216,$B$6:$B$216,$D226,$F$6:$F$216,H$219)</f>
        <v>0.0</v>
      </c>
      <c r="I226" s="25">
        <f>SUMIFS($N$6:$N$216,$B$6:$B$216,$D226,$F$6:$F$216,I$219)</f>
        <v>0.0</v>
      </c>
      <c r="J226" s="17">
        <f>SUM(E226:I226)</f>
        <v>43.0246074074074</v>
      </c>
    </row>
    <row r="227">
      <c r="D227" s="13" t="inlineStr">
        <is>
          <t>Staircases</t>
        </is>
      </c>
      <c r="E227" s="25">
        <f>SUMIFS($N$6:$N$216,$B$6:$B$216,$D227,$F$6:$F$216,E$219)</f>
        <v>0.0</v>
      </c>
      <c r="F227" s="25">
        <f>SUMIFS($N$6:$N$216,$B$6:$B$216,$D227,$F$6:$F$216,F$219)</f>
        <v>0.0</v>
      </c>
      <c r="G227" s="25">
        <f>SUMIFS($N$6:$N$216,$B$6:$B$216,$D227,$F$6:$F$216,G$219)</f>
        <v>0.0</v>
      </c>
      <c r="H227" s="25">
        <f>SUMIFS($N$6:$N$216,$B$6:$B$216,$D227,$F$6:$F$216,H$219)</f>
        <v>0.0</v>
      </c>
      <c r="I227" s="25">
        <f>SUMIFS($N$6:$N$216,$B$6:$B$216,$D227,$F$6:$F$216,I$219)</f>
        <v>0.0</v>
      </c>
      <c r="J227" s="17">
        <f>SUM(E227:I227)</f>
        <v>0.0</v>
      </c>
    </row>
    <row r="228">
      <c r="D228" s="13" t="inlineStr">
        <is>
          <t>Lift Core Roof Slab</t>
        </is>
      </c>
      <c r="E228" s="25">
        <f>SUMIFS($N$6:$N$216,$B$6:$B$216,$D228,$F$6:$F$216,E$219)</f>
        <v>0.0</v>
      </c>
      <c r="F228" s="25">
        <f>SUMIFS($N$6:$N$216,$B$6:$B$216,$D228,$F$6:$F$216,F$219)</f>
        <v>0.0</v>
      </c>
      <c r="G228" s="25">
        <f>SUMIFS($N$6:$N$216,$B$6:$B$216,$D228,$F$6:$F$216,G$219)</f>
        <v>0.0</v>
      </c>
      <c r="H228" s="25">
        <f>SUMIFS($N$6:$N$216,$B$6:$B$216,$D228,$F$6:$F$216,H$219)</f>
        <v>0.0</v>
      </c>
      <c r="I228" s="25">
        <f>SUMIFS($N$6:$N$216,$B$6:$B$216,$D228,$F$6:$F$216,I$219)</f>
        <v>0.0</v>
      </c>
      <c r="J228" s="17">
        <f>SUM(E228:I228)</f>
        <v>0.0</v>
      </c>
    </row>
    <row r="229">
      <c r="D229" s="16" t="inlineStr">
        <is>
          <t>TOTAL - ROOF TOP TERRACE</t>
        </is>
      </c>
      <c r="E229" s="26">
        <f>SUM(E220:E228)</f>
        <v>3.504792592592592</v>
      </c>
      <c r="F229" s="26">
        <f>SUM(F220:F228)</f>
        <v>45.48428444444444</v>
      </c>
      <c r="G229" s="26">
        <f>SUM(G220:G228)</f>
        <v>1.440316049382716</v>
      </c>
      <c r="H229" s="26">
        <f>SUM(H220:H228)</f>
        <v>11.340740740740738</v>
      </c>
      <c r="I229" s="26">
        <f>SUM(I220:I228)</f>
        <v>3.6222029320987654</v>
      </c>
      <c r="J229" s="26">
        <f>SUM(J220:J228)</f>
        <v>65.39233675925925</v>
      </c>
      <c r="K229" s="7" t="inlineStr">
        <is>
          <t>Check vs detail (should be 0):</t>
        </is>
      </c>
      <c r="N229" s="7">
        <f>ROUND(SUM(N6:N216)-J229,6)</f>
        <v>0.0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4472C4"/>
    <outlinePr summaryBelow="1" summaryRight="1"/>
    <pageSetUpPr/>
  </sheetPr>
  <dimension ref="A1:O9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ROOF LEVEL (+40450)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Lift Walls</t>
        </is>
      </c>
      <c r="C6" s="13" t="inlineStr">
        <is>
          <t>STR-015/017</t>
        </is>
      </c>
      <c r="D6" s="13" t="inlineStr">
        <is>
          <t>Main core (lift shafts) CW-02 (L=3600mm) Roof level to top of lift core - horizontal Y12@150 NF/FF</t>
        </is>
      </c>
      <c r="E6" s="19" t="inlineStr">
        <is>
          <t>H-Y12</t>
        </is>
      </c>
      <c r="F6" s="19" t="n">
        <v>12</v>
      </c>
      <c r="G6" s="19" t="n">
        <v>1</v>
      </c>
      <c r="H6" s="19">
        <f>2*9</f>
        <v>18.0</v>
      </c>
      <c r="I6" s="13">
        <f>G6*H6</f>
        <v>18.0</v>
      </c>
      <c r="J6" s="20">
        <f>(3600-2*30+40*12)/1000</f>
        <v>4.02</v>
      </c>
      <c r="K6" s="21">
        <f>I6*J6</f>
        <v>72.35999999999999</v>
      </c>
      <c r="L6" s="22">
        <f>F6^2/162</f>
        <v>0.8888888888888888</v>
      </c>
      <c r="M6" s="21">
        <f>K6*L6</f>
        <v>64.31999999999998</v>
      </c>
      <c r="N6" s="22">
        <f>M6/1000</f>
        <v>0.06431999999999997</v>
      </c>
      <c r="O6" s="13" t="inlineStr">
        <is>
          <t>Elevation count / plan length</t>
        </is>
      </c>
    </row>
    <row r="7">
      <c r="A7" s="13" t="n">
        <v>2</v>
      </c>
      <c r="B7" s="13" t="inlineStr">
        <is>
          <t>Lift Walls</t>
        </is>
      </c>
      <c r="C7" s="13" t="inlineStr">
        <is>
          <t>STR-015/017</t>
        </is>
      </c>
      <c r="D7" s="13" t="inlineStr">
        <is>
          <t>Main core (lift shafts) CW-02 Roof level to top of lift core - vertical Y20@150 NF/FF</t>
        </is>
      </c>
      <c r="E7" s="19" t="inlineStr">
        <is>
          <t>V-Y20</t>
        </is>
      </c>
      <c r="F7" s="19" t="n">
        <v>20</v>
      </c>
      <c r="G7" s="19" t="n">
        <v>1</v>
      </c>
      <c r="H7" s="19">
        <f>2*29</f>
        <v>58.0</v>
      </c>
      <c r="I7" s="13">
        <f>G7*H7</f>
        <v>58.0</v>
      </c>
      <c r="J7" s="20">
        <f>(4200+40*20)/1000</f>
        <v>5.0</v>
      </c>
      <c r="K7" s="21">
        <f>I7*J7</f>
        <v>290.0</v>
      </c>
      <c r="L7" s="22">
        <f>F7^2/162</f>
        <v>2.4691358024691357</v>
      </c>
      <c r="M7" s="21">
        <f>K7*L7</f>
        <v>716.0493827160493</v>
      </c>
      <c r="N7" s="22">
        <f>M7/1000</f>
        <v>0.7160493827160493</v>
      </c>
      <c r="O7" s="13" t="inlineStr">
        <is>
          <t>Elevation / plan</t>
        </is>
      </c>
    </row>
    <row r="8">
      <c r="A8" s="13" t="n">
        <v>3</v>
      </c>
      <c r="B8" s="13" t="inlineStr">
        <is>
          <t>Lift Walls</t>
        </is>
      </c>
      <c r="C8" s="13" t="inlineStr">
        <is>
          <t>STR-015/017</t>
        </is>
      </c>
      <c r="D8" s="13" t="inlineStr">
        <is>
          <t>Main core (lift shafts) CW-03 (L=3600mm) Roof level to top of lift core - horizontal Y12@150 NF/FF</t>
        </is>
      </c>
      <c r="E8" s="19" t="inlineStr">
        <is>
          <t>H-Y12</t>
        </is>
      </c>
      <c r="F8" s="19" t="n">
        <v>12</v>
      </c>
      <c r="G8" s="19" t="n">
        <v>1</v>
      </c>
      <c r="H8" s="19">
        <f>2*9</f>
        <v>18.0</v>
      </c>
      <c r="I8" s="13">
        <f>G8*H8</f>
        <v>18.0</v>
      </c>
      <c r="J8" s="20">
        <f>(3600-2*30+40*12)/1000</f>
        <v>4.02</v>
      </c>
      <c r="K8" s="21">
        <f>I8*J8</f>
        <v>72.35999999999999</v>
      </c>
      <c r="L8" s="22">
        <f>F8^2/162</f>
        <v>0.8888888888888888</v>
      </c>
      <c r="M8" s="21">
        <f>K8*L8</f>
        <v>64.31999999999998</v>
      </c>
      <c r="N8" s="22">
        <f>M8/1000</f>
        <v>0.06431999999999997</v>
      </c>
      <c r="O8" s="13" t="inlineStr">
        <is>
          <t>Elevation count / plan length</t>
        </is>
      </c>
    </row>
    <row r="9">
      <c r="A9" s="13" t="n">
        <v>4</v>
      </c>
      <c r="B9" s="13" t="inlineStr">
        <is>
          <t>Lift Walls</t>
        </is>
      </c>
      <c r="C9" s="13" t="inlineStr">
        <is>
          <t>STR-015/017</t>
        </is>
      </c>
      <c r="D9" s="13" t="inlineStr">
        <is>
          <t>Main core (lift shafts) CW-03 Roof level to top of lift core - vertical Y20@150 NF/FF</t>
        </is>
      </c>
      <c r="E9" s="19" t="inlineStr">
        <is>
          <t>V-Y20</t>
        </is>
      </c>
      <c r="F9" s="19" t="n">
        <v>20</v>
      </c>
      <c r="G9" s="19" t="n">
        <v>1</v>
      </c>
      <c r="H9" s="19">
        <f>2*29</f>
        <v>58.0</v>
      </c>
      <c r="I9" s="13">
        <f>G9*H9</f>
        <v>58.0</v>
      </c>
      <c r="J9" s="20">
        <f>(4200+40*20)/1000</f>
        <v>5.0</v>
      </c>
      <c r="K9" s="21">
        <f>I9*J9</f>
        <v>290.0</v>
      </c>
      <c r="L9" s="22">
        <f>F9^2/162</f>
        <v>2.4691358024691357</v>
      </c>
      <c r="M9" s="21">
        <f>K9*L9</f>
        <v>716.0493827160493</v>
      </c>
      <c r="N9" s="22">
        <f>M9/1000</f>
        <v>0.7160493827160493</v>
      </c>
      <c r="O9" s="13" t="inlineStr">
        <is>
          <t>Elevation / plan</t>
        </is>
      </c>
    </row>
    <row r="10">
      <c r="A10" s="13" t="n">
        <v>5</v>
      </c>
      <c r="B10" s="13" t="inlineStr">
        <is>
          <t>Lift Walls</t>
        </is>
      </c>
      <c r="C10" s="13" t="inlineStr">
        <is>
          <t>STR-015/017</t>
        </is>
      </c>
      <c r="D10" s="13" t="inlineStr">
        <is>
          <t>Main core (lift shafts) CW-04 (L=3600mm) Roof level to top of lift core - horizontal Y12@150 NF/FF</t>
        </is>
      </c>
      <c r="E10" s="19" t="inlineStr">
        <is>
          <t>H-Y12</t>
        </is>
      </c>
      <c r="F10" s="19" t="n">
        <v>12</v>
      </c>
      <c r="G10" s="19" t="n">
        <v>1</v>
      </c>
      <c r="H10" s="19">
        <f>2*9</f>
        <v>18.0</v>
      </c>
      <c r="I10" s="13">
        <f>G10*H10</f>
        <v>18.0</v>
      </c>
      <c r="J10" s="20">
        <f>(3600-2*30+40*12)/1000</f>
        <v>4.02</v>
      </c>
      <c r="K10" s="21">
        <f>I10*J10</f>
        <v>72.35999999999999</v>
      </c>
      <c r="L10" s="22">
        <f>F10^2/162</f>
        <v>0.8888888888888888</v>
      </c>
      <c r="M10" s="21">
        <f>K10*L10</f>
        <v>64.31999999999998</v>
      </c>
      <c r="N10" s="22">
        <f>M10/1000</f>
        <v>0.06431999999999997</v>
      </c>
      <c r="O10" s="13" t="inlineStr">
        <is>
          <t>Elevation count / plan length</t>
        </is>
      </c>
    </row>
    <row r="11">
      <c r="A11" s="13" t="n">
        <v>6</v>
      </c>
      <c r="B11" s="13" t="inlineStr">
        <is>
          <t>Lift Walls</t>
        </is>
      </c>
      <c r="C11" s="13" t="inlineStr">
        <is>
          <t>STR-015/017</t>
        </is>
      </c>
      <c r="D11" s="13" t="inlineStr">
        <is>
          <t>Main core (lift shafts) CW-04 Roof level to top of lift core - vertical Y20@150 NF/FF</t>
        </is>
      </c>
      <c r="E11" s="19" t="inlineStr">
        <is>
          <t>V-Y20</t>
        </is>
      </c>
      <c r="F11" s="19" t="n">
        <v>20</v>
      </c>
      <c r="G11" s="19" t="n">
        <v>1</v>
      </c>
      <c r="H11" s="19">
        <f>2*29</f>
        <v>58.0</v>
      </c>
      <c r="I11" s="13">
        <f>G11*H11</f>
        <v>58.0</v>
      </c>
      <c r="J11" s="20">
        <f>(4200+40*20)/1000</f>
        <v>5.0</v>
      </c>
      <c r="K11" s="21">
        <f>I11*J11</f>
        <v>290.0</v>
      </c>
      <c r="L11" s="22">
        <f>F11^2/162</f>
        <v>2.4691358024691357</v>
      </c>
      <c r="M11" s="21">
        <f>K11*L11</f>
        <v>716.0493827160493</v>
      </c>
      <c r="N11" s="22">
        <f>M11/1000</f>
        <v>0.7160493827160493</v>
      </c>
      <c r="O11" s="13" t="inlineStr">
        <is>
          <t>Elevation / plan</t>
        </is>
      </c>
    </row>
    <row r="12">
      <c r="A12" s="13" t="n">
        <v>7</v>
      </c>
      <c r="B12" s="13" t="inlineStr">
        <is>
          <t>Lift Walls</t>
        </is>
      </c>
      <c r="C12" s="13" t="inlineStr">
        <is>
          <t>STR-015/017</t>
        </is>
      </c>
      <c r="D12" s="13" t="inlineStr">
        <is>
          <t>Main core (lift shafts) CW-06 (L=2025mm) Roof level to top of lift core - horizontal Y12@150 NF/FF</t>
        </is>
      </c>
      <c r="E12" s="19" t="inlineStr">
        <is>
          <t>H-Y12</t>
        </is>
      </c>
      <c r="F12" s="19" t="n">
        <v>12</v>
      </c>
      <c r="G12" s="19" t="n">
        <v>1</v>
      </c>
      <c r="H12" s="19">
        <f>2*9</f>
        <v>18.0</v>
      </c>
      <c r="I12" s="13">
        <f>G12*H12</f>
        <v>18.0</v>
      </c>
      <c r="J12" s="20">
        <f>(2025-2*30+40*12)/1000</f>
        <v>2.445</v>
      </c>
      <c r="K12" s="21">
        <f>I12*J12</f>
        <v>44.01</v>
      </c>
      <c r="L12" s="22">
        <f>F12^2/162</f>
        <v>0.8888888888888888</v>
      </c>
      <c r="M12" s="21">
        <f>K12*L12</f>
        <v>39.12</v>
      </c>
      <c r="N12" s="22">
        <f>M12/1000</f>
        <v>0.039119999999999995</v>
      </c>
      <c r="O12" s="13" t="inlineStr">
        <is>
          <t>Elevation count / plan length</t>
        </is>
      </c>
    </row>
    <row r="13">
      <c r="A13" s="13" t="n">
        <v>8</v>
      </c>
      <c r="B13" s="13" t="inlineStr">
        <is>
          <t>Lift Walls</t>
        </is>
      </c>
      <c r="C13" s="13" t="inlineStr">
        <is>
          <t>STR-015/017</t>
        </is>
      </c>
      <c r="D13" s="13" t="inlineStr">
        <is>
          <t>Main core (lift shafts) CW-06 Roof level to top of lift core - vertical Y20@150 NF/FF</t>
        </is>
      </c>
      <c r="E13" s="19" t="inlineStr">
        <is>
          <t>V-Y20</t>
        </is>
      </c>
      <c r="F13" s="19" t="n">
        <v>20</v>
      </c>
      <c r="G13" s="19" t="n">
        <v>1</v>
      </c>
      <c r="H13" s="19">
        <f>2*(ROUNDUP(2025/150,0)+1)</f>
        <v>30.0</v>
      </c>
      <c r="I13" s="13">
        <f>G13*H13</f>
        <v>30.0</v>
      </c>
      <c r="J13" s="20">
        <f>(4200+40*20)/1000</f>
        <v>5.0</v>
      </c>
      <c r="K13" s="21">
        <f>I13*J13</f>
        <v>150.0</v>
      </c>
      <c r="L13" s="22">
        <f>F13^2/162</f>
        <v>2.4691358024691357</v>
      </c>
      <c r="M13" s="21">
        <f>K13*L13</f>
        <v>370.3703703703703</v>
      </c>
      <c r="N13" s="22">
        <f>M13/1000</f>
        <v>0.37037037037037035</v>
      </c>
      <c r="O13" s="13" t="inlineStr">
        <is>
          <t>Elevation / plan</t>
        </is>
      </c>
    </row>
    <row r="14">
      <c r="A14" s="13" t="n">
        <v>9</v>
      </c>
      <c r="B14" s="13" t="inlineStr">
        <is>
          <t>Lift Walls</t>
        </is>
      </c>
      <c r="C14" s="13" t="inlineStr">
        <is>
          <t>STR-015/017</t>
        </is>
      </c>
      <c r="D14" s="13" t="inlineStr">
        <is>
          <t>Main core (lift shafts) CW-08 (L=4500mm) Roof level to top of lift core - horizontal Y12@150 NF/FF</t>
        </is>
      </c>
      <c r="E14" s="19" t="inlineStr">
        <is>
          <t>H-Y12</t>
        </is>
      </c>
      <c r="F14" s="19" t="n">
        <v>12</v>
      </c>
      <c r="G14" s="19" t="n">
        <v>1</v>
      </c>
      <c r="H14" s="19">
        <f>2*9</f>
        <v>18.0</v>
      </c>
      <c r="I14" s="13">
        <f>G14*H14</f>
        <v>18.0</v>
      </c>
      <c r="J14" s="20">
        <f>(4500-2*30+40*12)/1000</f>
        <v>4.92</v>
      </c>
      <c r="K14" s="21">
        <f>I14*J14</f>
        <v>88.56</v>
      </c>
      <c r="L14" s="22">
        <f>F14^2/162</f>
        <v>0.8888888888888888</v>
      </c>
      <c r="M14" s="21">
        <f>K14*L14</f>
        <v>78.72</v>
      </c>
      <c r="N14" s="22">
        <f>M14/1000</f>
        <v>0.07872</v>
      </c>
      <c r="O14" s="13" t="inlineStr">
        <is>
          <t>Elevation count / plan length</t>
        </is>
      </c>
    </row>
    <row r="15">
      <c r="A15" s="13" t="n">
        <v>10</v>
      </c>
      <c r="B15" s="13" t="inlineStr">
        <is>
          <t>Lift Walls</t>
        </is>
      </c>
      <c r="C15" s="13" t="inlineStr">
        <is>
          <t>STR-015/017</t>
        </is>
      </c>
      <c r="D15" s="13" t="inlineStr">
        <is>
          <t>Main core (lift shafts) CW-08 Roof level to top of lift core - vertical Y20@150 NF/FF</t>
        </is>
      </c>
      <c r="E15" s="19" t="inlineStr">
        <is>
          <t>V-Y20</t>
        </is>
      </c>
      <c r="F15" s="19" t="n">
        <v>20</v>
      </c>
      <c r="G15" s="19" t="n">
        <v>1</v>
      </c>
      <c r="H15" s="19">
        <f>2*(ROUNDUP(4500/150,0)+1)</f>
        <v>62.0</v>
      </c>
      <c r="I15" s="13">
        <f>G15*H15</f>
        <v>62.0</v>
      </c>
      <c r="J15" s="20">
        <f>(4200+40*20)/1000</f>
        <v>5.0</v>
      </c>
      <c r="K15" s="21">
        <f>I15*J15</f>
        <v>310.0</v>
      </c>
      <c r="L15" s="22">
        <f>F15^2/162</f>
        <v>2.4691358024691357</v>
      </c>
      <c r="M15" s="21">
        <f>K15*L15</f>
        <v>765.4320987654321</v>
      </c>
      <c r="N15" s="22">
        <f>M15/1000</f>
        <v>0.7654320987654321</v>
      </c>
      <c r="O15" s="13" t="inlineStr">
        <is>
          <t>Elevation / plan</t>
        </is>
      </c>
    </row>
    <row r="16">
      <c r="A16" s="13" t="n">
        <v>11</v>
      </c>
      <c r="B16" s="13" t="inlineStr">
        <is>
          <t>Lift Walls</t>
        </is>
      </c>
      <c r="C16" s="13" t="inlineStr">
        <is>
          <t>STR-015/017</t>
        </is>
      </c>
      <c r="D16" s="13" t="inlineStr">
        <is>
          <t>Main core (lift shafts) CW-07 (lift section) (L=4500mm) Roof level to top of lift core - horizontal Y12@150 NF/FF</t>
        </is>
      </c>
      <c r="E16" s="19" t="inlineStr">
        <is>
          <t>H-Y12</t>
        </is>
      </c>
      <c r="F16" s="19" t="n">
        <v>12</v>
      </c>
      <c r="G16" s="19" t="n">
        <v>1</v>
      </c>
      <c r="H16" s="19">
        <f>2*9</f>
        <v>18.0</v>
      </c>
      <c r="I16" s="13">
        <f>G16*H16</f>
        <v>18.0</v>
      </c>
      <c r="J16" s="20">
        <f>(4500-2*30+40*12)/1000</f>
        <v>4.92</v>
      </c>
      <c r="K16" s="21">
        <f>I16*J16</f>
        <v>88.56</v>
      </c>
      <c r="L16" s="22">
        <f>F16^2/162</f>
        <v>0.8888888888888888</v>
      </c>
      <c r="M16" s="21">
        <f>K16*L16</f>
        <v>78.72</v>
      </c>
      <c r="N16" s="22">
        <f>M16/1000</f>
        <v>0.07872</v>
      </c>
      <c r="O16" s="13" t="inlineStr">
        <is>
          <t>Elevation count / plan length</t>
        </is>
      </c>
    </row>
    <row r="17">
      <c r="A17" s="13" t="n">
        <v>12</v>
      </c>
      <c r="B17" s="13" t="inlineStr">
        <is>
          <t>Lift Walls</t>
        </is>
      </c>
      <c r="C17" s="13" t="inlineStr">
        <is>
          <t>STR-015/017</t>
        </is>
      </c>
      <c r="D17" s="13" t="inlineStr">
        <is>
          <t>Main core (lift shafts) CW-07 (lift section) Roof level to top of lift core - vertical Y20@150 NF/FF</t>
        </is>
      </c>
      <c r="E17" s="19" t="inlineStr">
        <is>
          <t>V-Y20</t>
        </is>
      </c>
      <c r="F17" s="19" t="n">
        <v>20</v>
      </c>
      <c r="G17" s="19" t="n">
        <v>1</v>
      </c>
      <c r="H17" s="19">
        <f>2*(ROUNDUP(4500/150,0)+1)</f>
        <v>62.0</v>
      </c>
      <c r="I17" s="13">
        <f>G17*H17</f>
        <v>62.0</v>
      </c>
      <c r="J17" s="20">
        <f>(4200+40*20)/1000</f>
        <v>5.0</v>
      </c>
      <c r="K17" s="21">
        <f>I17*J17</f>
        <v>310.0</v>
      </c>
      <c r="L17" s="22">
        <f>F17^2/162</f>
        <v>2.4691358024691357</v>
      </c>
      <c r="M17" s="21">
        <f>K17*L17</f>
        <v>765.4320987654321</v>
      </c>
      <c r="N17" s="22">
        <f>M17/1000</f>
        <v>0.7654320987654321</v>
      </c>
      <c r="O17" s="13" t="inlineStr">
        <is>
          <t>Elevation / plan</t>
        </is>
      </c>
    </row>
    <row r="18">
      <c r="A18" s="13" t="n">
        <v>13</v>
      </c>
      <c r="B18" s="13" t="inlineStr">
        <is>
          <t>Lift Walls</t>
        </is>
      </c>
      <c r="C18" s="13" t="inlineStr">
        <is>
          <t>STR-015/017</t>
        </is>
      </c>
      <c r="D18" s="13" t="inlineStr">
        <is>
          <t>Main core (lift shafts) confinement links Y10@150 (26 positions on plan) Roof level to top of lift core</t>
        </is>
      </c>
      <c r="E18" s="19" t="inlineStr">
        <is>
          <t>LNK-Y10</t>
        </is>
      </c>
      <c r="F18" s="19" t="n">
        <v>10</v>
      </c>
      <c r="G18" s="19" t="n">
        <v>1</v>
      </c>
      <c r="H18" s="19">
        <f>26*ROUNDUP(4200/150,0)</f>
        <v>728.0</v>
      </c>
      <c r="I18" s="13">
        <f>G18*H18</f>
        <v>728.0</v>
      </c>
      <c r="J18" s="20">
        <f>1800/1000</f>
        <v>1.8</v>
      </c>
      <c r="K18" s="21">
        <f>I18*J18</f>
        <v>1310.4</v>
      </c>
      <c r="L18" s="22">
        <f>F18^2/162</f>
        <v>0.6172839506172839</v>
      </c>
      <c r="M18" s="21">
        <f>K18*L18</f>
        <v>808.8888888888889</v>
      </c>
      <c r="N18" s="22">
        <f>M18/1000</f>
        <v>0.8088888888888889</v>
      </c>
      <c r="O18" s="13" t="inlineStr">
        <is>
          <t>Assumed link cut length</t>
        </is>
      </c>
    </row>
    <row r="19">
      <c r="A19" s="13" t="n">
        <v>14</v>
      </c>
      <c r="B19" s="13" t="inlineStr">
        <is>
          <t>Beams</t>
        </is>
      </c>
      <c r="C19" s="13" t="inlineStr">
        <is>
          <t>STR-105</t>
        </is>
      </c>
      <c r="D19" s="13" t="inlineStr">
        <is>
          <t>Roof level beams</t>
        </is>
      </c>
      <c r="E19" s="19" t="inlineStr">
        <is>
          <t>1001</t>
        </is>
      </c>
      <c r="F19" s="19" t="n">
        <v>10</v>
      </c>
      <c r="G19" s="19" t="n">
        <v>1</v>
      </c>
      <c r="H19" s="19" t="n">
        <v>121</v>
      </c>
      <c r="I19" s="13">
        <f>G19*H19</f>
        <v>121.0</v>
      </c>
      <c r="J19" s="20">
        <f>1200/1000</f>
        <v>1.2</v>
      </c>
      <c r="K19" s="21">
        <f>I19*J19</f>
        <v>145.2</v>
      </c>
      <c r="L19" s="22">
        <f>F19^2/162</f>
        <v>0.6172839506172839</v>
      </c>
      <c r="M19" s="21">
        <f>K19*L19</f>
        <v>89.62962962962962</v>
      </c>
      <c r="N19" s="22">
        <f>M19/1000</f>
        <v>0.08962962962962961</v>
      </c>
      <c r="O19" s="13" t="inlineStr">
        <is>
          <t>BBS</t>
        </is>
      </c>
    </row>
    <row r="20">
      <c r="A20" s="13" t="n">
        <v>15</v>
      </c>
      <c r="B20" s="13" t="inlineStr">
        <is>
          <t>Beams</t>
        </is>
      </c>
      <c r="C20" s="13" t="inlineStr">
        <is>
          <t>STR-105</t>
        </is>
      </c>
      <c r="D20" s="13" t="inlineStr">
        <is>
          <t>Roof level beams</t>
        </is>
      </c>
      <c r="E20" s="19" t="inlineStr">
        <is>
          <t>1002</t>
        </is>
      </c>
      <c r="F20" s="19" t="n">
        <v>10</v>
      </c>
      <c r="G20" s="19" t="n">
        <v>1</v>
      </c>
      <c r="H20" s="19" t="n">
        <v>376</v>
      </c>
      <c r="I20" s="13">
        <f>G20*H20</f>
        <v>376.0</v>
      </c>
      <c r="J20" s="20">
        <f>1500/1000</f>
        <v>1.5</v>
      </c>
      <c r="K20" s="21">
        <f>I20*J20</f>
        <v>564.0</v>
      </c>
      <c r="L20" s="22">
        <f>F20^2/162</f>
        <v>0.6172839506172839</v>
      </c>
      <c r="M20" s="21">
        <f>K20*L20</f>
        <v>348.14814814814815</v>
      </c>
      <c r="N20" s="22">
        <f>M20/1000</f>
        <v>0.34814814814814815</v>
      </c>
      <c r="O20" s="13" t="inlineStr">
        <is>
          <t>BBS</t>
        </is>
      </c>
    </row>
    <row r="21">
      <c r="A21" s="13" t="n">
        <v>16</v>
      </c>
      <c r="B21" s="13" t="inlineStr">
        <is>
          <t>Beams</t>
        </is>
      </c>
      <c r="C21" s="13" t="inlineStr">
        <is>
          <t>STR-105</t>
        </is>
      </c>
      <c r="D21" s="13" t="inlineStr">
        <is>
          <t>Roof level beams</t>
        </is>
      </c>
      <c r="E21" s="19" t="inlineStr">
        <is>
          <t>1003</t>
        </is>
      </c>
      <c r="F21" s="19" t="n">
        <v>10</v>
      </c>
      <c r="G21" s="19" t="n">
        <v>1</v>
      </c>
      <c r="H21" s="19" t="n">
        <v>259</v>
      </c>
      <c r="I21" s="13">
        <f>G21*H21</f>
        <v>259.0</v>
      </c>
      <c r="J21" s="20">
        <f>1600/1000</f>
        <v>1.6</v>
      </c>
      <c r="K21" s="21">
        <f>I21*J21</f>
        <v>414.40000000000003</v>
      </c>
      <c r="L21" s="22">
        <f>F21^2/162</f>
        <v>0.6172839506172839</v>
      </c>
      <c r="M21" s="21">
        <f>K21*L21</f>
        <v>255.80246913580248</v>
      </c>
      <c r="N21" s="22">
        <f>M21/1000</f>
        <v>0.25580246913580246</v>
      </c>
      <c r="O21" s="13" t="inlineStr">
        <is>
          <t>BBS</t>
        </is>
      </c>
    </row>
    <row r="22">
      <c r="A22" s="13" t="n">
        <v>17</v>
      </c>
      <c r="B22" s="13" t="inlineStr">
        <is>
          <t>Beams</t>
        </is>
      </c>
      <c r="C22" s="13" t="inlineStr">
        <is>
          <t>STR-105</t>
        </is>
      </c>
      <c r="D22" s="13" t="inlineStr">
        <is>
          <t>Roof level beams</t>
        </is>
      </c>
      <c r="E22" s="19" t="inlineStr">
        <is>
          <t>1601</t>
        </is>
      </c>
      <c r="F22" s="19" t="n">
        <v>16</v>
      </c>
      <c r="G22" s="19" t="n">
        <v>1</v>
      </c>
      <c r="H22" s="19" t="n">
        <v>3</v>
      </c>
      <c r="I22" s="13">
        <f>G22*H22</f>
        <v>3.0</v>
      </c>
      <c r="J22" s="20">
        <f>6775/1000</f>
        <v>6.775</v>
      </c>
      <c r="K22" s="21">
        <f>I22*J22</f>
        <v>20.325000000000003</v>
      </c>
      <c r="L22" s="22">
        <f>F22^2/162</f>
        <v>1.5802469135802468</v>
      </c>
      <c r="M22" s="21">
        <f>K22*L22</f>
        <v>32.11851851851852</v>
      </c>
      <c r="N22" s="22">
        <f>M22/1000</f>
        <v>0.03211851851851852</v>
      </c>
      <c r="O22" s="13" t="inlineStr">
        <is>
          <t>BBS</t>
        </is>
      </c>
    </row>
    <row r="23">
      <c r="A23" s="13" t="n">
        <v>18</v>
      </c>
      <c r="B23" s="13" t="inlineStr">
        <is>
          <t>Beams</t>
        </is>
      </c>
      <c r="C23" s="13" t="inlineStr">
        <is>
          <t>STR-105</t>
        </is>
      </c>
      <c r="D23" s="13" t="inlineStr">
        <is>
          <t>Roof level beams</t>
        </is>
      </c>
      <c r="E23" s="19" t="inlineStr">
        <is>
          <t>1602</t>
        </is>
      </c>
      <c r="F23" s="19" t="n">
        <v>16</v>
      </c>
      <c r="G23" s="19" t="n">
        <v>1</v>
      </c>
      <c r="H23" s="19" t="n">
        <v>2</v>
      </c>
      <c r="I23" s="13">
        <f>G23*H23</f>
        <v>2.0</v>
      </c>
      <c r="J23" s="20">
        <f>6325/1000</f>
        <v>6.325</v>
      </c>
      <c r="K23" s="21">
        <f>I23*J23</f>
        <v>12.65</v>
      </c>
      <c r="L23" s="22">
        <f>F23^2/162</f>
        <v>1.5802469135802468</v>
      </c>
      <c r="M23" s="21">
        <f>K23*L23</f>
        <v>19.990123456790123</v>
      </c>
      <c r="N23" s="22">
        <f>M23/1000</f>
        <v>0.01999012345679012</v>
      </c>
      <c r="O23" s="13" t="inlineStr">
        <is>
          <t>BBS</t>
        </is>
      </c>
    </row>
    <row r="24">
      <c r="A24" s="13" t="n">
        <v>19</v>
      </c>
      <c r="B24" s="13" t="inlineStr">
        <is>
          <t>Beams</t>
        </is>
      </c>
      <c r="C24" s="13" t="inlineStr">
        <is>
          <t>STR-105</t>
        </is>
      </c>
      <c r="D24" s="13" t="inlineStr">
        <is>
          <t>Roof level beams</t>
        </is>
      </c>
      <c r="E24" s="19" t="inlineStr">
        <is>
          <t>1603</t>
        </is>
      </c>
      <c r="F24" s="19" t="n">
        <v>16</v>
      </c>
      <c r="G24" s="19" t="n">
        <v>1</v>
      </c>
      <c r="H24" s="19" t="n">
        <v>3</v>
      </c>
      <c r="I24" s="13">
        <f>G24*H24</f>
        <v>3.0</v>
      </c>
      <c r="J24" s="20">
        <f>9350/1000</f>
        <v>9.35</v>
      </c>
      <c r="K24" s="21">
        <f>I24*J24</f>
        <v>28.049999999999997</v>
      </c>
      <c r="L24" s="22">
        <f>F24^2/162</f>
        <v>1.5802469135802468</v>
      </c>
      <c r="M24" s="21">
        <f>K24*L24</f>
        <v>44.32592592592592</v>
      </c>
      <c r="N24" s="22">
        <f>M24/1000</f>
        <v>0.04432592592592592</v>
      </c>
      <c r="O24" s="13" t="inlineStr">
        <is>
          <t>BBS</t>
        </is>
      </c>
    </row>
    <row r="25">
      <c r="A25" s="13" t="n">
        <v>20</v>
      </c>
      <c r="B25" s="13" t="inlineStr">
        <is>
          <t>Beams</t>
        </is>
      </c>
      <c r="C25" s="13" t="inlineStr">
        <is>
          <t>STR-105</t>
        </is>
      </c>
      <c r="D25" s="13" t="inlineStr">
        <is>
          <t>Roof level beams</t>
        </is>
      </c>
      <c r="E25" s="19" t="inlineStr">
        <is>
          <t>1604</t>
        </is>
      </c>
      <c r="F25" s="19" t="n">
        <v>16</v>
      </c>
      <c r="G25" s="19" t="n">
        <v>1</v>
      </c>
      <c r="H25" s="19" t="n">
        <v>2</v>
      </c>
      <c r="I25" s="13">
        <f>G25*H25</f>
        <v>2.0</v>
      </c>
      <c r="J25" s="20">
        <f>8900/1000</f>
        <v>8.9</v>
      </c>
      <c r="K25" s="21">
        <f>I25*J25</f>
        <v>17.8</v>
      </c>
      <c r="L25" s="22">
        <f>F25^2/162</f>
        <v>1.5802469135802468</v>
      </c>
      <c r="M25" s="21">
        <f>K25*L25</f>
        <v>28.128395061728394</v>
      </c>
      <c r="N25" s="22">
        <f>M25/1000</f>
        <v>0.028128395061728394</v>
      </c>
      <c r="O25" s="13" t="inlineStr">
        <is>
          <t>BBS</t>
        </is>
      </c>
    </row>
    <row r="26">
      <c r="A26" s="13" t="n">
        <v>21</v>
      </c>
      <c r="B26" s="13" t="inlineStr">
        <is>
          <t>Beams</t>
        </is>
      </c>
      <c r="C26" s="13" t="inlineStr">
        <is>
          <t>STR-105</t>
        </is>
      </c>
      <c r="D26" s="13" t="inlineStr">
        <is>
          <t>Roof level beams</t>
        </is>
      </c>
      <c r="E26" s="19" t="inlineStr">
        <is>
          <t>1605</t>
        </is>
      </c>
      <c r="F26" s="19" t="n">
        <v>16</v>
      </c>
      <c r="G26" s="19" t="n">
        <v>1</v>
      </c>
      <c r="H26" s="19" t="n">
        <v>4</v>
      </c>
      <c r="I26" s="13">
        <f>G26*H26</f>
        <v>4.0</v>
      </c>
      <c r="J26" s="20">
        <f>8900/1000</f>
        <v>8.9</v>
      </c>
      <c r="K26" s="21">
        <f>I26*J26</f>
        <v>35.6</v>
      </c>
      <c r="L26" s="22">
        <f>F26^2/162</f>
        <v>1.5802469135802468</v>
      </c>
      <c r="M26" s="21">
        <f>K26*L26</f>
        <v>56.25679012345679</v>
      </c>
      <c r="N26" s="22">
        <f>M26/1000</f>
        <v>0.05625679012345679</v>
      </c>
      <c r="O26" s="13" t="inlineStr">
        <is>
          <t>BBS</t>
        </is>
      </c>
    </row>
    <row r="27">
      <c r="A27" s="13" t="n">
        <v>22</v>
      </c>
      <c r="B27" s="13" t="inlineStr">
        <is>
          <t>Beams</t>
        </is>
      </c>
      <c r="C27" s="13" t="inlineStr">
        <is>
          <t>STR-105</t>
        </is>
      </c>
      <c r="D27" s="13" t="inlineStr">
        <is>
          <t>Roof level beams</t>
        </is>
      </c>
      <c r="E27" s="19" t="inlineStr">
        <is>
          <t>1606</t>
        </is>
      </c>
      <c r="F27" s="19" t="n">
        <v>16</v>
      </c>
      <c r="G27" s="19" t="n">
        <v>1</v>
      </c>
      <c r="H27" s="19" t="n">
        <v>4</v>
      </c>
      <c r="I27" s="13">
        <f>G27*H27</f>
        <v>4.0</v>
      </c>
      <c r="J27" s="20">
        <f>7500/1000</f>
        <v>7.5</v>
      </c>
      <c r="K27" s="21">
        <f>I27*J27</f>
        <v>30.0</v>
      </c>
      <c r="L27" s="22">
        <f>F27^2/162</f>
        <v>1.5802469135802468</v>
      </c>
      <c r="M27" s="21">
        <f>K27*L27</f>
        <v>47.407407407407405</v>
      </c>
      <c r="N27" s="22">
        <f>M27/1000</f>
        <v>0.047407407407407405</v>
      </c>
      <c r="O27" s="13" t="inlineStr">
        <is>
          <t>BBS</t>
        </is>
      </c>
    </row>
    <row r="28">
      <c r="A28" s="13" t="n">
        <v>23</v>
      </c>
      <c r="B28" s="13" t="inlineStr">
        <is>
          <t>Beams</t>
        </is>
      </c>
      <c r="C28" s="13" t="inlineStr">
        <is>
          <t>STR-105</t>
        </is>
      </c>
      <c r="D28" s="13" t="inlineStr">
        <is>
          <t>Roof level beams</t>
        </is>
      </c>
      <c r="E28" s="19" t="inlineStr">
        <is>
          <t>1607</t>
        </is>
      </c>
      <c r="F28" s="19" t="n">
        <v>16</v>
      </c>
      <c r="G28" s="19" t="n">
        <v>1</v>
      </c>
      <c r="H28" s="19" t="n">
        <v>6</v>
      </c>
      <c r="I28" s="13">
        <f>G28*H28</f>
        <v>6.0</v>
      </c>
      <c r="J28" s="20">
        <f>7550/1000</f>
        <v>7.55</v>
      </c>
      <c r="K28" s="21">
        <f>I28*J28</f>
        <v>45.3</v>
      </c>
      <c r="L28" s="22">
        <f>F28^2/162</f>
        <v>1.5802469135802468</v>
      </c>
      <c r="M28" s="21">
        <f>K28*L28</f>
        <v>71.58518518518518</v>
      </c>
      <c r="N28" s="22">
        <f>M28/1000</f>
        <v>0.07158518518518518</v>
      </c>
      <c r="O28" s="13" t="inlineStr">
        <is>
          <t>BBS</t>
        </is>
      </c>
    </row>
    <row r="29">
      <c r="A29" s="13" t="n">
        <v>24</v>
      </c>
      <c r="B29" s="13" t="inlineStr">
        <is>
          <t>Beams</t>
        </is>
      </c>
      <c r="C29" s="13" t="inlineStr">
        <is>
          <t>STR-105</t>
        </is>
      </c>
      <c r="D29" s="13" t="inlineStr">
        <is>
          <t>Roof level beams</t>
        </is>
      </c>
      <c r="E29" s="19" t="inlineStr">
        <is>
          <t>1608</t>
        </is>
      </c>
      <c r="F29" s="19" t="n">
        <v>16</v>
      </c>
      <c r="G29" s="19" t="n">
        <v>1</v>
      </c>
      <c r="H29" s="19" t="n">
        <v>4</v>
      </c>
      <c r="I29" s="13">
        <f>G29*H29</f>
        <v>4.0</v>
      </c>
      <c r="J29" s="20">
        <f>7100/1000</f>
        <v>7.1</v>
      </c>
      <c r="K29" s="21">
        <f>I29*J29</f>
        <v>28.4</v>
      </c>
      <c r="L29" s="22">
        <f>F29^2/162</f>
        <v>1.5802469135802468</v>
      </c>
      <c r="M29" s="21">
        <f>K29*L29</f>
        <v>44.87901234567901</v>
      </c>
      <c r="N29" s="22">
        <f>M29/1000</f>
        <v>0.04487901234567901</v>
      </c>
      <c r="O29" s="13" t="inlineStr">
        <is>
          <t>BBS</t>
        </is>
      </c>
    </row>
    <row r="30">
      <c r="A30" s="13" t="n">
        <v>25</v>
      </c>
      <c r="B30" s="13" t="inlineStr">
        <is>
          <t>Beams</t>
        </is>
      </c>
      <c r="C30" s="13" t="inlineStr">
        <is>
          <t>STR-105</t>
        </is>
      </c>
      <c r="D30" s="13" t="inlineStr">
        <is>
          <t>Roof level beams</t>
        </is>
      </c>
      <c r="E30" s="19" t="inlineStr">
        <is>
          <t>1609</t>
        </is>
      </c>
      <c r="F30" s="19" t="n">
        <v>16</v>
      </c>
      <c r="G30" s="19" t="n">
        <v>1</v>
      </c>
      <c r="H30" s="19" t="n">
        <v>3</v>
      </c>
      <c r="I30" s="13">
        <f>G30*H30</f>
        <v>3.0</v>
      </c>
      <c r="J30" s="20">
        <f>4125/1000</f>
        <v>4.125</v>
      </c>
      <c r="K30" s="21">
        <f>I30*J30</f>
        <v>12.375</v>
      </c>
      <c r="L30" s="22">
        <f>F30^2/162</f>
        <v>1.5802469135802468</v>
      </c>
      <c r="M30" s="21">
        <f>K30*L30</f>
        <v>19.555555555555554</v>
      </c>
      <c r="N30" s="22">
        <f>M30/1000</f>
        <v>0.019555555555555555</v>
      </c>
      <c r="O30" s="13" t="inlineStr">
        <is>
          <t>BBS</t>
        </is>
      </c>
    </row>
    <row r="31">
      <c r="A31" s="13" t="n">
        <v>26</v>
      </c>
      <c r="B31" s="13" t="inlineStr">
        <is>
          <t>Beams</t>
        </is>
      </c>
      <c r="C31" s="13" t="inlineStr">
        <is>
          <t>STR-105</t>
        </is>
      </c>
      <c r="D31" s="13" t="inlineStr">
        <is>
          <t>Roof level beams</t>
        </is>
      </c>
      <c r="E31" s="19" t="inlineStr">
        <is>
          <t>1610</t>
        </is>
      </c>
      <c r="F31" s="19" t="n">
        <v>16</v>
      </c>
      <c r="G31" s="19" t="n">
        <v>1</v>
      </c>
      <c r="H31" s="19" t="n">
        <v>3</v>
      </c>
      <c r="I31" s="13">
        <f>G31*H31</f>
        <v>3.0</v>
      </c>
      <c r="J31" s="20">
        <f>6650/1000</f>
        <v>6.65</v>
      </c>
      <c r="K31" s="21">
        <f>I31*J31</f>
        <v>19.950000000000003</v>
      </c>
      <c r="L31" s="22">
        <f>F31^2/162</f>
        <v>1.5802469135802468</v>
      </c>
      <c r="M31" s="21">
        <f>K31*L31</f>
        <v>31.52592592592593</v>
      </c>
      <c r="N31" s="22">
        <f>M31/1000</f>
        <v>0.03152592592592593</v>
      </c>
      <c r="O31" s="13" t="inlineStr">
        <is>
          <t>BBS</t>
        </is>
      </c>
    </row>
    <row r="32">
      <c r="A32" s="13" t="n">
        <v>27</v>
      </c>
      <c r="B32" s="13" t="inlineStr">
        <is>
          <t>Beams</t>
        </is>
      </c>
      <c r="C32" s="13" t="inlineStr">
        <is>
          <t>STR-105</t>
        </is>
      </c>
      <c r="D32" s="13" t="inlineStr">
        <is>
          <t>Roof level beams</t>
        </is>
      </c>
      <c r="E32" s="19" t="inlineStr">
        <is>
          <t>1611</t>
        </is>
      </c>
      <c r="F32" s="19" t="n">
        <v>16</v>
      </c>
      <c r="G32" s="19" t="n">
        <v>1</v>
      </c>
      <c r="H32" s="19" t="n">
        <v>3</v>
      </c>
      <c r="I32" s="13">
        <f>G32*H32</f>
        <v>3.0</v>
      </c>
      <c r="J32" s="20">
        <f>5825/1000</f>
        <v>5.825</v>
      </c>
      <c r="K32" s="21">
        <f>I32*J32</f>
        <v>17.475</v>
      </c>
      <c r="L32" s="22">
        <f>F32^2/162</f>
        <v>1.5802469135802468</v>
      </c>
      <c r="M32" s="21">
        <f>K32*L32</f>
        <v>27.614814814814814</v>
      </c>
      <c r="N32" s="22">
        <f>M32/1000</f>
        <v>0.027614814814814814</v>
      </c>
      <c r="O32" s="13" t="inlineStr">
        <is>
          <t>BBS</t>
        </is>
      </c>
    </row>
    <row r="33">
      <c r="A33" s="13" t="n">
        <v>28</v>
      </c>
      <c r="B33" s="13" t="inlineStr">
        <is>
          <t>Beams</t>
        </is>
      </c>
      <c r="C33" s="13" t="inlineStr">
        <is>
          <t>STR-105</t>
        </is>
      </c>
      <c r="D33" s="13" t="inlineStr">
        <is>
          <t>Roof level beams</t>
        </is>
      </c>
      <c r="E33" s="19" t="inlineStr">
        <is>
          <t>1612</t>
        </is>
      </c>
      <c r="F33" s="19" t="n">
        <v>16</v>
      </c>
      <c r="G33" s="19" t="n">
        <v>1</v>
      </c>
      <c r="H33" s="19" t="n">
        <v>3</v>
      </c>
      <c r="I33" s="13">
        <f>G33*H33</f>
        <v>3.0</v>
      </c>
      <c r="J33" s="20">
        <f>7875/1000</f>
        <v>7.875</v>
      </c>
      <c r="K33" s="21">
        <f>I33*J33</f>
        <v>23.625</v>
      </c>
      <c r="L33" s="22">
        <f>F33^2/162</f>
        <v>1.5802469135802468</v>
      </c>
      <c r="M33" s="21">
        <f>K33*L33</f>
        <v>37.33333333333333</v>
      </c>
      <c r="N33" s="22">
        <f>M33/1000</f>
        <v>0.03733333333333333</v>
      </c>
      <c r="O33" s="13" t="inlineStr">
        <is>
          <t>BBS</t>
        </is>
      </c>
    </row>
    <row r="34">
      <c r="A34" s="13" t="n">
        <v>29</v>
      </c>
      <c r="B34" s="13" t="inlineStr">
        <is>
          <t>Beams</t>
        </is>
      </c>
      <c r="C34" s="13" t="inlineStr">
        <is>
          <t>STR-105</t>
        </is>
      </c>
      <c r="D34" s="13" t="inlineStr">
        <is>
          <t>Roof level beams</t>
        </is>
      </c>
      <c r="E34" s="19" t="inlineStr">
        <is>
          <t>1613</t>
        </is>
      </c>
      <c r="F34" s="19" t="n">
        <v>16</v>
      </c>
      <c r="G34" s="19" t="n">
        <v>1</v>
      </c>
      <c r="H34" s="19" t="n">
        <v>3</v>
      </c>
      <c r="I34" s="13">
        <f>G34*H34</f>
        <v>3.0</v>
      </c>
      <c r="J34" s="20">
        <f>6425/1000</f>
        <v>6.425</v>
      </c>
      <c r="K34" s="21">
        <f>I34*J34</f>
        <v>19.275</v>
      </c>
      <c r="L34" s="22">
        <f>F34^2/162</f>
        <v>1.5802469135802468</v>
      </c>
      <c r="M34" s="21">
        <f>K34*L34</f>
        <v>30.459259259259255</v>
      </c>
      <c r="N34" s="22">
        <f>M34/1000</f>
        <v>0.030459259259259255</v>
      </c>
      <c r="O34" s="13" t="inlineStr">
        <is>
          <t>BBS</t>
        </is>
      </c>
    </row>
    <row r="35">
      <c r="A35" s="13" t="n">
        <v>30</v>
      </c>
      <c r="B35" s="13" t="inlineStr">
        <is>
          <t>Beams</t>
        </is>
      </c>
      <c r="C35" s="13" t="inlineStr">
        <is>
          <t>STR-105</t>
        </is>
      </c>
      <c r="D35" s="13" t="inlineStr">
        <is>
          <t>Roof level beams</t>
        </is>
      </c>
      <c r="E35" s="19" t="inlineStr">
        <is>
          <t>1614</t>
        </is>
      </c>
      <c r="F35" s="19" t="n">
        <v>16</v>
      </c>
      <c r="G35" s="19" t="n">
        <v>1</v>
      </c>
      <c r="H35" s="19" t="n">
        <v>3</v>
      </c>
      <c r="I35" s="13">
        <f>G35*H35</f>
        <v>3.0</v>
      </c>
      <c r="J35" s="20">
        <f>3725/1000</f>
        <v>3.725</v>
      </c>
      <c r="K35" s="21">
        <f>I35*J35</f>
        <v>11.175</v>
      </c>
      <c r="L35" s="22">
        <f>F35^2/162</f>
        <v>1.5802469135802468</v>
      </c>
      <c r="M35" s="21">
        <f>K35*L35</f>
        <v>17.659259259259258</v>
      </c>
      <c r="N35" s="22">
        <f>M35/1000</f>
        <v>0.017659259259259256</v>
      </c>
      <c r="O35" s="13" t="inlineStr">
        <is>
          <t>BBS</t>
        </is>
      </c>
    </row>
    <row r="36">
      <c r="A36" s="13" t="n">
        <v>31</v>
      </c>
      <c r="B36" s="13" t="inlineStr">
        <is>
          <t>Beams</t>
        </is>
      </c>
      <c r="C36" s="13" t="inlineStr">
        <is>
          <t>STR-105</t>
        </is>
      </c>
      <c r="D36" s="13" t="inlineStr">
        <is>
          <t>Roof level beams</t>
        </is>
      </c>
      <c r="E36" s="19" t="inlineStr">
        <is>
          <t>1615</t>
        </is>
      </c>
      <c r="F36" s="19" t="n">
        <v>16</v>
      </c>
      <c r="G36" s="19" t="n">
        <v>1</v>
      </c>
      <c r="H36" s="19" t="n">
        <v>2</v>
      </c>
      <c r="I36" s="13">
        <f>G36*H36</f>
        <v>2.0</v>
      </c>
      <c r="J36" s="20">
        <f>6650/1000</f>
        <v>6.65</v>
      </c>
      <c r="K36" s="21">
        <f>I36*J36</f>
        <v>13.3</v>
      </c>
      <c r="L36" s="22">
        <f>F36^2/162</f>
        <v>1.5802469135802468</v>
      </c>
      <c r="M36" s="21">
        <f>K36*L36</f>
        <v>21.017283950617283</v>
      </c>
      <c r="N36" s="22">
        <f>M36/1000</f>
        <v>0.021017283950617284</v>
      </c>
      <c r="O36" s="13" t="inlineStr">
        <is>
          <t>BBS</t>
        </is>
      </c>
    </row>
    <row r="37">
      <c r="A37" s="13" t="n">
        <v>32</v>
      </c>
      <c r="B37" s="13" t="inlineStr">
        <is>
          <t>Beams</t>
        </is>
      </c>
      <c r="C37" s="13" t="inlineStr">
        <is>
          <t>STR-105</t>
        </is>
      </c>
      <c r="D37" s="13" t="inlineStr">
        <is>
          <t>Roof level beams</t>
        </is>
      </c>
      <c r="E37" s="19" t="inlineStr">
        <is>
          <t>1616</t>
        </is>
      </c>
      <c r="F37" s="19" t="n">
        <v>16</v>
      </c>
      <c r="G37" s="19" t="n">
        <v>1</v>
      </c>
      <c r="H37" s="19" t="n">
        <v>2</v>
      </c>
      <c r="I37" s="13">
        <f>G37*H37</f>
        <v>2.0</v>
      </c>
      <c r="J37" s="20">
        <f>7525/1000</f>
        <v>7.525</v>
      </c>
      <c r="K37" s="21">
        <f>I37*J37</f>
        <v>15.05</v>
      </c>
      <c r="L37" s="22">
        <f>F37^2/162</f>
        <v>1.5802469135802468</v>
      </c>
      <c r="M37" s="21">
        <f>K37*L37</f>
        <v>23.782716049382717</v>
      </c>
      <c r="N37" s="22">
        <f>M37/1000</f>
        <v>0.023782716049382716</v>
      </c>
      <c r="O37" s="13" t="inlineStr">
        <is>
          <t>BBS</t>
        </is>
      </c>
    </row>
    <row r="38">
      <c r="A38" s="13" t="n">
        <v>33</v>
      </c>
      <c r="B38" s="13" t="inlineStr">
        <is>
          <t>Beams</t>
        </is>
      </c>
      <c r="C38" s="13" t="inlineStr">
        <is>
          <t>STR-105</t>
        </is>
      </c>
      <c r="D38" s="13" t="inlineStr">
        <is>
          <t>Roof level beams</t>
        </is>
      </c>
      <c r="E38" s="19" t="inlineStr">
        <is>
          <t>1617</t>
        </is>
      </c>
      <c r="F38" s="19" t="n">
        <v>16</v>
      </c>
      <c r="G38" s="19" t="n">
        <v>1</v>
      </c>
      <c r="H38" s="19" t="n">
        <v>4</v>
      </c>
      <c r="I38" s="13">
        <f>G38*H38</f>
        <v>4.0</v>
      </c>
      <c r="J38" s="20">
        <f>7575/1000</f>
        <v>7.575</v>
      </c>
      <c r="K38" s="21">
        <f>I38*J38</f>
        <v>30.3</v>
      </c>
      <c r="L38" s="22">
        <f>F38^2/162</f>
        <v>1.5802469135802468</v>
      </c>
      <c r="M38" s="21">
        <f>K38*L38</f>
        <v>47.88148148148148</v>
      </c>
      <c r="N38" s="22">
        <f>M38/1000</f>
        <v>0.047881481481481476</v>
      </c>
      <c r="O38" s="13" t="inlineStr">
        <is>
          <t>BBS</t>
        </is>
      </c>
    </row>
    <row r="39">
      <c r="A39" s="13" t="n">
        <v>34</v>
      </c>
      <c r="B39" s="13" t="inlineStr">
        <is>
          <t>Beams</t>
        </is>
      </c>
      <c r="C39" s="13" t="inlineStr">
        <is>
          <t>STR-105</t>
        </is>
      </c>
      <c r="D39" s="13" t="inlineStr">
        <is>
          <t>Roof level beams</t>
        </is>
      </c>
      <c r="E39" s="19" t="inlineStr">
        <is>
          <t>1618</t>
        </is>
      </c>
      <c r="F39" s="19" t="n">
        <v>16</v>
      </c>
      <c r="G39" s="19" t="n">
        <v>1</v>
      </c>
      <c r="H39" s="19" t="n">
        <v>4</v>
      </c>
      <c r="I39" s="13">
        <f>G39*H39</f>
        <v>4.0</v>
      </c>
      <c r="J39" s="20">
        <f>6875/1000</f>
        <v>6.875</v>
      </c>
      <c r="K39" s="21">
        <f>I39*J39</f>
        <v>27.5</v>
      </c>
      <c r="L39" s="22">
        <f>F39^2/162</f>
        <v>1.5802469135802468</v>
      </c>
      <c r="M39" s="21">
        <f>K39*L39</f>
        <v>43.456790123456784</v>
      </c>
      <c r="N39" s="22">
        <f>M39/1000</f>
        <v>0.04345679012345678</v>
      </c>
      <c r="O39" s="13" t="inlineStr">
        <is>
          <t>BBS</t>
        </is>
      </c>
    </row>
    <row r="40">
      <c r="A40" s="13" t="n">
        <v>35</v>
      </c>
      <c r="B40" s="13" t="inlineStr">
        <is>
          <t>Beams</t>
        </is>
      </c>
      <c r="C40" s="13" t="inlineStr">
        <is>
          <t>STR-105</t>
        </is>
      </c>
      <c r="D40" s="13" t="inlineStr">
        <is>
          <t>Roof level beams</t>
        </is>
      </c>
      <c r="E40" s="19" t="inlineStr">
        <is>
          <t>1619</t>
        </is>
      </c>
      <c r="F40" s="19" t="n">
        <v>16</v>
      </c>
      <c r="G40" s="19" t="n">
        <v>1</v>
      </c>
      <c r="H40" s="19" t="n">
        <v>2</v>
      </c>
      <c r="I40" s="13">
        <f>G40*H40</f>
        <v>2.0</v>
      </c>
      <c r="J40" s="20">
        <f>2050/1000</f>
        <v>2.05</v>
      </c>
      <c r="K40" s="21">
        <f>I40*J40</f>
        <v>4.1</v>
      </c>
      <c r="L40" s="22">
        <f>F40^2/162</f>
        <v>1.5802469135802468</v>
      </c>
      <c r="M40" s="21">
        <f>K40*L40</f>
        <v>6.479012345679012</v>
      </c>
      <c r="N40" s="22">
        <f>M40/1000</f>
        <v>0.006479012345679012</v>
      </c>
      <c r="O40" s="13" t="inlineStr">
        <is>
          <t>BBS</t>
        </is>
      </c>
    </row>
    <row r="41">
      <c r="A41" s="13" t="n">
        <v>36</v>
      </c>
      <c r="B41" s="13" t="inlineStr">
        <is>
          <t>Beams</t>
        </is>
      </c>
      <c r="C41" s="13" t="inlineStr">
        <is>
          <t>STR-105</t>
        </is>
      </c>
      <c r="D41" s="13" t="inlineStr">
        <is>
          <t>Roof level beams</t>
        </is>
      </c>
      <c r="E41" s="19" t="inlineStr">
        <is>
          <t>1620</t>
        </is>
      </c>
      <c r="F41" s="19" t="n">
        <v>16</v>
      </c>
      <c r="G41" s="19" t="n">
        <v>1</v>
      </c>
      <c r="H41" s="19" t="n">
        <v>2</v>
      </c>
      <c r="I41" s="13">
        <f>G41*H41</f>
        <v>2.0</v>
      </c>
      <c r="J41" s="20">
        <f>9650/1000</f>
        <v>9.65</v>
      </c>
      <c r="K41" s="21">
        <f>I41*J41</f>
        <v>19.3</v>
      </c>
      <c r="L41" s="22">
        <f>F41^2/162</f>
        <v>1.5802469135802468</v>
      </c>
      <c r="M41" s="21">
        <f>K41*L41</f>
        <v>30.498765432098764</v>
      </c>
      <c r="N41" s="22">
        <f>M41/1000</f>
        <v>0.030498765432098764</v>
      </c>
      <c r="O41" s="13" t="inlineStr">
        <is>
          <t>BBS</t>
        </is>
      </c>
    </row>
    <row r="42">
      <c r="A42" s="13" t="n">
        <v>37</v>
      </c>
      <c r="B42" s="13" t="inlineStr">
        <is>
          <t>Beams</t>
        </is>
      </c>
      <c r="C42" s="13" t="inlineStr">
        <is>
          <t>STR-105</t>
        </is>
      </c>
      <c r="D42" s="13" t="inlineStr">
        <is>
          <t>Roof level beams</t>
        </is>
      </c>
      <c r="E42" s="19" t="inlineStr">
        <is>
          <t>1621</t>
        </is>
      </c>
      <c r="F42" s="19" t="n">
        <v>16</v>
      </c>
      <c r="G42" s="19" t="n">
        <v>1</v>
      </c>
      <c r="H42" s="19" t="n">
        <v>2</v>
      </c>
      <c r="I42" s="13">
        <f>G42*H42</f>
        <v>2.0</v>
      </c>
      <c r="J42" s="20">
        <f>7525/1000</f>
        <v>7.525</v>
      </c>
      <c r="K42" s="21">
        <f>I42*J42</f>
        <v>15.05</v>
      </c>
      <c r="L42" s="22">
        <f>F42^2/162</f>
        <v>1.5802469135802468</v>
      </c>
      <c r="M42" s="21">
        <f>K42*L42</f>
        <v>23.782716049382717</v>
      </c>
      <c r="N42" s="22">
        <f>M42/1000</f>
        <v>0.023782716049382716</v>
      </c>
      <c r="O42" s="13" t="inlineStr">
        <is>
          <t>BBS</t>
        </is>
      </c>
    </row>
    <row r="43">
      <c r="A43" s="13" t="n">
        <v>38</v>
      </c>
      <c r="B43" s="13" t="inlineStr">
        <is>
          <t>Beams</t>
        </is>
      </c>
      <c r="C43" s="13" t="inlineStr">
        <is>
          <t>STR-105</t>
        </is>
      </c>
      <c r="D43" s="13" t="inlineStr">
        <is>
          <t>Roof level beams</t>
        </is>
      </c>
      <c r="E43" s="19" t="inlineStr">
        <is>
          <t>1622</t>
        </is>
      </c>
      <c r="F43" s="19" t="n">
        <v>16</v>
      </c>
      <c r="G43" s="19" t="n">
        <v>1</v>
      </c>
      <c r="H43" s="19" t="n">
        <v>3</v>
      </c>
      <c r="I43" s="13">
        <f>G43*H43</f>
        <v>3.0</v>
      </c>
      <c r="J43" s="20">
        <f>7675/1000</f>
        <v>7.675</v>
      </c>
      <c r="K43" s="21">
        <f>I43*J43</f>
        <v>23.025</v>
      </c>
      <c r="L43" s="22">
        <f>F43^2/162</f>
        <v>1.5802469135802468</v>
      </c>
      <c r="M43" s="21">
        <f>K43*L43</f>
        <v>36.38518518518518</v>
      </c>
      <c r="N43" s="22">
        <f>M43/1000</f>
        <v>0.03638518518518518</v>
      </c>
      <c r="O43" s="13" t="inlineStr">
        <is>
          <t>BBS</t>
        </is>
      </c>
    </row>
    <row r="44">
      <c r="A44" s="13" t="n">
        <v>39</v>
      </c>
      <c r="B44" s="13" t="inlineStr">
        <is>
          <t>Beams</t>
        </is>
      </c>
      <c r="C44" s="13" t="inlineStr">
        <is>
          <t>STR-105</t>
        </is>
      </c>
      <c r="D44" s="13" t="inlineStr">
        <is>
          <t>Roof level beams</t>
        </is>
      </c>
      <c r="E44" s="19" t="inlineStr">
        <is>
          <t>1623</t>
        </is>
      </c>
      <c r="F44" s="19" t="n">
        <v>16</v>
      </c>
      <c r="G44" s="19" t="n">
        <v>1</v>
      </c>
      <c r="H44" s="19" t="n">
        <v>2</v>
      </c>
      <c r="I44" s="13">
        <f>G44*H44</f>
        <v>2.0</v>
      </c>
      <c r="J44" s="20">
        <f>7625/1000</f>
        <v>7.625</v>
      </c>
      <c r="K44" s="21">
        <f>I44*J44</f>
        <v>15.25</v>
      </c>
      <c r="L44" s="22">
        <f>F44^2/162</f>
        <v>1.5802469135802468</v>
      </c>
      <c r="M44" s="21">
        <f>K44*L44</f>
        <v>24.098765432098766</v>
      </c>
      <c r="N44" s="22">
        <f>M44/1000</f>
        <v>0.024098765432098764</v>
      </c>
      <c r="O44" s="13" t="inlineStr">
        <is>
          <t>BBS</t>
        </is>
      </c>
    </row>
    <row r="45">
      <c r="A45" s="13" t="n">
        <v>40</v>
      </c>
      <c r="B45" s="13" t="inlineStr">
        <is>
          <t>Beams</t>
        </is>
      </c>
      <c r="C45" s="13" t="inlineStr">
        <is>
          <t>STR-105</t>
        </is>
      </c>
      <c r="D45" s="13" t="inlineStr">
        <is>
          <t>Roof level beams</t>
        </is>
      </c>
      <c r="E45" s="19" t="inlineStr">
        <is>
          <t>1624</t>
        </is>
      </c>
      <c r="F45" s="19" t="n">
        <v>16</v>
      </c>
      <c r="G45" s="19" t="n">
        <v>1</v>
      </c>
      <c r="H45" s="19" t="n">
        <v>7</v>
      </c>
      <c r="I45" s="13">
        <f>G45*H45</f>
        <v>7.0</v>
      </c>
      <c r="J45" s="20">
        <f>4625/1000</f>
        <v>4.625</v>
      </c>
      <c r="K45" s="21">
        <f>I45*J45</f>
        <v>32.375</v>
      </c>
      <c r="L45" s="22">
        <f>F45^2/162</f>
        <v>1.5802469135802468</v>
      </c>
      <c r="M45" s="21">
        <f>K45*L45</f>
        <v>51.160493827160494</v>
      </c>
      <c r="N45" s="22">
        <f>M45/1000</f>
        <v>0.051160493827160494</v>
      </c>
      <c r="O45" s="13" t="inlineStr">
        <is>
          <t>BBS</t>
        </is>
      </c>
    </row>
    <row r="46">
      <c r="A46" s="13" t="n">
        <v>41</v>
      </c>
      <c r="B46" s="13" t="inlineStr">
        <is>
          <t>Beams</t>
        </is>
      </c>
      <c r="C46" s="13" t="inlineStr">
        <is>
          <t>STR-105</t>
        </is>
      </c>
      <c r="D46" s="13" t="inlineStr">
        <is>
          <t>Roof level beams</t>
        </is>
      </c>
      <c r="E46" s="19" t="inlineStr">
        <is>
          <t>1625</t>
        </is>
      </c>
      <c r="F46" s="19" t="n">
        <v>16</v>
      </c>
      <c r="G46" s="19" t="n">
        <v>1</v>
      </c>
      <c r="H46" s="19" t="n">
        <v>4</v>
      </c>
      <c r="I46" s="13">
        <f>G46*H46</f>
        <v>4.0</v>
      </c>
      <c r="J46" s="20">
        <f>8925/1000</f>
        <v>8.925</v>
      </c>
      <c r="K46" s="21">
        <f>I46*J46</f>
        <v>35.7</v>
      </c>
      <c r="L46" s="22">
        <f>F46^2/162</f>
        <v>1.5802469135802468</v>
      </c>
      <c r="M46" s="21">
        <f>K46*L46</f>
        <v>56.41481481481482</v>
      </c>
      <c r="N46" s="22">
        <f>M46/1000</f>
        <v>0.05641481481481482</v>
      </c>
      <c r="O46" s="13" t="inlineStr">
        <is>
          <t>BBS</t>
        </is>
      </c>
    </row>
    <row r="47">
      <c r="A47" s="13" t="n">
        <v>42</v>
      </c>
      <c r="B47" s="13" t="inlineStr">
        <is>
          <t>Beams</t>
        </is>
      </c>
      <c r="C47" s="13" t="inlineStr">
        <is>
          <t>STR-105</t>
        </is>
      </c>
      <c r="D47" s="13" t="inlineStr">
        <is>
          <t>Roof level beams</t>
        </is>
      </c>
      <c r="E47" s="19" t="inlineStr">
        <is>
          <t>1626</t>
        </is>
      </c>
      <c r="F47" s="19" t="n">
        <v>16</v>
      </c>
      <c r="G47" s="19" t="n">
        <v>1</v>
      </c>
      <c r="H47" s="19" t="n">
        <v>4</v>
      </c>
      <c r="I47" s="13">
        <f>G47*H47</f>
        <v>4.0</v>
      </c>
      <c r="J47" s="20">
        <f>8475/1000</f>
        <v>8.475</v>
      </c>
      <c r="K47" s="21">
        <f>I47*J47</f>
        <v>33.9</v>
      </c>
      <c r="L47" s="22">
        <f>F47^2/162</f>
        <v>1.5802469135802468</v>
      </c>
      <c r="M47" s="21">
        <f>K47*L47</f>
        <v>53.57037037037036</v>
      </c>
      <c r="N47" s="22">
        <f>M47/1000</f>
        <v>0.053570370370370365</v>
      </c>
      <c r="O47" s="13" t="inlineStr">
        <is>
          <t>BBS</t>
        </is>
      </c>
    </row>
    <row r="48">
      <c r="A48" s="13" t="n">
        <v>43</v>
      </c>
      <c r="B48" s="13" t="inlineStr">
        <is>
          <t>Beams</t>
        </is>
      </c>
      <c r="C48" s="13" t="inlineStr">
        <is>
          <t>STR-105</t>
        </is>
      </c>
      <c r="D48" s="13" t="inlineStr">
        <is>
          <t>Roof level beams</t>
        </is>
      </c>
      <c r="E48" s="19" t="inlineStr">
        <is>
          <t>1627</t>
        </is>
      </c>
      <c r="F48" s="19" t="n">
        <v>16</v>
      </c>
      <c r="G48" s="19" t="n">
        <v>1</v>
      </c>
      <c r="H48" s="19" t="n">
        <v>5</v>
      </c>
      <c r="I48" s="13">
        <f>G48*H48</f>
        <v>5.0</v>
      </c>
      <c r="J48" s="20">
        <f>4175/1000</f>
        <v>4.175</v>
      </c>
      <c r="K48" s="21">
        <f>I48*J48</f>
        <v>20.875</v>
      </c>
      <c r="L48" s="22">
        <f>F48^2/162</f>
        <v>1.5802469135802468</v>
      </c>
      <c r="M48" s="21">
        <f>K48*L48</f>
        <v>32.98765432098765</v>
      </c>
      <c r="N48" s="22">
        <f>M48/1000</f>
        <v>0.03298765432098765</v>
      </c>
      <c r="O48" s="13" t="inlineStr">
        <is>
          <t>BBS</t>
        </is>
      </c>
    </row>
    <row r="49">
      <c r="A49" s="13" t="n">
        <v>44</v>
      </c>
      <c r="B49" s="13" t="inlineStr">
        <is>
          <t>Beams</t>
        </is>
      </c>
      <c r="C49" s="13" t="inlineStr">
        <is>
          <t>STR-105</t>
        </is>
      </c>
      <c r="D49" s="13" t="inlineStr">
        <is>
          <t>Roof level beams</t>
        </is>
      </c>
      <c r="E49" s="19" t="inlineStr">
        <is>
          <t>2001</t>
        </is>
      </c>
      <c r="F49" s="19" t="n">
        <v>20</v>
      </c>
      <c r="G49" s="19" t="n">
        <v>1</v>
      </c>
      <c r="H49" s="19" t="n">
        <v>3</v>
      </c>
      <c r="I49" s="13">
        <f>G49*H49</f>
        <v>3.0</v>
      </c>
      <c r="J49" s="20">
        <f>9100/1000</f>
        <v>9.1</v>
      </c>
      <c r="K49" s="21">
        <f>I49*J49</f>
        <v>27.299999999999997</v>
      </c>
      <c r="L49" s="22">
        <f>F49^2/162</f>
        <v>2.4691358024691357</v>
      </c>
      <c r="M49" s="21">
        <f>K49*L49</f>
        <v>67.40740740740739</v>
      </c>
      <c r="N49" s="22">
        <f>M49/1000</f>
        <v>0.06740740740740739</v>
      </c>
      <c r="O49" s="13" t="inlineStr">
        <is>
          <t>BBS</t>
        </is>
      </c>
    </row>
    <row r="50">
      <c r="A50" s="13" t="n">
        <v>45</v>
      </c>
      <c r="B50" s="13" t="inlineStr">
        <is>
          <t>Beams</t>
        </is>
      </c>
      <c r="C50" s="13" t="inlineStr">
        <is>
          <t>STR-105</t>
        </is>
      </c>
      <c r="D50" s="13" t="inlineStr">
        <is>
          <t>Roof level beams</t>
        </is>
      </c>
      <c r="E50" s="19" t="inlineStr">
        <is>
          <t>2002</t>
        </is>
      </c>
      <c r="F50" s="19" t="n">
        <v>20</v>
      </c>
      <c r="G50" s="19" t="n">
        <v>1</v>
      </c>
      <c r="H50" s="19" t="n">
        <v>3</v>
      </c>
      <c r="I50" s="13">
        <f>G50*H50</f>
        <v>3.0</v>
      </c>
      <c r="J50" s="20">
        <f>8325/1000</f>
        <v>8.325</v>
      </c>
      <c r="K50" s="21">
        <f>I50*J50</f>
        <v>24.974999999999998</v>
      </c>
      <c r="L50" s="22">
        <f>F50^2/162</f>
        <v>2.4691358024691357</v>
      </c>
      <c r="M50" s="21">
        <f>K50*L50</f>
        <v>61.66666666666666</v>
      </c>
      <c r="N50" s="22">
        <f>M50/1000</f>
        <v>0.061666666666666654</v>
      </c>
      <c r="O50" s="13" t="inlineStr">
        <is>
          <t>BBS</t>
        </is>
      </c>
    </row>
    <row r="51">
      <c r="A51" s="13" t="n">
        <v>46</v>
      </c>
      <c r="B51" s="13" t="inlineStr">
        <is>
          <t>Beams</t>
        </is>
      </c>
      <c r="C51" s="13" t="inlineStr">
        <is>
          <t>STR-105</t>
        </is>
      </c>
      <c r="D51" s="13" t="inlineStr">
        <is>
          <t>Roof level beams</t>
        </is>
      </c>
      <c r="E51" s="19" t="inlineStr">
        <is>
          <t>2003</t>
        </is>
      </c>
      <c r="F51" s="19" t="n">
        <v>20</v>
      </c>
      <c r="G51" s="19" t="n">
        <v>1</v>
      </c>
      <c r="H51" s="19" t="n">
        <v>6</v>
      </c>
      <c r="I51" s="13">
        <f>G51*H51</f>
        <v>6.0</v>
      </c>
      <c r="J51" s="20">
        <f>7500/1000</f>
        <v>7.5</v>
      </c>
      <c r="K51" s="21">
        <f>I51*J51</f>
        <v>45.0</v>
      </c>
      <c r="L51" s="22">
        <f>F51^2/162</f>
        <v>2.4691358024691357</v>
      </c>
      <c r="M51" s="21">
        <f>K51*L51</f>
        <v>111.1111111111111</v>
      </c>
      <c r="N51" s="22">
        <f>M51/1000</f>
        <v>0.1111111111111111</v>
      </c>
      <c r="O51" s="13" t="inlineStr">
        <is>
          <t>BBS</t>
        </is>
      </c>
    </row>
    <row r="52">
      <c r="A52" s="13" t="n">
        <v>47</v>
      </c>
      <c r="B52" s="13" t="inlineStr">
        <is>
          <t>Beams</t>
        </is>
      </c>
      <c r="C52" s="13" t="inlineStr">
        <is>
          <t>STR-105</t>
        </is>
      </c>
      <c r="D52" s="13" t="inlineStr">
        <is>
          <t>Roof level beams</t>
        </is>
      </c>
      <c r="E52" s="19" t="inlineStr">
        <is>
          <t>2004</t>
        </is>
      </c>
      <c r="F52" s="19" t="n">
        <v>20</v>
      </c>
      <c r="G52" s="19" t="n">
        <v>1</v>
      </c>
      <c r="H52" s="19" t="n">
        <v>3</v>
      </c>
      <c r="I52" s="13">
        <f>G52*H52</f>
        <v>3.0</v>
      </c>
      <c r="J52" s="20">
        <f>4600/1000</f>
        <v>4.6</v>
      </c>
      <c r="K52" s="21">
        <f>I52*J52</f>
        <v>13.799999999999999</v>
      </c>
      <c r="L52" s="22">
        <f>F52^2/162</f>
        <v>2.4691358024691357</v>
      </c>
      <c r="M52" s="21">
        <f>K52*L52</f>
        <v>34.07407407407407</v>
      </c>
      <c r="N52" s="22">
        <f>M52/1000</f>
        <v>0.03407407407407407</v>
      </c>
      <c r="O52" s="13" t="inlineStr">
        <is>
          <t>BBS</t>
        </is>
      </c>
    </row>
    <row r="53">
      <c r="A53" s="13" t="n">
        <v>48</v>
      </c>
      <c r="B53" s="13" t="inlineStr">
        <is>
          <t>Beams</t>
        </is>
      </c>
      <c r="C53" s="13" t="inlineStr">
        <is>
          <t>STR-105</t>
        </is>
      </c>
      <c r="D53" s="13" t="inlineStr">
        <is>
          <t>Roof level beams</t>
        </is>
      </c>
      <c r="E53" s="19" t="inlineStr">
        <is>
          <t>2005</t>
        </is>
      </c>
      <c r="F53" s="19" t="n">
        <v>20</v>
      </c>
      <c r="G53" s="19" t="n">
        <v>1</v>
      </c>
      <c r="H53" s="19" t="n">
        <v>3</v>
      </c>
      <c r="I53" s="13">
        <f>G53*H53</f>
        <v>3.0</v>
      </c>
      <c r="J53" s="20">
        <f>6650/1000</f>
        <v>6.65</v>
      </c>
      <c r="K53" s="21">
        <f>I53*J53</f>
        <v>19.950000000000003</v>
      </c>
      <c r="L53" s="22">
        <f>F53^2/162</f>
        <v>2.4691358024691357</v>
      </c>
      <c r="M53" s="21">
        <f>K53*L53</f>
        <v>49.25925925925927</v>
      </c>
      <c r="N53" s="22">
        <f>M53/1000</f>
        <v>0.049259259259259267</v>
      </c>
      <c r="O53" s="13" t="inlineStr">
        <is>
          <t>BBS</t>
        </is>
      </c>
    </row>
    <row r="54">
      <c r="A54" s="13" t="n">
        <v>49</v>
      </c>
      <c r="B54" s="13" t="inlineStr">
        <is>
          <t>Beams</t>
        </is>
      </c>
      <c r="C54" s="13" t="inlineStr">
        <is>
          <t>STR-105</t>
        </is>
      </c>
      <c r="D54" s="13" t="inlineStr">
        <is>
          <t>Roof level beams</t>
        </is>
      </c>
      <c r="E54" s="19" t="inlineStr">
        <is>
          <t>2006</t>
        </is>
      </c>
      <c r="F54" s="19" t="n">
        <v>20</v>
      </c>
      <c r="G54" s="19" t="n">
        <v>1</v>
      </c>
      <c r="H54" s="19" t="n">
        <v>3</v>
      </c>
      <c r="I54" s="13">
        <f>G54*H54</f>
        <v>3.0</v>
      </c>
      <c r="J54" s="20">
        <f>5925/1000</f>
        <v>5.925</v>
      </c>
      <c r="K54" s="21">
        <f>I54*J54</f>
        <v>17.775</v>
      </c>
      <c r="L54" s="22">
        <f>F54^2/162</f>
        <v>2.4691358024691357</v>
      </c>
      <c r="M54" s="21">
        <f>K54*L54</f>
        <v>43.888888888888886</v>
      </c>
      <c r="N54" s="22">
        <f>M54/1000</f>
        <v>0.04388888888888889</v>
      </c>
      <c r="O54" s="13" t="inlineStr">
        <is>
          <t>BBS</t>
        </is>
      </c>
    </row>
    <row r="55">
      <c r="A55" s="13" t="n">
        <v>50</v>
      </c>
      <c r="B55" s="13" t="inlineStr">
        <is>
          <t>Beams</t>
        </is>
      </c>
      <c r="C55" s="13" t="inlineStr">
        <is>
          <t>STR-105</t>
        </is>
      </c>
      <c r="D55" s="13" t="inlineStr">
        <is>
          <t>Roof level beams</t>
        </is>
      </c>
      <c r="E55" s="19" t="inlineStr">
        <is>
          <t>2007</t>
        </is>
      </c>
      <c r="F55" s="19" t="n">
        <v>20</v>
      </c>
      <c r="G55" s="19" t="n">
        <v>1</v>
      </c>
      <c r="H55" s="19" t="n">
        <v>4</v>
      </c>
      <c r="I55" s="13">
        <f>G55*H55</f>
        <v>4.0</v>
      </c>
      <c r="J55" s="20">
        <f>8350/1000</f>
        <v>8.35</v>
      </c>
      <c r="K55" s="21">
        <f>I55*J55</f>
        <v>33.4</v>
      </c>
      <c r="L55" s="22">
        <f>F55^2/162</f>
        <v>2.4691358024691357</v>
      </c>
      <c r="M55" s="21">
        <f>K55*L55</f>
        <v>82.46913580246913</v>
      </c>
      <c r="N55" s="22">
        <f>M55/1000</f>
        <v>0.08246913580246913</v>
      </c>
      <c r="O55" s="13" t="inlineStr">
        <is>
          <t>BBS</t>
        </is>
      </c>
    </row>
    <row r="56">
      <c r="A56" s="13" t="n">
        <v>51</v>
      </c>
      <c r="B56" s="13" t="inlineStr">
        <is>
          <t>Beams</t>
        </is>
      </c>
      <c r="C56" s="13" t="inlineStr">
        <is>
          <t>STR-105</t>
        </is>
      </c>
      <c r="D56" s="13" t="inlineStr">
        <is>
          <t>Roof level beams</t>
        </is>
      </c>
      <c r="E56" s="19" t="inlineStr">
        <is>
          <t>2008</t>
        </is>
      </c>
      <c r="F56" s="19" t="n">
        <v>20</v>
      </c>
      <c r="G56" s="19" t="n">
        <v>1</v>
      </c>
      <c r="H56" s="19" t="n">
        <v>4</v>
      </c>
      <c r="I56" s="13">
        <f>G56*H56</f>
        <v>4.0</v>
      </c>
      <c r="J56" s="20">
        <f>8725/1000</f>
        <v>8.725</v>
      </c>
      <c r="K56" s="21">
        <f>I56*J56</f>
        <v>34.9</v>
      </c>
      <c r="L56" s="22">
        <f>F56^2/162</f>
        <v>2.4691358024691357</v>
      </c>
      <c r="M56" s="21">
        <f>K56*L56</f>
        <v>86.17283950617283</v>
      </c>
      <c r="N56" s="22">
        <f>M56/1000</f>
        <v>0.08617283950617284</v>
      </c>
      <c r="O56" s="13" t="inlineStr">
        <is>
          <t>BBS</t>
        </is>
      </c>
    </row>
    <row r="57">
      <c r="A57" s="13" t="n">
        <v>52</v>
      </c>
      <c r="B57" s="13" t="inlineStr">
        <is>
          <t>Beams</t>
        </is>
      </c>
      <c r="C57" s="13" t="inlineStr">
        <is>
          <t>STR-105</t>
        </is>
      </c>
      <c r="D57" s="13" t="inlineStr">
        <is>
          <t>Roof level beams</t>
        </is>
      </c>
      <c r="E57" s="19" t="inlineStr">
        <is>
          <t>2009</t>
        </is>
      </c>
      <c r="F57" s="19" t="n">
        <v>20</v>
      </c>
      <c r="G57" s="19" t="n">
        <v>1</v>
      </c>
      <c r="H57" s="19" t="n">
        <v>2</v>
      </c>
      <c r="I57" s="13">
        <f>G57*H57</f>
        <v>2.0</v>
      </c>
      <c r="J57" s="20">
        <f>4325/1000</f>
        <v>4.325</v>
      </c>
      <c r="K57" s="21">
        <f>I57*J57</f>
        <v>8.65</v>
      </c>
      <c r="L57" s="22">
        <f>F57^2/162</f>
        <v>2.4691358024691357</v>
      </c>
      <c r="M57" s="21">
        <f>K57*L57</f>
        <v>21.358024691358025</v>
      </c>
      <c r="N57" s="22">
        <f>M57/1000</f>
        <v>0.021358024691358026</v>
      </c>
      <c r="O57" s="13" t="inlineStr">
        <is>
          <t>BBS</t>
        </is>
      </c>
    </row>
    <row r="58">
      <c r="A58" s="13" t="n">
        <v>53</v>
      </c>
      <c r="B58" s="13" t="inlineStr">
        <is>
          <t>Beams</t>
        </is>
      </c>
      <c r="C58" s="13" t="inlineStr">
        <is>
          <t>STR-105</t>
        </is>
      </c>
      <c r="D58" s="13" t="inlineStr">
        <is>
          <t>Roof level beams</t>
        </is>
      </c>
      <c r="E58" s="19" t="inlineStr">
        <is>
          <t>2010</t>
        </is>
      </c>
      <c r="F58" s="19" t="n">
        <v>20</v>
      </c>
      <c r="G58" s="19" t="n">
        <v>1</v>
      </c>
      <c r="H58" s="19" t="n">
        <v>2</v>
      </c>
      <c r="I58" s="13">
        <f>G58*H58</f>
        <v>2.0</v>
      </c>
      <c r="J58" s="20">
        <f>4750/1000</f>
        <v>4.75</v>
      </c>
      <c r="K58" s="21">
        <f>I58*J58</f>
        <v>9.5</v>
      </c>
      <c r="L58" s="22">
        <f>F58^2/162</f>
        <v>2.4691358024691357</v>
      </c>
      <c r="M58" s="21">
        <f>K58*L58</f>
        <v>23.456790123456788</v>
      </c>
      <c r="N58" s="22">
        <f>M58/1000</f>
        <v>0.023456790123456788</v>
      </c>
      <c r="O58" s="13" t="inlineStr">
        <is>
          <t>BBS</t>
        </is>
      </c>
    </row>
    <row r="59">
      <c r="A59" s="13" t="n">
        <v>54</v>
      </c>
      <c r="B59" s="13" t="inlineStr">
        <is>
          <t>Beams</t>
        </is>
      </c>
      <c r="C59" s="13" t="inlineStr">
        <is>
          <t>STR-105</t>
        </is>
      </c>
      <c r="D59" s="13" t="inlineStr">
        <is>
          <t>Roof level beams</t>
        </is>
      </c>
      <c r="E59" s="19" t="inlineStr">
        <is>
          <t>2011</t>
        </is>
      </c>
      <c r="F59" s="19" t="n">
        <v>20</v>
      </c>
      <c r="G59" s="19" t="n">
        <v>1</v>
      </c>
      <c r="H59" s="19" t="n">
        <v>2</v>
      </c>
      <c r="I59" s="13">
        <f>G59*H59</f>
        <v>2.0</v>
      </c>
      <c r="J59" s="20">
        <f>6625/1000</f>
        <v>6.625</v>
      </c>
      <c r="K59" s="21">
        <f>I59*J59</f>
        <v>13.25</v>
      </c>
      <c r="L59" s="22">
        <f>F59^2/162</f>
        <v>2.4691358024691357</v>
      </c>
      <c r="M59" s="21">
        <f>K59*L59</f>
        <v>32.71604938271605</v>
      </c>
      <c r="N59" s="22">
        <f>M59/1000</f>
        <v>0.03271604938271605</v>
      </c>
      <c r="O59" s="13" t="inlineStr">
        <is>
          <t>BBS</t>
        </is>
      </c>
    </row>
    <row r="60">
      <c r="A60" s="13" t="n">
        <v>55</v>
      </c>
      <c r="B60" s="13" t="inlineStr">
        <is>
          <t>Beams</t>
        </is>
      </c>
      <c r="C60" s="13" t="inlineStr">
        <is>
          <t>STR-105</t>
        </is>
      </c>
      <c r="D60" s="13" t="inlineStr">
        <is>
          <t>Roof level beams</t>
        </is>
      </c>
      <c r="E60" s="19" t="inlineStr">
        <is>
          <t>2012</t>
        </is>
      </c>
      <c r="F60" s="19" t="n">
        <v>20</v>
      </c>
      <c r="G60" s="19" t="n">
        <v>1</v>
      </c>
      <c r="H60" s="19" t="n">
        <v>2</v>
      </c>
      <c r="I60" s="13">
        <f>G60*H60</f>
        <v>2.0</v>
      </c>
      <c r="J60" s="20">
        <f>6475/1000</f>
        <v>6.475</v>
      </c>
      <c r="K60" s="21">
        <f>I60*J60</f>
        <v>12.95</v>
      </c>
      <c r="L60" s="22">
        <f>F60^2/162</f>
        <v>2.4691358024691357</v>
      </c>
      <c r="M60" s="21">
        <f>K60*L60</f>
        <v>31.975308641975307</v>
      </c>
      <c r="N60" s="22">
        <f>M60/1000</f>
        <v>0.03197530864197531</v>
      </c>
      <c r="O60" s="13" t="inlineStr">
        <is>
          <t>BBS</t>
        </is>
      </c>
    </row>
    <row r="61">
      <c r="A61" s="13" t="n">
        <v>56</v>
      </c>
      <c r="B61" s="13" t="inlineStr">
        <is>
          <t>Beams</t>
        </is>
      </c>
      <c r="C61" s="13" t="inlineStr">
        <is>
          <t>STR-105</t>
        </is>
      </c>
      <c r="D61" s="13" t="inlineStr">
        <is>
          <t>Roof level beams</t>
        </is>
      </c>
      <c r="E61" s="19" t="inlineStr">
        <is>
          <t>2013</t>
        </is>
      </c>
      <c r="F61" s="19" t="n">
        <v>20</v>
      </c>
      <c r="G61" s="19" t="n">
        <v>1</v>
      </c>
      <c r="H61" s="19" t="n">
        <v>2</v>
      </c>
      <c r="I61" s="13">
        <f>G61*H61</f>
        <v>2.0</v>
      </c>
      <c r="J61" s="20">
        <f>8625/1000</f>
        <v>8.625</v>
      </c>
      <c r="K61" s="21">
        <f>I61*J61</f>
        <v>17.25</v>
      </c>
      <c r="L61" s="22">
        <f>F61^2/162</f>
        <v>2.4691358024691357</v>
      </c>
      <c r="M61" s="21">
        <f>K61*L61</f>
        <v>42.59259259259259</v>
      </c>
      <c r="N61" s="22">
        <f>M61/1000</f>
        <v>0.042592592592592585</v>
      </c>
      <c r="O61" s="13" t="inlineStr">
        <is>
          <t>BBS</t>
        </is>
      </c>
    </row>
    <row r="62">
      <c r="A62" s="13" t="n">
        <v>57</v>
      </c>
      <c r="B62" s="13" t="inlineStr">
        <is>
          <t>Beams</t>
        </is>
      </c>
      <c r="C62" s="13" t="inlineStr">
        <is>
          <t>STR-105</t>
        </is>
      </c>
      <c r="D62" s="13" t="inlineStr">
        <is>
          <t>Roof level beams</t>
        </is>
      </c>
      <c r="E62" s="19" t="inlineStr">
        <is>
          <t>2014</t>
        </is>
      </c>
      <c r="F62" s="19" t="n">
        <v>20</v>
      </c>
      <c r="G62" s="19" t="n">
        <v>1</v>
      </c>
      <c r="H62" s="19" t="n">
        <v>6</v>
      </c>
      <c r="I62" s="13">
        <f>G62*H62</f>
        <v>6.0</v>
      </c>
      <c r="J62" s="20">
        <f>2550/1000</f>
        <v>2.55</v>
      </c>
      <c r="K62" s="21">
        <f>I62*J62</f>
        <v>15.299999999999999</v>
      </c>
      <c r="L62" s="22">
        <f>F62^2/162</f>
        <v>2.4691358024691357</v>
      </c>
      <c r="M62" s="21">
        <f>K62*L62</f>
        <v>37.77777777777777</v>
      </c>
      <c r="N62" s="22">
        <f>M62/1000</f>
        <v>0.03777777777777777</v>
      </c>
      <c r="O62" s="13" t="inlineStr">
        <is>
          <t>BBS</t>
        </is>
      </c>
    </row>
    <row r="63">
      <c r="A63" s="13" t="n">
        <v>58</v>
      </c>
      <c r="B63" s="13" t="inlineStr">
        <is>
          <t>Beams</t>
        </is>
      </c>
      <c r="C63" s="13" t="inlineStr">
        <is>
          <t>STR-105</t>
        </is>
      </c>
      <c r="D63" s="13" t="inlineStr">
        <is>
          <t>Roof level beams</t>
        </is>
      </c>
      <c r="E63" s="19" t="inlineStr">
        <is>
          <t>2015</t>
        </is>
      </c>
      <c r="F63" s="19" t="n">
        <v>20</v>
      </c>
      <c r="G63" s="19" t="n">
        <v>1</v>
      </c>
      <c r="H63" s="19" t="n">
        <v>6</v>
      </c>
      <c r="I63" s="13">
        <f>G63*H63</f>
        <v>6.0</v>
      </c>
      <c r="J63" s="20">
        <f>10100/1000</f>
        <v>10.1</v>
      </c>
      <c r="K63" s="21">
        <f>I63*J63</f>
        <v>60.599999999999994</v>
      </c>
      <c r="L63" s="22">
        <f>F63^2/162</f>
        <v>2.4691358024691357</v>
      </c>
      <c r="M63" s="21">
        <f>K63*L63</f>
        <v>149.62962962962962</v>
      </c>
      <c r="N63" s="22">
        <f>M63/1000</f>
        <v>0.1496296296296296</v>
      </c>
      <c r="O63" s="13" t="inlineStr">
        <is>
          <t>BBS</t>
        </is>
      </c>
    </row>
    <row r="64">
      <c r="A64" s="13" t="n">
        <v>59</v>
      </c>
      <c r="B64" s="13" t="inlineStr">
        <is>
          <t>Beams</t>
        </is>
      </c>
      <c r="C64" s="13" t="inlineStr">
        <is>
          <t>STR-105</t>
        </is>
      </c>
      <c r="D64" s="13" t="inlineStr">
        <is>
          <t>Roof level beams</t>
        </is>
      </c>
      <c r="E64" s="19" t="inlineStr">
        <is>
          <t>2016</t>
        </is>
      </c>
      <c r="F64" s="19" t="n">
        <v>20</v>
      </c>
      <c r="G64" s="19" t="n">
        <v>1</v>
      </c>
      <c r="H64" s="19" t="n">
        <v>6</v>
      </c>
      <c r="I64" s="13">
        <f>G64*H64</f>
        <v>6.0</v>
      </c>
      <c r="J64" s="20">
        <f>4775/1000</f>
        <v>4.775</v>
      </c>
      <c r="K64" s="21">
        <f>I64*J64</f>
        <v>28.650000000000002</v>
      </c>
      <c r="L64" s="22">
        <f>F64^2/162</f>
        <v>2.4691358024691357</v>
      </c>
      <c r="M64" s="21">
        <f>K64*L64</f>
        <v>70.74074074074075</v>
      </c>
      <c r="N64" s="22">
        <f>M64/1000</f>
        <v>0.07074074074074074</v>
      </c>
      <c r="O64" s="13" t="inlineStr">
        <is>
          <t>BBS</t>
        </is>
      </c>
    </row>
    <row r="65">
      <c r="A65" s="13" t="n">
        <v>60</v>
      </c>
      <c r="B65" s="13" t="inlineStr">
        <is>
          <t>Beams</t>
        </is>
      </c>
      <c r="C65" s="13" t="inlineStr">
        <is>
          <t>STR-105</t>
        </is>
      </c>
      <c r="D65" s="13" t="inlineStr">
        <is>
          <t>Roof level beams</t>
        </is>
      </c>
      <c r="E65" s="19" t="inlineStr">
        <is>
          <t>2017</t>
        </is>
      </c>
      <c r="F65" s="19" t="n">
        <v>20</v>
      </c>
      <c r="G65" s="19" t="n">
        <v>1</v>
      </c>
      <c r="H65" s="19" t="n">
        <v>3</v>
      </c>
      <c r="I65" s="13">
        <f>G65*H65</f>
        <v>3.0</v>
      </c>
      <c r="J65" s="20">
        <f>8595/1000</f>
        <v>8.595</v>
      </c>
      <c r="K65" s="21">
        <f>I65*J65</f>
        <v>25.785000000000004</v>
      </c>
      <c r="L65" s="22">
        <f>F65^2/162</f>
        <v>2.4691358024691357</v>
      </c>
      <c r="M65" s="21">
        <f>K65*L65</f>
        <v>63.66666666666667</v>
      </c>
      <c r="N65" s="22">
        <f>M65/1000</f>
        <v>0.06366666666666668</v>
      </c>
      <c r="O65" s="13" t="inlineStr">
        <is>
          <t>BBS</t>
        </is>
      </c>
    </row>
    <row r="66">
      <c r="A66" s="13" t="n">
        <v>61</v>
      </c>
      <c r="B66" s="13" t="inlineStr">
        <is>
          <t>Beams</t>
        </is>
      </c>
      <c r="C66" s="13" t="inlineStr">
        <is>
          <t>STR-105</t>
        </is>
      </c>
      <c r="D66" s="13" t="inlineStr">
        <is>
          <t>Roof level beams</t>
        </is>
      </c>
      <c r="E66" s="19" t="inlineStr">
        <is>
          <t>2501</t>
        </is>
      </c>
      <c r="F66" s="19" t="n">
        <v>25</v>
      </c>
      <c r="G66" s="19" t="n">
        <v>1</v>
      </c>
      <c r="H66" s="19" t="n">
        <v>3</v>
      </c>
      <c r="I66" s="13">
        <f>G66*H66</f>
        <v>3.0</v>
      </c>
      <c r="J66" s="20">
        <f>10100/1000</f>
        <v>10.1</v>
      </c>
      <c r="K66" s="21">
        <f>I66*J66</f>
        <v>30.299999999999997</v>
      </c>
      <c r="L66" s="22">
        <f>F66^2/162</f>
        <v>3.8580246913580245</v>
      </c>
      <c r="M66" s="21">
        <f>K66*L66</f>
        <v>116.89814814814814</v>
      </c>
      <c r="N66" s="22">
        <f>M66/1000</f>
        <v>0.11689814814814814</v>
      </c>
      <c r="O66" s="13" t="inlineStr">
        <is>
          <t>BBS</t>
        </is>
      </c>
    </row>
    <row r="67">
      <c r="A67" s="13" t="n">
        <v>62</v>
      </c>
      <c r="B67" s="13" t="inlineStr">
        <is>
          <t>Beams</t>
        </is>
      </c>
      <c r="C67" s="13" t="inlineStr">
        <is>
          <t>STR-105</t>
        </is>
      </c>
      <c r="D67" s="13" t="inlineStr">
        <is>
          <t>Roof level beams</t>
        </is>
      </c>
      <c r="E67" s="19" t="inlineStr">
        <is>
          <t>2502</t>
        </is>
      </c>
      <c r="F67" s="19" t="n">
        <v>25</v>
      </c>
      <c r="G67" s="19" t="n">
        <v>1</v>
      </c>
      <c r="H67" s="19" t="n">
        <v>3</v>
      </c>
      <c r="I67" s="13">
        <f>G67*H67</f>
        <v>3.0</v>
      </c>
      <c r="J67" s="20">
        <f>8925/1000</f>
        <v>8.925</v>
      </c>
      <c r="K67" s="21">
        <f>I67*J67</f>
        <v>26.775000000000002</v>
      </c>
      <c r="L67" s="22">
        <f>F67^2/162</f>
        <v>3.8580246913580245</v>
      </c>
      <c r="M67" s="21">
        <f>K67*L67</f>
        <v>103.29861111111111</v>
      </c>
      <c r="N67" s="22">
        <f>M67/1000</f>
        <v>0.10329861111111112</v>
      </c>
      <c r="O67" s="13" t="inlineStr">
        <is>
          <t>BBS</t>
        </is>
      </c>
    </row>
    <row r="68">
      <c r="A68" s="13" t="n">
        <v>63</v>
      </c>
      <c r="B68" s="13" t="inlineStr">
        <is>
          <t>Beams</t>
        </is>
      </c>
      <c r="C68" s="13" t="inlineStr">
        <is>
          <t>STR-105</t>
        </is>
      </c>
      <c r="D68" s="13" t="inlineStr">
        <is>
          <t>Roof level beams</t>
        </is>
      </c>
      <c r="E68" s="19" t="inlineStr">
        <is>
          <t>2503</t>
        </is>
      </c>
      <c r="F68" s="19" t="n">
        <v>25</v>
      </c>
      <c r="G68" s="19" t="n">
        <v>1</v>
      </c>
      <c r="H68" s="19" t="n">
        <v>3</v>
      </c>
      <c r="I68" s="13">
        <f>G68*H68</f>
        <v>3.0</v>
      </c>
      <c r="J68" s="20">
        <f>8925/1000</f>
        <v>8.925</v>
      </c>
      <c r="K68" s="21">
        <f>I68*J68</f>
        <v>26.775000000000002</v>
      </c>
      <c r="L68" s="22">
        <f>F68^2/162</f>
        <v>3.8580246913580245</v>
      </c>
      <c r="M68" s="21">
        <f>K68*L68</f>
        <v>103.29861111111111</v>
      </c>
      <c r="N68" s="22">
        <f>M68/1000</f>
        <v>0.10329861111111112</v>
      </c>
      <c r="O68" s="13" t="inlineStr">
        <is>
          <t>BBS</t>
        </is>
      </c>
    </row>
    <row r="69">
      <c r="A69" s="13" t="n">
        <v>64</v>
      </c>
      <c r="B69" s="13" t="inlineStr">
        <is>
          <t>Floor Slabs</t>
        </is>
      </c>
      <c r="C69" s="13" t="inlineStr">
        <is>
          <t>STR-106</t>
        </is>
      </c>
      <c r="D69" s="13" t="inlineStr">
        <is>
          <t>Roof level slab</t>
        </is>
      </c>
      <c r="E69" s="19" t="inlineStr">
        <is>
          <t>1201</t>
        </is>
      </c>
      <c r="F69" s="19" t="n">
        <v>12</v>
      </c>
      <c r="G69" s="19" t="n">
        <v>1</v>
      </c>
      <c r="H69" s="19" t="n">
        <v>100</v>
      </c>
      <c r="I69" s="13">
        <f>G69*H69</f>
        <v>100.0</v>
      </c>
      <c r="J69" s="20">
        <f>5050/1000</f>
        <v>5.05</v>
      </c>
      <c r="K69" s="21">
        <f>I69*J69</f>
        <v>505.0</v>
      </c>
      <c r="L69" s="22">
        <f>F69^2/162</f>
        <v>0.8888888888888888</v>
      </c>
      <c r="M69" s="21">
        <f>K69*L69</f>
        <v>448.88888888888886</v>
      </c>
      <c r="N69" s="22">
        <f>M69/1000</f>
        <v>0.44888888888888884</v>
      </c>
      <c r="O69" s="13" t="inlineStr">
        <is>
          <t>BBS</t>
        </is>
      </c>
    </row>
    <row r="70">
      <c r="A70" s="13" t="n">
        <v>65</v>
      </c>
      <c r="B70" s="13" t="inlineStr">
        <is>
          <t>Floor Slabs</t>
        </is>
      </c>
      <c r="C70" s="13" t="inlineStr">
        <is>
          <t>STR-106</t>
        </is>
      </c>
      <c r="D70" s="13" t="inlineStr">
        <is>
          <t>Roof level slab</t>
        </is>
      </c>
      <c r="E70" s="19" t="inlineStr">
        <is>
          <t>1202</t>
        </is>
      </c>
      <c r="F70" s="19" t="n">
        <v>12</v>
      </c>
      <c r="G70" s="19" t="n">
        <v>1</v>
      </c>
      <c r="H70" s="19" t="n">
        <v>16</v>
      </c>
      <c r="I70" s="13">
        <f>G70*H70</f>
        <v>16.0</v>
      </c>
      <c r="J70" s="20">
        <f>2950/1000</f>
        <v>2.95</v>
      </c>
      <c r="K70" s="21">
        <f>I70*J70</f>
        <v>47.2</v>
      </c>
      <c r="L70" s="22">
        <f>F70^2/162</f>
        <v>0.8888888888888888</v>
      </c>
      <c r="M70" s="21">
        <f>K70*L70</f>
        <v>41.955555555555556</v>
      </c>
      <c r="N70" s="22">
        <f>M70/1000</f>
        <v>0.04195555555555556</v>
      </c>
      <c r="O70" s="13" t="inlineStr">
        <is>
          <t>BBS</t>
        </is>
      </c>
    </row>
    <row r="71">
      <c r="A71" s="13" t="n">
        <v>66</v>
      </c>
      <c r="B71" s="13" t="inlineStr">
        <is>
          <t>Floor Slabs</t>
        </is>
      </c>
      <c r="C71" s="13" t="inlineStr">
        <is>
          <t>STR-106</t>
        </is>
      </c>
      <c r="D71" s="13" t="inlineStr">
        <is>
          <t>Roof level slab</t>
        </is>
      </c>
      <c r="E71" s="19" t="inlineStr">
        <is>
          <t>1203</t>
        </is>
      </c>
      <c r="F71" s="19" t="n">
        <v>12</v>
      </c>
      <c r="G71" s="19" t="n">
        <v>1</v>
      </c>
      <c r="H71" s="19" t="n">
        <v>10</v>
      </c>
      <c r="I71" s="13">
        <f>G71*H71</f>
        <v>10.0</v>
      </c>
      <c r="J71" s="20">
        <f>7950/1000</f>
        <v>7.95</v>
      </c>
      <c r="K71" s="21">
        <f>I71*J71</f>
        <v>79.5</v>
      </c>
      <c r="L71" s="22">
        <f>F71^2/162</f>
        <v>0.8888888888888888</v>
      </c>
      <c r="M71" s="21">
        <f>K71*L71</f>
        <v>70.66666666666666</v>
      </c>
      <c r="N71" s="22">
        <f>M71/1000</f>
        <v>0.07066666666666666</v>
      </c>
      <c r="O71" s="13" t="inlineStr">
        <is>
          <t>BBS</t>
        </is>
      </c>
    </row>
    <row r="72">
      <c r="A72" s="13" t="n">
        <v>67</v>
      </c>
      <c r="B72" s="13" t="inlineStr">
        <is>
          <t>Floor Slabs</t>
        </is>
      </c>
      <c r="C72" s="13" t="inlineStr">
        <is>
          <t>STR-106</t>
        </is>
      </c>
      <c r="D72" s="13" t="inlineStr">
        <is>
          <t>Roof level slab</t>
        </is>
      </c>
      <c r="E72" s="19" t="inlineStr">
        <is>
          <t>1204</t>
        </is>
      </c>
      <c r="F72" s="19" t="n">
        <v>12</v>
      </c>
      <c r="G72" s="19" t="n">
        <v>1</v>
      </c>
      <c r="H72" s="19" t="n">
        <v>10</v>
      </c>
      <c r="I72" s="13">
        <f>G72*H72</f>
        <v>10.0</v>
      </c>
      <c r="J72" s="20">
        <f>7700/1000</f>
        <v>7.7</v>
      </c>
      <c r="K72" s="21">
        <f>I72*J72</f>
        <v>77.0</v>
      </c>
      <c r="L72" s="22">
        <f>F72^2/162</f>
        <v>0.8888888888888888</v>
      </c>
      <c r="M72" s="21">
        <f>K72*L72</f>
        <v>68.44444444444444</v>
      </c>
      <c r="N72" s="22">
        <f>M72/1000</f>
        <v>0.06844444444444445</v>
      </c>
      <c r="O72" s="13" t="inlineStr">
        <is>
          <t>BBS</t>
        </is>
      </c>
    </row>
    <row r="73">
      <c r="A73" s="13" t="n">
        <v>68</v>
      </c>
      <c r="B73" s="13" t="inlineStr">
        <is>
          <t>Floor Slabs</t>
        </is>
      </c>
      <c r="C73" s="13" t="inlineStr">
        <is>
          <t>STR-106</t>
        </is>
      </c>
      <c r="D73" s="13" t="inlineStr">
        <is>
          <t>Roof level slab</t>
        </is>
      </c>
      <c r="E73" s="19" t="inlineStr">
        <is>
          <t>1205</t>
        </is>
      </c>
      <c r="F73" s="19" t="n">
        <v>12</v>
      </c>
      <c r="G73" s="19" t="n">
        <v>1</v>
      </c>
      <c r="H73" s="19" t="n">
        <v>26</v>
      </c>
      <c r="I73" s="13">
        <f>G73*H73</f>
        <v>26.0</v>
      </c>
      <c r="J73" s="20">
        <f>9000/1000</f>
        <v>9.0</v>
      </c>
      <c r="K73" s="21">
        <f>I73*J73</f>
        <v>234.0</v>
      </c>
      <c r="L73" s="22">
        <f>F73^2/162</f>
        <v>0.8888888888888888</v>
      </c>
      <c r="M73" s="21">
        <f>K73*L73</f>
        <v>208.0</v>
      </c>
      <c r="N73" s="22">
        <f>M73/1000</f>
        <v>0.208</v>
      </c>
      <c r="O73" s="13" t="inlineStr">
        <is>
          <t>BBS</t>
        </is>
      </c>
    </row>
    <row r="74">
      <c r="A74" s="13" t="n">
        <v>69</v>
      </c>
      <c r="B74" s="13" t="inlineStr">
        <is>
          <t>Floor Slabs</t>
        </is>
      </c>
      <c r="C74" s="13" t="inlineStr">
        <is>
          <t>STR-106</t>
        </is>
      </c>
      <c r="D74" s="13" t="inlineStr">
        <is>
          <t>Roof level slab</t>
        </is>
      </c>
      <c r="E74" s="19" t="inlineStr">
        <is>
          <t>1206</t>
        </is>
      </c>
      <c r="F74" s="19" t="n">
        <v>12</v>
      </c>
      <c r="G74" s="19" t="n">
        <v>1</v>
      </c>
      <c r="H74" s="19" t="n">
        <v>78</v>
      </c>
      <c r="I74" s="13">
        <f>G74*H74</f>
        <v>78.0</v>
      </c>
      <c r="J74" s="20">
        <f>10250/1000</f>
        <v>10.25</v>
      </c>
      <c r="K74" s="21">
        <f>I74*J74</f>
        <v>799.5</v>
      </c>
      <c r="L74" s="22">
        <f>F74^2/162</f>
        <v>0.8888888888888888</v>
      </c>
      <c r="M74" s="21">
        <f>K74*L74</f>
        <v>710.6666666666666</v>
      </c>
      <c r="N74" s="22">
        <f>M74/1000</f>
        <v>0.7106666666666667</v>
      </c>
      <c r="O74" s="13" t="inlineStr">
        <is>
          <t>BBS</t>
        </is>
      </c>
    </row>
    <row r="75">
      <c r="A75" s="13" t="n">
        <v>70</v>
      </c>
      <c r="B75" s="13" t="inlineStr">
        <is>
          <t>Floor Slabs</t>
        </is>
      </c>
      <c r="C75" s="13" t="inlineStr">
        <is>
          <t>STR-106</t>
        </is>
      </c>
      <c r="D75" s="13" t="inlineStr">
        <is>
          <t>Roof level slab</t>
        </is>
      </c>
      <c r="E75" s="19" t="inlineStr">
        <is>
          <t>1207</t>
        </is>
      </c>
      <c r="F75" s="19" t="n">
        <v>12</v>
      </c>
      <c r="G75" s="19" t="n">
        <v>1</v>
      </c>
      <c r="H75" s="19" t="n">
        <v>28</v>
      </c>
      <c r="I75" s="13">
        <f>G75*H75</f>
        <v>28.0</v>
      </c>
      <c r="J75" s="20">
        <f>10025/1000</f>
        <v>10.025</v>
      </c>
      <c r="K75" s="21">
        <f>I75*J75</f>
        <v>280.7</v>
      </c>
      <c r="L75" s="22">
        <f>F75^2/162</f>
        <v>0.8888888888888888</v>
      </c>
      <c r="M75" s="21">
        <f>K75*L75</f>
        <v>249.5111111111111</v>
      </c>
      <c r="N75" s="22">
        <f>M75/1000</f>
        <v>0.2495111111111111</v>
      </c>
      <c r="O75" s="13" t="inlineStr">
        <is>
          <t>BBS</t>
        </is>
      </c>
    </row>
    <row r="76">
      <c r="A76" s="13" t="n">
        <v>71</v>
      </c>
      <c r="B76" s="13" t="inlineStr">
        <is>
          <t>Floor Slabs</t>
        </is>
      </c>
      <c r="C76" s="13" t="inlineStr">
        <is>
          <t>STR-106</t>
        </is>
      </c>
      <c r="D76" s="13" t="inlineStr">
        <is>
          <t>Roof level slab</t>
        </is>
      </c>
      <c r="E76" s="19" t="inlineStr">
        <is>
          <t>1208</t>
        </is>
      </c>
      <c r="F76" s="19" t="n">
        <v>12</v>
      </c>
      <c r="G76" s="19" t="n">
        <v>1</v>
      </c>
      <c r="H76" s="19" t="n">
        <v>53</v>
      </c>
      <c r="I76" s="13">
        <f>G76*H76</f>
        <v>53.0</v>
      </c>
      <c r="J76" s="20">
        <f>8250/1000</f>
        <v>8.25</v>
      </c>
      <c r="K76" s="21">
        <f>I76*J76</f>
        <v>437.25</v>
      </c>
      <c r="L76" s="22">
        <f>F76^2/162</f>
        <v>0.8888888888888888</v>
      </c>
      <c r="M76" s="21">
        <f>K76*L76</f>
        <v>388.66666666666663</v>
      </c>
      <c r="N76" s="22">
        <f>M76/1000</f>
        <v>0.3886666666666666</v>
      </c>
      <c r="O76" s="13" t="inlineStr">
        <is>
          <t>BBS</t>
        </is>
      </c>
    </row>
    <row r="77">
      <c r="A77" s="13" t="n">
        <v>72</v>
      </c>
      <c r="B77" s="13" t="inlineStr">
        <is>
          <t>Floor Slabs</t>
        </is>
      </c>
      <c r="C77" s="13" t="inlineStr">
        <is>
          <t>STR-106</t>
        </is>
      </c>
      <c r="D77" s="13" t="inlineStr">
        <is>
          <t>Roof level slab</t>
        </is>
      </c>
      <c r="E77" s="19" t="inlineStr">
        <is>
          <t>1209</t>
        </is>
      </c>
      <c r="F77" s="19" t="n">
        <v>12</v>
      </c>
      <c r="G77" s="19" t="n">
        <v>1</v>
      </c>
      <c r="H77" s="19" t="n">
        <v>66</v>
      </c>
      <c r="I77" s="13">
        <f>G77*H77</f>
        <v>66.0</v>
      </c>
      <c r="J77" s="20">
        <f>7350/1000</f>
        <v>7.35</v>
      </c>
      <c r="K77" s="21">
        <f>I77*J77</f>
        <v>485.09999999999997</v>
      </c>
      <c r="L77" s="22">
        <f>F77^2/162</f>
        <v>0.8888888888888888</v>
      </c>
      <c r="M77" s="21">
        <f>K77*L77</f>
        <v>431.19999999999993</v>
      </c>
      <c r="N77" s="22">
        <f>M77/1000</f>
        <v>0.4311999999999999</v>
      </c>
      <c r="O77" s="13" t="inlineStr">
        <is>
          <t>BBS</t>
        </is>
      </c>
    </row>
    <row r="78">
      <c r="A78" s="13" t="n">
        <v>73</v>
      </c>
      <c r="B78" s="13" t="inlineStr">
        <is>
          <t>Floor Slabs</t>
        </is>
      </c>
      <c r="C78" s="13" t="inlineStr">
        <is>
          <t>STR-106</t>
        </is>
      </c>
      <c r="D78" s="13" t="inlineStr">
        <is>
          <t>Roof level slab</t>
        </is>
      </c>
      <c r="E78" s="19" t="inlineStr">
        <is>
          <t>1210</t>
        </is>
      </c>
      <c r="F78" s="19" t="n">
        <v>12</v>
      </c>
      <c r="G78" s="19" t="n">
        <v>1</v>
      </c>
      <c r="H78" s="19" t="n">
        <v>10</v>
      </c>
      <c r="I78" s="13">
        <f>G78*H78</f>
        <v>10.0</v>
      </c>
      <c r="J78" s="20">
        <f>4700/1000</f>
        <v>4.7</v>
      </c>
      <c r="K78" s="21">
        <f>I78*J78</f>
        <v>47.0</v>
      </c>
      <c r="L78" s="22">
        <f>F78^2/162</f>
        <v>0.8888888888888888</v>
      </c>
      <c r="M78" s="21">
        <f>K78*L78</f>
        <v>41.77777777777778</v>
      </c>
      <c r="N78" s="22">
        <f>M78/1000</f>
        <v>0.04177777777777778</v>
      </c>
      <c r="O78" s="13" t="inlineStr">
        <is>
          <t>BBS</t>
        </is>
      </c>
    </row>
    <row r="79">
      <c r="A79" s="13" t="n">
        <v>74</v>
      </c>
      <c r="B79" s="13" t="inlineStr">
        <is>
          <t>Floor Slabs</t>
        </is>
      </c>
      <c r="C79" s="13" t="inlineStr">
        <is>
          <t>STR-106</t>
        </is>
      </c>
      <c r="D79" s="13" t="inlineStr">
        <is>
          <t>Roof level slab</t>
        </is>
      </c>
      <c r="E79" s="19" t="inlineStr">
        <is>
          <t>1211</t>
        </is>
      </c>
      <c r="F79" s="19" t="n">
        <v>12</v>
      </c>
      <c r="G79" s="19" t="n">
        <v>1</v>
      </c>
      <c r="H79" s="19" t="n">
        <v>53</v>
      </c>
      <c r="I79" s="13">
        <f>G79*H79</f>
        <v>53.0</v>
      </c>
      <c r="J79" s="20">
        <f>5450/1000</f>
        <v>5.45</v>
      </c>
      <c r="K79" s="21">
        <f>I79*J79</f>
        <v>288.85</v>
      </c>
      <c r="L79" s="22">
        <f>F79^2/162</f>
        <v>0.8888888888888888</v>
      </c>
      <c r="M79" s="21">
        <f>K79*L79</f>
        <v>256.7555555555556</v>
      </c>
      <c r="N79" s="22">
        <f>M79/1000</f>
        <v>0.25675555555555557</v>
      </c>
      <c r="O79" s="13" t="inlineStr">
        <is>
          <t>BBS</t>
        </is>
      </c>
    </row>
    <row r="80">
      <c r="A80" s="13" t="n">
        <v>75</v>
      </c>
      <c r="B80" s="13" t="inlineStr">
        <is>
          <t>Floor Slabs</t>
        </is>
      </c>
      <c r="C80" s="13" t="inlineStr">
        <is>
          <t>STR-106</t>
        </is>
      </c>
      <c r="D80" s="13" t="inlineStr">
        <is>
          <t>Roof level slab</t>
        </is>
      </c>
      <c r="E80" s="19" t="inlineStr">
        <is>
          <t>1212</t>
        </is>
      </c>
      <c r="F80" s="19" t="n">
        <v>12</v>
      </c>
      <c r="G80" s="19" t="n">
        <v>1</v>
      </c>
      <c r="H80" s="19" t="n">
        <v>46</v>
      </c>
      <c r="I80" s="13">
        <f>G80*H80</f>
        <v>46.0</v>
      </c>
      <c r="J80" s="20">
        <f>2500/1000</f>
        <v>2.5</v>
      </c>
      <c r="K80" s="21">
        <f>I80*J80</f>
        <v>115.0</v>
      </c>
      <c r="L80" s="22">
        <f>F80^2/162</f>
        <v>0.8888888888888888</v>
      </c>
      <c r="M80" s="21">
        <f>K80*L80</f>
        <v>102.22222222222221</v>
      </c>
      <c r="N80" s="22">
        <f>M80/1000</f>
        <v>0.10222222222222221</v>
      </c>
      <c r="O80" s="13" t="inlineStr">
        <is>
          <t>BBS</t>
        </is>
      </c>
    </row>
    <row r="81">
      <c r="A81" s="13" t="n">
        <v>76</v>
      </c>
      <c r="B81" s="13" t="inlineStr">
        <is>
          <t>Floor Slabs</t>
        </is>
      </c>
      <c r="C81" s="13" t="inlineStr">
        <is>
          <t>STR-106</t>
        </is>
      </c>
      <c r="D81" s="13" t="inlineStr">
        <is>
          <t>Roof level slab</t>
        </is>
      </c>
      <c r="E81" s="19" t="inlineStr">
        <is>
          <t>1213</t>
        </is>
      </c>
      <c r="F81" s="19" t="n">
        <v>12</v>
      </c>
      <c r="G81" s="19" t="n">
        <v>1</v>
      </c>
      <c r="H81" s="19" t="n">
        <v>92</v>
      </c>
      <c r="I81" s="13">
        <f>G81*H81</f>
        <v>92.0</v>
      </c>
      <c r="J81" s="20">
        <f>6050/1000</f>
        <v>6.05</v>
      </c>
      <c r="K81" s="21">
        <f>I81*J81</f>
        <v>556.6</v>
      </c>
      <c r="L81" s="22">
        <f>F81^2/162</f>
        <v>0.8888888888888888</v>
      </c>
      <c r="M81" s="21">
        <f>K81*L81</f>
        <v>494.75555555555553</v>
      </c>
      <c r="N81" s="22">
        <f>M81/1000</f>
        <v>0.4947555555555555</v>
      </c>
      <c r="O81" s="13" t="inlineStr">
        <is>
          <t>BBS</t>
        </is>
      </c>
    </row>
    <row r="82">
      <c r="A82" s="13" t="n">
        <v>77</v>
      </c>
      <c r="B82" s="13" t="inlineStr">
        <is>
          <t>Floor Slabs</t>
        </is>
      </c>
      <c r="C82" s="13" t="inlineStr">
        <is>
          <t>STR-106</t>
        </is>
      </c>
      <c r="D82" s="13" t="inlineStr">
        <is>
          <t>Roof level slab</t>
        </is>
      </c>
      <c r="E82" s="19" t="inlineStr">
        <is>
          <t>1214</t>
        </is>
      </c>
      <c r="F82" s="19" t="n">
        <v>12</v>
      </c>
      <c r="G82" s="19" t="n">
        <v>1</v>
      </c>
      <c r="H82" s="19" t="n">
        <v>22</v>
      </c>
      <c r="I82" s="13">
        <f>G82*H82</f>
        <v>22.0</v>
      </c>
      <c r="J82" s="20">
        <f>8075/1000</f>
        <v>8.075</v>
      </c>
      <c r="K82" s="21">
        <f>I82*J82</f>
        <v>177.64999999999998</v>
      </c>
      <c r="L82" s="22">
        <f>F82^2/162</f>
        <v>0.8888888888888888</v>
      </c>
      <c r="M82" s="21">
        <f>K82*L82</f>
        <v>157.91111111111107</v>
      </c>
      <c r="N82" s="22">
        <f>M82/1000</f>
        <v>0.15791111111111106</v>
      </c>
      <c r="O82" s="13" t="inlineStr">
        <is>
          <t>BBS</t>
        </is>
      </c>
    </row>
    <row r="83">
      <c r="A83" s="13" t="n">
        <v>78</v>
      </c>
      <c r="B83" s="13" t="inlineStr">
        <is>
          <t>Floor Slabs</t>
        </is>
      </c>
      <c r="C83" s="13" t="inlineStr">
        <is>
          <t>STR-106</t>
        </is>
      </c>
      <c r="D83" s="13" t="inlineStr">
        <is>
          <t>Roof level slab</t>
        </is>
      </c>
      <c r="E83" s="19" t="inlineStr">
        <is>
          <t>1215</t>
        </is>
      </c>
      <c r="F83" s="19" t="n">
        <v>12</v>
      </c>
      <c r="G83" s="19" t="n">
        <v>1</v>
      </c>
      <c r="H83" s="19" t="n">
        <v>20</v>
      </c>
      <c r="I83" s="13">
        <f>G83*H83</f>
        <v>20.0</v>
      </c>
      <c r="J83" s="20">
        <f>9100/1000</f>
        <v>9.1</v>
      </c>
      <c r="K83" s="21">
        <f>I83*J83</f>
        <v>182.0</v>
      </c>
      <c r="L83" s="22">
        <f>F83^2/162</f>
        <v>0.8888888888888888</v>
      </c>
      <c r="M83" s="21">
        <f>K83*L83</f>
        <v>161.77777777777777</v>
      </c>
      <c r="N83" s="22">
        <f>M83/1000</f>
        <v>0.16177777777777777</v>
      </c>
      <c r="O83" s="13" t="inlineStr">
        <is>
          <t>BBS</t>
        </is>
      </c>
    </row>
    <row r="84">
      <c r="A84" s="13" t="n">
        <v>79</v>
      </c>
      <c r="B84" s="13" t="inlineStr">
        <is>
          <t>Floor Slabs</t>
        </is>
      </c>
      <c r="C84" s="13" t="inlineStr">
        <is>
          <t>STR-106</t>
        </is>
      </c>
      <c r="D84" s="13" t="inlineStr">
        <is>
          <t>Roof level slab</t>
        </is>
      </c>
      <c r="E84" s="19" t="inlineStr">
        <is>
          <t>1216</t>
        </is>
      </c>
      <c r="F84" s="19" t="n">
        <v>12</v>
      </c>
      <c r="G84" s="19" t="n">
        <v>1</v>
      </c>
      <c r="H84" s="19" t="n">
        <v>90</v>
      </c>
      <c r="I84" s="13">
        <f>G84*H84</f>
        <v>90.0</v>
      </c>
      <c r="J84" s="20">
        <f>9250/1000</f>
        <v>9.25</v>
      </c>
      <c r="K84" s="21">
        <f>I84*J84</f>
        <v>832.5</v>
      </c>
      <c r="L84" s="22">
        <f>F84^2/162</f>
        <v>0.8888888888888888</v>
      </c>
      <c r="M84" s="21">
        <f>K84*L84</f>
        <v>740.0</v>
      </c>
      <c r="N84" s="22">
        <f>M84/1000</f>
        <v>0.74</v>
      </c>
      <c r="O84" s="13" t="inlineStr">
        <is>
          <t>BBS</t>
        </is>
      </c>
    </row>
    <row r="86">
      <c r="D86" s="10" t="inlineStr">
        <is>
          <t>SUMMARY - ROOF LEVEL: ELEMENT BY BAR SIZE (TONNES)</t>
        </is>
      </c>
    </row>
    <row r="87">
      <c r="D87" s="23" t="inlineStr">
        <is>
          <t>Element</t>
        </is>
      </c>
      <c r="E87" s="24" t="n">
        <v>10</v>
      </c>
      <c r="F87" s="24" t="n">
        <v>12</v>
      </c>
      <c r="G87" s="24" t="n">
        <v>16</v>
      </c>
      <c r="H87" s="24" t="n">
        <v>20</v>
      </c>
      <c r="I87" s="24" t="n">
        <v>25</v>
      </c>
      <c r="J87" s="23" t="inlineStr">
        <is>
          <t>Total (t)</t>
        </is>
      </c>
    </row>
    <row r="88">
      <c r="D88" s="13" t="inlineStr">
        <is>
          <t>Raft Foundation</t>
        </is>
      </c>
      <c r="E88" s="25">
        <f>SUMIFS($N$6:$N$84,$B$6:$B$84,$D88,$F$6:$F$84,E$87)</f>
        <v>0.0</v>
      </c>
      <c r="F88" s="25">
        <f>SUMIFS($N$6:$N$84,$B$6:$B$84,$D88,$F$6:$F$84,F$87)</f>
        <v>0.0</v>
      </c>
      <c r="G88" s="25">
        <f>SUMIFS($N$6:$N$84,$B$6:$B$84,$D88,$F$6:$F$84,G$87)</f>
        <v>0.0</v>
      </c>
      <c r="H88" s="25">
        <f>SUMIFS($N$6:$N$84,$B$6:$B$84,$D88,$F$6:$F$84,H$87)</f>
        <v>0.0</v>
      </c>
      <c r="I88" s="25">
        <f>SUMIFS($N$6:$N$84,$B$6:$B$84,$D88,$F$6:$F$84,I$87)</f>
        <v>0.0</v>
      </c>
      <c r="J88" s="17">
        <f>SUM(E88:I88)</f>
        <v>0.0</v>
      </c>
    </row>
    <row r="89">
      <c r="D89" s="13" t="inlineStr">
        <is>
          <t>Columns</t>
        </is>
      </c>
      <c r="E89" s="25">
        <f>SUMIFS($N$6:$N$84,$B$6:$B$84,$D89,$F$6:$F$84,E$87)</f>
        <v>0.0</v>
      </c>
      <c r="F89" s="25">
        <f>SUMIFS($N$6:$N$84,$B$6:$B$84,$D89,$F$6:$F$84,F$87)</f>
        <v>0.0</v>
      </c>
      <c r="G89" s="25">
        <f>SUMIFS($N$6:$N$84,$B$6:$B$84,$D89,$F$6:$F$84,G$87)</f>
        <v>0.0</v>
      </c>
      <c r="H89" s="25">
        <f>SUMIFS($N$6:$N$84,$B$6:$B$84,$D89,$F$6:$F$84,H$87)</f>
        <v>0.0</v>
      </c>
      <c r="I89" s="25">
        <f>SUMIFS($N$6:$N$84,$B$6:$B$84,$D89,$F$6:$F$84,I$87)</f>
        <v>0.0</v>
      </c>
      <c r="J89" s="17">
        <f>SUM(E89:I89)</f>
        <v>0.0</v>
      </c>
    </row>
    <row r="90">
      <c r="D90" s="13" t="inlineStr">
        <is>
          <t>Shear Walls</t>
        </is>
      </c>
      <c r="E90" s="25">
        <f>SUMIFS($N$6:$N$84,$B$6:$B$84,$D90,$F$6:$F$84,E$87)</f>
        <v>0.0</v>
      </c>
      <c r="F90" s="25">
        <f>SUMIFS($N$6:$N$84,$B$6:$B$84,$D90,$F$6:$F$84,F$87)</f>
        <v>0.0</v>
      </c>
      <c r="G90" s="25">
        <f>SUMIFS($N$6:$N$84,$B$6:$B$84,$D90,$F$6:$F$84,G$87)</f>
        <v>0.0</v>
      </c>
      <c r="H90" s="25">
        <f>SUMIFS($N$6:$N$84,$B$6:$B$84,$D90,$F$6:$F$84,H$87)</f>
        <v>0.0</v>
      </c>
      <c r="I90" s="25">
        <f>SUMIFS($N$6:$N$84,$B$6:$B$84,$D90,$F$6:$F$84,I$87)</f>
        <v>0.0</v>
      </c>
      <c r="J90" s="17">
        <f>SUM(E90:I90)</f>
        <v>0.0</v>
      </c>
    </row>
    <row r="91">
      <c r="D91" s="13" t="inlineStr">
        <is>
          <t>Lift Walls</t>
        </is>
      </c>
      <c r="E91" s="25">
        <f>SUMIFS($N$6:$N$84,$B$6:$B$84,$D91,$F$6:$F$84,E$87)</f>
        <v>0.8088888888888889</v>
      </c>
      <c r="F91" s="25">
        <f>SUMIFS($N$6:$N$84,$B$6:$B$84,$D91,$F$6:$F$84,F$87)</f>
        <v>0.3895199999999999</v>
      </c>
      <c r="G91" s="25">
        <f>SUMIFS($N$6:$N$84,$B$6:$B$84,$D91,$F$6:$F$84,G$87)</f>
        <v>0.0</v>
      </c>
      <c r="H91" s="25">
        <f>SUMIFS($N$6:$N$84,$B$6:$B$84,$D91,$F$6:$F$84,H$87)</f>
        <v>4.049382716049382</v>
      </c>
      <c r="I91" s="25">
        <f>SUMIFS($N$6:$N$84,$B$6:$B$84,$D91,$F$6:$F$84,I$87)</f>
        <v>0.0</v>
      </c>
      <c r="J91" s="17">
        <f>SUM(E91:I91)</f>
        <v>5.247791604938271</v>
      </c>
    </row>
    <row r="92">
      <c r="D92" s="13" t="inlineStr">
        <is>
          <t>Retaining / Ramp Walls</t>
        </is>
      </c>
      <c r="E92" s="25">
        <f>SUMIFS($N$6:$N$84,$B$6:$B$84,$D92,$F$6:$F$84,E$87)</f>
        <v>0.0</v>
      </c>
      <c r="F92" s="25">
        <f>SUMIFS($N$6:$N$84,$B$6:$B$84,$D92,$F$6:$F$84,F$87)</f>
        <v>0.0</v>
      </c>
      <c r="G92" s="25">
        <f>SUMIFS($N$6:$N$84,$B$6:$B$84,$D92,$F$6:$F$84,G$87)</f>
        <v>0.0</v>
      </c>
      <c r="H92" s="25">
        <f>SUMIFS($N$6:$N$84,$B$6:$B$84,$D92,$F$6:$F$84,H$87)</f>
        <v>0.0</v>
      </c>
      <c r="I92" s="25">
        <f>SUMIFS($N$6:$N$84,$B$6:$B$84,$D92,$F$6:$F$84,I$87)</f>
        <v>0.0</v>
      </c>
      <c r="J92" s="17">
        <f>SUM(E92:I92)</f>
        <v>0.0</v>
      </c>
    </row>
    <row r="93">
      <c r="D93" s="13" t="inlineStr">
        <is>
          <t>Beams</t>
        </is>
      </c>
      <c r="E93" s="25">
        <f>SUMIFS($N$6:$N$84,$B$6:$B$84,$D93,$F$6:$F$84,E$87)</f>
        <v>0.6935802469135802</v>
      </c>
      <c r="F93" s="25">
        <f>SUMIFS($N$6:$N$84,$B$6:$B$84,$D93,$F$6:$F$84,F$87)</f>
        <v>0.0</v>
      </c>
      <c r="G93" s="25">
        <f>SUMIFS($N$6:$N$84,$B$6:$B$84,$D93,$F$6:$F$84,G$87)</f>
        <v>0.9603555555555554</v>
      </c>
      <c r="H93" s="25">
        <f>SUMIFS($N$6:$N$84,$B$6:$B$84,$D93,$F$6:$F$84,H$87)</f>
        <v>1.009962962962963</v>
      </c>
      <c r="I93" s="25">
        <f>SUMIFS($N$6:$N$84,$B$6:$B$84,$D93,$F$6:$F$84,I$87)</f>
        <v>0.32349537037037035</v>
      </c>
      <c r="J93" s="17">
        <f>SUM(E93:I93)</f>
        <v>2.987394135802469</v>
      </c>
    </row>
    <row r="94">
      <c r="D94" s="13" t="inlineStr">
        <is>
          <t>Floor Slabs</t>
        </is>
      </c>
      <c r="E94" s="25">
        <f>SUMIFS($N$6:$N$84,$B$6:$B$84,$D94,$F$6:$F$84,E$87)</f>
        <v>0.0</v>
      </c>
      <c r="F94" s="25">
        <f>SUMIFS($N$6:$N$84,$B$6:$B$84,$D94,$F$6:$F$84,F$87)</f>
        <v>4.5732</v>
      </c>
      <c r="G94" s="25">
        <f>SUMIFS($N$6:$N$84,$B$6:$B$84,$D94,$F$6:$F$84,G$87)</f>
        <v>0.0</v>
      </c>
      <c r="H94" s="25">
        <f>SUMIFS($N$6:$N$84,$B$6:$B$84,$D94,$F$6:$F$84,H$87)</f>
        <v>0.0</v>
      </c>
      <c r="I94" s="25">
        <f>SUMIFS($N$6:$N$84,$B$6:$B$84,$D94,$F$6:$F$84,I$87)</f>
        <v>0.0</v>
      </c>
      <c r="J94" s="17">
        <f>SUM(E94:I94)</f>
        <v>4.5732</v>
      </c>
    </row>
    <row r="95">
      <c r="D95" s="13" t="inlineStr">
        <is>
          <t>Staircases</t>
        </is>
      </c>
      <c r="E95" s="25">
        <f>SUMIFS($N$6:$N$84,$B$6:$B$84,$D95,$F$6:$F$84,E$87)</f>
        <v>0.0</v>
      </c>
      <c r="F95" s="25">
        <f>SUMIFS($N$6:$N$84,$B$6:$B$84,$D95,$F$6:$F$84,F$87)</f>
        <v>0.0</v>
      </c>
      <c r="G95" s="25">
        <f>SUMIFS($N$6:$N$84,$B$6:$B$84,$D95,$F$6:$F$84,G$87)</f>
        <v>0.0</v>
      </c>
      <c r="H95" s="25">
        <f>SUMIFS($N$6:$N$84,$B$6:$B$84,$D95,$F$6:$F$84,H$87)</f>
        <v>0.0</v>
      </c>
      <c r="I95" s="25">
        <f>SUMIFS($N$6:$N$84,$B$6:$B$84,$D95,$F$6:$F$84,I$87)</f>
        <v>0.0</v>
      </c>
      <c r="J95" s="17">
        <f>SUM(E95:I95)</f>
        <v>0.0</v>
      </c>
    </row>
    <row r="96">
      <c r="D96" s="13" t="inlineStr">
        <is>
          <t>Lift Core Roof Slab</t>
        </is>
      </c>
      <c r="E96" s="25">
        <f>SUMIFS($N$6:$N$84,$B$6:$B$84,$D96,$F$6:$F$84,E$87)</f>
        <v>0.0</v>
      </c>
      <c r="F96" s="25">
        <f>SUMIFS($N$6:$N$84,$B$6:$B$84,$D96,$F$6:$F$84,F$87)</f>
        <v>0.0</v>
      </c>
      <c r="G96" s="25">
        <f>SUMIFS($N$6:$N$84,$B$6:$B$84,$D96,$F$6:$F$84,G$87)</f>
        <v>0.0</v>
      </c>
      <c r="H96" s="25">
        <f>SUMIFS($N$6:$N$84,$B$6:$B$84,$D96,$F$6:$F$84,H$87)</f>
        <v>0.0</v>
      </c>
      <c r="I96" s="25">
        <f>SUMIFS($N$6:$N$84,$B$6:$B$84,$D96,$F$6:$F$84,I$87)</f>
        <v>0.0</v>
      </c>
      <c r="J96" s="17">
        <f>SUM(E96:I96)</f>
        <v>0.0</v>
      </c>
    </row>
    <row r="97">
      <c r="D97" s="16" t="inlineStr">
        <is>
          <t>TOTAL - ROOF LEVEL</t>
        </is>
      </c>
      <c r="E97" s="26">
        <f>SUM(E88:E96)</f>
        <v>1.502469135802469</v>
      </c>
      <c r="F97" s="26">
        <f>SUM(F88:F96)</f>
        <v>4.96272</v>
      </c>
      <c r="G97" s="26">
        <f>SUM(G88:G96)</f>
        <v>0.9603555555555554</v>
      </c>
      <c r="H97" s="26">
        <f>SUM(H88:H96)</f>
        <v>5.059345679012345</v>
      </c>
      <c r="I97" s="26">
        <f>SUM(I88:I96)</f>
        <v>0.32349537037037035</v>
      </c>
      <c r="J97" s="26">
        <f>SUM(J88:J96)</f>
        <v>12.80838574074074</v>
      </c>
      <c r="K97" s="7" t="inlineStr">
        <is>
          <t>Check vs detail (should be 0):</t>
        </is>
      </c>
      <c r="N97" s="7">
        <f>ROUND(SUM(N6:N84)-J97,6)</f>
        <v>0.0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4472C4"/>
    <outlinePr summaryBelow="1" summaryRight="1"/>
    <pageSetUpPr/>
  </sheetPr>
  <dimension ref="A1:O2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1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0" customWidth="1" min="9" max="9"/>
    <col width="11" customWidth="1" min="10" max="10"/>
    <col width="12" customWidth="1" min="11" max="11"/>
    <col width="10" customWidth="1" min="12" max="12"/>
    <col width="12" customWidth="1" min="13" max="13"/>
    <col width="11" customWidth="1" min="14" max="14"/>
    <col width="22" customWidth="1" min="15" max="15"/>
  </cols>
  <sheetData>
    <row r="1">
      <c r="A1" s="4" t="inlineStr">
        <is>
          <t>REINFORCEMENT TAKE-OFF - TOP OF LIFT CORE (+44650)</t>
        </is>
      </c>
    </row>
    <row r="2">
      <c r="A2" s="18" t="inlineStr">
        <is>
          <t>Proposed Kaneshie Block N Redevelopment</t>
        </is>
      </c>
    </row>
    <row r="3">
      <c r="A3" s="5" t="inlineStr">
        <is>
          <t>Calculation per line: Total bars = members x bars/member; Total length = bars x cut length; kg = length x d^2/162; t = kg/1000</t>
        </is>
      </c>
    </row>
    <row r="5">
      <c r="A5" s="6" t="inlineStr">
        <is>
          <t>Item</t>
        </is>
      </c>
      <c r="B5" s="6" t="inlineStr">
        <is>
          <t>Element</t>
        </is>
      </c>
      <c r="C5" s="6" t="inlineStr">
        <is>
          <t>Drawing</t>
        </is>
      </c>
      <c r="D5" s="6" t="inlineStr">
        <is>
          <t>Description / location</t>
        </is>
      </c>
      <c r="E5" s="6" t="inlineStr">
        <is>
          <t>Bar mark</t>
        </is>
      </c>
      <c r="F5" s="6" t="inlineStr">
        <is>
          <t>Dia (mm)</t>
        </is>
      </c>
      <c r="G5" s="6" t="inlineStr">
        <is>
          <t>No. of members</t>
        </is>
      </c>
      <c r="H5" s="6" t="inlineStr">
        <is>
          <t>No. of bars per member</t>
        </is>
      </c>
      <c r="I5" s="6" t="inlineStr">
        <is>
          <t>Total no. of bars</t>
        </is>
      </c>
      <c r="J5" s="6" t="inlineStr">
        <is>
          <t>Cut length per bar (m)</t>
        </is>
      </c>
      <c r="K5" s="6" t="inlineStr">
        <is>
          <t>Total length (m)</t>
        </is>
      </c>
      <c r="L5" s="6" t="inlineStr">
        <is>
          <t>Unit mass (kg/m)</t>
        </is>
      </c>
      <c r="M5" s="6" t="inlineStr">
        <is>
          <t>Weight (kg)</t>
        </is>
      </c>
      <c r="N5" s="6" t="inlineStr">
        <is>
          <t>Weight (t)</t>
        </is>
      </c>
      <c r="O5" s="6" t="inlineStr">
        <is>
          <t>Source</t>
        </is>
      </c>
    </row>
    <row r="6">
      <c r="A6" s="13" t="n">
        <v>1</v>
      </c>
      <c r="B6" s="13" t="inlineStr">
        <is>
          <t>Lift Core Roof Slab</t>
        </is>
      </c>
      <c r="C6" s="13" t="inlineStr">
        <is>
          <t>STR-107</t>
        </is>
      </c>
      <c r="D6" s="13" t="inlineStr">
        <is>
          <t>Top of lift core slab</t>
        </is>
      </c>
      <c r="E6" s="19" t="inlineStr">
        <is>
          <t>1201</t>
        </is>
      </c>
      <c r="F6" s="19" t="n">
        <v>12</v>
      </c>
      <c r="G6" s="19" t="n">
        <v>1</v>
      </c>
      <c r="H6" s="19" t="n">
        <v>34</v>
      </c>
      <c r="I6" s="13">
        <f>G6*H6</f>
        <v>34.0</v>
      </c>
      <c r="J6" s="20">
        <f>5150/1000</f>
        <v>5.15</v>
      </c>
      <c r="K6" s="21">
        <f>I6*J6</f>
        <v>175.10000000000002</v>
      </c>
      <c r="L6" s="22">
        <f>F6^2/162</f>
        <v>0.8888888888888888</v>
      </c>
      <c r="M6" s="21">
        <f>K6*L6</f>
        <v>155.64444444444445</v>
      </c>
      <c r="N6" s="22">
        <f>M6/1000</f>
        <v>0.15564444444444445</v>
      </c>
      <c r="O6" s="13" t="inlineStr">
        <is>
          <t>BBS</t>
        </is>
      </c>
    </row>
    <row r="7">
      <c r="A7" s="13" t="n">
        <v>2</v>
      </c>
      <c r="B7" s="13" t="inlineStr">
        <is>
          <t>Lift Core Roof Slab</t>
        </is>
      </c>
      <c r="C7" s="13" t="inlineStr">
        <is>
          <t>STR-107</t>
        </is>
      </c>
      <c r="D7" s="13" t="inlineStr">
        <is>
          <t>Top of lift core slab</t>
        </is>
      </c>
      <c r="E7" s="19" t="inlineStr">
        <is>
          <t>1202</t>
        </is>
      </c>
      <c r="F7" s="19" t="n">
        <v>12</v>
      </c>
      <c r="G7" s="19" t="n">
        <v>1</v>
      </c>
      <c r="H7" s="19" t="n">
        <v>14</v>
      </c>
      <c r="I7" s="13">
        <f>G7*H7</f>
        <v>14.0</v>
      </c>
      <c r="J7" s="20">
        <f>2875/1000</f>
        <v>2.875</v>
      </c>
      <c r="K7" s="21">
        <f>I7*J7</f>
        <v>40.25</v>
      </c>
      <c r="L7" s="22">
        <f>F7^2/162</f>
        <v>0.8888888888888888</v>
      </c>
      <c r="M7" s="21">
        <f>K7*L7</f>
        <v>35.77777777777778</v>
      </c>
      <c r="N7" s="22">
        <f>M7/1000</f>
        <v>0.035777777777777776</v>
      </c>
      <c r="O7" s="13" t="inlineStr">
        <is>
          <t>BBS</t>
        </is>
      </c>
    </row>
    <row r="8">
      <c r="A8" s="13" t="n">
        <v>3</v>
      </c>
      <c r="B8" s="13" t="inlineStr">
        <is>
          <t>Lift Core Roof Slab</t>
        </is>
      </c>
      <c r="C8" s="13" t="inlineStr">
        <is>
          <t>STR-107</t>
        </is>
      </c>
      <c r="D8" s="13" t="inlineStr">
        <is>
          <t>Top of lift core slab</t>
        </is>
      </c>
      <c r="E8" s="19" t="inlineStr">
        <is>
          <t>1203</t>
        </is>
      </c>
      <c r="F8" s="19" t="n">
        <v>12</v>
      </c>
      <c r="G8" s="19" t="n">
        <v>1</v>
      </c>
      <c r="H8" s="19" t="n">
        <v>28</v>
      </c>
      <c r="I8" s="13">
        <f>G8*H8</f>
        <v>28.0</v>
      </c>
      <c r="J8" s="20">
        <f>2725/1000</f>
        <v>2.725</v>
      </c>
      <c r="K8" s="21">
        <f>I8*J8</f>
        <v>76.3</v>
      </c>
      <c r="L8" s="22">
        <f>F8^2/162</f>
        <v>0.8888888888888888</v>
      </c>
      <c r="M8" s="21">
        <f>K8*L8</f>
        <v>67.82222222222222</v>
      </c>
      <c r="N8" s="22">
        <f>M8/1000</f>
        <v>0.06782222222222223</v>
      </c>
      <c r="O8" s="13" t="inlineStr">
        <is>
          <t>BBS</t>
        </is>
      </c>
    </row>
    <row r="9">
      <c r="A9" s="13" t="n">
        <v>4</v>
      </c>
      <c r="B9" s="13" t="inlineStr">
        <is>
          <t>Lift Core Roof Slab</t>
        </is>
      </c>
      <c r="C9" s="13" t="inlineStr">
        <is>
          <t>STR-107</t>
        </is>
      </c>
      <c r="D9" s="13" t="inlineStr">
        <is>
          <t>Top of lift core slab</t>
        </is>
      </c>
      <c r="E9" s="19" t="inlineStr">
        <is>
          <t>1204</t>
        </is>
      </c>
      <c r="F9" s="19" t="n">
        <v>12</v>
      </c>
      <c r="G9" s="19" t="n">
        <v>1</v>
      </c>
      <c r="H9" s="19" t="n">
        <v>32</v>
      </c>
      <c r="I9" s="13">
        <f>G9*H9</f>
        <v>32.0</v>
      </c>
      <c r="J9" s="20">
        <f>3750/1000</f>
        <v>3.75</v>
      </c>
      <c r="K9" s="21">
        <f>I9*J9</f>
        <v>120.0</v>
      </c>
      <c r="L9" s="22">
        <f>F9^2/162</f>
        <v>0.8888888888888888</v>
      </c>
      <c r="M9" s="21">
        <f>K9*L9</f>
        <v>106.66666666666666</v>
      </c>
      <c r="N9" s="22">
        <f>M9/1000</f>
        <v>0.10666666666666666</v>
      </c>
      <c r="O9" s="13" t="inlineStr">
        <is>
          <t>BBS</t>
        </is>
      </c>
    </row>
    <row r="11">
      <c r="D11" s="10" t="inlineStr">
        <is>
          <t>SUMMARY - TOP OF LIFT CORE: ELEMENT BY BAR SIZE (TONNES)</t>
        </is>
      </c>
    </row>
    <row r="12">
      <c r="D12" s="23" t="inlineStr">
        <is>
          <t>Element</t>
        </is>
      </c>
      <c r="E12" s="24" t="n">
        <v>10</v>
      </c>
      <c r="F12" s="24" t="n">
        <v>12</v>
      </c>
      <c r="G12" s="24" t="n">
        <v>16</v>
      </c>
      <c r="H12" s="24" t="n">
        <v>20</v>
      </c>
      <c r="I12" s="24" t="n">
        <v>25</v>
      </c>
      <c r="J12" s="23" t="inlineStr">
        <is>
          <t>Total (t)</t>
        </is>
      </c>
    </row>
    <row r="13">
      <c r="D13" s="13" t="inlineStr">
        <is>
          <t>Raft Foundation</t>
        </is>
      </c>
      <c r="E13" s="25">
        <f>SUMIFS($N$6:$N$9,$B$6:$B$9,$D13,$F$6:$F$9,E$12)</f>
        <v>0.0</v>
      </c>
      <c r="F13" s="25">
        <f>SUMIFS($N$6:$N$9,$B$6:$B$9,$D13,$F$6:$F$9,F$12)</f>
        <v>0.0</v>
      </c>
      <c r="G13" s="25">
        <f>SUMIFS($N$6:$N$9,$B$6:$B$9,$D13,$F$6:$F$9,G$12)</f>
        <v>0.0</v>
      </c>
      <c r="H13" s="25">
        <f>SUMIFS($N$6:$N$9,$B$6:$B$9,$D13,$F$6:$F$9,H$12)</f>
        <v>0.0</v>
      </c>
      <c r="I13" s="25">
        <f>SUMIFS($N$6:$N$9,$B$6:$B$9,$D13,$F$6:$F$9,I$12)</f>
        <v>0.0</v>
      </c>
      <c r="J13" s="17">
        <f>SUM(E13:I13)</f>
        <v>0.0</v>
      </c>
    </row>
    <row r="14">
      <c r="D14" s="13" t="inlineStr">
        <is>
          <t>Columns</t>
        </is>
      </c>
      <c r="E14" s="25">
        <f>SUMIFS($N$6:$N$9,$B$6:$B$9,$D14,$F$6:$F$9,E$12)</f>
        <v>0.0</v>
      </c>
      <c r="F14" s="25">
        <f>SUMIFS($N$6:$N$9,$B$6:$B$9,$D14,$F$6:$F$9,F$12)</f>
        <v>0.0</v>
      </c>
      <c r="G14" s="25">
        <f>SUMIFS($N$6:$N$9,$B$6:$B$9,$D14,$F$6:$F$9,G$12)</f>
        <v>0.0</v>
      </c>
      <c r="H14" s="25">
        <f>SUMIFS($N$6:$N$9,$B$6:$B$9,$D14,$F$6:$F$9,H$12)</f>
        <v>0.0</v>
      </c>
      <c r="I14" s="25">
        <f>SUMIFS($N$6:$N$9,$B$6:$B$9,$D14,$F$6:$F$9,I$12)</f>
        <v>0.0</v>
      </c>
      <c r="J14" s="17">
        <f>SUM(E14:I14)</f>
        <v>0.0</v>
      </c>
    </row>
    <row r="15">
      <c r="D15" s="13" t="inlineStr">
        <is>
          <t>Shear Walls</t>
        </is>
      </c>
      <c r="E15" s="25">
        <f>SUMIFS($N$6:$N$9,$B$6:$B$9,$D15,$F$6:$F$9,E$12)</f>
        <v>0.0</v>
      </c>
      <c r="F15" s="25">
        <f>SUMIFS($N$6:$N$9,$B$6:$B$9,$D15,$F$6:$F$9,F$12)</f>
        <v>0.0</v>
      </c>
      <c r="G15" s="25">
        <f>SUMIFS($N$6:$N$9,$B$6:$B$9,$D15,$F$6:$F$9,G$12)</f>
        <v>0.0</v>
      </c>
      <c r="H15" s="25">
        <f>SUMIFS($N$6:$N$9,$B$6:$B$9,$D15,$F$6:$F$9,H$12)</f>
        <v>0.0</v>
      </c>
      <c r="I15" s="25">
        <f>SUMIFS($N$6:$N$9,$B$6:$B$9,$D15,$F$6:$F$9,I$12)</f>
        <v>0.0</v>
      </c>
      <c r="J15" s="17">
        <f>SUM(E15:I15)</f>
        <v>0.0</v>
      </c>
    </row>
    <row r="16">
      <c r="D16" s="13" t="inlineStr">
        <is>
          <t>Lift Walls</t>
        </is>
      </c>
      <c r="E16" s="25">
        <f>SUMIFS($N$6:$N$9,$B$6:$B$9,$D16,$F$6:$F$9,E$12)</f>
        <v>0.0</v>
      </c>
      <c r="F16" s="25">
        <f>SUMIFS($N$6:$N$9,$B$6:$B$9,$D16,$F$6:$F$9,F$12)</f>
        <v>0.0</v>
      </c>
      <c r="G16" s="25">
        <f>SUMIFS($N$6:$N$9,$B$6:$B$9,$D16,$F$6:$F$9,G$12)</f>
        <v>0.0</v>
      </c>
      <c r="H16" s="25">
        <f>SUMIFS($N$6:$N$9,$B$6:$B$9,$D16,$F$6:$F$9,H$12)</f>
        <v>0.0</v>
      </c>
      <c r="I16" s="25">
        <f>SUMIFS($N$6:$N$9,$B$6:$B$9,$D16,$F$6:$F$9,I$12)</f>
        <v>0.0</v>
      </c>
      <c r="J16" s="17">
        <f>SUM(E16:I16)</f>
        <v>0.0</v>
      </c>
    </row>
    <row r="17">
      <c r="D17" s="13" t="inlineStr">
        <is>
          <t>Retaining / Ramp Walls</t>
        </is>
      </c>
      <c r="E17" s="25">
        <f>SUMIFS($N$6:$N$9,$B$6:$B$9,$D17,$F$6:$F$9,E$12)</f>
        <v>0.0</v>
      </c>
      <c r="F17" s="25">
        <f>SUMIFS($N$6:$N$9,$B$6:$B$9,$D17,$F$6:$F$9,F$12)</f>
        <v>0.0</v>
      </c>
      <c r="G17" s="25">
        <f>SUMIFS($N$6:$N$9,$B$6:$B$9,$D17,$F$6:$F$9,G$12)</f>
        <v>0.0</v>
      </c>
      <c r="H17" s="25">
        <f>SUMIFS($N$6:$N$9,$B$6:$B$9,$D17,$F$6:$F$9,H$12)</f>
        <v>0.0</v>
      </c>
      <c r="I17" s="25">
        <f>SUMIFS($N$6:$N$9,$B$6:$B$9,$D17,$F$6:$F$9,I$12)</f>
        <v>0.0</v>
      </c>
      <c r="J17" s="17">
        <f>SUM(E17:I17)</f>
        <v>0.0</v>
      </c>
    </row>
    <row r="18">
      <c r="D18" s="13" t="inlineStr">
        <is>
          <t>Beams</t>
        </is>
      </c>
      <c r="E18" s="25">
        <f>SUMIFS($N$6:$N$9,$B$6:$B$9,$D18,$F$6:$F$9,E$12)</f>
        <v>0.0</v>
      </c>
      <c r="F18" s="25">
        <f>SUMIFS($N$6:$N$9,$B$6:$B$9,$D18,$F$6:$F$9,F$12)</f>
        <v>0.0</v>
      </c>
      <c r="G18" s="25">
        <f>SUMIFS($N$6:$N$9,$B$6:$B$9,$D18,$F$6:$F$9,G$12)</f>
        <v>0.0</v>
      </c>
      <c r="H18" s="25">
        <f>SUMIFS($N$6:$N$9,$B$6:$B$9,$D18,$F$6:$F$9,H$12)</f>
        <v>0.0</v>
      </c>
      <c r="I18" s="25">
        <f>SUMIFS($N$6:$N$9,$B$6:$B$9,$D18,$F$6:$F$9,I$12)</f>
        <v>0.0</v>
      </c>
      <c r="J18" s="17">
        <f>SUM(E18:I18)</f>
        <v>0.0</v>
      </c>
    </row>
    <row r="19">
      <c r="D19" s="13" t="inlineStr">
        <is>
          <t>Floor Slabs</t>
        </is>
      </c>
      <c r="E19" s="25">
        <f>SUMIFS($N$6:$N$9,$B$6:$B$9,$D19,$F$6:$F$9,E$12)</f>
        <v>0.0</v>
      </c>
      <c r="F19" s="25">
        <f>SUMIFS($N$6:$N$9,$B$6:$B$9,$D19,$F$6:$F$9,F$12)</f>
        <v>0.0</v>
      </c>
      <c r="G19" s="25">
        <f>SUMIFS($N$6:$N$9,$B$6:$B$9,$D19,$F$6:$F$9,G$12)</f>
        <v>0.0</v>
      </c>
      <c r="H19" s="25">
        <f>SUMIFS($N$6:$N$9,$B$6:$B$9,$D19,$F$6:$F$9,H$12)</f>
        <v>0.0</v>
      </c>
      <c r="I19" s="25">
        <f>SUMIFS($N$6:$N$9,$B$6:$B$9,$D19,$F$6:$F$9,I$12)</f>
        <v>0.0</v>
      </c>
      <c r="J19" s="17">
        <f>SUM(E19:I19)</f>
        <v>0.0</v>
      </c>
    </row>
    <row r="20">
      <c r="D20" s="13" t="inlineStr">
        <is>
          <t>Staircases</t>
        </is>
      </c>
      <c r="E20" s="25">
        <f>SUMIFS($N$6:$N$9,$B$6:$B$9,$D20,$F$6:$F$9,E$12)</f>
        <v>0.0</v>
      </c>
      <c r="F20" s="25">
        <f>SUMIFS($N$6:$N$9,$B$6:$B$9,$D20,$F$6:$F$9,F$12)</f>
        <v>0.0</v>
      </c>
      <c r="G20" s="25">
        <f>SUMIFS($N$6:$N$9,$B$6:$B$9,$D20,$F$6:$F$9,G$12)</f>
        <v>0.0</v>
      </c>
      <c r="H20" s="25">
        <f>SUMIFS($N$6:$N$9,$B$6:$B$9,$D20,$F$6:$F$9,H$12)</f>
        <v>0.0</v>
      </c>
      <c r="I20" s="25">
        <f>SUMIFS($N$6:$N$9,$B$6:$B$9,$D20,$F$6:$F$9,I$12)</f>
        <v>0.0</v>
      </c>
      <c r="J20" s="17">
        <f>SUM(E20:I20)</f>
        <v>0.0</v>
      </c>
    </row>
    <row r="21">
      <c r="D21" s="13" t="inlineStr">
        <is>
          <t>Lift Core Roof Slab</t>
        </is>
      </c>
      <c r="E21" s="25">
        <f>SUMIFS($N$6:$N$9,$B$6:$B$9,$D21,$F$6:$F$9,E$12)</f>
        <v>0.0</v>
      </c>
      <c r="F21" s="25">
        <f>SUMIFS($N$6:$N$9,$B$6:$B$9,$D21,$F$6:$F$9,F$12)</f>
        <v>0.3659111111111111</v>
      </c>
      <c r="G21" s="25">
        <f>SUMIFS($N$6:$N$9,$B$6:$B$9,$D21,$F$6:$F$9,G$12)</f>
        <v>0.0</v>
      </c>
      <c r="H21" s="25">
        <f>SUMIFS($N$6:$N$9,$B$6:$B$9,$D21,$F$6:$F$9,H$12)</f>
        <v>0.0</v>
      </c>
      <c r="I21" s="25">
        <f>SUMIFS($N$6:$N$9,$B$6:$B$9,$D21,$F$6:$F$9,I$12)</f>
        <v>0.0</v>
      </c>
      <c r="J21" s="17">
        <f>SUM(E21:I21)</f>
        <v>0.3659111111111111</v>
      </c>
    </row>
    <row r="22">
      <c r="D22" s="16" t="inlineStr">
        <is>
          <t>TOTAL - TOP OF LIFT CORE</t>
        </is>
      </c>
      <c r="E22" s="26">
        <f>SUM(E13:E21)</f>
        <v>0.0</v>
      </c>
      <c r="F22" s="26">
        <f>SUM(F13:F21)</f>
        <v>0.3659111111111111</v>
      </c>
      <c r="G22" s="26">
        <f>SUM(G13:G21)</f>
        <v>0.0</v>
      </c>
      <c r="H22" s="26">
        <f>SUM(H13:H21)</f>
        <v>0.0</v>
      </c>
      <c r="I22" s="26">
        <f>SUM(I13:I21)</f>
        <v>0.0</v>
      </c>
      <c r="J22" s="26">
        <f>SUM(J13:J21)</f>
        <v>0.3659111111111111</v>
      </c>
      <c r="K22" s="7" t="inlineStr">
        <is>
          <t>Check vs detail (should be 0):</t>
        </is>
      </c>
      <c r="N22" s="7">
        <f>ROUND(SUM(N6:N9)-J22,6)</f>
        <v>0.0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6" customWidth="1" min="4" max="4"/>
    <col width="20" customWidth="1" min="5" max="5"/>
    <col width="12" customWidth="1" min="6" max="6"/>
    <col width="60" customWidth="1" min="7" max="7"/>
  </cols>
  <sheetData>
    <row r="1">
      <c r="A1" s="4" t="inlineStr">
        <is>
          <t>COLUMNS - RECONCILIATION OF ELEVATION TAKE-OFF WITH DRAWING BBS</t>
        </is>
      </c>
    </row>
    <row r="3">
      <c r="A3" s="6" t="inlineStr">
        <is>
          <t>Drawing</t>
        </is>
      </c>
      <c r="B3" s="6" t="inlineStr">
        <is>
          <t>Bar mark</t>
        </is>
      </c>
      <c r="C3" s="6" t="inlineStr">
        <is>
          <t>Dia</t>
        </is>
      </c>
      <c r="D3" s="6" t="inlineStr">
        <is>
          <t>BBS qty (drawing)</t>
        </is>
      </c>
      <c r="E3" s="6" t="inlineStr">
        <is>
          <t>Take-off qty (elevations)</t>
        </is>
      </c>
      <c r="F3" s="6" t="inlineStr">
        <is>
          <t>Difference</t>
        </is>
      </c>
      <c r="G3" s="6" t="inlineStr">
        <is>
          <t>Remark</t>
        </is>
      </c>
    </row>
    <row r="4">
      <c r="A4" s="13" t="inlineStr">
        <is>
          <t>STR-007</t>
        </is>
      </c>
      <c r="B4" s="13" t="inlineStr">
        <is>
          <t>1001</t>
        </is>
      </c>
      <c r="C4" s="13" t="n">
        <v>10</v>
      </c>
      <c r="D4" s="19" t="n">
        <v>1818</v>
      </c>
      <c r="E4" s="19" t="n">
        <v>1818</v>
      </c>
      <c r="F4" s="13">
        <f>E4-D4</f>
        <v>0.0</v>
      </c>
      <c r="G4" s="13" t="inlineStr">
        <is>
          <t>Elevation link counts (COL-01D M-levels) differ slightly from BBS - elevations used</t>
        </is>
      </c>
    </row>
    <row r="5">
      <c r="A5" s="13" t="inlineStr">
        <is>
          <t>STR-007</t>
        </is>
      </c>
      <c r="B5" s="13" t="inlineStr">
        <is>
          <t>1002</t>
        </is>
      </c>
      <c r="C5" s="13" t="n">
        <v>10</v>
      </c>
      <c r="D5" s="19" t="n">
        <v>3636</v>
      </c>
      <c r="E5" s="19" t="n">
        <v>3636</v>
      </c>
      <c r="F5" s="13">
        <f>E5-D5</f>
        <v>0.0</v>
      </c>
      <c r="G5" s="13" t="inlineStr">
        <is>
          <t>As 1001</t>
        </is>
      </c>
    </row>
    <row r="6">
      <c r="A6" s="13" t="inlineStr">
        <is>
          <t>STR-007</t>
        </is>
      </c>
      <c r="B6" s="13" t="inlineStr">
        <is>
          <t>1003</t>
        </is>
      </c>
      <c r="C6" s="13" t="n">
        <v>10</v>
      </c>
      <c r="D6" s="19" t="n">
        <v>1818</v>
      </c>
      <c r="E6" s="19" t="n">
        <v>1818</v>
      </c>
      <c r="F6" s="13">
        <f>E6-D6</f>
        <v>0.0</v>
      </c>
      <c r="G6" s="13" t="inlineStr">
        <is>
          <t>As 1001</t>
        </is>
      </c>
    </row>
    <row r="7">
      <c r="A7" s="13" t="inlineStr">
        <is>
          <t>STR-007</t>
        </is>
      </c>
      <c r="B7" s="13" t="inlineStr">
        <is>
          <t>2001</t>
        </is>
      </c>
      <c r="C7" s="13" t="n">
        <v>20</v>
      </c>
      <c r="D7" s="19" t="n">
        <v>512</v>
      </c>
      <c r="E7" s="19" t="n">
        <v>512</v>
      </c>
      <c r="F7" s="13">
        <f>E7-D7</f>
        <v>0.0</v>
      </c>
      <c r="G7" s="13" t="inlineStr">
        <is>
          <t>BBS 512 appears copied from STR-007; elevations show 368 - elevations used (RFI)</t>
        </is>
      </c>
    </row>
    <row r="8">
      <c r="A8" s="13" t="inlineStr">
        <is>
          <t>STR-007</t>
        </is>
      </c>
      <c r="B8" s="13" t="inlineStr">
        <is>
          <t>2002</t>
        </is>
      </c>
      <c r="C8" s="13" t="n">
        <v>20</v>
      </c>
      <c r="D8" s="19" t="n">
        <v>96</v>
      </c>
      <c r="E8" s="19" t="n">
        <v>96</v>
      </c>
      <c r="F8" s="13">
        <f>E8-D8</f>
        <v>0.0</v>
      </c>
      <c r="G8" s="13" t="inlineStr"/>
    </row>
    <row r="9">
      <c r="A9" s="13" t="inlineStr">
        <is>
          <t>STR-007</t>
        </is>
      </c>
      <c r="B9" s="13" t="inlineStr">
        <is>
          <t>2501</t>
        </is>
      </c>
      <c r="C9" s="13" t="n">
        <v>25</v>
      </c>
      <c r="D9" s="19" t="n">
        <v>96</v>
      </c>
      <c r="E9" s="19" t="n">
        <v>96</v>
      </c>
      <c r="F9" s="13">
        <f>E9-D9</f>
        <v>0.0</v>
      </c>
      <c r="G9" s="13" t="inlineStr"/>
    </row>
    <row r="10">
      <c r="A10" s="13" t="inlineStr">
        <is>
          <t>STR-007</t>
        </is>
      </c>
      <c r="B10" s="13" t="inlineStr">
        <is>
          <t>2502</t>
        </is>
      </c>
      <c r="C10" s="13" t="n">
        <v>25</v>
      </c>
      <c r="D10" s="19" t="n">
        <v>96</v>
      </c>
      <c r="E10" s="19" t="n">
        <v>96</v>
      </c>
      <c r="F10" s="13">
        <f>E10-D10</f>
        <v>0.0</v>
      </c>
      <c r="G10" s="13" t="inlineStr"/>
    </row>
    <row r="11">
      <c r="A11" s="13" t="inlineStr">
        <is>
          <t>STR-007</t>
        </is>
      </c>
      <c r="B11" s="13" t="inlineStr">
        <is>
          <t>2503</t>
        </is>
      </c>
      <c r="C11" s="13" t="n">
        <v>25</v>
      </c>
      <c r="D11" s="19" t="n">
        <v>96</v>
      </c>
      <c r="E11" s="19" t="n">
        <v>96</v>
      </c>
      <c r="F11" s="13">
        <f>E11-D11</f>
        <v>0.0</v>
      </c>
      <c r="G11" s="13" t="inlineStr"/>
    </row>
    <row r="12">
      <c r="A12" s="13" t="inlineStr">
        <is>
          <t>STR-007</t>
        </is>
      </c>
      <c r="B12" s="13" t="inlineStr">
        <is>
          <t>2504</t>
        </is>
      </c>
      <c r="C12" s="13" t="n">
        <v>25</v>
      </c>
      <c r="D12" s="19" t="n">
        <v>96</v>
      </c>
      <c r="E12" s="19" t="n">
        <v>96</v>
      </c>
      <c r="F12" s="13">
        <f>E12-D12</f>
        <v>0.0</v>
      </c>
      <c r="G12" s="13" t="inlineStr"/>
    </row>
    <row r="13">
      <c r="A13" s="13" t="inlineStr">
        <is>
          <t>STR-008</t>
        </is>
      </c>
      <c r="B13" s="13" t="inlineStr">
        <is>
          <t>1001</t>
        </is>
      </c>
      <c r="C13" s="13" t="n">
        <v>10</v>
      </c>
      <c r="D13" s="19" t="n">
        <v>1083</v>
      </c>
      <c r="E13" s="19" t="n">
        <v>1113</v>
      </c>
      <c r="F13" s="13">
        <f>E13-D13</f>
        <v>30.0</v>
      </c>
      <c r="G13" s="13" t="inlineStr"/>
    </row>
    <row r="14">
      <c r="A14" s="13" t="inlineStr">
        <is>
          <t>STR-008</t>
        </is>
      </c>
      <c r="B14" s="13" t="inlineStr">
        <is>
          <t>1002</t>
        </is>
      </c>
      <c r="C14" s="13" t="n">
        <v>10</v>
      </c>
      <c r="D14" s="19" t="n">
        <v>2166</v>
      </c>
      <c r="E14" s="19" t="n">
        <v>2226</v>
      </c>
      <c r="F14" s="13">
        <f>E14-D14</f>
        <v>60.0</v>
      </c>
      <c r="G14" s="13" t="inlineStr"/>
    </row>
    <row r="15">
      <c r="A15" s="13" t="inlineStr">
        <is>
          <t>STR-008</t>
        </is>
      </c>
      <c r="B15" s="13" t="inlineStr">
        <is>
          <t>1003</t>
        </is>
      </c>
      <c r="C15" s="13" t="n">
        <v>10</v>
      </c>
      <c r="D15" s="19" t="n">
        <v>1083</v>
      </c>
      <c r="E15" s="19" t="n">
        <v>1113</v>
      </c>
      <c r="F15" s="13">
        <f>E15-D15</f>
        <v>30.0</v>
      </c>
      <c r="G15" s="13" t="inlineStr"/>
    </row>
    <row r="16">
      <c r="A16" s="13" t="inlineStr">
        <is>
          <t>STR-008</t>
        </is>
      </c>
      <c r="B16" s="13" t="inlineStr">
        <is>
          <t>2001</t>
        </is>
      </c>
      <c r="C16" s="13" t="n">
        <v>20</v>
      </c>
      <c r="D16" s="19" t="n">
        <v>512</v>
      </c>
      <c r="E16" s="19" t="n">
        <v>368</v>
      </c>
      <c r="F16" s="13">
        <f>E16-D16</f>
        <v>-144.0</v>
      </c>
      <c r="G16" s="13" t="inlineStr"/>
    </row>
    <row r="17">
      <c r="A17" s="13" t="inlineStr">
        <is>
          <t>STR-008</t>
        </is>
      </c>
      <c r="B17" s="13" t="inlineStr">
        <is>
          <t>2002</t>
        </is>
      </c>
      <c r="C17" s="13" t="n">
        <v>20</v>
      </c>
      <c r="D17" s="19" t="n">
        <v>16</v>
      </c>
      <c r="E17" s="19" t="n">
        <v>16</v>
      </c>
      <c r="F17" s="13">
        <f>E17-D17</f>
        <v>0.0</v>
      </c>
      <c r="G17" s="13" t="inlineStr"/>
    </row>
    <row r="18">
      <c r="A18" s="13" t="inlineStr">
        <is>
          <t>STR-008</t>
        </is>
      </c>
      <c r="B18" s="13" t="inlineStr">
        <is>
          <t>2003</t>
        </is>
      </c>
      <c r="C18" s="13" t="n">
        <v>20</v>
      </c>
      <c r="D18" s="19" t="n">
        <v>32</v>
      </c>
      <c r="E18" s="19" t="n">
        <v>32</v>
      </c>
      <c r="F18" s="13">
        <f>E18-D18</f>
        <v>0.0</v>
      </c>
      <c r="G18" s="13" t="inlineStr"/>
    </row>
    <row r="19">
      <c r="A19" s="13" t="inlineStr">
        <is>
          <t>STR-008</t>
        </is>
      </c>
      <c r="B19" s="13" t="inlineStr">
        <is>
          <t>2004</t>
        </is>
      </c>
      <c r="C19" s="13" t="n">
        <v>20</v>
      </c>
      <c r="D19" s="19" t="n">
        <v>16</v>
      </c>
      <c r="E19" s="19" t="n">
        <v>16</v>
      </c>
      <c r="F19" s="13">
        <f>E19-D19</f>
        <v>0.0</v>
      </c>
      <c r="G19" s="13" t="inlineStr"/>
    </row>
    <row r="20">
      <c r="A20" s="13" t="inlineStr">
        <is>
          <t>STR-008</t>
        </is>
      </c>
      <c r="B20" s="13" t="inlineStr">
        <is>
          <t>2005</t>
        </is>
      </c>
      <c r="C20" s="13" t="n">
        <v>20</v>
      </c>
      <c r="D20" s="19" t="n">
        <v>16</v>
      </c>
      <c r="E20" s="19" t="n">
        <v>16</v>
      </c>
      <c r="F20" s="13">
        <f>E20-D20</f>
        <v>0.0</v>
      </c>
      <c r="G20" s="13" t="inlineStr"/>
    </row>
    <row r="21">
      <c r="A21" s="13" t="inlineStr">
        <is>
          <t>STR-008</t>
        </is>
      </c>
      <c r="B21" s="13" t="inlineStr">
        <is>
          <t>2501</t>
        </is>
      </c>
      <c r="C21" s="13" t="n">
        <v>25</v>
      </c>
      <c r="D21" s="19" t="n">
        <v>48</v>
      </c>
      <c r="E21" s="19" t="n">
        <v>48</v>
      </c>
      <c r="F21" s="13">
        <f>E21-D21</f>
        <v>0.0</v>
      </c>
      <c r="G21" s="13" t="inlineStr"/>
    </row>
    <row r="22">
      <c r="A22" s="13" t="inlineStr">
        <is>
          <t>STR-008</t>
        </is>
      </c>
      <c r="B22" s="13" t="inlineStr">
        <is>
          <t>2502</t>
        </is>
      </c>
      <c r="C22" s="13" t="n">
        <v>25</v>
      </c>
      <c r="D22" s="19" t="n">
        <v>32</v>
      </c>
      <c r="E22" s="19" t="n">
        <v>32</v>
      </c>
      <c r="F22" s="13">
        <f>E22-D22</f>
        <v>0.0</v>
      </c>
      <c r="G22" s="13" t="inlineStr"/>
    </row>
    <row r="23">
      <c r="A23" s="13" t="inlineStr">
        <is>
          <t>STR-008</t>
        </is>
      </c>
      <c r="B23" s="13" t="inlineStr">
        <is>
          <t>2503</t>
        </is>
      </c>
      <c r="C23" s="13" t="n">
        <v>25</v>
      </c>
      <c r="D23" s="19" t="n">
        <v>48</v>
      </c>
      <c r="E23" s="19" t="n">
        <v>48</v>
      </c>
      <c r="F23" s="13">
        <f>E23-D23</f>
        <v>0.0</v>
      </c>
      <c r="G23" s="13" t="inlineStr"/>
    </row>
    <row r="24">
      <c r="A24" s="13" t="inlineStr">
        <is>
          <t>STR-008</t>
        </is>
      </c>
      <c r="B24" s="13" t="inlineStr">
        <is>
          <t>2504</t>
        </is>
      </c>
      <c r="C24" s="13" t="n">
        <v>25</v>
      </c>
      <c r="D24" s="19" t="n">
        <v>32</v>
      </c>
      <c r="E24" s="19" t="n">
        <v>32</v>
      </c>
      <c r="F24" s="13">
        <f>E24-D24</f>
        <v>0.0</v>
      </c>
      <c r="G24" s="13" t="inlineStr"/>
    </row>
    <row r="25">
      <c r="A25" s="13" t="inlineStr">
        <is>
          <t>STR-008</t>
        </is>
      </c>
      <c r="B25" s="13" t="inlineStr">
        <is>
          <t>2505</t>
        </is>
      </c>
      <c r="C25" s="13" t="n">
        <v>25</v>
      </c>
      <c r="D25" s="19" t="n">
        <v>16</v>
      </c>
      <c r="E25" s="19" t="n">
        <v>16</v>
      </c>
      <c r="F25" s="13">
        <f>E25-D25</f>
        <v>0.0</v>
      </c>
      <c r="G25" s="13" t="inlineStr"/>
    </row>
    <row r="26">
      <c r="A26" s="13" t="inlineStr">
        <is>
          <t>STR-010</t>
        </is>
      </c>
      <c r="B26" s="13" t="inlineStr">
        <is>
          <t>1004</t>
        </is>
      </c>
      <c r="C26" s="13" t="n">
        <v>10</v>
      </c>
      <c r="D26" s="19" t="n">
        <v>3036</v>
      </c>
      <c r="E26" s="19" t="n">
        <v>3036</v>
      </c>
      <c r="F26" s="13">
        <f>E26-D26</f>
        <v>0.0</v>
      </c>
      <c r="G26" s="13" t="inlineStr">
        <is>
          <t>Minor - elevation counts used</t>
        </is>
      </c>
    </row>
    <row r="27">
      <c r="A27" s="13" t="inlineStr">
        <is>
          <t>STR-010</t>
        </is>
      </c>
      <c r="B27" s="13" t="inlineStr">
        <is>
          <t>1005</t>
        </is>
      </c>
      <c r="C27" s="13" t="n">
        <v>10</v>
      </c>
      <c r="D27" s="19" t="n">
        <v>15426</v>
      </c>
      <c r="E27" s="19" t="n">
        <v>15180</v>
      </c>
      <c r="F27" s="13">
        <f>E27-D27</f>
        <v>-246.0</v>
      </c>
      <c r="G27" s="13" t="inlineStr">
        <is>
          <t>Cross-ties at BBS ratio 3 per set</t>
        </is>
      </c>
    </row>
    <row r="28">
      <c r="A28" s="13" t="inlineStr">
        <is>
          <t>STR-010</t>
        </is>
      </c>
      <c r="B28" s="13" t="inlineStr">
        <is>
          <t>2001</t>
        </is>
      </c>
      <c r="C28" s="13" t="n">
        <v>20</v>
      </c>
      <c r="D28" s="19" t="n">
        <v>1026</v>
      </c>
      <c r="E28" s="19" t="n">
        <v>1026</v>
      </c>
      <c r="F28" s="13">
        <f>E28-D28</f>
        <v>0.0</v>
      </c>
      <c r="G28" s="13" t="inlineStr"/>
    </row>
    <row r="29">
      <c r="A29" s="13" t="inlineStr">
        <is>
          <t>STR-010</t>
        </is>
      </c>
      <c r="B29" s="13" t="inlineStr">
        <is>
          <t>2006</t>
        </is>
      </c>
      <c r="C29" s="13" t="n">
        <v>20</v>
      </c>
      <c r="D29" s="19" t="n">
        <v>162</v>
      </c>
      <c r="E29" s="19" t="n">
        <v>162</v>
      </c>
      <c r="F29" s="13">
        <f>E29-D29</f>
        <v>0.0</v>
      </c>
      <c r="G29" s="13" t="inlineStr"/>
    </row>
    <row r="30">
      <c r="A30" s="13" t="inlineStr">
        <is>
          <t>STR-010</t>
        </is>
      </c>
      <c r="B30" s="13" t="inlineStr">
        <is>
          <t>2501</t>
        </is>
      </c>
      <c r="C30" s="13" t="n">
        <v>25</v>
      </c>
      <c r="D30" s="19" t="n">
        <v>108</v>
      </c>
      <c r="E30" s="19" t="n">
        <v>162</v>
      </c>
      <c r="F30" s="13">
        <f>E30-D30</f>
        <v>54.0</v>
      </c>
      <c r="G30" s="13" t="inlineStr"/>
    </row>
    <row r="31">
      <c r="A31" s="13" t="inlineStr">
        <is>
          <t>STR-010</t>
        </is>
      </c>
      <c r="B31" s="13" t="inlineStr">
        <is>
          <t>2502</t>
        </is>
      </c>
      <c r="C31" s="13" t="n">
        <v>25</v>
      </c>
      <c r="D31" s="19" t="n">
        <v>108</v>
      </c>
      <c r="E31" s="19" t="n">
        <v>162</v>
      </c>
      <c r="F31" s="13">
        <f>E31-D31</f>
        <v>54.0</v>
      </c>
      <c r="G31" s="13" t="inlineStr"/>
    </row>
    <row r="32">
      <c r="A32" s="13" t="inlineStr">
        <is>
          <t>STR-010</t>
        </is>
      </c>
      <c r="B32" s="13" t="inlineStr">
        <is>
          <t>2503</t>
        </is>
      </c>
      <c r="C32" s="13" t="n">
        <v>25</v>
      </c>
      <c r="D32" s="19" t="n">
        <v>108</v>
      </c>
      <c r="E32" s="19" t="n">
        <v>162</v>
      </c>
      <c r="F32" s="13">
        <f>E32-D32</f>
        <v>54.0</v>
      </c>
      <c r="G32" s="13" t="inlineStr"/>
    </row>
    <row r="33">
      <c r="A33" s="13" t="inlineStr">
        <is>
          <t>STR-010</t>
        </is>
      </c>
      <c r="B33" s="13" t="inlineStr">
        <is>
          <t>2504</t>
        </is>
      </c>
      <c r="C33" s="13" t="n">
        <v>25</v>
      </c>
      <c r="D33" s="19" t="n">
        <v>108</v>
      </c>
      <c r="E33" s="19" t="n">
        <v>162</v>
      </c>
      <c r="F33" s="13">
        <f>E33-D33</f>
        <v>54.0</v>
      </c>
      <c r="G33" s="13" t="inlineStr"/>
    </row>
    <row r="34">
      <c r="A34" s="13" t="inlineStr">
        <is>
          <t>STR-011</t>
        </is>
      </c>
      <c r="B34" s="13" t="inlineStr">
        <is>
          <t>1004</t>
        </is>
      </c>
      <c r="C34" s="13" t="n">
        <v>10</v>
      </c>
      <c r="D34" s="19" t="n">
        <v>5834</v>
      </c>
      <c r="E34" s="19" t="n">
        <v>5806</v>
      </c>
      <c r="F34" s="13">
        <f>E34-D34</f>
        <v>-28.0</v>
      </c>
      <c r="G34" s="13" t="inlineStr"/>
    </row>
    <row r="35">
      <c r="A35" s="13" t="inlineStr">
        <is>
          <t>STR-011</t>
        </is>
      </c>
      <c r="B35" s="13" t="inlineStr">
        <is>
          <t>1005</t>
        </is>
      </c>
      <c r="C35" s="13" t="n">
        <v>10</v>
      </c>
      <c r="D35" s="19" t="n">
        <v>17412</v>
      </c>
      <c r="E35" s="19" t="n">
        <v>17418</v>
      </c>
      <c r="F35" s="13">
        <f>E35-D35</f>
        <v>6.0</v>
      </c>
      <c r="G35" s="13" t="inlineStr"/>
    </row>
    <row r="36">
      <c r="A36" s="13" t="inlineStr">
        <is>
          <t>STR-011</t>
        </is>
      </c>
      <c r="B36" s="13" t="inlineStr">
        <is>
          <t>2001</t>
        </is>
      </c>
      <c r="C36" s="13" t="n">
        <v>20</v>
      </c>
      <c r="D36" s="19" t="n">
        <v>2304</v>
      </c>
      <c r="E36" s="19" t="n">
        <v>2304</v>
      </c>
      <c r="F36" s="13">
        <f>E36-D36</f>
        <v>0.0</v>
      </c>
      <c r="G36" s="13" t="inlineStr"/>
    </row>
    <row r="37">
      <c r="A37" s="13" t="inlineStr">
        <is>
          <t>STR-011</t>
        </is>
      </c>
      <c r="B37" s="13" t="inlineStr">
        <is>
          <t>2006</t>
        </is>
      </c>
      <c r="C37" s="13" t="n">
        <v>20</v>
      </c>
      <c r="D37" s="19" t="n">
        <v>270</v>
      </c>
      <c r="E37" s="19" t="n">
        <v>270</v>
      </c>
      <c r="F37" s="13">
        <f>E37-D37</f>
        <v>0.0</v>
      </c>
      <c r="G37" s="13" t="inlineStr"/>
    </row>
    <row r="38">
      <c r="A38" s="13" t="inlineStr">
        <is>
          <t>STR-011</t>
        </is>
      </c>
      <c r="B38" s="13" t="inlineStr">
        <is>
          <t>2007</t>
        </is>
      </c>
      <c r="C38" s="13" t="n">
        <v>20</v>
      </c>
      <c r="D38" s="19" t="n">
        <v>18</v>
      </c>
      <c r="E38" s="19" t="n">
        <v>18</v>
      </c>
      <c r="F38" s="13">
        <f>E38-D38</f>
        <v>0.0</v>
      </c>
      <c r="G38" s="13" t="inlineStr"/>
    </row>
    <row r="39">
      <c r="A39" s="13" t="inlineStr">
        <is>
          <t>STR-011</t>
        </is>
      </c>
      <c r="B39" s="13" t="inlineStr">
        <is>
          <t>2501</t>
        </is>
      </c>
      <c r="C39" s="13" t="n">
        <v>25</v>
      </c>
      <c r="D39" s="19" t="n">
        <v>288</v>
      </c>
      <c r="E39" s="19" t="n">
        <v>288</v>
      </c>
      <c r="F39" s="13">
        <f>E39-D39</f>
        <v>0.0</v>
      </c>
      <c r="G39" s="13" t="inlineStr"/>
    </row>
    <row r="40">
      <c r="A40" s="13" t="inlineStr">
        <is>
          <t>STR-011</t>
        </is>
      </c>
      <c r="B40" s="13" t="inlineStr">
        <is>
          <t>2502</t>
        </is>
      </c>
      <c r="C40" s="13" t="n">
        <v>25</v>
      </c>
      <c r="D40" s="19" t="n">
        <v>18</v>
      </c>
      <c r="E40" s="19" t="n">
        <v>18</v>
      </c>
      <c r="F40" s="13">
        <f>E40-D40</f>
        <v>0.0</v>
      </c>
      <c r="G40" s="13" t="inlineStr"/>
    </row>
    <row r="41">
      <c r="A41" s="13" t="inlineStr">
        <is>
          <t>STR-011</t>
        </is>
      </c>
      <c r="B41" s="13" t="inlineStr">
        <is>
          <t>2503</t>
        </is>
      </c>
      <c r="C41" s="13" t="n">
        <v>25</v>
      </c>
      <c r="D41" s="19" t="n">
        <v>18</v>
      </c>
      <c r="E41" s="19" t="n">
        <v>18</v>
      </c>
      <c r="F41" s="13">
        <f>E41-D41</f>
        <v>0.0</v>
      </c>
      <c r="G41" s="13" t="inlineStr"/>
    </row>
    <row r="42">
      <c r="A42" s="13" t="inlineStr">
        <is>
          <t>STR-011</t>
        </is>
      </c>
      <c r="B42" s="13" t="inlineStr">
        <is>
          <t>2504</t>
        </is>
      </c>
      <c r="C42" s="13" t="n">
        <v>25</v>
      </c>
      <c r="D42" s="19" t="n">
        <v>18</v>
      </c>
      <c r="E42" s="19" t="n">
        <v>18</v>
      </c>
      <c r="F42" s="13">
        <f>E42-D42</f>
        <v>0.0</v>
      </c>
      <c r="G42" s="13" t="inlineStr"/>
    </row>
    <row r="43">
      <c r="A43" s="13" t="inlineStr">
        <is>
          <t>STR-011</t>
        </is>
      </c>
      <c r="B43" s="13" t="inlineStr">
        <is>
          <t>2505</t>
        </is>
      </c>
      <c r="C43" s="13" t="n">
        <v>25</v>
      </c>
      <c r="D43" s="19" t="n">
        <v>270</v>
      </c>
      <c r="E43" s="19" t="n">
        <v>270</v>
      </c>
      <c r="F43" s="13">
        <f>E43-D43</f>
        <v>0.0</v>
      </c>
      <c r="G43" s="13" t="inlineStr"/>
    </row>
    <row r="44">
      <c r="A44" s="13" t="inlineStr">
        <is>
          <t>STR-011</t>
        </is>
      </c>
      <c r="B44" s="13" t="inlineStr">
        <is>
          <t>2506</t>
        </is>
      </c>
      <c r="C44" s="13" t="n">
        <v>25</v>
      </c>
      <c r="D44" s="19" t="n">
        <v>540</v>
      </c>
      <c r="E44" s="19" t="n">
        <v>540</v>
      </c>
      <c r="F44" s="13">
        <f>E44-D44</f>
        <v>0.0</v>
      </c>
      <c r="G44" s="13" t="inlineStr"/>
    </row>
    <row r="45">
      <c r="A45" s="13" t="inlineStr">
        <is>
          <t>STR-012</t>
        </is>
      </c>
      <c r="B45" s="13" t="inlineStr">
        <is>
          <t>1001</t>
        </is>
      </c>
      <c r="C45" s="13" t="n">
        <v>10</v>
      </c>
      <c r="D45" s="19" t="n">
        <v>292</v>
      </c>
      <c r="E45" s="19" t="n">
        <v>292</v>
      </c>
      <c r="F45" s="13">
        <f>E45-D45</f>
        <v>0.0</v>
      </c>
      <c r="G45" s="13" t="inlineStr"/>
    </row>
    <row r="46">
      <c r="A46" s="13" t="inlineStr">
        <is>
          <t>STR-012</t>
        </is>
      </c>
      <c r="B46" s="13" t="inlineStr">
        <is>
          <t>1002</t>
        </is>
      </c>
      <c r="C46" s="13" t="n">
        <v>10</v>
      </c>
      <c r="D46" s="19" t="n">
        <v>292</v>
      </c>
      <c r="E46" s="19" t="n">
        <v>292</v>
      </c>
      <c r="F46" s="13">
        <f>E46-D46</f>
        <v>0.0</v>
      </c>
      <c r="G46" s="13" t="inlineStr"/>
    </row>
    <row r="47">
      <c r="A47" s="13" t="inlineStr">
        <is>
          <t>STR-012</t>
        </is>
      </c>
      <c r="B47" s="13" t="inlineStr">
        <is>
          <t>1003</t>
        </is>
      </c>
      <c r="C47" s="13" t="n">
        <v>10</v>
      </c>
      <c r="D47" s="19" t="n">
        <v>2044</v>
      </c>
      <c r="E47" s="19" t="n">
        <v>2044</v>
      </c>
      <c r="F47" s="13">
        <f>E47-D47</f>
        <v>0.0</v>
      </c>
      <c r="G47" s="13" t="inlineStr"/>
    </row>
    <row r="48">
      <c r="A48" s="13" t="inlineStr">
        <is>
          <t>STR-012</t>
        </is>
      </c>
      <c r="B48" s="13" t="inlineStr">
        <is>
          <t>1004</t>
        </is>
      </c>
      <c r="C48" s="13" t="n">
        <v>10</v>
      </c>
      <c r="D48" s="19" t="n">
        <v>1168</v>
      </c>
      <c r="E48" s="19" t="n">
        <v>1168</v>
      </c>
      <c r="F48" s="13">
        <f>E48-D48</f>
        <v>0.0</v>
      </c>
      <c r="G48" s="13" t="inlineStr"/>
    </row>
    <row r="49">
      <c r="A49" s="13" t="inlineStr">
        <is>
          <t>STR-012</t>
        </is>
      </c>
      <c r="B49" s="13" t="inlineStr">
        <is>
          <t>2001</t>
        </is>
      </c>
      <c r="C49" s="13" t="n">
        <v>20</v>
      </c>
      <c r="D49" s="19" t="n">
        <v>240</v>
      </c>
      <c r="E49" s="19" t="n">
        <v>240</v>
      </c>
      <c r="F49" s="13">
        <f>E49-D49</f>
        <v>0.0</v>
      </c>
      <c r="G49" s="13" t="inlineStr"/>
    </row>
    <row r="50">
      <c r="A50" s="13" t="inlineStr">
        <is>
          <t>STR-012</t>
        </is>
      </c>
      <c r="B50" s="13" t="inlineStr">
        <is>
          <t>2004</t>
        </is>
      </c>
      <c r="C50" s="13" t="n">
        <v>20</v>
      </c>
      <c r="D50" s="19" t="n">
        <v>48</v>
      </c>
      <c r="E50" s="19" t="n">
        <v>48</v>
      </c>
      <c r="F50" s="13">
        <f>E50-D50</f>
        <v>0.0</v>
      </c>
      <c r="G50" s="13" t="inlineStr"/>
    </row>
    <row r="51">
      <c r="A51" s="13" t="inlineStr">
        <is>
          <t>STR-012</t>
        </is>
      </c>
      <c r="B51" s="13" t="inlineStr">
        <is>
          <t>2008</t>
        </is>
      </c>
      <c r="C51" s="13" t="n">
        <v>20</v>
      </c>
      <c r="D51" s="19" t="n">
        <v>48</v>
      </c>
      <c r="E51" s="19" t="n">
        <v>48</v>
      </c>
      <c r="F51" s="13">
        <f>E51-D51</f>
        <v>0.0</v>
      </c>
      <c r="G51" s="13" t="inlineStr"/>
    </row>
    <row r="52">
      <c r="A52" s="13" t="inlineStr">
        <is>
          <t>STR-012</t>
        </is>
      </c>
      <c r="B52" s="13" t="inlineStr">
        <is>
          <t>2009</t>
        </is>
      </c>
      <c r="C52" s="13" t="n">
        <v>20</v>
      </c>
      <c r="D52" s="19" t="n">
        <v>48</v>
      </c>
      <c r="E52" s="19" t="n">
        <v>48</v>
      </c>
      <c r="F52" s="13">
        <f>E52-D52</f>
        <v>0.0</v>
      </c>
      <c r="G52" s="13" t="inlineStr"/>
    </row>
    <row r="53">
      <c r="A53" s="13" t="inlineStr">
        <is>
          <t>STR-012</t>
        </is>
      </c>
      <c r="B53" s="13" t="inlineStr">
        <is>
          <t>2010</t>
        </is>
      </c>
      <c r="C53" s="13" t="n">
        <v>20</v>
      </c>
      <c r="D53" s="19" t="n">
        <v>48</v>
      </c>
      <c r="E53" s="19" t="n">
        <v>48</v>
      </c>
      <c r="F53" s="13">
        <f>E53-D53</f>
        <v>0.0</v>
      </c>
      <c r="G53" s="13" t="inlineStr"/>
    </row>
    <row r="54">
      <c r="A54" s="13" t="inlineStr">
        <is>
          <t>STR-012</t>
        </is>
      </c>
      <c r="B54" s="13" t="inlineStr">
        <is>
          <t>2011</t>
        </is>
      </c>
      <c r="C54" s="13" t="n">
        <v>25</v>
      </c>
      <c r="D54" s="19" t="n">
        <v>48</v>
      </c>
      <c r="E54" s="19" t="n">
        <v>48</v>
      </c>
      <c r="F54" s="13">
        <f>E54-D54</f>
        <v>0.0</v>
      </c>
      <c r="G54" s="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53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52" customWidth="1" min="3" max="3"/>
    <col width="40" customWidth="1" min="4" max="4"/>
    <col width="9" customWidth="1" min="5" max="5"/>
    <col width="6" customWidth="1" min="6" max="6"/>
    <col width="8" customWidth="1" min="7" max="7"/>
    <col width="11" customWidth="1" min="8" max="8"/>
    <col width="16" customWidth="1" min="9" max="9"/>
  </cols>
  <sheetData>
    <row r="1">
      <c r="A1" s="4" t="inlineStr">
        <is>
          <t>REGISTER OF BAR BENDING SCHEDULES TRANSCRIBED FROM DRAWINGS (single-floor quantities)</t>
        </is>
      </c>
    </row>
    <row r="3">
      <c r="A3" s="6" t="inlineStr">
        <is>
          <t>Drawing</t>
        </is>
      </c>
      <c r="B3" s="6" t="inlineStr">
        <is>
          <t>Element</t>
        </is>
      </c>
      <c r="C3" s="6" t="inlineStr">
        <is>
          <t>Schedule</t>
        </is>
      </c>
      <c r="D3" s="6" t="inlineStr">
        <is>
          <t>Measured on floors</t>
        </is>
      </c>
      <c r="E3" s="6" t="inlineStr">
        <is>
          <t>Bar mark</t>
        </is>
      </c>
      <c r="F3" s="6" t="inlineStr">
        <is>
          <t>Dia</t>
        </is>
      </c>
      <c r="G3" s="6" t="inlineStr">
        <is>
          <t>Qty</t>
        </is>
      </c>
      <c r="H3" s="6" t="inlineStr">
        <is>
          <t>Length (mm)</t>
        </is>
      </c>
      <c r="I3" s="6" t="inlineStr">
        <is>
          <t>Weight per floor (kg)</t>
        </is>
      </c>
    </row>
    <row r="4">
      <c r="A4" s="7" t="inlineStr">
        <is>
          <t>STR-004</t>
        </is>
      </c>
      <c r="B4" s="7" t="inlineStr">
        <is>
          <t>Raft Foundation</t>
        </is>
      </c>
      <c r="C4" s="7" t="inlineStr">
        <is>
          <t>Raft - bottom reinforcement</t>
        </is>
      </c>
      <c r="D4" s="7" t="inlineStr">
        <is>
          <t>F00</t>
        </is>
      </c>
      <c r="E4" s="27" t="inlineStr">
        <is>
          <t>2501</t>
        </is>
      </c>
      <c r="F4" s="27" t="n">
        <v>25</v>
      </c>
      <c r="G4" s="27" t="n">
        <v>272</v>
      </c>
      <c r="H4" s="27" t="n">
        <v>8725</v>
      </c>
      <c r="I4" s="28">
        <f>G4*H4/1000*F4^2/162</f>
        <v>9155.864197530864</v>
      </c>
    </row>
    <row r="5">
      <c r="A5" s="7" t="inlineStr">
        <is>
          <t>STR-004</t>
        </is>
      </c>
      <c r="B5" s="7" t="inlineStr">
        <is>
          <t>Raft Foundation</t>
        </is>
      </c>
      <c r="C5" s="7" t="inlineStr">
        <is>
          <t>Raft - bottom reinforcement</t>
        </is>
      </c>
      <c r="D5" s="7" t="inlineStr">
        <is>
          <t>F00</t>
        </is>
      </c>
      <c r="E5" s="27" t="inlineStr">
        <is>
          <t>2502</t>
        </is>
      </c>
      <c r="F5" s="27" t="n">
        <v>25</v>
      </c>
      <c r="G5" s="27" t="n">
        <v>88</v>
      </c>
      <c r="H5" s="27" t="n">
        <v>8375</v>
      </c>
      <c r="I5" s="28">
        <f>G5*H5/1000*F5^2/162</f>
        <v>2843.364197530864</v>
      </c>
    </row>
    <row r="6">
      <c r="A6" s="7" t="inlineStr">
        <is>
          <t>STR-004</t>
        </is>
      </c>
      <c r="B6" s="7" t="inlineStr">
        <is>
          <t>Raft Foundation</t>
        </is>
      </c>
      <c r="C6" s="7" t="inlineStr">
        <is>
          <t>Raft - bottom reinforcement</t>
        </is>
      </c>
      <c r="D6" s="7" t="inlineStr">
        <is>
          <t>F00</t>
        </is>
      </c>
      <c r="E6" s="27" t="inlineStr">
        <is>
          <t>2503</t>
        </is>
      </c>
      <c r="F6" s="27" t="n">
        <v>25</v>
      </c>
      <c r="G6" s="27" t="n">
        <v>92</v>
      </c>
      <c r="H6" s="27" t="n">
        <v>10387</v>
      </c>
      <c r="I6" s="28">
        <f>G6*H6/1000*F6^2/162</f>
        <v>3686.7438271604938</v>
      </c>
    </row>
    <row r="7">
      <c r="A7" s="7" t="inlineStr">
        <is>
          <t>STR-004</t>
        </is>
      </c>
      <c r="B7" s="7" t="inlineStr">
        <is>
          <t>Raft Foundation</t>
        </is>
      </c>
      <c r="C7" s="7" t="inlineStr">
        <is>
          <t>Raft - bottom reinforcement</t>
        </is>
      </c>
      <c r="D7" s="7" t="inlineStr">
        <is>
          <t>F00</t>
        </is>
      </c>
      <c r="E7" s="27" t="inlineStr">
        <is>
          <t>2504</t>
        </is>
      </c>
      <c r="F7" s="27" t="n">
        <v>25</v>
      </c>
      <c r="G7" s="27" t="n">
        <v>84</v>
      </c>
      <c r="H7" s="27" t="n">
        <v>11025</v>
      </c>
      <c r="I7" s="28">
        <f>G7*H7/1000*F7^2/162</f>
        <v>3572.9166666666665</v>
      </c>
    </row>
    <row r="8">
      <c r="A8" s="7" t="inlineStr">
        <is>
          <t>STR-004</t>
        </is>
      </c>
      <c r="B8" s="7" t="inlineStr">
        <is>
          <t>Raft Foundation</t>
        </is>
      </c>
      <c r="C8" s="7" t="inlineStr">
        <is>
          <t>Raft - bottom reinforcement</t>
        </is>
      </c>
      <c r="D8" s="7" t="inlineStr">
        <is>
          <t>F00</t>
        </is>
      </c>
      <c r="E8" s="27" t="inlineStr">
        <is>
          <t>2504A</t>
        </is>
      </c>
      <c r="F8" s="27" t="n">
        <v>25</v>
      </c>
      <c r="G8" s="27" t="n">
        <v>84</v>
      </c>
      <c r="H8" s="27" t="n">
        <v>10600</v>
      </c>
      <c r="I8" s="28">
        <f>G8*H8/1000*F8^2/162</f>
        <v>3435.185185185185</v>
      </c>
    </row>
    <row r="9">
      <c r="A9" s="7" t="inlineStr">
        <is>
          <t>STR-004</t>
        </is>
      </c>
      <c r="B9" s="7" t="inlineStr">
        <is>
          <t>Raft Foundation</t>
        </is>
      </c>
      <c r="C9" s="7" t="inlineStr">
        <is>
          <t>Raft - bottom reinforcement</t>
        </is>
      </c>
      <c r="D9" s="7" t="inlineStr">
        <is>
          <t>F00</t>
        </is>
      </c>
      <c r="E9" s="27" t="inlineStr">
        <is>
          <t>2505</t>
        </is>
      </c>
      <c r="F9" s="27" t="n">
        <v>25</v>
      </c>
      <c r="G9" s="27" t="n">
        <v>62</v>
      </c>
      <c r="H9" s="27" t="n">
        <v>11375</v>
      </c>
      <c r="I9" s="28">
        <f>G9*H9/1000*F9^2/162</f>
        <v>2720.871913580247</v>
      </c>
    </row>
    <row r="10">
      <c r="A10" s="7" t="inlineStr">
        <is>
          <t>STR-004</t>
        </is>
      </c>
      <c r="B10" s="7" t="inlineStr">
        <is>
          <t>Raft Foundation</t>
        </is>
      </c>
      <c r="C10" s="7" t="inlineStr">
        <is>
          <t>Raft - bottom reinforcement</t>
        </is>
      </c>
      <c r="D10" s="7" t="inlineStr">
        <is>
          <t>F00</t>
        </is>
      </c>
      <c r="E10" s="27" t="inlineStr">
        <is>
          <t>2506</t>
        </is>
      </c>
      <c r="F10" s="27" t="n">
        <v>25</v>
      </c>
      <c r="G10" s="27" t="n">
        <v>25</v>
      </c>
      <c r="H10" s="27" t="n">
        <v>7425</v>
      </c>
      <c r="I10" s="28">
        <f>G10*H10/1000*F10^2/162</f>
        <v>716.1458333333334</v>
      </c>
    </row>
    <row r="11">
      <c r="A11" s="7" t="inlineStr">
        <is>
          <t>STR-004</t>
        </is>
      </c>
      <c r="B11" s="7" t="inlineStr">
        <is>
          <t>Raft Foundation</t>
        </is>
      </c>
      <c r="C11" s="7" t="inlineStr">
        <is>
          <t>Raft - bottom reinforcement</t>
        </is>
      </c>
      <c r="D11" s="7" t="inlineStr">
        <is>
          <t>F00</t>
        </is>
      </c>
      <c r="E11" s="27" t="inlineStr">
        <is>
          <t>2507</t>
        </is>
      </c>
      <c r="F11" s="27" t="n">
        <v>25</v>
      </c>
      <c r="G11" s="27" t="n">
        <v>88</v>
      </c>
      <c r="H11" s="27" t="n">
        <v>12000</v>
      </c>
      <c r="I11" s="28">
        <f>G11*H11/1000*F11^2/162</f>
        <v>4074.074074074074</v>
      </c>
    </row>
    <row r="12">
      <c r="A12" s="7" t="inlineStr">
        <is>
          <t>STR-004</t>
        </is>
      </c>
      <c r="B12" s="7" t="inlineStr">
        <is>
          <t>Raft Foundation</t>
        </is>
      </c>
      <c r="C12" s="7" t="inlineStr">
        <is>
          <t>Raft - bottom reinforcement</t>
        </is>
      </c>
      <c r="D12" s="7" t="inlineStr">
        <is>
          <t>F00</t>
        </is>
      </c>
      <c r="E12" s="27" t="inlineStr">
        <is>
          <t>2508</t>
        </is>
      </c>
      <c r="F12" s="27" t="n">
        <v>25</v>
      </c>
      <c r="G12" s="27" t="n">
        <v>84</v>
      </c>
      <c r="H12" s="27" t="n">
        <v>8125</v>
      </c>
      <c r="I12" s="28">
        <f>G12*H12/1000*F12^2/162</f>
        <v>2633.1018518518517</v>
      </c>
    </row>
    <row r="13">
      <c r="A13" s="7" t="inlineStr">
        <is>
          <t>STR-004</t>
        </is>
      </c>
      <c r="B13" s="7" t="inlineStr">
        <is>
          <t>Raft Foundation</t>
        </is>
      </c>
      <c r="C13" s="7" t="inlineStr">
        <is>
          <t>Raft - bottom reinforcement</t>
        </is>
      </c>
      <c r="D13" s="7" t="inlineStr">
        <is>
          <t>F00</t>
        </is>
      </c>
      <c r="E13" s="27" t="inlineStr">
        <is>
          <t>2509</t>
        </is>
      </c>
      <c r="F13" s="27" t="n">
        <v>25</v>
      </c>
      <c r="G13" s="27" t="n">
        <v>23</v>
      </c>
      <c r="H13" s="27" t="n">
        <v>10875</v>
      </c>
      <c r="I13" s="28">
        <f>G13*H13/1000*F13^2/162</f>
        <v>964.988425925926</v>
      </c>
    </row>
    <row r="14">
      <c r="A14" s="7" t="inlineStr">
        <is>
          <t>STR-004</t>
        </is>
      </c>
      <c r="B14" s="7" t="inlineStr">
        <is>
          <t>Raft Foundation</t>
        </is>
      </c>
      <c r="C14" s="7" t="inlineStr">
        <is>
          <t>Raft - bottom reinforcement</t>
        </is>
      </c>
      <c r="D14" s="7" t="inlineStr">
        <is>
          <t>F00</t>
        </is>
      </c>
      <c r="E14" s="27" t="inlineStr">
        <is>
          <t>2509A</t>
        </is>
      </c>
      <c r="F14" s="27" t="n">
        <v>25</v>
      </c>
      <c r="G14" s="27" t="n">
        <v>23</v>
      </c>
      <c r="H14" s="27" t="n">
        <v>10555</v>
      </c>
      <c r="I14" s="28">
        <f>G14*H14/1000*F14^2/162</f>
        <v>936.5933641975308</v>
      </c>
    </row>
    <row r="15">
      <c r="A15" s="7" t="inlineStr">
        <is>
          <t>STR-004</t>
        </is>
      </c>
      <c r="B15" s="7" t="inlineStr">
        <is>
          <t>Raft Foundation</t>
        </is>
      </c>
      <c r="C15" s="7" t="inlineStr">
        <is>
          <t>Raft - bottom reinforcement</t>
        </is>
      </c>
      <c r="D15" s="7" t="inlineStr">
        <is>
          <t>F00</t>
        </is>
      </c>
      <c r="E15" s="27" t="inlineStr">
        <is>
          <t>2510</t>
        </is>
      </c>
      <c r="F15" s="27" t="n">
        <v>25</v>
      </c>
      <c r="G15" s="27" t="n">
        <v>23</v>
      </c>
      <c r="H15" s="27" t="n">
        <v>10650</v>
      </c>
      <c r="I15" s="28">
        <f>G15*H15/1000*F15^2/162</f>
        <v>945.0231481481482</v>
      </c>
    </row>
    <row r="16">
      <c r="A16" s="7" t="inlineStr">
        <is>
          <t>STR-004</t>
        </is>
      </c>
      <c r="B16" s="7" t="inlineStr">
        <is>
          <t>Raft Foundation</t>
        </is>
      </c>
      <c r="C16" s="7" t="inlineStr">
        <is>
          <t>Raft - bottom reinforcement</t>
        </is>
      </c>
      <c r="D16" s="7" t="inlineStr">
        <is>
          <t>F00</t>
        </is>
      </c>
      <c r="E16" s="27" t="inlineStr">
        <is>
          <t>2511</t>
        </is>
      </c>
      <c r="F16" s="27" t="n">
        <v>25</v>
      </c>
      <c r="G16" s="27" t="n">
        <v>240</v>
      </c>
      <c r="H16" s="27" t="n">
        <v>10400</v>
      </c>
      <c r="I16" s="28">
        <f>G16*H16/1000*F16^2/162</f>
        <v>9629.62962962963</v>
      </c>
    </row>
    <row r="17">
      <c r="A17" s="7" t="inlineStr">
        <is>
          <t>STR-004</t>
        </is>
      </c>
      <c r="B17" s="7" t="inlineStr">
        <is>
          <t>Raft Foundation</t>
        </is>
      </c>
      <c r="C17" s="7" t="inlineStr">
        <is>
          <t>Raft - bottom reinforcement</t>
        </is>
      </c>
      <c r="D17" s="7" t="inlineStr">
        <is>
          <t>F00</t>
        </is>
      </c>
      <c r="E17" s="27" t="inlineStr">
        <is>
          <t>2512</t>
        </is>
      </c>
      <c r="F17" s="27" t="n">
        <v>25</v>
      </c>
      <c r="G17" s="27" t="n">
        <v>305</v>
      </c>
      <c r="H17" s="27" t="n">
        <v>6325</v>
      </c>
      <c r="I17" s="28">
        <f>G17*H17/1000*F17^2/162</f>
        <v>7442.611882716049</v>
      </c>
    </row>
    <row r="18">
      <c r="A18" s="7" t="inlineStr">
        <is>
          <t>STR-004</t>
        </is>
      </c>
      <c r="B18" s="7" t="inlineStr">
        <is>
          <t>Raft Foundation</t>
        </is>
      </c>
      <c r="C18" s="7" t="inlineStr">
        <is>
          <t>Raft - bottom reinforcement</t>
        </is>
      </c>
      <c r="D18" s="7" t="inlineStr">
        <is>
          <t>F00</t>
        </is>
      </c>
      <c r="E18" s="27" t="inlineStr">
        <is>
          <t>2513</t>
        </is>
      </c>
      <c r="F18" s="27" t="n">
        <v>25</v>
      </c>
      <c r="G18" s="27" t="n">
        <v>177</v>
      </c>
      <c r="H18" s="27" t="n">
        <v>12000</v>
      </c>
      <c r="I18" s="28">
        <f>G18*H18/1000*F18^2/162</f>
        <v>8194.444444444445</v>
      </c>
    </row>
    <row r="19">
      <c r="A19" s="7" t="inlineStr">
        <is>
          <t>STR-004</t>
        </is>
      </c>
      <c r="B19" s="7" t="inlineStr">
        <is>
          <t>Raft Foundation</t>
        </is>
      </c>
      <c r="C19" s="7" t="inlineStr">
        <is>
          <t>Raft - bottom reinforcement</t>
        </is>
      </c>
      <c r="D19" s="7" t="inlineStr">
        <is>
          <t>F00</t>
        </is>
      </c>
      <c r="E19" s="27" t="inlineStr">
        <is>
          <t>2514</t>
        </is>
      </c>
      <c r="F19" s="27" t="n">
        <v>25</v>
      </c>
      <c r="G19" s="27" t="n">
        <v>58</v>
      </c>
      <c r="H19" s="27" t="n">
        <v>5675</v>
      </c>
      <c r="I19" s="28">
        <f>G19*H19/1000*F19^2/162</f>
        <v>1269.8688271604938</v>
      </c>
    </row>
    <row r="20">
      <c r="A20" s="7" t="inlineStr">
        <is>
          <t>STR-004</t>
        </is>
      </c>
      <c r="B20" s="7" t="inlineStr">
        <is>
          <t>Raft Foundation</t>
        </is>
      </c>
      <c r="C20" s="7" t="inlineStr">
        <is>
          <t>Raft - bottom reinforcement</t>
        </is>
      </c>
      <c r="D20" s="7" t="inlineStr">
        <is>
          <t>F00</t>
        </is>
      </c>
      <c r="E20" s="27" t="inlineStr">
        <is>
          <t>2514A</t>
        </is>
      </c>
      <c r="F20" s="27" t="n">
        <v>25</v>
      </c>
      <c r="G20" s="27" t="n">
        <v>58</v>
      </c>
      <c r="H20" s="27" t="n">
        <v>10550</v>
      </c>
      <c r="I20" s="28">
        <f>G20*H20/1000*F20^2/162</f>
        <v>2360.7253086419755</v>
      </c>
    </row>
    <row r="21">
      <c r="A21" s="7" t="inlineStr">
        <is>
          <t>STR-004</t>
        </is>
      </c>
      <c r="B21" s="7" t="inlineStr">
        <is>
          <t>Raft Foundation</t>
        </is>
      </c>
      <c r="C21" s="7" t="inlineStr">
        <is>
          <t>Raft - bottom reinforcement</t>
        </is>
      </c>
      <c r="D21" s="7" t="inlineStr">
        <is>
          <t>F00</t>
        </is>
      </c>
      <c r="E21" s="27" t="inlineStr">
        <is>
          <t>2515</t>
        </is>
      </c>
      <c r="F21" s="27" t="n">
        <v>25</v>
      </c>
      <c r="G21" s="27" t="n">
        <v>177</v>
      </c>
      <c r="H21" s="27" t="n">
        <v>5750</v>
      </c>
      <c r="I21" s="28">
        <f>G21*H21/1000*F21^2/162</f>
        <v>3926.5046296296296</v>
      </c>
    </row>
    <row r="22">
      <c r="A22" s="7" t="inlineStr">
        <is>
          <t>STR-004</t>
        </is>
      </c>
      <c r="B22" s="7" t="inlineStr">
        <is>
          <t>Raft Foundation</t>
        </is>
      </c>
      <c r="C22" s="7" t="inlineStr">
        <is>
          <t>Raft - bottom reinforcement</t>
        </is>
      </c>
      <c r="D22" s="7" t="inlineStr">
        <is>
          <t>F00</t>
        </is>
      </c>
      <c r="E22" s="27" t="inlineStr">
        <is>
          <t>2516</t>
        </is>
      </c>
      <c r="F22" s="27" t="n">
        <v>25</v>
      </c>
      <c r="G22" s="27" t="n">
        <v>58</v>
      </c>
      <c r="H22" s="27" t="n">
        <v>5800</v>
      </c>
      <c r="I22" s="28">
        <f>G22*H22/1000*F22^2/162</f>
        <v>1297.8395061728395</v>
      </c>
    </row>
    <row r="23">
      <c r="A23" s="7" t="inlineStr">
        <is>
          <t>STR-004</t>
        </is>
      </c>
      <c r="B23" s="7" t="inlineStr">
        <is>
          <t>Raft Foundation</t>
        </is>
      </c>
      <c r="C23" s="7" t="inlineStr">
        <is>
          <t>Raft - bottom reinforcement</t>
        </is>
      </c>
      <c r="D23" s="7" t="inlineStr">
        <is>
          <t>F00</t>
        </is>
      </c>
      <c r="E23" s="27" t="inlineStr">
        <is>
          <t>2516A</t>
        </is>
      </c>
      <c r="F23" s="27" t="n">
        <v>25</v>
      </c>
      <c r="G23" s="27" t="n">
        <v>58</v>
      </c>
      <c r="H23" s="27" t="n">
        <v>11075</v>
      </c>
      <c r="I23" s="28">
        <f>G23*H23/1000*F23^2/162</f>
        <v>2478.2021604938273</v>
      </c>
    </row>
    <row r="24">
      <c r="A24" s="7" t="inlineStr">
        <is>
          <t>STR-004</t>
        </is>
      </c>
      <c r="B24" s="7" t="inlineStr">
        <is>
          <t>Raft Foundation</t>
        </is>
      </c>
      <c r="C24" s="7" t="inlineStr">
        <is>
          <t>Raft - bottom reinforcement</t>
        </is>
      </c>
      <c r="D24" s="7" t="inlineStr">
        <is>
          <t>F00</t>
        </is>
      </c>
      <c r="E24" s="27" t="inlineStr">
        <is>
          <t>2517</t>
        </is>
      </c>
      <c r="F24" s="27" t="n">
        <v>25</v>
      </c>
      <c r="G24" s="27" t="n">
        <v>177</v>
      </c>
      <c r="H24" s="27" t="n">
        <v>9000</v>
      </c>
      <c r="I24" s="28">
        <f>G24*H24/1000*F24^2/162</f>
        <v>6145.833333333333</v>
      </c>
    </row>
    <row r="25">
      <c r="A25" s="7" t="inlineStr">
        <is>
          <t>STR-004</t>
        </is>
      </c>
      <c r="B25" s="7" t="inlineStr">
        <is>
          <t>Raft Foundation</t>
        </is>
      </c>
      <c r="C25" s="7" t="inlineStr">
        <is>
          <t>Raft - bottom reinforcement</t>
        </is>
      </c>
      <c r="D25" s="7" t="inlineStr">
        <is>
          <t>F00</t>
        </is>
      </c>
      <c r="E25" s="27" t="inlineStr">
        <is>
          <t>2518</t>
        </is>
      </c>
      <c r="F25" s="27" t="n">
        <v>25</v>
      </c>
      <c r="G25" s="27" t="n">
        <v>39</v>
      </c>
      <c r="H25" s="27" t="n">
        <v>9050</v>
      </c>
      <c r="I25" s="28">
        <f>G25*H25/1000*F25^2/162</f>
        <v>1361.6898148148148</v>
      </c>
    </row>
    <row r="26">
      <c r="A26" s="7" t="inlineStr">
        <is>
          <t>STR-004</t>
        </is>
      </c>
      <c r="B26" s="7" t="inlineStr">
        <is>
          <t>Raft Foundation</t>
        </is>
      </c>
      <c r="C26" s="7" t="inlineStr">
        <is>
          <t>Raft - bottom reinforcement</t>
        </is>
      </c>
      <c r="D26" s="7" t="inlineStr">
        <is>
          <t>F00</t>
        </is>
      </c>
      <c r="E26" s="27" t="inlineStr">
        <is>
          <t>2519</t>
        </is>
      </c>
      <c r="F26" s="27" t="n">
        <v>25</v>
      </c>
      <c r="G26" s="27" t="n">
        <v>161</v>
      </c>
      <c r="H26" s="27" t="n">
        <v>2175</v>
      </c>
      <c r="I26" s="28">
        <f>G26*H26/1000*F26^2/162</f>
        <v>1350.9837962962963</v>
      </c>
    </row>
    <row r="27">
      <c r="A27" s="7" t="inlineStr">
        <is>
          <t>STR-004</t>
        </is>
      </c>
      <c r="B27" s="7" t="inlineStr">
        <is>
          <t>Raft Foundation</t>
        </is>
      </c>
      <c r="C27" s="7" t="inlineStr">
        <is>
          <t>Raft - bottom reinforcement</t>
        </is>
      </c>
      <c r="D27" s="7" t="inlineStr">
        <is>
          <t>F00</t>
        </is>
      </c>
      <c r="E27" s="27" t="inlineStr">
        <is>
          <t>2520</t>
        </is>
      </c>
      <c r="F27" s="27" t="n">
        <v>25</v>
      </c>
      <c r="G27" s="27" t="n">
        <v>33</v>
      </c>
      <c r="H27" s="27" t="n">
        <v>9000</v>
      </c>
      <c r="I27" s="28">
        <f>G27*H27/1000*F27^2/162</f>
        <v>1145.8333333333333</v>
      </c>
    </row>
    <row r="28">
      <c r="A28" s="7" t="inlineStr">
        <is>
          <t>STR-004</t>
        </is>
      </c>
      <c r="B28" s="7" t="inlineStr">
        <is>
          <t>Raft Foundation</t>
        </is>
      </c>
      <c r="C28" s="7" t="inlineStr">
        <is>
          <t>Raft - bottom reinforcement</t>
        </is>
      </c>
      <c r="D28" s="7" t="inlineStr">
        <is>
          <t>F00</t>
        </is>
      </c>
      <c r="E28" s="27" t="inlineStr">
        <is>
          <t>2521</t>
        </is>
      </c>
      <c r="F28" s="27" t="n">
        <v>25</v>
      </c>
      <c r="G28" s="27" t="n">
        <v>33</v>
      </c>
      <c r="H28" s="27" t="n">
        <v>12000</v>
      </c>
      <c r="I28" s="28">
        <f>G28*H28/1000*F28^2/162</f>
        <v>1527.7777777777778</v>
      </c>
    </row>
    <row r="29">
      <c r="A29" s="7" t="inlineStr">
        <is>
          <t>STR-004</t>
        </is>
      </c>
      <c r="B29" s="7" t="inlineStr">
        <is>
          <t>Raft Foundation</t>
        </is>
      </c>
      <c r="C29" s="7" t="inlineStr">
        <is>
          <t>Raft - bottom reinforcement</t>
        </is>
      </c>
      <c r="D29" s="7" t="inlineStr">
        <is>
          <t>F00</t>
        </is>
      </c>
      <c r="E29" s="27" t="inlineStr">
        <is>
          <t>2522</t>
        </is>
      </c>
      <c r="F29" s="27" t="n">
        <v>25</v>
      </c>
      <c r="G29" s="27" t="n">
        <v>33</v>
      </c>
      <c r="H29" s="27" t="n">
        <v>11887</v>
      </c>
      <c r="I29" s="28">
        <f>G29*H29/1000*F29^2/162</f>
        <v>1513.3912037037037</v>
      </c>
    </row>
    <row r="30">
      <c r="A30" s="7" t="inlineStr">
        <is>
          <t>STR-004</t>
        </is>
      </c>
      <c r="B30" s="7" t="inlineStr">
        <is>
          <t>Raft Foundation</t>
        </is>
      </c>
      <c r="C30" s="7" t="inlineStr">
        <is>
          <t>Raft - bottom reinforcement</t>
        </is>
      </c>
      <c r="D30" s="7" t="inlineStr">
        <is>
          <t>F00</t>
        </is>
      </c>
      <c r="E30" s="27" t="inlineStr">
        <is>
          <t>2523</t>
        </is>
      </c>
      <c r="F30" s="27" t="n">
        <v>25</v>
      </c>
      <c r="G30" s="27" t="n">
        <v>201</v>
      </c>
      <c r="H30" s="27" t="n">
        <v>11525</v>
      </c>
      <c r="I30" s="28">
        <f>G30*H30/1000*F30^2/162</f>
        <v>8937.210648148148</v>
      </c>
    </row>
    <row r="31">
      <c r="A31" s="7" t="inlineStr">
        <is>
          <t>STR-005</t>
        </is>
      </c>
      <c r="B31" s="7" t="inlineStr">
        <is>
          <t>Raft Foundation</t>
        </is>
      </c>
      <c r="C31" s="7" t="inlineStr">
        <is>
          <t>Raft - additional bottom reinforcement</t>
        </is>
      </c>
      <c r="D31" s="7" t="inlineStr">
        <is>
          <t>F00</t>
        </is>
      </c>
      <c r="E31" s="27" t="inlineStr">
        <is>
          <t>2001</t>
        </is>
      </c>
      <c r="F31" s="27" t="n">
        <v>20</v>
      </c>
      <c r="G31" s="27" t="n">
        <v>24</v>
      </c>
      <c r="H31" s="27" t="n">
        <v>2225</v>
      </c>
      <c r="I31" s="28">
        <f>G31*H31/1000*F31^2/162</f>
        <v>131.85185185185185</v>
      </c>
    </row>
    <row r="32">
      <c r="A32" s="7" t="inlineStr">
        <is>
          <t>STR-005</t>
        </is>
      </c>
      <c r="B32" s="7" t="inlineStr">
        <is>
          <t>Raft Foundation</t>
        </is>
      </c>
      <c r="C32" s="7" t="inlineStr">
        <is>
          <t>Raft - additional bottom reinforcement</t>
        </is>
      </c>
      <c r="D32" s="7" t="inlineStr">
        <is>
          <t>F00</t>
        </is>
      </c>
      <c r="E32" s="27" t="inlineStr">
        <is>
          <t>2002</t>
        </is>
      </c>
      <c r="F32" s="27" t="n">
        <v>20</v>
      </c>
      <c r="G32" s="27" t="n">
        <v>27</v>
      </c>
      <c r="H32" s="27" t="n">
        <v>3200</v>
      </c>
      <c r="I32" s="28">
        <f>G32*H32/1000*F32^2/162</f>
        <v>213.33333333333334</v>
      </c>
    </row>
    <row r="33">
      <c r="A33" s="7" t="inlineStr">
        <is>
          <t>STR-005</t>
        </is>
      </c>
      <c r="B33" s="7" t="inlineStr">
        <is>
          <t>Raft Foundation</t>
        </is>
      </c>
      <c r="C33" s="7" t="inlineStr">
        <is>
          <t>Raft - additional bottom reinforcement</t>
        </is>
      </c>
      <c r="D33" s="7" t="inlineStr">
        <is>
          <t>F00</t>
        </is>
      </c>
      <c r="E33" s="27" t="inlineStr">
        <is>
          <t>2003</t>
        </is>
      </c>
      <c r="F33" s="27" t="n">
        <v>20</v>
      </c>
      <c r="G33" s="27" t="n">
        <v>40</v>
      </c>
      <c r="H33" s="27" t="n">
        <v>5000</v>
      </c>
      <c r="I33" s="28">
        <f>G33*H33/1000*F33^2/162</f>
        <v>493.82716049382714</v>
      </c>
    </row>
    <row r="34">
      <c r="A34" s="7" t="inlineStr">
        <is>
          <t>STR-005</t>
        </is>
      </c>
      <c r="B34" s="7" t="inlineStr">
        <is>
          <t>Raft Foundation</t>
        </is>
      </c>
      <c r="C34" s="7" t="inlineStr">
        <is>
          <t>Raft - additional bottom reinforcement</t>
        </is>
      </c>
      <c r="D34" s="7" t="inlineStr">
        <is>
          <t>F00</t>
        </is>
      </c>
      <c r="E34" s="27" t="inlineStr">
        <is>
          <t>2004</t>
        </is>
      </c>
      <c r="F34" s="27" t="n">
        <v>20</v>
      </c>
      <c r="G34" s="27" t="n">
        <v>34</v>
      </c>
      <c r="H34" s="27" t="n">
        <v>4100</v>
      </c>
      <c r="I34" s="28">
        <f>G34*H34/1000*F34^2/162</f>
        <v>344.1975308641975</v>
      </c>
    </row>
    <row r="35">
      <c r="A35" s="7" t="inlineStr">
        <is>
          <t>STR-005</t>
        </is>
      </c>
      <c r="B35" s="7" t="inlineStr">
        <is>
          <t>Raft Foundation</t>
        </is>
      </c>
      <c r="C35" s="7" t="inlineStr">
        <is>
          <t>Raft - additional bottom reinforcement</t>
        </is>
      </c>
      <c r="D35" s="7" t="inlineStr">
        <is>
          <t>F00</t>
        </is>
      </c>
      <c r="E35" s="27" t="inlineStr">
        <is>
          <t>2005</t>
        </is>
      </c>
      <c r="F35" s="27" t="n">
        <v>20</v>
      </c>
      <c r="G35" s="27" t="n">
        <v>76</v>
      </c>
      <c r="H35" s="27" t="n">
        <v>6000</v>
      </c>
      <c r="I35" s="28">
        <f>G35*H35/1000*F35^2/162</f>
        <v>1125.9259259259259</v>
      </c>
    </row>
    <row r="36">
      <c r="A36" s="7" t="inlineStr">
        <is>
          <t>STR-005</t>
        </is>
      </c>
      <c r="B36" s="7" t="inlineStr">
        <is>
          <t>Raft Foundation</t>
        </is>
      </c>
      <c r="C36" s="7" t="inlineStr">
        <is>
          <t>Raft - additional bottom reinforcement</t>
        </is>
      </c>
      <c r="D36" s="7" t="inlineStr">
        <is>
          <t>F00</t>
        </is>
      </c>
      <c r="E36" s="27" t="inlineStr">
        <is>
          <t>2006</t>
        </is>
      </c>
      <c r="F36" s="27" t="n">
        <v>20</v>
      </c>
      <c r="G36" s="27" t="n">
        <v>19</v>
      </c>
      <c r="H36" s="27" t="n">
        <v>3350</v>
      </c>
      <c r="I36" s="28">
        <f>G36*H36/1000*F36^2/162</f>
        <v>157.1604938271605</v>
      </c>
    </row>
    <row r="37">
      <c r="A37" s="7" t="inlineStr">
        <is>
          <t>STR-005</t>
        </is>
      </c>
      <c r="B37" s="7" t="inlineStr">
        <is>
          <t>Raft Foundation</t>
        </is>
      </c>
      <c r="C37" s="7" t="inlineStr">
        <is>
          <t>Raft - additional bottom reinforcement</t>
        </is>
      </c>
      <c r="D37" s="7" t="inlineStr">
        <is>
          <t>F00</t>
        </is>
      </c>
      <c r="E37" s="27" t="inlineStr">
        <is>
          <t>2501</t>
        </is>
      </c>
      <c r="F37" s="27" t="n">
        <v>25</v>
      </c>
      <c r="G37" s="27" t="n">
        <v>80</v>
      </c>
      <c r="H37" s="27" t="n">
        <v>5000</v>
      </c>
      <c r="I37" s="28">
        <f>G37*H37/1000*F37^2/162</f>
        <v>1543.20987654321</v>
      </c>
    </row>
    <row r="38">
      <c r="A38" s="7" t="inlineStr">
        <is>
          <t>STR-005</t>
        </is>
      </c>
      <c r="B38" s="7" t="inlineStr">
        <is>
          <t>Raft Foundation</t>
        </is>
      </c>
      <c r="C38" s="7" t="inlineStr">
        <is>
          <t>Raft - additional bottom reinforcement</t>
        </is>
      </c>
      <c r="D38" s="7" t="inlineStr">
        <is>
          <t>F00</t>
        </is>
      </c>
      <c r="E38" s="27" t="inlineStr">
        <is>
          <t>2502</t>
        </is>
      </c>
      <c r="F38" s="27" t="n">
        <v>25</v>
      </c>
      <c r="G38" s="27" t="n">
        <v>67</v>
      </c>
      <c r="H38" s="27" t="n">
        <v>6650</v>
      </c>
      <c r="I38" s="28">
        <f>G38*H38/1000*F38^2/162</f>
        <v>1718.942901234568</v>
      </c>
    </row>
    <row r="39">
      <c r="A39" s="7" t="inlineStr">
        <is>
          <t>STR-005</t>
        </is>
      </c>
      <c r="B39" s="7" t="inlineStr">
        <is>
          <t>Raft Foundation</t>
        </is>
      </c>
      <c r="C39" s="7" t="inlineStr">
        <is>
          <t>Raft - additional bottom reinforcement</t>
        </is>
      </c>
      <c r="D39" s="7" t="inlineStr">
        <is>
          <t>F00</t>
        </is>
      </c>
      <c r="E39" s="27" t="inlineStr">
        <is>
          <t>2503</t>
        </is>
      </c>
      <c r="F39" s="27" t="n">
        <v>25</v>
      </c>
      <c r="G39" s="27" t="n">
        <v>111</v>
      </c>
      <c r="H39" s="27" t="n">
        <v>4100</v>
      </c>
      <c r="I39" s="28">
        <f>G39*H39/1000*F39^2/162</f>
        <v>1755.787037037037</v>
      </c>
    </row>
    <row r="40">
      <c r="A40" s="7" t="inlineStr">
        <is>
          <t>STR-005</t>
        </is>
      </c>
      <c r="B40" s="7" t="inlineStr">
        <is>
          <t>Raft Foundation</t>
        </is>
      </c>
      <c r="C40" s="7" t="inlineStr">
        <is>
          <t>Raft - additional bottom reinforcement</t>
        </is>
      </c>
      <c r="D40" s="7" t="inlineStr">
        <is>
          <t>F00</t>
        </is>
      </c>
      <c r="E40" s="27" t="inlineStr">
        <is>
          <t>2504</t>
        </is>
      </c>
      <c r="F40" s="27" t="n">
        <v>25</v>
      </c>
      <c r="G40" s="27" t="n">
        <v>67</v>
      </c>
      <c r="H40" s="27" t="n">
        <v>7575</v>
      </c>
      <c r="I40" s="28">
        <f>G40*H40/1000*F40^2/162</f>
        <v>1958.0439814814815</v>
      </c>
    </row>
    <row r="41">
      <c r="A41" s="7" t="inlineStr">
        <is>
          <t>STR-005</t>
        </is>
      </c>
      <c r="B41" s="7" t="inlineStr">
        <is>
          <t>Raft Foundation</t>
        </is>
      </c>
      <c r="C41" s="7" t="inlineStr">
        <is>
          <t>Raft - additional bottom reinforcement</t>
        </is>
      </c>
      <c r="D41" s="7" t="inlineStr">
        <is>
          <t>F00</t>
        </is>
      </c>
      <c r="E41" s="27" t="inlineStr">
        <is>
          <t>2505</t>
        </is>
      </c>
      <c r="F41" s="27" t="n">
        <v>25</v>
      </c>
      <c r="G41" s="27" t="n">
        <v>30</v>
      </c>
      <c r="H41" s="27" t="n">
        <v>6000</v>
      </c>
      <c r="I41" s="28">
        <f>G41*H41/1000*F41^2/162</f>
        <v>694.4444444444445</v>
      </c>
    </row>
    <row r="42">
      <c r="A42" s="7" t="inlineStr">
        <is>
          <t>STR-005</t>
        </is>
      </c>
      <c r="B42" s="7" t="inlineStr">
        <is>
          <t>Raft Foundation</t>
        </is>
      </c>
      <c r="C42" s="7" t="inlineStr">
        <is>
          <t>Raft - additional bottom reinforcement</t>
        </is>
      </c>
      <c r="D42" s="7" t="inlineStr">
        <is>
          <t>F00</t>
        </is>
      </c>
      <c r="E42" s="27" t="inlineStr">
        <is>
          <t>2506</t>
        </is>
      </c>
      <c r="F42" s="27" t="n">
        <v>25</v>
      </c>
      <c r="G42" s="27" t="n">
        <v>50</v>
      </c>
      <c r="H42" s="27" t="n">
        <v>6100</v>
      </c>
      <c r="I42" s="28">
        <f>G42*H42/1000*F42^2/162</f>
        <v>1176.6975308641975</v>
      </c>
    </row>
    <row r="43">
      <c r="A43" s="7" t="inlineStr">
        <is>
          <t>STR-005</t>
        </is>
      </c>
      <c r="B43" s="7" t="inlineStr">
        <is>
          <t>Raft Foundation</t>
        </is>
      </c>
      <c r="C43" s="7" t="inlineStr">
        <is>
          <t>Raft - additional bottom reinforcement</t>
        </is>
      </c>
      <c r="D43" s="7" t="inlineStr">
        <is>
          <t>F00</t>
        </is>
      </c>
      <c r="E43" s="27" t="inlineStr">
        <is>
          <t>2507</t>
        </is>
      </c>
      <c r="F43" s="27" t="n">
        <v>25</v>
      </c>
      <c r="G43" s="27" t="n">
        <v>25</v>
      </c>
      <c r="H43" s="27" t="n">
        <v>3250</v>
      </c>
      <c r="I43" s="28">
        <f>G43*H43/1000*F43^2/162</f>
        <v>313.4645061728395</v>
      </c>
    </row>
    <row r="44">
      <c r="A44" s="7" t="inlineStr">
        <is>
          <t>STR-005</t>
        </is>
      </c>
      <c r="B44" s="7" t="inlineStr">
        <is>
          <t>Raft Foundation</t>
        </is>
      </c>
      <c r="C44" s="7" t="inlineStr">
        <is>
          <t>Raft - additional bottom reinforcement</t>
        </is>
      </c>
      <c r="D44" s="7" t="inlineStr">
        <is>
          <t>F00</t>
        </is>
      </c>
      <c r="E44" s="27" t="inlineStr">
        <is>
          <t>2508</t>
        </is>
      </c>
      <c r="F44" s="27" t="n">
        <v>25</v>
      </c>
      <c r="G44" s="27" t="n">
        <v>48</v>
      </c>
      <c r="H44" s="27" t="n">
        <v>5100</v>
      </c>
      <c r="I44" s="28">
        <f>G44*H44/1000*F44^2/162</f>
        <v>944.4444444444445</v>
      </c>
    </row>
    <row r="45">
      <c r="A45" s="7" t="inlineStr">
        <is>
          <t>STR-005</t>
        </is>
      </c>
      <c r="B45" s="7" t="inlineStr">
        <is>
          <t>Raft Foundation</t>
        </is>
      </c>
      <c r="C45" s="7" t="inlineStr">
        <is>
          <t>Raft - additional bottom reinforcement</t>
        </is>
      </c>
      <c r="D45" s="7" t="inlineStr">
        <is>
          <t>F00</t>
        </is>
      </c>
      <c r="E45" s="27" t="inlineStr">
        <is>
          <t>2509</t>
        </is>
      </c>
      <c r="F45" s="27" t="n">
        <v>25</v>
      </c>
      <c r="G45" s="27" t="n">
        <v>39</v>
      </c>
      <c r="H45" s="27" t="n">
        <v>8075</v>
      </c>
      <c r="I45" s="28">
        <f>G45*H45/1000*F45^2/162</f>
        <v>1214.9884259259259</v>
      </c>
    </row>
    <row r="46">
      <c r="A46" s="7" t="inlineStr">
        <is>
          <t>STR-005</t>
        </is>
      </c>
      <c r="B46" s="7" t="inlineStr">
        <is>
          <t>Raft Foundation</t>
        </is>
      </c>
      <c r="C46" s="7" t="inlineStr">
        <is>
          <t>Raft - additional bottom reinforcement</t>
        </is>
      </c>
      <c r="D46" s="7" t="inlineStr">
        <is>
          <t>F00</t>
        </is>
      </c>
      <c r="E46" s="27" t="inlineStr">
        <is>
          <t>2510</t>
        </is>
      </c>
      <c r="F46" s="27" t="n">
        <v>25</v>
      </c>
      <c r="G46" s="27" t="n">
        <v>134</v>
      </c>
      <c r="H46" s="27" t="n">
        <v>3950</v>
      </c>
      <c r="I46" s="28">
        <f>G46*H46/1000*F46^2/162</f>
        <v>2042.0524691358025</v>
      </c>
    </row>
    <row r="47">
      <c r="A47" s="7" t="inlineStr">
        <is>
          <t>STR-005</t>
        </is>
      </c>
      <c r="B47" s="7" t="inlineStr">
        <is>
          <t>Raft Foundation</t>
        </is>
      </c>
      <c r="C47" s="7" t="inlineStr">
        <is>
          <t>Raft - additional bottom reinforcement</t>
        </is>
      </c>
      <c r="D47" s="7" t="inlineStr">
        <is>
          <t>F00</t>
        </is>
      </c>
      <c r="E47" s="27" t="inlineStr">
        <is>
          <t>2511</t>
        </is>
      </c>
      <c r="F47" s="27" t="n">
        <v>25</v>
      </c>
      <c r="G47" s="27" t="n">
        <v>63</v>
      </c>
      <c r="H47" s="27" t="n">
        <v>8000</v>
      </c>
      <c r="I47" s="28">
        <f>G47*H47/1000*F47^2/162</f>
        <v>1944.4444444444443</v>
      </c>
    </row>
    <row r="48">
      <c r="A48" s="7" t="inlineStr">
        <is>
          <t>STR-005</t>
        </is>
      </c>
      <c r="B48" s="7" t="inlineStr">
        <is>
          <t>Raft Foundation</t>
        </is>
      </c>
      <c r="C48" s="7" t="inlineStr">
        <is>
          <t>Raft - additional bottom reinforcement</t>
        </is>
      </c>
      <c r="D48" s="7" t="inlineStr">
        <is>
          <t>F00</t>
        </is>
      </c>
      <c r="E48" s="27" t="inlineStr">
        <is>
          <t>2512</t>
        </is>
      </c>
      <c r="F48" s="27" t="n">
        <v>25</v>
      </c>
      <c r="G48" s="27" t="n">
        <v>48</v>
      </c>
      <c r="H48" s="27" t="n">
        <v>5200</v>
      </c>
      <c r="I48" s="28">
        <f>G48*H48/1000*F48^2/162</f>
        <v>962.9629629629629</v>
      </c>
    </row>
    <row r="49">
      <c r="A49" s="7" t="inlineStr">
        <is>
          <t>STR-005</t>
        </is>
      </c>
      <c r="B49" s="7" t="inlineStr">
        <is>
          <t>Raft Foundation</t>
        </is>
      </c>
      <c r="C49" s="7" t="inlineStr">
        <is>
          <t>Raft - additional bottom reinforcement</t>
        </is>
      </c>
      <c r="D49" s="7" t="inlineStr">
        <is>
          <t>F00</t>
        </is>
      </c>
      <c r="E49" s="27" t="inlineStr">
        <is>
          <t>2513</t>
        </is>
      </c>
      <c r="F49" s="27" t="n">
        <v>25</v>
      </c>
      <c r="G49" s="27" t="n">
        <v>67</v>
      </c>
      <c r="H49" s="27" t="n">
        <v>9000</v>
      </c>
      <c r="I49" s="28">
        <f>G49*H49/1000*F49^2/162</f>
        <v>2326.3888888888887</v>
      </c>
    </row>
    <row r="50">
      <c r="A50" s="7" t="inlineStr">
        <is>
          <t>STR-005</t>
        </is>
      </c>
      <c r="B50" s="7" t="inlineStr">
        <is>
          <t>Raft Foundation</t>
        </is>
      </c>
      <c r="C50" s="7" t="inlineStr">
        <is>
          <t>Raft - additional bottom reinforcement</t>
        </is>
      </c>
      <c r="D50" s="7" t="inlineStr">
        <is>
          <t>F00</t>
        </is>
      </c>
      <c r="E50" s="27" t="inlineStr">
        <is>
          <t>2514</t>
        </is>
      </c>
      <c r="F50" s="27" t="n">
        <v>25</v>
      </c>
      <c r="G50" s="27" t="n">
        <v>67</v>
      </c>
      <c r="H50" s="27" t="n">
        <v>12000</v>
      </c>
      <c r="I50" s="28">
        <f>G50*H50/1000*F50^2/162</f>
        <v>3101.8518518518517</v>
      </c>
    </row>
    <row r="51">
      <c r="A51" s="7" t="inlineStr">
        <is>
          <t>STR-006</t>
        </is>
      </c>
      <c r="B51" s="7" t="inlineStr">
        <is>
          <t>Raft Foundation</t>
        </is>
      </c>
      <c r="C51" s="7" t="inlineStr">
        <is>
          <t>Raft - top reinforcement</t>
        </is>
      </c>
      <c r="D51" s="7" t="inlineStr">
        <is>
          <t>F00</t>
        </is>
      </c>
      <c r="E51" s="27" t="inlineStr">
        <is>
          <t>2501</t>
        </is>
      </c>
      <c r="F51" s="27" t="n">
        <v>25</v>
      </c>
      <c r="G51" s="27" t="n">
        <v>156</v>
      </c>
      <c r="H51" s="27" t="n">
        <v>11050</v>
      </c>
      <c r="I51" s="28">
        <f>G51*H51/1000*F51^2/162</f>
        <v>6650.462962962963</v>
      </c>
    </row>
    <row r="52">
      <c r="A52" s="7" t="inlineStr">
        <is>
          <t>STR-006</t>
        </is>
      </c>
      <c r="B52" s="7" t="inlineStr">
        <is>
          <t>Raft Foundation</t>
        </is>
      </c>
      <c r="C52" s="7" t="inlineStr">
        <is>
          <t>Raft - top reinforcement</t>
        </is>
      </c>
      <c r="D52" s="7" t="inlineStr">
        <is>
          <t>F00</t>
        </is>
      </c>
      <c r="E52" s="27" t="inlineStr">
        <is>
          <t>2502</t>
        </is>
      </c>
      <c r="F52" s="27" t="n">
        <v>25</v>
      </c>
      <c r="G52" s="27" t="n">
        <v>72</v>
      </c>
      <c r="H52" s="27" t="n">
        <v>10625</v>
      </c>
      <c r="I52" s="28">
        <f>G52*H52/1000*F52^2/162</f>
        <v>2951.3888888888887</v>
      </c>
    </row>
    <row r="53">
      <c r="A53" s="7" t="inlineStr">
        <is>
          <t>STR-006</t>
        </is>
      </c>
      <c r="B53" s="7" t="inlineStr">
        <is>
          <t>Raft Foundation</t>
        </is>
      </c>
      <c r="C53" s="7" t="inlineStr">
        <is>
          <t>Raft - top reinforcement</t>
        </is>
      </c>
      <c r="D53" s="7" t="inlineStr">
        <is>
          <t>F00</t>
        </is>
      </c>
      <c r="E53" s="27" t="inlineStr">
        <is>
          <t>2503</t>
        </is>
      </c>
      <c r="F53" s="27" t="n">
        <v>25</v>
      </c>
      <c r="G53" s="27" t="n">
        <v>156</v>
      </c>
      <c r="H53" s="27" t="n">
        <v>10150</v>
      </c>
      <c r="I53" s="28">
        <f>G53*H53/1000*F53^2/162</f>
        <v>6108.7962962962965</v>
      </c>
    </row>
    <row r="54">
      <c r="A54" s="7" t="inlineStr">
        <is>
          <t>STR-006</t>
        </is>
      </c>
      <c r="B54" s="7" t="inlineStr">
        <is>
          <t>Raft Foundation</t>
        </is>
      </c>
      <c r="C54" s="7" t="inlineStr">
        <is>
          <t>Raft - top reinforcement</t>
        </is>
      </c>
      <c r="D54" s="7" t="inlineStr">
        <is>
          <t>F00</t>
        </is>
      </c>
      <c r="E54" s="27" t="inlineStr">
        <is>
          <t>2504</t>
        </is>
      </c>
      <c r="F54" s="27" t="n">
        <v>25</v>
      </c>
      <c r="G54" s="27" t="n">
        <v>52</v>
      </c>
      <c r="H54" s="27" t="n">
        <v>4175</v>
      </c>
      <c r="I54" s="28">
        <f>G54*H54/1000*F54^2/162</f>
        <v>837.5771604938271</v>
      </c>
    </row>
    <row r="55">
      <c r="A55" s="7" t="inlineStr">
        <is>
          <t>STR-006</t>
        </is>
      </c>
      <c r="B55" s="7" t="inlineStr">
        <is>
          <t>Raft Foundation</t>
        </is>
      </c>
      <c r="C55" s="7" t="inlineStr">
        <is>
          <t>Raft - top reinforcement</t>
        </is>
      </c>
      <c r="D55" s="7" t="inlineStr">
        <is>
          <t>F00</t>
        </is>
      </c>
      <c r="E55" s="27" t="inlineStr">
        <is>
          <t>2505</t>
        </is>
      </c>
      <c r="F55" s="27" t="n">
        <v>25</v>
      </c>
      <c r="G55" s="27" t="n">
        <v>21</v>
      </c>
      <c r="H55" s="27" t="n">
        <v>9550</v>
      </c>
      <c r="I55" s="28">
        <f>G55*H55/1000*F55^2/162</f>
        <v>773.7268518518518</v>
      </c>
    </row>
    <row r="56">
      <c r="A56" s="7" t="inlineStr">
        <is>
          <t>STR-006</t>
        </is>
      </c>
      <c r="B56" s="7" t="inlineStr">
        <is>
          <t>Raft Foundation</t>
        </is>
      </c>
      <c r="C56" s="7" t="inlineStr">
        <is>
          <t>Raft - top reinforcement</t>
        </is>
      </c>
      <c r="D56" s="7" t="inlineStr">
        <is>
          <t>F00</t>
        </is>
      </c>
      <c r="E56" s="27" t="inlineStr">
        <is>
          <t>2506</t>
        </is>
      </c>
      <c r="F56" s="27" t="n">
        <v>25</v>
      </c>
      <c r="G56" s="27" t="n">
        <v>72</v>
      </c>
      <c r="H56" s="27" t="n">
        <v>3950</v>
      </c>
      <c r="I56" s="28">
        <f>G56*H56/1000*F56^2/162</f>
        <v>1097.2222222222222</v>
      </c>
    </row>
    <row r="57">
      <c r="A57" s="7" t="inlineStr">
        <is>
          <t>STR-006</t>
        </is>
      </c>
      <c r="B57" s="7" t="inlineStr">
        <is>
          <t>Raft Foundation</t>
        </is>
      </c>
      <c r="C57" s="7" t="inlineStr">
        <is>
          <t>Raft - top reinforcement</t>
        </is>
      </c>
      <c r="D57" s="7" t="inlineStr">
        <is>
          <t>F00</t>
        </is>
      </c>
      <c r="E57" s="27" t="inlineStr">
        <is>
          <t>2507</t>
        </is>
      </c>
      <c r="F57" s="27" t="n">
        <v>25</v>
      </c>
      <c r="G57" s="27" t="n">
        <v>52</v>
      </c>
      <c r="H57" s="27" t="n">
        <v>10375</v>
      </c>
      <c r="I57" s="28">
        <f>G57*H57/1000*F57^2/162</f>
        <v>2081.4043209876545</v>
      </c>
    </row>
    <row r="58">
      <c r="A58" s="7" t="inlineStr">
        <is>
          <t>STR-006</t>
        </is>
      </c>
      <c r="B58" s="7" t="inlineStr">
        <is>
          <t>Raft Foundation</t>
        </is>
      </c>
      <c r="C58" s="7" t="inlineStr">
        <is>
          <t>Raft - top reinforcement</t>
        </is>
      </c>
      <c r="D58" s="7" t="inlineStr">
        <is>
          <t>F00</t>
        </is>
      </c>
      <c r="E58" s="27" t="inlineStr">
        <is>
          <t>2508</t>
        </is>
      </c>
      <c r="F58" s="27" t="n">
        <v>25</v>
      </c>
      <c r="G58" s="27" t="n">
        <v>157</v>
      </c>
      <c r="H58" s="27" t="n">
        <v>5400</v>
      </c>
      <c r="I58" s="28">
        <f>G58*H58/1000*F58^2/162</f>
        <v>3270.8333333333335</v>
      </c>
    </row>
    <row r="59">
      <c r="A59" s="7" t="inlineStr">
        <is>
          <t>STR-006</t>
        </is>
      </c>
      <c r="B59" s="7" t="inlineStr">
        <is>
          <t>Raft Foundation</t>
        </is>
      </c>
      <c r="C59" s="7" t="inlineStr">
        <is>
          <t>Raft - top reinforcement</t>
        </is>
      </c>
      <c r="D59" s="7" t="inlineStr">
        <is>
          <t>F00</t>
        </is>
      </c>
      <c r="E59" s="27" t="inlineStr">
        <is>
          <t>2509</t>
        </is>
      </c>
      <c r="F59" s="27" t="n">
        <v>25</v>
      </c>
      <c r="G59" s="27" t="n">
        <v>20</v>
      </c>
      <c r="H59" s="27" t="n">
        <v>7000</v>
      </c>
      <c r="I59" s="28">
        <f>G59*H59/1000*F59^2/162</f>
        <v>540.1234567901234</v>
      </c>
    </row>
    <row r="60">
      <c r="A60" s="7" t="inlineStr">
        <is>
          <t>STR-006</t>
        </is>
      </c>
      <c r="B60" s="7" t="inlineStr">
        <is>
          <t>Raft Foundation</t>
        </is>
      </c>
      <c r="C60" s="7" t="inlineStr">
        <is>
          <t>Raft - top reinforcement</t>
        </is>
      </c>
      <c r="D60" s="7" t="inlineStr">
        <is>
          <t>F00</t>
        </is>
      </c>
      <c r="E60" s="27" t="inlineStr">
        <is>
          <t>2510</t>
        </is>
      </c>
      <c r="F60" s="27" t="n">
        <v>25</v>
      </c>
      <c r="G60" s="27" t="n">
        <v>21</v>
      </c>
      <c r="H60" s="27" t="n">
        <v>7750</v>
      </c>
      <c r="I60" s="28">
        <f>G60*H60/1000*F60^2/162</f>
        <v>627.8935185185185</v>
      </c>
    </row>
    <row r="61">
      <c r="A61" s="7" t="inlineStr">
        <is>
          <t>STR-006</t>
        </is>
      </c>
      <c r="B61" s="7" t="inlineStr">
        <is>
          <t>Raft Foundation</t>
        </is>
      </c>
      <c r="C61" s="7" t="inlineStr">
        <is>
          <t>Raft - top reinforcement</t>
        </is>
      </c>
      <c r="D61" s="7" t="inlineStr">
        <is>
          <t>F00</t>
        </is>
      </c>
      <c r="E61" s="27" t="inlineStr">
        <is>
          <t>2511</t>
        </is>
      </c>
      <c r="F61" s="27" t="n">
        <v>25</v>
      </c>
      <c r="G61" s="27" t="n">
        <v>209</v>
      </c>
      <c r="H61" s="27" t="n">
        <v>10100</v>
      </c>
      <c r="I61" s="28">
        <f>G61*H61/1000*F61^2/162</f>
        <v>8143.9043209876545</v>
      </c>
    </row>
    <row r="62">
      <c r="A62" s="7" t="inlineStr">
        <is>
          <t>STR-006</t>
        </is>
      </c>
      <c r="B62" s="7" t="inlineStr">
        <is>
          <t>Raft Foundation</t>
        </is>
      </c>
      <c r="C62" s="7" t="inlineStr">
        <is>
          <t>Raft - top reinforcement</t>
        </is>
      </c>
      <c r="D62" s="7" t="inlineStr">
        <is>
          <t>F00</t>
        </is>
      </c>
      <c r="E62" s="27" t="inlineStr">
        <is>
          <t>2512</t>
        </is>
      </c>
      <c r="F62" s="27" t="n">
        <v>25</v>
      </c>
      <c r="G62" s="27" t="n">
        <v>49</v>
      </c>
      <c r="H62" s="27" t="n">
        <v>6036</v>
      </c>
      <c r="I62" s="28">
        <f>G62*H62/1000*F62^2/162</f>
        <v>1141.0648148148148</v>
      </c>
    </row>
    <row r="63">
      <c r="A63" s="7" t="inlineStr">
        <is>
          <t>STR-006</t>
        </is>
      </c>
      <c r="B63" s="7" t="inlineStr">
        <is>
          <t>Raft Foundation</t>
        </is>
      </c>
      <c r="C63" s="7" t="inlineStr">
        <is>
          <t>Raft - top reinforcement</t>
        </is>
      </c>
      <c r="D63" s="7" t="inlineStr">
        <is>
          <t>F00</t>
        </is>
      </c>
      <c r="E63" s="27" t="inlineStr">
        <is>
          <t>2513</t>
        </is>
      </c>
      <c r="F63" s="27" t="n">
        <v>25</v>
      </c>
      <c r="G63" s="27" t="n">
        <v>124</v>
      </c>
      <c r="H63" s="27" t="n">
        <v>9750</v>
      </c>
      <c r="I63" s="28">
        <f>G63*H63/1000*F63^2/162</f>
        <v>4664.351851851852</v>
      </c>
    </row>
    <row r="64">
      <c r="A64" s="7" t="inlineStr">
        <is>
          <t>STR-006</t>
        </is>
      </c>
      <c r="B64" s="7" t="inlineStr">
        <is>
          <t>Raft Foundation</t>
        </is>
      </c>
      <c r="C64" s="7" t="inlineStr">
        <is>
          <t>Raft - top reinforcement</t>
        </is>
      </c>
      <c r="D64" s="7" t="inlineStr">
        <is>
          <t>F00</t>
        </is>
      </c>
      <c r="E64" s="27" t="inlineStr">
        <is>
          <t>2514</t>
        </is>
      </c>
      <c r="F64" s="27" t="n">
        <v>25</v>
      </c>
      <c r="G64" s="27" t="n">
        <v>49</v>
      </c>
      <c r="H64" s="27" t="n">
        <v>8425</v>
      </c>
      <c r="I64" s="28">
        <f>G64*H64/1000*F64^2/162</f>
        <v>1592.6890432098764</v>
      </c>
    </row>
    <row r="65">
      <c r="A65" s="7" t="inlineStr">
        <is>
          <t>STR-006</t>
        </is>
      </c>
      <c r="B65" s="7" t="inlineStr">
        <is>
          <t>Raft Foundation</t>
        </is>
      </c>
      <c r="C65" s="7" t="inlineStr">
        <is>
          <t>Raft - top reinforcement</t>
        </is>
      </c>
      <c r="D65" s="7" t="inlineStr">
        <is>
          <t>F00</t>
        </is>
      </c>
      <c r="E65" s="27" t="inlineStr">
        <is>
          <t>2515</t>
        </is>
      </c>
      <c r="F65" s="27" t="n">
        <v>25</v>
      </c>
      <c r="G65" s="27" t="n">
        <v>49</v>
      </c>
      <c r="H65" s="27" t="n">
        <v>8400</v>
      </c>
      <c r="I65" s="28">
        <f>G65*H65/1000*F65^2/162</f>
        <v>1587.962962962963</v>
      </c>
    </row>
    <row r="66">
      <c r="A66" s="7" t="inlineStr">
        <is>
          <t>STR-006</t>
        </is>
      </c>
      <c r="B66" s="7" t="inlineStr">
        <is>
          <t>Raft Foundation</t>
        </is>
      </c>
      <c r="C66" s="7" t="inlineStr">
        <is>
          <t>Raft - top reinforcement</t>
        </is>
      </c>
      <c r="D66" s="7" t="inlineStr">
        <is>
          <t>F00</t>
        </is>
      </c>
      <c r="E66" s="27" t="inlineStr">
        <is>
          <t>2516</t>
        </is>
      </c>
      <c r="F66" s="27" t="n">
        <v>25</v>
      </c>
      <c r="G66" s="27" t="n">
        <v>124</v>
      </c>
      <c r="H66" s="27" t="n">
        <v>12000</v>
      </c>
      <c r="I66" s="28">
        <f>G66*H66/1000*F66^2/162</f>
        <v>5740.740740740741</v>
      </c>
    </row>
    <row r="67">
      <c r="A67" s="7" t="inlineStr">
        <is>
          <t>STR-006</t>
        </is>
      </c>
      <c r="B67" s="7" t="inlineStr">
        <is>
          <t>Raft Foundation</t>
        </is>
      </c>
      <c r="C67" s="7" t="inlineStr">
        <is>
          <t>Raft - top reinforcement</t>
        </is>
      </c>
      <c r="D67" s="7" t="inlineStr">
        <is>
          <t>F00</t>
        </is>
      </c>
      <c r="E67" s="27" t="inlineStr">
        <is>
          <t>2517</t>
        </is>
      </c>
      <c r="F67" s="27" t="n">
        <v>25</v>
      </c>
      <c r="G67" s="27" t="n">
        <v>49</v>
      </c>
      <c r="H67" s="27" t="n">
        <v>9000</v>
      </c>
      <c r="I67" s="28">
        <f>G67*H67/1000*F67^2/162</f>
        <v>1701.388888888889</v>
      </c>
    </row>
    <row r="68">
      <c r="A68" s="7" t="inlineStr">
        <is>
          <t>STR-006</t>
        </is>
      </c>
      <c r="B68" s="7" t="inlineStr">
        <is>
          <t>Raft Foundation</t>
        </is>
      </c>
      <c r="C68" s="7" t="inlineStr">
        <is>
          <t>Raft - top reinforcement</t>
        </is>
      </c>
      <c r="D68" s="7" t="inlineStr">
        <is>
          <t>F00</t>
        </is>
      </c>
      <c r="E68" s="27" t="inlineStr">
        <is>
          <t>2518</t>
        </is>
      </c>
      <c r="F68" s="27" t="n">
        <v>25</v>
      </c>
      <c r="G68" s="27" t="n">
        <v>27</v>
      </c>
      <c r="H68" s="27" t="n">
        <v>10950</v>
      </c>
      <c r="I68" s="28">
        <f>G68*H68/1000*F68^2/162</f>
        <v>1140.625</v>
      </c>
    </row>
    <row r="69">
      <c r="A69" s="7" t="inlineStr">
        <is>
          <t>STR-006</t>
        </is>
      </c>
      <c r="B69" s="7" t="inlineStr">
        <is>
          <t>Raft Foundation</t>
        </is>
      </c>
      <c r="C69" s="7" t="inlineStr">
        <is>
          <t>Raft - top reinforcement</t>
        </is>
      </c>
      <c r="D69" s="7" t="inlineStr">
        <is>
          <t>F00</t>
        </is>
      </c>
      <c r="E69" s="27" t="inlineStr">
        <is>
          <t>2519</t>
        </is>
      </c>
      <c r="F69" s="27" t="n">
        <v>25</v>
      </c>
      <c r="G69" s="27" t="n">
        <v>124</v>
      </c>
      <c r="H69" s="27" t="n">
        <v>9175</v>
      </c>
      <c r="I69" s="28">
        <f>G69*H69/1000*F69^2/162</f>
        <v>4389.274691358025</v>
      </c>
    </row>
    <row r="70">
      <c r="A70" s="7" t="inlineStr">
        <is>
          <t>STR-006</t>
        </is>
      </c>
      <c r="B70" s="7" t="inlineStr">
        <is>
          <t>Raft Foundation</t>
        </is>
      </c>
      <c r="C70" s="7" t="inlineStr">
        <is>
          <t>Raft - top reinforcement</t>
        </is>
      </c>
      <c r="D70" s="7" t="inlineStr">
        <is>
          <t>F00</t>
        </is>
      </c>
      <c r="E70" s="27" t="inlineStr">
        <is>
          <t>2520</t>
        </is>
      </c>
      <c r="F70" s="27" t="n">
        <v>25</v>
      </c>
      <c r="G70" s="27" t="n">
        <v>49</v>
      </c>
      <c r="H70" s="27" t="n">
        <v>6925</v>
      </c>
      <c r="I70" s="28">
        <f>G70*H70/1000*F70^2/162</f>
        <v>1309.1242283950617</v>
      </c>
    </row>
    <row r="71">
      <c r="A71" s="7" t="inlineStr">
        <is>
          <t>STR-006</t>
        </is>
      </c>
      <c r="B71" s="7" t="inlineStr">
        <is>
          <t>Raft Foundation</t>
        </is>
      </c>
      <c r="C71" s="7" t="inlineStr">
        <is>
          <t>Raft - top reinforcement</t>
        </is>
      </c>
      <c r="D71" s="7" t="inlineStr">
        <is>
          <t>F00</t>
        </is>
      </c>
      <c r="E71" s="27" t="inlineStr">
        <is>
          <t>2521</t>
        </is>
      </c>
      <c r="F71" s="27" t="n">
        <v>25</v>
      </c>
      <c r="G71" s="27" t="n">
        <v>33</v>
      </c>
      <c r="H71" s="27" t="n">
        <v>9575</v>
      </c>
      <c r="I71" s="28">
        <f>G71*H71/1000*F71^2/162</f>
        <v>1219.039351851852</v>
      </c>
    </row>
    <row r="72">
      <c r="A72" s="7" t="inlineStr">
        <is>
          <t>STR-006</t>
        </is>
      </c>
      <c r="B72" s="7" t="inlineStr">
        <is>
          <t>Raft Foundation</t>
        </is>
      </c>
      <c r="C72" s="7" t="inlineStr">
        <is>
          <t>Raft - top reinforcement</t>
        </is>
      </c>
      <c r="D72" s="7" t="inlineStr">
        <is>
          <t>F00</t>
        </is>
      </c>
      <c r="E72" s="27" t="inlineStr">
        <is>
          <t>2522</t>
        </is>
      </c>
      <c r="F72" s="27" t="n">
        <v>25</v>
      </c>
      <c r="G72" s="27" t="n">
        <v>140</v>
      </c>
      <c r="H72" s="27" t="n">
        <v>8725</v>
      </c>
      <c r="I72" s="28">
        <f>G72*H72/1000*F72^2/162</f>
        <v>4712.577160493827</v>
      </c>
    </row>
    <row r="73">
      <c r="A73" s="7" t="inlineStr">
        <is>
          <t>STR-006</t>
        </is>
      </c>
      <c r="B73" s="7" t="inlineStr">
        <is>
          <t>Raft Foundation</t>
        </is>
      </c>
      <c r="C73" s="7" t="inlineStr">
        <is>
          <t>Raft - top reinforcement</t>
        </is>
      </c>
      <c r="D73" s="7" t="inlineStr">
        <is>
          <t>F00</t>
        </is>
      </c>
      <c r="E73" s="27" t="inlineStr">
        <is>
          <t>2523</t>
        </is>
      </c>
      <c r="F73" s="27" t="n">
        <v>25</v>
      </c>
      <c r="G73" s="27" t="n">
        <v>27</v>
      </c>
      <c r="H73" s="27" t="n">
        <v>11975</v>
      </c>
      <c r="I73" s="28">
        <f>G73*H73/1000*F73^2/162</f>
        <v>1247.3958333333333</v>
      </c>
    </row>
    <row r="74">
      <c r="A74" s="7" t="inlineStr">
        <is>
          <t>STR-006</t>
        </is>
      </c>
      <c r="B74" s="7" t="inlineStr">
        <is>
          <t>Raft Foundation</t>
        </is>
      </c>
      <c r="C74" s="7" t="inlineStr">
        <is>
          <t>Raft - top reinforcement</t>
        </is>
      </c>
      <c r="D74" s="7" t="inlineStr">
        <is>
          <t>F00</t>
        </is>
      </c>
      <c r="E74" s="27" t="inlineStr">
        <is>
          <t>2524</t>
        </is>
      </c>
      <c r="F74" s="27" t="n">
        <v>25</v>
      </c>
      <c r="G74" s="27" t="n">
        <v>176</v>
      </c>
      <c r="H74" s="27" t="n">
        <v>7625</v>
      </c>
      <c r="I74" s="28">
        <f>G74*H74/1000*F74^2/162</f>
        <v>5177.469135802469</v>
      </c>
    </row>
    <row r="75">
      <c r="A75" s="7" t="inlineStr">
        <is>
          <t>STR-042</t>
        </is>
      </c>
      <c r="B75" s="7" t="inlineStr">
        <is>
          <t>Beams</t>
        </is>
      </c>
      <c r="C75" s="7" t="inlineStr">
        <is>
          <t>M1 Level beams</t>
        </is>
      </c>
      <c r="D75" s="7" t="inlineStr">
        <is>
          <t>F02</t>
        </is>
      </c>
      <c r="E75" s="27" t="inlineStr">
        <is>
          <t>1001</t>
        </is>
      </c>
      <c r="F75" s="27" t="n">
        <v>10</v>
      </c>
      <c r="G75" s="27" t="n">
        <v>1073</v>
      </c>
      <c r="H75" s="27" t="n">
        <v>1700</v>
      </c>
      <c r="I75" s="28">
        <f>G75*H75/1000*F75^2/162</f>
        <v>1125.9876543209878</v>
      </c>
    </row>
    <row r="76">
      <c r="A76" s="7" t="inlineStr">
        <is>
          <t>STR-042</t>
        </is>
      </c>
      <c r="B76" s="7" t="inlineStr">
        <is>
          <t>Beams</t>
        </is>
      </c>
      <c r="C76" s="7" t="inlineStr">
        <is>
          <t>M1 Level beams</t>
        </is>
      </c>
      <c r="D76" s="7" t="inlineStr">
        <is>
          <t>F02</t>
        </is>
      </c>
      <c r="E76" s="27" t="inlineStr">
        <is>
          <t>1601</t>
        </is>
      </c>
      <c r="F76" s="27" t="n">
        <v>16</v>
      </c>
      <c r="G76" s="27" t="n">
        <v>4</v>
      </c>
      <c r="H76" s="27" t="n">
        <v>12000</v>
      </c>
      <c r="I76" s="28">
        <f>G76*H76/1000*F76^2/162</f>
        <v>75.85185185185185</v>
      </c>
    </row>
    <row r="77">
      <c r="A77" s="7" t="inlineStr">
        <is>
          <t>STR-042</t>
        </is>
      </c>
      <c r="B77" s="7" t="inlineStr">
        <is>
          <t>Beams</t>
        </is>
      </c>
      <c r="C77" s="7" t="inlineStr">
        <is>
          <t>M1 Level beams</t>
        </is>
      </c>
      <c r="D77" s="7" t="inlineStr">
        <is>
          <t>F02</t>
        </is>
      </c>
      <c r="E77" s="27" t="inlineStr">
        <is>
          <t>1602</t>
        </is>
      </c>
      <c r="F77" s="27" t="n">
        <v>16</v>
      </c>
      <c r="G77" s="27" t="n">
        <v>2</v>
      </c>
      <c r="H77" s="27" t="n">
        <v>7200</v>
      </c>
      <c r="I77" s="28">
        <f>G77*H77/1000*F77^2/162</f>
        <v>22.755555555555556</v>
      </c>
    </row>
    <row r="78">
      <c r="A78" s="7" t="inlineStr">
        <is>
          <t>STR-042</t>
        </is>
      </c>
      <c r="B78" s="7" t="inlineStr">
        <is>
          <t>Beams</t>
        </is>
      </c>
      <c r="C78" s="7" t="inlineStr">
        <is>
          <t>M1 Level beams</t>
        </is>
      </c>
      <c r="D78" s="7" t="inlineStr">
        <is>
          <t>F02</t>
        </is>
      </c>
      <c r="E78" s="27" t="inlineStr">
        <is>
          <t>1603</t>
        </is>
      </c>
      <c r="F78" s="27" t="n">
        <v>16</v>
      </c>
      <c r="G78" s="27" t="n">
        <v>6</v>
      </c>
      <c r="H78" s="27" t="n">
        <v>7000</v>
      </c>
      <c r="I78" s="28">
        <f>G78*H78/1000*F78^2/162</f>
        <v>66.37037037037037</v>
      </c>
    </row>
    <row r="79">
      <c r="A79" s="7" t="inlineStr">
        <is>
          <t>STR-042</t>
        </is>
      </c>
      <c r="B79" s="7" t="inlineStr">
        <is>
          <t>Beams</t>
        </is>
      </c>
      <c r="C79" s="7" t="inlineStr">
        <is>
          <t>M1 Level beams</t>
        </is>
      </c>
      <c r="D79" s="7" t="inlineStr">
        <is>
          <t>F02</t>
        </is>
      </c>
      <c r="E79" s="27" t="inlineStr">
        <is>
          <t>1604</t>
        </is>
      </c>
      <c r="F79" s="27" t="n">
        <v>16</v>
      </c>
      <c r="G79" s="27" t="n">
        <v>2</v>
      </c>
      <c r="H79" s="27" t="n">
        <v>5900</v>
      </c>
      <c r="I79" s="28">
        <f>G79*H79/1000*F79^2/162</f>
        <v>18.646913580246913</v>
      </c>
    </row>
    <row r="80">
      <c r="A80" s="7" t="inlineStr">
        <is>
          <t>STR-042</t>
        </is>
      </c>
      <c r="B80" s="7" t="inlineStr">
        <is>
          <t>Beams</t>
        </is>
      </c>
      <c r="C80" s="7" t="inlineStr">
        <is>
          <t>M1 Level beams</t>
        </is>
      </c>
      <c r="D80" s="7" t="inlineStr">
        <is>
          <t>F02</t>
        </is>
      </c>
      <c r="E80" s="27" t="inlineStr">
        <is>
          <t>1605</t>
        </is>
      </c>
      <c r="F80" s="27" t="n">
        <v>16</v>
      </c>
      <c r="G80" s="27" t="n">
        <v>2</v>
      </c>
      <c r="H80" s="27" t="n">
        <v>5150</v>
      </c>
      <c r="I80" s="28">
        <f>G80*H80/1000*F80^2/162</f>
        <v>16.276543209876543</v>
      </c>
    </row>
    <row r="81">
      <c r="A81" s="7" t="inlineStr">
        <is>
          <t>STR-042</t>
        </is>
      </c>
      <c r="B81" s="7" t="inlineStr">
        <is>
          <t>Beams</t>
        </is>
      </c>
      <c r="C81" s="7" t="inlineStr">
        <is>
          <t>M1 Level beams</t>
        </is>
      </c>
      <c r="D81" s="7" t="inlineStr">
        <is>
          <t>F02</t>
        </is>
      </c>
      <c r="E81" s="27" t="inlineStr">
        <is>
          <t>1606</t>
        </is>
      </c>
      <c r="F81" s="27" t="n">
        <v>16</v>
      </c>
      <c r="G81" s="27" t="n">
        <v>3</v>
      </c>
      <c r="H81" s="27" t="n">
        <v>8050</v>
      </c>
      <c r="I81" s="28">
        <f>G81*H81/1000*F81^2/162</f>
        <v>38.16296296296296</v>
      </c>
    </row>
    <row r="82">
      <c r="A82" s="7" t="inlineStr">
        <is>
          <t>STR-042</t>
        </is>
      </c>
      <c r="B82" s="7" t="inlineStr">
        <is>
          <t>Beams</t>
        </is>
      </c>
      <c r="C82" s="7" t="inlineStr">
        <is>
          <t>M1 Level beams</t>
        </is>
      </c>
      <c r="D82" s="7" t="inlineStr">
        <is>
          <t>F02</t>
        </is>
      </c>
      <c r="E82" s="27" t="inlineStr">
        <is>
          <t>1607</t>
        </is>
      </c>
      <c r="F82" s="27" t="n">
        <v>16</v>
      </c>
      <c r="G82" s="27" t="n">
        <v>3</v>
      </c>
      <c r="H82" s="27" t="n">
        <v>6400</v>
      </c>
      <c r="I82" s="28">
        <f>G82*H82/1000*F82^2/162</f>
        <v>30.34074074074074</v>
      </c>
    </row>
    <row r="83">
      <c r="A83" s="7" t="inlineStr">
        <is>
          <t>STR-042</t>
        </is>
      </c>
      <c r="B83" s="7" t="inlineStr">
        <is>
          <t>Beams</t>
        </is>
      </c>
      <c r="C83" s="7" t="inlineStr">
        <is>
          <t>M1 Level beams</t>
        </is>
      </c>
      <c r="D83" s="7" t="inlineStr">
        <is>
          <t>F02</t>
        </is>
      </c>
      <c r="E83" s="27" t="inlineStr">
        <is>
          <t>1608</t>
        </is>
      </c>
      <c r="F83" s="27" t="n">
        <v>16</v>
      </c>
      <c r="G83" s="27" t="n">
        <v>3</v>
      </c>
      <c r="H83" s="27" t="n">
        <v>9250</v>
      </c>
      <c r="I83" s="28">
        <f>G83*H83/1000*F83^2/162</f>
        <v>43.851851851851855</v>
      </c>
    </row>
    <row r="84">
      <c r="A84" s="7" t="inlineStr">
        <is>
          <t>STR-042</t>
        </is>
      </c>
      <c r="B84" s="7" t="inlineStr">
        <is>
          <t>Beams</t>
        </is>
      </c>
      <c r="C84" s="7" t="inlineStr">
        <is>
          <t>M1 Level beams</t>
        </is>
      </c>
      <c r="D84" s="7" t="inlineStr">
        <is>
          <t>F02</t>
        </is>
      </c>
      <c r="E84" s="27" t="inlineStr">
        <is>
          <t>1609</t>
        </is>
      </c>
      <c r="F84" s="27" t="n">
        <v>16</v>
      </c>
      <c r="G84" s="27" t="n">
        <v>6</v>
      </c>
      <c r="H84" s="27" t="n">
        <v>7200</v>
      </c>
      <c r="I84" s="28">
        <f>G84*H84/1000*F84^2/162</f>
        <v>68.26666666666667</v>
      </c>
    </row>
    <row r="85">
      <c r="A85" s="7" t="inlineStr">
        <is>
          <t>STR-042</t>
        </is>
      </c>
      <c r="B85" s="7" t="inlineStr">
        <is>
          <t>Beams</t>
        </is>
      </c>
      <c r="C85" s="7" t="inlineStr">
        <is>
          <t>M1 Level beams</t>
        </is>
      </c>
      <c r="D85" s="7" t="inlineStr">
        <is>
          <t>F02</t>
        </is>
      </c>
      <c r="E85" s="27" t="inlineStr">
        <is>
          <t>1610</t>
        </is>
      </c>
      <c r="F85" s="27" t="n">
        <v>16</v>
      </c>
      <c r="G85" s="27" t="n">
        <v>2</v>
      </c>
      <c r="H85" s="27" t="n">
        <v>11700</v>
      </c>
      <c r="I85" s="28">
        <f>G85*H85/1000*F85^2/162</f>
        <v>36.977777777777774</v>
      </c>
    </row>
    <row r="86">
      <c r="A86" s="7" t="inlineStr">
        <is>
          <t>STR-042</t>
        </is>
      </c>
      <c r="B86" s="7" t="inlineStr">
        <is>
          <t>Beams</t>
        </is>
      </c>
      <c r="C86" s="7" t="inlineStr">
        <is>
          <t>M1 Level beams</t>
        </is>
      </c>
      <c r="D86" s="7" t="inlineStr">
        <is>
          <t>F02</t>
        </is>
      </c>
      <c r="E86" s="27" t="inlineStr">
        <is>
          <t>1611</t>
        </is>
      </c>
      <c r="F86" s="27" t="n">
        <v>16</v>
      </c>
      <c r="G86" s="27" t="n">
        <v>2</v>
      </c>
      <c r="H86" s="27" t="n">
        <v>12000</v>
      </c>
      <c r="I86" s="28">
        <f>G86*H86/1000*F86^2/162</f>
        <v>37.925925925925924</v>
      </c>
    </row>
    <row r="87">
      <c r="A87" s="7" t="inlineStr">
        <is>
          <t>STR-042</t>
        </is>
      </c>
      <c r="B87" s="7" t="inlineStr">
        <is>
          <t>Beams</t>
        </is>
      </c>
      <c r="C87" s="7" t="inlineStr">
        <is>
          <t>M1 Level beams</t>
        </is>
      </c>
      <c r="D87" s="7" t="inlineStr">
        <is>
          <t>F02</t>
        </is>
      </c>
      <c r="E87" s="27" t="inlineStr">
        <is>
          <t>1612</t>
        </is>
      </c>
      <c r="F87" s="27" t="n">
        <v>16</v>
      </c>
      <c r="G87" s="27" t="n">
        <v>2</v>
      </c>
      <c r="H87" s="27" t="n">
        <v>12000</v>
      </c>
      <c r="I87" s="28">
        <f>G87*H87/1000*F87^2/162</f>
        <v>37.925925925925924</v>
      </c>
    </row>
    <row r="88">
      <c r="A88" s="7" t="inlineStr">
        <is>
          <t>STR-042</t>
        </is>
      </c>
      <c r="B88" s="7" t="inlineStr">
        <is>
          <t>Beams</t>
        </is>
      </c>
      <c r="C88" s="7" t="inlineStr">
        <is>
          <t>M1 Level beams</t>
        </is>
      </c>
      <c r="D88" s="7" t="inlineStr">
        <is>
          <t>F02</t>
        </is>
      </c>
      <c r="E88" s="27" t="inlineStr">
        <is>
          <t>1613</t>
        </is>
      </c>
      <c r="F88" s="27" t="n">
        <v>16</v>
      </c>
      <c r="G88" s="27" t="n">
        <v>2</v>
      </c>
      <c r="H88" s="27" t="n">
        <v>5150</v>
      </c>
      <c r="I88" s="28">
        <f>G88*H88/1000*F88^2/162</f>
        <v>16.276543209876543</v>
      </c>
    </row>
    <row r="89">
      <c r="A89" s="7" t="inlineStr">
        <is>
          <t>STR-042</t>
        </is>
      </c>
      <c r="B89" s="7" t="inlineStr">
        <is>
          <t>Beams</t>
        </is>
      </c>
      <c r="C89" s="7" t="inlineStr">
        <is>
          <t>M1 Level beams</t>
        </is>
      </c>
      <c r="D89" s="7" t="inlineStr">
        <is>
          <t>F02</t>
        </is>
      </c>
      <c r="E89" s="27" t="inlineStr">
        <is>
          <t>1614</t>
        </is>
      </c>
      <c r="F89" s="27" t="n">
        <v>16</v>
      </c>
      <c r="G89" s="27" t="n">
        <v>2</v>
      </c>
      <c r="H89" s="27" t="n">
        <v>8850</v>
      </c>
      <c r="I89" s="28">
        <f>G89*H89/1000*F89^2/162</f>
        <v>27.970370370370368</v>
      </c>
    </row>
    <row r="90">
      <c r="A90" s="7" t="inlineStr">
        <is>
          <t>STR-042</t>
        </is>
      </c>
      <c r="B90" s="7" t="inlineStr">
        <is>
          <t>Beams</t>
        </is>
      </c>
      <c r="C90" s="7" t="inlineStr">
        <is>
          <t>M1 Level beams</t>
        </is>
      </c>
      <c r="D90" s="7" t="inlineStr">
        <is>
          <t>F02</t>
        </is>
      </c>
      <c r="E90" s="27" t="inlineStr">
        <is>
          <t>1615</t>
        </is>
      </c>
      <c r="F90" s="27" t="n">
        <v>16</v>
      </c>
      <c r="G90" s="27" t="n">
        <v>2</v>
      </c>
      <c r="H90" s="27" t="n">
        <v>12000</v>
      </c>
      <c r="I90" s="28">
        <f>G90*H90/1000*F90^2/162</f>
        <v>37.925925925925924</v>
      </c>
    </row>
    <row r="91">
      <c r="A91" s="7" t="inlineStr">
        <is>
          <t>STR-042</t>
        </is>
      </c>
      <c r="B91" s="7" t="inlineStr">
        <is>
          <t>Beams</t>
        </is>
      </c>
      <c r="C91" s="7" t="inlineStr">
        <is>
          <t>M1 Level beams</t>
        </is>
      </c>
      <c r="D91" s="7" t="inlineStr">
        <is>
          <t>F02</t>
        </is>
      </c>
      <c r="E91" s="27" t="inlineStr">
        <is>
          <t>2001</t>
        </is>
      </c>
      <c r="F91" s="27" t="n">
        <v>20</v>
      </c>
      <c r="G91" s="27" t="n">
        <v>3</v>
      </c>
      <c r="H91" s="27" t="n">
        <v>11200</v>
      </c>
      <c r="I91" s="28">
        <f>G91*H91/1000*F91^2/162</f>
        <v>82.96296296296296</v>
      </c>
    </row>
    <row r="92">
      <c r="A92" s="7" t="inlineStr">
        <is>
          <t>STR-042</t>
        </is>
      </c>
      <c r="B92" s="7" t="inlineStr">
        <is>
          <t>Beams</t>
        </is>
      </c>
      <c r="C92" s="7" t="inlineStr">
        <is>
          <t>M1 Level beams</t>
        </is>
      </c>
      <c r="D92" s="7" t="inlineStr">
        <is>
          <t>F02</t>
        </is>
      </c>
      <c r="E92" s="27" t="inlineStr">
        <is>
          <t>2002</t>
        </is>
      </c>
      <c r="F92" s="27" t="n">
        <v>20</v>
      </c>
      <c r="G92" s="27" t="n">
        <v>6</v>
      </c>
      <c r="H92" s="27" t="n">
        <v>9600</v>
      </c>
      <c r="I92" s="28">
        <f>G92*H92/1000*F92^2/162</f>
        <v>142.22222222222223</v>
      </c>
    </row>
    <row r="93">
      <c r="A93" s="7" t="inlineStr">
        <is>
          <t>STR-042</t>
        </is>
      </c>
      <c r="B93" s="7" t="inlineStr">
        <is>
          <t>Beams</t>
        </is>
      </c>
      <c r="C93" s="7" t="inlineStr">
        <is>
          <t>M1 Level beams</t>
        </is>
      </c>
      <c r="D93" s="7" t="inlineStr">
        <is>
          <t>F02</t>
        </is>
      </c>
      <c r="E93" s="27" t="inlineStr">
        <is>
          <t>2003</t>
        </is>
      </c>
      <c r="F93" s="27" t="n">
        <v>20</v>
      </c>
      <c r="G93" s="27" t="n">
        <v>3</v>
      </c>
      <c r="H93" s="27" t="n">
        <v>12000</v>
      </c>
      <c r="I93" s="28">
        <f>G93*H93/1000*F93^2/162</f>
        <v>88.88888888888889</v>
      </c>
    </row>
    <row r="94">
      <c r="A94" s="7" t="inlineStr">
        <is>
          <t>STR-042</t>
        </is>
      </c>
      <c r="B94" s="7" t="inlineStr">
        <is>
          <t>Beams</t>
        </is>
      </c>
      <c r="C94" s="7" t="inlineStr">
        <is>
          <t>M1 Level beams</t>
        </is>
      </c>
      <c r="D94" s="7" t="inlineStr">
        <is>
          <t>F02</t>
        </is>
      </c>
      <c r="E94" s="27" t="inlineStr">
        <is>
          <t>2004</t>
        </is>
      </c>
      <c r="F94" s="27" t="n">
        <v>20</v>
      </c>
      <c r="G94" s="27" t="n">
        <v>3</v>
      </c>
      <c r="H94" s="27" t="n">
        <v>7050</v>
      </c>
      <c r="I94" s="28">
        <f>G94*H94/1000*F94^2/162</f>
        <v>52.22222222222222</v>
      </c>
    </row>
    <row r="95">
      <c r="A95" s="7" t="inlineStr">
        <is>
          <t>STR-042</t>
        </is>
      </c>
      <c r="B95" s="7" t="inlineStr">
        <is>
          <t>Beams</t>
        </is>
      </c>
      <c r="C95" s="7" t="inlineStr">
        <is>
          <t>M1 Level beams</t>
        </is>
      </c>
      <c r="D95" s="7" t="inlineStr">
        <is>
          <t>F02</t>
        </is>
      </c>
      <c r="E95" s="27" t="inlineStr">
        <is>
          <t>2005</t>
        </is>
      </c>
      <c r="F95" s="27" t="n">
        <v>20</v>
      </c>
      <c r="G95" s="27" t="n">
        <v>3</v>
      </c>
      <c r="H95" s="27" t="n">
        <v>9300</v>
      </c>
      <c r="I95" s="28">
        <f>G95*H95/1000*F95^2/162</f>
        <v>68.88888888888889</v>
      </c>
    </row>
    <row r="96">
      <c r="A96" s="7" t="inlineStr">
        <is>
          <t>STR-042</t>
        </is>
      </c>
      <c r="B96" s="7" t="inlineStr">
        <is>
          <t>Beams</t>
        </is>
      </c>
      <c r="C96" s="7" t="inlineStr">
        <is>
          <t>M1 Level beams</t>
        </is>
      </c>
      <c r="D96" s="7" t="inlineStr">
        <is>
          <t>F02</t>
        </is>
      </c>
      <c r="E96" s="27" t="inlineStr">
        <is>
          <t>2006</t>
        </is>
      </c>
      <c r="F96" s="27" t="n">
        <v>20</v>
      </c>
      <c r="G96" s="27" t="n">
        <v>3</v>
      </c>
      <c r="H96" s="27" t="n">
        <v>9100</v>
      </c>
      <c r="I96" s="28">
        <f>G96*H96/1000*F96^2/162</f>
        <v>67.4074074074074</v>
      </c>
    </row>
    <row r="97">
      <c r="A97" s="7" t="inlineStr">
        <is>
          <t>STR-042</t>
        </is>
      </c>
      <c r="B97" s="7" t="inlineStr">
        <is>
          <t>Beams</t>
        </is>
      </c>
      <c r="C97" s="7" t="inlineStr">
        <is>
          <t>M1 Level beams</t>
        </is>
      </c>
      <c r="D97" s="7" t="inlineStr">
        <is>
          <t>F02</t>
        </is>
      </c>
      <c r="E97" s="27" t="inlineStr">
        <is>
          <t>2007</t>
        </is>
      </c>
      <c r="F97" s="27" t="n">
        <v>20</v>
      </c>
      <c r="G97" s="27" t="n">
        <v>6</v>
      </c>
      <c r="H97" s="27" t="n">
        <v>5725</v>
      </c>
      <c r="I97" s="28">
        <f>G97*H97/1000*F97^2/162</f>
        <v>84.81481481481481</v>
      </c>
    </row>
    <row r="98">
      <c r="A98" s="7" t="inlineStr">
        <is>
          <t>STR-042</t>
        </is>
      </c>
      <c r="B98" s="7" t="inlineStr">
        <is>
          <t>Beams</t>
        </is>
      </c>
      <c r="C98" s="7" t="inlineStr">
        <is>
          <t>M1 Level beams</t>
        </is>
      </c>
      <c r="D98" s="7" t="inlineStr">
        <is>
          <t>F02</t>
        </is>
      </c>
      <c r="E98" s="27" t="inlineStr">
        <is>
          <t>2008</t>
        </is>
      </c>
      <c r="F98" s="27" t="n">
        <v>20</v>
      </c>
      <c r="G98" s="27" t="n">
        <v>3</v>
      </c>
      <c r="H98" s="27" t="n">
        <v>9250</v>
      </c>
      <c r="I98" s="28">
        <f>G98*H98/1000*F98^2/162</f>
        <v>68.51851851851852</v>
      </c>
    </row>
    <row r="99">
      <c r="A99" s="7" t="inlineStr">
        <is>
          <t>STR-042</t>
        </is>
      </c>
      <c r="B99" s="7" t="inlineStr">
        <is>
          <t>Beams</t>
        </is>
      </c>
      <c r="C99" s="7" t="inlineStr">
        <is>
          <t>M1 Level beams</t>
        </is>
      </c>
      <c r="D99" s="7" t="inlineStr">
        <is>
          <t>F02</t>
        </is>
      </c>
      <c r="E99" s="27" t="inlineStr">
        <is>
          <t>2009</t>
        </is>
      </c>
      <c r="F99" s="27" t="n">
        <v>20</v>
      </c>
      <c r="G99" s="27" t="n">
        <v>3</v>
      </c>
      <c r="H99" s="27" t="n">
        <v>6500</v>
      </c>
      <c r="I99" s="28">
        <f>G99*H99/1000*F99^2/162</f>
        <v>48.148148148148145</v>
      </c>
    </row>
    <row r="100">
      <c r="A100" s="7" t="inlineStr">
        <is>
          <t>STR-042</t>
        </is>
      </c>
      <c r="B100" s="7" t="inlineStr">
        <is>
          <t>Beams</t>
        </is>
      </c>
      <c r="C100" s="7" t="inlineStr">
        <is>
          <t>M1 Level beams</t>
        </is>
      </c>
      <c r="D100" s="7" t="inlineStr">
        <is>
          <t>F02</t>
        </is>
      </c>
      <c r="E100" s="27" t="inlineStr">
        <is>
          <t>2010</t>
        </is>
      </c>
      <c r="F100" s="27" t="n">
        <v>20</v>
      </c>
      <c r="G100" s="27" t="n">
        <v>3</v>
      </c>
      <c r="H100" s="27" t="n">
        <v>5700</v>
      </c>
      <c r="I100" s="28">
        <f>G100*H100/1000*F100^2/162</f>
        <v>42.22222222222223</v>
      </c>
    </row>
    <row r="101">
      <c r="A101" s="7" t="inlineStr">
        <is>
          <t>STR-042</t>
        </is>
      </c>
      <c r="B101" s="7" t="inlineStr">
        <is>
          <t>Beams</t>
        </is>
      </c>
      <c r="C101" s="7" t="inlineStr">
        <is>
          <t>M1 Level beams</t>
        </is>
      </c>
      <c r="D101" s="7" t="inlineStr">
        <is>
          <t>F02</t>
        </is>
      </c>
      <c r="E101" s="27" t="inlineStr">
        <is>
          <t>2011</t>
        </is>
      </c>
      <c r="F101" s="27" t="n">
        <v>20</v>
      </c>
      <c r="G101" s="27" t="n">
        <v>3</v>
      </c>
      <c r="H101" s="27" t="n">
        <v>9100</v>
      </c>
      <c r="I101" s="28">
        <f>G101*H101/1000*F101^2/162</f>
        <v>67.4074074074074</v>
      </c>
    </row>
    <row r="102">
      <c r="A102" s="7" t="inlineStr">
        <is>
          <t>STR-042</t>
        </is>
      </c>
      <c r="B102" s="7" t="inlineStr">
        <is>
          <t>Beams</t>
        </is>
      </c>
      <c r="C102" s="7" t="inlineStr">
        <is>
          <t>M1 Level beams</t>
        </is>
      </c>
      <c r="D102" s="7" t="inlineStr">
        <is>
          <t>F02</t>
        </is>
      </c>
      <c r="E102" s="27" t="inlineStr">
        <is>
          <t>2501</t>
        </is>
      </c>
      <c r="F102" s="27" t="n">
        <v>25</v>
      </c>
      <c r="G102" s="27" t="n">
        <v>3</v>
      </c>
      <c r="H102" s="27" t="n">
        <v>11300</v>
      </c>
      <c r="I102" s="28">
        <f>G102*H102/1000*F102^2/162</f>
        <v>130.78703703703704</v>
      </c>
    </row>
    <row r="103">
      <c r="A103" s="7" t="inlineStr">
        <is>
          <t>STR-042</t>
        </is>
      </c>
      <c r="B103" s="7" t="inlineStr">
        <is>
          <t>Beams</t>
        </is>
      </c>
      <c r="C103" s="7" t="inlineStr">
        <is>
          <t>M1 Level beams</t>
        </is>
      </c>
      <c r="D103" s="7" t="inlineStr">
        <is>
          <t>F02</t>
        </is>
      </c>
      <c r="E103" s="27" t="inlineStr">
        <is>
          <t>2502</t>
        </is>
      </c>
      <c r="F103" s="27" t="n">
        <v>25</v>
      </c>
      <c r="G103" s="27" t="n">
        <v>6</v>
      </c>
      <c r="H103" s="27" t="n">
        <v>9600</v>
      </c>
      <c r="I103" s="28">
        <f>G103*H103/1000*F103^2/162</f>
        <v>222.22222222222223</v>
      </c>
    </row>
    <row r="104">
      <c r="A104" s="7" t="inlineStr">
        <is>
          <t>STR-042</t>
        </is>
      </c>
      <c r="B104" s="7" t="inlineStr">
        <is>
          <t>Beams</t>
        </is>
      </c>
      <c r="C104" s="7" t="inlineStr">
        <is>
          <t>M1 Level beams</t>
        </is>
      </c>
      <c r="D104" s="7" t="inlineStr">
        <is>
          <t>F02</t>
        </is>
      </c>
      <c r="E104" s="27" t="inlineStr">
        <is>
          <t>2503</t>
        </is>
      </c>
      <c r="F104" s="27" t="n">
        <v>25</v>
      </c>
      <c r="G104" s="27" t="n">
        <v>3</v>
      </c>
      <c r="H104" s="27" t="n">
        <v>12000</v>
      </c>
      <c r="I104" s="28">
        <f>G104*H104/1000*F104^2/162</f>
        <v>138.88888888888889</v>
      </c>
    </row>
    <row r="105">
      <c r="A105" s="7" t="inlineStr">
        <is>
          <t>STR-042</t>
        </is>
      </c>
      <c r="B105" s="7" t="inlineStr">
        <is>
          <t>Beams</t>
        </is>
      </c>
      <c r="C105" s="7" t="inlineStr">
        <is>
          <t>M1 Level beams</t>
        </is>
      </c>
      <c r="D105" s="7" t="inlineStr">
        <is>
          <t>F02</t>
        </is>
      </c>
      <c r="E105" s="27" t="inlineStr">
        <is>
          <t>2504</t>
        </is>
      </c>
      <c r="F105" s="27" t="n">
        <v>25</v>
      </c>
      <c r="G105" s="27" t="n">
        <v>3</v>
      </c>
      <c r="H105" s="27" t="n">
        <v>7150</v>
      </c>
      <c r="I105" s="28">
        <f>G105*H105/1000*F105^2/162</f>
        <v>82.75462962962963</v>
      </c>
    </row>
    <row r="106">
      <c r="A106" s="7" t="inlineStr">
        <is>
          <t>STR-042</t>
        </is>
      </c>
      <c r="B106" s="7" t="inlineStr">
        <is>
          <t>Beams</t>
        </is>
      </c>
      <c r="C106" s="7" t="inlineStr">
        <is>
          <t>M1 Level beams</t>
        </is>
      </c>
      <c r="D106" s="7" t="inlineStr">
        <is>
          <t>F02</t>
        </is>
      </c>
      <c r="E106" s="27" t="inlineStr">
        <is>
          <t>2505</t>
        </is>
      </c>
      <c r="F106" s="27" t="n">
        <v>25</v>
      </c>
      <c r="G106" s="27" t="n">
        <v>3</v>
      </c>
      <c r="H106" s="27" t="n">
        <v>9300</v>
      </c>
      <c r="I106" s="28">
        <f>G106*H106/1000*F106^2/162</f>
        <v>107.63888888888889</v>
      </c>
    </row>
    <row r="107">
      <c r="A107" s="7" t="inlineStr">
        <is>
          <t>STR-042</t>
        </is>
      </c>
      <c r="B107" s="7" t="inlineStr">
        <is>
          <t>Beams</t>
        </is>
      </c>
      <c r="C107" s="7" t="inlineStr">
        <is>
          <t>M1 Level beams</t>
        </is>
      </c>
      <c r="D107" s="7" t="inlineStr">
        <is>
          <t>F02</t>
        </is>
      </c>
      <c r="E107" s="27" t="inlineStr">
        <is>
          <t>2506</t>
        </is>
      </c>
      <c r="F107" s="27" t="n">
        <v>25</v>
      </c>
      <c r="G107" s="27" t="n">
        <v>3</v>
      </c>
      <c r="H107" s="27" t="n">
        <v>9200</v>
      </c>
      <c r="I107" s="28">
        <f>G107*H107/1000*F107^2/162</f>
        <v>106.48148148148148</v>
      </c>
    </row>
    <row r="108">
      <c r="A108" s="7" t="inlineStr">
        <is>
          <t>STR-042</t>
        </is>
      </c>
      <c r="B108" s="7" t="inlineStr">
        <is>
          <t>Beams</t>
        </is>
      </c>
      <c r="C108" s="7" t="inlineStr">
        <is>
          <t>M1 Level beams</t>
        </is>
      </c>
      <c r="D108" s="7" t="inlineStr">
        <is>
          <t>F02</t>
        </is>
      </c>
      <c r="E108" s="27" t="inlineStr">
        <is>
          <t>2507</t>
        </is>
      </c>
      <c r="F108" s="27" t="n">
        <v>25</v>
      </c>
      <c r="G108" s="27" t="n">
        <v>3</v>
      </c>
      <c r="H108" s="27" t="n">
        <v>9850</v>
      </c>
      <c r="I108" s="28">
        <f>G108*H108/1000*F108^2/162</f>
        <v>114.00462962962963</v>
      </c>
    </row>
    <row r="109">
      <c r="A109" s="7" t="inlineStr">
        <is>
          <t>STR-042</t>
        </is>
      </c>
      <c r="B109" s="7" t="inlineStr">
        <is>
          <t>Beams</t>
        </is>
      </c>
      <c r="C109" s="7" t="inlineStr">
        <is>
          <t>M1 Level beams</t>
        </is>
      </c>
      <c r="D109" s="7" t="inlineStr">
        <is>
          <t>F02</t>
        </is>
      </c>
      <c r="E109" s="27" t="inlineStr">
        <is>
          <t>2508</t>
        </is>
      </c>
      <c r="F109" s="27" t="n">
        <v>25</v>
      </c>
      <c r="G109" s="27" t="n">
        <v>3</v>
      </c>
      <c r="H109" s="27" t="n">
        <v>11425</v>
      </c>
      <c r="I109" s="28">
        <f>G109*H109/1000*F109^2/162</f>
        <v>132.2337962962963</v>
      </c>
    </row>
    <row r="110">
      <c r="A110" s="7" t="inlineStr">
        <is>
          <t>STR-042</t>
        </is>
      </c>
      <c r="B110" s="7" t="inlineStr">
        <is>
          <t>Beams</t>
        </is>
      </c>
      <c r="C110" s="7" t="inlineStr">
        <is>
          <t>M1 Level beams</t>
        </is>
      </c>
      <c r="D110" s="7" t="inlineStr">
        <is>
          <t>F02</t>
        </is>
      </c>
      <c r="E110" s="27" t="inlineStr">
        <is>
          <t>2509</t>
        </is>
      </c>
      <c r="F110" s="27" t="n">
        <v>25</v>
      </c>
      <c r="G110" s="27" t="n">
        <v>3</v>
      </c>
      <c r="H110" s="27" t="n">
        <v>6850</v>
      </c>
      <c r="I110" s="28">
        <f>G110*H110/1000*F110^2/162</f>
        <v>79.2824074074074</v>
      </c>
    </row>
    <row r="111">
      <c r="A111" s="7" t="inlineStr">
        <is>
          <t>STR-042</t>
        </is>
      </c>
      <c r="B111" s="7" t="inlineStr">
        <is>
          <t>Beams</t>
        </is>
      </c>
      <c r="C111" s="7" t="inlineStr">
        <is>
          <t>M1 Level beams</t>
        </is>
      </c>
      <c r="D111" s="7" t="inlineStr">
        <is>
          <t>F02</t>
        </is>
      </c>
      <c r="E111" s="27" t="inlineStr">
        <is>
          <t>2510</t>
        </is>
      </c>
      <c r="F111" s="27" t="n">
        <v>25</v>
      </c>
      <c r="G111" s="27" t="n">
        <v>3</v>
      </c>
      <c r="H111" s="27" t="n">
        <v>4475</v>
      </c>
      <c r="I111" s="28">
        <f>G111*H111/1000*F111^2/162</f>
        <v>51.79398148148148</v>
      </c>
    </row>
    <row r="112">
      <c r="A112" s="7" t="inlineStr">
        <is>
          <t>STR-042</t>
        </is>
      </c>
      <c r="B112" s="7" t="inlineStr">
        <is>
          <t>Beams</t>
        </is>
      </c>
      <c r="C112" s="7" t="inlineStr">
        <is>
          <t>M1 Level beams</t>
        </is>
      </c>
      <c r="D112" s="7" t="inlineStr">
        <is>
          <t>F02</t>
        </is>
      </c>
      <c r="E112" s="27" t="inlineStr">
        <is>
          <t>2511</t>
        </is>
      </c>
      <c r="F112" s="27" t="n">
        <v>25</v>
      </c>
      <c r="G112" s="27" t="n">
        <v>3</v>
      </c>
      <c r="H112" s="27" t="n">
        <v>7600</v>
      </c>
      <c r="I112" s="28">
        <f>G112*H112/1000*F112^2/162</f>
        <v>87.96296296296296</v>
      </c>
    </row>
    <row r="113">
      <c r="A113" s="7" t="inlineStr">
        <is>
          <t>STR-042</t>
        </is>
      </c>
      <c r="B113" s="7" t="inlineStr">
        <is>
          <t>Beams</t>
        </is>
      </c>
      <c r="C113" s="7" t="inlineStr">
        <is>
          <t>M1 Level beams</t>
        </is>
      </c>
      <c r="D113" s="7" t="inlineStr">
        <is>
          <t>F02</t>
        </is>
      </c>
      <c r="E113" s="27" t="inlineStr">
        <is>
          <t>2512</t>
        </is>
      </c>
      <c r="F113" s="27" t="n">
        <v>25</v>
      </c>
      <c r="G113" s="27" t="n">
        <v>3</v>
      </c>
      <c r="H113" s="27" t="n">
        <v>6800</v>
      </c>
      <c r="I113" s="28">
        <f>G113*H113/1000*F113^2/162</f>
        <v>78.70370370370371</v>
      </c>
    </row>
    <row r="114">
      <c r="A114" s="7" t="inlineStr">
        <is>
          <t>STR-042</t>
        </is>
      </c>
      <c r="B114" s="7" t="inlineStr">
        <is>
          <t>Beams</t>
        </is>
      </c>
      <c r="C114" s="7" t="inlineStr">
        <is>
          <t>M1 Level beams</t>
        </is>
      </c>
      <c r="D114" s="7" t="inlineStr">
        <is>
          <t>F02</t>
        </is>
      </c>
      <c r="E114" s="27" t="inlineStr">
        <is>
          <t>2513</t>
        </is>
      </c>
      <c r="F114" s="27" t="n">
        <v>25</v>
      </c>
      <c r="G114" s="27" t="n">
        <v>3</v>
      </c>
      <c r="H114" s="27" t="n">
        <v>6850</v>
      </c>
      <c r="I114" s="28">
        <f>G114*H114/1000*F114^2/162</f>
        <v>79.2824074074074</v>
      </c>
    </row>
    <row r="115">
      <c r="A115" s="7" t="inlineStr">
        <is>
          <t>STR-042</t>
        </is>
      </c>
      <c r="B115" s="7" t="inlineStr">
        <is>
          <t>Beams</t>
        </is>
      </c>
      <c r="C115" s="7" t="inlineStr">
        <is>
          <t>M1 Level beams</t>
        </is>
      </c>
      <c r="D115" s="7" t="inlineStr">
        <is>
          <t>F02</t>
        </is>
      </c>
      <c r="E115" s="27" t="inlineStr">
        <is>
          <t>2514</t>
        </is>
      </c>
      <c r="F115" s="27" t="n">
        <v>25</v>
      </c>
      <c r="G115" s="27" t="n">
        <v>3</v>
      </c>
      <c r="H115" s="27" t="n">
        <v>10975</v>
      </c>
      <c r="I115" s="28">
        <f>G115*H115/1000*F115^2/162</f>
        <v>127.02546296296296</v>
      </c>
    </row>
    <row r="116">
      <c r="A116" s="7" t="inlineStr">
        <is>
          <t>STR-042</t>
        </is>
      </c>
      <c r="B116" s="7" t="inlineStr">
        <is>
          <t>Beams</t>
        </is>
      </c>
      <c r="C116" s="7" t="inlineStr">
        <is>
          <t>M1 Level beams</t>
        </is>
      </c>
      <c r="D116" s="7" t="inlineStr">
        <is>
          <t>F02</t>
        </is>
      </c>
      <c r="E116" s="27" t="inlineStr">
        <is>
          <t>2515</t>
        </is>
      </c>
      <c r="F116" s="27" t="n">
        <v>25</v>
      </c>
      <c r="G116" s="27" t="n">
        <v>3</v>
      </c>
      <c r="H116" s="27" t="n">
        <v>11250</v>
      </c>
      <c r="I116" s="28">
        <f>G116*H116/1000*F116^2/162</f>
        <v>130.20833333333334</v>
      </c>
    </row>
    <row r="117">
      <c r="A117" s="7" t="inlineStr">
        <is>
          <t>STR-042</t>
        </is>
      </c>
      <c r="B117" s="7" t="inlineStr">
        <is>
          <t>Beams</t>
        </is>
      </c>
      <c r="C117" s="7" t="inlineStr">
        <is>
          <t>M1 Level beams</t>
        </is>
      </c>
      <c r="D117" s="7" t="inlineStr">
        <is>
          <t>F02</t>
        </is>
      </c>
      <c r="E117" s="27" t="inlineStr">
        <is>
          <t>2516</t>
        </is>
      </c>
      <c r="F117" s="27" t="n">
        <v>25</v>
      </c>
      <c r="G117" s="27" t="n">
        <v>3</v>
      </c>
      <c r="H117" s="27" t="n">
        <v>6650</v>
      </c>
      <c r="I117" s="28">
        <f>G117*H117/1000*F117^2/162</f>
        <v>76.9675925925926</v>
      </c>
    </row>
    <row r="118">
      <c r="A118" s="7" t="inlineStr">
        <is>
          <t>STR-042</t>
        </is>
      </c>
      <c r="B118" s="7" t="inlineStr">
        <is>
          <t>Beams</t>
        </is>
      </c>
      <c r="C118" s="7" t="inlineStr">
        <is>
          <t>M1 Level beams</t>
        </is>
      </c>
      <c r="D118" s="7" t="inlineStr">
        <is>
          <t>F02</t>
        </is>
      </c>
      <c r="E118" s="27" t="inlineStr">
        <is>
          <t>2517</t>
        </is>
      </c>
      <c r="F118" s="27" t="n">
        <v>25</v>
      </c>
      <c r="G118" s="27" t="n">
        <v>3</v>
      </c>
      <c r="H118" s="27" t="n">
        <v>8150</v>
      </c>
      <c r="I118" s="28">
        <f>G118*H118/1000*F118^2/162</f>
        <v>94.32870370370371</v>
      </c>
    </row>
    <row r="119">
      <c r="A119" s="7" t="inlineStr">
        <is>
          <t>STR-042</t>
        </is>
      </c>
      <c r="B119" s="7" t="inlineStr">
        <is>
          <t>Beams</t>
        </is>
      </c>
      <c r="C119" s="7" t="inlineStr">
        <is>
          <t>M1 Level beams</t>
        </is>
      </c>
      <c r="D119" s="7" t="inlineStr">
        <is>
          <t>F02</t>
        </is>
      </c>
      <c r="E119" s="27" t="inlineStr">
        <is>
          <t>2518</t>
        </is>
      </c>
      <c r="F119" s="27" t="n">
        <v>25</v>
      </c>
      <c r="G119" s="27" t="n">
        <v>3</v>
      </c>
      <c r="H119" s="27" t="n">
        <v>7600</v>
      </c>
      <c r="I119" s="28">
        <f>G119*H119/1000*F119^2/162</f>
        <v>87.96296296296296</v>
      </c>
    </row>
    <row r="120">
      <c r="A120" s="7" t="inlineStr">
        <is>
          <t>STR-042</t>
        </is>
      </c>
      <c r="B120" s="7" t="inlineStr">
        <is>
          <t>Beams</t>
        </is>
      </c>
      <c r="C120" s="7" t="inlineStr">
        <is>
          <t>M1 Level beams</t>
        </is>
      </c>
      <c r="D120" s="7" t="inlineStr">
        <is>
          <t>F02</t>
        </is>
      </c>
      <c r="E120" s="27" t="inlineStr">
        <is>
          <t>2519</t>
        </is>
      </c>
      <c r="F120" s="27" t="n">
        <v>25</v>
      </c>
      <c r="G120" s="27" t="n">
        <v>3</v>
      </c>
      <c r="H120" s="27" t="n">
        <v>10775</v>
      </c>
      <c r="I120" s="28">
        <f>G120*H120/1000*F120^2/162</f>
        <v>124.71064814814815</v>
      </c>
    </row>
    <row r="121">
      <c r="A121" s="7" t="inlineStr">
        <is>
          <t>STR-042</t>
        </is>
      </c>
      <c r="B121" s="7" t="inlineStr">
        <is>
          <t>Beams</t>
        </is>
      </c>
      <c r="C121" s="7" t="inlineStr">
        <is>
          <t>M1 Level beams</t>
        </is>
      </c>
      <c r="D121" s="7" t="inlineStr">
        <is>
          <t>F02</t>
        </is>
      </c>
      <c r="E121" s="27" t="inlineStr">
        <is>
          <t>2520</t>
        </is>
      </c>
      <c r="F121" s="27" t="n">
        <v>25</v>
      </c>
      <c r="G121" s="27" t="n">
        <v>3</v>
      </c>
      <c r="H121" s="27" t="n">
        <v>9850</v>
      </c>
      <c r="I121" s="28">
        <f>G121*H121/1000*F121^2/162</f>
        <v>114.00462962962963</v>
      </c>
    </row>
    <row r="122">
      <c r="A122" s="7" t="inlineStr">
        <is>
          <t>STR-042</t>
        </is>
      </c>
      <c r="B122" s="7" t="inlineStr">
        <is>
          <t>Beams</t>
        </is>
      </c>
      <c r="C122" s="7" t="inlineStr">
        <is>
          <t>M1 Level beams</t>
        </is>
      </c>
      <c r="D122" s="7" t="inlineStr">
        <is>
          <t>F02</t>
        </is>
      </c>
      <c r="E122" s="27" t="inlineStr">
        <is>
          <t>2521</t>
        </is>
      </c>
      <c r="F122" s="27" t="n">
        <v>25</v>
      </c>
      <c r="G122" s="27" t="n">
        <v>3</v>
      </c>
      <c r="H122" s="27" t="n">
        <v>8925</v>
      </c>
      <c r="I122" s="28">
        <f>G122*H122/1000*F122^2/162</f>
        <v>103.29861111111111</v>
      </c>
    </row>
    <row r="123">
      <c r="A123" s="7" t="inlineStr">
        <is>
          <t>STR-042</t>
        </is>
      </c>
      <c r="B123" s="7" t="inlineStr">
        <is>
          <t>Beams</t>
        </is>
      </c>
      <c r="C123" s="7" t="inlineStr">
        <is>
          <t>M1 Level beams</t>
        </is>
      </c>
      <c r="D123" s="7" t="inlineStr">
        <is>
          <t>F02</t>
        </is>
      </c>
      <c r="E123" s="27" t="inlineStr">
        <is>
          <t>2522</t>
        </is>
      </c>
      <c r="F123" s="27" t="n">
        <v>25</v>
      </c>
      <c r="G123" s="27" t="n">
        <v>3</v>
      </c>
      <c r="H123" s="27" t="n">
        <v>6600</v>
      </c>
      <c r="I123" s="28">
        <f>G123*H123/1000*F123^2/162</f>
        <v>76.38888888888889</v>
      </c>
    </row>
    <row r="124">
      <c r="A124" s="7" t="inlineStr">
        <is>
          <t>STR-042</t>
        </is>
      </c>
      <c r="B124" s="7" t="inlineStr">
        <is>
          <t>Beams</t>
        </is>
      </c>
      <c r="C124" s="7" t="inlineStr">
        <is>
          <t>M1 Level beams</t>
        </is>
      </c>
      <c r="D124" s="7" t="inlineStr">
        <is>
          <t>F02</t>
        </is>
      </c>
      <c r="E124" s="27" t="inlineStr">
        <is>
          <t>2523</t>
        </is>
      </c>
      <c r="F124" s="27" t="n">
        <v>25</v>
      </c>
      <c r="G124" s="27" t="n">
        <v>3</v>
      </c>
      <c r="H124" s="27" t="n">
        <v>7850</v>
      </c>
      <c r="I124" s="28">
        <f>G124*H124/1000*F124^2/162</f>
        <v>90.85648148148148</v>
      </c>
    </row>
    <row r="125">
      <c r="A125" s="7" t="inlineStr">
        <is>
          <t>STR-043</t>
        </is>
      </c>
      <c r="B125" s="7" t="inlineStr">
        <is>
          <t>Floor Slabs</t>
        </is>
      </c>
      <c r="C125" s="7" t="inlineStr">
        <is>
          <t>M1 slab - bottom reinforcement</t>
        </is>
      </c>
      <c r="D125" s="7" t="inlineStr">
        <is>
          <t>F02</t>
        </is>
      </c>
      <c r="E125" s="27" t="inlineStr">
        <is>
          <t>1201</t>
        </is>
      </c>
      <c r="F125" s="27" t="n">
        <v>12</v>
      </c>
      <c r="G125" s="27" t="n">
        <v>99</v>
      </c>
      <c r="H125" s="27" t="n">
        <v>8550</v>
      </c>
      <c r="I125" s="28">
        <f>G125*H125/1000*F125^2/162</f>
        <v>752.4</v>
      </c>
    </row>
    <row r="126">
      <c r="A126" s="7" t="inlineStr">
        <is>
          <t>STR-043</t>
        </is>
      </c>
      <c r="B126" s="7" t="inlineStr">
        <is>
          <t>Floor Slabs</t>
        </is>
      </c>
      <c r="C126" s="7" t="inlineStr">
        <is>
          <t>M1 slab - bottom reinforcement</t>
        </is>
      </c>
      <c r="D126" s="7" t="inlineStr">
        <is>
          <t>F02</t>
        </is>
      </c>
      <c r="E126" s="27" t="inlineStr">
        <is>
          <t>1202</t>
        </is>
      </c>
      <c r="F126" s="27" t="n">
        <v>12</v>
      </c>
      <c r="G126" s="27" t="n">
        <v>122</v>
      </c>
      <c r="H126" s="27" t="n">
        <v>5500</v>
      </c>
      <c r="I126" s="28">
        <f>G126*H126/1000*F126^2/162</f>
        <v>596.4444444444445</v>
      </c>
    </row>
    <row r="127">
      <c r="A127" s="7" t="inlineStr">
        <is>
          <t>STR-043</t>
        </is>
      </c>
      <c r="B127" s="7" t="inlineStr">
        <is>
          <t>Floor Slabs</t>
        </is>
      </c>
      <c r="C127" s="7" t="inlineStr">
        <is>
          <t>M1 slab - bottom reinforcement</t>
        </is>
      </c>
      <c r="D127" s="7" t="inlineStr">
        <is>
          <t>F02</t>
        </is>
      </c>
      <c r="E127" s="27" t="inlineStr">
        <is>
          <t>1203</t>
        </is>
      </c>
      <c r="F127" s="27" t="n">
        <v>12</v>
      </c>
      <c r="G127" s="27" t="n">
        <v>21</v>
      </c>
      <c r="H127" s="27" t="n">
        <v>4250</v>
      </c>
      <c r="I127" s="28">
        <f>G127*H127/1000*F127^2/162</f>
        <v>79.33333333333333</v>
      </c>
    </row>
    <row r="128">
      <c r="A128" s="7" t="inlineStr">
        <is>
          <t>STR-043</t>
        </is>
      </c>
      <c r="B128" s="7" t="inlineStr">
        <is>
          <t>Floor Slabs</t>
        </is>
      </c>
      <c r="C128" s="7" t="inlineStr">
        <is>
          <t>M1 slab - bottom reinforcement</t>
        </is>
      </c>
      <c r="D128" s="7" t="inlineStr">
        <is>
          <t>F02</t>
        </is>
      </c>
      <c r="E128" s="27" t="inlineStr">
        <is>
          <t>1204</t>
        </is>
      </c>
      <c r="F128" s="27" t="n">
        <v>12</v>
      </c>
      <c r="G128" s="27" t="n">
        <v>54</v>
      </c>
      <c r="H128" s="27" t="n">
        <v>5250</v>
      </c>
      <c r="I128" s="28">
        <f>G128*H128/1000*F128^2/162</f>
        <v>252.0</v>
      </c>
    </row>
    <row r="129">
      <c r="A129" s="7" t="inlineStr">
        <is>
          <t>STR-043</t>
        </is>
      </c>
      <c r="B129" s="7" t="inlineStr">
        <is>
          <t>Floor Slabs</t>
        </is>
      </c>
      <c r="C129" s="7" t="inlineStr">
        <is>
          <t>M1 slab - bottom reinforcement</t>
        </is>
      </c>
      <c r="D129" s="7" t="inlineStr">
        <is>
          <t>F02</t>
        </is>
      </c>
      <c r="E129" s="27" t="inlineStr">
        <is>
          <t>1205</t>
        </is>
      </c>
      <c r="F129" s="27" t="n">
        <v>12</v>
      </c>
      <c r="G129" s="27" t="n">
        <v>144</v>
      </c>
      <c r="H129" s="27" t="n">
        <v>9050</v>
      </c>
      <c r="I129" s="28">
        <f>G129*H129/1000*F129^2/162</f>
        <v>1158.4</v>
      </c>
    </row>
    <row r="130">
      <c r="A130" s="7" t="inlineStr">
        <is>
          <t>STR-043</t>
        </is>
      </c>
      <c r="B130" s="7" t="inlineStr">
        <is>
          <t>Floor Slabs</t>
        </is>
      </c>
      <c r="C130" s="7" t="inlineStr">
        <is>
          <t>M1 slab - bottom reinforcement</t>
        </is>
      </c>
      <c r="D130" s="7" t="inlineStr">
        <is>
          <t>F02</t>
        </is>
      </c>
      <c r="E130" s="27" t="inlineStr">
        <is>
          <t>1206</t>
        </is>
      </c>
      <c r="F130" s="27" t="n">
        <v>12</v>
      </c>
      <c r="G130" s="27" t="n">
        <v>74</v>
      </c>
      <c r="H130" s="27" t="n">
        <v>8950</v>
      </c>
      <c r="I130" s="28">
        <f>G130*H130/1000*F130^2/162</f>
        <v>588.7111111111111</v>
      </c>
    </row>
    <row r="131">
      <c r="A131" s="7" t="inlineStr">
        <is>
          <t>STR-043</t>
        </is>
      </c>
      <c r="B131" s="7" t="inlineStr">
        <is>
          <t>Floor Slabs</t>
        </is>
      </c>
      <c r="C131" s="7" t="inlineStr">
        <is>
          <t>M1 slab - bottom reinforcement</t>
        </is>
      </c>
      <c r="D131" s="7" t="inlineStr">
        <is>
          <t>F02</t>
        </is>
      </c>
      <c r="E131" s="27" t="inlineStr">
        <is>
          <t>1207</t>
        </is>
      </c>
      <c r="F131" s="27" t="n">
        <v>12</v>
      </c>
      <c r="G131" s="27" t="n">
        <v>93</v>
      </c>
      <c r="H131" s="27" t="n">
        <v>8850</v>
      </c>
      <c r="I131" s="28">
        <f>G131*H131/1000*F131^2/162</f>
        <v>731.6</v>
      </c>
    </row>
    <row r="132">
      <c r="A132" s="7" t="inlineStr">
        <is>
          <t>STR-043</t>
        </is>
      </c>
      <c r="B132" s="7" t="inlineStr">
        <is>
          <t>Floor Slabs</t>
        </is>
      </c>
      <c r="C132" s="7" t="inlineStr">
        <is>
          <t>M1 slab - bottom reinforcement</t>
        </is>
      </c>
      <c r="D132" s="7" t="inlineStr">
        <is>
          <t>F02</t>
        </is>
      </c>
      <c r="E132" s="27" t="inlineStr">
        <is>
          <t>1208</t>
        </is>
      </c>
      <c r="F132" s="27" t="n">
        <v>12</v>
      </c>
      <c r="G132" s="27" t="n">
        <v>15</v>
      </c>
      <c r="H132" s="27" t="n">
        <v>8775</v>
      </c>
      <c r="I132" s="28">
        <f>G132*H132/1000*F132^2/162</f>
        <v>117.0</v>
      </c>
    </row>
    <row r="133">
      <c r="A133" s="7" t="inlineStr">
        <is>
          <t>STR-043</t>
        </is>
      </c>
      <c r="B133" s="7" t="inlineStr">
        <is>
          <t>Floor Slabs</t>
        </is>
      </c>
      <c r="C133" s="7" t="inlineStr">
        <is>
          <t>M1 slab - bottom reinforcement</t>
        </is>
      </c>
      <c r="D133" s="7" t="inlineStr">
        <is>
          <t>F02</t>
        </is>
      </c>
      <c r="E133" s="27" t="inlineStr">
        <is>
          <t>1209</t>
        </is>
      </c>
      <c r="F133" s="27" t="n">
        <v>12</v>
      </c>
      <c r="G133" s="27" t="n">
        <v>93</v>
      </c>
      <c r="H133" s="27" t="n">
        <v>8700</v>
      </c>
      <c r="I133" s="28">
        <f>G133*H133/1000*F133^2/162</f>
        <v>719.2</v>
      </c>
    </row>
    <row r="134">
      <c r="A134" s="7" t="inlineStr">
        <is>
          <t>STR-043</t>
        </is>
      </c>
      <c r="B134" s="7" t="inlineStr">
        <is>
          <t>Floor Slabs</t>
        </is>
      </c>
      <c r="C134" s="7" t="inlineStr">
        <is>
          <t>M1 slab - bottom reinforcement</t>
        </is>
      </c>
      <c r="D134" s="7" t="inlineStr">
        <is>
          <t>F02</t>
        </is>
      </c>
      <c r="E134" s="27" t="inlineStr">
        <is>
          <t>1210</t>
        </is>
      </c>
      <c r="F134" s="27" t="n">
        <v>12</v>
      </c>
      <c r="G134" s="27" t="n">
        <v>122</v>
      </c>
      <c r="H134" s="27" t="n">
        <v>6350</v>
      </c>
      <c r="I134" s="28">
        <f>G134*H134/1000*F134^2/162</f>
        <v>688.6222222222223</v>
      </c>
    </row>
    <row r="135">
      <c r="A135" s="7" t="inlineStr">
        <is>
          <t>STR-043</t>
        </is>
      </c>
      <c r="B135" s="7" t="inlineStr">
        <is>
          <t>Floor Slabs</t>
        </is>
      </c>
      <c r="C135" s="7" t="inlineStr">
        <is>
          <t>M1 slab - bottom reinforcement</t>
        </is>
      </c>
      <c r="D135" s="7" t="inlineStr">
        <is>
          <t>F02</t>
        </is>
      </c>
      <c r="E135" s="27" t="inlineStr">
        <is>
          <t>1211</t>
        </is>
      </c>
      <c r="F135" s="27" t="n">
        <v>12</v>
      </c>
      <c r="G135" s="27" t="n">
        <v>13</v>
      </c>
      <c r="H135" s="27" t="n">
        <v>6600</v>
      </c>
      <c r="I135" s="28">
        <f>G135*H135/1000*F135^2/162</f>
        <v>76.26666666666667</v>
      </c>
    </row>
    <row r="136">
      <c r="A136" s="7" t="inlineStr">
        <is>
          <t>STR-043</t>
        </is>
      </c>
      <c r="B136" s="7" t="inlineStr">
        <is>
          <t>Floor Slabs</t>
        </is>
      </c>
      <c r="C136" s="7" t="inlineStr">
        <is>
          <t>M1 slab - bottom reinforcement</t>
        </is>
      </c>
      <c r="D136" s="7" t="inlineStr">
        <is>
          <t>F02</t>
        </is>
      </c>
      <c r="E136" s="27" t="inlineStr">
        <is>
          <t>1212</t>
        </is>
      </c>
      <c r="F136" s="27" t="n">
        <v>12</v>
      </c>
      <c r="G136" s="27" t="n">
        <v>154</v>
      </c>
      <c r="H136" s="27" t="n">
        <v>12000</v>
      </c>
      <c r="I136" s="28">
        <f>G136*H136/1000*F136^2/162</f>
        <v>1642.6666666666667</v>
      </c>
    </row>
    <row r="137">
      <c r="A137" s="7" t="inlineStr">
        <is>
          <t>STR-043</t>
        </is>
      </c>
      <c r="B137" s="7" t="inlineStr">
        <is>
          <t>Floor Slabs</t>
        </is>
      </c>
      <c r="C137" s="7" t="inlineStr">
        <is>
          <t>M1 slab - bottom reinforcement</t>
        </is>
      </c>
      <c r="D137" s="7" t="inlineStr">
        <is>
          <t>F02</t>
        </is>
      </c>
      <c r="E137" s="27" t="inlineStr">
        <is>
          <t>1213</t>
        </is>
      </c>
      <c r="F137" s="27" t="n">
        <v>12</v>
      </c>
      <c r="G137" s="27" t="n">
        <v>73</v>
      </c>
      <c r="H137" s="27" t="n">
        <v>8100</v>
      </c>
      <c r="I137" s="28">
        <f>G137*H137/1000*F137^2/162</f>
        <v>525.6</v>
      </c>
    </row>
    <row r="138">
      <c r="A138" s="7" t="inlineStr">
        <is>
          <t>STR-043</t>
        </is>
      </c>
      <c r="B138" s="7" t="inlineStr">
        <is>
          <t>Floor Slabs</t>
        </is>
      </c>
      <c r="C138" s="7" t="inlineStr">
        <is>
          <t>M1 slab - bottom reinforcement</t>
        </is>
      </c>
      <c r="D138" s="7" t="inlineStr">
        <is>
          <t>F02</t>
        </is>
      </c>
      <c r="E138" s="27" t="inlineStr">
        <is>
          <t>1214</t>
        </is>
      </c>
      <c r="F138" s="27" t="n">
        <v>12</v>
      </c>
      <c r="G138" s="27" t="n">
        <v>13</v>
      </c>
      <c r="H138" s="27" t="n">
        <v>4200</v>
      </c>
      <c r="I138" s="28">
        <f>G138*H138/1000*F138^2/162</f>
        <v>48.53333333333334</v>
      </c>
    </row>
    <row r="139">
      <c r="A139" s="7" t="inlineStr">
        <is>
          <t>STR-043</t>
        </is>
      </c>
      <c r="B139" s="7" t="inlineStr">
        <is>
          <t>Floor Slabs</t>
        </is>
      </c>
      <c r="C139" s="7" t="inlineStr">
        <is>
          <t>M1 slab - bottom reinforcement</t>
        </is>
      </c>
      <c r="D139" s="7" t="inlineStr">
        <is>
          <t>F02</t>
        </is>
      </c>
      <c r="E139" s="27" t="inlineStr">
        <is>
          <t>1215</t>
        </is>
      </c>
      <c r="F139" s="27" t="n">
        <v>12</v>
      </c>
      <c r="G139" s="27" t="n">
        <v>153</v>
      </c>
      <c r="H139" s="27" t="n">
        <v>12000</v>
      </c>
      <c r="I139" s="28">
        <f>G139*H139/1000*F139^2/162</f>
        <v>1632.0</v>
      </c>
    </row>
    <row r="140">
      <c r="A140" s="7" t="inlineStr">
        <is>
          <t>STR-043</t>
        </is>
      </c>
      <c r="B140" s="7" t="inlineStr">
        <is>
          <t>Floor Slabs</t>
        </is>
      </c>
      <c r="C140" s="7" t="inlineStr">
        <is>
          <t>M1 slab - bottom reinforcement</t>
        </is>
      </c>
      <c r="D140" s="7" t="inlineStr">
        <is>
          <t>F02</t>
        </is>
      </c>
      <c r="E140" s="27" t="inlineStr">
        <is>
          <t>1215(2)</t>
        </is>
      </c>
      <c r="F140" s="27" t="n">
        <v>12</v>
      </c>
      <c r="G140" s="27" t="n">
        <v>74</v>
      </c>
      <c r="H140" s="27" t="n">
        <v>12000</v>
      </c>
      <c r="I140" s="28">
        <f>G140*H140/1000*F140^2/162</f>
        <v>789.3333333333334</v>
      </c>
    </row>
    <row r="141">
      <c r="A141" s="7" t="inlineStr">
        <is>
          <t>STR-043</t>
        </is>
      </c>
      <c r="B141" s="7" t="inlineStr">
        <is>
          <t>Floor Slabs</t>
        </is>
      </c>
      <c r="C141" s="7" t="inlineStr">
        <is>
          <t>M1 slab - bottom reinforcement</t>
        </is>
      </c>
      <c r="D141" s="7" t="inlineStr">
        <is>
          <t>F02</t>
        </is>
      </c>
      <c r="E141" s="27" t="inlineStr">
        <is>
          <t>1216</t>
        </is>
      </c>
      <c r="F141" s="27" t="n">
        <v>12</v>
      </c>
      <c r="G141" s="27" t="n">
        <v>37</v>
      </c>
      <c r="H141" s="27" t="n">
        <v>5550</v>
      </c>
      <c r="I141" s="28">
        <f>G141*H141/1000*F141^2/162</f>
        <v>182.53333333333333</v>
      </c>
    </row>
    <row r="142">
      <c r="A142" s="7" t="inlineStr">
        <is>
          <t>STR-043</t>
        </is>
      </c>
      <c r="B142" s="7" t="inlineStr">
        <is>
          <t>Floor Slabs</t>
        </is>
      </c>
      <c r="C142" s="7" t="inlineStr">
        <is>
          <t>M1 slab - bottom reinforcement</t>
        </is>
      </c>
      <c r="D142" s="7" t="inlineStr">
        <is>
          <t>F02</t>
        </is>
      </c>
      <c r="E142" s="27" t="inlineStr">
        <is>
          <t>1217</t>
        </is>
      </c>
      <c r="F142" s="27" t="n">
        <v>12</v>
      </c>
      <c r="G142" s="27" t="n">
        <v>44</v>
      </c>
      <c r="H142" s="27" t="n">
        <v>11750</v>
      </c>
      <c r="I142" s="28">
        <f>G142*H142/1000*F142^2/162</f>
        <v>459.55555555555554</v>
      </c>
    </row>
    <row r="143">
      <c r="A143" s="7" t="inlineStr">
        <is>
          <t>STR-043</t>
        </is>
      </c>
      <c r="B143" s="7" t="inlineStr">
        <is>
          <t>Floor Slabs</t>
        </is>
      </c>
      <c r="C143" s="7" t="inlineStr">
        <is>
          <t>M1 slab - bottom reinforcement</t>
        </is>
      </c>
      <c r="D143" s="7" t="inlineStr">
        <is>
          <t>F02</t>
        </is>
      </c>
      <c r="E143" s="27" t="inlineStr">
        <is>
          <t>1218</t>
        </is>
      </c>
      <c r="F143" s="27" t="n">
        <v>12</v>
      </c>
      <c r="G143" s="27" t="n">
        <v>75</v>
      </c>
      <c r="H143" s="27" t="n">
        <v>11500</v>
      </c>
      <c r="I143" s="28">
        <f>G143*H143/1000*F143^2/162</f>
        <v>766.6666666666666</v>
      </c>
    </row>
    <row r="144">
      <c r="A144" s="7" t="inlineStr">
        <is>
          <t>STR-043</t>
        </is>
      </c>
      <c r="B144" s="7" t="inlineStr">
        <is>
          <t>Floor Slabs</t>
        </is>
      </c>
      <c r="C144" s="7" t="inlineStr">
        <is>
          <t>M1 slab - bottom reinforcement</t>
        </is>
      </c>
      <c r="D144" s="7" t="inlineStr">
        <is>
          <t>F02</t>
        </is>
      </c>
      <c r="E144" s="27" t="inlineStr">
        <is>
          <t>1601</t>
        </is>
      </c>
      <c r="F144" s="27" t="n">
        <v>16</v>
      </c>
      <c r="G144" s="27" t="n">
        <v>95</v>
      </c>
      <c r="H144" s="27" t="n">
        <v>8375</v>
      </c>
      <c r="I144" s="28">
        <f>G144*H144/1000*F144^2/162</f>
        <v>1257.283950617284</v>
      </c>
    </row>
    <row r="145">
      <c r="A145" s="7" t="inlineStr">
        <is>
          <t>STR-043</t>
        </is>
      </c>
      <c r="B145" s="7" t="inlineStr">
        <is>
          <t>Floor Slabs</t>
        </is>
      </c>
      <c r="C145" s="7" t="inlineStr">
        <is>
          <t>M1 slab - bottom reinforcement</t>
        </is>
      </c>
      <c r="D145" s="7" t="inlineStr">
        <is>
          <t>F02</t>
        </is>
      </c>
      <c r="E145" s="27" t="inlineStr">
        <is>
          <t>1602</t>
        </is>
      </c>
      <c r="F145" s="27" t="n">
        <v>16</v>
      </c>
      <c r="G145" s="27" t="n">
        <v>95</v>
      </c>
      <c r="H145" s="27" t="n">
        <v>8275</v>
      </c>
      <c r="I145" s="28">
        <f>G145*H145/1000*F145^2/162</f>
        <v>1242.2716049382716</v>
      </c>
    </row>
    <row r="146">
      <c r="A146" s="7" t="inlineStr">
        <is>
          <t>STR-044</t>
        </is>
      </c>
      <c r="B146" s="7" t="inlineStr">
        <is>
          <t>Floor Slabs</t>
        </is>
      </c>
      <c r="C146" s="7" t="inlineStr">
        <is>
          <t>M1 slab - top reinforcement</t>
        </is>
      </c>
      <c r="D146" s="7" t="inlineStr">
        <is>
          <t>F02</t>
        </is>
      </c>
      <c r="E146" s="27" t="inlineStr">
        <is>
          <t>1219</t>
        </is>
      </c>
      <c r="F146" s="27" t="n">
        <v>12</v>
      </c>
      <c r="G146" s="27" t="n">
        <v>60</v>
      </c>
      <c r="H146" s="27" t="n">
        <v>10350</v>
      </c>
      <c r="I146" s="28">
        <f>G146*H146/1000*F146^2/162</f>
        <v>552.0</v>
      </c>
    </row>
    <row r="147">
      <c r="A147" s="7" t="inlineStr">
        <is>
          <t>STR-044</t>
        </is>
      </c>
      <c r="B147" s="7" t="inlineStr">
        <is>
          <t>Floor Slabs</t>
        </is>
      </c>
      <c r="C147" s="7" t="inlineStr">
        <is>
          <t>M1 slab - top reinforcement</t>
        </is>
      </c>
      <c r="D147" s="7" t="inlineStr">
        <is>
          <t>F02</t>
        </is>
      </c>
      <c r="E147" s="27" t="inlineStr">
        <is>
          <t>1220</t>
        </is>
      </c>
      <c r="F147" s="27" t="n">
        <v>12</v>
      </c>
      <c r="G147" s="27" t="n">
        <v>32</v>
      </c>
      <c r="H147" s="27" t="n">
        <v>5550</v>
      </c>
      <c r="I147" s="28">
        <f>G147*H147/1000*F147^2/162</f>
        <v>157.86666666666665</v>
      </c>
    </row>
    <row r="148">
      <c r="A148" s="7" t="inlineStr">
        <is>
          <t>STR-044</t>
        </is>
      </c>
      <c r="B148" s="7" t="inlineStr">
        <is>
          <t>Floor Slabs</t>
        </is>
      </c>
      <c r="C148" s="7" t="inlineStr">
        <is>
          <t>M1 slab - top reinforcement</t>
        </is>
      </c>
      <c r="D148" s="7" t="inlineStr">
        <is>
          <t>F02</t>
        </is>
      </c>
      <c r="E148" s="27" t="inlineStr">
        <is>
          <t>1221</t>
        </is>
      </c>
      <c r="F148" s="27" t="n">
        <v>12</v>
      </c>
      <c r="G148" s="27" t="n">
        <v>16</v>
      </c>
      <c r="H148" s="27" t="n">
        <v>8250</v>
      </c>
      <c r="I148" s="28">
        <f>G148*H148/1000*F148^2/162</f>
        <v>117.33333333333333</v>
      </c>
    </row>
    <row r="149">
      <c r="A149" s="7" t="inlineStr">
        <is>
          <t>STR-044</t>
        </is>
      </c>
      <c r="B149" s="7" t="inlineStr">
        <is>
          <t>Floor Slabs</t>
        </is>
      </c>
      <c r="C149" s="7" t="inlineStr">
        <is>
          <t>M1 slab - top reinforcement</t>
        </is>
      </c>
      <c r="D149" s="7" t="inlineStr">
        <is>
          <t>F02</t>
        </is>
      </c>
      <c r="E149" s="27" t="inlineStr">
        <is>
          <t>1222</t>
        </is>
      </c>
      <c r="F149" s="27" t="n">
        <v>12</v>
      </c>
      <c r="G149" s="27" t="n">
        <v>57</v>
      </c>
      <c r="H149" s="27" t="n">
        <v>9750</v>
      </c>
      <c r="I149" s="28">
        <f>G149*H149/1000*F149^2/162</f>
        <v>494.0</v>
      </c>
    </row>
    <row r="150">
      <c r="A150" s="7" t="inlineStr">
        <is>
          <t>STR-044</t>
        </is>
      </c>
      <c r="B150" s="7" t="inlineStr">
        <is>
          <t>Floor Slabs</t>
        </is>
      </c>
      <c r="C150" s="7" t="inlineStr">
        <is>
          <t>M1 slab - top reinforcement</t>
        </is>
      </c>
      <c r="D150" s="7" t="inlineStr">
        <is>
          <t>F02</t>
        </is>
      </c>
      <c r="E150" s="27" t="inlineStr">
        <is>
          <t>1223</t>
        </is>
      </c>
      <c r="F150" s="27" t="n">
        <v>12</v>
      </c>
      <c r="G150" s="27" t="n">
        <v>92</v>
      </c>
      <c r="H150" s="27" t="n">
        <v>8000</v>
      </c>
      <c r="I150" s="28">
        <f>G150*H150/1000*F150^2/162</f>
        <v>654.2222222222222</v>
      </c>
    </row>
    <row r="151">
      <c r="A151" s="7" t="inlineStr">
        <is>
          <t>STR-044</t>
        </is>
      </c>
      <c r="B151" s="7" t="inlineStr">
        <is>
          <t>Floor Slabs</t>
        </is>
      </c>
      <c r="C151" s="7" t="inlineStr">
        <is>
          <t>M1 slab - top reinforcement</t>
        </is>
      </c>
      <c r="D151" s="7" t="inlineStr">
        <is>
          <t>F02</t>
        </is>
      </c>
      <c r="E151" s="27" t="inlineStr">
        <is>
          <t>1224</t>
        </is>
      </c>
      <c r="F151" s="27" t="n">
        <v>12</v>
      </c>
      <c r="G151" s="27" t="n">
        <v>45</v>
      </c>
      <c r="H151" s="27" t="n">
        <v>4700</v>
      </c>
      <c r="I151" s="28">
        <f>G151*H151/1000*F151^2/162</f>
        <v>188.0</v>
      </c>
    </row>
    <row r="152">
      <c r="A152" s="7" t="inlineStr">
        <is>
          <t>STR-044</t>
        </is>
      </c>
      <c r="B152" s="7" t="inlineStr">
        <is>
          <t>Floor Slabs</t>
        </is>
      </c>
      <c r="C152" s="7" t="inlineStr">
        <is>
          <t>M1 slab - top reinforcement</t>
        </is>
      </c>
      <c r="D152" s="7" t="inlineStr">
        <is>
          <t>F02</t>
        </is>
      </c>
      <c r="E152" s="27" t="inlineStr">
        <is>
          <t>1225</t>
        </is>
      </c>
      <c r="F152" s="27" t="n">
        <v>12</v>
      </c>
      <c r="G152" s="27" t="n">
        <v>108</v>
      </c>
      <c r="H152" s="27" t="n">
        <v>8800</v>
      </c>
      <c r="I152" s="28">
        <f>G152*H152/1000*F152^2/162</f>
        <v>844.8000000000001</v>
      </c>
    </row>
    <row r="153">
      <c r="A153" s="7" t="inlineStr">
        <is>
          <t>STR-044</t>
        </is>
      </c>
      <c r="B153" s="7" t="inlineStr">
        <is>
          <t>Floor Slabs</t>
        </is>
      </c>
      <c r="C153" s="7" t="inlineStr">
        <is>
          <t>M1 slab - top reinforcement</t>
        </is>
      </c>
      <c r="D153" s="7" t="inlineStr">
        <is>
          <t>F02</t>
        </is>
      </c>
      <c r="E153" s="27" t="inlineStr">
        <is>
          <t>1226</t>
        </is>
      </c>
      <c r="F153" s="27" t="n">
        <v>12</v>
      </c>
      <c r="G153" s="27" t="n">
        <v>12</v>
      </c>
      <c r="H153" s="27" t="n">
        <v>8700</v>
      </c>
      <c r="I153" s="28">
        <f>G153*H153/1000*F153^2/162</f>
        <v>92.8</v>
      </c>
    </row>
    <row r="154">
      <c r="A154" s="7" t="inlineStr">
        <is>
          <t>STR-044</t>
        </is>
      </c>
      <c r="B154" s="7" t="inlineStr">
        <is>
          <t>Floor Slabs</t>
        </is>
      </c>
      <c r="C154" s="7" t="inlineStr">
        <is>
          <t>M1 slab - top reinforcement</t>
        </is>
      </c>
      <c r="D154" s="7" t="inlineStr">
        <is>
          <t>F02</t>
        </is>
      </c>
      <c r="E154" s="27" t="inlineStr">
        <is>
          <t>1227</t>
        </is>
      </c>
      <c r="F154" s="27" t="n">
        <v>12</v>
      </c>
      <c r="G154" s="27" t="n">
        <v>15</v>
      </c>
      <c r="H154" s="27" t="n">
        <v>4800</v>
      </c>
      <c r="I154" s="28">
        <f>G154*H154/1000*F154^2/162</f>
        <v>64.0</v>
      </c>
    </row>
    <row r="155">
      <c r="A155" s="7" t="inlineStr">
        <is>
          <t>STR-044</t>
        </is>
      </c>
      <c r="B155" s="7" t="inlineStr">
        <is>
          <t>Floor Slabs</t>
        </is>
      </c>
      <c r="C155" s="7" t="inlineStr">
        <is>
          <t>M1 slab - top reinforcement</t>
        </is>
      </c>
      <c r="D155" s="7" t="inlineStr">
        <is>
          <t>F02</t>
        </is>
      </c>
      <c r="E155" s="27" t="inlineStr">
        <is>
          <t>1228</t>
        </is>
      </c>
      <c r="F155" s="27" t="n">
        <v>12</v>
      </c>
      <c r="G155" s="27" t="n">
        <v>93</v>
      </c>
      <c r="H155" s="27" t="n">
        <v>8650</v>
      </c>
      <c r="I155" s="28">
        <f>G155*H155/1000*F155^2/162</f>
        <v>715.0666666666667</v>
      </c>
    </row>
    <row r="156">
      <c r="A156" s="7" t="inlineStr">
        <is>
          <t>STR-044</t>
        </is>
      </c>
      <c r="B156" s="7" t="inlineStr">
        <is>
          <t>Floor Slabs</t>
        </is>
      </c>
      <c r="C156" s="7" t="inlineStr">
        <is>
          <t>M1 slab - top reinforcement</t>
        </is>
      </c>
      <c r="D156" s="7" t="inlineStr">
        <is>
          <t>F02</t>
        </is>
      </c>
      <c r="E156" s="27" t="inlineStr">
        <is>
          <t>1229</t>
        </is>
      </c>
      <c r="F156" s="27" t="n">
        <v>12</v>
      </c>
      <c r="G156" s="27" t="n">
        <v>93</v>
      </c>
      <c r="H156" s="27" t="n">
        <v>4550</v>
      </c>
      <c r="I156" s="28">
        <f>G156*H156/1000*F156^2/162</f>
        <v>376.1333333333333</v>
      </c>
    </row>
    <row r="157">
      <c r="A157" s="7" t="inlineStr">
        <is>
          <t>STR-044</t>
        </is>
      </c>
      <c r="B157" s="7" t="inlineStr">
        <is>
          <t>Floor Slabs</t>
        </is>
      </c>
      <c r="C157" s="7" t="inlineStr">
        <is>
          <t>M1 slab - top reinforcement</t>
        </is>
      </c>
      <c r="D157" s="7" t="inlineStr">
        <is>
          <t>F02</t>
        </is>
      </c>
      <c r="E157" s="27" t="inlineStr">
        <is>
          <t>1230</t>
        </is>
      </c>
      <c r="F157" s="27" t="n">
        <v>12</v>
      </c>
      <c r="G157" s="27" t="n">
        <v>75</v>
      </c>
      <c r="H157" s="27" t="n">
        <v>10150</v>
      </c>
      <c r="I157" s="28">
        <f>G157*H157/1000*F157^2/162</f>
        <v>676.6666666666666</v>
      </c>
    </row>
    <row r="158">
      <c r="A158" s="7" t="inlineStr">
        <is>
          <t>STR-044</t>
        </is>
      </c>
      <c r="B158" s="7" t="inlineStr">
        <is>
          <t>Floor Slabs</t>
        </is>
      </c>
      <c r="C158" s="7" t="inlineStr">
        <is>
          <t>M1 slab - top reinforcement</t>
        </is>
      </c>
      <c r="D158" s="7" t="inlineStr">
        <is>
          <t>F02</t>
        </is>
      </c>
      <c r="E158" s="27" t="inlineStr">
        <is>
          <t>1231</t>
        </is>
      </c>
      <c r="F158" s="27" t="n">
        <v>12</v>
      </c>
      <c r="G158" s="27" t="n">
        <v>122</v>
      </c>
      <c r="H158" s="27" t="n">
        <v>8950</v>
      </c>
      <c r="I158" s="28">
        <f>G158*H158/1000*F158^2/162</f>
        <v>970.5777777777778</v>
      </c>
    </row>
    <row r="159">
      <c r="A159" s="7" t="inlineStr">
        <is>
          <t>STR-044</t>
        </is>
      </c>
      <c r="B159" s="7" t="inlineStr">
        <is>
          <t>Floor Slabs</t>
        </is>
      </c>
      <c r="C159" s="7" t="inlineStr">
        <is>
          <t>M1 slab - top reinforcement</t>
        </is>
      </c>
      <c r="D159" s="7" t="inlineStr">
        <is>
          <t>F02</t>
        </is>
      </c>
      <c r="E159" s="27" t="inlineStr">
        <is>
          <t>1232</t>
        </is>
      </c>
      <c r="F159" s="27" t="n">
        <v>12</v>
      </c>
      <c r="G159" s="27" t="n">
        <v>75</v>
      </c>
      <c r="H159" s="27" t="n">
        <v>9200</v>
      </c>
      <c r="I159" s="28">
        <f>G159*H159/1000*F159^2/162</f>
        <v>613.3333333333334</v>
      </c>
    </row>
    <row r="160">
      <c r="A160" s="7" t="inlineStr">
        <is>
          <t>STR-044</t>
        </is>
      </c>
      <c r="B160" s="7" t="inlineStr">
        <is>
          <t>Floor Slabs</t>
        </is>
      </c>
      <c r="C160" s="7" t="inlineStr">
        <is>
          <t>M1 slab - top reinforcement</t>
        </is>
      </c>
      <c r="D160" s="7" t="inlineStr">
        <is>
          <t>F02</t>
        </is>
      </c>
      <c r="E160" s="27" t="inlineStr">
        <is>
          <t>1233</t>
        </is>
      </c>
      <c r="F160" s="27" t="n">
        <v>12</v>
      </c>
      <c r="G160" s="27" t="n">
        <v>37</v>
      </c>
      <c r="H160" s="27" t="n">
        <v>5000</v>
      </c>
      <c r="I160" s="28">
        <f>G160*H160/1000*F160^2/162</f>
        <v>164.44444444444446</v>
      </c>
    </row>
    <row r="161">
      <c r="A161" s="7" t="inlineStr">
        <is>
          <t>STR-044</t>
        </is>
      </c>
      <c r="B161" s="7" t="inlineStr">
        <is>
          <t>Floor Slabs</t>
        </is>
      </c>
      <c r="C161" s="7" t="inlineStr">
        <is>
          <t>M1 slab - top reinforcement</t>
        </is>
      </c>
      <c r="D161" s="7" t="inlineStr">
        <is>
          <t>F02</t>
        </is>
      </c>
      <c r="E161" s="27" t="inlineStr">
        <is>
          <t>1234</t>
        </is>
      </c>
      <c r="F161" s="27" t="n">
        <v>12</v>
      </c>
      <c r="G161" s="27" t="n">
        <v>86</v>
      </c>
      <c r="H161" s="27" t="n">
        <v>6400</v>
      </c>
      <c r="I161" s="28">
        <f>G161*H161/1000*F161^2/162</f>
        <v>489.2444444444444</v>
      </c>
    </row>
    <row r="162">
      <c r="A162" s="7" t="inlineStr">
        <is>
          <t>STR-044</t>
        </is>
      </c>
      <c r="B162" s="7" t="inlineStr">
        <is>
          <t>Floor Slabs</t>
        </is>
      </c>
      <c r="C162" s="7" t="inlineStr">
        <is>
          <t>M1 slab - top reinforcement</t>
        </is>
      </c>
      <c r="D162" s="7" t="inlineStr">
        <is>
          <t>F02</t>
        </is>
      </c>
      <c r="E162" s="27" t="inlineStr">
        <is>
          <t>1235</t>
        </is>
      </c>
      <c r="F162" s="27" t="n">
        <v>12</v>
      </c>
      <c r="G162" s="27" t="n">
        <v>13</v>
      </c>
      <c r="H162" s="27" t="n">
        <v>4200</v>
      </c>
      <c r="I162" s="28">
        <f>G162*H162/1000*F162^2/162</f>
        <v>48.53333333333334</v>
      </c>
    </row>
    <row r="163">
      <c r="A163" s="7" t="inlineStr">
        <is>
          <t>STR-044</t>
        </is>
      </c>
      <c r="B163" s="7" t="inlineStr">
        <is>
          <t>Floor Slabs</t>
        </is>
      </c>
      <c r="C163" s="7" t="inlineStr">
        <is>
          <t>M1 slab - top reinforcement</t>
        </is>
      </c>
      <c r="D163" s="7" t="inlineStr">
        <is>
          <t>F02</t>
        </is>
      </c>
      <c r="E163" s="27" t="inlineStr">
        <is>
          <t>1236</t>
        </is>
      </c>
      <c r="F163" s="27" t="n">
        <v>12</v>
      </c>
      <c r="G163" s="27" t="n">
        <v>74</v>
      </c>
      <c r="H163" s="27" t="n">
        <v>10850</v>
      </c>
      <c r="I163" s="28">
        <f>G163*H163/1000*F163^2/162</f>
        <v>713.6888888888889</v>
      </c>
    </row>
    <row r="164">
      <c r="A164" s="7" t="inlineStr">
        <is>
          <t>STR-044</t>
        </is>
      </c>
      <c r="B164" s="7" t="inlineStr">
        <is>
          <t>Floor Slabs</t>
        </is>
      </c>
      <c r="C164" s="7" t="inlineStr">
        <is>
          <t>M1 slab - top reinforcement</t>
        </is>
      </c>
      <c r="D164" s="7" t="inlineStr">
        <is>
          <t>F02</t>
        </is>
      </c>
      <c r="E164" s="27" t="inlineStr">
        <is>
          <t>1237</t>
        </is>
      </c>
      <c r="F164" s="27" t="n">
        <v>12</v>
      </c>
      <c r="G164" s="27" t="n">
        <v>74</v>
      </c>
      <c r="H164" s="27" t="n">
        <v>9350</v>
      </c>
      <c r="I164" s="28">
        <f>G164*H164/1000*F164^2/162</f>
        <v>615.0222222222221</v>
      </c>
    </row>
    <row r="165">
      <c r="A165" s="7" t="inlineStr">
        <is>
          <t>STR-044</t>
        </is>
      </c>
      <c r="B165" s="7" t="inlineStr">
        <is>
          <t>Floor Slabs</t>
        </is>
      </c>
      <c r="C165" s="7" t="inlineStr">
        <is>
          <t>M1 slab - top reinforcement</t>
        </is>
      </c>
      <c r="D165" s="7" t="inlineStr">
        <is>
          <t>F02</t>
        </is>
      </c>
      <c r="E165" s="27" t="inlineStr">
        <is>
          <t>1238</t>
        </is>
      </c>
      <c r="F165" s="27" t="n">
        <v>12</v>
      </c>
      <c r="G165" s="27" t="n">
        <v>237</v>
      </c>
      <c r="H165" s="27" t="n">
        <v>10700</v>
      </c>
      <c r="I165" s="28">
        <f>G165*H165/1000*F165^2/162</f>
        <v>2254.1333333333337</v>
      </c>
    </row>
    <row r="166">
      <c r="A166" s="7" t="inlineStr">
        <is>
          <t>STR-044</t>
        </is>
      </c>
      <c r="B166" s="7" t="inlineStr">
        <is>
          <t>Floor Slabs</t>
        </is>
      </c>
      <c r="C166" s="7" t="inlineStr">
        <is>
          <t>M1 slab - top reinforcement</t>
        </is>
      </c>
      <c r="D166" s="7" t="inlineStr">
        <is>
          <t>F02</t>
        </is>
      </c>
      <c r="E166" s="27" t="inlineStr">
        <is>
          <t>1239</t>
        </is>
      </c>
      <c r="F166" s="27" t="n">
        <v>12</v>
      </c>
      <c r="G166" s="27" t="n">
        <v>44</v>
      </c>
      <c r="H166" s="27" t="n">
        <v>11750</v>
      </c>
      <c r="I166" s="28">
        <f>G166*H166/1000*F166^2/162</f>
        <v>459.55555555555554</v>
      </c>
    </row>
    <row r="167">
      <c r="A167" s="7" t="inlineStr">
        <is>
          <t>STR-044</t>
        </is>
      </c>
      <c r="B167" s="7" t="inlineStr">
        <is>
          <t>Floor Slabs</t>
        </is>
      </c>
      <c r="C167" s="7" t="inlineStr">
        <is>
          <t>M1 slab - top reinforcement</t>
        </is>
      </c>
      <c r="D167" s="7" t="inlineStr">
        <is>
          <t>F02</t>
        </is>
      </c>
      <c r="E167" s="27" t="inlineStr">
        <is>
          <t>1243</t>
        </is>
      </c>
      <c r="F167" s="27" t="n">
        <v>12</v>
      </c>
      <c r="G167" s="27" t="n">
        <v>74</v>
      </c>
      <c r="H167" s="27" t="n">
        <v>7850</v>
      </c>
      <c r="I167" s="28">
        <f>G167*H167/1000*F167^2/162</f>
        <v>516.3555555555555</v>
      </c>
    </row>
    <row r="168">
      <c r="A168" s="7" t="inlineStr">
        <is>
          <t>STR-044</t>
        </is>
      </c>
      <c r="B168" s="7" t="inlineStr">
        <is>
          <t>Floor Slabs</t>
        </is>
      </c>
      <c r="C168" s="7" t="inlineStr">
        <is>
          <t>M1 slab - top reinforcement</t>
        </is>
      </c>
      <c r="D168" s="7" t="inlineStr">
        <is>
          <t>F02</t>
        </is>
      </c>
      <c r="E168" s="27" t="inlineStr">
        <is>
          <t>1602</t>
        </is>
      </c>
      <c r="F168" s="27" t="n">
        <v>16</v>
      </c>
      <c r="G168" s="27" t="n">
        <v>95</v>
      </c>
      <c r="H168" s="27" t="n">
        <v>8275</v>
      </c>
      <c r="I168" s="28">
        <f>G168*H168/1000*F168^2/162</f>
        <v>1242.2716049382716</v>
      </c>
    </row>
    <row r="169">
      <c r="A169" s="7" t="inlineStr">
        <is>
          <t>STR-045</t>
        </is>
      </c>
      <c r="B169" s="7" t="inlineStr">
        <is>
          <t>Floor Slabs</t>
        </is>
      </c>
      <c r="C169" s="7" t="inlineStr">
        <is>
          <t>M1 slab - additional top reinforcement</t>
        </is>
      </c>
      <c r="D169" s="7" t="inlineStr">
        <is>
          <t>F02</t>
        </is>
      </c>
      <c r="E169" s="27" t="inlineStr">
        <is>
          <t>1240</t>
        </is>
      </c>
      <c r="F169" s="27" t="n">
        <v>12</v>
      </c>
      <c r="G169" s="27" t="n">
        <v>207</v>
      </c>
      <c r="H169" s="27" t="n">
        <v>3000</v>
      </c>
      <c r="I169" s="28">
        <f>G169*H169/1000*F169^2/162</f>
        <v>552.0</v>
      </c>
    </row>
    <row r="170">
      <c r="A170" s="7" t="inlineStr">
        <is>
          <t>STR-045</t>
        </is>
      </c>
      <c r="B170" s="7" t="inlineStr">
        <is>
          <t>Floor Slabs</t>
        </is>
      </c>
      <c r="C170" s="7" t="inlineStr">
        <is>
          <t>M1 slab - additional top reinforcement</t>
        </is>
      </c>
      <c r="D170" s="7" t="inlineStr">
        <is>
          <t>F02</t>
        </is>
      </c>
      <c r="E170" s="27" t="inlineStr">
        <is>
          <t>1241</t>
        </is>
      </c>
      <c r="F170" s="27" t="n">
        <v>12</v>
      </c>
      <c r="G170" s="27" t="n">
        <v>90</v>
      </c>
      <c r="H170" s="27" t="n">
        <v>4900</v>
      </c>
      <c r="I170" s="28">
        <f>G170*H170/1000*F170^2/162</f>
        <v>392.0</v>
      </c>
    </row>
    <row r="171">
      <c r="A171" s="7" t="inlineStr">
        <is>
          <t>STR-045</t>
        </is>
      </c>
      <c r="B171" s="7" t="inlineStr">
        <is>
          <t>Floor Slabs</t>
        </is>
      </c>
      <c r="C171" s="7" t="inlineStr">
        <is>
          <t>M1 slab - additional top reinforcement</t>
        </is>
      </c>
      <c r="D171" s="7" t="inlineStr">
        <is>
          <t>F02</t>
        </is>
      </c>
      <c r="E171" s="27" t="inlineStr">
        <is>
          <t>1242</t>
        </is>
      </c>
      <c r="F171" s="27" t="n">
        <v>12</v>
      </c>
      <c r="G171" s="27" t="n">
        <v>98</v>
      </c>
      <c r="H171" s="27" t="n">
        <v>12000</v>
      </c>
      <c r="I171" s="28">
        <f>G171*H171/1000*F171^2/162</f>
        <v>1045.3333333333333</v>
      </c>
    </row>
    <row r="172">
      <c r="A172" s="7" t="inlineStr">
        <is>
          <t>STR-048</t>
        </is>
      </c>
      <c r="B172" s="7" t="inlineStr">
        <is>
          <t>Beams</t>
        </is>
      </c>
      <c r="C172" s="7" t="inlineStr">
        <is>
          <t>First floor beams</t>
        </is>
      </c>
      <c r="D172" s="7" t="inlineStr">
        <is>
          <t>F03</t>
        </is>
      </c>
      <c r="E172" s="27" t="inlineStr">
        <is>
          <t>1001</t>
        </is>
      </c>
      <c r="F172" s="27" t="n">
        <v>10</v>
      </c>
      <c r="G172" s="27" t="n">
        <v>693</v>
      </c>
      <c r="H172" s="27" t="n">
        <v>1700</v>
      </c>
      <c r="I172" s="28">
        <f>G172*H172/1000*F172^2/162</f>
        <v>727.2222222222222</v>
      </c>
    </row>
    <row r="173">
      <c r="A173" s="7" t="inlineStr">
        <is>
          <t>STR-048</t>
        </is>
      </c>
      <c r="B173" s="7" t="inlineStr">
        <is>
          <t>Beams</t>
        </is>
      </c>
      <c r="C173" s="7" t="inlineStr">
        <is>
          <t>First floor beams</t>
        </is>
      </c>
      <c r="D173" s="7" t="inlineStr">
        <is>
          <t>F03</t>
        </is>
      </c>
      <c r="E173" s="27" t="inlineStr">
        <is>
          <t>1002</t>
        </is>
      </c>
      <c r="F173" s="27" t="n">
        <v>10</v>
      </c>
      <c r="G173" s="27" t="n">
        <v>270</v>
      </c>
      <c r="H173" s="27" t="n">
        <v>1500</v>
      </c>
      <c r="I173" s="28">
        <f>G173*H173/1000*F173^2/162</f>
        <v>250.0</v>
      </c>
    </row>
    <row r="174">
      <c r="A174" s="7" t="inlineStr">
        <is>
          <t>STR-048</t>
        </is>
      </c>
      <c r="B174" s="7" t="inlineStr">
        <is>
          <t>Beams</t>
        </is>
      </c>
      <c r="C174" s="7" t="inlineStr">
        <is>
          <t>First floor beams</t>
        </is>
      </c>
      <c r="D174" s="7" t="inlineStr">
        <is>
          <t>F03</t>
        </is>
      </c>
      <c r="E174" s="27" t="inlineStr">
        <is>
          <t>1601</t>
        </is>
      </c>
      <c r="F174" s="27" t="n">
        <v>16</v>
      </c>
      <c r="G174" s="27" t="n">
        <v>3</v>
      </c>
      <c r="H174" s="27" t="n">
        <v>9750</v>
      </c>
      <c r="I174" s="28">
        <f>G174*H174/1000*F174^2/162</f>
        <v>46.22222222222222</v>
      </c>
    </row>
    <row r="175">
      <c r="A175" s="7" t="inlineStr">
        <is>
          <t>STR-048</t>
        </is>
      </c>
      <c r="B175" s="7" t="inlineStr">
        <is>
          <t>Beams</t>
        </is>
      </c>
      <c r="C175" s="7" t="inlineStr">
        <is>
          <t>First floor beams</t>
        </is>
      </c>
      <c r="D175" s="7" t="inlineStr">
        <is>
          <t>F03</t>
        </is>
      </c>
      <c r="E175" s="27" t="inlineStr">
        <is>
          <t>1602</t>
        </is>
      </c>
      <c r="F175" s="27" t="n">
        <v>16</v>
      </c>
      <c r="G175" s="27" t="n">
        <v>3</v>
      </c>
      <c r="H175" s="27" t="n">
        <v>5850</v>
      </c>
      <c r="I175" s="28">
        <f>G175*H175/1000*F175^2/162</f>
        <v>27.733333333333334</v>
      </c>
    </row>
    <row r="176">
      <c r="A176" s="7" t="inlineStr">
        <is>
          <t>STR-048</t>
        </is>
      </c>
      <c r="B176" s="7" t="inlineStr">
        <is>
          <t>Beams</t>
        </is>
      </c>
      <c r="C176" s="7" t="inlineStr">
        <is>
          <t>First floor beams</t>
        </is>
      </c>
      <c r="D176" s="7" t="inlineStr">
        <is>
          <t>F03</t>
        </is>
      </c>
      <c r="E176" s="27" t="inlineStr">
        <is>
          <t>1603</t>
        </is>
      </c>
      <c r="F176" s="27" t="n">
        <v>16</v>
      </c>
      <c r="G176" s="27" t="n">
        <v>6</v>
      </c>
      <c r="H176" s="27" t="n">
        <v>9300</v>
      </c>
      <c r="I176" s="28">
        <f>G176*H176/1000*F176^2/162</f>
        <v>88.17777777777778</v>
      </c>
    </row>
    <row r="177">
      <c r="A177" s="7" t="inlineStr">
        <is>
          <t>STR-048</t>
        </is>
      </c>
      <c r="B177" s="7" t="inlineStr">
        <is>
          <t>Beams</t>
        </is>
      </c>
      <c r="C177" s="7" t="inlineStr">
        <is>
          <t>First floor beams</t>
        </is>
      </c>
      <c r="D177" s="7" t="inlineStr">
        <is>
          <t>F03</t>
        </is>
      </c>
      <c r="E177" s="27" t="inlineStr">
        <is>
          <t>1604</t>
        </is>
      </c>
      <c r="F177" s="27" t="n">
        <v>16</v>
      </c>
      <c r="G177" s="27" t="n">
        <v>3</v>
      </c>
      <c r="H177" s="27" t="n">
        <v>9000</v>
      </c>
      <c r="I177" s="28">
        <f>G177*H177/1000*F177^2/162</f>
        <v>42.666666666666664</v>
      </c>
    </row>
    <row r="178">
      <c r="A178" s="7" t="inlineStr">
        <is>
          <t>STR-048</t>
        </is>
      </c>
      <c r="B178" s="7" t="inlineStr">
        <is>
          <t>Beams</t>
        </is>
      </c>
      <c r="C178" s="7" t="inlineStr">
        <is>
          <t>First floor beams</t>
        </is>
      </c>
      <c r="D178" s="7" t="inlineStr">
        <is>
          <t>F03</t>
        </is>
      </c>
      <c r="E178" s="27" t="inlineStr">
        <is>
          <t>1605</t>
        </is>
      </c>
      <c r="F178" s="27" t="n">
        <v>16</v>
      </c>
      <c r="G178" s="27" t="n">
        <v>2</v>
      </c>
      <c r="H178" s="27" t="n">
        <v>11000</v>
      </c>
      <c r="I178" s="28">
        <f>G178*H178/1000*F178^2/162</f>
        <v>34.76543209876543</v>
      </c>
    </row>
    <row r="179">
      <c r="A179" s="7" t="inlineStr">
        <is>
          <t>STR-048</t>
        </is>
      </c>
      <c r="B179" s="7" t="inlineStr">
        <is>
          <t>Beams</t>
        </is>
      </c>
      <c r="C179" s="7" t="inlineStr">
        <is>
          <t>First floor beams</t>
        </is>
      </c>
      <c r="D179" s="7" t="inlineStr">
        <is>
          <t>F03</t>
        </is>
      </c>
      <c r="E179" s="27" t="inlineStr">
        <is>
          <t>1606</t>
        </is>
      </c>
      <c r="F179" s="27" t="n">
        <v>16</v>
      </c>
      <c r="G179" s="27" t="n">
        <v>2</v>
      </c>
      <c r="H179" s="27" t="n">
        <v>8800</v>
      </c>
      <c r="I179" s="28">
        <f>G179*H179/1000*F179^2/162</f>
        <v>27.81234567901235</v>
      </c>
    </row>
    <row r="180">
      <c r="A180" s="7" t="inlineStr">
        <is>
          <t>STR-048</t>
        </is>
      </c>
      <c r="B180" s="7" t="inlineStr">
        <is>
          <t>Beams</t>
        </is>
      </c>
      <c r="C180" s="7" t="inlineStr">
        <is>
          <t>First floor beams</t>
        </is>
      </c>
      <c r="D180" s="7" t="inlineStr">
        <is>
          <t>F03</t>
        </is>
      </c>
      <c r="E180" s="27" t="inlineStr">
        <is>
          <t>1607</t>
        </is>
      </c>
      <c r="F180" s="27" t="n">
        <v>16</v>
      </c>
      <c r="G180" s="27" t="n">
        <v>8</v>
      </c>
      <c r="H180" s="27" t="n">
        <v>12000</v>
      </c>
      <c r="I180" s="28">
        <f>G180*H180/1000*F180^2/162</f>
        <v>151.7037037037037</v>
      </c>
    </row>
    <row r="181">
      <c r="A181" s="7" t="inlineStr">
        <is>
          <t>STR-048</t>
        </is>
      </c>
      <c r="B181" s="7" t="inlineStr">
        <is>
          <t>Beams</t>
        </is>
      </c>
      <c r="C181" s="7" t="inlineStr">
        <is>
          <t>First floor beams</t>
        </is>
      </c>
      <c r="D181" s="7" t="inlineStr">
        <is>
          <t>F03</t>
        </is>
      </c>
      <c r="E181" s="27" t="inlineStr">
        <is>
          <t>1608</t>
        </is>
      </c>
      <c r="F181" s="27" t="n">
        <v>16</v>
      </c>
      <c r="G181" s="27" t="n">
        <v>4</v>
      </c>
      <c r="H181" s="27" t="n">
        <v>7400</v>
      </c>
      <c r="I181" s="28">
        <f>G181*H181/1000*F181^2/162</f>
        <v>46.77530864197531</v>
      </c>
    </row>
    <row r="182">
      <c r="A182" s="7" t="inlineStr">
        <is>
          <t>STR-048</t>
        </is>
      </c>
      <c r="B182" s="7" t="inlineStr">
        <is>
          <t>Beams</t>
        </is>
      </c>
      <c r="C182" s="7" t="inlineStr">
        <is>
          <t>First floor beams</t>
        </is>
      </c>
      <c r="D182" s="7" t="inlineStr">
        <is>
          <t>F03</t>
        </is>
      </c>
      <c r="E182" s="27" t="inlineStr">
        <is>
          <t>1609</t>
        </is>
      </c>
      <c r="F182" s="27" t="n">
        <v>16</v>
      </c>
      <c r="G182" s="27" t="n">
        <v>3</v>
      </c>
      <c r="H182" s="27" t="n">
        <v>9200</v>
      </c>
      <c r="I182" s="28">
        <f>G182*H182/1000*F182^2/162</f>
        <v>43.614814814814814</v>
      </c>
    </row>
    <row r="183">
      <c r="A183" s="7" t="inlineStr">
        <is>
          <t>STR-048</t>
        </is>
      </c>
      <c r="B183" s="7" t="inlineStr">
        <is>
          <t>Beams</t>
        </is>
      </c>
      <c r="C183" s="7" t="inlineStr">
        <is>
          <t>First floor beams</t>
        </is>
      </c>
      <c r="D183" s="7" t="inlineStr">
        <is>
          <t>F03</t>
        </is>
      </c>
      <c r="E183" s="27" t="inlineStr">
        <is>
          <t>1610</t>
        </is>
      </c>
      <c r="F183" s="27" t="n">
        <v>16</v>
      </c>
      <c r="G183" s="27" t="n">
        <v>4</v>
      </c>
      <c r="H183" s="27" t="n">
        <v>6775</v>
      </c>
      <c r="I183" s="28">
        <f>G183*H183/1000*F183^2/162</f>
        <v>42.824691358024694</v>
      </c>
    </row>
    <row r="184">
      <c r="A184" s="7" t="inlineStr">
        <is>
          <t>STR-048</t>
        </is>
      </c>
      <c r="B184" s="7" t="inlineStr">
        <is>
          <t>Beams</t>
        </is>
      </c>
      <c r="C184" s="7" t="inlineStr">
        <is>
          <t>First floor beams</t>
        </is>
      </c>
      <c r="D184" s="7" t="inlineStr">
        <is>
          <t>F03</t>
        </is>
      </c>
      <c r="E184" s="27" t="inlineStr">
        <is>
          <t>1611</t>
        </is>
      </c>
      <c r="F184" s="27" t="n">
        <v>16</v>
      </c>
      <c r="G184" s="27" t="n">
        <v>3</v>
      </c>
      <c r="H184" s="27" t="n">
        <v>4600</v>
      </c>
      <c r="I184" s="28">
        <f>G184*H184/1000*F184^2/162</f>
        <v>21.807407407407407</v>
      </c>
    </row>
    <row r="185">
      <c r="A185" s="7" t="inlineStr">
        <is>
          <t>STR-048</t>
        </is>
      </c>
      <c r="B185" s="7" t="inlineStr">
        <is>
          <t>Beams</t>
        </is>
      </c>
      <c r="C185" s="7" t="inlineStr">
        <is>
          <t>First floor beams</t>
        </is>
      </c>
      <c r="D185" s="7" t="inlineStr">
        <is>
          <t>F03</t>
        </is>
      </c>
      <c r="E185" s="27" t="inlineStr">
        <is>
          <t>1612</t>
        </is>
      </c>
      <c r="F185" s="27" t="n">
        <v>16</v>
      </c>
      <c r="G185" s="27" t="n">
        <v>2</v>
      </c>
      <c r="H185" s="27" t="n">
        <v>4000</v>
      </c>
      <c r="I185" s="28">
        <f>G185*H185/1000*F185^2/162</f>
        <v>12.641975308641975</v>
      </c>
    </row>
    <row r="186">
      <c r="A186" s="7" t="inlineStr">
        <is>
          <t>STR-048</t>
        </is>
      </c>
      <c r="B186" s="7" t="inlineStr">
        <is>
          <t>Beams</t>
        </is>
      </c>
      <c r="C186" s="7" t="inlineStr">
        <is>
          <t>First floor beams</t>
        </is>
      </c>
      <c r="D186" s="7" t="inlineStr">
        <is>
          <t>F03</t>
        </is>
      </c>
      <c r="E186" s="27" t="inlineStr">
        <is>
          <t>1613</t>
        </is>
      </c>
      <c r="F186" s="27" t="n">
        <v>16</v>
      </c>
      <c r="G186" s="27" t="n">
        <v>2</v>
      </c>
      <c r="H186" s="27" t="n">
        <v>11500</v>
      </c>
      <c r="I186" s="28">
        <f>G186*H186/1000*F186^2/162</f>
        <v>36.34567901234568</v>
      </c>
    </row>
    <row r="187">
      <c r="A187" s="7" t="inlineStr">
        <is>
          <t>STR-048</t>
        </is>
      </c>
      <c r="B187" s="7" t="inlineStr">
        <is>
          <t>Beams</t>
        </is>
      </c>
      <c r="C187" s="7" t="inlineStr">
        <is>
          <t>First floor beams</t>
        </is>
      </c>
      <c r="D187" s="7" t="inlineStr">
        <is>
          <t>F03</t>
        </is>
      </c>
      <c r="E187" s="27" t="inlineStr">
        <is>
          <t>1614</t>
        </is>
      </c>
      <c r="F187" s="27" t="n">
        <v>16</v>
      </c>
      <c r="G187" s="27" t="n">
        <v>2</v>
      </c>
      <c r="H187" s="27" t="n">
        <v>11850</v>
      </c>
      <c r="I187" s="28">
        <f>G187*H187/1000*F187^2/162</f>
        <v>37.45185185185185</v>
      </c>
    </row>
    <row r="188">
      <c r="A188" s="7" t="inlineStr">
        <is>
          <t>STR-048</t>
        </is>
      </c>
      <c r="B188" s="7" t="inlineStr">
        <is>
          <t>Beams</t>
        </is>
      </c>
      <c r="C188" s="7" t="inlineStr">
        <is>
          <t>First floor beams</t>
        </is>
      </c>
      <c r="D188" s="7" t="inlineStr">
        <is>
          <t>F03</t>
        </is>
      </c>
      <c r="E188" s="27" t="inlineStr">
        <is>
          <t>1615</t>
        </is>
      </c>
      <c r="F188" s="27" t="n">
        <v>16</v>
      </c>
      <c r="G188" s="27" t="n">
        <v>12</v>
      </c>
      <c r="H188" s="27" t="n">
        <v>3350</v>
      </c>
      <c r="I188" s="28">
        <f>G188*H188/1000*F188^2/162</f>
        <v>63.52592592592593</v>
      </c>
    </row>
    <row r="189">
      <c r="A189" s="7" t="inlineStr">
        <is>
          <t>STR-048</t>
        </is>
      </c>
      <c r="B189" s="7" t="inlineStr">
        <is>
          <t>Beams</t>
        </is>
      </c>
      <c r="C189" s="7" t="inlineStr">
        <is>
          <t>First floor beams</t>
        </is>
      </c>
      <c r="D189" s="7" t="inlineStr">
        <is>
          <t>F03</t>
        </is>
      </c>
      <c r="E189" s="27" t="inlineStr">
        <is>
          <t>1616</t>
        </is>
      </c>
      <c r="F189" s="27" t="n">
        <v>16</v>
      </c>
      <c r="G189" s="27" t="n">
        <v>10</v>
      </c>
      <c r="H189" s="27" t="n">
        <v>2450</v>
      </c>
      <c r="I189" s="28">
        <f>G189*H189/1000*F189^2/162</f>
        <v>38.71604938271605</v>
      </c>
    </row>
    <row r="190">
      <c r="A190" s="7" t="inlineStr">
        <is>
          <t>STR-048</t>
        </is>
      </c>
      <c r="B190" s="7" t="inlineStr">
        <is>
          <t>Beams</t>
        </is>
      </c>
      <c r="C190" s="7" t="inlineStr">
        <is>
          <t>First floor beams</t>
        </is>
      </c>
      <c r="D190" s="7" t="inlineStr">
        <is>
          <t>F03</t>
        </is>
      </c>
      <c r="E190" s="27" t="inlineStr">
        <is>
          <t>2001</t>
        </is>
      </c>
      <c r="F190" s="27" t="n">
        <v>20</v>
      </c>
      <c r="G190" s="27" t="n">
        <v>2</v>
      </c>
      <c r="H190" s="27" t="n">
        <v>11750</v>
      </c>
      <c r="I190" s="28">
        <f>G190*H190/1000*F190^2/162</f>
        <v>58.02469135802469</v>
      </c>
    </row>
    <row r="191">
      <c r="A191" s="7" t="inlineStr">
        <is>
          <t>STR-048</t>
        </is>
      </c>
      <c r="B191" s="7" t="inlineStr">
        <is>
          <t>Beams</t>
        </is>
      </c>
      <c r="C191" s="7" t="inlineStr">
        <is>
          <t>First floor beams</t>
        </is>
      </c>
      <c r="D191" s="7" t="inlineStr">
        <is>
          <t>F03</t>
        </is>
      </c>
      <c r="E191" s="27" t="inlineStr">
        <is>
          <t>2002</t>
        </is>
      </c>
      <c r="F191" s="27" t="n">
        <v>20</v>
      </c>
      <c r="G191" s="27" t="n">
        <v>2</v>
      </c>
      <c r="H191" s="27" t="n">
        <v>7300</v>
      </c>
      <c r="I191" s="28">
        <f>G191*H191/1000*F191^2/162</f>
        <v>36.04938271604938</v>
      </c>
    </row>
    <row r="192">
      <c r="A192" s="7" t="inlineStr">
        <is>
          <t>STR-048</t>
        </is>
      </c>
      <c r="B192" s="7" t="inlineStr">
        <is>
          <t>Beams</t>
        </is>
      </c>
      <c r="C192" s="7" t="inlineStr">
        <is>
          <t>First floor beams</t>
        </is>
      </c>
      <c r="D192" s="7" t="inlineStr">
        <is>
          <t>F03</t>
        </is>
      </c>
      <c r="E192" s="27" t="inlineStr">
        <is>
          <t>2003</t>
        </is>
      </c>
      <c r="F192" s="27" t="n">
        <v>20</v>
      </c>
      <c r="G192" s="27" t="n">
        <v>2</v>
      </c>
      <c r="H192" s="27" t="n">
        <v>9400</v>
      </c>
      <c r="I192" s="28">
        <f>G192*H192/1000*F192^2/162</f>
        <v>46.41975308641975</v>
      </c>
    </row>
    <row r="193">
      <c r="A193" s="7" t="inlineStr">
        <is>
          <t>STR-048</t>
        </is>
      </c>
      <c r="B193" s="7" t="inlineStr">
        <is>
          <t>Beams</t>
        </is>
      </c>
      <c r="C193" s="7" t="inlineStr">
        <is>
          <t>First floor beams</t>
        </is>
      </c>
      <c r="D193" s="7" t="inlineStr">
        <is>
          <t>F03</t>
        </is>
      </c>
      <c r="E193" s="27" t="inlineStr">
        <is>
          <t>2004</t>
        </is>
      </c>
      <c r="F193" s="27" t="n">
        <v>20</v>
      </c>
      <c r="G193" s="27" t="n">
        <v>2</v>
      </c>
      <c r="H193" s="27" t="n">
        <v>11900</v>
      </c>
      <c r="I193" s="28">
        <f>G193*H193/1000*F193^2/162</f>
        <v>58.76543209876543</v>
      </c>
    </row>
    <row r="194">
      <c r="A194" s="7" t="inlineStr">
        <is>
          <t>STR-048</t>
        </is>
      </c>
      <c r="B194" s="7" t="inlineStr">
        <is>
          <t>Beams</t>
        </is>
      </c>
      <c r="C194" s="7" t="inlineStr">
        <is>
          <t>First floor beams</t>
        </is>
      </c>
      <c r="D194" s="7" t="inlineStr">
        <is>
          <t>F03</t>
        </is>
      </c>
      <c r="E194" s="27" t="inlineStr">
        <is>
          <t>2005</t>
        </is>
      </c>
      <c r="F194" s="27" t="n">
        <v>20</v>
      </c>
      <c r="G194" s="27" t="n">
        <v>2</v>
      </c>
      <c r="H194" s="27" t="n">
        <v>9550</v>
      </c>
      <c r="I194" s="28">
        <f>G194*H194/1000*F194^2/162</f>
        <v>47.1604938271605</v>
      </c>
    </row>
    <row r="195">
      <c r="A195" s="7" t="inlineStr">
        <is>
          <t>STR-048</t>
        </is>
      </c>
      <c r="B195" s="7" t="inlineStr">
        <is>
          <t>Beams</t>
        </is>
      </c>
      <c r="C195" s="7" t="inlineStr">
        <is>
          <t>First floor beams</t>
        </is>
      </c>
      <c r="D195" s="7" t="inlineStr">
        <is>
          <t>F03</t>
        </is>
      </c>
      <c r="E195" s="27" t="inlineStr">
        <is>
          <t>2006</t>
        </is>
      </c>
      <c r="F195" s="27" t="n">
        <v>20</v>
      </c>
      <c r="G195" s="27" t="n">
        <v>2</v>
      </c>
      <c r="H195" s="27" t="n">
        <v>5900</v>
      </c>
      <c r="I195" s="28">
        <f>G195*H195/1000*F195^2/162</f>
        <v>29.135802469135804</v>
      </c>
    </row>
    <row r="196">
      <c r="A196" s="7" t="inlineStr">
        <is>
          <t>STR-048</t>
        </is>
      </c>
      <c r="B196" s="7" t="inlineStr">
        <is>
          <t>Beams</t>
        </is>
      </c>
      <c r="C196" s="7" t="inlineStr">
        <is>
          <t>First floor beams</t>
        </is>
      </c>
      <c r="D196" s="7" t="inlineStr">
        <is>
          <t>F03</t>
        </is>
      </c>
      <c r="E196" s="27" t="inlineStr">
        <is>
          <t>2007</t>
        </is>
      </c>
      <c r="F196" s="27" t="n">
        <v>20</v>
      </c>
      <c r="G196" s="27" t="n">
        <v>4</v>
      </c>
      <c r="H196" s="27" t="n">
        <v>9300</v>
      </c>
      <c r="I196" s="28">
        <f>G196*H196/1000*F196^2/162</f>
        <v>91.85185185185186</v>
      </c>
    </row>
    <row r="197">
      <c r="A197" s="7" t="inlineStr">
        <is>
          <t>STR-048</t>
        </is>
      </c>
      <c r="B197" s="7" t="inlineStr">
        <is>
          <t>Beams</t>
        </is>
      </c>
      <c r="C197" s="7" t="inlineStr">
        <is>
          <t>First floor beams</t>
        </is>
      </c>
      <c r="D197" s="7" t="inlineStr">
        <is>
          <t>F03</t>
        </is>
      </c>
      <c r="E197" s="27" t="inlineStr">
        <is>
          <t>2008</t>
        </is>
      </c>
      <c r="F197" s="27" t="n">
        <v>20</v>
      </c>
      <c r="G197" s="27" t="n">
        <v>2</v>
      </c>
      <c r="H197" s="27" t="n">
        <v>9100</v>
      </c>
      <c r="I197" s="28">
        <f>G197*H197/1000*F197^2/162</f>
        <v>44.93827160493827</v>
      </c>
    </row>
    <row r="198">
      <c r="A198" s="7" t="inlineStr">
        <is>
          <t>STR-048</t>
        </is>
      </c>
      <c r="B198" s="7" t="inlineStr">
        <is>
          <t>Beams</t>
        </is>
      </c>
      <c r="C198" s="7" t="inlineStr">
        <is>
          <t>First floor beams</t>
        </is>
      </c>
      <c r="D198" s="7" t="inlineStr">
        <is>
          <t>F03</t>
        </is>
      </c>
      <c r="E198" s="27" t="inlineStr">
        <is>
          <t>2009</t>
        </is>
      </c>
      <c r="F198" s="27" t="n">
        <v>20</v>
      </c>
      <c r="G198" s="27" t="n">
        <v>3</v>
      </c>
      <c r="H198" s="27" t="n">
        <v>8200</v>
      </c>
      <c r="I198" s="28">
        <f>G198*H198/1000*F198^2/162</f>
        <v>60.74074074074074</v>
      </c>
    </row>
    <row r="199">
      <c r="A199" s="7" t="inlineStr">
        <is>
          <t>STR-048</t>
        </is>
      </c>
      <c r="B199" s="7" t="inlineStr">
        <is>
          <t>Beams</t>
        </is>
      </c>
      <c r="C199" s="7" t="inlineStr">
        <is>
          <t>First floor beams</t>
        </is>
      </c>
      <c r="D199" s="7" t="inlineStr">
        <is>
          <t>F03</t>
        </is>
      </c>
      <c r="E199" s="27" t="inlineStr">
        <is>
          <t>2010</t>
        </is>
      </c>
      <c r="F199" s="27" t="n">
        <v>20</v>
      </c>
      <c r="G199" s="27" t="n">
        <v>3</v>
      </c>
      <c r="H199" s="27" t="n">
        <v>6550</v>
      </c>
      <c r="I199" s="28">
        <f>G199*H199/1000*F199^2/162</f>
        <v>48.51851851851851</v>
      </c>
    </row>
    <row r="200">
      <c r="A200" s="7" t="inlineStr">
        <is>
          <t>STR-048</t>
        </is>
      </c>
      <c r="B200" s="7" t="inlineStr">
        <is>
          <t>Beams</t>
        </is>
      </c>
      <c r="C200" s="7" t="inlineStr">
        <is>
          <t>First floor beams</t>
        </is>
      </c>
      <c r="D200" s="7" t="inlineStr">
        <is>
          <t>F03</t>
        </is>
      </c>
      <c r="E200" s="27" t="inlineStr">
        <is>
          <t>2011</t>
        </is>
      </c>
      <c r="F200" s="27" t="n">
        <v>20</v>
      </c>
      <c r="G200" s="27" t="n">
        <v>3</v>
      </c>
      <c r="H200" s="27" t="n">
        <v>8200</v>
      </c>
      <c r="I200" s="28">
        <f>G200*H200/1000*F200^2/162</f>
        <v>60.74074074074074</v>
      </c>
    </row>
    <row r="201">
      <c r="A201" s="7" t="inlineStr">
        <is>
          <t>STR-048</t>
        </is>
      </c>
      <c r="B201" s="7" t="inlineStr">
        <is>
          <t>Beams</t>
        </is>
      </c>
      <c r="C201" s="7" t="inlineStr">
        <is>
          <t>First floor beams</t>
        </is>
      </c>
      <c r="D201" s="7" t="inlineStr">
        <is>
          <t>F03</t>
        </is>
      </c>
      <c r="E201" s="27" t="inlineStr">
        <is>
          <t>2012</t>
        </is>
      </c>
      <c r="F201" s="27" t="n">
        <v>20</v>
      </c>
      <c r="G201" s="27" t="n">
        <v>3</v>
      </c>
      <c r="H201" s="27" t="n">
        <v>9250</v>
      </c>
      <c r="I201" s="28">
        <f>G201*H201/1000*F201^2/162</f>
        <v>68.51851851851852</v>
      </c>
    </row>
    <row r="202">
      <c r="A202" s="7" t="inlineStr">
        <is>
          <t>STR-048</t>
        </is>
      </c>
      <c r="B202" s="7" t="inlineStr">
        <is>
          <t>Beams</t>
        </is>
      </c>
      <c r="C202" s="7" t="inlineStr">
        <is>
          <t>First floor beams</t>
        </is>
      </c>
      <c r="D202" s="7" t="inlineStr">
        <is>
          <t>F03</t>
        </is>
      </c>
      <c r="E202" s="27" t="inlineStr">
        <is>
          <t>2013</t>
        </is>
      </c>
      <c r="F202" s="27" t="n">
        <v>20</v>
      </c>
      <c r="G202" s="27" t="n">
        <v>3</v>
      </c>
      <c r="H202" s="27" t="n">
        <v>5700</v>
      </c>
      <c r="I202" s="28">
        <f>G202*H202/1000*F202^2/162</f>
        <v>42.22222222222223</v>
      </c>
    </row>
    <row r="203">
      <c r="A203" s="7" t="inlineStr">
        <is>
          <t>STR-048</t>
        </is>
      </c>
      <c r="B203" s="7" t="inlineStr">
        <is>
          <t>Beams</t>
        </is>
      </c>
      <c r="C203" s="7" t="inlineStr">
        <is>
          <t>First floor beams</t>
        </is>
      </c>
      <c r="D203" s="7" t="inlineStr">
        <is>
          <t>F03</t>
        </is>
      </c>
      <c r="E203" s="27" t="inlineStr">
        <is>
          <t>2014</t>
        </is>
      </c>
      <c r="F203" s="27" t="n">
        <v>20</v>
      </c>
      <c r="G203" s="27" t="n">
        <v>3</v>
      </c>
      <c r="H203" s="27" t="n">
        <v>9400</v>
      </c>
      <c r="I203" s="28">
        <f>G203*H203/1000*F203^2/162</f>
        <v>69.62962962962963</v>
      </c>
    </row>
    <row r="204">
      <c r="A204" s="7" t="inlineStr">
        <is>
          <t>STR-048</t>
        </is>
      </c>
      <c r="B204" s="7" t="inlineStr">
        <is>
          <t>Beams</t>
        </is>
      </c>
      <c r="C204" s="7" t="inlineStr">
        <is>
          <t>First floor beams</t>
        </is>
      </c>
      <c r="D204" s="7" t="inlineStr">
        <is>
          <t>F03</t>
        </is>
      </c>
      <c r="E204" s="27" t="inlineStr">
        <is>
          <t>2015</t>
        </is>
      </c>
      <c r="F204" s="27" t="n">
        <v>20</v>
      </c>
      <c r="G204" s="27" t="n">
        <v>3</v>
      </c>
      <c r="H204" s="27" t="n">
        <v>4600</v>
      </c>
      <c r="I204" s="28">
        <f>G204*H204/1000*F204^2/162</f>
        <v>34.074074074074076</v>
      </c>
    </row>
    <row r="205">
      <c r="A205" s="7" t="inlineStr">
        <is>
          <t>STR-048</t>
        </is>
      </c>
      <c r="B205" s="7" t="inlineStr">
        <is>
          <t>Beams</t>
        </is>
      </c>
      <c r="C205" s="7" t="inlineStr">
        <is>
          <t>First floor beams</t>
        </is>
      </c>
      <c r="D205" s="7" t="inlineStr">
        <is>
          <t>F03</t>
        </is>
      </c>
      <c r="E205" s="27" t="inlineStr">
        <is>
          <t>2501</t>
        </is>
      </c>
      <c r="F205" s="27" t="n">
        <v>25</v>
      </c>
      <c r="G205" s="27" t="n">
        <v>3</v>
      </c>
      <c r="H205" s="27" t="n">
        <v>10750</v>
      </c>
      <c r="I205" s="28">
        <f>G205*H205/1000*F205^2/162</f>
        <v>124.42129629629629</v>
      </c>
    </row>
    <row r="206">
      <c r="A206" s="7" t="inlineStr">
        <is>
          <t>STR-048</t>
        </is>
      </c>
      <c r="B206" s="7" t="inlineStr">
        <is>
          <t>Beams</t>
        </is>
      </c>
      <c r="C206" s="7" t="inlineStr">
        <is>
          <t>First floor beams</t>
        </is>
      </c>
      <c r="D206" s="7" t="inlineStr">
        <is>
          <t>F03</t>
        </is>
      </c>
      <c r="E206" s="27" t="inlineStr">
        <is>
          <t>2502</t>
        </is>
      </c>
      <c r="F206" s="27" t="n">
        <v>25</v>
      </c>
      <c r="G206" s="27" t="n">
        <v>5</v>
      </c>
      <c r="H206" s="27" t="n">
        <v>7400</v>
      </c>
      <c r="I206" s="28">
        <f>G206*H206/1000*F206^2/162</f>
        <v>142.7469135802469</v>
      </c>
    </row>
    <row r="207">
      <c r="A207" s="7" t="inlineStr">
        <is>
          <t>STR-048</t>
        </is>
      </c>
      <c r="B207" s="7" t="inlineStr">
        <is>
          <t>Beams</t>
        </is>
      </c>
      <c r="C207" s="7" t="inlineStr">
        <is>
          <t>First floor beams</t>
        </is>
      </c>
      <c r="D207" s="7" t="inlineStr">
        <is>
          <t>F03</t>
        </is>
      </c>
      <c r="E207" s="27" t="inlineStr">
        <is>
          <t>2503</t>
        </is>
      </c>
      <c r="F207" s="27" t="n">
        <v>25</v>
      </c>
      <c r="G207" s="27" t="n">
        <v>8</v>
      </c>
      <c r="H207" s="27" t="n">
        <v>9400</v>
      </c>
      <c r="I207" s="28">
        <f>G207*H207/1000*F207^2/162</f>
        <v>290.12345679012344</v>
      </c>
    </row>
    <row r="208">
      <c r="A208" s="7" t="inlineStr">
        <is>
          <t>STR-048</t>
        </is>
      </c>
      <c r="B208" s="7" t="inlineStr">
        <is>
          <t>Beams</t>
        </is>
      </c>
      <c r="C208" s="7" t="inlineStr">
        <is>
          <t>First floor beams</t>
        </is>
      </c>
      <c r="D208" s="7" t="inlineStr">
        <is>
          <t>F03</t>
        </is>
      </c>
      <c r="E208" s="27" t="inlineStr">
        <is>
          <t>2504</t>
        </is>
      </c>
      <c r="F208" s="27" t="n">
        <v>25</v>
      </c>
      <c r="G208" s="27" t="n">
        <v>3</v>
      </c>
      <c r="H208" s="27" t="n">
        <v>12000</v>
      </c>
      <c r="I208" s="28">
        <f>G208*H208/1000*F208^2/162</f>
        <v>138.88888888888889</v>
      </c>
    </row>
    <row r="209">
      <c r="A209" s="7" t="inlineStr">
        <is>
          <t>STR-048</t>
        </is>
      </c>
      <c r="B209" s="7" t="inlineStr">
        <is>
          <t>Beams</t>
        </is>
      </c>
      <c r="C209" s="7" t="inlineStr">
        <is>
          <t>First floor beams</t>
        </is>
      </c>
      <c r="D209" s="7" t="inlineStr">
        <is>
          <t>F03</t>
        </is>
      </c>
      <c r="E209" s="27" t="inlineStr">
        <is>
          <t>2505</t>
        </is>
      </c>
      <c r="F209" s="27" t="n">
        <v>25</v>
      </c>
      <c r="G209" s="27" t="n">
        <v>2</v>
      </c>
      <c r="H209" s="27" t="n">
        <v>11600</v>
      </c>
      <c r="I209" s="28">
        <f>G209*H209/1000*F209^2/162</f>
        <v>89.50617283950618</v>
      </c>
    </row>
    <row r="210">
      <c r="A210" s="7" t="inlineStr">
        <is>
          <t>STR-048</t>
        </is>
      </c>
      <c r="B210" s="7" t="inlineStr">
        <is>
          <t>Beams</t>
        </is>
      </c>
      <c r="C210" s="7" t="inlineStr">
        <is>
          <t>First floor beams</t>
        </is>
      </c>
      <c r="D210" s="7" t="inlineStr">
        <is>
          <t>F03</t>
        </is>
      </c>
      <c r="E210" s="27" t="inlineStr">
        <is>
          <t>2506</t>
        </is>
      </c>
      <c r="F210" s="27" t="n">
        <v>25</v>
      </c>
      <c r="G210" s="27" t="n">
        <v>2</v>
      </c>
      <c r="H210" s="27" t="n">
        <v>11900</v>
      </c>
      <c r="I210" s="28">
        <f>G210*H210/1000*F210^2/162</f>
        <v>91.82098765432099</v>
      </c>
    </row>
    <row r="211">
      <c r="A211" s="7" t="inlineStr">
        <is>
          <t>STR-048</t>
        </is>
      </c>
      <c r="B211" s="7" t="inlineStr">
        <is>
          <t>Beams</t>
        </is>
      </c>
      <c r="C211" s="7" t="inlineStr">
        <is>
          <t>First floor beams</t>
        </is>
      </c>
      <c r="D211" s="7" t="inlineStr">
        <is>
          <t>F03</t>
        </is>
      </c>
      <c r="E211" s="27" t="inlineStr">
        <is>
          <t>2507</t>
        </is>
      </c>
      <c r="F211" s="27" t="n">
        <v>25</v>
      </c>
      <c r="G211" s="27" t="n">
        <v>3</v>
      </c>
      <c r="H211" s="27" t="n">
        <v>9850</v>
      </c>
      <c r="I211" s="28">
        <f>G211*H211/1000*F211^2/162</f>
        <v>114.00462962962963</v>
      </c>
    </row>
    <row r="212">
      <c r="A212" s="7" t="inlineStr">
        <is>
          <t>STR-048</t>
        </is>
      </c>
      <c r="B212" s="7" t="inlineStr">
        <is>
          <t>Beams</t>
        </is>
      </c>
      <c r="C212" s="7" t="inlineStr">
        <is>
          <t>First floor beams</t>
        </is>
      </c>
      <c r="D212" s="7" t="inlineStr">
        <is>
          <t>F03</t>
        </is>
      </c>
      <c r="E212" s="27" t="inlineStr">
        <is>
          <t>2508</t>
        </is>
      </c>
      <c r="F212" s="27" t="n">
        <v>25</v>
      </c>
      <c r="G212" s="27" t="n">
        <v>3</v>
      </c>
      <c r="H212" s="27" t="n">
        <v>5850</v>
      </c>
      <c r="I212" s="28">
        <f>G212*H212/1000*F212^2/162</f>
        <v>67.70833333333333</v>
      </c>
    </row>
    <row r="213">
      <c r="A213" s="7" t="inlineStr">
        <is>
          <t>STR-048</t>
        </is>
      </c>
      <c r="B213" s="7" t="inlineStr">
        <is>
          <t>Beams</t>
        </is>
      </c>
      <c r="C213" s="7" t="inlineStr">
        <is>
          <t>First floor beams</t>
        </is>
      </c>
      <c r="D213" s="7" t="inlineStr">
        <is>
          <t>F03</t>
        </is>
      </c>
      <c r="E213" s="27" t="inlineStr">
        <is>
          <t>2509</t>
        </is>
      </c>
      <c r="F213" s="27" t="n">
        <v>25</v>
      </c>
      <c r="G213" s="27" t="n">
        <v>3</v>
      </c>
      <c r="H213" s="27" t="n">
        <v>9300</v>
      </c>
      <c r="I213" s="28">
        <f>G213*H213/1000*F213^2/162</f>
        <v>107.63888888888889</v>
      </c>
    </row>
    <row r="214">
      <c r="A214" s="7" t="inlineStr">
        <is>
          <t>STR-048</t>
        </is>
      </c>
      <c r="B214" s="7" t="inlineStr">
        <is>
          <t>Beams</t>
        </is>
      </c>
      <c r="C214" s="7" t="inlineStr">
        <is>
          <t>First floor beams</t>
        </is>
      </c>
      <c r="D214" s="7" t="inlineStr">
        <is>
          <t>F03</t>
        </is>
      </c>
      <c r="E214" s="27" t="inlineStr">
        <is>
          <t>2510</t>
        </is>
      </c>
      <c r="F214" s="27" t="n">
        <v>25</v>
      </c>
      <c r="G214" s="27" t="n">
        <v>3</v>
      </c>
      <c r="H214" s="27" t="n">
        <v>9100</v>
      </c>
      <c r="I214" s="28">
        <f>G214*H214/1000*F214^2/162</f>
        <v>105.32407407407408</v>
      </c>
    </row>
    <row r="215">
      <c r="A215" s="7" t="inlineStr">
        <is>
          <t>STR-048</t>
        </is>
      </c>
      <c r="B215" s="7" t="inlineStr">
        <is>
          <t>Beams</t>
        </is>
      </c>
      <c r="C215" s="7" t="inlineStr">
        <is>
          <t>First floor beams</t>
        </is>
      </c>
      <c r="D215" s="7" t="inlineStr">
        <is>
          <t>F03</t>
        </is>
      </c>
      <c r="E215" s="27" t="inlineStr">
        <is>
          <t>2511</t>
        </is>
      </c>
      <c r="F215" s="27" t="n">
        <v>25</v>
      </c>
      <c r="G215" s="27" t="n">
        <v>3</v>
      </c>
      <c r="H215" s="27" t="n">
        <v>10475</v>
      </c>
      <c r="I215" s="28">
        <f>G215*H215/1000*F215^2/162</f>
        <v>121.23842592592592</v>
      </c>
    </row>
    <row r="216">
      <c r="A216" s="7" t="inlineStr">
        <is>
          <t>STR-048</t>
        </is>
      </c>
      <c r="B216" s="7" t="inlineStr">
        <is>
          <t>Beams</t>
        </is>
      </c>
      <c r="C216" s="7" t="inlineStr">
        <is>
          <t>First floor beams</t>
        </is>
      </c>
      <c r="D216" s="7" t="inlineStr">
        <is>
          <t>F03</t>
        </is>
      </c>
      <c r="E216" s="27" t="inlineStr">
        <is>
          <t>2512</t>
        </is>
      </c>
      <c r="F216" s="27" t="n">
        <v>25</v>
      </c>
      <c r="G216" s="27" t="n">
        <v>3</v>
      </c>
      <c r="H216" s="27" t="n">
        <v>4800</v>
      </c>
      <c r="I216" s="28">
        <f>G216*H216/1000*F216^2/162</f>
        <v>55.55555555555556</v>
      </c>
    </row>
    <row r="217">
      <c r="A217" s="7" t="inlineStr">
        <is>
          <t>STR-048</t>
        </is>
      </c>
      <c r="B217" s="7" t="inlineStr">
        <is>
          <t>Beams</t>
        </is>
      </c>
      <c r="C217" s="7" t="inlineStr">
        <is>
          <t>First floor beams</t>
        </is>
      </c>
      <c r="D217" s="7" t="inlineStr">
        <is>
          <t>F03</t>
        </is>
      </c>
      <c r="E217" s="27" t="inlineStr">
        <is>
          <t>2513</t>
        </is>
      </c>
      <c r="F217" s="27" t="n">
        <v>25</v>
      </c>
      <c r="G217" s="27" t="n">
        <v>3</v>
      </c>
      <c r="H217" s="27" t="n">
        <v>10750</v>
      </c>
      <c r="I217" s="28">
        <f>G217*H217/1000*F217^2/162</f>
        <v>124.42129629629629</v>
      </c>
    </row>
    <row r="218">
      <c r="A218" s="7" t="inlineStr">
        <is>
          <t>STR-048</t>
        </is>
      </c>
      <c r="B218" s="7" t="inlineStr">
        <is>
          <t>Beams</t>
        </is>
      </c>
      <c r="C218" s="7" t="inlineStr">
        <is>
          <t>First floor beams</t>
        </is>
      </c>
      <c r="D218" s="7" t="inlineStr">
        <is>
          <t>F03</t>
        </is>
      </c>
      <c r="E218" s="27" t="inlineStr">
        <is>
          <t>2514</t>
        </is>
      </c>
      <c r="F218" s="27" t="n">
        <v>25</v>
      </c>
      <c r="G218" s="27" t="n">
        <v>3</v>
      </c>
      <c r="H218" s="27" t="n">
        <v>8400</v>
      </c>
      <c r="I218" s="28">
        <f>G218*H218/1000*F218^2/162</f>
        <v>97.22222222222223</v>
      </c>
    </row>
    <row r="219">
      <c r="A219" s="7" t="inlineStr">
        <is>
          <t>STR-048</t>
        </is>
      </c>
      <c r="B219" s="7" t="inlineStr">
        <is>
          <t>Beams</t>
        </is>
      </c>
      <c r="C219" s="7" t="inlineStr">
        <is>
          <t>First floor beams</t>
        </is>
      </c>
      <c r="D219" s="7" t="inlineStr">
        <is>
          <t>F03</t>
        </is>
      </c>
      <c r="E219" s="27" t="inlineStr">
        <is>
          <t>2515</t>
        </is>
      </c>
      <c r="F219" s="27" t="n">
        <v>25</v>
      </c>
      <c r="G219" s="27" t="n">
        <v>3</v>
      </c>
      <c r="H219" s="27" t="n">
        <v>10100</v>
      </c>
      <c r="I219" s="28">
        <f>G219*H219/1000*F219^2/162</f>
        <v>116.89814814814815</v>
      </c>
    </row>
    <row r="220">
      <c r="A220" s="7" t="inlineStr">
        <is>
          <t>STR-048</t>
        </is>
      </c>
      <c r="B220" s="7" t="inlineStr">
        <is>
          <t>Beams</t>
        </is>
      </c>
      <c r="C220" s="7" t="inlineStr">
        <is>
          <t>First floor beams</t>
        </is>
      </c>
      <c r="D220" s="7" t="inlineStr">
        <is>
          <t>F03</t>
        </is>
      </c>
      <c r="E220" s="27" t="inlineStr">
        <is>
          <t>2516</t>
        </is>
      </c>
      <c r="F220" s="27" t="n">
        <v>25</v>
      </c>
      <c r="G220" s="27" t="n">
        <v>3</v>
      </c>
      <c r="H220" s="27" t="n">
        <v>9500</v>
      </c>
      <c r="I220" s="28">
        <f>G220*H220/1000*F220^2/162</f>
        <v>109.95370370370371</v>
      </c>
    </row>
    <row r="221">
      <c r="A221" s="7" t="inlineStr">
        <is>
          <t>STR-048</t>
        </is>
      </c>
      <c r="B221" s="7" t="inlineStr">
        <is>
          <t>Beams</t>
        </is>
      </c>
      <c r="C221" s="7" t="inlineStr">
        <is>
          <t>First floor beams</t>
        </is>
      </c>
      <c r="D221" s="7" t="inlineStr">
        <is>
          <t>F03</t>
        </is>
      </c>
      <c r="E221" s="27" t="inlineStr">
        <is>
          <t>2517</t>
        </is>
      </c>
      <c r="F221" s="27" t="n">
        <v>25</v>
      </c>
      <c r="G221" s="27" t="n">
        <v>3</v>
      </c>
      <c r="H221" s="27" t="n">
        <v>5850</v>
      </c>
      <c r="I221" s="28">
        <f>G221*H221/1000*F221^2/162</f>
        <v>67.70833333333333</v>
      </c>
    </row>
    <row r="222">
      <c r="A222" s="7" t="inlineStr">
        <is>
          <t>STR-048</t>
        </is>
      </c>
      <c r="B222" s="7" t="inlineStr">
        <is>
          <t>Beams</t>
        </is>
      </c>
      <c r="C222" s="7" t="inlineStr">
        <is>
          <t>First floor beams</t>
        </is>
      </c>
      <c r="D222" s="7" t="inlineStr">
        <is>
          <t>F03</t>
        </is>
      </c>
      <c r="E222" s="27" t="inlineStr">
        <is>
          <t>2518</t>
        </is>
      </c>
      <c r="F222" s="27" t="n">
        <v>25</v>
      </c>
      <c r="G222" s="27" t="n">
        <v>3</v>
      </c>
      <c r="H222" s="27" t="n">
        <v>8000</v>
      </c>
      <c r="I222" s="28">
        <f>G222*H222/1000*F222^2/162</f>
        <v>92.5925925925926</v>
      </c>
    </row>
    <row r="223">
      <c r="A223" s="7" t="inlineStr">
        <is>
          <t>STR-048</t>
        </is>
      </c>
      <c r="B223" s="7" t="inlineStr">
        <is>
          <t>Beams</t>
        </is>
      </c>
      <c r="C223" s="7" t="inlineStr">
        <is>
          <t>First floor beams</t>
        </is>
      </c>
      <c r="D223" s="7" t="inlineStr">
        <is>
          <t>F03</t>
        </is>
      </c>
      <c r="E223" s="27" t="inlineStr">
        <is>
          <t>2519</t>
        </is>
      </c>
      <c r="F223" s="27" t="n">
        <v>25</v>
      </c>
      <c r="G223" s="27" t="n">
        <v>3</v>
      </c>
      <c r="H223" s="27" t="n">
        <v>8700</v>
      </c>
      <c r="I223" s="28">
        <f>G223*H223/1000*F223^2/162</f>
        <v>100.69444444444444</v>
      </c>
    </row>
    <row r="224">
      <c r="A224" s="7" t="inlineStr">
        <is>
          <t>STR-048</t>
        </is>
      </c>
      <c r="B224" s="7" t="inlineStr">
        <is>
          <t>Beams</t>
        </is>
      </c>
      <c r="C224" s="7" t="inlineStr">
        <is>
          <t>First floor beams</t>
        </is>
      </c>
      <c r="D224" s="7" t="inlineStr">
        <is>
          <t>F03</t>
        </is>
      </c>
      <c r="E224" s="27" t="inlineStr">
        <is>
          <t>2520</t>
        </is>
      </c>
      <c r="F224" s="27" t="n">
        <v>25</v>
      </c>
      <c r="G224" s="27" t="n">
        <v>3</v>
      </c>
      <c r="H224" s="27" t="n">
        <v>5900</v>
      </c>
      <c r="I224" s="28">
        <f>G224*H224/1000*F224^2/162</f>
        <v>68.28703703703704</v>
      </c>
    </row>
    <row r="225">
      <c r="A225" s="7" t="inlineStr">
        <is>
          <t>STR-048</t>
        </is>
      </c>
      <c r="B225" s="7" t="inlineStr">
        <is>
          <t>Beams</t>
        </is>
      </c>
      <c r="C225" s="7" t="inlineStr">
        <is>
          <t>First floor beams</t>
        </is>
      </c>
      <c r="D225" s="7" t="inlineStr">
        <is>
          <t>F03</t>
        </is>
      </c>
      <c r="E225" s="27" t="inlineStr">
        <is>
          <t>2521</t>
        </is>
      </c>
      <c r="F225" s="27" t="n">
        <v>25</v>
      </c>
      <c r="G225" s="27" t="n">
        <v>30</v>
      </c>
      <c r="H225" s="27" t="n">
        <v>6450</v>
      </c>
      <c r="I225" s="28">
        <f>G225*H225/1000*F225^2/162</f>
        <v>746.5277777777778</v>
      </c>
    </row>
    <row r="226">
      <c r="A226" s="7" t="inlineStr">
        <is>
          <t>STR-049</t>
        </is>
      </c>
      <c r="B226" s="7" t="inlineStr">
        <is>
          <t>Floor Slabs</t>
        </is>
      </c>
      <c r="C226" s="7" t="inlineStr">
        <is>
          <t>First floor slab - bottom</t>
        </is>
      </c>
      <c r="D226" s="7" t="inlineStr">
        <is>
          <t>F03</t>
        </is>
      </c>
      <c r="E226" s="27" t="inlineStr">
        <is>
          <t>1201</t>
        </is>
      </c>
      <c r="F226" s="27" t="n">
        <v>12</v>
      </c>
      <c r="G226" s="27" t="n">
        <v>99</v>
      </c>
      <c r="H226" s="27" t="n">
        <v>8550</v>
      </c>
      <c r="I226" s="28">
        <f>G226*H226/1000*F226^2/162</f>
        <v>752.4</v>
      </c>
    </row>
    <row r="227">
      <c r="A227" s="7" t="inlineStr">
        <is>
          <t>STR-049</t>
        </is>
      </c>
      <c r="B227" s="7" t="inlineStr">
        <is>
          <t>Floor Slabs</t>
        </is>
      </c>
      <c r="C227" s="7" t="inlineStr">
        <is>
          <t>First floor slab - bottom</t>
        </is>
      </c>
      <c r="D227" s="7" t="inlineStr">
        <is>
          <t>F03</t>
        </is>
      </c>
      <c r="E227" s="27" t="inlineStr">
        <is>
          <t>1202</t>
        </is>
      </c>
      <c r="F227" s="27" t="n">
        <v>12</v>
      </c>
      <c r="G227" s="27" t="n">
        <v>122</v>
      </c>
      <c r="H227" s="27" t="n">
        <v>5500</v>
      </c>
      <c r="I227" s="28">
        <f>G227*H227/1000*F227^2/162</f>
        <v>596.4444444444445</v>
      </c>
    </row>
    <row r="228">
      <c r="A228" s="7" t="inlineStr">
        <is>
          <t>STR-049</t>
        </is>
      </c>
      <c r="B228" s="7" t="inlineStr">
        <is>
          <t>Floor Slabs</t>
        </is>
      </c>
      <c r="C228" s="7" t="inlineStr">
        <is>
          <t>First floor slab - bottom</t>
        </is>
      </c>
      <c r="D228" s="7" t="inlineStr">
        <is>
          <t>F03</t>
        </is>
      </c>
      <c r="E228" s="27" t="inlineStr">
        <is>
          <t>1203</t>
        </is>
      </c>
      <c r="F228" s="27" t="n">
        <v>12</v>
      </c>
      <c r="G228" s="27" t="n">
        <v>21</v>
      </c>
      <c r="H228" s="27" t="n">
        <v>4250</v>
      </c>
      <c r="I228" s="28">
        <f>G228*H228/1000*F228^2/162</f>
        <v>79.33333333333333</v>
      </c>
    </row>
    <row r="229">
      <c r="A229" s="7" t="inlineStr">
        <is>
          <t>STR-049</t>
        </is>
      </c>
      <c r="B229" s="7" t="inlineStr">
        <is>
          <t>Floor Slabs</t>
        </is>
      </c>
      <c r="C229" s="7" t="inlineStr">
        <is>
          <t>First floor slab - bottom</t>
        </is>
      </c>
      <c r="D229" s="7" t="inlineStr">
        <is>
          <t>F03</t>
        </is>
      </c>
      <c r="E229" s="27" t="inlineStr">
        <is>
          <t>1204</t>
        </is>
      </c>
      <c r="F229" s="27" t="n">
        <v>12</v>
      </c>
      <c r="G229" s="27" t="n">
        <v>54</v>
      </c>
      <c r="H229" s="27" t="n">
        <v>5250</v>
      </c>
      <c r="I229" s="28">
        <f>G229*H229/1000*F229^2/162</f>
        <v>252.0</v>
      </c>
    </row>
    <row r="230">
      <c r="A230" s="7" t="inlineStr">
        <is>
          <t>STR-049</t>
        </is>
      </c>
      <c r="B230" s="7" t="inlineStr">
        <is>
          <t>Floor Slabs</t>
        </is>
      </c>
      <c r="C230" s="7" t="inlineStr">
        <is>
          <t>First floor slab - bottom</t>
        </is>
      </c>
      <c r="D230" s="7" t="inlineStr">
        <is>
          <t>F03</t>
        </is>
      </c>
      <c r="E230" s="27" t="inlineStr">
        <is>
          <t>1205</t>
        </is>
      </c>
      <c r="F230" s="27" t="n">
        <v>12</v>
      </c>
      <c r="G230" s="27" t="n">
        <v>144</v>
      </c>
      <c r="H230" s="27" t="n">
        <v>9050</v>
      </c>
      <c r="I230" s="28">
        <f>G230*H230/1000*F230^2/162</f>
        <v>1158.4</v>
      </c>
    </row>
    <row r="231">
      <c r="A231" s="7" t="inlineStr">
        <is>
          <t>STR-049</t>
        </is>
      </c>
      <c r="B231" s="7" t="inlineStr">
        <is>
          <t>Floor Slabs</t>
        </is>
      </c>
      <c r="C231" s="7" t="inlineStr">
        <is>
          <t>First floor slab - bottom</t>
        </is>
      </c>
      <c r="D231" s="7" t="inlineStr">
        <is>
          <t>F03</t>
        </is>
      </c>
      <c r="E231" s="27" t="inlineStr">
        <is>
          <t>1206</t>
        </is>
      </c>
      <c r="F231" s="27" t="n">
        <v>12</v>
      </c>
      <c r="G231" s="27" t="n">
        <v>74</v>
      </c>
      <c r="H231" s="27" t="n">
        <v>8950</v>
      </c>
      <c r="I231" s="28">
        <f>G231*H231/1000*F231^2/162</f>
        <v>588.7111111111111</v>
      </c>
    </row>
    <row r="232">
      <c r="A232" s="7" t="inlineStr">
        <is>
          <t>STR-049</t>
        </is>
      </c>
      <c r="B232" s="7" t="inlineStr">
        <is>
          <t>Floor Slabs</t>
        </is>
      </c>
      <c r="C232" s="7" t="inlineStr">
        <is>
          <t>First floor slab - bottom</t>
        </is>
      </c>
      <c r="D232" s="7" t="inlineStr">
        <is>
          <t>F03</t>
        </is>
      </c>
      <c r="E232" s="27" t="inlineStr">
        <is>
          <t>1207</t>
        </is>
      </c>
      <c r="F232" s="27" t="n">
        <v>12</v>
      </c>
      <c r="G232" s="27" t="n">
        <v>93</v>
      </c>
      <c r="H232" s="27" t="n">
        <v>8850</v>
      </c>
      <c r="I232" s="28">
        <f>G232*H232/1000*F232^2/162</f>
        <v>731.6</v>
      </c>
    </row>
    <row r="233">
      <c r="A233" s="7" t="inlineStr">
        <is>
          <t>STR-049</t>
        </is>
      </c>
      <c r="B233" s="7" t="inlineStr">
        <is>
          <t>Floor Slabs</t>
        </is>
      </c>
      <c r="C233" s="7" t="inlineStr">
        <is>
          <t>First floor slab - bottom</t>
        </is>
      </c>
      <c r="D233" s="7" t="inlineStr">
        <is>
          <t>F03</t>
        </is>
      </c>
      <c r="E233" s="27" t="inlineStr">
        <is>
          <t>1208</t>
        </is>
      </c>
      <c r="F233" s="27" t="n">
        <v>12</v>
      </c>
      <c r="G233" s="27" t="n">
        <v>15</v>
      </c>
      <c r="H233" s="27" t="n">
        <v>8775</v>
      </c>
      <c r="I233" s="28">
        <f>G233*H233/1000*F233^2/162</f>
        <v>117.0</v>
      </c>
    </row>
    <row r="234">
      <c r="A234" s="7" t="inlineStr">
        <is>
          <t>STR-049</t>
        </is>
      </c>
      <c r="B234" s="7" t="inlineStr">
        <is>
          <t>Floor Slabs</t>
        </is>
      </c>
      <c r="C234" s="7" t="inlineStr">
        <is>
          <t>First floor slab - bottom</t>
        </is>
      </c>
      <c r="D234" s="7" t="inlineStr">
        <is>
          <t>F03</t>
        </is>
      </c>
      <c r="E234" s="27" t="inlineStr">
        <is>
          <t>1209</t>
        </is>
      </c>
      <c r="F234" s="27" t="n">
        <v>12</v>
      </c>
      <c r="G234" s="27" t="n">
        <v>93</v>
      </c>
      <c r="H234" s="27" t="n">
        <v>8700</v>
      </c>
      <c r="I234" s="28">
        <f>G234*H234/1000*F234^2/162</f>
        <v>719.2</v>
      </c>
    </row>
    <row r="235">
      <c r="A235" s="7" t="inlineStr">
        <is>
          <t>STR-049</t>
        </is>
      </c>
      <c r="B235" s="7" t="inlineStr">
        <is>
          <t>Floor Slabs</t>
        </is>
      </c>
      <c r="C235" s="7" t="inlineStr">
        <is>
          <t>First floor slab - bottom</t>
        </is>
      </c>
      <c r="D235" s="7" t="inlineStr">
        <is>
          <t>F03</t>
        </is>
      </c>
      <c r="E235" s="27" t="inlineStr">
        <is>
          <t>1210</t>
        </is>
      </c>
      <c r="F235" s="27" t="n">
        <v>12</v>
      </c>
      <c r="G235" s="27" t="n">
        <v>122</v>
      </c>
      <c r="H235" s="27" t="n">
        <v>6350</v>
      </c>
      <c r="I235" s="28">
        <f>G235*H235/1000*F235^2/162</f>
        <v>688.6222222222223</v>
      </c>
    </row>
    <row r="236">
      <c r="A236" s="7" t="inlineStr">
        <is>
          <t>STR-049</t>
        </is>
      </c>
      <c r="B236" s="7" t="inlineStr">
        <is>
          <t>Floor Slabs</t>
        </is>
      </c>
      <c r="C236" s="7" t="inlineStr">
        <is>
          <t>First floor slab - bottom</t>
        </is>
      </c>
      <c r="D236" s="7" t="inlineStr">
        <is>
          <t>F03</t>
        </is>
      </c>
      <c r="E236" s="27" t="inlineStr">
        <is>
          <t>1211</t>
        </is>
      </c>
      <c r="F236" s="27" t="n">
        <v>12</v>
      </c>
      <c r="G236" s="27" t="n">
        <v>13</v>
      </c>
      <c r="H236" s="27" t="n">
        <v>6600</v>
      </c>
      <c r="I236" s="28">
        <f>G236*H236/1000*F236^2/162</f>
        <v>76.26666666666667</v>
      </c>
    </row>
    <row r="237">
      <c r="A237" s="7" t="inlineStr">
        <is>
          <t>STR-049</t>
        </is>
      </c>
      <c r="B237" s="7" t="inlineStr">
        <is>
          <t>Floor Slabs</t>
        </is>
      </c>
      <c r="C237" s="7" t="inlineStr">
        <is>
          <t>First floor slab - bottom</t>
        </is>
      </c>
      <c r="D237" s="7" t="inlineStr">
        <is>
          <t>F03</t>
        </is>
      </c>
      <c r="E237" s="27" t="inlineStr">
        <is>
          <t>1212</t>
        </is>
      </c>
      <c r="F237" s="27" t="n">
        <v>12</v>
      </c>
      <c r="G237" s="27" t="n">
        <v>154</v>
      </c>
      <c r="H237" s="27" t="n">
        <v>12000</v>
      </c>
      <c r="I237" s="28">
        <f>G237*H237/1000*F237^2/162</f>
        <v>1642.6666666666667</v>
      </c>
    </row>
    <row r="238">
      <c r="A238" s="7" t="inlineStr">
        <is>
          <t>STR-049</t>
        </is>
      </c>
      <c r="B238" s="7" t="inlineStr">
        <is>
          <t>Floor Slabs</t>
        </is>
      </c>
      <c r="C238" s="7" t="inlineStr">
        <is>
          <t>First floor slab - bottom</t>
        </is>
      </c>
      <c r="D238" s="7" t="inlineStr">
        <is>
          <t>F03</t>
        </is>
      </c>
      <c r="E238" s="27" t="inlineStr">
        <is>
          <t>1213</t>
        </is>
      </c>
      <c r="F238" s="27" t="n">
        <v>12</v>
      </c>
      <c r="G238" s="27" t="n">
        <v>73</v>
      </c>
      <c r="H238" s="27" t="n">
        <v>8100</v>
      </c>
      <c r="I238" s="28">
        <f>G238*H238/1000*F238^2/162</f>
        <v>525.6</v>
      </c>
    </row>
    <row r="239">
      <c r="A239" s="7" t="inlineStr">
        <is>
          <t>STR-049</t>
        </is>
      </c>
      <c r="B239" s="7" t="inlineStr">
        <is>
          <t>Floor Slabs</t>
        </is>
      </c>
      <c r="C239" s="7" t="inlineStr">
        <is>
          <t>First floor slab - bottom</t>
        </is>
      </c>
      <c r="D239" s="7" t="inlineStr">
        <is>
          <t>F03</t>
        </is>
      </c>
      <c r="E239" s="27" t="inlineStr">
        <is>
          <t>1214</t>
        </is>
      </c>
      <c r="F239" s="27" t="n">
        <v>12</v>
      </c>
      <c r="G239" s="27" t="n">
        <v>13</v>
      </c>
      <c r="H239" s="27" t="n">
        <v>4200</v>
      </c>
      <c r="I239" s="28">
        <f>G239*H239/1000*F239^2/162</f>
        <v>48.53333333333334</v>
      </c>
    </row>
    <row r="240">
      <c r="A240" s="7" t="inlineStr">
        <is>
          <t>STR-049</t>
        </is>
      </c>
      <c r="B240" s="7" t="inlineStr">
        <is>
          <t>Floor Slabs</t>
        </is>
      </c>
      <c r="C240" s="7" t="inlineStr">
        <is>
          <t>First floor slab - bottom</t>
        </is>
      </c>
      <c r="D240" s="7" t="inlineStr">
        <is>
          <t>F03</t>
        </is>
      </c>
      <c r="E240" s="27" t="inlineStr">
        <is>
          <t>1215</t>
        </is>
      </c>
      <c r="F240" s="27" t="n">
        <v>12</v>
      </c>
      <c r="G240" s="27" t="n">
        <v>74</v>
      </c>
      <c r="H240" s="27" t="n">
        <v>12000</v>
      </c>
      <c r="I240" s="28">
        <f>G240*H240/1000*F240^2/162</f>
        <v>789.3333333333334</v>
      </c>
    </row>
    <row r="241">
      <c r="A241" s="7" t="inlineStr">
        <is>
          <t>STR-049</t>
        </is>
      </c>
      <c r="B241" s="7" t="inlineStr">
        <is>
          <t>Floor Slabs</t>
        </is>
      </c>
      <c r="C241" s="7" t="inlineStr">
        <is>
          <t>First floor slab - bottom</t>
        </is>
      </c>
      <c r="D241" s="7" t="inlineStr">
        <is>
          <t>F03</t>
        </is>
      </c>
      <c r="E241" s="27" t="inlineStr">
        <is>
          <t>1216</t>
        </is>
      </c>
      <c r="F241" s="27" t="n">
        <v>12</v>
      </c>
      <c r="G241" s="27" t="n">
        <v>37</v>
      </c>
      <c r="H241" s="27" t="n">
        <v>5550</v>
      </c>
      <c r="I241" s="28">
        <f>G241*H241/1000*F241^2/162</f>
        <v>182.53333333333333</v>
      </c>
    </row>
    <row r="242">
      <c r="A242" s="7" t="inlineStr">
        <is>
          <t>STR-049</t>
        </is>
      </c>
      <c r="B242" s="7" t="inlineStr">
        <is>
          <t>Floor Slabs</t>
        </is>
      </c>
      <c r="C242" s="7" t="inlineStr">
        <is>
          <t>First floor slab - bottom</t>
        </is>
      </c>
      <c r="D242" s="7" t="inlineStr">
        <is>
          <t>F03</t>
        </is>
      </c>
      <c r="E242" s="27" t="inlineStr">
        <is>
          <t>1217</t>
        </is>
      </c>
      <c r="F242" s="27" t="n">
        <v>12</v>
      </c>
      <c r="G242" s="27" t="n">
        <v>44</v>
      </c>
      <c r="H242" s="27" t="n">
        <v>11750</v>
      </c>
      <c r="I242" s="28">
        <f>G242*H242/1000*F242^2/162</f>
        <v>459.55555555555554</v>
      </c>
    </row>
    <row r="243">
      <c r="A243" s="7" t="inlineStr">
        <is>
          <t>STR-049</t>
        </is>
      </c>
      <c r="B243" s="7" t="inlineStr">
        <is>
          <t>Floor Slabs</t>
        </is>
      </c>
      <c r="C243" s="7" t="inlineStr">
        <is>
          <t>First floor slab - bottom</t>
        </is>
      </c>
      <c r="D243" s="7" t="inlineStr">
        <is>
          <t>F03</t>
        </is>
      </c>
      <c r="E243" s="27" t="inlineStr">
        <is>
          <t>1218</t>
        </is>
      </c>
      <c r="F243" s="27" t="n">
        <v>12</v>
      </c>
      <c r="G243" s="27" t="n">
        <v>75</v>
      </c>
      <c r="H243" s="27" t="n">
        <v>11500</v>
      </c>
      <c r="I243" s="28">
        <f>G243*H243/1000*F243^2/162</f>
        <v>766.6666666666666</v>
      </c>
    </row>
    <row r="244">
      <c r="A244" s="7" t="inlineStr">
        <is>
          <t>STR-049</t>
        </is>
      </c>
      <c r="B244" s="7" t="inlineStr">
        <is>
          <t>Floor Slabs</t>
        </is>
      </c>
      <c r="C244" s="7" t="inlineStr">
        <is>
          <t>First floor slab - bottom</t>
        </is>
      </c>
      <c r="D244" s="7" t="inlineStr">
        <is>
          <t>F03</t>
        </is>
      </c>
      <c r="E244" s="27" t="inlineStr">
        <is>
          <t>1601</t>
        </is>
      </c>
      <c r="F244" s="27" t="n">
        <v>16</v>
      </c>
      <c r="G244" s="27" t="n">
        <v>95</v>
      </c>
      <c r="H244" s="27" t="n">
        <v>8375</v>
      </c>
      <c r="I244" s="28">
        <f>G244*H244/1000*F244^2/162</f>
        <v>1257.283950617284</v>
      </c>
    </row>
    <row r="245">
      <c r="A245" s="7" t="inlineStr">
        <is>
          <t>STR-049</t>
        </is>
      </c>
      <c r="B245" s="7" t="inlineStr">
        <is>
          <t>Floor Slabs</t>
        </is>
      </c>
      <c r="C245" s="7" t="inlineStr">
        <is>
          <t>First floor slab - bottom</t>
        </is>
      </c>
      <c r="D245" s="7" t="inlineStr">
        <is>
          <t>F03</t>
        </is>
      </c>
      <c r="E245" s="27" t="inlineStr">
        <is>
          <t>1602</t>
        </is>
      </c>
      <c r="F245" s="27" t="n">
        <v>16</v>
      </c>
      <c r="G245" s="27" t="n">
        <v>95</v>
      </c>
      <c r="H245" s="27" t="n">
        <v>8275</v>
      </c>
      <c r="I245" s="28">
        <f>G245*H245/1000*F245^2/162</f>
        <v>1242.2716049382716</v>
      </c>
    </row>
    <row r="246">
      <c r="A246" s="7" t="inlineStr">
        <is>
          <t>STR-050</t>
        </is>
      </c>
      <c r="B246" s="7" t="inlineStr">
        <is>
          <t>Floor Slabs</t>
        </is>
      </c>
      <c r="C246" s="7" t="inlineStr">
        <is>
          <t>First floor slab - top</t>
        </is>
      </c>
      <c r="D246" s="7" t="inlineStr">
        <is>
          <t>F03</t>
        </is>
      </c>
      <c r="E246" s="27" t="inlineStr">
        <is>
          <t>1223</t>
        </is>
      </c>
      <c r="F246" s="27" t="n">
        <v>12</v>
      </c>
      <c r="G246" s="27" t="n">
        <v>126</v>
      </c>
      <c r="H246" s="27" t="n">
        <v>8275</v>
      </c>
      <c r="I246" s="28">
        <f>G246*H246/1000*F246^2/162</f>
        <v>926.8000000000001</v>
      </c>
    </row>
    <row r="247">
      <c r="A247" s="7" t="inlineStr">
        <is>
          <t>STR-050</t>
        </is>
      </c>
      <c r="B247" s="7" t="inlineStr">
        <is>
          <t>Floor Slabs</t>
        </is>
      </c>
      <c r="C247" s="7" t="inlineStr">
        <is>
          <t>First floor slab - top</t>
        </is>
      </c>
      <c r="D247" s="7" t="inlineStr">
        <is>
          <t>F03</t>
        </is>
      </c>
      <c r="E247" s="27" t="inlineStr">
        <is>
          <t>1224</t>
        </is>
      </c>
      <c r="F247" s="27" t="n">
        <v>12</v>
      </c>
      <c r="G247" s="27" t="n">
        <v>106</v>
      </c>
      <c r="H247" s="27" t="n">
        <v>11000</v>
      </c>
      <c r="I247" s="28">
        <f>G247*H247/1000*F247^2/162</f>
        <v>1036.4444444444443</v>
      </c>
    </row>
    <row r="248">
      <c r="A248" s="7" t="inlineStr">
        <is>
          <t>STR-050</t>
        </is>
      </c>
      <c r="B248" s="7" t="inlineStr">
        <is>
          <t>Floor Slabs</t>
        </is>
      </c>
      <c r="C248" s="7" t="inlineStr">
        <is>
          <t>First floor slab - top</t>
        </is>
      </c>
      <c r="D248" s="7" t="inlineStr">
        <is>
          <t>F03</t>
        </is>
      </c>
      <c r="E248" s="27" t="inlineStr">
        <is>
          <t>1225</t>
        </is>
      </c>
      <c r="F248" s="27" t="n">
        <v>12</v>
      </c>
      <c r="G248" s="27" t="n">
        <v>62</v>
      </c>
      <c r="H248" s="27" t="n">
        <v>9800</v>
      </c>
      <c r="I248" s="28">
        <f>G248*H248/1000*F248^2/162</f>
        <v>540.088888888889</v>
      </c>
    </row>
    <row r="249">
      <c r="A249" s="7" t="inlineStr">
        <is>
          <t>STR-050</t>
        </is>
      </c>
      <c r="B249" s="7" t="inlineStr">
        <is>
          <t>Floor Slabs</t>
        </is>
      </c>
      <c r="C249" s="7" t="inlineStr">
        <is>
          <t>First floor slab - top</t>
        </is>
      </c>
      <c r="D249" s="7" t="inlineStr">
        <is>
          <t>F03</t>
        </is>
      </c>
      <c r="E249" s="27" t="inlineStr">
        <is>
          <t>1226</t>
        </is>
      </c>
      <c r="F249" s="27" t="n">
        <v>12</v>
      </c>
      <c r="G249" s="27" t="n">
        <v>106</v>
      </c>
      <c r="H249" s="27" t="n">
        <v>8000</v>
      </c>
      <c r="I249" s="28">
        <f>G249*H249/1000*F249^2/162</f>
        <v>753.7777777777778</v>
      </c>
    </row>
    <row r="250">
      <c r="A250" s="7" t="inlineStr">
        <is>
          <t>STR-050</t>
        </is>
      </c>
      <c r="B250" s="7" t="inlineStr">
        <is>
          <t>Floor Slabs</t>
        </is>
      </c>
      <c r="C250" s="7" t="inlineStr">
        <is>
          <t>First floor slab - top</t>
        </is>
      </c>
      <c r="D250" s="7" t="inlineStr">
        <is>
          <t>F03</t>
        </is>
      </c>
      <c r="E250" s="27" t="inlineStr">
        <is>
          <t>1227</t>
        </is>
      </c>
      <c r="F250" s="27" t="n">
        <v>12</v>
      </c>
      <c r="G250" s="27" t="n">
        <v>106</v>
      </c>
      <c r="H250" s="27" t="n">
        <v>8800</v>
      </c>
      <c r="I250" s="28">
        <f>G250*H250/1000*F250^2/162</f>
        <v>829.1555555555555</v>
      </c>
    </row>
    <row r="251">
      <c r="A251" s="7" t="inlineStr">
        <is>
          <t>STR-050</t>
        </is>
      </c>
      <c r="B251" s="7" t="inlineStr">
        <is>
          <t>Floor Slabs</t>
        </is>
      </c>
      <c r="C251" s="7" t="inlineStr">
        <is>
          <t>First floor slab - top</t>
        </is>
      </c>
      <c r="D251" s="7" t="inlineStr">
        <is>
          <t>F03</t>
        </is>
      </c>
      <c r="E251" s="27" t="inlineStr">
        <is>
          <t>1228</t>
        </is>
      </c>
      <c r="F251" s="27" t="n">
        <v>12</v>
      </c>
      <c r="G251" s="27" t="n">
        <v>13</v>
      </c>
      <c r="H251" s="27" t="n">
        <v>3225</v>
      </c>
      <c r="I251" s="28">
        <f>G251*H251/1000*F251^2/162</f>
        <v>37.266666666666666</v>
      </c>
    </row>
    <row r="252">
      <c r="A252" s="7" t="inlineStr">
        <is>
          <t>STR-050</t>
        </is>
      </c>
      <c r="B252" s="7" t="inlineStr">
        <is>
          <t>Floor Slabs</t>
        </is>
      </c>
      <c r="C252" s="7" t="inlineStr">
        <is>
          <t>First floor slab - top</t>
        </is>
      </c>
      <c r="D252" s="7" t="inlineStr">
        <is>
          <t>F03</t>
        </is>
      </c>
      <c r="E252" s="27" t="inlineStr">
        <is>
          <t>1229</t>
        </is>
      </c>
      <c r="F252" s="27" t="n">
        <v>12</v>
      </c>
      <c r="G252" s="27" t="n">
        <v>21</v>
      </c>
      <c r="H252" s="27" t="n">
        <v>8650</v>
      </c>
      <c r="I252" s="28">
        <f>G252*H252/1000*F252^2/162</f>
        <v>161.46666666666667</v>
      </c>
    </row>
    <row r="253">
      <c r="A253" s="7" t="inlineStr">
        <is>
          <t>STR-050</t>
        </is>
      </c>
      <c r="B253" s="7" t="inlineStr">
        <is>
          <t>Floor Slabs</t>
        </is>
      </c>
      <c r="C253" s="7" t="inlineStr">
        <is>
          <t>First floor slab - top</t>
        </is>
      </c>
      <c r="D253" s="7" t="inlineStr">
        <is>
          <t>F03</t>
        </is>
      </c>
      <c r="E253" s="27" t="inlineStr">
        <is>
          <t>1230</t>
        </is>
      </c>
      <c r="F253" s="27" t="n">
        <v>12</v>
      </c>
      <c r="G253" s="27" t="n">
        <v>47</v>
      </c>
      <c r="H253" s="27" t="n">
        <v>9400</v>
      </c>
      <c r="I253" s="28">
        <f>G253*H253/1000*F253^2/162</f>
        <v>392.71111111111117</v>
      </c>
    </row>
    <row r="254">
      <c r="A254" s="7" t="inlineStr">
        <is>
          <t>STR-050</t>
        </is>
      </c>
      <c r="B254" s="7" t="inlineStr">
        <is>
          <t>Floor Slabs</t>
        </is>
      </c>
      <c r="C254" s="7" t="inlineStr">
        <is>
          <t>First floor slab - top</t>
        </is>
      </c>
      <c r="D254" s="7" t="inlineStr">
        <is>
          <t>F03</t>
        </is>
      </c>
      <c r="E254" s="27" t="inlineStr">
        <is>
          <t>1231</t>
        </is>
      </c>
      <c r="F254" s="27" t="n">
        <v>12</v>
      </c>
      <c r="G254" s="27" t="n">
        <v>106</v>
      </c>
      <c r="H254" s="27" t="n">
        <v>8650</v>
      </c>
      <c r="I254" s="28">
        <f>G254*H254/1000*F254^2/162</f>
        <v>815.0222222222222</v>
      </c>
    </row>
    <row r="255">
      <c r="A255" s="7" t="inlineStr">
        <is>
          <t>STR-050</t>
        </is>
      </c>
      <c r="B255" s="7" t="inlineStr">
        <is>
          <t>Floor Slabs</t>
        </is>
      </c>
      <c r="C255" s="7" t="inlineStr">
        <is>
          <t>First floor slab - top</t>
        </is>
      </c>
      <c r="D255" s="7" t="inlineStr">
        <is>
          <t>F03</t>
        </is>
      </c>
      <c r="E255" s="27" t="inlineStr">
        <is>
          <t>1232</t>
        </is>
      </c>
      <c r="F255" s="27" t="n">
        <v>12</v>
      </c>
      <c r="G255" s="27" t="n">
        <v>106</v>
      </c>
      <c r="H255" s="27" t="n">
        <v>4600</v>
      </c>
      <c r="I255" s="28">
        <f>G255*H255/1000*F255^2/162</f>
        <v>433.4222222222223</v>
      </c>
    </row>
    <row r="256">
      <c r="A256" s="7" t="inlineStr">
        <is>
          <t>STR-050</t>
        </is>
      </c>
      <c r="B256" s="7" t="inlineStr">
        <is>
          <t>Floor Slabs</t>
        </is>
      </c>
      <c r="C256" s="7" t="inlineStr">
        <is>
          <t>First floor slab - top</t>
        </is>
      </c>
      <c r="D256" s="7" t="inlineStr">
        <is>
          <t>F03</t>
        </is>
      </c>
      <c r="E256" s="27" t="inlineStr">
        <is>
          <t>1233</t>
        </is>
      </c>
      <c r="F256" s="27" t="n">
        <v>12</v>
      </c>
      <c r="G256" s="27" t="n">
        <v>95</v>
      </c>
      <c r="H256" s="27" t="n">
        <v>8375</v>
      </c>
      <c r="I256" s="28">
        <f>G256*H256/1000*F256^2/162</f>
        <v>707.2222222222222</v>
      </c>
    </row>
    <row r="257">
      <c r="A257" s="7" t="inlineStr">
        <is>
          <t>STR-050</t>
        </is>
      </c>
      <c r="B257" s="7" t="inlineStr">
        <is>
          <t>Floor Slabs</t>
        </is>
      </c>
      <c r="C257" s="7" t="inlineStr">
        <is>
          <t>First floor slab - top</t>
        </is>
      </c>
      <c r="D257" s="7" t="inlineStr">
        <is>
          <t>F03</t>
        </is>
      </c>
      <c r="E257" s="27" t="inlineStr">
        <is>
          <t>1234</t>
        </is>
      </c>
      <c r="F257" s="27" t="n">
        <v>12</v>
      </c>
      <c r="G257" s="27" t="n">
        <v>162</v>
      </c>
      <c r="H257" s="27" t="n">
        <v>10150</v>
      </c>
      <c r="I257" s="28">
        <f>G257*H257/1000*F257^2/162</f>
        <v>1461.6</v>
      </c>
    </row>
    <row r="258">
      <c r="A258" s="7" t="inlineStr">
        <is>
          <t>STR-050</t>
        </is>
      </c>
      <c r="B258" s="7" t="inlineStr">
        <is>
          <t>Floor Slabs</t>
        </is>
      </c>
      <c r="C258" s="7" t="inlineStr">
        <is>
          <t>First floor slab - top</t>
        </is>
      </c>
      <c r="D258" s="7" t="inlineStr">
        <is>
          <t>F03</t>
        </is>
      </c>
      <c r="E258" s="27" t="inlineStr">
        <is>
          <t>1235</t>
        </is>
      </c>
      <c r="F258" s="27" t="n">
        <v>12</v>
      </c>
      <c r="G258" s="27" t="n">
        <v>36</v>
      </c>
      <c r="H258" s="27" t="n">
        <v>3750</v>
      </c>
      <c r="I258" s="28">
        <f>G258*H258/1000*F258^2/162</f>
        <v>120.0</v>
      </c>
    </row>
    <row r="259">
      <c r="A259" s="7" t="inlineStr">
        <is>
          <t>STR-050</t>
        </is>
      </c>
      <c r="B259" s="7" t="inlineStr">
        <is>
          <t>Floor Slabs</t>
        </is>
      </c>
      <c r="C259" s="7" t="inlineStr">
        <is>
          <t>First floor slab - top</t>
        </is>
      </c>
      <c r="D259" s="7" t="inlineStr">
        <is>
          <t>F03</t>
        </is>
      </c>
      <c r="E259" s="27" t="inlineStr">
        <is>
          <t>1236</t>
        </is>
      </c>
      <c r="F259" s="27" t="n">
        <v>12</v>
      </c>
      <c r="G259" s="27" t="n">
        <v>74</v>
      </c>
      <c r="H259" s="27" t="n">
        <v>9350</v>
      </c>
      <c r="I259" s="28">
        <f>G259*H259/1000*F259^2/162</f>
        <v>615.0222222222221</v>
      </c>
    </row>
    <row r="260">
      <c r="A260" s="7" t="inlineStr">
        <is>
          <t>STR-050</t>
        </is>
      </c>
      <c r="B260" s="7" t="inlineStr">
        <is>
          <t>Floor Slabs</t>
        </is>
      </c>
      <c r="C260" s="7" t="inlineStr">
        <is>
          <t>First floor slab - top</t>
        </is>
      </c>
      <c r="D260" s="7" t="inlineStr">
        <is>
          <t>F03</t>
        </is>
      </c>
      <c r="E260" s="27" t="inlineStr">
        <is>
          <t>1237</t>
        </is>
      </c>
      <c r="F260" s="27" t="n">
        <v>12</v>
      </c>
      <c r="G260" s="27" t="n">
        <v>23</v>
      </c>
      <c r="H260" s="27" t="n">
        <v>12000</v>
      </c>
      <c r="I260" s="28">
        <f>G260*H260/1000*F260^2/162</f>
        <v>245.33333333333334</v>
      </c>
    </row>
    <row r="261">
      <c r="A261" s="7" t="inlineStr">
        <is>
          <t>STR-050</t>
        </is>
      </c>
      <c r="B261" s="7" t="inlineStr">
        <is>
          <t>Floor Slabs</t>
        </is>
      </c>
      <c r="C261" s="7" t="inlineStr">
        <is>
          <t>First floor slab - top</t>
        </is>
      </c>
      <c r="D261" s="7" t="inlineStr">
        <is>
          <t>F03</t>
        </is>
      </c>
      <c r="E261" s="27" t="inlineStr">
        <is>
          <t>1238</t>
        </is>
      </c>
      <c r="F261" s="27" t="n">
        <v>12</v>
      </c>
      <c r="G261" s="27" t="n">
        <v>74</v>
      </c>
      <c r="H261" s="27" t="n">
        <v>10850</v>
      </c>
      <c r="I261" s="28">
        <f>G261*H261/1000*F261^2/162</f>
        <v>713.6888888888889</v>
      </c>
    </row>
    <row r="262">
      <c r="A262" s="7" t="inlineStr">
        <is>
          <t>STR-050</t>
        </is>
      </c>
      <c r="B262" s="7" t="inlineStr">
        <is>
          <t>Floor Slabs</t>
        </is>
      </c>
      <c r="C262" s="7" t="inlineStr">
        <is>
          <t>First floor slab - top</t>
        </is>
      </c>
      <c r="D262" s="7" t="inlineStr">
        <is>
          <t>F03</t>
        </is>
      </c>
      <c r="E262" s="27" t="inlineStr">
        <is>
          <t>1239</t>
        </is>
      </c>
      <c r="F262" s="27" t="n">
        <v>12</v>
      </c>
      <c r="G262" s="27" t="n">
        <v>357</v>
      </c>
      <c r="H262" s="27" t="n">
        <v>8800</v>
      </c>
      <c r="I262" s="28">
        <f>G262*H262/1000*F262^2/162</f>
        <v>2792.5333333333333</v>
      </c>
    </row>
    <row r="263">
      <c r="A263" s="7" t="inlineStr">
        <is>
          <t>STR-050</t>
        </is>
      </c>
      <c r="B263" s="7" t="inlineStr">
        <is>
          <t>Floor Slabs</t>
        </is>
      </c>
      <c r="C263" s="7" t="inlineStr">
        <is>
          <t>First floor slab - top</t>
        </is>
      </c>
      <c r="D263" s="7" t="inlineStr">
        <is>
          <t>F03</t>
        </is>
      </c>
      <c r="E263" s="27" t="inlineStr">
        <is>
          <t>1240</t>
        </is>
      </c>
      <c r="F263" s="27" t="n">
        <v>12</v>
      </c>
      <c r="G263" s="27" t="n">
        <v>212</v>
      </c>
      <c r="H263" s="27" t="n">
        <v>11200</v>
      </c>
      <c r="I263" s="28">
        <f>G263*H263/1000*F263^2/162</f>
        <v>2110.577777777778</v>
      </c>
    </row>
    <row r="264">
      <c r="A264" s="7" t="inlineStr">
        <is>
          <t>STR-050</t>
        </is>
      </c>
      <c r="B264" s="7" t="inlineStr">
        <is>
          <t>Floor Slabs</t>
        </is>
      </c>
      <c r="C264" s="7" t="inlineStr">
        <is>
          <t>First floor slab - top</t>
        </is>
      </c>
      <c r="D264" s="7" t="inlineStr">
        <is>
          <t>F03</t>
        </is>
      </c>
      <c r="E264" s="27" t="inlineStr">
        <is>
          <t>1241</t>
        </is>
      </c>
      <c r="F264" s="27" t="n">
        <v>12</v>
      </c>
      <c r="G264" s="27" t="n">
        <v>7</v>
      </c>
      <c r="H264" s="27" t="n">
        <v>8500</v>
      </c>
      <c r="I264" s="28">
        <f>G264*H264/1000*F264^2/162</f>
        <v>52.888888888888886</v>
      </c>
    </row>
    <row r="265">
      <c r="A265" s="7" t="inlineStr">
        <is>
          <t>STR-050</t>
        </is>
      </c>
      <c r="B265" s="7" t="inlineStr">
        <is>
          <t>Floor Slabs</t>
        </is>
      </c>
      <c r="C265" s="7" t="inlineStr">
        <is>
          <t>First floor slab - top</t>
        </is>
      </c>
      <c r="D265" s="7" t="inlineStr">
        <is>
          <t>F03</t>
        </is>
      </c>
      <c r="E265" s="27" t="inlineStr">
        <is>
          <t>1242</t>
        </is>
      </c>
      <c r="F265" s="27" t="n">
        <v>12</v>
      </c>
      <c r="G265" s="27" t="n">
        <v>73</v>
      </c>
      <c r="H265" s="27" t="n">
        <v>9350</v>
      </c>
      <c r="I265" s="28">
        <f>G265*H265/1000*F265^2/162</f>
        <v>606.7111111111111</v>
      </c>
    </row>
    <row r="266">
      <c r="A266" s="7" t="inlineStr">
        <is>
          <t>STR-050</t>
        </is>
      </c>
      <c r="B266" s="7" t="inlineStr">
        <is>
          <t>Floor Slabs</t>
        </is>
      </c>
      <c r="C266" s="7" t="inlineStr">
        <is>
          <t>First floor slab - top</t>
        </is>
      </c>
      <c r="D266" s="7" t="inlineStr">
        <is>
          <t>F03</t>
        </is>
      </c>
      <c r="E266" s="27" t="inlineStr">
        <is>
          <t>1243</t>
        </is>
      </c>
      <c r="F266" s="27" t="n">
        <v>12</v>
      </c>
      <c r="G266" s="27" t="n">
        <v>13</v>
      </c>
      <c r="H266" s="27" t="n">
        <v>10700</v>
      </c>
      <c r="I266" s="28">
        <f>G266*H266/1000*F266^2/162</f>
        <v>123.64444444444443</v>
      </c>
    </row>
    <row r="267">
      <c r="A267" s="7" t="inlineStr">
        <is>
          <t>STR-050</t>
        </is>
      </c>
      <c r="B267" s="7" t="inlineStr">
        <is>
          <t>Floor Slabs</t>
        </is>
      </c>
      <c r="C267" s="7" t="inlineStr">
        <is>
          <t>First floor slab - top</t>
        </is>
      </c>
      <c r="D267" s="7" t="inlineStr">
        <is>
          <t>F03</t>
        </is>
      </c>
      <c r="E267" s="27" t="inlineStr">
        <is>
          <t>1244</t>
        </is>
      </c>
      <c r="F267" s="27" t="n">
        <v>12</v>
      </c>
      <c r="G267" s="27" t="n">
        <v>73</v>
      </c>
      <c r="H267" s="27" t="n">
        <v>10850</v>
      </c>
      <c r="I267" s="28">
        <f>G267*H267/1000*F267^2/162</f>
        <v>704.0444444444445</v>
      </c>
    </row>
    <row r="268">
      <c r="A268" s="7" t="inlineStr">
        <is>
          <t>STR-051</t>
        </is>
      </c>
      <c r="B268" s="7" t="inlineStr">
        <is>
          <t>Floor Slabs</t>
        </is>
      </c>
      <c r="C268" s="7" t="inlineStr">
        <is>
          <t>First floor slab - additional top</t>
        </is>
      </c>
      <c r="D268" s="7" t="inlineStr">
        <is>
          <t>F03</t>
        </is>
      </c>
      <c r="E268" s="27" t="inlineStr">
        <is>
          <t>1245</t>
        </is>
      </c>
      <c r="F268" s="27" t="n">
        <v>12</v>
      </c>
      <c r="G268" s="27" t="n">
        <v>390</v>
      </c>
      <c r="H268" s="27" t="n">
        <v>3000</v>
      </c>
      <c r="I268" s="28">
        <f>G268*H268/1000*F268^2/162</f>
        <v>1040.0</v>
      </c>
    </row>
    <row r="269">
      <c r="A269" s="7" t="inlineStr">
        <is>
          <t>STR-051</t>
        </is>
      </c>
      <c r="B269" s="7" t="inlineStr">
        <is>
          <t>Floor Slabs</t>
        </is>
      </c>
      <c r="C269" s="7" t="inlineStr">
        <is>
          <t>First floor slab - additional top</t>
        </is>
      </c>
      <c r="D269" s="7" t="inlineStr">
        <is>
          <t>F03</t>
        </is>
      </c>
      <c r="E269" s="27" t="inlineStr">
        <is>
          <t>1246</t>
        </is>
      </c>
      <c r="F269" s="27" t="n">
        <v>12</v>
      </c>
      <c r="G269" s="27" t="n">
        <v>98</v>
      </c>
      <c r="H269" s="27" t="n">
        <v>6350</v>
      </c>
      <c r="I269" s="28">
        <f>G269*H269/1000*F269^2/162</f>
        <v>553.1555555555556</v>
      </c>
    </row>
    <row r="270">
      <c r="A270" s="7" t="inlineStr">
        <is>
          <t>STR-051</t>
        </is>
      </c>
      <c r="B270" s="7" t="inlineStr">
        <is>
          <t>Floor Slabs</t>
        </is>
      </c>
      <c r="C270" s="7" t="inlineStr">
        <is>
          <t>First floor slab - additional top</t>
        </is>
      </c>
      <c r="D270" s="7" t="inlineStr">
        <is>
          <t>F03</t>
        </is>
      </c>
      <c r="E270" s="27" t="inlineStr">
        <is>
          <t>1601</t>
        </is>
      </c>
      <c r="F270" s="27" t="n">
        <v>16</v>
      </c>
      <c r="G270" s="27" t="n">
        <v>6</v>
      </c>
      <c r="H270" s="27" t="n">
        <v>3000</v>
      </c>
      <c r="I270" s="28">
        <f>G270*H270/1000*F270^2/162</f>
        <v>28.444444444444443</v>
      </c>
    </row>
    <row r="271">
      <c r="A271" s="7" t="inlineStr">
        <is>
          <t>STR-054</t>
        </is>
      </c>
      <c r="B271" s="7" t="inlineStr">
        <is>
          <t>Beams</t>
        </is>
      </c>
      <c r="C271" s="7" t="inlineStr">
        <is>
          <t>M2 Level beams</t>
        </is>
      </c>
      <c r="D271" s="7" t="inlineStr">
        <is>
          <t>F04</t>
        </is>
      </c>
      <c r="E271" s="27" t="inlineStr">
        <is>
          <t>1001</t>
        </is>
      </c>
      <c r="F271" s="27" t="n">
        <v>10</v>
      </c>
      <c r="G271" s="27" t="n">
        <v>614</v>
      </c>
      <c r="H271" s="27" t="n">
        <v>1700</v>
      </c>
      <c r="I271" s="28">
        <f>G271*H271/1000*F271^2/162</f>
        <v>644.320987654321</v>
      </c>
    </row>
    <row r="272">
      <c r="A272" s="7" t="inlineStr">
        <is>
          <t>STR-054</t>
        </is>
      </c>
      <c r="B272" s="7" t="inlineStr">
        <is>
          <t>Beams</t>
        </is>
      </c>
      <c r="C272" s="7" t="inlineStr">
        <is>
          <t>M2 Level beams</t>
        </is>
      </c>
      <c r="D272" s="7" t="inlineStr">
        <is>
          <t>F04</t>
        </is>
      </c>
      <c r="E272" s="27" t="inlineStr">
        <is>
          <t>1601</t>
        </is>
      </c>
      <c r="F272" s="27" t="n">
        <v>16</v>
      </c>
      <c r="G272" s="27" t="n">
        <v>6</v>
      </c>
      <c r="H272" s="27" t="n">
        <v>12000</v>
      </c>
      <c r="I272" s="28">
        <f>G272*H272/1000*F272^2/162</f>
        <v>113.77777777777777</v>
      </c>
    </row>
    <row r="273">
      <c r="A273" s="7" t="inlineStr">
        <is>
          <t>STR-054</t>
        </is>
      </c>
      <c r="B273" s="7" t="inlineStr">
        <is>
          <t>Beams</t>
        </is>
      </c>
      <c r="C273" s="7" t="inlineStr">
        <is>
          <t>M2 Level beams</t>
        </is>
      </c>
      <c r="D273" s="7" t="inlineStr">
        <is>
          <t>F04</t>
        </is>
      </c>
      <c r="E273" s="27" t="inlineStr">
        <is>
          <t>1602</t>
        </is>
      </c>
      <c r="F273" s="27" t="n">
        <v>16</v>
      </c>
      <c r="G273" s="27" t="n">
        <v>2</v>
      </c>
      <c r="H273" s="27" t="n">
        <v>7275</v>
      </c>
      <c r="I273" s="28">
        <f>G273*H273/1000*F273^2/162</f>
        <v>22.992592592592594</v>
      </c>
    </row>
    <row r="274">
      <c r="A274" s="7" t="inlineStr">
        <is>
          <t>STR-054</t>
        </is>
      </c>
      <c r="B274" s="7" t="inlineStr">
        <is>
          <t>Beams</t>
        </is>
      </c>
      <c r="C274" s="7" t="inlineStr">
        <is>
          <t>M2 Level beams</t>
        </is>
      </c>
      <c r="D274" s="7" t="inlineStr">
        <is>
          <t>F04</t>
        </is>
      </c>
      <c r="E274" s="27" t="inlineStr">
        <is>
          <t>1603</t>
        </is>
      </c>
      <c r="F274" s="27" t="n">
        <v>16</v>
      </c>
      <c r="G274" s="27" t="n">
        <v>2</v>
      </c>
      <c r="H274" s="27" t="n">
        <v>5150</v>
      </c>
      <c r="I274" s="28">
        <f>G274*H274/1000*F274^2/162</f>
        <v>16.276543209876543</v>
      </c>
    </row>
    <row r="275">
      <c r="A275" s="7" t="inlineStr">
        <is>
          <t>STR-054</t>
        </is>
      </c>
      <c r="B275" s="7" t="inlineStr">
        <is>
          <t>Beams</t>
        </is>
      </c>
      <c r="C275" s="7" t="inlineStr">
        <is>
          <t>M2 Level beams</t>
        </is>
      </c>
      <c r="D275" s="7" t="inlineStr">
        <is>
          <t>F04</t>
        </is>
      </c>
      <c r="E275" s="27" t="inlineStr">
        <is>
          <t>1604</t>
        </is>
      </c>
      <c r="F275" s="27" t="n">
        <v>16</v>
      </c>
      <c r="G275" s="27" t="n">
        <v>3</v>
      </c>
      <c r="H275" s="27" t="n">
        <v>8100</v>
      </c>
      <c r="I275" s="28">
        <f>G275*H275/1000*F275^2/162</f>
        <v>38.4</v>
      </c>
    </row>
    <row r="276">
      <c r="A276" s="7" t="inlineStr">
        <is>
          <t>STR-054</t>
        </is>
      </c>
      <c r="B276" s="7" t="inlineStr">
        <is>
          <t>Beams</t>
        </is>
      </c>
      <c r="C276" s="7" t="inlineStr">
        <is>
          <t>M2 Level beams</t>
        </is>
      </c>
      <c r="D276" s="7" t="inlineStr">
        <is>
          <t>F04</t>
        </is>
      </c>
      <c r="E276" s="27" t="inlineStr">
        <is>
          <t>1605</t>
        </is>
      </c>
      <c r="F276" s="27" t="n">
        <v>16</v>
      </c>
      <c r="G276" s="27" t="n">
        <v>3</v>
      </c>
      <c r="H276" s="27" t="n">
        <v>6400</v>
      </c>
      <c r="I276" s="28">
        <f>G276*H276/1000*F276^2/162</f>
        <v>30.34074074074074</v>
      </c>
    </row>
    <row r="277">
      <c r="A277" s="7" t="inlineStr">
        <is>
          <t>STR-054</t>
        </is>
      </c>
      <c r="B277" s="7" t="inlineStr">
        <is>
          <t>Beams</t>
        </is>
      </c>
      <c r="C277" s="7" t="inlineStr">
        <is>
          <t>M2 Level beams</t>
        </is>
      </c>
      <c r="D277" s="7" t="inlineStr">
        <is>
          <t>F04</t>
        </is>
      </c>
      <c r="E277" s="27" t="inlineStr">
        <is>
          <t>1606</t>
        </is>
      </c>
      <c r="F277" s="27" t="n">
        <v>16</v>
      </c>
      <c r="G277" s="27" t="n">
        <v>3</v>
      </c>
      <c r="H277" s="27" t="n">
        <v>9300</v>
      </c>
      <c r="I277" s="28">
        <f>G277*H277/1000*F277^2/162</f>
        <v>44.08888888888889</v>
      </c>
    </row>
    <row r="278">
      <c r="A278" s="7" t="inlineStr">
        <is>
          <t>STR-054</t>
        </is>
      </c>
      <c r="B278" s="7" t="inlineStr">
        <is>
          <t>Beams</t>
        </is>
      </c>
      <c r="C278" s="7" t="inlineStr">
        <is>
          <t>M2 Level beams</t>
        </is>
      </c>
      <c r="D278" s="7" t="inlineStr">
        <is>
          <t>F04</t>
        </is>
      </c>
      <c r="E278" s="27" t="inlineStr">
        <is>
          <t>1607</t>
        </is>
      </c>
      <c r="F278" s="27" t="n">
        <v>16</v>
      </c>
      <c r="G278" s="27" t="n">
        <v>4</v>
      </c>
      <c r="H278" s="27" t="n">
        <v>6750</v>
      </c>
      <c r="I278" s="28">
        <f>G278*H278/1000*F278^2/162</f>
        <v>42.666666666666664</v>
      </c>
    </row>
    <row r="279">
      <c r="A279" s="7" t="inlineStr">
        <is>
          <t>STR-054</t>
        </is>
      </c>
      <c r="B279" s="7" t="inlineStr">
        <is>
          <t>Beams</t>
        </is>
      </c>
      <c r="C279" s="7" t="inlineStr">
        <is>
          <t>M2 Level beams</t>
        </is>
      </c>
      <c r="D279" s="7" t="inlineStr">
        <is>
          <t>F04</t>
        </is>
      </c>
      <c r="E279" s="27" t="inlineStr">
        <is>
          <t>1608</t>
        </is>
      </c>
      <c r="F279" s="27" t="n">
        <v>16</v>
      </c>
      <c r="G279" s="27" t="n">
        <v>2</v>
      </c>
      <c r="H279" s="27" t="n">
        <v>8875</v>
      </c>
      <c r="I279" s="28">
        <f>G279*H279/1000*F279^2/162</f>
        <v>28.049382716049383</v>
      </c>
    </row>
    <row r="280">
      <c r="A280" s="7" t="inlineStr">
        <is>
          <t>STR-054</t>
        </is>
      </c>
      <c r="B280" s="7" t="inlineStr">
        <is>
          <t>Beams</t>
        </is>
      </c>
      <c r="C280" s="7" t="inlineStr">
        <is>
          <t>M2 Level beams</t>
        </is>
      </c>
      <c r="D280" s="7" t="inlineStr">
        <is>
          <t>F04</t>
        </is>
      </c>
      <c r="E280" s="27" t="inlineStr">
        <is>
          <t>1609</t>
        </is>
      </c>
      <c r="F280" s="27" t="n">
        <v>16</v>
      </c>
      <c r="G280" s="27" t="n">
        <v>2</v>
      </c>
      <c r="H280" s="27" t="n">
        <v>12000</v>
      </c>
      <c r="I280" s="28">
        <f>G280*H280/1000*F280^2/162</f>
        <v>37.925925925925924</v>
      </c>
    </row>
    <row r="281">
      <c r="A281" s="7" t="inlineStr">
        <is>
          <t>STR-054</t>
        </is>
      </c>
      <c r="B281" s="7" t="inlineStr">
        <is>
          <t>Beams</t>
        </is>
      </c>
      <c r="C281" s="7" t="inlineStr">
        <is>
          <t>M2 Level beams</t>
        </is>
      </c>
      <c r="D281" s="7" t="inlineStr">
        <is>
          <t>F04</t>
        </is>
      </c>
      <c r="E281" s="27" t="inlineStr">
        <is>
          <t>1610</t>
        </is>
      </c>
      <c r="F281" s="27" t="n">
        <v>16</v>
      </c>
      <c r="G281" s="27" t="n">
        <v>6</v>
      </c>
      <c r="H281" s="27" t="n">
        <v>7000</v>
      </c>
      <c r="I281" s="28">
        <f>G281*H281/1000*F281^2/162</f>
        <v>66.37037037037037</v>
      </c>
    </row>
    <row r="282">
      <c r="A282" s="7" t="inlineStr">
        <is>
          <t>STR-054</t>
        </is>
      </c>
      <c r="B282" s="7" t="inlineStr">
        <is>
          <t>Beams</t>
        </is>
      </c>
      <c r="C282" s="7" t="inlineStr">
        <is>
          <t>M2 Level beams</t>
        </is>
      </c>
      <c r="D282" s="7" t="inlineStr">
        <is>
          <t>F04</t>
        </is>
      </c>
      <c r="E282" s="27" t="inlineStr">
        <is>
          <t>1611</t>
        </is>
      </c>
      <c r="F282" s="27" t="n">
        <v>16</v>
      </c>
      <c r="G282" s="27" t="n">
        <v>2</v>
      </c>
      <c r="H282" s="27" t="n">
        <v>5900</v>
      </c>
      <c r="I282" s="28">
        <f>G282*H282/1000*F282^2/162</f>
        <v>18.646913580246913</v>
      </c>
    </row>
    <row r="283">
      <c r="A283" s="7" t="inlineStr">
        <is>
          <t>STR-054</t>
        </is>
      </c>
      <c r="B283" s="7" t="inlineStr">
        <is>
          <t>Beams</t>
        </is>
      </c>
      <c r="C283" s="7" t="inlineStr">
        <is>
          <t>M2 Level beams</t>
        </is>
      </c>
      <c r="D283" s="7" t="inlineStr">
        <is>
          <t>F04</t>
        </is>
      </c>
      <c r="E283" s="27" t="inlineStr">
        <is>
          <t>2001</t>
        </is>
      </c>
      <c r="F283" s="27" t="n">
        <v>20</v>
      </c>
      <c r="G283" s="27" t="n">
        <v>3</v>
      </c>
      <c r="H283" s="27" t="n">
        <v>11100</v>
      </c>
      <c r="I283" s="28">
        <f>G283*H283/1000*F283^2/162</f>
        <v>82.22222222222221</v>
      </c>
    </row>
    <row r="284">
      <c r="A284" s="7" t="inlineStr">
        <is>
          <t>STR-054</t>
        </is>
      </c>
      <c r="B284" s="7" t="inlineStr">
        <is>
          <t>Beams</t>
        </is>
      </c>
      <c r="C284" s="7" t="inlineStr">
        <is>
          <t>M2 Level beams</t>
        </is>
      </c>
      <c r="D284" s="7" t="inlineStr">
        <is>
          <t>F04</t>
        </is>
      </c>
      <c r="E284" s="27" t="inlineStr">
        <is>
          <t>2002</t>
        </is>
      </c>
      <c r="F284" s="27" t="n">
        <v>20</v>
      </c>
      <c r="G284" s="27" t="n">
        <v>3</v>
      </c>
      <c r="H284" s="27" t="n">
        <v>9300</v>
      </c>
      <c r="I284" s="28">
        <f>G284*H284/1000*F284^2/162</f>
        <v>68.88888888888889</v>
      </c>
    </row>
    <row r="285">
      <c r="A285" s="7" t="inlineStr">
        <is>
          <t>STR-054</t>
        </is>
      </c>
      <c r="B285" s="7" t="inlineStr">
        <is>
          <t>Beams</t>
        </is>
      </c>
      <c r="C285" s="7" t="inlineStr">
        <is>
          <t>M2 Level beams</t>
        </is>
      </c>
      <c r="D285" s="7" t="inlineStr">
        <is>
          <t>F04</t>
        </is>
      </c>
      <c r="E285" s="27" t="inlineStr">
        <is>
          <t>2003</t>
        </is>
      </c>
      <c r="F285" s="27" t="n">
        <v>20</v>
      </c>
      <c r="G285" s="27" t="n">
        <v>3</v>
      </c>
      <c r="H285" s="27" t="n">
        <v>12000</v>
      </c>
      <c r="I285" s="28">
        <f>G285*H285/1000*F285^2/162</f>
        <v>88.88888888888889</v>
      </c>
    </row>
    <row r="286">
      <c r="A286" s="7" t="inlineStr">
        <is>
          <t>STR-054</t>
        </is>
      </c>
      <c r="B286" s="7" t="inlineStr">
        <is>
          <t>Beams</t>
        </is>
      </c>
      <c r="C286" s="7" t="inlineStr">
        <is>
          <t>M2 Level beams</t>
        </is>
      </c>
      <c r="D286" s="7" t="inlineStr">
        <is>
          <t>F04</t>
        </is>
      </c>
      <c r="E286" s="27" t="inlineStr">
        <is>
          <t>2004</t>
        </is>
      </c>
      <c r="F286" s="27" t="n">
        <v>20</v>
      </c>
      <c r="G286" s="27" t="n">
        <v>3</v>
      </c>
      <c r="H286" s="27" t="n">
        <v>7000</v>
      </c>
      <c r="I286" s="28">
        <f>G286*H286/1000*F286^2/162</f>
        <v>51.851851851851855</v>
      </c>
    </row>
    <row r="287">
      <c r="A287" s="7" t="inlineStr">
        <is>
          <t>STR-054</t>
        </is>
      </c>
      <c r="B287" s="7" t="inlineStr">
        <is>
          <t>Beams</t>
        </is>
      </c>
      <c r="C287" s="7" t="inlineStr">
        <is>
          <t>M2 Level beams</t>
        </is>
      </c>
      <c r="D287" s="7" t="inlineStr">
        <is>
          <t>F04</t>
        </is>
      </c>
      <c r="E287" s="27" t="inlineStr">
        <is>
          <t>2005</t>
        </is>
      </c>
      <c r="F287" s="27" t="n">
        <v>20</v>
      </c>
      <c r="G287" s="27" t="n">
        <v>6</v>
      </c>
      <c r="H287" s="27" t="n">
        <v>9300</v>
      </c>
      <c r="I287" s="28">
        <f>G287*H287/1000*F287^2/162</f>
        <v>137.77777777777777</v>
      </c>
    </row>
    <row r="288">
      <c r="A288" s="7" t="inlineStr">
        <is>
          <t>STR-054</t>
        </is>
      </c>
      <c r="B288" s="7" t="inlineStr">
        <is>
          <t>Beams</t>
        </is>
      </c>
      <c r="C288" s="7" t="inlineStr">
        <is>
          <t>M2 Level beams</t>
        </is>
      </c>
      <c r="D288" s="7" t="inlineStr">
        <is>
          <t>F04</t>
        </is>
      </c>
      <c r="E288" s="27" t="inlineStr">
        <is>
          <t>2006</t>
        </is>
      </c>
      <c r="F288" s="27" t="n">
        <v>20</v>
      </c>
      <c r="G288" s="27" t="n">
        <v>3</v>
      </c>
      <c r="H288" s="27" t="n">
        <v>9000</v>
      </c>
      <c r="I288" s="28">
        <f>G288*H288/1000*F288^2/162</f>
        <v>66.66666666666667</v>
      </c>
    </row>
    <row r="289">
      <c r="A289" s="7" t="inlineStr">
        <is>
          <t>STR-054</t>
        </is>
      </c>
      <c r="B289" s="7" t="inlineStr">
        <is>
          <t>Beams</t>
        </is>
      </c>
      <c r="C289" s="7" t="inlineStr">
        <is>
          <t>M2 Level beams</t>
        </is>
      </c>
      <c r="D289" s="7" t="inlineStr">
        <is>
          <t>F04</t>
        </is>
      </c>
      <c r="E289" s="27" t="inlineStr">
        <is>
          <t>2007</t>
        </is>
      </c>
      <c r="F289" s="27" t="n">
        <v>20</v>
      </c>
      <c r="G289" s="27" t="n">
        <v>6</v>
      </c>
      <c r="H289" s="27" t="n">
        <v>5750</v>
      </c>
      <c r="I289" s="28">
        <f>G289*H289/1000*F289^2/162</f>
        <v>85.18518518518519</v>
      </c>
    </row>
    <row r="290">
      <c r="A290" s="7" t="inlineStr">
        <is>
          <t>STR-054</t>
        </is>
      </c>
      <c r="B290" s="7" t="inlineStr">
        <is>
          <t>Beams</t>
        </is>
      </c>
      <c r="C290" s="7" t="inlineStr">
        <is>
          <t>M2 Level beams</t>
        </is>
      </c>
      <c r="D290" s="7" t="inlineStr">
        <is>
          <t>F04</t>
        </is>
      </c>
      <c r="E290" s="27" t="inlineStr">
        <is>
          <t>2008</t>
        </is>
      </c>
      <c r="F290" s="27" t="n">
        <v>20</v>
      </c>
      <c r="G290" s="27" t="n">
        <v>3</v>
      </c>
      <c r="H290" s="27" t="n">
        <v>8200</v>
      </c>
      <c r="I290" s="28">
        <f>G290*H290/1000*F290^2/162</f>
        <v>60.74074074074074</v>
      </c>
    </row>
    <row r="291">
      <c r="A291" s="7" t="inlineStr">
        <is>
          <t>STR-054</t>
        </is>
      </c>
      <c r="B291" s="7" t="inlineStr">
        <is>
          <t>Beams</t>
        </is>
      </c>
      <c r="C291" s="7" t="inlineStr">
        <is>
          <t>M2 Level beams</t>
        </is>
      </c>
      <c r="D291" s="7" t="inlineStr">
        <is>
          <t>F04</t>
        </is>
      </c>
      <c r="E291" s="27" t="inlineStr">
        <is>
          <t>2009</t>
        </is>
      </c>
      <c r="F291" s="27" t="n">
        <v>20</v>
      </c>
      <c r="G291" s="27" t="n">
        <v>3</v>
      </c>
      <c r="H291" s="27" t="n">
        <v>6500</v>
      </c>
      <c r="I291" s="28">
        <f>G291*H291/1000*F291^2/162</f>
        <v>48.148148148148145</v>
      </c>
    </row>
    <row r="292">
      <c r="A292" s="7" t="inlineStr">
        <is>
          <t>STR-054</t>
        </is>
      </c>
      <c r="B292" s="7" t="inlineStr">
        <is>
          <t>Beams</t>
        </is>
      </c>
      <c r="C292" s="7" t="inlineStr">
        <is>
          <t>M2 Level beams</t>
        </is>
      </c>
      <c r="D292" s="7" t="inlineStr">
        <is>
          <t>F04</t>
        </is>
      </c>
      <c r="E292" s="27" t="inlineStr">
        <is>
          <t>2010</t>
        </is>
      </c>
      <c r="F292" s="27" t="n">
        <v>20</v>
      </c>
      <c r="G292" s="27" t="n">
        <v>3</v>
      </c>
      <c r="H292" s="27" t="n">
        <v>5700</v>
      </c>
      <c r="I292" s="28">
        <f>G292*H292/1000*F292^2/162</f>
        <v>42.22222222222223</v>
      </c>
    </row>
    <row r="293">
      <c r="A293" s="7" t="inlineStr">
        <is>
          <t>STR-054</t>
        </is>
      </c>
      <c r="B293" s="7" t="inlineStr">
        <is>
          <t>Beams</t>
        </is>
      </c>
      <c r="C293" s="7" t="inlineStr">
        <is>
          <t>M2 Level beams</t>
        </is>
      </c>
      <c r="D293" s="7" t="inlineStr">
        <is>
          <t>F04</t>
        </is>
      </c>
      <c r="E293" s="27" t="inlineStr">
        <is>
          <t>2011</t>
        </is>
      </c>
      <c r="F293" s="27" t="n">
        <v>20</v>
      </c>
      <c r="G293" s="27" t="n">
        <v>3</v>
      </c>
      <c r="H293" s="27" t="n">
        <v>9400</v>
      </c>
      <c r="I293" s="28">
        <f>G293*H293/1000*F293^2/162</f>
        <v>69.62962962962963</v>
      </c>
    </row>
    <row r="294">
      <c r="A294" s="7" t="inlineStr">
        <is>
          <t>STR-054</t>
        </is>
      </c>
      <c r="B294" s="7" t="inlineStr">
        <is>
          <t>Beams</t>
        </is>
      </c>
      <c r="C294" s="7" t="inlineStr">
        <is>
          <t>M2 Level beams</t>
        </is>
      </c>
      <c r="D294" s="7" t="inlineStr">
        <is>
          <t>F04</t>
        </is>
      </c>
      <c r="E294" s="27" t="inlineStr">
        <is>
          <t>2501</t>
        </is>
      </c>
      <c r="F294" s="27" t="n">
        <v>25</v>
      </c>
      <c r="G294" s="27" t="n">
        <v>3</v>
      </c>
      <c r="H294" s="27" t="n">
        <v>11200</v>
      </c>
      <c r="I294" s="28">
        <f>G294*H294/1000*F294^2/162</f>
        <v>129.62962962962962</v>
      </c>
    </row>
    <row r="295">
      <c r="A295" s="7" t="inlineStr">
        <is>
          <t>STR-054</t>
        </is>
      </c>
      <c r="B295" s="7" t="inlineStr">
        <is>
          <t>Beams</t>
        </is>
      </c>
      <c r="C295" s="7" t="inlineStr">
        <is>
          <t>M2 Level beams</t>
        </is>
      </c>
      <c r="D295" s="7" t="inlineStr">
        <is>
          <t>F04</t>
        </is>
      </c>
      <c r="E295" s="27" t="inlineStr">
        <is>
          <t>2502</t>
        </is>
      </c>
      <c r="F295" s="27" t="n">
        <v>25</v>
      </c>
      <c r="G295" s="27" t="n">
        <v>3</v>
      </c>
      <c r="H295" s="27" t="n">
        <v>9400</v>
      </c>
      <c r="I295" s="28">
        <f>G295*H295/1000*F295^2/162</f>
        <v>108.79629629629629</v>
      </c>
    </row>
    <row r="296">
      <c r="A296" s="7" t="inlineStr">
        <is>
          <t>STR-054</t>
        </is>
      </c>
      <c r="B296" s="7" t="inlineStr">
        <is>
          <t>Beams</t>
        </is>
      </c>
      <c r="C296" s="7" t="inlineStr">
        <is>
          <t>M2 Level beams</t>
        </is>
      </c>
      <c r="D296" s="7" t="inlineStr">
        <is>
          <t>F04</t>
        </is>
      </c>
      <c r="E296" s="27" t="inlineStr">
        <is>
          <t>2503</t>
        </is>
      </c>
      <c r="F296" s="27" t="n">
        <v>25</v>
      </c>
      <c r="G296" s="27" t="n">
        <v>3</v>
      </c>
      <c r="H296" s="27" t="n">
        <v>12000</v>
      </c>
      <c r="I296" s="28">
        <f>G296*H296/1000*F296^2/162</f>
        <v>138.88888888888889</v>
      </c>
    </row>
    <row r="297">
      <c r="A297" s="7" t="inlineStr">
        <is>
          <t>STR-054</t>
        </is>
      </c>
      <c r="B297" s="7" t="inlineStr">
        <is>
          <t>Beams</t>
        </is>
      </c>
      <c r="C297" s="7" t="inlineStr">
        <is>
          <t>M2 Level beams</t>
        </is>
      </c>
      <c r="D297" s="7" t="inlineStr">
        <is>
          <t>F04</t>
        </is>
      </c>
      <c r="E297" s="27" t="inlineStr">
        <is>
          <t>2504</t>
        </is>
      </c>
      <c r="F297" s="27" t="n">
        <v>25</v>
      </c>
      <c r="G297" s="27" t="n">
        <v>3</v>
      </c>
      <c r="H297" s="27" t="n">
        <v>7100</v>
      </c>
      <c r="I297" s="28">
        <f>G297*H297/1000*F297^2/162</f>
        <v>82.17592592592592</v>
      </c>
    </row>
    <row r="298">
      <c r="A298" s="7" t="inlineStr">
        <is>
          <t>STR-054</t>
        </is>
      </c>
      <c r="B298" s="7" t="inlineStr">
        <is>
          <t>Beams</t>
        </is>
      </c>
      <c r="C298" s="7" t="inlineStr">
        <is>
          <t>M2 Level beams</t>
        </is>
      </c>
      <c r="D298" s="7" t="inlineStr">
        <is>
          <t>F04</t>
        </is>
      </c>
      <c r="E298" s="27" t="inlineStr">
        <is>
          <t>2505</t>
        </is>
      </c>
      <c r="F298" s="27" t="n">
        <v>25</v>
      </c>
      <c r="G298" s="27" t="n">
        <v>6</v>
      </c>
      <c r="H298" s="27" t="n">
        <v>9300</v>
      </c>
      <c r="I298" s="28">
        <f>G298*H298/1000*F298^2/162</f>
        <v>215.27777777777777</v>
      </c>
    </row>
    <row r="299">
      <c r="A299" s="7" t="inlineStr">
        <is>
          <t>STR-054</t>
        </is>
      </c>
      <c r="B299" s="7" t="inlineStr">
        <is>
          <t>Beams</t>
        </is>
      </c>
      <c r="C299" s="7" t="inlineStr">
        <is>
          <t>M2 Level beams</t>
        </is>
      </c>
      <c r="D299" s="7" t="inlineStr">
        <is>
          <t>F04</t>
        </is>
      </c>
      <c r="E299" s="27" t="inlineStr">
        <is>
          <t>2506</t>
        </is>
      </c>
      <c r="F299" s="27" t="n">
        <v>25</v>
      </c>
      <c r="G299" s="27" t="n">
        <v>3</v>
      </c>
      <c r="H299" s="27" t="n">
        <v>9100</v>
      </c>
      <c r="I299" s="28">
        <f>G299*H299/1000*F299^2/162</f>
        <v>105.32407407407408</v>
      </c>
    </row>
    <row r="300">
      <c r="A300" s="7" t="inlineStr">
        <is>
          <t>STR-054</t>
        </is>
      </c>
      <c r="B300" s="7" t="inlineStr">
        <is>
          <t>Beams</t>
        </is>
      </c>
      <c r="C300" s="7" t="inlineStr">
        <is>
          <t>M2 Level beams</t>
        </is>
      </c>
      <c r="D300" s="7" t="inlineStr">
        <is>
          <t>F04</t>
        </is>
      </c>
      <c r="E300" s="27" t="inlineStr">
        <is>
          <t>2507</t>
        </is>
      </c>
      <c r="F300" s="27" t="n">
        <v>25</v>
      </c>
      <c r="G300" s="27" t="n">
        <v>3</v>
      </c>
      <c r="H300" s="27" t="n">
        <v>10675</v>
      </c>
      <c r="I300" s="28">
        <f>G300*H300/1000*F300^2/162</f>
        <v>123.55324074074075</v>
      </c>
    </row>
    <row r="301">
      <c r="A301" s="7" t="inlineStr">
        <is>
          <t>STR-054</t>
        </is>
      </c>
      <c r="B301" s="7" t="inlineStr">
        <is>
          <t>Beams</t>
        </is>
      </c>
      <c r="C301" s="7" t="inlineStr">
        <is>
          <t>M2 Level beams</t>
        </is>
      </c>
      <c r="D301" s="7" t="inlineStr">
        <is>
          <t>F04</t>
        </is>
      </c>
      <c r="E301" s="27" t="inlineStr">
        <is>
          <t>2508</t>
        </is>
      </c>
      <c r="F301" s="27" t="n">
        <v>25</v>
      </c>
      <c r="G301" s="27" t="n">
        <v>3</v>
      </c>
      <c r="H301" s="27" t="n">
        <v>9300</v>
      </c>
      <c r="I301" s="28">
        <f>G301*H301/1000*F301^2/162</f>
        <v>107.63888888888889</v>
      </c>
    </row>
    <row r="302">
      <c r="A302" s="7" t="inlineStr">
        <is>
          <t>STR-054</t>
        </is>
      </c>
      <c r="B302" s="7" t="inlineStr">
        <is>
          <t>Beams</t>
        </is>
      </c>
      <c r="C302" s="7" t="inlineStr">
        <is>
          <t>M2 Level beams</t>
        </is>
      </c>
      <c r="D302" s="7" t="inlineStr">
        <is>
          <t>F04</t>
        </is>
      </c>
      <c r="E302" s="27" t="inlineStr">
        <is>
          <t>2509</t>
        </is>
      </c>
      <c r="F302" s="27" t="n">
        <v>25</v>
      </c>
      <c r="G302" s="27" t="n">
        <v>3</v>
      </c>
      <c r="H302" s="27" t="n">
        <v>8925</v>
      </c>
      <c r="I302" s="28">
        <f>G302*H302/1000*F302^2/162</f>
        <v>103.29861111111111</v>
      </c>
    </row>
    <row r="303">
      <c r="A303" s="7" t="inlineStr">
        <is>
          <t>STR-054</t>
        </is>
      </c>
      <c r="B303" s="7" t="inlineStr">
        <is>
          <t>Beams</t>
        </is>
      </c>
      <c r="C303" s="7" t="inlineStr">
        <is>
          <t>M2 Level beams</t>
        </is>
      </c>
      <c r="D303" s="7" t="inlineStr">
        <is>
          <t>F04</t>
        </is>
      </c>
      <c r="E303" s="27" t="inlineStr">
        <is>
          <t>2510</t>
        </is>
      </c>
      <c r="F303" s="27" t="n">
        <v>25</v>
      </c>
      <c r="G303" s="27" t="n">
        <v>3</v>
      </c>
      <c r="H303" s="27" t="n">
        <v>6650</v>
      </c>
      <c r="I303" s="28">
        <f>G303*H303/1000*F303^2/162</f>
        <v>76.9675925925926</v>
      </c>
    </row>
    <row r="304">
      <c r="A304" s="7" t="inlineStr">
        <is>
          <t>STR-054</t>
        </is>
      </c>
      <c r="B304" s="7" t="inlineStr">
        <is>
          <t>Beams</t>
        </is>
      </c>
      <c r="C304" s="7" t="inlineStr">
        <is>
          <t>M2 Level beams</t>
        </is>
      </c>
      <c r="D304" s="7" t="inlineStr">
        <is>
          <t>F04</t>
        </is>
      </c>
      <c r="E304" s="27" t="inlineStr">
        <is>
          <t>2511</t>
        </is>
      </c>
      <c r="F304" s="27" t="n">
        <v>25</v>
      </c>
      <c r="G304" s="27" t="n">
        <v>3</v>
      </c>
      <c r="H304" s="27" t="n">
        <v>7950</v>
      </c>
      <c r="I304" s="28">
        <f>G304*H304/1000*F304^2/162</f>
        <v>92.01388888888889</v>
      </c>
    </row>
    <row r="305">
      <c r="A305" s="7" t="inlineStr">
        <is>
          <t>STR-054</t>
        </is>
      </c>
      <c r="B305" s="7" t="inlineStr">
        <is>
          <t>Beams</t>
        </is>
      </c>
      <c r="C305" s="7" t="inlineStr">
        <is>
          <t>M2 Level beams</t>
        </is>
      </c>
      <c r="D305" s="7" t="inlineStr">
        <is>
          <t>F04</t>
        </is>
      </c>
      <c r="E305" s="27" t="inlineStr">
        <is>
          <t>2512</t>
        </is>
      </c>
      <c r="F305" s="27" t="n">
        <v>25</v>
      </c>
      <c r="G305" s="27" t="n">
        <v>3</v>
      </c>
      <c r="H305" s="27" t="n">
        <v>9900</v>
      </c>
      <c r="I305" s="28">
        <f>G305*H305/1000*F305^2/162</f>
        <v>114.58333333333333</v>
      </c>
    </row>
    <row r="306">
      <c r="A306" s="7" t="inlineStr">
        <is>
          <t>STR-054</t>
        </is>
      </c>
      <c r="B306" s="7" t="inlineStr">
        <is>
          <t>Beams</t>
        </is>
      </c>
      <c r="C306" s="7" t="inlineStr">
        <is>
          <t>M2 Level beams</t>
        </is>
      </c>
      <c r="D306" s="7" t="inlineStr">
        <is>
          <t>F04</t>
        </is>
      </c>
      <c r="E306" s="27" t="inlineStr">
        <is>
          <t>2513</t>
        </is>
      </c>
      <c r="F306" s="27" t="n">
        <v>25</v>
      </c>
      <c r="G306" s="27" t="n">
        <v>3</v>
      </c>
      <c r="H306" s="27" t="n">
        <v>4450</v>
      </c>
      <c r="I306" s="28">
        <f>G306*H306/1000*F306^2/162</f>
        <v>51.504629629629626</v>
      </c>
    </row>
    <row r="307">
      <c r="A307" s="7" t="inlineStr">
        <is>
          <t>STR-054</t>
        </is>
      </c>
      <c r="B307" s="7" t="inlineStr">
        <is>
          <t>Beams</t>
        </is>
      </c>
      <c r="C307" s="7" t="inlineStr">
        <is>
          <t>M2 Level beams</t>
        </is>
      </c>
      <c r="D307" s="7" t="inlineStr">
        <is>
          <t>F04</t>
        </is>
      </c>
      <c r="E307" s="27" t="inlineStr">
        <is>
          <t>2514</t>
        </is>
      </c>
      <c r="F307" s="27" t="n">
        <v>25</v>
      </c>
      <c r="G307" s="27" t="n">
        <v>3</v>
      </c>
      <c r="H307" s="27" t="n">
        <v>6750</v>
      </c>
      <c r="I307" s="28">
        <f>G307*H307/1000*F307^2/162</f>
        <v>78.125</v>
      </c>
    </row>
    <row r="308">
      <c r="A308" s="7" t="inlineStr">
        <is>
          <t>STR-054</t>
        </is>
      </c>
      <c r="B308" s="7" t="inlineStr">
        <is>
          <t>Beams</t>
        </is>
      </c>
      <c r="C308" s="7" t="inlineStr">
        <is>
          <t>M2 Level beams</t>
        </is>
      </c>
      <c r="D308" s="7" t="inlineStr">
        <is>
          <t>F04</t>
        </is>
      </c>
      <c r="E308" s="27" t="inlineStr">
        <is>
          <t>2515</t>
        </is>
      </c>
      <c r="F308" s="27" t="n">
        <v>25</v>
      </c>
      <c r="G308" s="27" t="n">
        <v>3</v>
      </c>
      <c r="H308" s="27" t="n">
        <v>8325</v>
      </c>
      <c r="I308" s="28">
        <f>G308*H308/1000*F308^2/162</f>
        <v>96.35416666666667</v>
      </c>
    </row>
    <row r="309">
      <c r="A309" s="7" t="inlineStr">
        <is>
          <t>STR-055</t>
        </is>
      </c>
      <c r="B309" s="7" t="inlineStr">
        <is>
          <t>Floor Slabs</t>
        </is>
      </c>
      <c r="C309" s="7" t="inlineStr">
        <is>
          <t>M2 slab - bottom</t>
        </is>
      </c>
      <c r="D309" s="7" t="inlineStr">
        <is>
          <t>F04</t>
        </is>
      </c>
      <c r="E309" s="27" t="inlineStr">
        <is>
          <t>1201</t>
        </is>
      </c>
      <c r="F309" s="27" t="n">
        <v>12</v>
      </c>
      <c r="G309" s="27" t="n">
        <v>99</v>
      </c>
      <c r="H309" s="27" t="n">
        <v>8550</v>
      </c>
      <c r="I309" s="28">
        <f>G309*H309/1000*F309^2/162</f>
        <v>752.4</v>
      </c>
    </row>
    <row r="310">
      <c r="A310" s="7" t="inlineStr">
        <is>
          <t>STR-055</t>
        </is>
      </c>
      <c r="B310" s="7" t="inlineStr">
        <is>
          <t>Floor Slabs</t>
        </is>
      </c>
      <c r="C310" s="7" t="inlineStr">
        <is>
          <t>M2 slab - bottom</t>
        </is>
      </c>
      <c r="D310" s="7" t="inlineStr">
        <is>
          <t>F04</t>
        </is>
      </c>
      <c r="E310" s="27" t="inlineStr">
        <is>
          <t>1202</t>
        </is>
      </c>
      <c r="F310" s="27" t="n">
        <v>12</v>
      </c>
      <c r="G310" s="27" t="n">
        <v>122</v>
      </c>
      <c r="H310" s="27" t="n">
        <v>5500</v>
      </c>
      <c r="I310" s="28">
        <f>G310*H310/1000*F310^2/162</f>
        <v>596.4444444444445</v>
      </c>
    </row>
    <row r="311">
      <c r="A311" s="7" t="inlineStr">
        <is>
          <t>STR-055</t>
        </is>
      </c>
      <c r="B311" s="7" t="inlineStr">
        <is>
          <t>Floor Slabs</t>
        </is>
      </c>
      <c r="C311" s="7" t="inlineStr">
        <is>
          <t>M2 slab - bottom</t>
        </is>
      </c>
      <c r="D311" s="7" t="inlineStr">
        <is>
          <t>F04</t>
        </is>
      </c>
      <c r="E311" s="27" t="inlineStr">
        <is>
          <t>1203</t>
        </is>
      </c>
      <c r="F311" s="27" t="n">
        <v>12</v>
      </c>
      <c r="G311" s="27" t="n">
        <v>21</v>
      </c>
      <c r="H311" s="27" t="n">
        <v>4250</v>
      </c>
      <c r="I311" s="28">
        <f>G311*H311/1000*F311^2/162</f>
        <v>79.33333333333333</v>
      </c>
    </row>
    <row r="312">
      <c r="A312" s="7" t="inlineStr">
        <is>
          <t>STR-055</t>
        </is>
      </c>
      <c r="B312" s="7" t="inlineStr">
        <is>
          <t>Floor Slabs</t>
        </is>
      </c>
      <c r="C312" s="7" t="inlineStr">
        <is>
          <t>M2 slab - bottom</t>
        </is>
      </c>
      <c r="D312" s="7" t="inlineStr">
        <is>
          <t>F04</t>
        </is>
      </c>
      <c r="E312" s="27" t="inlineStr">
        <is>
          <t>1204</t>
        </is>
      </c>
      <c r="F312" s="27" t="n">
        <v>12</v>
      </c>
      <c r="G312" s="27" t="n">
        <v>54</v>
      </c>
      <c r="H312" s="27" t="n">
        <v>5250</v>
      </c>
      <c r="I312" s="28">
        <f>G312*H312/1000*F312^2/162</f>
        <v>252.0</v>
      </c>
    </row>
    <row r="313">
      <c r="A313" s="7" t="inlineStr">
        <is>
          <t>STR-055</t>
        </is>
      </c>
      <c r="B313" s="7" t="inlineStr">
        <is>
          <t>Floor Slabs</t>
        </is>
      </c>
      <c r="C313" s="7" t="inlineStr">
        <is>
          <t>M2 slab - bottom</t>
        </is>
      </c>
      <c r="D313" s="7" t="inlineStr">
        <is>
          <t>F04</t>
        </is>
      </c>
      <c r="E313" s="27" t="inlineStr">
        <is>
          <t>1205</t>
        </is>
      </c>
      <c r="F313" s="27" t="n">
        <v>12</v>
      </c>
      <c r="G313" s="27" t="n">
        <v>144</v>
      </c>
      <c r="H313" s="27" t="n">
        <v>9050</v>
      </c>
      <c r="I313" s="28">
        <f>G313*H313/1000*F313^2/162</f>
        <v>1158.4</v>
      </c>
    </row>
    <row r="314">
      <c r="A314" s="7" t="inlineStr">
        <is>
          <t>STR-055</t>
        </is>
      </c>
      <c r="B314" s="7" t="inlineStr">
        <is>
          <t>Floor Slabs</t>
        </is>
      </c>
      <c r="C314" s="7" t="inlineStr">
        <is>
          <t>M2 slab - bottom</t>
        </is>
      </c>
      <c r="D314" s="7" t="inlineStr">
        <is>
          <t>F04</t>
        </is>
      </c>
      <c r="E314" s="27" t="inlineStr">
        <is>
          <t>1206</t>
        </is>
      </c>
      <c r="F314" s="27" t="n">
        <v>12</v>
      </c>
      <c r="G314" s="27" t="n">
        <v>74</v>
      </c>
      <c r="H314" s="27" t="n">
        <v>8950</v>
      </c>
      <c r="I314" s="28">
        <f>G314*H314/1000*F314^2/162</f>
        <v>588.7111111111111</v>
      </c>
    </row>
    <row r="315">
      <c r="A315" s="7" t="inlineStr">
        <is>
          <t>STR-055</t>
        </is>
      </c>
      <c r="B315" s="7" t="inlineStr">
        <is>
          <t>Floor Slabs</t>
        </is>
      </c>
      <c r="C315" s="7" t="inlineStr">
        <is>
          <t>M2 slab - bottom</t>
        </is>
      </c>
      <c r="D315" s="7" t="inlineStr">
        <is>
          <t>F04</t>
        </is>
      </c>
      <c r="E315" s="27" t="inlineStr">
        <is>
          <t>1207</t>
        </is>
      </c>
      <c r="F315" s="27" t="n">
        <v>12</v>
      </c>
      <c r="G315" s="27" t="n">
        <v>93</v>
      </c>
      <c r="H315" s="27" t="n">
        <v>8850</v>
      </c>
      <c r="I315" s="28">
        <f>G315*H315/1000*F315^2/162</f>
        <v>731.6</v>
      </c>
    </row>
    <row r="316">
      <c r="A316" s="7" t="inlineStr">
        <is>
          <t>STR-055</t>
        </is>
      </c>
      <c r="B316" s="7" t="inlineStr">
        <is>
          <t>Floor Slabs</t>
        </is>
      </c>
      <c r="C316" s="7" t="inlineStr">
        <is>
          <t>M2 slab - bottom</t>
        </is>
      </c>
      <c r="D316" s="7" t="inlineStr">
        <is>
          <t>F04</t>
        </is>
      </c>
      <c r="E316" s="27" t="inlineStr">
        <is>
          <t>1208</t>
        </is>
      </c>
      <c r="F316" s="27" t="n">
        <v>12</v>
      </c>
      <c r="G316" s="27" t="n">
        <v>15</v>
      </c>
      <c r="H316" s="27" t="n">
        <v>8775</v>
      </c>
      <c r="I316" s="28">
        <f>G316*H316/1000*F316^2/162</f>
        <v>117.0</v>
      </c>
    </row>
    <row r="317">
      <c r="A317" s="7" t="inlineStr">
        <is>
          <t>STR-055</t>
        </is>
      </c>
      <c r="B317" s="7" t="inlineStr">
        <is>
          <t>Floor Slabs</t>
        </is>
      </c>
      <c r="C317" s="7" t="inlineStr">
        <is>
          <t>M2 slab - bottom</t>
        </is>
      </c>
      <c r="D317" s="7" t="inlineStr">
        <is>
          <t>F04</t>
        </is>
      </c>
      <c r="E317" s="27" t="inlineStr">
        <is>
          <t>1209</t>
        </is>
      </c>
      <c r="F317" s="27" t="n">
        <v>12</v>
      </c>
      <c r="G317" s="27" t="n">
        <v>93</v>
      </c>
      <c r="H317" s="27" t="n">
        <v>8700</v>
      </c>
      <c r="I317" s="28">
        <f>G317*H317/1000*F317^2/162</f>
        <v>719.2</v>
      </c>
    </row>
    <row r="318">
      <c r="A318" s="7" t="inlineStr">
        <is>
          <t>STR-055</t>
        </is>
      </c>
      <c r="B318" s="7" t="inlineStr">
        <is>
          <t>Floor Slabs</t>
        </is>
      </c>
      <c r="C318" s="7" t="inlineStr">
        <is>
          <t>M2 slab - bottom</t>
        </is>
      </c>
      <c r="D318" s="7" t="inlineStr">
        <is>
          <t>F04</t>
        </is>
      </c>
      <c r="E318" s="27" t="inlineStr">
        <is>
          <t>1210</t>
        </is>
      </c>
      <c r="F318" s="27" t="n">
        <v>12</v>
      </c>
      <c r="G318" s="27" t="n">
        <v>122</v>
      </c>
      <c r="H318" s="27" t="n">
        <v>6350</v>
      </c>
      <c r="I318" s="28">
        <f>G318*H318/1000*F318^2/162</f>
        <v>688.6222222222223</v>
      </c>
    </row>
    <row r="319">
      <c r="A319" s="7" t="inlineStr">
        <is>
          <t>STR-055</t>
        </is>
      </c>
      <c r="B319" s="7" t="inlineStr">
        <is>
          <t>Floor Slabs</t>
        </is>
      </c>
      <c r="C319" s="7" t="inlineStr">
        <is>
          <t>M2 slab - bottom</t>
        </is>
      </c>
      <c r="D319" s="7" t="inlineStr">
        <is>
          <t>F04</t>
        </is>
      </c>
      <c r="E319" s="27" t="inlineStr">
        <is>
          <t>1211</t>
        </is>
      </c>
      <c r="F319" s="27" t="n">
        <v>12</v>
      </c>
      <c r="G319" s="27" t="n">
        <v>13</v>
      </c>
      <c r="H319" s="27" t="n">
        <v>6600</v>
      </c>
      <c r="I319" s="28">
        <f>G319*H319/1000*F319^2/162</f>
        <v>76.26666666666667</v>
      </c>
    </row>
    <row r="320">
      <c r="A320" s="7" t="inlineStr">
        <is>
          <t>STR-055</t>
        </is>
      </c>
      <c r="B320" s="7" t="inlineStr">
        <is>
          <t>Floor Slabs</t>
        </is>
      </c>
      <c r="C320" s="7" t="inlineStr">
        <is>
          <t>M2 slab - bottom</t>
        </is>
      </c>
      <c r="D320" s="7" t="inlineStr">
        <is>
          <t>F04</t>
        </is>
      </c>
      <c r="E320" s="27" t="inlineStr">
        <is>
          <t>1212</t>
        </is>
      </c>
      <c r="F320" s="27" t="n">
        <v>12</v>
      </c>
      <c r="G320" s="27" t="n">
        <v>154</v>
      </c>
      <c r="H320" s="27" t="n">
        <v>12000</v>
      </c>
      <c r="I320" s="28">
        <f>G320*H320/1000*F320^2/162</f>
        <v>1642.6666666666667</v>
      </c>
    </row>
    <row r="321">
      <c r="A321" s="7" t="inlineStr">
        <is>
          <t>STR-055</t>
        </is>
      </c>
      <c r="B321" s="7" t="inlineStr">
        <is>
          <t>Floor Slabs</t>
        </is>
      </c>
      <c r="C321" s="7" t="inlineStr">
        <is>
          <t>M2 slab - bottom</t>
        </is>
      </c>
      <c r="D321" s="7" t="inlineStr">
        <is>
          <t>F04</t>
        </is>
      </c>
      <c r="E321" s="27" t="inlineStr">
        <is>
          <t>1213</t>
        </is>
      </c>
      <c r="F321" s="27" t="n">
        <v>12</v>
      </c>
      <c r="G321" s="27" t="n">
        <v>73</v>
      </c>
      <c r="H321" s="27" t="n">
        <v>8100</v>
      </c>
      <c r="I321" s="28">
        <f>G321*H321/1000*F321^2/162</f>
        <v>525.6</v>
      </c>
    </row>
    <row r="322">
      <c r="A322" s="7" t="inlineStr">
        <is>
          <t>STR-055</t>
        </is>
      </c>
      <c r="B322" s="7" t="inlineStr">
        <is>
          <t>Floor Slabs</t>
        </is>
      </c>
      <c r="C322" s="7" t="inlineStr">
        <is>
          <t>M2 slab - bottom</t>
        </is>
      </c>
      <c r="D322" s="7" t="inlineStr">
        <is>
          <t>F04</t>
        </is>
      </c>
      <c r="E322" s="27" t="inlineStr">
        <is>
          <t>1214</t>
        </is>
      </c>
      <c r="F322" s="27" t="n">
        <v>12</v>
      </c>
      <c r="G322" s="27" t="n">
        <v>13</v>
      </c>
      <c r="H322" s="27" t="n">
        <v>4200</v>
      </c>
      <c r="I322" s="28">
        <f>G322*H322/1000*F322^2/162</f>
        <v>48.53333333333334</v>
      </c>
    </row>
    <row r="323">
      <c r="A323" s="7" t="inlineStr">
        <is>
          <t>STR-055</t>
        </is>
      </c>
      <c r="B323" s="7" t="inlineStr">
        <is>
          <t>Floor Slabs</t>
        </is>
      </c>
      <c r="C323" s="7" t="inlineStr">
        <is>
          <t>M2 slab - bottom</t>
        </is>
      </c>
      <c r="D323" s="7" t="inlineStr">
        <is>
          <t>F04</t>
        </is>
      </c>
      <c r="E323" s="27" t="inlineStr">
        <is>
          <t>1215</t>
        </is>
      </c>
      <c r="F323" s="27" t="n">
        <v>12</v>
      </c>
      <c r="G323" s="27" t="n">
        <v>153</v>
      </c>
      <c r="H323" s="27" t="n">
        <v>12000</v>
      </c>
      <c r="I323" s="28">
        <f>G323*H323/1000*F323^2/162</f>
        <v>1632.0</v>
      </c>
    </row>
    <row r="324">
      <c r="A324" s="7" t="inlineStr">
        <is>
          <t>STR-055</t>
        </is>
      </c>
      <c r="B324" s="7" t="inlineStr">
        <is>
          <t>Floor Slabs</t>
        </is>
      </c>
      <c r="C324" s="7" t="inlineStr">
        <is>
          <t>M2 slab - bottom</t>
        </is>
      </c>
      <c r="D324" s="7" t="inlineStr">
        <is>
          <t>F04</t>
        </is>
      </c>
      <c r="E324" s="27" t="inlineStr">
        <is>
          <t>1216</t>
        </is>
      </c>
      <c r="F324" s="27" t="n">
        <v>12</v>
      </c>
      <c r="G324" s="27" t="n">
        <v>37</v>
      </c>
      <c r="H324" s="27" t="n">
        <v>5550</v>
      </c>
      <c r="I324" s="28">
        <f>G324*H324/1000*F324^2/162</f>
        <v>182.53333333333333</v>
      </c>
    </row>
    <row r="325">
      <c r="A325" s="7" t="inlineStr">
        <is>
          <t>STR-055</t>
        </is>
      </c>
      <c r="B325" s="7" t="inlineStr">
        <is>
          <t>Floor Slabs</t>
        </is>
      </c>
      <c r="C325" s="7" t="inlineStr">
        <is>
          <t>M2 slab - bottom</t>
        </is>
      </c>
      <c r="D325" s="7" t="inlineStr">
        <is>
          <t>F04</t>
        </is>
      </c>
      <c r="E325" s="27" t="inlineStr">
        <is>
          <t>1217</t>
        </is>
      </c>
      <c r="F325" s="27" t="n">
        <v>12</v>
      </c>
      <c r="G325" s="27" t="n">
        <v>44</v>
      </c>
      <c r="H325" s="27" t="n">
        <v>11750</v>
      </c>
      <c r="I325" s="28">
        <f>G325*H325/1000*F325^2/162</f>
        <v>459.55555555555554</v>
      </c>
    </row>
    <row r="326">
      <c r="A326" s="7" t="inlineStr">
        <is>
          <t>STR-055</t>
        </is>
      </c>
      <c r="B326" s="7" t="inlineStr">
        <is>
          <t>Floor Slabs</t>
        </is>
      </c>
      <c r="C326" s="7" t="inlineStr">
        <is>
          <t>M2 slab - bottom</t>
        </is>
      </c>
      <c r="D326" s="7" t="inlineStr">
        <is>
          <t>F04</t>
        </is>
      </c>
      <c r="E326" s="27" t="inlineStr">
        <is>
          <t>1218</t>
        </is>
      </c>
      <c r="F326" s="27" t="n">
        <v>12</v>
      </c>
      <c r="G326" s="27" t="n">
        <v>75</v>
      </c>
      <c r="H326" s="27" t="n">
        <v>11500</v>
      </c>
      <c r="I326" s="28">
        <f>G326*H326/1000*F326^2/162</f>
        <v>766.6666666666666</v>
      </c>
    </row>
    <row r="327">
      <c r="A327" s="7" t="inlineStr">
        <is>
          <t>STR-055</t>
        </is>
      </c>
      <c r="B327" s="7" t="inlineStr">
        <is>
          <t>Floor Slabs</t>
        </is>
      </c>
      <c r="C327" s="7" t="inlineStr">
        <is>
          <t>M2 slab - bottom</t>
        </is>
      </c>
      <c r="D327" s="7" t="inlineStr">
        <is>
          <t>F04</t>
        </is>
      </c>
      <c r="E327" s="27" t="inlineStr">
        <is>
          <t>1601</t>
        </is>
      </c>
      <c r="F327" s="27" t="n">
        <v>16</v>
      </c>
      <c r="G327" s="27" t="n">
        <v>95</v>
      </c>
      <c r="H327" s="27" t="n">
        <v>8375</v>
      </c>
      <c r="I327" s="28">
        <f>G327*H327/1000*F327^2/162</f>
        <v>1257.283950617284</v>
      </c>
    </row>
    <row r="328">
      <c r="A328" s="7" t="inlineStr">
        <is>
          <t>STR-055</t>
        </is>
      </c>
      <c r="B328" s="7" t="inlineStr">
        <is>
          <t>Floor Slabs</t>
        </is>
      </c>
      <c r="C328" s="7" t="inlineStr">
        <is>
          <t>M2 slab - bottom</t>
        </is>
      </c>
      <c r="D328" s="7" t="inlineStr">
        <is>
          <t>F04</t>
        </is>
      </c>
      <c r="E328" s="27" t="inlineStr">
        <is>
          <t>1602</t>
        </is>
      </c>
      <c r="F328" s="27" t="n">
        <v>16</v>
      </c>
      <c r="G328" s="27" t="n">
        <v>95</v>
      </c>
      <c r="H328" s="27" t="n">
        <v>8275</v>
      </c>
      <c r="I328" s="28">
        <f>G328*H328/1000*F328^2/162</f>
        <v>1242.2716049382716</v>
      </c>
    </row>
    <row r="329">
      <c r="A329" s="7" t="inlineStr">
        <is>
          <t>STR-056</t>
        </is>
      </c>
      <c r="B329" s="7" t="inlineStr">
        <is>
          <t>Floor Slabs</t>
        </is>
      </c>
      <c r="C329" s="7" t="inlineStr">
        <is>
          <t>M2 slab - top</t>
        </is>
      </c>
      <c r="D329" s="7" t="inlineStr">
        <is>
          <t>F04</t>
        </is>
      </c>
      <c r="E329" s="27" t="inlineStr">
        <is>
          <t>1219</t>
        </is>
      </c>
      <c r="F329" s="27" t="n">
        <v>12</v>
      </c>
      <c r="G329" s="27" t="n">
        <v>60</v>
      </c>
      <c r="H329" s="27" t="n">
        <v>10350</v>
      </c>
      <c r="I329" s="28">
        <f>G329*H329/1000*F329^2/162</f>
        <v>552.0</v>
      </c>
    </row>
    <row r="330">
      <c r="A330" s="7" t="inlineStr">
        <is>
          <t>STR-056</t>
        </is>
      </c>
      <c r="B330" s="7" t="inlineStr">
        <is>
          <t>Floor Slabs</t>
        </is>
      </c>
      <c r="C330" s="7" t="inlineStr">
        <is>
          <t>M2 slab - top</t>
        </is>
      </c>
      <c r="D330" s="7" t="inlineStr">
        <is>
          <t>F04</t>
        </is>
      </c>
      <c r="E330" s="27" t="inlineStr">
        <is>
          <t>1220</t>
        </is>
      </c>
      <c r="F330" s="27" t="n">
        <v>12</v>
      </c>
      <c r="G330" s="27" t="n">
        <v>32</v>
      </c>
      <c r="H330" s="27" t="n">
        <v>5550</v>
      </c>
      <c r="I330" s="28">
        <f>G330*H330/1000*F330^2/162</f>
        <v>157.86666666666665</v>
      </c>
    </row>
    <row r="331">
      <c r="A331" s="7" t="inlineStr">
        <is>
          <t>STR-056</t>
        </is>
      </c>
      <c r="B331" s="7" t="inlineStr">
        <is>
          <t>Floor Slabs</t>
        </is>
      </c>
      <c r="C331" s="7" t="inlineStr">
        <is>
          <t>M2 slab - top</t>
        </is>
      </c>
      <c r="D331" s="7" t="inlineStr">
        <is>
          <t>F04</t>
        </is>
      </c>
      <c r="E331" s="27" t="inlineStr">
        <is>
          <t>1221</t>
        </is>
      </c>
      <c r="F331" s="27" t="n">
        <v>12</v>
      </c>
      <c r="G331" s="27" t="n">
        <v>16</v>
      </c>
      <c r="H331" s="27" t="n">
        <v>8250</v>
      </c>
      <c r="I331" s="28">
        <f>G331*H331/1000*F331^2/162</f>
        <v>117.33333333333333</v>
      </c>
    </row>
    <row r="332">
      <c r="A332" s="7" t="inlineStr">
        <is>
          <t>STR-056</t>
        </is>
      </c>
      <c r="B332" s="7" t="inlineStr">
        <is>
          <t>Floor Slabs</t>
        </is>
      </c>
      <c r="C332" s="7" t="inlineStr">
        <is>
          <t>M2 slab - top</t>
        </is>
      </c>
      <c r="D332" s="7" t="inlineStr">
        <is>
          <t>F04</t>
        </is>
      </c>
      <c r="E332" s="27" t="inlineStr">
        <is>
          <t>1222</t>
        </is>
      </c>
      <c r="F332" s="27" t="n">
        <v>12</v>
      </c>
      <c r="G332" s="27" t="n">
        <v>57</v>
      </c>
      <c r="H332" s="27" t="n">
        <v>9750</v>
      </c>
      <c r="I332" s="28">
        <f>G332*H332/1000*F332^2/162</f>
        <v>494.0</v>
      </c>
    </row>
    <row r="333">
      <c r="A333" s="7" t="inlineStr">
        <is>
          <t>STR-056</t>
        </is>
      </c>
      <c r="B333" s="7" t="inlineStr">
        <is>
          <t>Floor Slabs</t>
        </is>
      </c>
      <c r="C333" s="7" t="inlineStr">
        <is>
          <t>M2 slab - top</t>
        </is>
      </c>
      <c r="D333" s="7" t="inlineStr">
        <is>
          <t>F04</t>
        </is>
      </c>
      <c r="E333" s="27" t="inlineStr">
        <is>
          <t>1223</t>
        </is>
      </c>
      <c r="F333" s="27" t="n">
        <v>12</v>
      </c>
      <c r="G333" s="27" t="n">
        <v>92</v>
      </c>
      <c r="H333" s="27" t="n">
        <v>8000</v>
      </c>
      <c r="I333" s="28">
        <f>G333*H333/1000*F333^2/162</f>
        <v>654.2222222222222</v>
      </c>
    </row>
    <row r="334">
      <c r="A334" s="7" t="inlineStr">
        <is>
          <t>STR-056</t>
        </is>
      </c>
      <c r="B334" s="7" t="inlineStr">
        <is>
          <t>Floor Slabs</t>
        </is>
      </c>
      <c r="C334" s="7" t="inlineStr">
        <is>
          <t>M2 slab - top</t>
        </is>
      </c>
      <c r="D334" s="7" t="inlineStr">
        <is>
          <t>F04</t>
        </is>
      </c>
      <c r="E334" s="27" t="inlineStr">
        <is>
          <t>1224</t>
        </is>
      </c>
      <c r="F334" s="27" t="n">
        <v>12</v>
      </c>
      <c r="G334" s="27" t="n">
        <v>45</v>
      </c>
      <c r="H334" s="27" t="n">
        <v>4700</v>
      </c>
      <c r="I334" s="28">
        <f>G334*H334/1000*F334^2/162</f>
        <v>188.0</v>
      </c>
    </row>
    <row r="335">
      <c r="A335" s="7" t="inlineStr">
        <is>
          <t>STR-056</t>
        </is>
      </c>
      <c r="B335" s="7" t="inlineStr">
        <is>
          <t>Floor Slabs</t>
        </is>
      </c>
      <c r="C335" s="7" t="inlineStr">
        <is>
          <t>M2 slab - top</t>
        </is>
      </c>
      <c r="D335" s="7" t="inlineStr">
        <is>
          <t>F04</t>
        </is>
      </c>
      <c r="E335" s="27" t="inlineStr">
        <is>
          <t>1225</t>
        </is>
      </c>
      <c r="F335" s="27" t="n">
        <v>12</v>
      </c>
      <c r="G335" s="27" t="n">
        <v>108</v>
      </c>
      <c r="H335" s="27" t="n">
        <v>8800</v>
      </c>
      <c r="I335" s="28">
        <f>G335*H335/1000*F335^2/162</f>
        <v>844.8000000000001</v>
      </c>
    </row>
    <row r="336">
      <c r="A336" s="7" t="inlineStr">
        <is>
          <t>STR-056</t>
        </is>
      </c>
      <c r="B336" s="7" t="inlineStr">
        <is>
          <t>Floor Slabs</t>
        </is>
      </c>
      <c r="C336" s="7" t="inlineStr">
        <is>
          <t>M2 slab - top</t>
        </is>
      </c>
      <c r="D336" s="7" t="inlineStr">
        <is>
          <t>F04</t>
        </is>
      </c>
      <c r="E336" s="27" t="inlineStr">
        <is>
          <t>1226</t>
        </is>
      </c>
      <c r="F336" s="27" t="n">
        <v>12</v>
      </c>
      <c r="G336" s="27" t="n">
        <v>12</v>
      </c>
      <c r="H336" s="27" t="n">
        <v>8700</v>
      </c>
      <c r="I336" s="28">
        <f>G336*H336/1000*F336^2/162</f>
        <v>92.8</v>
      </c>
    </row>
    <row r="337">
      <c r="A337" s="7" t="inlineStr">
        <is>
          <t>STR-056</t>
        </is>
      </c>
      <c r="B337" s="7" t="inlineStr">
        <is>
          <t>Floor Slabs</t>
        </is>
      </c>
      <c r="C337" s="7" t="inlineStr">
        <is>
          <t>M2 slab - top</t>
        </is>
      </c>
      <c r="D337" s="7" t="inlineStr">
        <is>
          <t>F04</t>
        </is>
      </c>
      <c r="E337" s="27" t="inlineStr">
        <is>
          <t>1227</t>
        </is>
      </c>
      <c r="F337" s="27" t="n">
        <v>12</v>
      </c>
      <c r="G337" s="27" t="n">
        <v>15</v>
      </c>
      <c r="H337" s="27" t="n">
        <v>4800</v>
      </c>
      <c r="I337" s="28">
        <f>G337*H337/1000*F337^2/162</f>
        <v>64.0</v>
      </c>
    </row>
    <row r="338">
      <c r="A338" s="7" t="inlineStr">
        <is>
          <t>STR-056</t>
        </is>
      </c>
      <c r="B338" s="7" t="inlineStr">
        <is>
          <t>Floor Slabs</t>
        </is>
      </c>
      <c r="C338" s="7" t="inlineStr">
        <is>
          <t>M2 slab - top</t>
        </is>
      </c>
      <c r="D338" s="7" t="inlineStr">
        <is>
          <t>F04</t>
        </is>
      </c>
      <c r="E338" s="27" t="inlineStr">
        <is>
          <t>1228</t>
        </is>
      </c>
      <c r="F338" s="27" t="n">
        <v>12</v>
      </c>
      <c r="G338" s="27" t="n">
        <v>93</v>
      </c>
      <c r="H338" s="27" t="n">
        <v>8650</v>
      </c>
      <c r="I338" s="28">
        <f>G338*H338/1000*F338^2/162</f>
        <v>715.0666666666667</v>
      </c>
    </row>
    <row r="339">
      <c r="A339" s="7" t="inlineStr">
        <is>
          <t>STR-056</t>
        </is>
      </c>
      <c r="B339" s="7" t="inlineStr">
        <is>
          <t>Floor Slabs</t>
        </is>
      </c>
      <c r="C339" s="7" t="inlineStr">
        <is>
          <t>M2 slab - top</t>
        </is>
      </c>
      <c r="D339" s="7" t="inlineStr">
        <is>
          <t>F04</t>
        </is>
      </c>
      <c r="E339" s="27" t="inlineStr">
        <is>
          <t>1229</t>
        </is>
      </c>
      <c r="F339" s="27" t="n">
        <v>12</v>
      </c>
      <c r="G339" s="27" t="n">
        <v>93</v>
      </c>
      <c r="H339" s="27" t="n">
        <v>4550</v>
      </c>
      <c r="I339" s="28">
        <f>G339*H339/1000*F339^2/162</f>
        <v>376.1333333333333</v>
      </c>
    </row>
    <row r="340">
      <c r="A340" s="7" t="inlineStr">
        <is>
          <t>STR-056</t>
        </is>
      </c>
      <c r="B340" s="7" t="inlineStr">
        <is>
          <t>Floor Slabs</t>
        </is>
      </c>
      <c r="C340" s="7" t="inlineStr">
        <is>
          <t>M2 slab - top</t>
        </is>
      </c>
      <c r="D340" s="7" t="inlineStr">
        <is>
          <t>F04</t>
        </is>
      </c>
      <c r="E340" s="27" t="inlineStr">
        <is>
          <t>1230</t>
        </is>
      </c>
      <c r="F340" s="27" t="n">
        <v>12</v>
      </c>
      <c r="G340" s="27" t="n">
        <v>75</v>
      </c>
      <c r="H340" s="27" t="n">
        <v>10150</v>
      </c>
      <c r="I340" s="28">
        <f>G340*H340/1000*F340^2/162</f>
        <v>676.6666666666666</v>
      </c>
    </row>
    <row r="341">
      <c r="A341" s="7" t="inlineStr">
        <is>
          <t>STR-056</t>
        </is>
      </c>
      <c r="B341" s="7" t="inlineStr">
        <is>
          <t>Floor Slabs</t>
        </is>
      </c>
      <c r="C341" s="7" t="inlineStr">
        <is>
          <t>M2 slab - top</t>
        </is>
      </c>
      <c r="D341" s="7" t="inlineStr">
        <is>
          <t>F04</t>
        </is>
      </c>
      <c r="E341" s="27" t="inlineStr">
        <is>
          <t>1231</t>
        </is>
      </c>
      <c r="F341" s="27" t="n">
        <v>12</v>
      </c>
      <c r="G341" s="27" t="n">
        <v>122</v>
      </c>
      <c r="H341" s="27" t="n">
        <v>8950</v>
      </c>
      <c r="I341" s="28">
        <f>G341*H341/1000*F341^2/162</f>
        <v>970.5777777777778</v>
      </c>
    </row>
    <row r="342">
      <c r="A342" s="7" t="inlineStr">
        <is>
          <t>STR-056</t>
        </is>
      </c>
      <c r="B342" s="7" t="inlineStr">
        <is>
          <t>Floor Slabs</t>
        </is>
      </c>
      <c r="C342" s="7" t="inlineStr">
        <is>
          <t>M2 slab - top</t>
        </is>
      </c>
      <c r="D342" s="7" t="inlineStr">
        <is>
          <t>F04</t>
        </is>
      </c>
      <c r="E342" s="27" t="inlineStr">
        <is>
          <t>1232</t>
        </is>
      </c>
      <c r="F342" s="27" t="n">
        <v>12</v>
      </c>
      <c r="G342" s="27" t="n">
        <v>75</v>
      </c>
      <c r="H342" s="27" t="n">
        <v>9200</v>
      </c>
      <c r="I342" s="28">
        <f>G342*H342/1000*F342^2/162</f>
        <v>613.3333333333334</v>
      </c>
    </row>
    <row r="343">
      <c r="A343" s="7" t="inlineStr">
        <is>
          <t>STR-056</t>
        </is>
      </c>
      <c r="B343" s="7" t="inlineStr">
        <is>
          <t>Floor Slabs</t>
        </is>
      </c>
      <c r="C343" s="7" t="inlineStr">
        <is>
          <t>M2 slab - top</t>
        </is>
      </c>
      <c r="D343" s="7" t="inlineStr">
        <is>
          <t>F04</t>
        </is>
      </c>
      <c r="E343" s="27" t="inlineStr">
        <is>
          <t>1233</t>
        </is>
      </c>
      <c r="F343" s="27" t="n">
        <v>12</v>
      </c>
      <c r="G343" s="27" t="n">
        <v>37</v>
      </c>
      <c r="H343" s="27" t="n">
        <v>5000</v>
      </c>
      <c r="I343" s="28">
        <f>G343*H343/1000*F343^2/162</f>
        <v>164.44444444444446</v>
      </c>
    </row>
    <row r="344">
      <c r="A344" s="7" t="inlineStr">
        <is>
          <t>STR-056</t>
        </is>
      </c>
      <c r="B344" s="7" t="inlineStr">
        <is>
          <t>Floor Slabs</t>
        </is>
      </c>
      <c r="C344" s="7" t="inlineStr">
        <is>
          <t>M2 slab - top</t>
        </is>
      </c>
      <c r="D344" s="7" t="inlineStr">
        <is>
          <t>F04</t>
        </is>
      </c>
      <c r="E344" s="27" t="inlineStr">
        <is>
          <t>1234</t>
        </is>
      </c>
      <c r="F344" s="27" t="n">
        <v>12</v>
      </c>
      <c r="G344" s="27" t="n">
        <v>86</v>
      </c>
      <c r="H344" s="27" t="n">
        <v>6400</v>
      </c>
      <c r="I344" s="28">
        <f>G344*H344/1000*F344^2/162</f>
        <v>489.2444444444444</v>
      </c>
    </row>
    <row r="345">
      <c r="A345" s="7" t="inlineStr">
        <is>
          <t>STR-056</t>
        </is>
      </c>
      <c r="B345" s="7" t="inlineStr">
        <is>
          <t>Floor Slabs</t>
        </is>
      </c>
      <c r="C345" s="7" t="inlineStr">
        <is>
          <t>M2 slab - top</t>
        </is>
      </c>
      <c r="D345" s="7" t="inlineStr">
        <is>
          <t>F04</t>
        </is>
      </c>
      <c r="E345" s="27" t="inlineStr">
        <is>
          <t>1235</t>
        </is>
      </c>
      <c r="F345" s="27" t="n">
        <v>12</v>
      </c>
      <c r="G345" s="27" t="n">
        <v>13</v>
      </c>
      <c r="H345" s="27" t="n">
        <v>4200</v>
      </c>
      <c r="I345" s="28">
        <f>G345*H345/1000*F345^2/162</f>
        <v>48.53333333333334</v>
      </c>
    </row>
    <row r="346">
      <c r="A346" s="7" t="inlineStr">
        <is>
          <t>STR-056</t>
        </is>
      </c>
      <c r="B346" s="7" t="inlineStr">
        <is>
          <t>Floor Slabs</t>
        </is>
      </c>
      <c r="C346" s="7" t="inlineStr">
        <is>
          <t>M2 slab - top</t>
        </is>
      </c>
      <c r="D346" s="7" t="inlineStr">
        <is>
          <t>F04</t>
        </is>
      </c>
      <c r="E346" s="27" t="inlineStr">
        <is>
          <t>1236</t>
        </is>
      </c>
      <c r="F346" s="27" t="n">
        <v>12</v>
      </c>
      <c r="G346" s="27" t="n">
        <v>74</v>
      </c>
      <c r="H346" s="27" t="n">
        <v>10850</v>
      </c>
      <c r="I346" s="28">
        <f>G346*H346/1000*F346^2/162</f>
        <v>713.6888888888889</v>
      </c>
    </row>
    <row r="347">
      <c r="A347" s="7" t="inlineStr">
        <is>
          <t>STR-056</t>
        </is>
      </c>
      <c r="B347" s="7" t="inlineStr">
        <is>
          <t>Floor Slabs</t>
        </is>
      </c>
      <c r="C347" s="7" t="inlineStr">
        <is>
          <t>M2 slab - top</t>
        </is>
      </c>
      <c r="D347" s="7" t="inlineStr">
        <is>
          <t>F04</t>
        </is>
      </c>
      <c r="E347" s="27" t="inlineStr">
        <is>
          <t>1237</t>
        </is>
      </c>
      <c r="F347" s="27" t="n">
        <v>12</v>
      </c>
      <c r="G347" s="27" t="n">
        <v>74</v>
      </c>
      <c r="H347" s="27" t="n">
        <v>9350</v>
      </c>
      <c r="I347" s="28">
        <f>G347*H347/1000*F347^2/162</f>
        <v>615.0222222222221</v>
      </c>
    </row>
    <row r="348">
      <c r="A348" s="7" t="inlineStr">
        <is>
          <t>STR-056</t>
        </is>
      </c>
      <c r="B348" s="7" t="inlineStr">
        <is>
          <t>Floor Slabs</t>
        </is>
      </c>
      <c r="C348" s="7" t="inlineStr">
        <is>
          <t>M2 slab - top</t>
        </is>
      </c>
      <c r="D348" s="7" t="inlineStr">
        <is>
          <t>F04</t>
        </is>
      </c>
      <c r="E348" s="27" t="inlineStr">
        <is>
          <t>1238</t>
        </is>
      </c>
      <c r="F348" s="27" t="n">
        <v>12</v>
      </c>
      <c r="G348" s="27" t="n">
        <v>237</v>
      </c>
      <c r="H348" s="27" t="n">
        <v>10700</v>
      </c>
      <c r="I348" s="28">
        <f>G348*H348/1000*F348^2/162</f>
        <v>2254.1333333333337</v>
      </c>
    </row>
    <row r="349">
      <c r="A349" s="7" t="inlineStr">
        <is>
          <t>STR-056</t>
        </is>
      </c>
      <c r="B349" s="7" t="inlineStr">
        <is>
          <t>Floor Slabs</t>
        </is>
      </c>
      <c r="C349" s="7" t="inlineStr">
        <is>
          <t>M2 slab - top</t>
        </is>
      </c>
      <c r="D349" s="7" t="inlineStr">
        <is>
          <t>F04</t>
        </is>
      </c>
      <c r="E349" s="27" t="inlineStr">
        <is>
          <t>1239</t>
        </is>
      </c>
      <c r="F349" s="27" t="n">
        <v>12</v>
      </c>
      <c r="G349" s="27" t="n">
        <v>44</v>
      </c>
      <c r="H349" s="27" t="n">
        <v>11750</v>
      </c>
      <c r="I349" s="28">
        <f>G349*H349/1000*F349^2/162</f>
        <v>459.55555555555554</v>
      </c>
    </row>
    <row r="350">
      <c r="A350" s="7" t="inlineStr">
        <is>
          <t>STR-056</t>
        </is>
      </c>
      <c r="B350" s="7" t="inlineStr">
        <is>
          <t>Floor Slabs</t>
        </is>
      </c>
      <c r="C350" s="7" t="inlineStr">
        <is>
          <t>M2 slab - top</t>
        </is>
      </c>
      <c r="D350" s="7" t="inlineStr">
        <is>
          <t>F04</t>
        </is>
      </c>
      <c r="E350" s="27" t="inlineStr">
        <is>
          <t>1602</t>
        </is>
      </c>
      <c r="F350" s="27" t="n">
        <v>16</v>
      </c>
      <c r="G350" s="27" t="n">
        <v>95</v>
      </c>
      <c r="H350" s="27" t="n">
        <v>8275</v>
      </c>
      <c r="I350" s="28">
        <f>G350*H350/1000*F350^2/162</f>
        <v>1242.2716049382716</v>
      </c>
    </row>
    <row r="351">
      <c r="A351" s="7" t="inlineStr">
        <is>
          <t>STR-057</t>
        </is>
      </c>
      <c r="B351" s="7" t="inlineStr">
        <is>
          <t>Floor Slabs</t>
        </is>
      </c>
      <c r="C351" s="7" t="inlineStr">
        <is>
          <t>M2 slab - additional top</t>
        </is>
      </c>
      <c r="D351" s="7" t="inlineStr">
        <is>
          <t>F04</t>
        </is>
      </c>
      <c r="E351" s="27" t="inlineStr">
        <is>
          <t>1240</t>
        </is>
      </c>
      <c r="F351" s="27" t="n">
        <v>12</v>
      </c>
      <c r="G351" s="27" t="n">
        <v>207</v>
      </c>
      <c r="H351" s="27" t="n">
        <v>3000</v>
      </c>
      <c r="I351" s="28">
        <f>G351*H351/1000*F351^2/162</f>
        <v>552.0</v>
      </c>
    </row>
    <row r="352">
      <c r="A352" s="7" t="inlineStr">
        <is>
          <t>STR-057</t>
        </is>
      </c>
      <c r="B352" s="7" t="inlineStr">
        <is>
          <t>Floor Slabs</t>
        </is>
      </c>
      <c r="C352" s="7" t="inlineStr">
        <is>
          <t>M2 slab - additional top</t>
        </is>
      </c>
      <c r="D352" s="7" t="inlineStr">
        <is>
          <t>F04</t>
        </is>
      </c>
      <c r="E352" s="27" t="inlineStr">
        <is>
          <t>1241</t>
        </is>
      </c>
      <c r="F352" s="27" t="n">
        <v>12</v>
      </c>
      <c r="G352" s="27" t="n">
        <v>90</v>
      </c>
      <c r="H352" s="27" t="n">
        <v>4900</v>
      </c>
      <c r="I352" s="28">
        <f>G352*H352/1000*F352^2/162</f>
        <v>392.0</v>
      </c>
    </row>
    <row r="353">
      <c r="A353" s="7" t="inlineStr">
        <is>
          <t>STR-057</t>
        </is>
      </c>
      <c r="B353" s="7" t="inlineStr">
        <is>
          <t>Floor Slabs</t>
        </is>
      </c>
      <c r="C353" s="7" t="inlineStr">
        <is>
          <t>M2 slab - additional top</t>
        </is>
      </c>
      <c r="D353" s="7" t="inlineStr">
        <is>
          <t>F04</t>
        </is>
      </c>
      <c r="E353" s="27" t="inlineStr">
        <is>
          <t>1242</t>
        </is>
      </c>
      <c r="F353" s="27" t="n">
        <v>12</v>
      </c>
      <c r="G353" s="27" t="n">
        <v>98</v>
      </c>
      <c r="H353" s="27" t="n">
        <v>6350</v>
      </c>
      <c r="I353" s="28">
        <f>G353*H353/1000*F353^2/162</f>
        <v>553.1555555555556</v>
      </c>
    </row>
    <row r="354">
      <c r="A354" s="7" t="inlineStr">
        <is>
          <t>STR-060</t>
        </is>
      </c>
      <c r="B354" s="7" t="inlineStr">
        <is>
          <t>Beams</t>
        </is>
      </c>
      <c r="C354" s="7" t="inlineStr">
        <is>
          <t>Second floor beams</t>
        </is>
      </c>
      <c r="D354" s="7" t="inlineStr">
        <is>
          <t>F05</t>
        </is>
      </c>
      <c r="E354" s="27" t="inlineStr">
        <is>
          <t>1001</t>
        </is>
      </c>
      <c r="F354" s="27" t="n">
        <v>10</v>
      </c>
      <c r="G354" s="27" t="n">
        <v>621</v>
      </c>
      <c r="H354" s="27" t="n">
        <v>1700</v>
      </c>
      <c r="I354" s="28">
        <f>G354*H354/1000*F354^2/162</f>
        <v>651.6666666666666</v>
      </c>
    </row>
    <row r="355">
      <c r="A355" s="7" t="inlineStr">
        <is>
          <t>STR-060</t>
        </is>
      </c>
      <c r="B355" s="7" t="inlineStr">
        <is>
          <t>Beams</t>
        </is>
      </c>
      <c r="C355" s="7" t="inlineStr">
        <is>
          <t>Second floor beams</t>
        </is>
      </c>
      <c r="D355" s="7" t="inlineStr">
        <is>
          <t>F05</t>
        </is>
      </c>
      <c r="E355" s="27" t="inlineStr">
        <is>
          <t>1002</t>
        </is>
      </c>
      <c r="F355" s="27" t="n">
        <v>10</v>
      </c>
      <c r="G355" s="27" t="n">
        <v>270</v>
      </c>
      <c r="H355" s="27" t="n">
        <v>1500</v>
      </c>
      <c r="I355" s="28">
        <f>G355*H355/1000*F355^2/162</f>
        <v>250.0</v>
      </c>
    </row>
    <row r="356">
      <c r="A356" s="7" t="inlineStr">
        <is>
          <t>STR-060</t>
        </is>
      </c>
      <c r="B356" s="7" t="inlineStr">
        <is>
          <t>Beams</t>
        </is>
      </c>
      <c r="C356" s="7" t="inlineStr">
        <is>
          <t>Second floor beams</t>
        </is>
      </c>
      <c r="D356" s="7" t="inlineStr">
        <is>
          <t>F05</t>
        </is>
      </c>
      <c r="E356" s="27" t="inlineStr">
        <is>
          <t>1601</t>
        </is>
      </c>
      <c r="F356" s="27" t="n">
        <v>16</v>
      </c>
      <c r="G356" s="27" t="n">
        <v>3</v>
      </c>
      <c r="H356" s="27" t="n">
        <v>9750</v>
      </c>
      <c r="I356" s="28">
        <f>G356*H356/1000*F356^2/162</f>
        <v>46.22222222222222</v>
      </c>
    </row>
    <row r="357">
      <c r="A357" s="7" t="inlineStr">
        <is>
          <t>STR-060</t>
        </is>
      </c>
      <c r="B357" s="7" t="inlineStr">
        <is>
          <t>Beams</t>
        </is>
      </c>
      <c r="C357" s="7" t="inlineStr">
        <is>
          <t>Second floor beams</t>
        </is>
      </c>
      <c r="D357" s="7" t="inlineStr">
        <is>
          <t>F05</t>
        </is>
      </c>
      <c r="E357" s="27" t="inlineStr">
        <is>
          <t>1602</t>
        </is>
      </c>
      <c r="F357" s="27" t="n">
        <v>16</v>
      </c>
      <c r="G357" s="27" t="n">
        <v>3</v>
      </c>
      <c r="H357" s="27" t="n">
        <v>5850</v>
      </c>
      <c r="I357" s="28">
        <f>G357*H357/1000*F357^2/162</f>
        <v>27.733333333333334</v>
      </c>
    </row>
    <row r="358">
      <c r="A358" s="7" t="inlineStr">
        <is>
          <t>STR-060</t>
        </is>
      </c>
      <c r="B358" s="7" t="inlineStr">
        <is>
          <t>Beams</t>
        </is>
      </c>
      <c r="C358" s="7" t="inlineStr">
        <is>
          <t>Second floor beams</t>
        </is>
      </c>
      <c r="D358" s="7" t="inlineStr">
        <is>
          <t>F05</t>
        </is>
      </c>
      <c r="E358" s="27" t="inlineStr">
        <is>
          <t>1603</t>
        </is>
      </c>
      <c r="F358" s="27" t="n">
        <v>16</v>
      </c>
      <c r="G358" s="27" t="n">
        <v>6</v>
      </c>
      <c r="H358" s="27" t="n">
        <v>9300</v>
      </c>
      <c r="I358" s="28">
        <f>G358*H358/1000*F358^2/162</f>
        <v>88.17777777777778</v>
      </c>
    </row>
    <row r="359">
      <c r="A359" s="7" t="inlineStr">
        <is>
          <t>STR-060</t>
        </is>
      </c>
      <c r="B359" s="7" t="inlineStr">
        <is>
          <t>Beams</t>
        </is>
      </c>
      <c r="C359" s="7" t="inlineStr">
        <is>
          <t>Second floor beams</t>
        </is>
      </c>
      <c r="D359" s="7" t="inlineStr">
        <is>
          <t>F05</t>
        </is>
      </c>
      <c r="E359" s="27" t="inlineStr">
        <is>
          <t>1604</t>
        </is>
      </c>
      <c r="F359" s="27" t="n">
        <v>16</v>
      </c>
      <c r="G359" s="27" t="n">
        <v>3</v>
      </c>
      <c r="H359" s="27" t="n">
        <v>9000</v>
      </c>
      <c r="I359" s="28">
        <f>G359*H359/1000*F359^2/162</f>
        <v>42.666666666666664</v>
      </c>
    </row>
    <row r="360">
      <c r="A360" s="7" t="inlineStr">
        <is>
          <t>STR-060</t>
        </is>
      </c>
      <c r="B360" s="7" t="inlineStr">
        <is>
          <t>Beams</t>
        </is>
      </c>
      <c r="C360" s="7" t="inlineStr">
        <is>
          <t>Second floor beams</t>
        </is>
      </c>
      <c r="D360" s="7" t="inlineStr">
        <is>
          <t>F05</t>
        </is>
      </c>
      <c r="E360" s="27" t="inlineStr">
        <is>
          <t>1605</t>
        </is>
      </c>
      <c r="F360" s="27" t="n">
        <v>16</v>
      </c>
      <c r="G360" s="27" t="n">
        <v>2</v>
      </c>
      <c r="H360" s="27" t="n">
        <v>11000</v>
      </c>
      <c r="I360" s="28">
        <f>G360*H360/1000*F360^2/162</f>
        <v>34.76543209876543</v>
      </c>
    </row>
    <row r="361">
      <c r="A361" s="7" t="inlineStr">
        <is>
          <t>STR-060</t>
        </is>
      </c>
      <c r="B361" s="7" t="inlineStr">
        <is>
          <t>Beams</t>
        </is>
      </c>
      <c r="C361" s="7" t="inlineStr">
        <is>
          <t>Second floor beams</t>
        </is>
      </c>
      <c r="D361" s="7" t="inlineStr">
        <is>
          <t>F05</t>
        </is>
      </c>
      <c r="E361" s="27" t="inlineStr">
        <is>
          <t>1606</t>
        </is>
      </c>
      <c r="F361" s="27" t="n">
        <v>16</v>
      </c>
      <c r="G361" s="27" t="n">
        <v>2</v>
      </c>
      <c r="H361" s="27" t="n">
        <v>8800</v>
      </c>
      <c r="I361" s="28">
        <f>G361*H361/1000*F361^2/162</f>
        <v>27.81234567901235</v>
      </c>
    </row>
    <row r="362">
      <c r="A362" s="7" t="inlineStr">
        <is>
          <t>STR-060</t>
        </is>
      </c>
      <c r="B362" s="7" t="inlineStr">
        <is>
          <t>Beams</t>
        </is>
      </c>
      <c r="C362" s="7" t="inlineStr">
        <is>
          <t>Second floor beams</t>
        </is>
      </c>
      <c r="D362" s="7" t="inlineStr">
        <is>
          <t>F05</t>
        </is>
      </c>
      <c r="E362" s="27" t="inlineStr">
        <is>
          <t>1607</t>
        </is>
      </c>
      <c r="F362" s="27" t="n">
        <v>16</v>
      </c>
      <c r="G362" s="27" t="n">
        <v>8</v>
      </c>
      <c r="H362" s="27" t="n">
        <v>12000</v>
      </c>
      <c r="I362" s="28">
        <f>G362*H362/1000*F362^2/162</f>
        <v>151.7037037037037</v>
      </c>
    </row>
    <row r="363">
      <c r="A363" s="7" t="inlineStr">
        <is>
          <t>STR-060</t>
        </is>
      </c>
      <c r="B363" s="7" t="inlineStr">
        <is>
          <t>Beams</t>
        </is>
      </c>
      <c r="C363" s="7" t="inlineStr">
        <is>
          <t>Second floor beams</t>
        </is>
      </c>
      <c r="D363" s="7" t="inlineStr">
        <is>
          <t>F05</t>
        </is>
      </c>
      <c r="E363" s="27" t="inlineStr">
        <is>
          <t>1608</t>
        </is>
      </c>
      <c r="F363" s="27" t="n">
        <v>16</v>
      </c>
      <c r="G363" s="27" t="n">
        <v>4</v>
      </c>
      <c r="H363" s="27" t="n">
        <v>7400</v>
      </c>
      <c r="I363" s="28">
        <f>G363*H363/1000*F363^2/162</f>
        <v>46.77530864197531</v>
      </c>
    </row>
    <row r="364">
      <c r="A364" s="7" t="inlineStr">
        <is>
          <t>STR-060</t>
        </is>
      </c>
      <c r="B364" s="7" t="inlineStr">
        <is>
          <t>Beams</t>
        </is>
      </c>
      <c r="C364" s="7" t="inlineStr">
        <is>
          <t>Second floor beams</t>
        </is>
      </c>
      <c r="D364" s="7" t="inlineStr">
        <is>
          <t>F05</t>
        </is>
      </c>
      <c r="E364" s="27" t="inlineStr">
        <is>
          <t>1609</t>
        </is>
      </c>
      <c r="F364" s="27" t="n">
        <v>16</v>
      </c>
      <c r="G364" s="27" t="n">
        <v>3</v>
      </c>
      <c r="H364" s="27" t="n">
        <v>9200</v>
      </c>
      <c r="I364" s="28">
        <f>G364*H364/1000*F364^2/162</f>
        <v>43.614814814814814</v>
      </c>
    </row>
    <row r="365">
      <c r="A365" s="7" t="inlineStr">
        <is>
          <t>STR-060</t>
        </is>
      </c>
      <c r="B365" s="7" t="inlineStr">
        <is>
          <t>Beams</t>
        </is>
      </c>
      <c r="C365" s="7" t="inlineStr">
        <is>
          <t>Second floor beams</t>
        </is>
      </c>
      <c r="D365" s="7" t="inlineStr">
        <is>
          <t>F05</t>
        </is>
      </c>
      <c r="E365" s="27" t="inlineStr">
        <is>
          <t>1610</t>
        </is>
      </c>
      <c r="F365" s="27" t="n">
        <v>16</v>
      </c>
      <c r="G365" s="27" t="n">
        <v>4</v>
      </c>
      <c r="H365" s="27" t="n">
        <v>6775</v>
      </c>
      <c r="I365" s="28">
        <f>G365*H365/1000*F365^2/162</f>
        <v>42.824691358024694</v>
      </c>
    </row>
    <row r="366">
      <c r="A366" s="7" t="inlineStr">
        <is>
          <t>STR-060</t>
        </is>
      </c>
      <c r="B366" s="7" t="inlineStr">
        <is>
          <t>Beams</t>
        </is>
      </c>
      <c r="C366" s="7" t="inlineStr">
        <is>
          <t>Second floor beams</t>
        </is>
      </c>
      <c r="D366" s="7" t="inlineStr">
        <is>
          <t>F05</t>
        </is>
      </c>
      <c r="E366" s="27" t="inlineStr">
        <is>
          <t>1611</t>
        </is>
      </c>
      <c r="F366" s="27" t="n">
        <v>16</v>
      </c>
      <c r="G366" s="27" t="n">
        <v>3</v>
      </c>
      <c r="H366" s="27" t="n">
        <v>4600</v>
      </c>
      <c r="I366" s="28">
        <f>G366*H366/1000*F366^2/162</f>
        <v>21.807407407407407</v>
      </c>
    </row>
    <row r="367">
      <c r="A367" s="7" t="inlineStr">
        <is>
          <t>STR-060</t>
        </is>
      </c>
      <c r="B367" s="7" t="inlineStr">
        <is>
          <t>Beams</t>
        </is>
      </c>
      <c r="C367" s="7" t="inlineStr">
        <is>
          <t>Second floor beams</t>
        </is>
      </c>
      <c r="D367" s="7" t="inlineStr">
        <is>
          <t>F05</t>
        </is>
      </c>
      <c r="E367" s="27" t="inlineStr">
        <is>
          <t>1612</t>
        </is>
      </c>
      <c r="F367" s="27" t="n">
        <v>16</v>
      </c>
      <c r="G367" s="27" t="n">
        <v>2</v>
      </c>
      <c r="H367" s="27" t="n">
        <v>4000</v>
      </c>
      <c r="I367" s="28">
        <f>G367*H367/1000*F367^2/162</f>
        <v>12.641975308641975</v>
      </c>
    </row>
    <row r="368">
      <c r="A368" s="7" t="inlineStr">
        <is>
          <t>STR-060</t>
        </is>
      </c>
      <c r="B368" s="7" t="inlineStr">
        <is>
          <t>Beams</t>
        </is>
      </c>
      <c r="C368" s="7" t="inlineStr">
        <is>
          <t>Second floor beams</t>
        </is>
      </c>
      <c r="D368" s="7" t="inlineStr">
        <is>
          <t>F05</t>
        </is>
      </c>
      <c r="E368" s="27" t="inlineStr">
        <is>
          <t>1613</t>
        </is>
      </c>
      <c r="F368" s="27" t="n">
        <v>16</v>
      </c>
      <c r="G368" s="27" t="n">
        <v>2</v>
      </c>
      <c r="H368" s="27" t="n">
        <v>11500</v>
      </c>
      <c r="I368" s="28">
        <f>G368*H368/1000*F368^2/162</f>
        <v>36.34567901234568</v>
      </c>
    </row>
    <row r="369">
      <c r="A369" s="7" t="inlineStr">
        <is>
          <t>STR-060</t>
        </is>
      </c>
      <c r="B369" s="7" t="inlineStr">
        <is>
          <t>Beams</t>
        </is>
      </c>
      <c r="C369" s="7" t="inlineStr">
        <is>
          <t>Second floor beams</t>
        </is>
      </c>
      <c r="D369" s="7" t="inlineStr">
        <is>
          <t>F05</t>
        </is>
      </c>
      <c r="E369" s="27" t="inlineStr">
        <is>
          <t>1614</t>
        </is>
      </c>
      <c r="F369" s="27" t="n">
        <v>16</v>
      </c>
      <c r="G369" s="27" t="n">
        <v>2</v>
      </c>
      <c r="H369" s="27" t="n">
        <v>11850</v>
      </c>
      <c r="I369" s="28">
        <f>G369*H369/1000*F369^2/162</f>
        <v>37.45185185185185</v>
      </c>
    </row>
    <row r="370">
      <c r="A370" s="7" t="inlineStr">
        <is>
          <t>STR-060</t>
        </is>
      </c>
      <c r="B370" s="7" t="inlineStr">
        <is>
          <t>Beams</t>
        </is>
      </c>
      <c r="C370" s="7" t="inlineStr">
        <is>
          <t>Second floor beams</t>
        </is>
      </c>
      <c r="D370" s="7" t="inlineStr">
        <is>
          <t>F05</t>
        </is>
      </c>
      <c r="E370" s="27" t="inlineStr">
        <is>
          <t>1615</t>
        </is>
      </c>
      <c r="F370" s="27" t="n">
        <v>16</v>
      </c>
      <c r="G370" s="27" t="n">
        <v>12</v>
      </c>
      <c r="H370" s="27" t="n">
        <v>3350</v>
      </c>
      <c r="I370" s="28">
        <f>G370*H370/1000*F370^2/162</f>
        <v>63.52592592592593</v>
      </c>
    </row>
    <row r="371">
      <c r="A371" s="7" t="inlineStr">
        <is>
          <t>STR-060</t>
        </is>
      </c>
      <c r="B371" s="7" t="inlineStr">
        <is>
          <t>Beams</t>
        </is>
      </c>
      <c r="C371" s="7" t="inlineStr">
        <is>
          <t>Second floor beams</t>
        </is>
      </c>
      <c r="D371" s="7" t="inlineStr">
        <is>
          <t>F05</t>
        </is>
      </c>
      <c r="E371" s="27" t="inlineStr">
        <is>
          <t>1616</t>
        </is>
      </c>
      <c r="F371" s="27" t="n">
        <v>16</v>
      </c>
      <c r="G371" s="27" t="n">
        <v>4</v>
      </c>
      <c r="H371" s="27" t="n">
        <v>2450</v>
      </c>
      <c r="I371" s="28">
        <f>G371*H371/1000*F371^2/162</f>
        <v>15.486419753086421</v>
      </c>
    </row>
    <row r="372">
      <c r="A372" s="7" t="inlineStr">
        <is>
          <t>STR-060</t>
        </is>
      </c>
      <c r="B372" s="7" t="inlineStr">
        <is>
          <t>Beams</t>
        </is>
      </c>
      <c r="C372" s="7" t="inlineStr">
        <is>
          <t>Second floor beams</t>
        </is>
      </c>
      <c r="D372" s="7" t="inlineStr">
        <is>
          <t>F05</t>
        </is>
      </c>
      <c r="E372" s="27" t="inlineStr">
        <is>
          <t>2001</t>
        </is>
      </c>
      <c r="F372" s="27" t="n">
        <v>20</v>
      </c>
      <c r="G372" s="27" t="n">
        <v>2</v>
      </c>
      <c r="H372" s="27" t="n">
        <v>11750</v>
      </c>
      <c r="I372" s="28">
        <f>G372*H372/1000*F372^2/162</f>
        <v>58.02469135802469</v>
      </c>
    </row>
    <row r="373">
      <c r="A373" s="7" t="inlineStr">
        <is>
          <t>STR-060</t>
        </is>
      </c>
      <c r="B373" s="7" t="inlineStr">
        <is>
          <t>Beams</t>
        </is>
      </c>
      <c r="C373" s="7" t="inlineStr">
        <is>
          <t>Second floor beams</t>
        </is>
      </c>
      <c r="D373" s="7" t="inlineStr">
        <is>
          <t>F05</t>
        </is>
      </c>
      <c r="E373" s="27" t="inlineStr">
        <is>
          <t>2002</t>
        </is>
      </c>
      <c r="F373" s="27" t="n">
        <v>20</v>
      </c>
      <c r="G373" s="27" t="n">
        <v>2</v>
      </c>
      <c r="H373" s="27" t="n">
        <v>7300</v>
      </c>
      <c r="I373" s="28">
        <f>G373*H373/1000*F373^2/162</f>
        <v>36.04938271604938</v>
      </c>
    </row>
    <row r="374">
      <c r="A374" s="7" t="inlineStr">
        <is>
          <t>STR-060</t>
        </is>
      </c>
      <c r="B374" s="7" t="inlineStr">
        <is>
          <t>Beams</t>
        </is>
      </c>
      <c r="C374" s="7" t="inlineStr">
        <is>
          <t>Second floor beams</t>
        </is>
      </c>
      <c r="D374" s="7" t="inlineStr">
        <is>
          <t>F05</t>
        </is>
      </c>
      <c r="E374" s="27" t="inlineStr">
        <is>
          <t>2003</t>
        </is>
      </c>
      <c r="F374" s="27" t="n">
        <v>20</v>
      </c>
      <c r="G374" s="27" t="n">
        <v>2</v>
      </c>
      <c r="H374" s="27" t="n">
        <v>9400</v>
      </c>
      <c r="I374" s="28">
        <f>G374*H374/1000*F374^2/162</f>
        <v>46.41975308641975</v>
      </c>
    </row>
    <row r="375">
      <c r="A375" s="7" t="inlineStr">
        <is>
          <t>STR-060</t>
        </is>
      </c>
      <c r="B375" s="7" t="inlineStr">
        <is>
          <t>Beams</t>
        </is>
      </c>
      <c r="C375" s="7" t="inlineStr">
        <is>
          <t>Second floor beams</t>
        </is>
      </c>
      <c r="D375" s="7" t="inlineStr">
        <is>
          <t>F05</t>
        </is>
      </c>
      <c r="E375" s="27" t="inlineStr">
        <is>
          <t>2004</t>
        </is>
      </c>
      <c r="F375" s="27" t="n">
        <v>20</v>
      </c>
      <c r="G375" s="27" t="n">
        <v>2</v>
      </c>
      <c r="H375" s="27" t="n">
        <v>11900</v>
      </c>
      <c r="I375" s="28">
        <f>G375*H375/1000*F375^2/162</f>
        <v>58.76543209876543</v>
      </c>
    </row>
    <row r="376">
      <c r="A376" s="7" t="inlineStr">
        <is>
          <t>STR-060</t>
        </is>
      </c>
      <c r="B376" s="7" t="inlineStr">
        <is>
          <t>Beams</t>
        </is>
      </c>
      <c r="C376" s="7" t="inlineStr">
        <is>
          <t>Second floor beams</t>
        </is>
      </c>
      <c r="D376" s="7" t="inlineStr">
        <is>
          <t>F05</t>
        </is>
      </c>
      <c r="E376" s="27" t="inlineStr">
        <is>
          <t>2005</t>
        </is>
      </c>
      <c r="F376" s="27" t="n">
        <v>20</v>
      </c>
      <c r="G376" s="27" t="n">
        <v>2</v>
      </c>
      <c r="H376" s="27" t="n">
        <v>9550</v>
      </c>
      <c r="I376" s="28">
        <f>G376*H376/1000*F376^2/162</f>
        <v>47.1604938271605</v>
      </c>
    </row>
    <row r="377">
      <c r="A377" s="7" t="inlineStr">
        <is>
          <t>STR-060</t>
        </is>
      </c>
      <c r="B377" s="7" t="inlineStr">
        <is>
          <t>Beams</t>
        </is>
      </c>
      <c r="C377" s="7" t="inlineStr">
        <is>
          <t>Second floor beams</t>
        </is>
      </c>
      <c r="D377" s="7" t="inlineStr">
        <is>
          <t>F05</t>
        </is>
      </c>
      <c r="E377" s="27" t="inlineStr">
        <is>
          <t>2006</t>
        </is>
      </c>
      <c r="F377" s="27" t="n">
        <v>20</v>
      </c>
      <c r="G377" s="27" t="n">
        <v>2</v>
      </c>
      <c r="H377" s="27" t="n">
        <v>5900</v>
      </c>
      <c r="I377" s="28">
        <f>G377*H377/1000*F377^2/162</f>
        <v>29.135802469135804</v>
      </c>
    </row>
    <row r="378">
      <c r="A378" s="7" t="inlineStr">
        <is>
          <t>STR-060</t>
        </is>
      </c>
      <c r="B378" s="7" t="inlineStr">
        <is>
          <t>Beams</t>
        </is>
      </c>
      <c r="C378" s="7" t="inlineStr">
        <is>
          <t>Second floor beams</t>
        </is>
      </c>
      <c r="D378" s="7" t="inlineStr">
        <is>
          <t>F05</t>
        </is>
      </c>
      <c r="E378" s="27" t="inlineStr">
        <is>
          <t>2007</t>
        </is>
      </c>
      <c r="F378" s="27" t="n">
        <v>20</v>
      </c>
      <c r="G378" s="27" t="n">
        <v>4</v>
      </c>
      <c r="H378" s="27" t="n">
        <v>9300</v>
      </c>
      <c r="I378" s="28">
        <f>G378*H378/1000*F378^2/162</f>
        <v>91.85185185185186</v>
      </c>
    </row>
    <row r="379">
      <c r="A379" s="7" t="inlineStr">
        <is>
          <t>STR-060</t>
        </is>
      </c>
      <c r="B379" s="7" t="inlineStr">
        <is>
          <t>Beams</t>
        </is>
      </c>
      <c r="C379" s="7" t="inlineStr">
        <is>
          <t>Second floor beams</t>
        </is>
      </c>
      <c r="D379" s="7" t="inlineStr">
        <is>
          <t>F05</t>
        </is>
      </c>
      <c r="E379" s="27" t="inlineStr">
        <is>
          <t>2008</t>
        </is>
      </c>
      <c r="F379" s="27" t="n">
        <v>20</v>
      </c>
      <c r="G379" s="27" t="n">
        <v>2</v>
      </c>
      <c r="H379" s="27" t="n">
        <v>9100</v>
      </c>
      <c r="I379" s="28">
        <f>G379*H379/1000*F379^2/162</f>
        <v>44.93827160493827</v>
      </c>
    </row>
    <row r="380">
      <c r="A380" s="7" t="inlineStr">
        <is>
          <t>STR-060</t>
        </is>
      </c>
      <c r="B380" s="7" t="inlineStr">
        <is>
          <t>Beams</t>
        </is>
      </c>
      <c r="C380" s="7" t="inlineStr">
        <is>
          <t>Second floor beams</t>
        </is>
      </c>
      <c r="D380" s="7" t="inlineStr">
        <is>
          <t>F05</t>
        </is>
      </c>
      <c r="E380" s="27" t="inlineStr">
        <is>
          <t>2009</t>
        </is>
      </c>
      <c r="F380" s="27" t="n">
        <v>20</v>
      </c>
      <c r="G380" s="27" t="n">
        <v>3</v>
      </c>
      <c r="H380" s="27" t="n">
        <v>8200</v>
      </c>
      <c r="I380" s="28">
        <f>G380*H380/1000*F380^2/162</f>
        <v>60.74074074074074</v>
      </c>
    </row>
    <row r="381">
      <c r="A381" s="7" t="inlineStr">
        <is>
          <t>STR-060</t>
        </is>
      </c>
      <c r="B381" s="7" t="inlineStr">
        <is>
          <t>Beams</t>
        </is>
      </c>
      <c r="C381" s="7" t="inlineStr">
        <is>
          <t>Second floor beams</t>
        </is>
      </c>
      <c r="D381" s="7" t="inlineStr">
        <is>
          <t>F05</t>
        </is>
      </c>
      <c r="E381" s="27" t="inlineStr">
        <is>
          <t>2010</t>
        </is>
      </c>
      <c r="F381" s="27" t="n">
        <v>20</v>
      </c>
      <c r="G381" s="27" t="n">
        <v>3</v>
      </c>
      <c r="H381" s="27" t="n">
        <v>6550</v>
      </c>
      <c r="I381" s="28">
        <f>G381*H381/1000*F381^2/162</f>
        <v>48.51851851851851</v>
      </c>
    </row>
    <row r="382">
      <c r="A382" s="7" t="inlineStr">
        <is>
          <t>STR-060</t>
        </is>
      </c>
      <c r="B382" s="7" t="inlineStr">
        <is>
          <t>Beams</t>
        </is>
      </c>
      <c r="C382" s="7" t="inlineStr">
        <is>
          <t>Second floor beams</t>
        </is>
      </c>
      <c r="D382" s="7" t="inlineStr">
        <is>
          <t>F05</t>
        </is>
      </c>
      <c r="E382" s="27" t="inlineStr">
        <is>
          <t>2011</t>
        </is>
      </c>
      <c r="F382" s="27" t="n">
        <v>20</v>
      </c>
      <c r="G382" s="27" t="n">
        <v>3</v>
      </c>
      <c r="H382" s="27" t="n">
        <v>8200</v>
      </c>
      <c r="I382" s="28">
        <f>G382*H382/1000*F382^2/162</f>
        <v>60.74074074074074</v>
      </c>
    </row>
    <row r="383">
      <c r="A383" s="7" t="inlineStr">
        <is>
          <t>STR-060</t>
        </is>
      </c>
      <c r="B383" s="7" t="inlineStr">
        <is>
          <t>Beams</t>
        </is>
      </c>
      <c r="C383" s="7" t="inlineStr">
        <is>
          <t>Second floor beams</t>
        </is>
      </c>
      <c r="D383" s="7" t="inlineStr">
        <is>
          <t>F05</t>
        </is>
      </c>
      <c r="E383" s="27" t="inlineStr">
        <is>
          <t>2012</t>
        </is>
      </c>
      <c r="F383" s="27" t="n">
        <v>20</v>
      </c>
      <c r="G383" s="27" t="n">
        <v>3</v>
      </c>
      <c r="H383" s="27" t="n">
        <v>9250</v>
      </c>
      <c r="I383" s="28">
        <f>G383*H383/1000*F383^2/162</f>
        <v>68.51851851851852</v>
      </c>
    </row>
    <row r="384">
      <c r="A384" s="7" t="inlineStr">
        <is>
          <t>STR-060</t>
        </is>
      </c>
      <c r="B384" s="7" t="inlineStr">
        <is>
          <t>Beams</t>
        </is>
      </c>
      <c r="C384" s="7" t="inlineStr">
        <is>
          <t>Second floor beams</t>
        </is>
      </c>
      <c r="D384" s="7" t="inlineStr">
        <is>
          <t>F05</t>
        </is>
      </c>
      <c r="E384" s="27" t="inlineStr">
        <is>
          <t>2013</t>
        </is>
      </c>
      <c r="F384" s="27" t="n">
        <v>20</v>
      </c>
      <c r="G384" s="27" t="n">
        <v>3</v>
      </c>
      <c r="H384" s="27" t="n">
        <v>5700</v>
      </c>
      <c r="I384" s="28">
        <f>G384*H384/1000*F384^2/162</f>
        <v>42.22222222222223</v>
      </c>
    </row>
    <row r="385">
      <c r="A385" s="7" t="inlineStr">
        <is>
          <t>STR-060</t>
        </is>
      </c>
      <c r="B385" s="7" t="inlineStr">
        <is>
          <t>Beams</t>
        </is>
      </c>
      <c r="C385" s="7" t="inlineStr">
        <is>
          <t>Second floor beams</t>
        </is>
      </c>
      <c r="D385" s="7" t="inlineStr">
        <is>
          <t>F05</t>
        </is>
      </c>
      <c r="E385" s="27" t="inlineStr">
        <is>
          <t>2014</t>
        </is>
      </c>
      <c r="F385" s="27" t="n">
        <v>20</v>
      </c>
      <c r="G385" s="27" t="n">
        <v>3</v>
      </c>
      <c r="H385" s="27" t="n">
        <v>9400</v>
      </c>
      <c r="I385" s="28">
        <f>G385*H385/1000*F385^2/162</f>
        <v>69.62962962962963</v>
      </c>
    </row>
    <row r="386">
      <c r="A386" s="7" t="inlineStr">
        <is>
          <t>STR-060</t>
        </is>
      </c>
      <c r="B386" s="7" t="inlineStr">
        <is>
          <t>Beams</t>
        </is>
      </c>
      <c r="C386" s="7" t="inlineStr">
        <is>
          <t>Second floor beams</t>
        </is>
      </c>
      <c r="D386" s="7" t="inlineStr">
        <is>
          <t>F05</t>
        </is>
      </c>
      <c r="E386" s="27" t="inlineStr">
        <is>
          <t>2015</t>
        </is>
      </c>
      <c r="F386" s="27" t="n">
        <v>20</v>
      </c>
      <c r="G386" s="27" t="n">
        <v>3</v>
      </c>
      <c r="H386" s="27" t="n">
        <v>4600</v>
      </c>
      <c r="I386" s="28">
        <f>G386*H386/1000*F386^2/162</f>
        <v>34.074074074074076</v>
      </c>
    </row>
    <row r="387">
      <c r="A387" s="7" t="inlineStr">
        <is>
          <t>STR-060</t>
        </is>
      </c>
      <c r="B387" s="7" t="inlineStr">
        <is>
          <t>Beams</t>
        </is>
      </c>
      <c r="C387" s="7" t="inlineStr">
        <is>
          <t>Second floor beams</t>
        </is>
      </c>
      <c r="D387" s="7" t="inlineStr">
        <is>
          <t>F05</t>
        </is>
      </c>
      <c r="E387" s="27" t="inlineStr">
        <is>
          <t>2501</t>
        </is>
      </c>
      <c r="F387" s="27" t="n">
        <v>25</v>
      </c>
      <c r="G387" s="27" t="n">
        <v>3</v>
      </c>
      <c r="H387" s="27" t="n">
        <v>11200</v>
      </c>
      <c r="I387" s="28">
        <f>G387*H387/1000*F387^2/162</f>
        <v>129.62962962962962</v>
      </c>
    </row>
    <row r="388">
      <c r="A388" s="7" t="inlineStr">
        <is>
          <t>STR-060</t>
        </is>
      </c>
      <c r="B388" s="7" t="inlineStr">
        <is>
          <t>Beams</t>
        </is>
      </c>
      <c r="C388" s="7" t="inlineStr">
        <is>
          <t>Second floor beams</t>
        </is>
      </c>
      <c r="D388" s="7" t="inlineStr">
        <is>
          <t>F05</t>
        </is>
      </c>
      <c r="E388" s="27" t="inlineStr">
        <is>
          <t>2502</t>
        </is>
      </c>
      <c r="F388" s="27" t="n">
        <v>25</v>
      </c>
      <c r="G388" s="27" t="n">
        <v>3</v>
      </c>
      <c r="H388" s="27" t="n">
        <v>9400</v>
      </c>
      <c r="I388" s="28">
        <f>G388*H388/1000*F388^2/162</f>
        <v>108.79629629629629</v>
      </c>
    </row>
    <row r="389">
      <c r="A389" s="7" t="inlineStr">
        <is>
          <t>STR-060</t>
        </is>
      </c>
      <c r="B389" s="7" t="inlineStr">
        <is>
          <t>Beams</t>
        </is>
      </c>
      <c r="C389" s="7" t="inlineStr">
        <is>
          <t>Second floor beams</t>
        </is>
      </c>
      <c r="D389" s="7" t="inlineStr">
        <is>
          <t>F05</t>
        </is>
      </c>
      <c r="E389" s="27" t="inlineStr">
        <is>
          <t>2503</t>
        </is>
      </c>
      <c r="F389" s="27" t="n">
        <v>25</v>
      </c>
      <c r="G389" s="27" t="n">
        <v>3</v>
      </c>
      <c r="H389" s="27" t="n">
        <v>12000</v>
      </c>
      <c r="I389" s="28">
        <f>G389*H389/1000*F389^2/162</f>
        <v>138.88888888888889</v>
      </c>
    </row>
    <row r="390">
      <c r="A390" s="7" t="inlineStr">
        <is>
          <t>STR-060</t>
        </is>
      </c>
      <c r="B390" s="7" t="inlineStr">
        <is>
          <t>Beams</t>
        </is>
      </c>
      <c r="C390" s="7" t="inlineStr">
        <is>
          <t>Second floor beams</t>
        </is>
      </c>
      <c r="D390" s="7" t="inlineStr">
        <is>
          <t>F05</t>
        </is>
      </c>
      <c r="E390" s="27" t="inlineStr">
        <is>
          <t>2504</t>
        </is>
      </c>
      <c r="F390" s="27" t="n">
        <v>25</v>
      </c>
      <c r="G390" s="27" t="n">
        <v>3</v>
      </c>
      <c r="H390" s="27" t="n">
        <v>7100</v>
      </c>
      <c r="I390" s="28">
        <f>G390*H390/1000*F390^2/162</f>
        <v>82.17592592592592</v>
      </c>
    </row>
    <row r="391">
      <c r="A391" s="7" t="inlineStr">
        <is>
          <t>STR-060</t>
        </is>
      </c>
      <c r="B391" s="7" t="inlineStr">
        <is>
          <t>Beams</t>
        </is>
      </c>
      <c r="C391" s="7" t="inlineStr">
        <is>
          <t>Second floor beams</t>
        </is>
      </c>
      <c r="D391" s="7" t="inlineStr">
        <is>
          <t>F05</t>
        </is>
      </c>
      <c r="E391" s="27" t="inlineStr">
        <is>
          <t>2505</t>
        </is>
      </c>
      <c r="F391" s="27" t="n">
        <v>25</v>
      </c>
      <c r="G391" s="27" t="n">
        <v>6</v>
      </c>
      <c r="H391" s="27" t="n">
        <v>9300</v>
      </c>
      <c r="I391" s="28">
        <f>G391*H391/1000*F391^2/162</f>
        <v>215.27777777777777</v>
      </c>
    </row>
    <row r="392">
      <c r="A392" s="7" t="inlineStr">
        <is>
          <t>STR-060</t>
        </is>
      </c>
      <c r="B392" s="7" t="inlineStr">
        <is>
          <t>Beams</t>
        </is>
      </c>
      <c r="C392" s="7" t="inlineStr">
        <is>
          <t>Second floor beams</t>
        </is>
      </c>
      <c r="D392" s="7" t="inlineStr">
        <is>
          <t>F05</t>
        </is>
      </c>
      <c r="E392" s="27" t="inlineStr">
        <is>
          <t>2506</t>
        </is>
      </c>
      <c r="F392" s="27" t="n">
        <v>25</v>
      </c>
      <c r="G392" s="27" t="n">
        <v>3</v>
      </c>
      <c r="H392" s="27" t="n">
        <v>9000</v>
      </c>
      <c r="I392" s="28">
        <f>G392*H392/1000*F392^2/162</f>
        <v>104.16666666666667</v>
      </c>
    </row>
    <row r="393">
      <c r="A393" s="7" t="inlineStr">
        <is>
          <t>STR-060</t>
        </is>
      </c>
      <c r="B393" s="7" t="inlineStr">
        <is>
          <t>Beams</t>
        </is>
      </c>
      <c r="C393" s="7" t="inlineStr">
        <is>
          <t>Second floor beams</t>
        </is>
      </c>
      <c r="D393" s="7" t="inlineStr">
        <is>
          <t>F05</t>
        </is>
      </c>
      <c r="E393" s="27" t="inlineStr">
        <is>
          <t>2507</t>
        </is>
      </c>
      <c r="F393" s="27" t="n">
        <v>25</v>
      </c>
      <c r="G393" s="27" t="n">
        <v>3</v>
      </c>
      <c r="H393" s="27" t="n">
        <v>9850</v>
      </c>
      <c r="I393" s="28">
        <f>G393*H393/1000*F393^2/162</f>
        <v>114.00462962962963</v>
      </c>
    </row>
    <row r="394">
      <c r="A394" s="7" t="inlineStr">
        <is>
          <t>STR-060</t>
        </is>
      </c>
      <c r="B394" s="7" t="inlineStr">
        <is>
          <t>Beams</t>
        </is>
      </c>
      <c r="C394" s="7" t="inlineStr">
        <is>
          <t>Second floor beams</t>
        </is>
      </c>
      <c r="D394" s="7" t="inlineStr">
        <is>
          <t>F05</t>
        </is>
      </c>
      <c r="E394" s="27" t="inlineStr">
        <is>
          <t>2508</t>
        </is>
      </c>
      <c r="F394" s="27" t="n">
        <v>25</v>
      </c>
      <c r="G394" s="27" t="n">
        <v>3</v>
      </c>
      <c r="H394" s="27" t="n">
        <v>5850</v>
      </c>
      <c r="I394" s="28">
        <f>G394*H394/1000*F394^2/162</f>
        <v>67.70833333333333</v>
      </c>
    </row>
    <row r="395">
      <c r="A395" s="7" t="inlineStr">
        <is>
          <t>STR-060</t>
        </is>
      </c>
      <c r="B395" s="7" t="inlineStr">
        <is>
          <t>Beams</t>
        </is>
      </c>
      <c r="C395" s="7" t="inlineStr">
        <is>
          <t>Second floor beams</t>
        </is>
      </c>
      <c r="D395" s="7" t="inlineStr">
        <is>
          <t>F05</t>
        </is>
      </c>
      <c r="E395" s="27" t="inlineStr">
        <is>
          <t>2509</t>
        </is>
      </c>
      <c r="F395" s="27" t="n">
        <v>25</v>
      </c>
      <c r="G395" s="27" t="n">
        <v>3</v>
      </c>
      <c r="H395" s="27" t="n">
        <v>9300</v>
      </c>
      <c r="I395" s="28">
        <f>G395*H395/1000*F395^2/162</f>
        <v>107.63888888888889</v>
      </c>
    </row>
    <row r="396">
      <c r="A396" s="7" t="inlineStr">
        <is>
          <t>STR-060</t>
        </is>
      </c>
      <c r="B396" s="7" t="inlineStr">
        <is>
          <t>Beams</t>
        </is>
      </c>
      <c r="C396" s="7" t="inlineStr">
        <is>
          <t>Second floor beams</t>
        </is>
      </c>
      <c r="D396" s="7" t="inlineStr">
        <is>
          <t>F05</t>
        </is>
      </c>
      <c r="E396" s="27" t="inlineStr">
        <is>
          <t>2510</t>
        </is>
      </c>
      <c r="F396" s="27" t="n">
        <v>25</v>
      </c>
      <c r="G396" s="27" t="n">
        <v>3</v>
      </c>
      <c r="H396" s="27" t="n">
        <v>9100</v>
      </c>
      <c r="I396" s="28">
        <f>G396*H396/1000*F396^2/162</f>
        <v>105.32407407407408</v>
      </c>
    </row>
    <row r="397">
      <c r="A397" s="7" t="inlineStr">
        <is>
          <t>STR-060</t>
        </is>
      </c>
      <c r="B397" s="7" t="inlineStr">
        <is>
          <t>Beams</t>
        </is>
      </c>
      <c r="C397" s="7" t="inlineStr">
        <is>
          <t>Second floor beams</t>
        </is>
      </c>
      <c r="D397" s="7" t="inlineStr">
        <is>
          <t>F05</t>
        </is>
      </c>
      <c r="E397" s="27" t="inlineStr">
        <is>
          <t>2511</t>
        </is>
      </c>
      <c r="F397" s="27" t="n">
        <v>25</v>
      </c>
      <c r="G397" s="27" t="n">
        <v>3</v>
      </c>
      <c r="H397" s="27" t="n">
        <v>10475</v>
      </c>
      <c r="I397" s="28">
        <f>G397*H397/1000*F397^2/162</f>
        <v>121.23842592592592</v>
      </c>
    </row>
    <row r="398">
      <c r="A398" s="7" t="inlineStr">
        <is>
          <t>STR-060</t>
        </is>
      </c>
      <c r="B398" s="7" t="inlineStr">
        <is>
          <t>Beams</t>
        </is>
      </c>
      <c r="C398" s="7" t="inlineStr">
        <is>
          <t>Second floor beams</t>
        </is>
      </c>
      <c r="D398" s="7" t="inlineStr">
        <is>
          <t>F05</t>
        </is>
      </c>
      <c r="E398" s="27" t="inlineStr">
        <is>
          <t>2512</t>
        </is>
      </c>
      <c r="F398" s="27" t="n">
        <v>25</v>
      </c>
      <c r="G398" s="27" t="n">
        <v>3</v>
      </c>
      <c r="H398" s="27" t="n">
        <v>4800</v>
      </c>
      <c r="I398" s="28">
        <f>G398*H398/1000*F398^2/162</f>
        <v>55.55555555555556</v>
      </c>
    </row>
    <row r="399">
      <c r="A399" s="7" t="inlineStr">
        <is>
          <t>STR-060</t>
        </is>
      </c>
      <c r="B399" s="7" t="inlineStr">
        <is>
          <t>Beams</t>
        </is>
      </c>
      <c r="C399" s="7" t="inlineStr">
        <is>
          <t>Second floor beams</t>
        </is>
      </c>
      <c r="D399" s="7" t="inlineStr">
        <is>
          <t>F05</t>
        </is>
      </c>
      <c r="E399" s="27" t="inlineStr">
        <is>
          <t>2513</t>
        </is>
      </c>
      <c r="F399" s="27" t="n">
        <v>25</v>
      </c>
      <c r="G399" s="27" t="n">
        <v>3</v>
      </c>
      <c r="H399" s="27" t="n">
        <v>10750</v>
      </c>
      <c r="I399" s="28">
        <f>G399*H399/1000*F399^2/162</f>
        <v>124.42129629629629</v>
      </c>
    </row>
    <row r="400">
      <c r="A400" s="7" t="inlineStr">
        <is>
          <t>STR-060</t>
        </is>
      </c>
      <c r="B400" s="7" t="inlineStr">
        <is>
          <t>Beams</t>
        </is>
      </c>
      <c r="C400" s="7" t="inlineStr">
        <is>
          <t>Second floor beams</t>
        </is>
      </c>
      <c r="D400" s="7" t="inlineStr">
        <is>
          <t>F05</t>
        </is>
      </c>
      <c r="E400" s="27" t="inlineStr">
        <is>
          <t>2514</t>
        </is>
      </c>
      <c r="F400" s="27" t="n">
        <v>25</v>
      </c>
      <c r="G400" s="27" t="n">
        <v>3</v>
      </c>
      <c r="H400" s="27" t="n">
        <v>8400</v>
      </c>
      <c r="I400" s="28">
        <f>G400*H400/1000*F400^2/162</f>
        <v>97.22222222222223</v>
      </c>
    </row>
    <row r="401">
      <c r="A401" s="7" t="inlineStr">
        <is>
          <t>STR-060</t>
        </is>
      </c>
      <c r="B401" s="7" t="inlineStr">
        <is>
          <t>Beams</t>
        </is>
      </c>
      <c r="C401" s="7" t="inlineStr">
        <is>
          <t>Second floor beams</t>
        </is>
      </c>
      <c r="D401" s="7" t="inlineStr">
        <is>
          <t>F05</t>
        </is>
      </c>
      <c r="E401" s="27" t="inlineStr">
        <is>
          <t>2515</t>
        </is>
      </c>
      <c r="F401" s="27" t="n">
        <v>25</v>
      </c>
      <c r="G401" s="27" t="n">
        <v>3</v>
      </c>
      <c r="H401" s="27" t="n">
        <v>10100</v>
      </c>
      <c r="I401" s="28">
        <f>G401*H401/1000*F401^2/162</f>
        <v>116.89814814814815</v>
      </c>
    </row>
    <row r="402">
      <c r="A402" s="7" t="inlineStr">
        <is>
          <t>STR-060</t>
        </is>
      </c>
      <c r="B402" s="7" t="inlineStr">
        <is>
          <t>Beams</t>
        </is>
      </c>
      <c r="C402" s="7" t="inlineStr">
        <is>
          <t>Second floor beams</t>
        </is>
      </c>
      <c r="D402" s="7" t="inlineStr">
        <is>
          <t>F05</t>
        </is>
      </c>
      <c r="E402" s="27" t="inlineStr">
        <is>
          <t>2516</t>
        </is>
      </c>
      <c r="F402" s="27" t="n">
        <v>25</v>
      </c>
      <c r="G402" s="27" t="n">
        <v>3</v>
      </c>
      <c r="H402" s="27" t="n">
        <v>9500</v>
      </c>
      <c r="I402" s="28">
        <f>G402*H402/1000*F402^2/162</f>
        <v>109.95370370370371</v>
      </c>
    </row>
    <row r="403">
      <c r="A403" s="7" t="inlineStr">
        <is>
          <t>STR-060</t>
        </is>
      </c>
      <c r="B403" s="7" t="inlineStr">
        <is>
          <t>Beams</t>
        </is>
      </c>
      <c r="C403" s="7" t="inlineStr">
        <is>
          <t>Second floor beams</t>
        </is>
      </c>
      <c r="D403" s="7" t="inlineStr">
        <is>
          <t>F05</t>
        </is>
      </c>
      <c r="E403" s="27" t="inlineStr">
        <is>
          <t>2517</t>
        </is>
      </c>
      <c r="F403" s="27" t="n">
        <v>25</v>
      </c>
      <c r="G403" s="27" t="n">
        <v>3</v>
      </c>
      <c r="H403" s="27" t="n">
        <v>5850</v>
      </c>
      <c r="I403" s="28">
        <f>G403*H403/1000*F403^2/162</f>
        <v>67.70833333333333</v>
      </c>
    </row>
    <row r="404">
      <c r="A404" s="7" t="inlineStr">
        <is>
          <t>STR-060</t>
        </is>
      </c>
      <c r="B404" s="7" t="inlineStr">
        <is>
          <t>Beams</t>
        </is>
      </c>
      <c r="C404" s="7" t="inlineStr">
        <is>
          <t>Second floor beams</t>
        </is>
      </c>
      <c r="D404" s="7" t="inlineStr">
        <is>
          <t>F05</t>
        </is>
      </c>
      <c r="E404" s="27" t="inlineStr">
        <is>
          <t>2518</t>
        </is>
      </c>
      <c r="F404" s="27" t="n">
        <v>25</v>
      </c>
      <c r="G404" s="27" t="n">
        <v>3</v>
      </c>
      <c r="H404" s="27" t="n">
        <v>8000</v>
      </c>
      <c r="I404" s="28">
        <f>G404*H404/1000*F404^2/162</f>
        <v>92.5925925925926</v>
      </c>
    </row>
    <row r="405">
      <c r="A405" s="7" t="inlineStr">
        <is>
          <t>STR-060</t>
        </is>
      </c>
      <c r="B405" s="7" t="inlineStr">
        <is>
          <t>Beams</t>
        </is>
      </c>
      <c r="C405" s="7" t="inlineStr">
        <is>
          <t>Second floor beams</t>
        </is>
      </c>
      <c r="D405" s="7" t="inlineStr">
        <is>
          <t>F05</t>
        </is>
      </c>
      <c r="E405" s="27" t="inlineStr">
        <is>
          <t>2519</t>
        </is>
      </c>
      <c r="F405" s="27" t="n">
        <v>25</v>
      </c>
      <c r="G405" s="27" t="n">
        <v>3</v>
      </c>
      <c r="H405" s="27" t="n">
        <v>8700</v>
      </c>
      <c r="I405" s="28">
        <f>G405*H405/1000*F405^2/162</f>
        <v>100.69444444444444</v>
      </c>
    </row>
    <row r="406">
      <c r="A406" s="7" t="inlineStr">
        <is>
          <t>STR-060</t>
        </is>
      </c>
      <c r="B406" s="7" t="inlineStr">
        <is>
          <t>Beams</t>
        </is>
      </c>
      <c r="C406" s="7" t="inlineStr">
        <is>
          <t>Second floor beams</t>
        </is>
      </c>
      <c r="D406" s="7" t="inlineStr">
        <is>
          <t>F05</t>
        </is>
      </c>
      <c r="E406" s="27" t="inlineStr">
        <is>
          <t>2520</t>
        </is>
      </c>
      <c r="F406" s="27" t="n">
        <v>25</v>
      </c>
      <c r="G406" s="27" t="n">
        <v>3</v>
      </c>
      <c r="H406" s="27" t="n">
        <v>5900</v>
      </c>
      <c r="I406" s="28">
        <f>G406*H406/1000*F406^2/162</f>
        <v>68.28703703703704</v>
      </c>
    </row>
    <row r="407">
      <c r="A407" s="7" t="inlineStr">
        <is>
          <t>STR-060</t>
        </is>
      </c>
      <c r="B407" s="7" t="inlineStr">
        <is>
          <t>Beams</t>
        </is>
      </c>
      <c r="C407" s="7" t="inlineStr">
        <is>
          <t>Second floor beams</t>
        </is>
      </c>
      <c r="D407" s="7" t="inlineStr">
        <is>
          <t>F05</t>
        </is>
      </c>
      <c r="E407" s="27" t="inlineStr">
        <is>
          <t>2521</t>
        </is>
      </c>
      <c r="F407" s="27" t="n">
        <v>25</v>
      </c>
      <c r="G407" s="27" t="n">
        <v>12</v>
      </c>
      <c r="H407" s="27" t="n">
        <v>6450</v>
      </c>
      <c r="I407" s="28">
        <f>G407*H407/1000*F407^2/162</f>
        <v>298.6111111111111</v>
      </c>
    </row>
    <row r="408">
      <c r="A408" s="7" t="inlineStr">
        <is>
          <t>STR-061</t>
        </is>
      </c>
      <c r="B408" s="7" t="inlineStr">
        <is>
          <t>Floor Slabs</t>
        </is>
      </c>
      <c r="C408" s="7" t="inlineStr">
        <is>
          <t>Second floor slab - bottom</t>
        </is>
      </c>
      <c r="D408" s="7" t="inlineStr">
        <is>
          <t>F05</t>
        </is>
      </c>
      <c r="E408" s="27" t="inlineStr">
        <is>
          <t>1201</t>
        </is>
      </c>
      <c r="F408" s="27" t="n">
        <v>12</v>
      </c>
      <c r="G408" s="27" t="n">
        <v>114</v>
      </c>
      <c r="H408" s="27" t="n">
        <v>8250</v>
      </c>
      <c r="I408" s="28">
        <f>G408*H408/1000*F408^2/162</f>
        <v>836.0</v>
      </c>
    </row>
    <row r="409">
      <c r="A409" s="7" t="inlineStr">
        <is>
          <t>STR-061</t>
        </is>
      </c>
      <c r="B409" s="7" t="inlineStr">
        <is>
          <t>Floor Slabs</t>
        </is>
      </c>
      <c r="C409" s="7" t="inlineStr">
        <is>
          <t>Second floor slab - bottom</t>
        </is>
      </c>
      <c r="D409" s="7" t="inlineStr">
        <is>
          <t>F05</t>
        </is>
      </c>
      <c r="E409" s="27" t="inlineStr">
        <is>
          <t>1202</t>
        </is>
      </c>
      <c r="F409" s="27" t="n">
        <v>12</v>
      </c>
      <c r="G409" s="27" t="n">
        <v>141</v>
      </c>
      <c r="H409" s="27" t="n">
        <v>9250</v>
      </c>
      <c r="I409" s="28">
        <f>G409*H409/1000*F409^2/162</f>
        <v>1159.3333333333333</v>
      </c>
    </row>
    <row r="410">
      <c r="A410" s="7" t="inlineStr">
        <is>
          <t>STR-061</t>
        </is>
      </c>
      <c r="B410" s="7" t="inlineStr">
        <is>
          <t>Floor Slabs</t>
        </is>
      </c>
      <c r="C410" s="7" t="inlineStr">
        <is>
          <t>Second floor slab - bottom</t>
        </is>
      </c>
      <c r="D410" s="7" t="inlineStr">
        <is>
          <t>F05</t>
        </is>
      </c>
      <c r="E410" s="27" t="inlineStr">
        <is>
          <t>1203</t>
        </is>
      </c>
      <c r="F410" s="27" t="n">
        <v>12</v>
      </c>
      <c r="G410" s="27" t="n">
        <v>141</v>
      </c>
      <c r="H410" s="27" t="n">
        <v>5500</v>
      </c>
      <c r="I410" s="28">
        <f>G410*H410/1000*F410^2/162</f>
        <v>689.3333333333334</v>
      </c>
    </row>
    <row r="411">
      <c r="A411" s="7" t="inlineStr">
        <is>
          <t>STR-061</t>
        </is>
      </c>
      <c r="B411" s="7" t="inlineStr">
        <is>
          <t>Floor Slabs</t>
        </is>
      </c>
      <c r="C411" s="7" t="inlineStr">
        <is>
          <t>Second floor slab - bottom</t>
        </is>
      </c>
      <c r="D411" s="7" t="inlineStr">
        <is>
          <t>F05</t>
        </is>
      </c>
      <c r="E411" s="27" t="inlineStr">
        <is>
          <t>1204</t>
        </is>
      </c>
      <c r="F411" s="27" t="n">
        <v>12</v>
      </c>
      <c r="G411" s="27" t="n">
        <v>62</v>
      </c>
      <c r="H411" s="27" t="n">
        <v>5250</v>
      </c>
      <c r="I411" s="28">
        <f>G411*H411/1000*F411^2/162</f>
        <v>289.3333333333333</v>
      </c>
    </row>
    <row r="412">
      <c r="A412" s="7" t="inlineStr">
        <is>
          <t>STR-061</t>
        </is>
      </c>
      <c r="B412" s="7" t="inlineStr">
        <is>
          <t>Floor Slabs</t>
        </is>
      </c>
      <c r="C412" s="7" t="inlineStr">
        <is>
          <t>Second floor slab - bottom</t>
        </is>
      </c>
      <c r="D412" s="7" t="inlineStr">
        <is>
          <t>F05</t>
        </is>
      </c>
      <c r="E412" s="27" t="inlineStr">
        <is>
          <t>1205</t>
        </is>
      </c>
      <c r="F412" s="27" t="n">
        <v>12</v>
      </c>
      <c r="G412" s="27" t="n">
        <v>224</v>
      </c>
      <c r="H412" s="27" t="n">
        <v>9050</v>
      </c>
      <c r="I412" s="28">
        <f>G412*H412/1000*F412^2/162</f>
        <v>1801.9555555555555</v>
      </c>
    </row>
    <row r="413">
      <c r="A413" s="7" t="inlineStr">
        <is>
          <t>STR-061</t>
        </is>
      </c>
      <c r="B413" s="7" t="inlineStr">
        <is>
          <t>Floor Slabs</t>
        </is>
      </c>
      <c r="C413" s="7" t="inlineStr">
        <is>
          <t>Second floor slab - bottom</t>
        </is>
      </c>
      <c r="D413" s="7" t="inlineStr">
        <is>
          <t>F05</t>
        </is>
      </c>
      <c r="E413" s="27" t="inlineStr">
        <is>
          <t>1206</t>
        </is>
      </c>
      <c r="F413" s="27" t="n">
        <v>12</v>
      </c>
      <c r="G413" s="27" t="n">
        <v>13</v>
      </c>
      <c r="H413" s="27" t="n">
        <v>3275</v>
      </c>
      <c r="I413" s="28">
        <f>G413*H413/1000*F413^2/162</f>
        <v>37.84444444444445</v>
      </c>
    </row>
    <row r="414">
      <c r="A414" s="7" t="inlineStr">
        <is>
          <t>STR-061</t>
        </is>
      </c>
      <c r="B414" s="7" t="inlineStr">
        <is>
          <t>Floor Slabs</t>
        </is>
      </c>
      <c r="C414" s="7" t="inlineStr">
        <is>
          <t>Second floor slab - bottom</t>
        </is>
      </c>
      <c r="D414" s="7" t="inlineStr">
        <is>
          <t>F05</t>
        </is>
      </c>
      <c r="E414" s="27" t="inlineStr">
        <is>
          <t>1207</t>
        </is>
      </c>
      <c r="F414" s="27" t="n">
        <v>12</v>
      </c>
      <c r="G414" s="27" t="n">
        <v>21</v>
      </c>
      <c r="H414" s="27" t="n">
        <v>4775</v>
      </c>
      <c r="I414" s="28">
        <f>G414*H414/1000*F414^2/162</f>
        <v>89.13333333333334</v>
      </c>
    </row>
    <row r="415">
      <c r="A415" s="7" t="inlineStr">
        <is>
          <t>STR-061</t>
        </is>
      </c>
      <c r="B415" s="7" t="inlineStr">
        <is>
          <t>Floor Slabs</t>
        </is>
      </c>
      <c r="C415" s="7" t="inlineStr">
        <is>
          <t>Second floor slab - bottom</t>
        </is>
      </c>
      <c r="D415" s="7" t="inlineStr">
        <is>
          <t>F05</t>
        </is>
      </c>
      <c r="E415" s="27" t="inlineStr">
        <is>
          <t>1208</t>
        </is>
      </c>
      <c r="F415" s="27" t="n">
        <v>12</v>
      </c>
      <c r="G415" s="27" t="n">
        <v>47</v>
      </c>
      <c r="H415" s="27" t="n">
        <v>5500</v>
      </c>
      <c r="I415" s="28">
        <f>G415*H415/1000*F415^2/162</f>
        <v>229.77777777777777</v>
      </c>
    </row>
    <row r="416">
      <c r="A416" s="7" t="inlineStr">
        <is>
          <t>STR-061</t>
        </is>
      </c>
      <c r="B416" s="7" t="inlineStr">
        <is>
          <t>Floor Slabs</t>
        </is>
      </c>
      <c r="C416" s="7" t="inlineStr">
        <is>
          <t>Second floor slab - bottom</t>
        </is>
      </c>
      <c r="D416" s="7" t="inlineStr">
        <is>
          <t>F05</t>
        </is>
      </c>
      <c r="E416" s="27" t="inlineStr">
        <is>
          <t>1209</t>
        </is>
      </c>
      <c r="F416" s="27" t="n">
        <v>12</v>
      </c>
      <c r="G416" s="27" t="n">
        <v>105</v>
      </c>
      <c r="H416" s="27" t="n">
        <v>8850</v>
      </c>
      <c r="I416" s="28">
        <f>G416*H416/1000*F416^2/162</f>
        <v>826.0</v>
      </c>
    </row>
    <row r="417">
      <c r="A417" s="7" t="inlineStr">
        <is>
          <t>STR-061</t>
        </is>
      </c>
      <c r="B417" s="7" t="inlineStr">
        <is>
          <t>Floor Slabs</t>
        </is>
      </c>
      <c r="C417" s="7" t="inlineStr">
        <is>
          <t>Second floor slab - bottom</t>
        </is>
      </c>
      <c r="D417" s="7" t="inlineStr">
        <is>
          <t>F05</t>
        </is>
      </c>
      <c r="E417" s="27" t="inlineStr">
        <is>
          <t>1210</t>
        </is>
      </c>
      <c r="F417" s="27" t="n">
        <v>12</v>
      </c>
      <c r="G417" s="27" t="n">
        <v>140</v>
      </c>
      <c r="H417" s="27" t="n">
        <v>8550</v>
      </c>
      <c r="I417" s="28">
        <f>G417*H417/1000*F417^2/162</f>
        <v>1064.0</v>
      </c>
    </row>
    <row r="418">
      <c r="A418" s="7" t="inlineStr">
        <is>
          <t>STR-061</t>
        </is>
      </c>
      <c r="B418" s="7" t="inlineStr">
        <is>
          <t>Floor Slabs</t>
        </is>
      </c>
      <c r="C418" s="7" t="inlineStr">
        <is>
          <t>Second floor slab - bottom</t>
        </is>
      </c>
      <c r="D418" s="7" t="inlineStr">
        <is>
          <t>F05</t>
        </is>
      </c>
      <c r="E418" s="27" t="inlineStr">
        <is>
          <t>1211</t>
        </is>
      </c>
      <c r="F418" s="27" t="n">
        <v>12</v>
      </c>
      <c r="G418" s="27" t="n">
        <v>126</v>
      </c>
      <c r="H418" s="27" t="n">
        <v>8275</v>
      </c>
      <c r="I418" s="28">
        <f>G418*H418/1000*F418^2/162</f>
        <v>926.8000000000001</v>
      </c>
    </row>
    <row r="419">
      <c r="A419" s="7" t="inlineStr">
        <is>
          <t>STR-061</t>
        </is>
      </c>
      <c r="B419" s="7" t="inlineStr">
        <is>
          <t>Floor Slabs</t>
        </is>
      </c>
      <c r="C419" s="7" t="inlineStr">
        <is>
          <t>Second floor slab - bottom</t>
        </is>
      </c>
      <c r="D419" s="7" t="inlineStr">
        <is>
          <t>F05</t>
        </is>
      </c>
      <c r="E419" s="27" t="inlineStr">
        <is>
          <t>1212</t>
        </is>
      </c>
      <c r="F419" s="27" t="n">
        <v>12</v>
      </c>
      <c r="G419" s="27" t="n">
        <v>82</v>
      </c>
      <c r="H419" s="27" t="n">
        <v>11300</v>
      </c>
      <c r="I419" s="28">
        <f>G419*H419/1000*F419^2/162</f>
        <v>823.6444444444444</v>
      </c>
    </row>
    <row r="420">
      <c r="A420" s="7" t="inlineStr">
        <is>
          <t>STR-061</t>
        </is>
      </c>
      <c r="B420" s="7" t="inlineStr">
        <is>
          <t>Floor Slabs</t>
        </is>
      </c>
      <c r="C420" s="7" t="inlineStr">
        <is>
          <t>Second floor slab - bottom</t>
        </is>
      </c>
      <c r="D420" s="7" t="inlineStr">
        <is>
          <t>F05</t>
        </is>
      </c>
      <c r="E420" s="27" t="inlineStr">
        <is>
          <t>1213</t>
        </is>
      </c>
      <c r="F420" s="27" t="n">
        <v>12</v>
      </c>
      <c r="G420" s="27" t="n">
        <v>36</v>
      </c>
      <c r="H420" s="27" t="n">
        <v>10250</v>
      </c>
      <c r="I420" s="28">
        <f>G420*H420/1000*F420^2/162</f>
        <v>328.0</v>
      </c>
    </row>
    <row r="421">
      <c r="A421" s="7" t="inlineStr">
        <is>
          <t>STR-061</t>
        </is>
      </c>
      <c r="B421" s="7" t="inlineStr">
        <is>
          <t>Floor Slabs</t>
        </is>
      </c>
      <c r="C421" s="7" t="inlineStr">
        <is>
          <t>Second floor slab - bottom</t>
        </is>
      </c>
      <c r="D421" s="7" t="inlineStr">
        <is>
          <t>F05</t>
        </is>
      </c>
      <c r="E421" s="27" t="inlineStr">
        <is>
          <t>1214</t>
        </is>
      </c>
      <c r="F421" s="27" t="n">
        <v>12</v>
      </c>
      <c r="G421" s="27" t="n">
        <v>158</v>
      </c>
      <c r="H421" s="27" t="n">
        <v>11000</v>
      </c>
      <c r="I421" s="28">
        <f>G421*H421/1000*F421^2/162</f>
        <v>1544.888888888889</v>
      </c>
    </row>
    <row r="422">
      <c r="A422" s="7" t="inlineStr">
        <is>
          <t>STR-061</t>
        </is>
      </c>
      <c r="B422" s="7" t="inlineStr">
        <is>
          <t>Floor Slabs</t>
        </is>
      </c>
      <c r="C422" s="7" t="inlineStr">
        <is>
          <t>Second floor slab - bottom</t>
        </is>
      </c>
      <c r="D422" s="7" t="inlineStr">
        <is>
          <t>F05</t>
        </is>
      </c>
      <c r="E422" s="27" t="inlineStr">
        <is>
          <t>1215</t>
        </is>
      </c>
      <c r="F422" s="27" t="n">
        <v>12</v>
      </c>
      <c r="G422" s="27" t="n">
        <v>23</v>
      </c>
      <c r="H422" s="27" t="n">
        <v>8300</v>
      </c>
      <c r="I422" s="28">
        <f>G422*H422/1000*F422^2/162</f>
        <v>169.6888888888889</v>
      </c>
    </row>
    <row r="423">
      <c r="A423" s="7" t="inlineStr">
        <is>
          <t>STR-061</t>
        </is>
      </c>
      <c r="B423" s="7" t="inlineStr">
        <is>
          <t>Floor Slabs</t>
        </is>
      </c>
      <c r="C423" s="7" t="inlineStr">
        <is>
          <t>Second floor slab - bottom</t>
        </is>
      </c>
      <c r="D423" s="7" t="inlineStr">
        <is>
          <t>F05</t>
        </is>
      </c>
      <c r="E423" s="27" t="inlineStr">
        <is>
          <t>1216</t>
        </is>
      </c>
      <c r="F423" s="27" t="n">
        <v>12</v>
      </c>
      <c r="G423" s="27" t="n">
        <v>122</v>
      </c>
      <c r="H423" s="27" t="n">
        <v>6400</v>
      </c>
      <c r="I423" s="28">
        <f>G423*H423/1000*F423^2/162</f>
        <v>694.0444444444445</v>
      </c>
    </row>
    <row r="424">
      <c r="A424" s="7" t="inlineStr">
        <is>
          <t>STR-061</t>
        </is>
      </c>
      <c r="B424" s="7" t="inlineStr">
        <is>
          <t>Floor Slabs</t>
        </is>
      </c>
      <c r="C424" s="7" t="inlineStr">
        <is>
          <t>Second floor slab - bottom</t>
        </is>
      </c>
      <c r="D424" s="7" t="inlineStr">
        <is>
          <t>F05</t>
        </is>
      </c>
      <c r="E424" s="27" t="inlineStr">
        <is>
          <t>1217</t>
        </is>
      </c>
      <c r="F424" s="27" t="n">
        <v>12</v>
      </c>
      <c r="G424" s="27" t="n">
        <v>74</v>
      </c>
      <c r="H424" s="27" t="n">
        <v>12000</v>
      </c>
      <c r="I424" s="28">
        <f>G424*H424/1000*F424^2/162</f>
        <v>789.3333333333334</v>
      </c>
    </row>
    <row r="425">
      <c r="A425" s="7" t="inlineStr">
        <is>
          <t>STR-061</t>
        </is>
      </c>
      <c r="B425" s="7" t="inlineStr">
        <is>
          <t>Floor Slabs</t>
        </is>
      </c>
      <c r="C425" s="7" t="inlineStr">
        <is>
          <t>Second floor slab - bottom</t>
        </is>
      </c>
      <c r="D425" s="7" t="inlineStr">
        <is>
          <t>F05</t>
        </is>
      </c>
      <c r="E425" s="27" t="inlineStr">
        <is>
          <t>1218</t>
        </is>
      </c>
      <c r="F425" s="27" t="n">
        <v>12</v>
      </c>
      <c r="G425" s="27" t="n">
        <v>351</v>
      </c>
      <c r="H425" s="27" t="n">
        <v>11750</v>
      </c>
      <c r="I425" s="28">
        <f>G425*H425/1000*F425^2/162</f>
        <v>3666.0</v>
      </c>
    </row>
    <row r="426">
      <c r="A426" s="7" t="inlineStr">
        <is>
          <t>STR-061</t>
        </is>
      </c>
      <c r="B426" s="7" t="inlineStr">
        <is>
          <t>Floor Slabs</t>
        </is>
      </c>
      <c r="C426" s="7" t="inlineStr">
        <is>
          <t>Second floor slab - bottom</t>
        </is>
      </c>
      <c r="D426" s="7" t="inlineStr">
        <is>
          <t>F05</t>
        </is>
      </c>
      <c r="E426" s="27" t="inlineStr">
        <is>
          <t>1219</t>
        </is>
      </c>
      <c r="F426" s="27" t="n">
        <v>12</v>
      </c>
      <c r="G426" s="27" t="n">
        <v>75</v>
      </c>
      <c r="H426" s="27" t="n">
        <v>11475</v>
      </c>
      <c r="I426" s="28">
        <f>G426*H426/1000*F426^2/162</f>
        <v>765.0</v>
      </c>
    </row>
    <row r="427">
      <c r="A427" s="7" t="inlineStr">
        <is>
          <t>STR-061</t>
        </is>
      </c>
      <c r="B427" s="7" t="inlineStr">
        <is>
          <t>Floor Slabs</t>
        </is>
      </c>
      <c r="C427" s="7" t="inlineStr">
        <is>
          <t>Second floor slab - bottom</t>
        </is>
      </c>
      <c r="D427" s="7" t="inlineStr">
        <is>
          <t>F05</t>
        </is>
      </c>
      <c r="E427" s="27" t="inlineStr">
        <is>
          <t>1220</t>
        </is>
      </c>
      <c r="F427" s="27" t="n">
        <v>12</v>
      </c>
      <c r="G427" s="27" t="n">
        <v>7</v>
      </c>
      <c r="H427" s="27" t="n">
        <v>6350</v>
      </c>
      <c r="I427" s="28">
        <f>G427*H427/1000*F427^2/162</f>
        <v>39.51111111111111</v>
      </c>
    </row>
    <row r="428">
      <c r="A428" s="7" t="inlineStr">
        <is>
          <t>STR-061</t>
        </is>
      </c>
      <c r="B428" s="7" t="inlineStr">
        <is>
          <t>Floor Slabs</t>
        </is>
      </c>
      <c r="C428" s="7" t="inlineStr">
        <is>
          <t>Second floor slab - bottom</t>
        </is>
      </c>
      <c r="D428" s="7" t="inlineStr">
        <is>
          <t>F05</t>
        </is>
      </c>
      <c r="E428" s="27" t="inlineStr">
        <is>
          <t>1221</t>
        </is>
      </c>
      <c r="F428" s="27" t="n">
        <v>12</v>
      </c>
      <c r="G428" s="27" t="n">
        <v>13</v>
      </c>
      <c r="H428" s="27" t="n">
        <v>12000</v>
      </c>
      <c r="I428" s="28">
        <f>G428*H428/1000*F428^2/162</f>
        <v>138.66666666666666</v>
      </c>
    </row>
    <row r="429">
      <c r="A429" s="7" t="inlineStr">
        <is>
          <t>STR-061</t>
        </is>
      </c>
      <c r="B429" s="7" t="inlineStr">
        <is>
          <t>Floor Slabs</t>
        </is>
      </c>
      <c r="C429" s="7" t="inlineStr">
        <is>
          <t>Second floor slab - bottom</t>
        </is>
      </c>
      <c r="D429" s="7" t="inlineStr">
        <is>
          <t>F05</t>
        </is>
      </c>
      <c r="E429" s="27" t="inlineStr">
        <is>
          <t>1222</t>
        </is>
      </c>
      <c r="F429" s="27" t="n">
        <v>12</v>
      </c>
      <c r="G429" s="27" t="n">
        <v>73</v>
      </c>
      <c r="H429" s="27" t="n">
        <v>6875</v>
      </c>
      <c r="I429" s="28">
        <f>G429*H429/1000*F429^2/162</f>
        <v>446.1111111111111</v>
      </c>
    </row>
    <row r="430">
      <c r="A430" s="7" t="inlineStr">
        <is>
          <t>STR-062</t>
        </is>
      </c>
      <c r="B430" s="7" t="inlineStr">
        <is>
          <t>Floor Slabs</t>
        </is>
      </c>
      <c r="C430" s="7" t="inlineStr">
        <is>
          <t>Second floor slab - top</t>
        </is>
      </c>
      <c r="D430" s="7" t="inlineStr">
        <is>
          <t>F05</t>
        </is>
      </c>
      <c r="E430" s="27" t="inlineStr">
        <is>
          <t>1223</t>
        </is>
      </c>
      <c r="F430" s="27" t="n">
        <v>12</v>
      </c>
      <c r="G430" s="27" t="n">
        <v>126</v>
      </c>
      <c r="H430" s="27" t="n">
        <v>8275</v>
      </c>
      <c r="I430" s="28">
        <f>G430*H430/1000*F430^2/162</f>
        <v>926.8000000000001</v>
      </c>
    </row>
    <row r="431">
      <c r="A431" s="7" t="inlineStr">
        <is>
          <t>STR-062</t>
        </is>
      </c>
      <c r="B431" s="7" t="inlineStr">
        <is>
          <t>Floor Slabs</t>
        </is>
      </c>
      <c r="C431" s="7" t="inlineStr">
        <is>
          <t>Second floor slab - top</t>
        </is>
      </c>
      <c r="D431" s="7" t="inlineStr">
        <is>
          <t>F05</t>
        </is>
      </c>
      <c r="E431" s="27" t="inlineStr">
        <is>
          <t>1224</t>
        </is>
      </c>
      <c r="F431" s="27" t="n">
        <v>12</v>
      </c>
      <c r="G431" s="27" t="n">
        <v>106</v>
      </c>
      <c r="H431" s="27" t="n">
        <v>11000</v>
      </c>
      <c r="I431" s="28">
        <f>G431*H431/1000*F431^2/162</f>
        <v>1036.4444444444443</v>
      </c>
    </row>
    <row r="432">
      <c r="A432" s="7" t="inlineStr">
        <is>
          <t>STR-062</t>
        </is>
      </c>
      <c r="B432" s="7" t="inlineStr">
        <is>
          <t>Floor Slabs</t>
        </is>
      </c>
      <c r="C432" s="7" t="inlineStr">
        <is>
          <t>Second floor slab - top</t>
        </is>
      </c>
      <c r="D432" s="7" t="inlineStr">
        <is>
          <t>F05</t>
        </is>
      </c>
      <c r="E432" s="27" t="inlineStr">
        <is>
          <t>1225</t>
        </is>
      </c>
      <c r="F432" s="27" t="n">
        <v>12</v>
      </c>
      <c r="G432" s="27" t="n">
        <v>62</v>
      </c>
      <c r="H432" s="27" t="n">
        <v>9800</v>
      </c>
      <c r="I432" s="28">
        <f>G432*H432/1000*F432^2/162</f>
        <v>540.088888888889</v>
      </c>
    </row>
    <row r="433">
      <c r="A433" s="7" t="inlineStr">
        <is>
          <t>STR-062</t>
        </is>
      </c>
      <c r="B433" s="7" t="inlineStr">
        <is>
          <t>Floor Slabs</t>
        </is>
      </c>
      <c r="C433" s="7" t="inlineStr">
        <is>
          <t>Second floor slab - top</t>
        </is>
      </c>
      <c r="D433" s="7" t="inlineStr">
        <is>
          <t>F05</t>
        </is>
      </c>
      <c r="E433" s="27" t="inlineStr">
        <is>
          <t>1226</t>
        </is>
      </c>
      <c r="F433" s="27" t="n">
        <v>12</v>
      </c>
      <c r="G433" s="27" t="n">
        <v>106</v>
      </c>
      <c r="H433" s="27" t="n">
        <v>8000</v>
      </c>
      <c r="I433" s="28">
        <f>G433*H433/1000*F433^2/162</f>
        <v>753.7777777777778</v>
      </c>
    </row>
    <row r="434">
      <c r="A434" s="7" t="inlineStr">
        <is>
          <t>STR-062</t>
        </is>
      </c>
      <c r="B434" s="7" t="inlineStr">
        <is>
          <t>Floor Slabs</t>
        </is>
      </c>
      <c r="C434" s="7" t="inlineStr">
        <is>
          <t>Second floor slab - top</t>
        </is>
      </c>
      <c r="D434" s="7" t="inlineStr">
        <is>
          <t>F05</t>
        </is>
      </c>
      <c r="E434" s="27" t="inlineStr">
        <is>
          <t>1227</t>
        </is>
      </c>
      <c r="F434" s="27" t="n">
        <v>12</v>
      </c>
      <c r="G434" s="27" t="n">
        <v>106</v>
      </c>
      <c r="H434" s="27" t="n">
        <v>8800</v>
      </c>
      <c r="I434" s="28">
        <f>G434*H434/1000*F434^2/162</f>
        <v>829.1555555555555</v>
      </c>
    </row>
    <row r="435">
      <c r="A435" s="7" t="inlineStr">
        <is>
          <t>STR-062</t>
        </is>
      </c>
      <c r="B435" s="7" t="inlineStr">
        <is>
          <t>Floor Slabs</t>
        </is>
      </c>
      <c r="C435" s="7" t="inlineStr">
        <is>
          <t>Second floor slab - top</t>
        </is>
      </c>
      <c r="D435" s="7" t="inlineStr">
        <is>
          <t>F05</t>
        </is>
      </c>
      <c r="E435" s="27" t="inlineStr">
        <is>
          <t>1228</t>
        </is>
      </c>
      <c r="F435" s="27" t="n">
        <v>12</v>
      </c>
      <c r="G435" s="27" t="n">
        <v>13</v>
      </c>
      <c r="H435" s="27" t="n">
        <v>3225</v>
      </c>
      <c r="I435" s="28">
        <f>G435*H435/1000*F435^2/162</f>
        <v>37.266666666666666</v>
      </c>
    </row>
    <row r="436">
      <c r="A436" s="7" t="inlineStr">
        <is>
          <t>STR-062</t>
        </is>
      </c>
      <c r="B436" s="7" t="inlineStr">
        <is>
          <t>Floor Slabs</t>
        </is>
      </c>
      <c r="C436" s="7" t="inlineStr">
        <is>
          <t>Second floor slab - top</t>
        </is>
      </c>
      <c r="D436" s="7" t="inlineStr">
        <is>
          <t>F05</t>
        </is>
      </c>
      <c r="E436" s="27" t="inlineStr">
        <is>
          <t>1229</t>
        </is>
      </c>
      <c r="F436" s="27" t="n">
        <v>12</v>
      </c>
      <c r="G436" s="27" t="n">
        <v>21</v>
      </c>
      <c r="H436" s="27" t="n">
        <v>8650</v>
      </c>
      <c r="I436" s="28">
        <f>G436*H436/1000*F436^2/162</f>
        <v>161.46666666666667</v>
      </c>
    </row>
    <row r="437">
      <c r="A437" s="7" t="inlineStr">
        <is>
          <t>STR-062</t>
        </is>
      </c>
      <c r="B437" s="7" t="inlineStr">
        <is>
          <t>Floor Slabs</t>
        </is>
      </c>
      <c r="C437" s="7" t="inlineStr">
        <is>
          <t>Second floor slab - top</t>
        </is>
      </c>
      <c r="D437" s="7" t="inlineStr">
        <is>
          <t>F05</t>
        </is>
      </c>
      <c r="E437" s="27" t="inlineStr">
        <is>
          <t>1230</t>
        </is>
      </c>
      <c r="F437" s="27" t="n">
        <v>12</v>
      </c>
      <c r="G437" s="27" t="n">
        <v>47</v>
      </c>
      <c r="H437" s="27" t="n">
        <v>9400</v>
      </c>
      <c r="I437" s="28">
        <f>G437*H437/1000*F437^2/162</f>
        <v>392.71111111111117</v>
      </c>
    </row>
    <row r="438">
      <c r="A438" s="7" t="inlineStr">
        <is>
          <t>STR-062</t>
        </is>
      </c>
      <c r="B438" s="7" t="inlineStr">
        <is>
          <t>Floor Slabs</t>
        </is>
      </c>
      <c r="C438" s="7" t="inlineStr">
        <is>
          <t>Second floor slab - top</t>
        </is>
      </c>
      <c r="D438" s="7" t="inlineStr">
        <is>
          <t>F05</t>
        </is>
      </c>
      <c r="E438" s="27" t="inlineStr">
        <is>
          <t>1231</t>
        </is>
      </c>
      <c r="F438" s="27" t="n">
        <v>12</v>
      </c>
      <c r="G438" s="27" t="n">
        <v>106</v>
      </c>
      <c r="H438" s="27" t="n">
        <v>8650</v>
      </c>
      <c r="I438" s="28">
        <f>G438*H438/1000*F438^2/162</f>
        <v>815.0222222222222</v>
      </c>
    </row>
    <row r="439">
      <c r="A439" s="7" t="inlineStr">
        <is>
          <t>STR-062</t>
        </is>
      </c>
      <c r="B439" s="7" t="inlineStr">
        <is>
          <t>Floor Slabs</t>
        </is>
      </c>
      <c r="C439" s="7" t="inlineStr">
        <is>
          <t>Second floor slab - top</t>
        </is>
      </c>
      <c r="D439" s="7" t="inlineStr">
        <is>
          <t>F05</t>
        </is>
      </c>
      <c r="E439" s="27" t="inlineStr">
        <is>
          <t>1232</t>
        </is>
      </c>
      <c r="F439" s="27" t="n">
        <v>12</v>
      </c>
      <c r="G439" s="27" t="n">
        <v>106</v>
      </c>
      <c r="H439" s="27" t="n">
        <v>4600</v>
      </c>
      <c r="I439" s="28">
        <f>G439*H439/1000*F439^2/162</f>
        <v>433.4222222222223</v>
      </c>
    </row>
    <row r="440">
      <c r="A440" s="7" t="inlineStr">
        <is>
          <t>STR-062</t>
        </is>
      </c>
      <c r="B440" s="7" t="inlineStr">
        <is>
          <t>Floor Slabs</t>
        </is>
      </c>
      <c r="C440" s="7" t="inlineStr">
        <is>
          <t>Second floor slab - top</t>
        </is>
      </c>
      <c r="D440" s="7" t="inlineStr">
        <is>
          <t>F05</t>
        </is>
      </c>
      <c r="E440" s="27" t="inlineStr">
        <is>
          <t>1233</t>
        </is>
      </c>
      <c r="F440" s="27" t="n">
        <v>12</v>
      </c>
      <c r="G440" s="27" t="n">
        <v>95</v>
      </c>
      <c r="H440" s="27" t="n">
        <v>8375</v>
      </c>
      <c r="I440" s="28">
        <f>G440*H440/1000*F440^2/162</f>
        <v>707.2222222222222</v>
      </c>
    </row>
    <row r="441">
      <c r="A441" s="7" t="inlineStr">
        <is>
          <t>STR-062</t>
        </is>
      </c>
      <c r="B441" s="7" t="inlineStr">
        <is>
          <t>Floor Slabs</t>
        </is>
      </c>
      <c r="C441" s="7" t="inlineStr">
        <is>
          <t>Second floor slab - top</t>
        </is>
      </c>
      <c r="D441" s="7" t="inlineStr">
        <is>
          <t>F05</t>
        </is>
      </c>
      <c r="E441" s="27" t="inlineStr">
        <is>
          <t>1234</t>
        </is>
      </c>
      <c r="F441" s="27" t="n">
        <v>12</v>
      </c>
      <c r="G441" s="27" t="n">
        <v>162</v>
      </c>
      <c r="H441" s="27" t="n">
        <v>10150</v>
      </c>
      <c r="I441" s="28">
        <f>G441*H441/1000*F441^2/162</f>
        <v>1461.6</v>
      </c>
    </row>
    <row r="442">
      <c r="A442" s="7" t="inlineStr">
        <is>
          <t>STR-062</t>
        </is>
      </c>
      <c r="B442" s="7" t="inlineStr">
        <is>
          <t>Floor Slabs</t>
        </is>
      </c>
      <c r="C442" s="7" t="inlineStr">
        <is>
          <t>Second floor slab - top</t>
        </is>
      </c>
      <c r="D442" s="7" t="inlineStr">
        <is>
          <t>F05</t>
        </is>
      </c>
      <c r="E442" s="27" t="inlineStr">
        <is>
          <t>1235</t>
        </is>
      </c>
      <c r="F442" s="27" t="n">
        <v>12</v>
      </c>
      <c r="G442" s="27" t="n">
        <v>36</v>
      </c>
      <c r="H442" s="27" t="n">
        <v>3750</v>
      </c>
      <c r="I442" s="28">
        <f>G442*H442/1000*F442^2/162</f>
        <v>120.0</v>
      </c>
    </row>
    <row r="443">
      <c r="A443" s="7" t="inlineStr">
        <is>
          <t>STR-062</t>
        </is>
      </c>
      <c r="B443" s="7" t="inlineStr">
        <is>
          <t>Floor Slabs</t>
        </is>
      </c>
      <c r="C443" s="7" t="inlineStr">
        <is>
          <t>Second floor slab - top</t>
        </is>
      </c>
      <c r="D443" s="7" t="inlineStr">
        <is>
          <t>F05</t>
        </is>
      </c>
      <c r="E443" s="27" t="inlineStr">
        <is>
          <t>1236</t>
        </is>
      </c>
      <c r="F443" s="27" t="n">
        <v>12</v>
      </c>
      <c r="G443" s="27" t="n">
        <v>74</v>
      </c>
      <c r="H443" s="27" t="n">
        <v>9350</v>
      </c>
      <c r="I443" s="28">
        <f>G443*H443/1000*F443^2/162</f>
        <v>615.0222222222221</v>
      </c>
    </row>
    <row r="444">
      <c r="A444" s="7" t="inlineStr">
        <is>
          <t>STR-062</t>
        </is>
      </c>
      <c r="B444" s="7" t="inlineStr">
        <is>
          <t>Floor Slabs</t>
        </is>
      </c>
      <c r="C444" s="7" t="inlineStr">
        <is>
          <t>Second floor slab - top</t>
        </is>
      </c>
      <c r="D444" s="7" t="inlineStr">
        <is>
          <t>F05</t>
        </is>
      </c>
      <c r="E444" s="27" t="inlineStr">
        <is>
          <t>1237</t>
        </is>
      </c>
      <c r="F444" s="27" t="n">
        <v>12</v>
      </c>
      <c r="G444" s="27" t="n">
        <v>23</v>
      </c>
      <c r="H444" s="27" t="n">
        <v>12000</v>
      </c>
      <c r="I444" s="28">
        <f>G444*H444/1000*F444^2/162</f>
        <v>245.33333333333334</v>
      </c>
    </row>
    <row r="445">
      <c r="A445" s="7" t="inlineStr">
        <is>
          <t>STR-062</t>
        </is>
      </c>
      <c r="B445" s="7" t="inlineStr">
        <is>
          <t>Floor Slabs</t>
        </is>
      </c>
      <c r="C445" s="7" t="inlineStr">
        <is>
          <t>Second floor slab - top</t>
        </is>
      </c>
      <c r="D445" s="7" t="inlineStr">
        <is>
          <t>F05</t>
        </is>
      </c>
      <c r="E445" s="27" t="inlineStr">
        <is>
          <t>1238</t>
        </is>
      </c>
      <c r="F445" s="27" t="n">
        <v>12</v>
      </c>
      <c r="G445" s="27" t="n">
        <v>74</v>
      </c>
      <c r="H445" s="27" t="n">
        <v>10850</v>
      </c>
      <c r="I445" s="28">
        <f>G445*H445/1000*F445^2/162</f>
        <v>713.6888888888889</v>
      </c>
    </row>
    <row r="446">
      <c r="A446" s="7" t="inlineStr">
        <is>
          <t>STR-062</t>
        </is>
      </c>
      <c r="B446" s="7" t="inlineStr">
        <is>
          <t>Floor Slabs</t>
        </is>
      </c>
      <c r="C446" s="7" t="inlineStr">
        <is>
          <t>Second floor slab - top</t>
        </is>
      </c>
      <c r="D446" s="7" t="inlineStr">
        <is>
          <t>F05</t>
        </is>
      </c>
      <c r="E446" s="27" t="inlineStr">
        <is>
          <t>1239</t>
        </is>
      </c>
      <c r="F446" s="27" t="n">
        <v>12</v>
      </c>
      <c r="G446" s="27" t="n">
        <v>357</v>
      </c>
      <c r="H446" s="27" t="n">
        <v>8800</v>
      </c>
      <c r="I446" s="28">
        <f>G446*H446/1000*F446^2/162</f>
        <v>2792.5333333333333</v>
      </c>
    </row>
    <row r="447">
      <c r="A447" s="7" t="inlineStr">
        <is>
          <t>STR-062</t>
        </is>
      </c>
      <c r="B447" s="7" t="inlineStr">
        <is>
          <t>Floor Slabs</t>
        </is>
      </c>
      <c r="C447" s="7" t="inlineStr">
        <is>
          <t>Second floor slab - top</t>
        </is>
      </c>
      <c r="D447" s="7" t="inlineStr">
        <is>
          <t>F05</t>
        </is>
      </c>
      <c r="E447" s="27" t="inlineStr">
        <is>
          <t>1240</t>
        </is>
      </c>
      <c r="F447" s="27" t="n">
        <v>12</v>
      </c>
      <c r="G447" s="27" t="n">
        <v>212</v>
      </c>
      <c r="H447" s="27" t="n">
        <v>11200</v>
      </c>
      <c r="I447" s="28">
        <f>G447*H447/1000*F447^2/162</f>
        <v>2110.577777777778</v>
      </c>
    </row>
    <row r="448">
      <c r="A448" s="7" t="inlineStr">
        <is>
          <t>STR-062</t>
        </is>
      </c>
      <c r="B448" s="7" t="inlineStr">
        <is>
          <t>Floor Slabs</t>
        </is>
      </c>
      <c r="C448" s="7" t="inlineStr">
        <is>
          <t>Second floor slab - top</t>
        </is>
      </c>
      <c r="D448" s="7" t="inlineStr">
        <is>
          <t>F05</t>
        </is>
      </c>
      <c r="E448" s="27" t="inlineStr">
        <is>
          <t>1241</t>
        </is>
      </c>
      <c r="F448" s="27" t="n">
        <v>12</v>
      </c>
      <c r="G448" s="27" t="n">
        <v>7</v>
      </c>
      <c r="H448" s="27" t="n">
        <v>8500</v>
      </c>
      <c r="I448" s="28">
        <f>G448*H448/1000*F448^2/162</f>
        <v>52.888888888888886</v>
      </c>
    </row>
    <row r="449">
      <c r="A449" s="7" t="inlineStr">
        <is>
          <t>STR-062</t>
        </is>
      </c>
      <c r="B449" s="7" t="inlineStr">
        <is>
          <t>Floor Slabs</t>
        </is>
      </c>
      <c r="C449" s="7" t="inlineStr">
        <is>
          <t>Second floor slab - top</t>
        </is>
      </c>
      <c r="D449" s="7" t="inlineStr">
        <is>
          <t>F05</t>
        </is>
      </c>
      <c r="E449" s="27" t="inlineStr">
        <is>
          <t>1242</t>
        </is>
      </c>
      <c r="F449" s="27" t="n">
        <v>12</v>
      </c>
      <c r="G449" s="27" t="n">
        <v>73</v>
      </c>
      <c r="H449" s="27" t="n">
        <v>9350</v>
      </c>
      <c r="I449" s="28">
        <f>G449*H449/1000*F449^2/162</f>
        <v>606.7111111111111</v>
      </c>
    </row>
    <row r="450">
      <c r="A450" s="7" t="inlineStr">
        <is>
          <t>STR-062</t>
        </is>
      </c>
      <c r="B450" s="7" t="inlineStr">
        <is>
          <t>Floor Slabs</t>
        </is>
      </c>
      <c r="C450" s="7" t="inlineStr">
        <is>
          <t>Second floor slab - top</t>
        </is>
      </c>
      <c r="D450" s="7" t="inlineStr">
        <is>
          <t>F05</t>
        </is>
      </c>
      <c r="E450" s="27" t="inlineStr">
        <is>
          <t>1243</t>
        </is>
      </c>
      <c r="F450" s="27" t="n">
        <v>12</v>
      </c>
      <c r="G450" s="27" t="n">
        <v>13</v>
      </c>
      <c r="H450" s="27" t="n">
        <v>10700</v>
      </c>
      <c r="I450" s="28">
        <f>G450*H450/1000*F450^2/162</f>
        <v>123.64444444444443</v>
      </c>
    </row>
    <row r="451">
      <c r="A451" s="7" t="inlineStr">
        <is>
          <t>STR-062</t>
        </is>
      </c>
      <c r="B451" s="7" t="inlineStr">
        <is>
          <t>Floor Slabs</t>
        </is>
      </c>
      <c r="C451" s="7" t="inlineStr">
        <is>
          <t>Second floor slab - top</t>
        </is>
      </c>
      <c r="D451" s="7" t="inlineStr">
        <is>
          <t>F05</t>
        </is>
      </c>
      <c r="E451" s="27" t="inlineStr">
        <is>
          <t>1244</t>
        </is>
      </c>
      <c r="F451" s="27" t="n">
        <v>12</v>
      </c>
      <c r="G451" s="27" t="n">
        <v>73</v>
      </c>
      <c r="H451" s="27" t="n">
        <v>10850</v>
      </c>
      <c r="I451" s="28">
        <f>G451*H451/1000*F451^2/162</f>
        <v>704.0444444444445</v>
      </c>
    </row>
    <row r="452">
      <c r="A452" s="7" t="inlineStr">
        <is>
          <t>STR-063</t>
        </is>
      </c>
      <c r="B452" s="7" t="inlineStr">
        <is>
          <t>Floor Slabs</t>
        </is>
      </c>
      <c r="C452" s="7" t="inlineStr">
        <is>
          <t>Second floor slab - additional top</t>
        </is>
      </c>
      <c r="D452" s="7" t="inlineStr">
        <is>
          <t>F05</t>
        </is>
      </c>
      <c r="E452" s="27" t="inlineStr">
        <is>
          <t>1245</t>
        </is>
      </c>
      <c r="F452" s="27" t="n">
        <v>12</v>
      </c>
      <c r="G452" s="27" t="n">
        <v>390</v>
      </c>
      <c r="H452" s="27" t="n">
        <v>3000</v>
      </c>
      <c r="I452" s="28">
        <f>G452*H452/1000*F452^2/162</f>
        <v>1040.0</v>
      </c>
    </row>
    <row r="453">
      <c r="A453" s="7" t="inlineStr">
        <is>
          <t>STR-063</t>
        </is>
      </c>
      <c r="B453" s="7" t="inlineStr">
        <is>
          <t>Floor Slabs</t>
        </is>
      </c>
      <c r="C453" s="7" t="inlineStr">
        <is>
          <t>Second floor slab - additional top</t>
        </is>
      </c>
      <c r="D453" s="7" t="inlineStr">
        <is>
          <t>F05</t>
        </is>
      </c>
      <c r="E453" s="27" t="inlineStr">
        <is>
          <t>1246</t>
        </is>
      </c>
      <c r="F453" s="27" t="n">
        <v>12</v>
      </c>
      <c r="G453" s="27" t="n">
        <v>98</v>
      </c>
      <c r="H453" s="27" t="n">
        <v>6350</v>
      </c>
      <c r="I453" s="28">
        <f>G453*H453/1000*F453^2/162</f>
        <v>553.1555555555556</v>
      </c>
    </row>
    <row r="454">
      <c r="A454" s="7" t="inlineStr">
        <is>
          <t>STR-063</t>
        </is>
      </c>
      <c r="B454" s="7" t="inlineStr">
        <is>
          <t>Floor Slabs</t>
        </is>
      </c>
      <c r="C454" s="7" t="inlineStr">
        <is>
          <t>Second floor slab - additional top</t>
        </is>
      </c>
      <c r="D454" s="7" t="inlineStr">
        <is>
          <t>F05</t>
        </is>
      </c>
      <c r="E454" s="27" t="inlineStr">
        <is>
          <t>1601</t>
        </is>
      </c>
      <c r="F454" s="27" t="n">
        <v>16</v>
      </c>
      <c r="G454" s="27" t="n">
        <v>6</v>
      </c>
      <c r="H454" s="27" t="n">
        <v>3000</v>
      </c>
      <c r="I454" s="28">
        <f>G454*H454/1000*F454^2/162</f>
        <v>28.444444444444443</v>
      </c>
    </row>
    <row r="455">
      <c r="A455" s="7" t="inlineStr">
        <is>
          <t>STR-066</t>
        </is>
      </c>
      <c r="B455" s="7" t="inlineStr">
        <is>
          <t>Beams</t>
        </is>
      </c>
      <c r="C455" s="7" t="inlineStr">
        <is>
          <t>Mezzanine floor beams</t>
        </is>
      </c>
      <c r="D455" s="7" t="inlineStr">
        <is>
          <t>F06</t>
        </is>
      </c>
      <c r="E455" s="27" t="inlineStr">
        <is>
          <t>1001</t>
        </is>
      </c>
      <c r="F455" s="27" t="n">
        <v>10</v>
      </c>
      <c r="G455" s="27" t="n">
        <v>552</v>
      </c>
      <c r="H455" s="27" t="n">
        <v>1700</v>
      </c>
      <c r="I455" s="28">
        <f>G455*H455/1000*F455^2/162</f>
        <v>579.2592592592592</v>
      </c>
    </row>
    <row r="456">
      <c r="A456" s="7" t="inlineStr">
        <is>
          <t>STR-066</t>
        </is>
      </c>
      <c r="B456" s="7" t="inlineStr">
        <is>
          <t>Beams</t>
        </is>
      </c>
      <c r="C456" s="7" t="inlineStr">
        <is>
          <t>Mezzanine floor beams</t>
        </is>
      </c>
      <c r="D456" s="7" t="inlineStr">
        <is>
          <t>F06</t>
        </is>
      </c>
      <c r="E456" s="27" t="inlineStr">
        <is>
          <t>1601</t>
        </is>
      </c>
      <c r="F456" s="27" t="n">
        <v>16</v>
      </c>
      <c r="G456" s="27" t="n">
        <v>4</v>
      </c>
      <c r="H456" s="27" t="n">
        <v>12000</v>
      </c>
      <c r="I456" s="28">
        <f>G456*H456/1000*F456^2/162</f>
        <v>75.85185185185185</v>
      </c>
    </row>
    <row r="457">
      <c r="A457" s="7" t="inlineStr">
        <is>
          <t>STR-066</t>
        </is>
      </c>
      <c r="B457" s="7" t="inlineStr">
        <is>
          <t>Beams</t>
        </is>
      </c>
      <c r="C457" s="7" t="inlineStr">
        <is>
          <t>Mezzanine floor beams</t>
        </is>
      </c>
      <c r="D457" s="7" t="inlineStr">
        <is>
          <t>F06</t>
        </is>
      </c>
      <c r="E457" s="27" t="inlineStr">
        <is>
          <t>1602</t>
        </is>
      </c>
      <c r="F457" s="27" t="n">
        <v>16</v>
      </c>
      <c r="G457" s="27" t="n">
        <v>2</v>
      </c>
      <c r="H457" s="27" t="n">
        <v>7275</v>
      </c>
      <c r="I457" s="28">
        <f>G457*H457/1000*F457^2/162</f>
        <v>22.992592592592594</v>
      </c>
    </row>
    <row r="458">
      <c r="A458" s="7" t="inlineStr">
        <is>
          <t>STR-066</t>
        </is>
      </c>
      <c r="B458" s="7" t="inlineStr">
        <is>
          <t>Beams</t>
        </is>
      </c>
      <c r="C458" s="7" t="inlineStr">
        <is>
          <t>Mezzanine floor beams</t>
        </is>
      </c>
      <c r="D458" s="7" t="inlineStr">
        <is>
          <t>F06</t>
        </is>
      </c>
      <c r="E458" s="27" t="inlineStr">
        <is>
          <t>1603</t>
        </is>
      </c>
      <c r="F458" s="27" t="n">
        <v>16</v>
      </c>
      <c r="G458" s="27" t="n">
        <v>2</v>
      </c>
      <c r="H458" s="27" t="n">
        <v>7975</v>
      </c>
      <c r="I458" s="28">
        <f>G458*H458/1000*F458^2/162</f>
        <v>25.204938271604938</v>
      </c>
    </row>
    <row r="459">
      <c r="A459" s="7" t="inlineStr">
        <is>
          <t>STR-066</t>
        </is>
      </c>
      <c r="B459" s="7" t="inlineStr">
        <is>
          <t>Beams</t>
        </is>
      </c>
      <c r="C459" s="7" t="inlineStr">
        <is>
          <t>Mezzanine floor beams</t>
        </is>
      </c>
      <c r="D459" s="7" t="inlineStr">
        <is>
          <t>F06</t>
        </is>
      </c>
      <c r="E459" s="27" t="inlineStr">
        <is>
          <t>1604</t>
        </is>
      </c>
      <c r="F459" s="27" t="n">
        <v>16</v>
      </c>
      <c r="G459" s="27" t="n">
        <v>3</v>
      </c>
      <c r="H459" s="27" t="n">
        <v>5150</v>
      </c>
      <c r="I459" s="28">
        <f>G459*H459/1000*F459^2/162</f>
        <v>24.414814814814815</v>
      </c>
    </row>
    <row r="460">
      <c r="A460" s="7" t="inlineStr">
        <is>
          <t>STR-066</t>
        </is>
      </c>
      <c r="B460" s="7" t="inlineStr">
        <is>
          <t>Beams</t>
        </is>
      </c>
      <c r="C460" s="7" t="inlineStr">
        <is>
          <t>Mezzanine floor beams</t>
        </is>
      </c>
      <c r="D460" s="7" t="inlineStr">
        <is>
          <t>F06</t>
        </is>
      </c>
      <c r="E460" s="27" t="inlineStr">
        <is>
          <t>1605</t>
        </is>
      </c>
      <c r="F460" s="27" t="n">
        <v>16</v>
      </c>
      <c r="G460" s="27" t="n">
        <v>4</v>
      </c>
      <c r="H460" s="27" t="n">
        <v>9300</v>
      </c>
      <c r="I460" s="28">
        <f>G460*H460/1000*F460^2/162</f>
        <v>58.78518518518519</v>
      </c>
    </row>
    <row r="461">
      <c r="A461" s="7" t="inlineStr">
        <is>
          <t>STR-066</t>
        </is>
      </c>
      <c r="B461" s="7" t="inlineStr">
        <is>
          <t>Beams</t>
        </is>
      </c>
      <c r="C461" s="7" t="inlineStr">
        <is>
          <t>Mezzanine floor beams</t>
        </is>
      </c>
      <c r="D461" s="7" t="inlineStr">
        <is>
          <t>F06</t>
        </is>
      </c>
      <c r="E461" s="27" t="inlineStr">
        <is>
          <t>1606</t>
        </is>
      </c>
      <c r="F461" s="27" t="n">
        <v>16</v>
      </c>
      <c r="G461" s="27" t="n">
        <v>2</v>
      </c>
      <c r="H461" s="27" t="n">
        <v>6800</v>
      </c>
      <c r="I461" s="28">
        <f>G461*H461/1000*F461^2/162</f>
        <v>21.49135802469136</v>
      </c>
    </row>
    <row r="462">
      <c r="A462" s="7" t="inlineStr">
        <is>
          <t>STR-066</t>
        </is>
      </c>
      <c r="B462" s="7" t="inlineStr">
        <is>
          <t>Beams</t>
        </is>
      </c>
      <c r="C462" s="7" t="inlineStr">
        <is>
          <t>Mezzanine floor beams</t>
        </is>
      </c>
      <c r="D462" s="7" t="inlineStr">
        <is>
          <t>F06</t>
        </is>
      </c>
      <c r="E462" s="27" t="inlineStr">
        <is>
          <t>1607</t>
        </is>
      </c>
      <c r="F462" s="27" t="n">
        <v>16</v>
      </c>
      <c r="G462" s="27" t="n">
        <v>4</v>
      </c>
      <c r="H462" s="27" t="n">
        <v>8750</v>
      </c>
      <c r="I462" s="28">
        <f>G462*H462/1000*F462^2/162</f>
        <v>55.30864197530864</v>
      </c>
    </row>
    <row r="463">
      <c r="A463" s="7" t="inlineStr">
        <is>
          <t>STR-066</t>
        </is>
      </c>
      <c r="B463" s="7" t="inlineStr">
        <is>
          <t>Beams</t>
        </is>
      </c>
      <c r="C463" s="7" t="inlineStr">
        <is>
          <t>Mezzanine floor beams</t>
        </is>
      </c>
      <c r="D463" s="7" t="inlineStr">
        <is>
          <t>F06</t>
        </is>
      </c>
      <c r="E463" s="27" t="inlineStr">
        <is>
          <t>1608</t>
        </is>
      </c>
      <c r="F463" s="27" t="n">
        <v>16</v>
      </c>
      <c r="G463" s="27" t="n">
        <v>6</v>
      </c>
      <c r="H463" s="27" t="n">
        <v>5900</v>
      </c>
      <c r="I463" s="28">
        <f>G463*H463/1000*F463^2/162</f>
        <v>55.940740740740736</v>
      </c>
    </row>
    <row r="464">
      <c r="A464" s="7" t="inlineStr">
        <is>
          <t>STR-066</t>
        </is>
      </c>
      <c r="B464" s="7" t="inlineStr">
        <is>
          <t>Beams</t>
        </is>
      </c>
      <c r="C464" s="7" t="inlineStr">
        <is>
          <t>Mezzanine floor beams</t>
        </is>
      </c>
      <c r="D464" s="7" t="inlineStr">
        <is>
          <t>F06</t>
        </is>
      </c>
      <c r="E464" s="27" t="inlineStr">
        <is>
          <t>1609</t>
        </is>
      </c>
      <c r="F464" s="27" t="n">
        <v>16</v>
      </c>
      <c r="G464" s="27" t="n">
        <v>6</v>
      </c>
      <c r="H464" s="27" t="n">
        <v>7000</v>
      </c>
      <c r="I464" s="28">
        <f>G464*H464/1000*F464^2/162</f>
        <v>66.37037037037037</v>
      </c>
    </row>
    <row r="465">
      <c r="A465" s="7" t="inlineStr">
        <is>
          <t>STR-066</t>
        </is>
      </c>
      <c r="B465" s="7" t="inlineStr">
        <is>
          <t>Beams</t>
        </is>
      </c>
      <c r="C465" s="7" t="inlineStr">
        <is>
          <t>Mezzanine floor beams</t>
        </is>
      </c>
      <c r="D465" s="7" t="inlineStr">
        <is>
          <t>F06</t>
        </is>
      </c>
      <c r="E465" s="27" t="inlineStr">
        <is>
          <t>2001</t>
        </is>
      </c>
      <c r="F465" s="27" t="n">
        <v>20</v>
      </c>
      <c r="G465" s="27" t="n">
        <v>3</v>
      </c>
      <c r="H465" s="27" t="n">
        <v>11100</v>
      </c>
      <c r="I465" s="28">
        <f>G465*H465/1000*F465^2/162</f>
        <v>82.22222222222221</v>
      </c>
    </row>
    <row r="466">
      <c r="A466" s="7" t="inlineStr">
        <is>
          <t>STR-066</t>
        </is>
      </c>
      <c r="B466" s="7" t="inlineStr">
        <is>
          <t>Beams</t>
        </is>
      </c>
      <c r="C466" s="7" t="inlineStr">
        <is>
          <t>Mezzanine floor beams</t>
        </is>
      </c>
      <c r="D466" s="7" t="inlineStr">
        <is>
          <t>F06</t>
        </is>
      </c>
      <c r="E466" s="27" t="inlineStr">
        <is>
          <t>2002</t>
        </is>
      </c>
      <c r="F466" s="27" t="n">
        <v>20</v>
      </c>
      <c r="G466" s="27" t="n">
        <v>3</v>
      </c>
      <c r="H466" s="27" t="n">
        <v>9300</v>
      </c>
      <c r="I466" s="28">
        <f>G466*H466/1000*F466^2/162</f>
        <v>68.88888888888889</v>
      </c>
    </row>
    <row r="467">
      <c r="A467" s="7" t="inlineStr">
        <is>
          <t>STR-066</t>
        </is>
      </c>
      <c r="B467" s="7" t="inlineStr">
        <is>
          <t>Beams</t>
        </is>
      </c>
      <c r="C467" s="7" t="inlineStr">
        <is>
          <t>Mezzanine floor beams</t>
        </is>
      </c>
      <c r="D467" s="7" t="inlineStr">
        <is>
          <t>F06</t>
        </is>
      </c>
      <c r="E467" s="27" t="inlineStr">
        <is>
          <t>2003</t>
        </is>
      </c>
      <c r="F467" s="27" t="n">
        <v>20</v>
      </c>
      <c r="G467" s="27" t="n">
        <v>3</v>
      </c>
      <c r="H467" s="27" t="n">
        <v>12000</v>
      </c>
      <c r="I467" s="28">
        <f>G467*H467/1000*F467^2/162</f>
        <v>88.88888888888889</v>
      </c>
    </row>
    <row r="468">
      <c r="A468" s="7" t="inlineStr">
        <is>
          <t>STR-066</t>
        </is>
      </c>
      <c r="B468" s="7" t="inlineStr">
        <is>
          <t>Beams</t>
        </is>
      </c>
      <c r="C468" s="7" t="inlineStr">
        <is>
          <t>Mezzanine floor beams</t>
        </is>
      </c>
      <c r="D468" s="7" t="inlineStr">
        <is>
          <t>F06</t>
        </is>
      </c>
      <c r="E468" s="27" t="inlineStr">
        <is>
          <t>2004</t>
        </is>
      </c>
      <c r="F468" s="27" t="n">
        <v>20</v>
      </c>
      <c r="G468" s="27" t="n">
        <v>3</v>
      </c>
      <c r="H468" s="27" t="n">
        <v>7000</v>
      </c>
      <c r="I468" s="28">
        <f>G468*H468/1000*F468^2/162</f>
        <v>51.851851851851855</v>
      </c>
    </row>
    <row r="469">
      <c r="A469" s="7" t="inlineStr">
        <is>
          <t>STR-066</t>
        </is>
      </c>
      <c r="B469" s="7" t="inlineStr">
        <is>
          <t>Beams</t>
        </is>
      </c>
      <c r="C469" s="7" t="inlineStr">
        <is>
          <t>Mezzanine floor beams</t>
        </is>
      </c>
      <c r="D469" s="7" t="inlineStr">
        <is>
          <t>F06</t>
        </is>
      </c>
      <c r="E469" s="27" t="inlineStr">
        <is>
          <t>2005</t>
        </is>
      </c>
      <c r="F469" s="27" t="n">
        <v>20</v>
      </c>
      <c r="G469" s="27" t="n">
        <v>6</v>
      </c>
      <c r="H469" s="27" t="n">
        <v>9300</v>
      </c>
      <c r="I469" s="28">
        <f>G469*H469/1000*F469^2/162</f>
        <v>137.77777777777777</v>
      </c>
    </row>
    <row r="470">
      <c r="A470" s="7" t="inlineStr">
        <is>
          <t>STR-066</t>
        </is>
      </c>
      <c r="B470" s="7" t="inlineStr">
        <is>
          <t>Beams</t>
        </is>
      </c>
      <c r="C470" s="7" t="inlineStr">
        <is>
          <t>Mezzanine floor beams</t>
        </is>
      </c>
      <c r="D470" s="7" t="inlineStr">
        <is>
          <t>F06</t>
        </is>
      </c>
      <c r="E470" s="27" t="inlineStr">
        <is>
          <t>2006</t>
        </is>
      </c>
      <c r="F470" s="27" t="n">
        <v>20</v>
      </c>
      <c r="G470" s="27" t="n">
        <v>3</v>
      </c>
      <c r="H470" s="27" t="n">
        <v>9000</v>
      </c>
      <c r="I470" s="28">
        <f>G470*H470/1000*F470^2/162</f>
        <v>66.66666666666667</v>
      </c>
    </row>
    <row r="471">
      <c r="A471" s="7" t="inlineStr">
        <is>
          <t>STR-066</t>
        </is>
      </c>
      <c r="B471" s="7" t="inlineStr">
        <is>
          <t>Beams</t>
        </is>
      </c>
      <c r="C471" s="7" t="inlineStr">
        <is>
          <t>Mezzanine floor beams</t>
        </is>
      </c>
      <c r="D471" s="7" t="inlineStr">
        <is>
          <t>F06</t>
        </is>
      </c>
      <c r="E471" s="27" t="inlineStr">
        <is>
          <t>2007</t>
        </is>
      </c>
      <c r="F471" s="27" t="n">
        <v>20</v>
      </c>
      <c r="G471" s="27" t="n">
        <v>3</v>
      </c>
      <c r="H471" s="27" t="n">
        <v>5750</v>
      </c>
      <c r="I471" s="28">
        <f>G471*H471/1000*F471^2/162</f>
        <v>42.592592592592595</v>
      </c>
    </row>
    <row r="472">
      <c r="A472" s="7" t="inlineStr">
        <is>
          <t>STR-066</t>
        </is>
      </c>
      <c r="B472" s="7" t="inlineStr">
        <is>
          <t>Beams</t>
        </is>
      </c>
      <c r="C472" s="7" t="inlineStr">
        <is>
          <t>Mezzanine floor beams</t>
        </is>
      </c>
      <c r="D472" s="7" t="inlineStr">
        <is>
          <t>F06</t>
        </is>
      </c>
      <c r="E472" s="27" t="inlineStr">
        <is>
          <t>2008</t>
        </is>
      </c>
      <c r="F472" s="27" t="n">
        <v>20</v>
      </c>
      <c r="G472" s="27" t="n">
        <v>3</v>
      </c>
      <c r="H472" s="27" t="n">
        <v>5750</v>
      </c>
      <c r="I472" s="28">
        <f>G472*H472/1000*F472^2/162</f>
        <v>42.592592592592595</v>
      </c>
    </row>
    <row r="473">
      <c r="A473" s="7" t="inlineStr">
        <is>
          <t>STR-066</t>
        </is>
      </c>
      <c r="B473" s="7" t="inlineStr">
        <is>
          <t>Beams</t>
        </is>
      </c>
      <c r="C473" s="7" t="inlineStr">
        <is>
          <t>Mezzanine floor beams</t>
        </is>
      </c>
      <c r="D473" s="7" t="inlineStr">
        <is>
          <t>F06</t>
        </is>
      </c>
      <c r="E473" s="27" t="inlineStr">
        <is>
          <t>2009</t>
        </is>
      </c>
      <c r="F473" s="27" t="n">
        <v>20</v>
      </c>
      <c r="G473" s="27" t="n">
        <v>3</v>
      </c>
      <c r="H473" s="27" t="n">
        <v>8200</v>
      </c>
      <c r="I473" s="28">
        <f>G473*H473/1000*F473^2/162</f>
        <v>60.74074074074074</v>
      </c>
    </row>
    <row r="474">
      <c r="A474" s="7" t="inlineStr">
        <is>
          <t>STR-066</t>
        </is>
      </c>
      <c r="B474" s="7" t="inlineStr">
        <is>
          <t>Beams</t>
        </is>
      </c>
      <c r="C474" s="7" t="inlineStr">
        <is>
          <t>Mezzanine floor beams</t>
        </is>
      </c>
      <c r="D474" s="7" t="inlineStr">
        <is>
          <t>F06</t>
        </is>
      </c>
      <c r="E474" s="27" t="inlineStr">
        <is>
          <t>2010</t>
        </is>
      </c>
      <c r="F474" s="27" t="n">
        <v>20</v>
      </c>
      <c r="G474" s="27" t="n">
        <v>3</v>
      </c>
      <c r="H474" s="27" t="n">
        <v>6550</v>
      </c>
      <c r="I474" s="28">
        <f>G474*H474/1000*F474^2/162</f>
        <v>48.51851851851851</v>
      </c>
    </row>
    <row r="475">
      <c r="A475" s="7" t="inlineStr">
        <is>
          <t>STR-066</t>
        </is>
      </c>
      <c r="B475" s="7" t="inlineStr">
        <is>
          <t>Beams</t>
        </is>
      </c>
      <c r="C475" s="7" t="inlineStr">
        <is>
          <t>Mezzanine floor beams</t>
        </is>
      </c>
      <c r="D475" s="7" t="inlineStr">
        <is>
          <t>F06</t>
        </is>
      </c>
      <c r="E475" s="27" t="inlineStr">
        <is>
          <t>2011</t>
        </is>
      </c>
      <c r="F475" s="27" t="n">
        <v>20</v>
      </c>
      <c r="G475" s="27" t="n">
        <v>3</v>
      </c>
      <c r="H475" s="27" t="n">
        <v>8200</v>
      </c>
      <c r="I475" s="28">
        <f>G475*H475/1000*F475^2/162</f>
        <v>60.74074074074074</v>
      </c>
    </row>
    <row r="476">
      <c r="A476" s="7" t="inlineStr">
        <is>
          <t>STR-066</t>
        </is>
      </c>
      <c r="B476" s="7" t="inlineStr">
        <is>
          <t>Beams</t>
        </is>
      </c>
      <c r="C476" s="7" t="inlineStr">
        <is>
          <t>Mezzanine floor beams</t>
        </is>
      </c>
      <c r="D476" s="7" t="inlineStr">
        <is>
          <t>F06</t>
        </is>
      </c>
      <c r="E476" s="27" t="inlineStr">
        <is>
          <t>2012</t>
        </is>
      </c>
      <c r="F476" s="27" t="n">
        <v>20</v>
      </c>
      <c r="G476" s="27" t="n">
        <v>3</v>
      </c>
      <c r="H476" s="27" t="n">
        <v>9250</v>
      </c>
      <c r="I476" s="28">
        <f>G476*H476/1000*F476^2/162</f>
        <v>68.51851851851852</v>
      </c>
    </row>
    <row r="477">
      <c r="A477" s="7" t="inlineStr">
        <is>
          <t>STR-066</t>
        </is>
      </c>
      <c r="B477" s="7" t="inlineStr">
        <is>
          <t>Beams</t>
        </is>
      </c>
      <c r="C477" s="7" t="inlineStr">
        <is>
          <t>Mezzanine floor beams</t>
        </is>
      </c>
      <c r="D477" s="7" t="inlineStr">
        <is>
          <t>F06</t>
        </is>
      </c>
      <c r="E477" s="27" t="inlineStr">
        <is>
          <t>2013</t>
        </is>
      </c>
      <c r="F477" s="27" t="n">
        <v>20</v>
      </c>
      <c r="G477" s="27" t="n">
        <v>3</v>
      </c>
      <c r="H477" s="27" t="n">
        <v>5700</v>
      </c>
      <c r="I477" s="28">
        <f>G477*H477/1000*F477^2/162</f>
        <v>42.22222222222223</v>
      </c>
    </row>
    <row r="478">
      <c r="A478" s="7" t="inlineStr">
        <is>
          <t>STR-066</t>
        </is>
      </c>
      <c r="B478" s="7" t="inlineStr">
        <is>
          <t>Beams</t>
        </is>
      </c>
      <c r="C478" s="7" t="inlineStr">
        <is>
          <t>Mezzanine floor beams</t>
        </is>
      </c>
      <c r="D478" s="7" t="inlineStr">
        <is>
          <t>F06</t>
        </is>
      </c>
      <c r="E478" s="27" t="inlineStr">
        <is>
          <t>2014</t>
        </is>
      </c>
      <c r="F478" s="27" t="n">
        <v>20</v>
      </c>
      <c r="G478" s="27" t="n">
        <v>3</v>
      </c>
      <c r="H478" s="27" t="n">
        <v>9400</v>
      </c>
      <c r="I478" s="28">
        <f>G478*H478/1000*F478^2/162</f>
        <v>69.62962962962963</v>
      </c>
    </row>
    <row r="479">
      <c r="A479" s="7" t="inlineStr">
        <is>
          <t>STR-066</t>
        </is>
      </c>
      <c r="B479" s="7" t="inlineStr">
        <is>
          <t>Beams</t>
        </is>
      </c>
      <c r="C479" s="7" t="inlineStr">
        <is>
          <t>Mezzanine floor beams</t>
        </is>
      </c>
      <c r="D479" s="7" t="inlineStr">
        <is>
          <t>F06</t>
        </is>
      </c>
      <c r="E479" s="27" t="inlineStr">
        <is>
          <t>2015</t>
        </is>
      </c>
      <c r="F479" s="27" t="n">
        <v>20</v>
      </c>
      <c r="G479" s="27" t="n">
        <v>6</v>
      </c>
      <c r="H479" s="27" t="n">
        <v>9125</v>
      </c>
      <c r="I479" s="28">
        <f>G479*H479/1000*F479^2/162</f>
        <v>135.1851851851852</v>
      </c>
    </row>
    <row r="480">
      <c r="A480" s="7" t="inlineStr">
        <is>
          <t>STR-066</t>
        </is>
      </c>
      <c r="B480" s="7" t="inlineStr">
        <is>
          <t>Beams</t>
        </is>
      </c>
      <c r="C480" s="7" t="inlineStr">
        <is>
          <t>Mezzanine floor beams</t>
        </is>
      </c>
      <c r="D480" s="7" t="inlineStr">
        <is>
          <t>F06</t>
        </is>
      </c>
      <c r="E480" s="27" t="inlineStr">
        <is>
          <t>2016</t>
        </is>
      </c>
      <c r="F480" s="27" t="n">
        <v>20</v>
      </c>
      <c r="G480" s="27" t="n">
        <v>6</v>
      </c>
      <c r="H480" s="27" t="n">
        <v>7000</v>
      </c>
      <c r="I480" s="28">
        <f>G480*H480/1000*F480^2/162</f>
        <v>103.70370370370371</v>
      </c>
    </row>
    <row r="481">
      <c r="A481" s="7" t="inlineStr">
        <is>
          <t>STR-066</t>
        </is>
      </c>
      <c r="B481" s="7" t="inlineStr">
        <is>
          <t>Beams</t>
        </is>
      </c>
      <c r="C481" s="7" t="inlineStr">
        <is>
          <t>Mezzanine floor beams</t>
        </is>
      </c>
      <c r="D481" s="7" t="inlineStr">
        <is>
          <t>F06</t>
        </is>
      </c>
      <c r="E481" s="27" t="inlineStr">
        <is>
          <t>2501</t>
        </is>
      </c>
      <c r="F481" s="27" t="n">
        <v>25</v>
      </c>
      <c r="G481" s="27" t="n">
        <v>3</v>
      </c>
      <c r="H481" s="27" t="n">
        <v>11200</v>
      </c>
      <c r="I481" s="28">
        <f>G481*H481/1000*F481^2/162</f>
        <v>129.62962962962962</v>
      </c>
    </row>
    <row r="482">
      <c r="A482" s="7" t="inlineStr">
        <is>
          <t>STR-066</t>
        </is>
      </c>
      <c r="B482" s="7" t="inlineStr">
        <is>
          <t>Beams</t>
        </is>
      </c>
      <c r="C482" s="7" t="inlineStr">
        <is>
          <t>Mezzanine floor beams</t>
        </is>
      </c>
      <c r="D482" s="7" t="inlineStr">
        <is>
          <t>F06</t>
        </is>
      </c>
      <c r="E482" s="27" t="inlineStr">
        <is>
          <t>2502</t>
        </is>
      </c>
      <c r="F482" s="27" t="n">
        <v>25</v>
      </c>
      <c r="G482" s="27" t="n">
        <v>3</v>
      </c>
      <c r="H482" s="27" t="n">
        <v>9400</v>
      </c>
      <c r="I482" s="28">
        <f>G482*H482/1000*F482^2/162</f>
        <v>108.79629629629629</v>
      </c>
    </row>
    <row r="483">
      <c r="A483" s="7" t="inlineStr">
        <is>
          <t>STR-066</t>
        </is>
      </c>
      <c r="B483" s="7" t="inlineStr">
        <is>
          <t>Beams</t>
        </is>
      </c>
      <c r="C483" s="7" t="inlineStr">
        <is>
          <t>Mezzanine floor beams</t>
        </is>
      </c>
      <c r="D483" s="7" t="inlineStr">
        <is>
          <t>F06</t>
        </is>
      </c>
      <c r="E483" s="27" t="inlineStr">
        <is>
          <t>2503</t>
        </is>
      </c>
      <c r="F483" s="27" t="n">
        <v>25</v>
      </c>
      <c r="G483" s="27" t="n">
        <v>3</v>
      </c>
      <c r="H483" s="27" t="n">
        <v>12000</v>
      </c>
      <c r="I483" s="28">
        <f>G483*H483/1000*F483^2/162</f>
        <v>138.88888888888889</v>
      </c>
    </row>
    <row r="484">
      <c r="A484" s="7" t="inlineStr">
        <is>
          <t>STR-066</t>
        </is>
      </c>
      <c r="B484" s="7" t="inlineStr">
        <is>
          <t>Beams</t>
        </is>
      </c>
      <c r="C484" s="7" t="inlineStr">
        <is>
          <t>Mezzanine floor beams</t>
        </is>
      </c>
      <c r="D484" s="7" t="inlineStr">
        <is>
          <t>F06</t>
        </is>
      </c>
      <c r="E484" s="27" t="inlineStr">
        <is>
          <t>2504</t>
        </is>
      </c>
      <c r="F484" s="27" t="n">
        <v>25</v>
      </c>
      <c r="G484" s="27" t="n">
        <v>3</v>
      </c>
      <c r="H484" s="27" t="n">
        <v>7100</v>
      </c>
      <c r="I484" s="28">
        <f>G484*H484/1000*F484^2/162</f>
        <v>82.17592592592592</v>
      </c>
    </row>
    <row r="485">
      <c r="A485" s="7" t="inlineStr">
        <is>
          <t>STR-066</t>
        </is>
      </c>
      <c r="B485" s="7" t="inlineStr">
        <is>
          <t>Beams</t>
        </is>
      </c>
      <c r="C485" s="7" t="inlineStr">
        <is>
          <t>Mezzanine floor beams</t>
        </is>
      </c>
      <c r="D485" s="7" t="inlineStr">
        <is>
          <t>F06</t>
        </is>
      </c>
      <c r="E485" s="27" t="inlineStr">
        <is>
          <t>2505</t>
        </is>
      </c>
      <c r="F485" s="27" t="n">
        <v>25</v>
      </c>
      <c r="G485" s="27" t="n">
        <v>6</v>
      </c>
      <c r="H485" s="27" t="n">
        <v>9300</v>
      </c>
      <c r="I485" s="28">
        <f>G485*H485/1000*F485^2/162</f>
        <v>215.27777777777777</v>
      </c>
    </row>
    <row r="486">
      <c r="A486" s="7" t="inlineStr">
        <is>
          <t>STR-066</t>
        </is>
      </c>
      <c r="B486" s="7" t="inlineStr">
        <is>
          <t>Beams</t>
        </is>
      </c>
      <c r="C486" s="7" t="inlineStr">
        <is>
          <t>Mezzanine floor beams</t>
        </is>
      </c>
      <c r="D486" s="7" t="inlineStr">
        <is>
          <t>F06</t>
        </is>
      </c>
      <c r="E486" s="27" t="inlineStr">
        <is>
          <t>2506</t>
        </is>
      </c>
      <c r="F486" s="27" t="n">
        <v>25</v>
      </c>
      <c r="G486" s="27" t="n">
        <v>3</v>
      </c>
      <c r="H486" s="27" t="n">
        <v>9100</v>
      </c>
      <c r="I486" s="28">
        <f>G486*H486/1000*F486^2/162</f>
        <v>105.32407407407408</v>
      </c>
    </row>
    <row r="487">
      <c r="A487" s="7" t="inlineStr">
        <is>
          <t>STR-066</t>
        </is>
      </c>
      <c r="B487" s="7" t="inlineStr">
        <is>
          <t>Beams</t>
        </is>
      </c>
      <c r="C487" s="7" t="inlineStr">
        <is>
          <t>Mezzanine floor beams</t>
        </is>
      </c>
      <c r="D487" s="7" t="inlineStr">
        <is>
          <t>F06</t>
        </is>
      </c>
      <c r="E487" s="27" t="inlineStr">
        <is>
          <t>2507</t>
        </is>
      </c>
      <c r="F487" s="27" t="n">
        <v>25</v>
      </c>
      <c r="G487" s="27" t="n">
        <v>3</v>
      </c>
      <c r="H487" s="27" t="n">
        <v>9075</v>
      </c>
      <c r="I487" s="28">
        <f>G487*H487/1000*F487^2/162</f>
        <v>105.03472222222223</v>
      </c>
    </row>
    <row r="488">
      <c r="A488" s="7" t="inlineStr">
        <is>
          <t>STR-067</t>
        </is>
      </c>
      <c r="B488" s="7" t="inlineStr">
        <is>
          <t>Floor Slabs</t>
        </is>
      </c>
      <c r="C488" s="7" t="inlineStr">
        <is>
          <t>Mezzanine slab - bottom</t>
        </is>
      </c>
      <c r="D488" s="7" t="inlineStr">
        <is>
          <t>F06</t>
        </is>
      </c>
      <c r="E488" s="27" t="inlineStr">
        <is>
          <t>1201</t>
        </is>
      </c>
      <c r="F488" s="27" t="n">
        <v>12</v>
      </c>
      <c r="G488" s="27" t="n">
        <v>389</v>
      </c>
      <c r="H488" s="27" t="n">
        <v>8600</v>
      </c>
      <c r="I488" s="28">
        <f>G488*H488/1000*F488^2/162</f>
        <v>2973.6888888888893</v>
      </c>
    </row>
    <row r="489">
      <c r="A489" s="7" t="inlineStr">
        <is>
          <t>STR-067</t>
        </is>
      </c>
      <c r="B489" s="7" t="inlineStr">
        <is>
          <t>Floor Slabs</t>
        </is>
      </c>
      <c r="C489" s="7" t="inlineStr">
        <is>
          <t>Mezzanine slab - bottom</t>
        </is>
      </c>
      <c r="D489" s="7" t="inlineStr">
        <is>
          <t>F06</t>
        </is>
      </c>
      <c r="E489" s="27" t="inlineStr">
        <is>
          <t>1202</t>
        </is>
      </c>
      <c r="F489" s="27" t="n">
        <v>12</v>
      </c>
      <c r="G489" s="27" t="n">
        <v>432</v>
      </c>
      <c r="H489" s="27" t="n">
        <v>5500</v>
      </c>
      <c r="I489" s="28">
        <f>G489*H489/1000*F489^2/162</f>
        <v>2112.0</v>
      </c>
    </row>
    <row r="490">
      <c r="A490" s="7" t="inlineStr">
        <is>
          <t>STR-067</t>
        </is>
      </c>
      <c r="B490" s="7" t="inlineStr">
        <is>
          <t>Floor Slabs</t>
        </is>
      </c>
      <c r="C490" s="7" t="inlineStr">
        <is>
          <t>Mezzanine slab - bottom</t>
        </is>
      </c>
      <c r="D490" s="7" t="inlineStr">
        <is>
          <t>F06</t>
        </is>
      </c>
      <c r="E490" s="27" t="inlineStr">
        <is>
          <t>1203</t>
        </is>
      </c>
      <c r="F490" s="27" t="n">
        <v>12</v>
      </c>
      <c r="G490" s="27" t="n">
        <v>16</v>
      </c>
      <c r="H490" s="27" t="n">
        <v>4450</v>
      </c>
      <c r="I490" s="28">
        <f>G490*H490/1000*F490^2/162</f>
        <v>63.2888888888889</v>
      </c>
    </row>
    <row r="491">
      <c r="A491" s="7" t="inlineStr">
        <is>
          <t>STR-067</t>
        </is>
      </c>
      <c r="B491" s="7" t="inlineStr">
        <is>
          <t>Floor Slabs</t>
        </is>
      </c>
      <c r="C491" s="7" t="inlineStr">
        <is>
          <t>Mezzanine slab - bottom</t>
        </is>
      </c>
      <c r="D491" s="7" t="inlineStr">
        <is>
          <t>F06</t>
        </is>
      </c>
      <c r="E491" s="27" t="inlineStr">
        <is>
          <t>1204</t>
        </is>
      </c>
      <c r="F491" s="27" t="n">
        <v>12</v>
      </c>
      <c r="G491" s="27" t="n">
        <v>454</v>
      </c>
      <c r="H491" s="27" t="n">
        <v>5250</v>
      </c>
      <c r="I491" s="28">
        <f>G491*H491/1000*F491^2/162</f>
        <v>2118.6666666666665</v>
      </c>
    </row>
    <row r="492">
      <c r="A492" s="7" t="inlineStr">
        <is>
          <t>STR-067</t>
        </is>
      </c>
      <c r="B492" s="7" t="inlineStr">
        <is>
          <t>Floor Slabs</t>
        </is>
      </c>
      <c r="C492" s="7" t="inlineStr">
        <is>
          <t>Mezzanine slab - bottom</t>
        </is>
      </c>
      <c r="D492" s="7" t="inlineStr">
        <is>
          <t>F06</t>
        </is>
      </c>
      <c r="E492" s="27" t="inlineStr">
        <is>
          <t>1205</t>
        </is>
      </c>
      <c r="F492" s="27" t="n">
        <v>12</v>
      </c>
      <c r="G492" s="27" t="n">
        <v>16</v>
      </c>
      <c r="H492" s="27" t="n">
        <v>9050</v>
      </c>
      <c r="I492" s="28">
        <f>G492*H492/1000*F492^2/162</f>
        <v>128.7111111111111</v>
      </c>
    </row>
    <row r="493">
      <c r="A493" s="7" t="inlineStr">
        <is>
          <t>STR-067</t>
        </is>
      </c>
      <c r="B493" s="7" t="inlineStr">
        <is>
          <t>Floor Slabs</t>
        </is>
      </c>
      <c r="C493" s="7" t="inlineStr">
        <is>
          <t>Mezzanine slab - bottom</t>
        </is>
      </c>
      <c r="D493" s="7" t="inlineStr">
        <is>
          <t>F06</t>
        </is>
      </c>
      <c r="E493" s="27" t="inlineStr">
        <is>
          <t>1206</t>
        </is>
      </c>
      <c r="F493" s="27" t="n">
        <v>12</v>
      </c>
      <c r="G493" s="27" t="n">
        <v>58</v>
      </c>
      <c r="H493" s="27" t="n">
        <v>8950</v>
      </c>
      <c r="I493" s="28">
        <f>G493*H493/1000*F493^2/162</f>
        <v>461.4222222222223</v>
      </c>
    </row>
    <row r="494">
      <c r="A494" s="7" t="inlineStr">
        <is>
          <t>STR-067</t>
        </is>
      </c>
      <c r="B494" s="7" t="inlineStr">
        <is>
          <t>Floor Slabs</t>
        </is>
      </c>
      <c r="C494" s="7" t="inlineStr">
        <is>
          <t>Mezzanine slab - bottom</t>
        </is>
      </c>
      <c r="D494" s="7" t="inlineStr">
        <is>
          <t>F06</t>
        </is>
      </c>
      <c r="E494" s="27" t="inlineStr">
        <is>
          <t>1207</t>
        </is>
      </c>
      <c r="F494" s="27" t="n">
        <v>12</v>
      </c>
      <c r="G494" s="27" t="n">
        <v>47</v>
      </c>
      <c r="H494" s="27" t="n">
        <v>8850</v>
      </c>
      <c r="I494" s="28">
        <f>G494*H494/1000*F494^2/162</f>
        <v>369.7333333333333</v>
      </c>
    </row>
    <row r="495">
      <c r="A495" s="7" t="inlineStr">
        <is>
          <t>STR-067</t>
        </is>
      </c>
      <c r="B495" s="7" t="inlineStr">
        <is>
          <t>Floor Slabs</t>
        </is>
      </c>
      <c r="C495" s="7" t="inlineStr">
        <is>
          <t>Mezzanine slab - bottom</t>
        </is>
      </c>
      <c r="D495" s="7" t="inlineStr">
        <is>
          <t>F06</t>
        </is>
      </c>
      <c r="E495" s="27" t="inlineStr">
        <is>
          <t>1208</t>
        </is>
      </c>
      <c r="F495" s="27" t="n">
        <v>12</v>
      </c>
      <c r="G495" s="27" t="n">
        <v>269</v>
      </c>
      <c r="H495" s="27" t="n">
        <v>8900</v>
      </c>
      <c r="I495" s="28">
        <f>G495*H495/1000*F495^2/162</f>
        <v>2128.0888888888885</v>
      </c>
    </row>
    <row r="496">
      <c r="A496" s="7" t="inlineStr">
        <is>
          <t>STR-067</t>
        </is>
      </c>
      <c r="B496" s="7" t="inlineStr">
        <is>
          <t>Floor Slabs</t>
        </is>
      </c>
      <c r="C496" s="7" t="inlineStr">
        <is>
          <t>Mezzanine slab - bottom</t>
        </is>
      </c>
      <c r="D496" s="7" t="inlineStr">
        <is>
          <t>F06</t>
        </is>
      </c>
      <c r="E496" s="27" t="inlineStr">
        <is>
          <t>1209</t>
        </is>
      </c>
      <c r="F496" s="27" t="n">
        <v>12</v>
      </c>
      <c r="G496" s="27" t="n">
        <v>15</v>
      </c>
      <c r="H496" s="27" t="n">
        <v>8650</v>
      </c>
      <c r="I496" s="28">
        <f>G496*H496/1000*F496^2/162</f>
        <v>115.33333333333333</v>
      </c>
    </row>
    <row r="497">
      <c r="A497" s="7" t="inlineStr">
        <is>
          <t>STR-067</t>
        </is>
      </c>
      <c r="B497" s="7" t="inlineStr">
        <is>
          <t>Floor Slabs</t>
        </is>
      </c>
      <c r="C497" s="7" t="inlineStr">
        <is>
          <t>Mezzanine slab - bottom</t>
        </is>
      </c>
      <c r="D497" s="7" t="inlineStr">
        <is>
          <t>F06</t>
        </is>
      </c>
      <c r="E497" s="27" t="inlineStr">
        <is>
          <t>1210</t>
        </is>
      </c>
      <c r="F497" s="27" t="n">
        <v>12</v>
      </c>
      <c r="G497" s="27" t="n">
        <v>7</v>
      </c>
      <c r="H497" s="27" t="n">
        <v>8275</v>
      </c>
      <c r="I497" s="28">
        <f>G497*H497/1000*F497^2/162</f>
        <v>51.48888888888888</v>
      </c>
    </row>
    <row r="498">
      <c r="A498" s="7" t="inlineStr">
        <is>
          <t>STR-067</t>
        </is>
      </c>
      <c r="B498" s="7" t="inlineStr">
        <is>
          <t>Floor Slabs</t>
        </is>
      </c>
      <c r="C498" s="7" t="inlineStr">
        <is>
          <t>Mezzanine slab - bottom</t>
        </is>
      </c>
      <c r="D498" s="7" t="inlineStr">
        <is>
          <t>F06</t>
        </is>
      </c>
      <c r="E498" s="27" t="inlineStr">
        <is>
          <t>1211</t>
        </is>
      </c>
      <c r="F498" s="27" t="n">
        <v>12</v>
      </c>
      <c r="G498" s="27" t="n">
        <v>269</v>
      </c>
      <c r="H498" s="27" t="n">
        <v>6350</v>
      </c>
      <c r="I498" s="28">
        <f>G498*H498/1000*F498^2/162</f>
        <v>1518.3555555555556</v>
      </c>
    </row>
    <row r="499">
      <c r="A499" s="7" t="inlineStr">
        <is>
          <t>STR-067</t>
        </is>
      </c>
      <c r="B499" s="7" t="inlineStr">
        <is>
          <t>Floor Slabs</t>
        </is>
      </c>
      <c r="C499" s="7" t="inlineStr">
        <is>
          <t>Mezzanine slab - bottom</t>
        </is>
      </c>
      <c r="D499" s="7" t="inlineStr">
        <is>
          <t>F06</t>
        </is>
      </c>
      <c r="E499" s="27" t="inlineStr">
        <is>
          <t>1212</t>
        </is>
      </c>
      <c r="F499" s="27" t="n">
        <v>12</v>
      </c>
      <c r="G499" s="27" t="n">
        <v>163</v>
      </c>
      <c r="H499" s="27" t="n">
        <v>12000</v>
      </c>
      <c r="I499" s="28">
        <f>G499*H499/1000*F499^2/162</f>
        <v>1738.6666666666667</v>
      </c>
    </row>
    <row r="500">
      <c r="A500" s="7" t="inlineStr">
        <is>
          <t>STR-067</t>
        </is>
      </c>
      <c r="B500" s="7" t="inlineStr">
        <is>
          <t>Floor Slabs</t>
        </is>
      </c>
      <c r="C500" s="7" t="inlineStr">
        <is>
          <t>Mezzanine slab - bottom</t>
        </is>
      </c>
      <c r="D500" s="7" t="inlineStr">
        <is>
          <t>F06</t>
        </is>
      </c>
      <c r="E500" s="27" t="inlineStr">
        <is>
          <t>1213</t>
        </is>
      </c>
      <c r="F500" s="27" t="n">
        <v>12</v>
      </c>
      <c r="G500" s="27" t="n">
        <v>36</v>
      </c>
      <c r="H500" s="27" t="n">
        <v>6875</v>
      </c>
      <c r="I500" s="28">
        <f>G500*H500/1000*F500^2/162</f>
        <v>220.0</v>
      </c>
    </row>
    <row r="501">
      <c r="A501" s="7" t="inlineStr">
        <is>
          <t>STR-067</t>
        </is>
      </c>
      <c r="B501" s="7" t="inlineStr">
        <is>
          <t>Floor Slabs</t>
        </is>
      </c>
      <c r="C501" s="7" t="inlineStr">
        <is>
          <t>Mezzanine slab - bottom</t>
        </is>
      </c>
      <c r="D501" s="7" t="inlineStr">
        <is>
          <t>F06</t>
        </is>
      </c>
      <c r="E501" s="27" t="inlineStr">
        <is>
          <t>1214</t>
        </is>
      </c>
      <c r="F501" s="27" t="n">
        <v>12</v>
      </c>
      <c r="G501" s="27" t="n">
        <v>341</v>
      </c>
      <c r="H501" s="27" t="n">
        <v>3950</v>
      </c>
      <c r="I501" s="28">
        <f>G501*H501/1000*F501^2/162</f>
        <v>1197.288888888889</v>
      </c>
    </row>
    <row r="502">
      <c r="A502" s="7" t="inlineStr">
        <is>
          <t>STR-067</t>
        </is>
      </c>
      <c r="B502" s="7" t="inlineStr">
        <is>
          <t>Floor Slabs</t>
        </is>
      </c>
      <c r="C502" s="7" t="inlineStr">
        <is>
          <t>Mezzanine slab - bottom</t>
        </is>
      </c>
      <c r="D502" s="7" t="inlineStr">
        <is>
          <t>F06</t>
        </is>
      </c>
      <c r="E502" s="27" t="inlineStr">
        <is>
          <t>1215</t>
        </is>
      </c>
      <c r="F502" s="27" t="n">
        <v>12</v>
      </c>
      <c r="G502" s="27" t="n">
        <v>319</v>
      </c>
      <c r="H502" s="27" t="n">
        <v>12000</v>
      </c>
      <c r="I502" s="28">
        <f>G502*H502/1000*F502^2/162</f>
        <v>3402.6666666666665</v>
      </c>
    </row>
    <row r="503">
      <c r="A503" s="7" t="inlineStr">
        <is>
          <t>STR-067</t>
        </is>
      </c>
      <c r="B503" s="7" t="inlineStr">
        <is>
          <t>Floor Slabs</t>
        </is>
      </c>
      <c r="C503" s="7" t="inlineStr">
        <is>
          <t>Mezzanine slab - bottom</t>
        </is>
      </c>
      <c r="D503" s="7" t="inlineStr">
        <is>
          <t>F06</t>
        </is>
      </c>
      <c r="E503" s="27" t="inlineStr">
        <is>
          <t>1216</t>
        </is>
      </c>
      <c r="F503" s="27" t="n">
        <v>12</v>
      </c>
      <c r="G503" s="27" t="n">
        <v>9</v>
      </c>
      <c r="H503" s="27" t="n">
        <v>7375</v>
      </c>
      <c r="I503" s="28">
        <f>G503*H503/1000*F503^2/162</f>
        <v>59.0</v>
      </c>
    </row>
    <row r="504">
      <c r="A504" s="7" t="inlineStr">
        <is>
          <t>STR-067</t>
        </is>
      </c>
      <c r="B504" s="7" t="inlineStr">
        <is>
          <t>Floor Slabs</t>
        </is>
      </c>
      <c r="C504" s="7" t="inlineStr">
        <is>
          <t>Mezzanine slab - bottom</t>
        </is>
      </c>
      <c r="D504" s="7" t="inlineStr">
        <is>
          <t>F06</t>
        </is>
      </c>
      <c r="E504" s="27" t="inlineStr">
        <is>
          <t>1217</t>
        </is>
      </c>
      <c r="F504" s="27" t="n">
        <v>12</v>
      </c>
      <c r="G504" s="27" t="n">
        <v>153</v>
      </c>
      <c r="H504" s="27" t="n">
        <v>11750</v>
      </c>
      <c r="I504" s="28">
        <f>G504*H504/1000*F504^2/162</f>
        <v>1598.0</v>
      </c>
    </row>
    <row r="505">
      <c r="A505" s="7" t="inlineStr">
        <is>
          <t>STR-067</t>
        </is>
      </c>
      <c r="B505" s="7" t="inlineStr">
        <is>
          <t>Floor Slabs</t>
        </is>
      </c>
      <c r="C505" s="7" t="inlineStr">
        <is>
          <t>Mezzanine slab - bottom</t>
        </is>
      </c>
      <c r="D505" s="7" t="inlineStr">
        <is>
          <t>F06</t>
        </is>
      </c>
      <c r="E505" s="27" t="inlineStr">
        <is>
          <t>1218</t>
        </is>
      </c>
      <c r="F505" s="27" t="n">
        <v>12</v>
      </c>
      <c r="G505" s="27" t="n">
        <v>85</v>
      </c>
      <c r="H505" s="27" t="n">
        <v>11475</v>
      </c>
      <c r="I505" s="28">
        <f>G505*H505/1000*F505^2/162</f>
        <v>867.0</v>
      </c>
    </row>
    <row r="506">
      <c r="A506" s="7" t="inlineStr">
        <is>
          <t>STR-068</t>
        </is>
      </c>
      <c r="B506" s="7" t="inlineStr">
        <is>
          <t>Floor Slabs</t>
        </is>
      </c>
      <c r="C506" s="7" t="inlineStr">
        <is>
          <t>Mezzanine slab - top</t>
        </is>
      </c>
      <c r="D506" s="7" t="inlineStr">
        <is>
          <t>F06</t>
        </is>
      </c>
      <c r="E506" s="27" t="inlineStr">
        <is>
          <t>1219</t>
        </is>
      </c>
      <c r="F506" s="27" t="n">
        <v>12</v>
      </c>
      <c r="G506" s="27" t="n">
        <v>59</v>
      </c>
      <c r="H506" s="27" t="n">
        <v>10350</v>
      </c>
      <c r="I506" s="28">
        <f>G506*H506/1000*F506^2/162</f>
        <v>542.8</v>
      </c>
    </row>
    <row r="507">
      <c r="A507" s="7" t="inlineStr">
        <is>
          <t>STR-068</t>
        </is>
      </c>
      <c r="B507" s="7" t="inlineStr">
        <is>
          <t>Floor Slabs</t>
        </is>
      </c>
      <c r="C507" s="7" t="inlineStr">
        <is>
          <t>Mezzanine slab - top</t>
        </is>
      </c>
      <c r="D507" s="7" t="inlineStr">
        <is>
          <t>F06</t>
        </is>
      </c>
      <c r="E507" s="27" t="inlineStr">
        <is>
          <t>1220</t>
        </is>
      </c>
      <c r="F507" s="27" t="n">
        <v>12</v>
      </c>
      <c r="G507" s="27" t="n">
        <v>32</v>
      </c>
      <c r="H507" s="27" t="n">
        <v>5850</v>
      </c>
      <c r="I507" s="28">
        <f>G507*H507/1000*F507^2/162</f>
        <v>166.4</v>
      </c>
    </row>
    <row r="508">
      <c r="A508" s="7" t="inlineStr">
        <is>
          <t>STR-068</t>
        </is>
      </c>
      <c r="B508" s="7" t="inlineStr">
        <is>
          <t>Floor Slabs</t>
        </is>
      </c>
      <c r="C508" s="7" t="inlineStr">
        <is>
          <t>Mezzanine slab - top</t>
        </is>
      </c>
      <c r="D508" s="7" t="inlineStr">
        <is>
          <t>F06</t>
        </is>
      </c>
      <c r="E508" s="27" t="inlineStr">
        <is>
          <t>1221</t>
        </is>
      </c>
      <c r="F508" s="27" t="n">
        <v>12</v>
      </c>
      <c r="G508" s="27" t="n">
        <v>16</v>
      </c>
      <c r="H508" s="27" t="n">
        <v>8250</v>
      </c>
      <c r="I508" s="28">
        <f>G508*H508/1000*F508^2/162</f>
        <v>117.33333333333333</v>
      </c>
    </row>
    <row r="509">
      <c r="A509" s="7" t="inlineStr">
        <is>
          <t>STR-068</t>
        </is>
      </c>
      <c r="B509" s="7" t="inlineStr">
        <is>
          <t>Floor Slabs</t>
        </is>
      </c>
      <c r="C509" s="7" t="inlineStr">
        <is>
          <t>Mezzanine slab - top</t>
        </is>
      </c>
      <c r="D509" s="7" t="inlineStr">
        <is>
          <t>F06</t>
        </is>
      </c>
      <c r="E509" s="27" t="inlineStr">
        <is>
          <t>1222</t>
        </is>
      </c>
      <c r="F509" s="27" t="n">
        <v>12</v>
      </c>
      <c r="G509" s="27" t="n">
        <v>56</v>
      </c>
      <c r="H509" s="27" t="n">
        <v>9750</v>
      </c>
      <c r="I509" s="28">
        <f>G509*H509/1000*F509^2/162</f>
        <v>485.3333333333333</v>
      </c>
    </row>
    <row r="510">
      <c r="A510" s="7" t="inlineStr">
        <is>
          <t>STR-068</t>
        </is>
      </c>
      <c r="B510" s="7" t="inlineStr">
        <is>
          <t>Floor Slabs</t>
        </is>
      </c>
      <c r="C510" s="7" t="inlineStr">
        <is>
          <t>Mezzanine slab - top</t>
        </is>
      </c>
      <c r="D510" s="7" t="inlineStr">
        <is>
          <t>F06</t>
        </is>
      </c>
      <c r="E510" s="27" t="inlineStr">
        <is>
          <t>1223</t>
        </is>
      </c>
      <c r="F510" s="27" t="n">
        <v>12</v>
      </c>
      <c r="G510" s="27" t="n">
        <v>92</v>
      </c>
      <c r="H510" s="27" t="n">
        <v>8000</v>
      </c>
      <c r="I510" s="28">
        <f>G510*H510/1000*F510^2/162</f>
        <v>654.2222222222222</v>
      </c>
    </row>
    <row r="511">
      <c r="A511" s="7" t="inlineStr">
        <is>
          <t>STR-068</t>
        </is>
      </c>
      <c r="B511" s="7" t="inlineStr">
        <is>
          <t>Floor Slabs</t>
        </is>
      </c>
      <c r="C511" s="7" t="inlineStr">
        <is>
          <t>Mezzanine slab - top</t>
        </is>
      </c>
      <c r="D511" s="7" t="inlineStr">
        <is>
          <t>F06</t>
        </is>
      </c>
      <c r="E511" s="27" t="inlineStr">
        <is>
          <t>1224</t>
        </is>
      </c>
      <c r="F511" s="27" t="n">
        <v>12</v>
      </c>
      <c r="G511" s="27" t="n">
        <v>56</v>
      </c>
      <c r="H511" s="27" t="n">
        <v>4700</v>
      </c>
      <c r="I511" s="28">
        <f>G511*H511/1000*F511^2/162</f>
        <v>233.95555555555552</v>
      </c>
    </row>
    <row r="512">
      <c r="A512" s="7" t="inlineStr">
        <is>
          <t>STR-068</t>
        </is>
      </c>
      <c r="B512" s="7" t="inlineStr">
        <is>
          <t>Floor Slabs</t>
        </is>
      </c>
      <c r="C512" s="7" t="inlineStr">
        <is>
          <t>Mezzanine slab - top</t>
        </is>
      </c>
      <c r="D512" s="7" t="inlineStr">
        <is>
          <t>F06</t>
        </is>
      </c>
      <c r="E512" s="27" t="inlineStr">
        <is>
          <t>1225</t>
        </is>
      </c>
      <c r="F512" s="27" t="n">
        <v>12</v>
      </c>
      <c r="G512" s="27" t="n">
        <v>108</v>
      </c>
      <c r="H512" s="27" t="n">
        <v>8800</v>
      </c>
      <c r="I512" s="28">
        <f>G512*H512/1000*F512^2/162</f>
        <v>844.8000000000001</v>
      </c>
    </row>
    <row r="513">
      <c r="A513" s="7" t="inlineStr">
        <is>
          <t>STR-068</t>
        </is>
      </c>
      <c r="B513" s="7" t="inlineStr">
        <is>
          <t>Floor Slabs</t>
        </is>
      </c>
      <c r="C513" s="7" t="inlineStr">
        <is>
          <t>Mezzanine slab - top</t>
        </is>
      </c>
      <c r="D513" s="7" t="inlineStr">
        <is>
          <t>F06</t>
        </is>
      </c>
      <c r="E513" s="27" t="inlineStr">
        <is>
          <t>1226</t>
        </is>
      </c>
      <c r="F513" s="27" t="n">
        <v>12</v>
      </c>
      <c r="G513" s="27" t="n">
        <v>15</v>
      </c>
      <c r="H513" s="27" t="n">
        <v>8700</v>
      </c>
      <c r="I513" s="28">
        <f>G513*H513/1000*F513^2/162</f>
        <v>116.0</v>
      </c>
    </row>
    <row r="514">
      <c r="A514" s="7" t="inlineStr">
        <is>
          <t>STR-068</t>
        </is>
      </c>
      <c r="B514" s="7" t="inlineStr">
        <is>
          <t>Floor Slabs</t>
        </is>
      </c>
      <c r="C514" s="7" t="inlineStr">
        <is>
          <t>Mezzanine slab - top</t>
        </is>
      </c>
      <c r="D514" s="7" t="inlineStr">
        <is>
          <t>F06</t>
        </is>
      </c>
      <c r="E514" s="27" t="inlineStr">
        <is>
          <t>1227</t>
        </is>
      </c>
      <c r="F514" s="27" t="n">
        <v>12</v>
      </c>
      <c r="G514" s="27" t="n">
        <v>15</v>
      </c>
      <c r="H514" s="27" t="n">
        <v>4800</v>
      </c>
      <c r="I514" s="28">
        <f>G514*H514/1000*F514^2/162</f>
        <v>64.0</v>
      </c>
    </row>
    <row r="515">
      <c r="A515" s="7" t="inlineStr">
        <is>
          <t>STR-068</t>
        </is>
      </c>
      <c r="B515" s="7" t="inlineStr">
        <is>
          <t>Floor Slabs</t>
        </is>
      </c>
      <c r="C515" s="7" t="inlineStr">
        <is>
          <t>Mezzanine slab - top</t>
        </is>
      </c>
      <c r="D515" s="7" t="inlineStr">
        <is>
          <t>F06</t>
        </is>
      </c>
      <c r="E515" s="27" t="inlineStr">
        <is>
          <t>1228</t>
        </is>
      </c>
      <c r="F515" s="27" t="n">
        <v>12</v>
      </c>
      <c r="G515" s="27" t="n">
        <v>93</v>
      </c>
      <c r="H515" s="27" t="n">
        <v>8650</v>
      </c>
      <c r="I515" s="28">
        <f>G515*H515/1000*F515^2/162</f>
        <v>715.0666666666667</v>
      </c>
    </row>
    <row r="516">
      <c r="A516" s="7" t="inlineStr">
        <is>
          <t>STR-068</t>
        </is>
      </c>
      <c r="B516" s="7" t="inlineStr">
        <is>
          <t>Floor Slabs</t>
        </is>
      </c>
      <c r="C516" s="7" t="inlineStr">
        <is>
          <t>Mezzanine slab - top</t>
        </is>
      </c>
      <c r="D516" s="7" t="inlineStr">
        <is>
          <t>F06</t>
        </is>
      </c>
      <c r="E516" s="27" t="inlineStr">
        <is>
          <t>1229</t>
        </is>
      </c>
      <c r="F516" s="27" t="n">
        <v>12</v>
      </c>
      <c r="G516" s="27" t="n">
        <v>93</v>
      </c>
      <c r="H516" s="27" t="n">
        <v>4650</v>
      </c>
      <c r="I516" s="28">
        <f>G516*H516/1000*F516^2/162</f>
        <v>384.4</v>
      </c>
    </row>
    <row r="517">
      <c r="A517" s="7" t="inlineStr">
        <is>
          <t>STR-068</t>
        </is>
      </c>
      <c r="B517" s="7" t="inlineStr">
        <is>
          <t>Floor Slabs</t>
        </is>
      </c>
      <c r="C517" s="7" t="inlineStr">
        <is>
          <t>Mezzanine slab - top</t>
        </is>
      </c>
      <c r="D517" s="7" t="inlineStr">
        <is>
          <t>F06</t>
        </is>
      </c>
      <c r="E517" s="27" t="inlineStr">
        <is>
          <t>1230</t>
        </is>
      </c>
      <c r="F517" s="27" t="n">
        <v>12</v>
      </c>
      <c r="G517" s="27" t="n">
        <v>95</v>
      </c>
      <c r="H517" s="27" t="n">
        <v>8275</v>
      </c>
      <c r="I517" s="28">
        <f>G517*H517/1000*F517^2/162</f>
        <v>698.7777777777778</v>
      </c>
    </row>
    <row r="518">
      <c r="A518" s="7" t="inlineStr">
        <is>
          <t>STR-068</t>
        </is>
      </c>
      <c r="B518" s="7" t="inlineStr">
        <is>
          <t>Floor Slabs</t>
        </is>
      </c>
      <c r="C518" s="7" t="inlineStr">
        <is>
          <t>Mezzanine slab - top</t>
        </is>
      </c>
      <c r="D518" s="7" t="inlineStr">
        <is>
          <t>F06</t>
        </is>
      </c>
      <c r="E518" s="27" t="inlineStr">
        <is>
          <t>1231</t>
        </is>
      </c>
      <c r="F518" s="27" t="n">
        <v>12</v>
      </c>
      <c r="G518" s="27" t="n">
        <v>162</v>
      </c>
      <c r="H518" s="27" t="n">
        <v>9000</v>
      </c>
      <c r="I518" s="28">
        <f>G518*H518/1000*F518^2/162</f>
        <v>1296.0</v>
      </c>
    </row>
    <row r="519">
      <c r="A519" s="7" t="inlineStr">
        <is>
          <t>STR-068</t>
        </is>
      </c>
      <c r="B519" s="7" t="inlineStr">
        <is>
          <t>Floor Slabs</t>
        </is>
      </c>
      <c r="C519" s="7" t="inlineStr">
        <is>
          <t>Mezzanine slab - top</t>
        </is>
      </c>
      <c r="D519" s="7" t="inlineStr">
        <is>
          <t>F06</t>
        </is>
      </c>
      <c r="E519" s="27" t="inlineStr">
        <is>
          <t>1232</t>
        </is>
      </c>
      <c r="F519" s="27" t="n">
        <v>12</v>
      </c>
      <c r="G519" s="27" t="n">
        <v>36</v>
      </c>
      <c r="H519" s="27" t="n">
        <v>4850</v>
      </c>
      <c r="I519" s="28">
        <f>G519*H519/1000*F519^2/162</f>
        <v>155.2</v>
      </c>
    </row>
    <row r="520">
      <c r="A520" s="7" t="inlineStr">
        <is>
          <t>STR-068</t>
        </is>
      </c>
      <c r="B520" s="7" t="inlineStr">
        <is>
          <t>Floor Slabs</t>
        </is>
      </c>
      <c r="C520" s="7" t="inlineStr">
        <is>
          <t>Mezzanine slab - top</t>
        </is>
      </c>
      <c r="D520" s="7" t="inlineStr">
        <is>
          <t>F06</t>
        </is>
      </c>
      <c r="E520" s="27" t="inlineStr">
        <is>
          <t>1233</t>
        </is>
      </c>
      <c r="F520" s="27" t="n">
        <v>12</v>
      </c>
      <c r="G520" s="27" t="n">
        <v>85</v>
      </c>
      <c r="H520" s="27" t="n">
        <v>6875</v>
      </c>
      <c r="I520" s="28">
        <f>G520*H520/1000*F520^2/162</f>
        <v>519.4444444444445</v>
      </c>
    </row>
    <row r="521">
      <c r="A521" s="7" t="inlineStr">
        <is>
          <t>STR-068</t>
        </is>
      </c>
      <c r="B521" s="7" t="inlineStr">
        <is>
          <t>Floor Slabs</t>
        </is>
      </c>
      <c r="C521" s="7" t="inlineStr">
        <is>
          <t>Mezzanine slab - top</t>
        </is>
      </c>
      <c r="D521" s="7" t="inlineStr">
        <is>
          <t>F06</t>
        </is>
      </c>
      <c r="E521" s="27" t="inlineStr">
        <is>
          <t>1234</t>
        </is>
      </c>
      <c r="F521" s="27" t="n">
        <v>12</v>
      </c>
      <c r="G521" s="27" t="n">
        <v>13</v>
      </c>
      <c r="H521" s="27" t="n">
        <v>4200</v>
      </c>
      <c r="I521" s="28">
        <f>G521*H521/1000*F521^2/162</f>
        <v>48.53333333333334</v>
      </c>
    </row>
    <row r="522">
      <c r="A522" s="7" t="inlineStr">
        <is>
          <t>STR-068</t>
        </is>
      </c>
      <c r="B522" s="7" t="inlineStr">
        <is>
          <t>Floor Slabs</t>
        </is>
      </c>
      <c r="C522" s="7" t="inlineStr">
        <is>
          <t>Mezzanine slab - top</t>
        </is>
      </c>
      <c r="D522" s="7" t="inlineStr">
        <is>
          <t>F06</t>
        </is>
      </c>
      <c r="E522" s="27" t="inlineStr">
        <is>
          <t>1235</t>
        </is>
      </c>
      <c r="F522" s="27" t="n">
        <v>12</v>
      </c>
      <c r="G522" s="27" t="n">
        <v>73</v>
      </c>
      <c r="H522" s="27" t="n">
        <v>10850</v>
      </c>
      <c r="I522" s="28">
        <f>G522*H522/1000*F522^2/162</f>
        <v>704.0444444444445</v>
      </c>
    </row>
    <row r="523">
      <c r="A523" s="7" t="inlineStr">
        <is>
          <t>STR-068</t>
        </is>
      </c>
      <c r="B523" s="7" t="inlineStr">
        <is>
          <t>Floor Slabs</t>
        </is>
      </c>
      <c r="C523" s="7" t="inlineStr">
        <is>
          <t>Mezzanine slab - top</t>
        </is>
      </c>
      <c r="D523" s="7" t="inlineStr">
        <is>
          <t>F06</t>
        </is>
      </c>
      <c r="E523" s="27" t="inlineStr">
        <is>
          <t>1236</t>
        </is>
      </c>
      <c r="F523" s="27" t="n">
        <v>12</v>
      </c>
      <c r="G523" s="27" t="n">
        <v>73</v>
      </c>
      <c r="H523" s="27" t="n">
        <v>9350</v>
      </c>
      <c r="I523" s="28">
        <f>G523*H523/1000*F523^2/162</f>
        <v>606.7111111111111</v>
      </c>
    </row>
    <row r="524">
      <c r="A524" s="7" t="inlineStr">
        <is>
          <t>STR-068</t>
        </is>
      </c>
      <c r="B524" s="7" t="inlineStr">
        <is>
          <t>Floor Slabs</t>
        </is>
      </c>
      <c r="C524" s="7" t="inlineStr">
        <is>
          <t>Mezzanine slab - top</t>
        </is>
      </c>
      <c r="D524" s="7" t="inlineStr">
        <is>
          <t>F06</t>
        </is>
      </c>
      <c r="E524" s="27" t="inlineStr">
        <is>
          <t>1237</t>
        </is>
      </c>
      <c r="F524" s="27" t="n">
        <v>12</v>
      </c>
      <c r="G524" s="27" t="n">
        <v>235</v>
      </c>
      <c r="H524" s="27" t="n">
        <v>11300</v>
      </c>
      <c r="I524" s="28">
        <f>G524*H524/1000*F524^2/162</f>
        <v>2360.4444444444443</v>
      </c>
    </row>
    <row r="525">
      <c r="A525" s="7" t="inlineStr">
        <is>
          <t>STR-068</t>
        </is>
      </c>
      <c r="B525" s="7" t="inlineStr">
        <is>
          <t>Floor Slabs</t>
        </is>
      </c>
      <c r="C525" s="7" t="inlineStr">
        <is>
          <t>Mezzanine slab - top</t>
        </is>
      </c>
      <c r="D525" s="7" t="inlineStr">
        <is>
          <t>F06</t>
        </is>
      </c>
      <c r="E525" s="27" t="inlineStr">
        <is>
          <t>1238</t>
        </is>
      </c>
      <c r="F525" s="27" t="n">
        <v>12</v>
      </c>
      <c r="G525" s="27" t="n">
        <v>57</v>
      </c>
      <c r="H525" s="27" t="n">
        <v>11750</v>
      </c>
      <c r="I525" s="28">
        <f>G525*H525/1000*F525^2/162</f>
        <v>595.3333333333334</v>
      </c>
    </row>
    <row r="526">
      <c r="A526" s="7" t="inlineStr">
        <is>
          <t>STR-069</t>
        </is>
      </c>
      <c r="B526" s="7" t="inlineStr">
        <is>
          <t>Floor Slabs</t>
        </is>
      </c>
      <c r="C526" s="7" t="inlineStr">
        <is>
          <t>Mezzanine slab - additional top</t>
        </is>
      </c>
      <c r="D526" s="7" t="inlineStr">
        <is>
          <t>F06</t>
        </is>
      </c>
      <c r="E526" s="27" t="inlineStr">
        <is>
          <t>1239</t>
        </is>
      </c>
      <c r="F526" s="27" t="n">
        <v>12</v>
      </c>
      <c r="G526" s="27" t="n">
        <v>207</v>
      </c>
      <c r="H526" s="27" t="n">
        <v>3000</v>
      </c>
      <c r="I526" s="28">
        <f>G526*H526/1000*F526^2/162</f>
        <v>552.0</v>
      </c>
    </row>
    <row r="527">
      <c r="A527" s="7" t="inlineStr">
        <is>
          <t>STR-069</t>
        </is>
      </c>
      <c r="B527" s="7" t="inlineStr">
        <is>
          <t>Floor Slabs</t>
        </is>
      </c>
      <c r="C527" s="7" t="inlineStr">
        <is>
          <t>Mezzanine slab - additional top</t>
        </is>
      </c>
      <c r="D527" s="7" t="inlineStr">
        <is>
          <t>F06</t>
        </is>
      </c>
      <c r="E527" s="27" t="inlineStr">
        <is>
          <t>1240</t>
        </is>
      </c>
      <c r="F527" s="27" t="n">
        <v>12</v>
      </c>
      <c r="G527" s="27" t="n">
        <v>90</v>
      </c>
      <c r="H527" s="27" t="n">
        <v>4900</v>
      </c>
      <c r="I527" s="28">
        <f>G527*H527/1000*F527^2/162</f>
        <v>392.0</v>
      </c>
    </row>
    <row r="528">
      <c r="A528" s="7" t="inlineStr">
        <is>
          <t>STR-069</t>
        </is>
      </c>
      <c r="B528" s="7" t="inlineStr">
        <is>
          <t>Floor Slabs</t>
        </is>
      </c>
      <c r="C528" s="7" t="inlineStr">
        <is>
          <t>Mezzanine slab - additional top</t>
        </is>
      </c>
      <c r="D528" s="7" t="inlineStr">
        <is>
          <t>F06</t>
        </is>
      </c>
      <c r="E528" s="27" t="inlineStr">
        <is>
          <t>1241</t>
        </is>
      </c>
      <c r="F528" s="27" t="n">
        <v>12</v>
      </c>
      <c r="G528" s="27" t="n">
        <v>98</v>
      </c>
      <c r="H528" s="27" t="n">
        <v>6350</v>
      </c>
      <c r="I528" s="28">
        <f>G528*H528/1000*F528^2/162</f>
        <v>553.1555555555556</v>
      </c>
    </row>
    <row r="529">
      <c r="A529" s="7" t="inlineStr">
        <is>
          <t>STR-072</t>
        </is>
      </c>
      <c r="B529" s="7" t="inlineStr">
        <is>
          <t>Beams</t>
        </is>
      </c>
      <c r="C529" s="7" t="inlineStr">
        <is>
          <t>Third floor beams</t>
        </is>
      </c>
      <c r="D529" s="7" t="inlineStr">
        <is>
          <t>F07</t>
        </is>
      </c>
      <c r="E529" s="27" t="inlineStr">
        <is>
          <t>1001</t>
        </is>
      </c>
      <c r="F529" s="27" t="n">
        <v>10</v>
      </c>
      <c r="G529" s="27" t="n">
        <v>633</v>
      </c>
      <c r="H529" s="27" t="n">
        <v>1700</v>
      </c>
      <c r="I529" s="28">
        <f>G529*H529/1000*F529^2/162</f>
        <v>664.2592592592591</v>
      </c>
    </row>
    <row r="530">
      <c r="A530" s="7" t="inlineStr">
        <is>
          <t>STR-072</t>
        </is>
      </c>
      <c r="B530" s="7" t="inlineStr">
        <is>
          <t>Beams</t>
        </is>
      </c>
      <c r="C530" s="7" t="inlineStr">
        <is>
          <t>Third floor beams</t>
        </is>
      </c>
      <c r="D530" s="7" t="inlineStr">
        <is>
          <t>F07</t>
        </is>
      </c>
      <c r="E530" s="27" t="inlineStr">
        <is>
          <t>1002</t>
        </is>
      </c>
      <c r="F530" s="27" t="n">
        <v>10</v>
      </c>
      <c r="G530" s="27" t="n">
        <v>540</v>
      </c>
      <c r="H530" s="27" t="n">
        <v>1500</v>
      </c>
      <c r="I530" s="28">
        <f>G530*H530/1000*F530^2/162</f>
        <v>500.0</v>
      </c>
    </row>
    <row r="531">
      <c r="A531" s="7" t="inlineStr">
        <is>
          <t>STR-072</t>
        </is>
      </c>
      <c r="B531" s="7" t="inlineStr">
        <is>
          <t>Beams</t>
        </is>
      </c>
      <c r="C531" s="7" t="inlineStr">
        <is>
          <t>Third floor beams</t>
        </is>
      </c>
      <c r="D531" s="7" t="inlineStr">
        <is>
          <t>F07</t>
        </is>
      </c>
      <c r="E531" s="27" t="inlineStr">
        <is>
          <t>1601</t>
        </is>
      </c>
      <c r="F531" s="27" t="n">
        <v>16</v>
      </c>
      <c r="G531" s="27" t="n">
        <v>18</v>
      </c>
      <c r="H531" s="27" t="n">
        <v>12000</v>
      </c>
      <c r="I531" s="28">
        <f>G531*H531/1000*F531^2/162</f>
        <v>341.3333333333333</v>
      </c>
    </row>
    <row r="532">
      <c r="A532" s="7" t="inlineStr">
        <is>
          <t>STR-072</t>
        </is>
      </c>
      <c r="B532" s="7" t="inlineStr">
        <is>
          <t>Beams</t>
        </is>
      </c>
      <c r="C532" s="7" t="inlineStr">
        <is>
          <t>Third floor beams</t>
        </is>
      </c>
      <c r="D532" s="7" t="inlineStr">
        <is>
          <t>F07</t>
        </is>
      </c>
      <c r="E532" s="27" t="inlineStr">
        <is>
          <t>1602</t>
        </is>
      </c>
      <c r="F532" s="27" t="n">
        <v>16</v>
      </c>
      <c r="G532" s="27" t="n">
        <v>2</v>
      </c>
      <c r="H532" s="27" t="n">
        <v>7275</v>
      </c>
      <c r="I532" s="28">
        <f>G532*H532/1000*F532^2/162</f>
        <v>22.992592592592594</v>
      </c>
    </row>
    <row r="533">
      <c r="A533" s="7" t="inlineStr">
        <is>
          <t>STR-072</t>
        </is>
      </c>
      <c r="B533" s="7" t="inlineStr">
        <is>
          <t>Beams</t>
        </is>
      </c>
      <c r="C533" s="7" t="inlineStr">
        <is>
          <t>Third floor beams</t>
        </is>
      </c>
      <c r="D533" s="7" t="inlineStr">
        <is>
          <t>F07</t>
        </is>
      </c>
      <c r="E533" s="27" t="inlineStr">
        <is>
          <t>1603</t>
        </is>
      </c>
      <c r="F533" s="27" t="n">
        <v>16</v>
      </c>
      <c r="G533" s="27" t="n">
        <v>4</v>
      </c>
      <c r="H533" s="27" t="n">
        <v>7850</v>
      </c>
      <c r="I533" s="28">
        <f>G533*H533/1000*F533^2/162</f>
        <v>49.61975308641975</v>
      </c>
    </row>
    <row r="534">
      <c r="A534" s="7" t="inlineStr">
        <is>
          <t>STR-072</t>
        </is>
      </c>
      <c r="B534" s="7" t="inlineStr">
        <is>
          <t>Beams</t>
        </is>
      </c>
      <c r="C534" s="7" t="inlineStr">
        <is>
          <t>Third floor beams</t>
        </is>
      </c>
      <c r="D534" s="7" t="inlineStr">
        <is>
          <t>F07</t>
        </is>
      </c>
      <c r="E534" s="27" t="inlineStr">
        <is>
          <t>1604</t>
        </is>
      </c>
      <c r="F534" s="27" t="n">
        <v>16</v>
      </c>
      <c r="G534" s="27" t="n">
        <v>2</v>
      </c>
      <c r="H534" s="27" t="n">
        <v>7400</v>
      </c>
      <c r="I534" s="28">
        <f>G534*H534/1000*F534^2/162</f>
        <v>23.387654320987654</v>
      </c>
    </row>
    <row r="535">
      <c r="A535" s="7" t="inlineStr">
        <is>
          <t>STR-072</t>
        </is>
      </c>
      <c r="B535" s="7" t="inlineStr">
        <is>
          <t>Beams</t>
        </is>
      </c>
      <c r="C535" s="7" t="inlineStr">
        <is>
          <t>Third floor beams</t>
        </is>
      </c>
      <c r="D535" s="7" t="inlineStr">
        <is>
          <t>F07</t>
        </is>
      </c>
      <c r="E535" s="27" t="inlineStr">
        <is>
          <t>1605</t>
        </is>
      </c>
      <c r="F535" s="27" t="n">
        <v>16</v>
      </c>
      <c r="G535" s="27" t="n">
        <v>2</v>
      </c>
      <c r="H535" s="27" t="n">
        <v>11800</v>
      </c>
      <c r="I535" s="28">
        <f>G535*H535/1000*F535^2/162</f>
        <v>37.29382716049383</v>
      </c>
    </row>
    <row r="536">
      <c r="A536" s="7" t="inlineStr">
        <is>
          <t>STR-072</t>
        </is>
      </c>
      <c r="B536" s="7" t="inlineStr">
        <is>
          <t>Beams</t>
        </is>
      </c>
      <c r="C536" s="7" t="inlineStr">
        <is>
          <t>Third floor beams</t>
        </is>
      </c>
      <c r="D536" s="7" t="inlineStr">
        <is>
          <t>F07</t>
        </is>
      </c>
      <c r="E536" s="27" t="inlineStr">
        <is>
          <t>1606</t>
        </is>
      </c>
      <c r="F536" s="27" t="n">
        <v>16</v>
      </c>
      <c r="G536" s="27" t="n">
        <v>3</v>
      </c>
      <c r="H536" s="27" t="n">
        <v>11550</v>
      </c>
      <c r="I536" s="28">
        <f>G536*H536/1000*F536^2/162</f>
        <v>54.75555555555555</v>
      </c>
    </row>
    <row r="537">
      <c r="A537" s="7" t="inlineStr">
        <is>
          <t>STR-072</t>
        </is>
      </c>
      <c r="B537" s="7" t="inlineStr">
        <is>
          <t>Beams</t>
        </is>
      </c>
      <c r="C537" s="7" t="inlineStr">
        <is>
          <t>Third floor beams</t>
        </is>
      </c>
      <c r="D537" s="7" t="inlineStr">
        <is>
          <t>F07</t>
        </is>
      </c>
      <c r="E537" s="27" t="inlineStr">
        <is>
          <t>1607</t>
        </is>
      </c>
      <c r="F537" s="27" t="n">
        <v>16</v>
      </c>
      <c r="G537" s="27" t="n">
        <v>3</v>
      </c>
      <c r="H537" s="27" t="n">
        <v>6450</v>
      </c>
      <c r="I537" s="28">
        <f>G537*H537/1000*F537^2/162</f>
        <v>30.57777777777778</v>
      </c>
    </row>
    <row r="538">
      <c r="A538" s="7" t="inlineStr">
        <is>
          <t>STR-072</t>
        </is>
      </c>
      <c r="B538" s="7" t="inlineStr">
        <is>
          <t>Beams</t>
        </is>
      </c>
      <c r="C538" s="7" t="inlineStr">
        <is>
          <t>Third floor beams</t>
        </is>
      </c>
      <c r="D538" s="7" t="inlineStr">
        <is>
          <t>F07</t>
        </is>
      </c>
      <c r="E538" s="27" t="inlineStr">
        <is>
          <t>1608</t>
        </is>
      </c>
      <c r="F538" s="27" t="n">
        <v>16</v>
      </c>
      <c r="G538" s="27" t="n">
        <v>3</v>
      </c>
      <c r="H538" s="27" t="n">
        <v>7600</v>
      </c>
      <c r="I538" s="28">
        <f>G538*H538/1000*F538^2/162</f>
        <v>36.02962962962963</v>
      </c>
    </row>
    <row r="539">
      <c r="A539" s="7" t="inlineStr">
        <is>
          <t>STR-072</t>
        </is>
      </c>
      <c r="B539" s="7" t="inlineStr">
        <is>
          <t>Beams</t>
        </is>
      </c>
      <c r="C539" s="7" t="inlineStr">
        <is>
          <t>Third floor beams</t>
        </is>
      </c>
      <c r="D539" s="7" t="inlineStr">
        <is>
          <t>F07</t>
        </is>
      </c>
      <c r="E539" s="27" t="inlineStr">
        <is>
          <t>1609</t>
        </is>
      </c>
      <c r="F539" s="27" t="n">
        <v>16</v>
      </c>
      <c r="G539" s="27" t="n">
        <v>2</v>
      </c>
      <c r="H539" s="27" t="n">
        <v>10050</v>
      </c>
      <c r="I539" s="28">
        <f>G539*H539/1000*F539^2/162</f>
        <v>31.762962962962966</v>
      </c>
    </row>
    <row r="540">
      <c r="A540" s="7" t="inlineStr">
        <is>
          <t>STR-072</t>
        </is>
      </c>
      <c r="B540" s="7" t="inlineStr">
        <is>
          <t>Beams</t>
        </is>
      </c>
      <c r="C540" s="7" t="inlineStr">
        <is>
          <t>Third floor beams</t>
        </is>
      </c>
      <c r="D540" s="7" t="inlineStr">
        <is>
          <t>F07</t>
        </is>
      </c>
      <c r="E540" s="27" t="inlineStr">
        <is>
          <t>1610</t>
        </is>
      </c>
      <c r="F540" s="27" t="n">
        <v>16</v>
      </c>
      <c r="G540" s="27" t="n">
        <v>3</v>
      </c>
      <c r="H540" s="27" t="n">
        <v>11300</v>
      </c>
      <c r="I540" s="28">
        <f>G540*H540/1000*F540^2/162</f>
        <v>53.57037037037037</v>
      </c>
    </row>
    <row r="541">
      <c r="A541" s="7" t="inlineStr">
        <is>
          <t>STR-072</t>
        </is>
      </c>
      <c r="B541" s="7" t="inlineStr">
        <is>
          <t>Beams</t>
        </is>
      </c>
      <c r="C541" s="7" t="inlineStr">
        <is>
          <t>Third floor beams</t>
        </is>
      </c>
      <c r="D541" s="7" t="inlineStr">
        <is>
          <t>F07</t>
        </is>
      </c>
      <c r="E541" s="27" t="inlineStr">
        <is>
          <t>1611</t>
        </is>
      </c>
      <c r="F541" s="27" t="n">
        <v>16</v>
      </c>
      <c r="G541" s="27" t="n">
        <v>3</v>
      </c>
      <c r="H541" s="27" t="n">
        <v>6650</v>
      </c>
      <c r="I541" s="28">
        <f>G541*H541/1000*F541^2/162</f>
        <v>31.525925925925925</v>
      </c>
    </row>
    <row r="542">
      <c r="A542" s="7" t="inlineStr">
        <is>
          <t>STR-072</t>
        </is>
      </c>
      <c r="B542" s="7" t="inlineStr">
        <is>
          <t>Beams</t>
        </is>
      </c>
      <c r="C542" s="7" t="inlineStr">
        <is>
          <t>Third floor beams</t>
        </is>
      </c>
      <c r="D542" s="7" t="inlineStr">
        <is>
          <t>F07</t>
        </is>
      </c>
      <c r="E542" s="27" t="inlineStr">
        <is>
          <t>1612</t>
        </is>
      </c>
      <c r="F542" s="27" t="n">
        <v>16</v>
      </c>
      <c r="G542" s="27" t="n">
        <v>3</v>
      </c>
      <c r="H542" s="27" t="n">
        <v>11550</v>
      </c>
      <c r="I542" s="28">
        <f>G542*H542/1000*F542^2/162</f>
        <v>54.75555555555555</v>
      </c>
    </row>
    <row r="543">
      <c r="A543" s="7" t="inlineStr">
        <is>
          <t>STR-072</t>
        </is>
      </c>
      <c r="B543" s="7" t="inlineStr">
        <is>
          <t>Beams</t>
        </is>
      </c>
      <c r="C543" s="7" t="inlineStr">
        <is>
          <t>Third floor beams</t>
        </is>
      </c>
      <c r="D543" s="7" t="inlineStr">
        <is>
          <t>F07</t>
        </is>
      </c>
      <c r="E543" s="27" t="inlineStr">
        <is>
          <t>1613</t>
        </is>
      </c>
      <c r="F543" s="27" t="n">
        <v>16</v>
      </c>
      <c r="G543" s="27" t="n">
        <v>3</v>
      </c>
      <c r="H543" s="27" t="n">
        <v>9800</v>
      </c>
      <c r="I543" s="28">
        <f>G543*H543/1000*F543^2/162</f>
        <v>46.459259259259255</v>
      </c>
    </row>
    <row r="544">
      <c r="A544" s="7" t="inlineStr">
        <is>
          <t>STR-072</t>
        </is>
      </c>
      <c r="B544" s="7" t="inlineStr">
        <is>
          <t>Beams</t>
        </is>
      </c>
      <c r="C544" s="7" t="inlineStr">
        <is>
          <t>Third floor beams</t>
        </is>
      </c>
      <c r="D544" s="7" t="inlineStr">
        <is>
          <t>F07</t>
        </is>
      </c>
      <c r="E544" s="27" t="inlineStr">
        <is>
          <t>1614</t>
        </is>
      </c>
      <c r="F544" s="27" t="n">
        <v>16</v>
      </c>
      <c r="G544" s="27" t="n">
        <v>2</v>
      </c>
      <c r="H544" s="27" t="n">
        <v>10100</v>
      </c>
      <c r="I544" s="28">
        <f>G544*H544/1000*F544^2/162</f>
        <v>31.920987654320985</v>
      </c>
    </row>
    <row r="545">
      <c r="A545" s="7" t="inlineStr">
        <is>
          <t>STR-072</t>
        </is>
      </c>
      <c r="B545" s="7" t="inlineStr">
        <is>
          <t>Beams</t>
        </is>
      </c>
      <c r="C545" s="7" t="inlineStr">
        <is>
          <t>Third floor beams</t>
        </is>
      </c>
      <c r="D545" s="7" t="inlineStr">
        <is>
          <t>F07</t>
        </is>
      </c>
      <c r="E545" s="27" t="inlineStr">
        <is>
          <t>1615</t>
        </is>
      </c>
      <c r="F545" s="27" t="n">
        <v>16</v>
      </c>
      <c r="G545" s="27" t="n">
        <v>24</v>
      </c>
      <c r="H545" s="27" t="n">
        <v>3350</v>
      </c>
      <c r="I545" s="28">
        <f>G545*H545/1000*F545^2/162</f>
        <v>127.05185185185186</v>
      </c>
    </row>
    <row r="546">
      <c r="A546" s="7" t="inlineStr">
        <is>
          <t>STR-072</t>
        </is>
      </c>
      <c r="B546" s="7" t="inlineStr">
        <is>
          <t>Beams</t>
        </is>
      </c>
      <c r="C546" s="7" t="inlineStr">
        <is>
          <t>Third floor beams</t>
        </is>
      </c>
      <c r="D546" s="7" t="inlineStr">
        <is>
          <t>F07</t>
        </is>
      </c>
      <c r="E546" s="27" t="inlineStr">
        <is>
          <t>1616</t>
        </is>
      </c>
      <c r="F546" s="27" t="n">
        <v>16</v>
      </c>
      <c r="G546" s="27" t="n">
        <v>8</v>
      </c>
      <c r="H546" s="27" t="n">
        <v>2400</v>
      </c>
      <c r="I546" s="28">
        <f>G546*H546/1000*F546^2/162</f>
        <v>30.34074074074074</v>
      </c>
    </row>
    <row r="547">
      <c r="A547" s="7" t="inlineStr">
        <is>
          <t>STR-072</t>
        </is>
      </c>
      <c r="B547" s="7" t="inlineStr">
        <is>
          <t>Beams</t>
        </is>
      </c>
      <c r="C547" s="7" t="inlineStr">
        <is>
          <t>Third floor beams</t>
        </is>
      </c>
      <c r="D547" s="7" t="inlineStr">
        <is>
          <t>F07</t>
        </is>
      </c>
      <c r="E547" s="27" t="inlineStr">
        <is>
          <t>2001</t>
        </is>
      </c>
      <c r="F547" s="27" t="n">
        <v>20</v>
      </c>
      <c r="G547" s="27" t="n">
        <v>3</v>
      </c>
      <c r="H547" s="27" t="n">
        <v>11100</v>
      </c>
      <c r="I547" s="28">
        <f>G547*H547/1000*F547^2/162</f>
        <v>82.22222222222221</v>
      </c>
    </row>
    <row r="548">
      <c r="A548" s="7" t="inlineStr">
        <is>
          <t>STR-072</t>
        </is>
      </c>
      <c r="B548" s="7" t="inlineStr">
        <is>
          <t>Beams</t>
        </is>
      </c>
      <c r="C548" s="7" t="inlineStr">
        <is>
          <t>Third floor beams</t>
        </is>
      </c>
      <c r="D548" s="7" t="inlineStr">
        <is>
          <t>F07</t>
        </is>
      </c>
      <c r="E548" s="27" t="inlineStr">
        <is>
          <t>2002</t>
        </is>
      </c>
      <c r="F548" s="27" t="n">
        <v>20</v>
      </c>
      <c r="G548" s="27" t="n">
        <v>3</v>
      </c>
      <c r="H548" s="27" t="n">
        <v>9300</v>
      </c>
      <c r="I548" s="28">
        <f>G548*H548/1000*F548^2/162</f>
        <v>68.88888888888889</v>
      </c>
    </row>
    <row r="549">
      <c r="A549" s="7" t="inlineStr">
        <is>
          <t>STR-072</t>
        </is>
      </c>
      <c r="B549" s="7" t="inlineStr">
        <is>
          <t>Beams</t>
        </is>
      </c>
      <c r="C549" s="7" t="inlineStr">
        <is>
          <t>Third floor beams</t>
        </is>
      </c>
      <c r="D549" s="7" t="inlineStr">
        <is>
          <t>F07</t>
        </is>
      </c>
      <c r="E549" s="27" t="inlineStr">
        <is>
          <t>2003</t>
        </is>
      </c>
      <c r="F549" s="27" t="n">
        <v>20</v>
      </c>
      <c r="G549" s="27" t="n">
        <v>3</v>
      </c>
      <c r="H549" s="27" t="n">
        <v>12000</v>
      </c>
      <c r="I549" s="28">
        <f>G549*H549/1000*F549^2/162</f>
        <v>88.88888888888889</v>
      </c>
    </row>
    <row r="550">
      <c r="A550" s="7" t="inlineStr">
        <is>
          <t>STR-072</t>
        </is>
      </c>
      <c r="B550" s="7" t="inlineStr">
        <is>
          <t>Beams</t>
        </is>
      </c>
      <c r="C550" s="7" t="inlineStr">
        <is>
          <t>Third floor beams</t>
        </is>
      </c>
      <c r="D550" s="7" t="inlineStr">
        <is>
          <t>F07</t>
        </is>
      </c>
      <c r="E550" s="27" t="inlineStr">
        <is>
          <t>2004</t>
        </is>
      </c>
      <c r="F550" s="27" t="n">
        <v>20</v>
      </c>
      <c r="G550" s="27" t="n">
        <v>3</v>
      </c>
      <c r="H550" s="27" t="n">
        <v>7000</v>
      </c>
      <c r="I550" s="28">
        <f>G550*H550/1000*F550^2/162</f>
        <v>51.851851851851855</v>
      </c>
    </row>
    <row r="551">
      <c r="A551" s="7" t="inlineStr">
        <is>
          <t>STR-072</t>
        </is>
      </c>
      <c r="B551" s="7" t="inlineStr">
        <is>
          <t>Beams</t>
        </is>
      </c>
      <c r="C551" s="7" t="inlineStr">
        <is>
          <t>Third floor beams</t>
        </is>
      </c>
      <c r="D551" s="7" t="inlineStr">
        <is>
          <t>F07</t>
        </is>
      </c>
      <c r="E551" s="27" t="inlineStr">
        <is>
          <t>2005</t>
        </is>
      </c>
      <c r="F551" s="27" t="n">
        <v>20</v>
      </c>
      <c r="G551" s="27" t="n">
        <v>6</v>
      </c>
      <c r="H551" s="27" t="n">
        <v>9300</v>
      </c>
      <c r="I551" s="28">
        <f>G551*H551/1000*F551^2/162</f>
        <v>137.77777777777777</v>
      </c>
    </row>
    <row r="552">
      <c r="A552" s="7" t="inlineStr">
        <is>
          <t>STR-072</t>
        </is>
      </c>
      <c r="B552" s="7" t="inlineStr">
        <is>
          <t>Beams</t>
        </is>
      </c>
      <c r="C552" s="7" t="inlineStr">
        <is>
          <t>Third floor beams</t>
        </is>
      </c>
      <c r="D552" s="7" t="inlineStr">
        <is>
          <t>F07</t>
        </is>
      </c>
      <c r="E552" s="27" t="inlineStr">
        <is>
          <t>2006</t>
        </is>
      </c>
      <c r="F552" s="27" t="n">
        <v>20</v>
      </c>
      <c r="G552" s="27" t="n">
        <v>3</v>
      </c>
      <c r="H552" s="27" t="n">
        <v>9000</v>
      </c>
      <c r="I552" s="28">
        <f>G552*H552/1000*F552^2/162</f>
        <v>66.66666666666667</v>
      </c>
    </row>
    <row r="553">
      <c r="A553" s="7" t="inlineStr">
        <is>
          <t>STR-072</t>
        </is>
      </c>
      <c r="B553" s="7" t="inlineStr">
        <is>
          <t>Beams</t>
        </is>
      </c>
      <c r="C553" s="7" t="inlineStr">
        <is>
          <t>Third floor beams</t>
        </is>
      </c>
      <c r="D553" s="7" t="inlineStr">
        <is>
          <t>F07</t>
        </is>
      </c>
      <c r="E553" s="27" t="inlineStr">
        <is>
          <t>2007</t>
        </is>
      </c>
      <c r="F553" s="27" t="n">
        <v>20</v>
      </c>
      <c r="G553" s="27" t="n">
        <v>4</v>
      </c>
      <c r="H553" s="27" t="n">
        <v>11750</v>
      </c>
      <c r="I553" s="28">
        <f>G553*H553/1000*F553^2/162</f>
        <v>116.04938271604938</v>
      </c>
    </row>
    <row r="554">
      <c r="A554" s="7" t="inlineStr">
        <is>
          <t>STR-072</t>
        </is>
      </c>
      <c r="B554" s="7" t="inlineStr">
        <is>
          <t>Beams</t>
        </is>
      </c>
      <c r="C554" s="7" t="inlineStr">
        <is>
          <t>Third floor beams</t>
        </is>
      </c>
      <c r="D554" s="7" t="inlineStr">
        <is>
          <t>F07</t>
        </is>
      </c>
      <c r="E554" s="27" t="inlineStr">
        <is>
          <t>2008</t>
        </is>
      </c>
      <c r="F554" s="27" t="n">
        <v>20</v>
      </c>
      <c r="G554" s="27" t="n">
        <v>4</v>
      </c>
      <c r="H554" s="27" t="n">
        <v>7300</v>
      </c>
      <c r="I554" s="28">
        <f>G554*H554/1000*F554^2/162</f>
        <v>72.09876543209876</v>
      </c>
    </row>
    <row r="555">
      <c r="A555" s="7" t="inlineStr">
        <is>
          <t>STR-072</t>
        </is>
      </c>
      <c r="B555" s="7" t="inlineStr">
        <is>
          <t>Beams</t>
        </is>
      </c>
      <c r="C555" s="7" t="inlineStr">
        <is>
          <t>Third floor beams</t>
        </is>
      </c>
      <c r="D555" s="7" t="inlineStr">
        <is>
          <t>F07</t>
        </is>
      </c>
      <c r="E555" s="27" t="inlineStr">
        <is>
          <t>2009</t>
        </is>
      </c>
      <c r="F555" s="27" t="n">
        <v>20</v>
      </c>
      <c r="G555" s="27" t="n">
        <v>4</v>
      </c>
      <c r="H555" s="27" t="n">
        <v>9400</v>
      </c>
      <c r="I555" s="28">
        <f>G555*H555/1000*F555^2/162</f>
        <v>92.8395061728395</v>
      </c>
    </row>
    <row r="556">
      <c r="A556" s="7" t="inlineStr">
        <is>
          <t>STR-072</t>
        </is>
      </c>
      <c r="B556" s="7" t="inlineStr">
        <is>
          <t>Beams</t>
        </is>
      </c>
      <c r="C556" s="7" t="inlineStr">
        <is>
          <t>Third floor beams</t>
        </is>
      </c>
      <c r="D556" s="7" t="inlineStr">
        <is>
          <t>F07</t>
        </is>
      </c>
      <c r="E556" s="27" t="inlineStr">
        <is>
          <t>2010</t>
        </is>
      </c>
      <c r="F556" s="27" t="n">
        <v>20</v>
      </c>
      <c r="G556" s="27" t="n">
        <v>4</v>
      </c>
      <c r="H556" s="27" t="n">
        <v>11900</v>
      </c>
      <c r="I556" s="28">
        <f>G556*H556/1000*F556^2/162</f>
        <v>117.53086419753086</v>
      </c>
    </row>
    <row r="557">
      <c r="A557" s="7" t="inlineStr">
        <is>
          <t>STR-072</t>
        </is>
      </c>
      <c r="B557" s="7" t="inlineStr">
        <is>
          <t>Beams</t>
        </is>
      </c>
      <c r="C557" s="7" t="inlineStr">
        <is>
          <t>Third floor beams</t>
        </is>
      </c>
      <c r="D557" s="7" t="inlineStr">
        <is>
          <t>F07</t>
        </is>
      </c>
      <c r="E557" s="27" t="inlineStr">
        <is>
          <t>2011</t>
        </is>
      </c>
      <c r="F557" s="27" t="n">
        <v>20</v>
      </c>
      <c r="G557" s="27" t="n">
        <v>4</v>
      </c>
      <c r="H557" s="27" t="n">
        <v>9550</v>
      </c>
      <c r="I557" s="28">
        <f>G557*H557/1000*F557^2/162</f>
        <v>94.320987654321</v>
      </c>
    </row>
    <row r="558">
      <c r="A558" s="7" t="inlineStr">
        <is>
          <t>STR-072</t>
        </is>
      </c>
      <c r="B558" s="7" t="inlineStr">
        <is>
          <t>Beams</t>
        </is>
      </c>
      <c r="C558" s="7" t="inlineStr">
        <is>
          <t>Third floor beams</t>
        </is>
      </c>
      <c r="D558" s="7" t="inlineStr">
        <is>
          <t>F07</t>
        </is>
      </c>
      <c r="E558" s="27" t="inlineStr">
        <is>
          <t>2012</t>
        </is>
      </c>
      <c r="F558" s="27" t="n">
        <v>20</v>
      </c>
      <c r="G558" s="27" t="n">
        <v>4</v>
      </c>
      <c r="H558" s="27" t="n">
        <v>5900</v>
      </c>
      <c r="I558" s="28">
        <f>G558*H558/1000*F558^2/162</f>
        <v>58.27160493827161</v>
      </c>
    </row>
    <row r="559">
      <c r="A559" s="7" t="inlineStr">
        <is>
          <t>STR-072</t>
        </is>
      </c>
      <c r="B559" s="7" t="inlineStr">
        <is>
          <t>Beams</t>
        </is>
      </c>
      <c r="C559" s="7" t="inlineStr">
        <is>
          <t>Third floor beams</t>
        </is>
      </c>
      <c r="D559" s="7" t="inlineStr">
        <is>
          <t>F07</t>
        </is>
      </c>
      <c r="E559" s="27" t="inlineStr">
        <is>
          <t>2013</t>
        </is>
      </c>
      <c r="F559" s="27" t="n">
        <v>20</v>
      </c>
      <c r="G559" s="27" t="n">
        <v>8</v>
      </c>
      <c r="H559" s="27" t="n">
        <v>9300</v>
      </c>
      <c r="I559" s="28">
        <f>G559*H559/1000*F559^2/162</f>
        <v>183.70370370370372</v>
      </c>
    </row>
    <row r="560">
      <c r="A560" s="7" t="inlineStr">
        <is>
          <t>STR-072</t>
        </is>
      </c>
      <c r="B560" s="7" t="inlineStr">
        <is>
          <t>Beams</t>
        </is>
      </c>
      <c r="C560" s="7" t="inlineStr">
        <is>
          <t>Third floor beams</t>
        </is>
      </c>
      <c r="D560" s="7" t="inlineStr">
        <is>
          <t>F07</t>
        </is>
      </c>
      <c r="E560" s="27" t="inlineStr">
        <is>
          <t>2014</t>
        </is>
      </c>
      <c r="F560" s="27" t="n">
        <v>20</v>
      </c>
      <c r="G560" s="27" t="n">
        <v>4</v>
      </c>
      <c r="H560" s="27" t="n">
        <v>9100</v>
      </c>
      <c r="I560" s="28">
        <f>G560*H560/1000*F560^2/162</f>
        <v>89.87654320987654</v>
      </c>
    </row>
    <row r="561">
      <c r="A561" s="7" t="inlineStr">
        <is>
          <t>STR-072</t>
        </is>
      </c>
      <c r="B561" s="7" t="inlineStr">
        <is>
          <t>Beams</t>
        </is>
      </c>
      <c r="C561" s="7" t="inlineStr">
        <is>
          <t>Third floor beams</t>
        </is>
      </c>
      <c r="D561" s="7" t="inlineStr">
        <is>
          <t>F07</t>
        </is>
      </c>
      <c r="E561" s="27" t="inlineStr">
        <is>
          <t>2015</t>
        </is>
      </c>
      <c r="F561" s="27" t="n">
        <v>20</v>
      </c>
      <c r="G561" s="27" t="n">
        <v>3</v>
      </c>
      <c r="H561" s="27" t="n">
        <v>8150</v>
      </c>
      <c r="I561" s="28">
        <f>G561*H561/1000*F561^2/162</f>
        <v>60.370370370370374</v>
      </c>
    </row>
    <row r="562">
      <c r="A562" s="7" t="inlineStr">
        <is>
          <t>STR-072</t>
        </is>
      </c>
      <c r="B562" s="7" t="inlineStr">
        <is>
          <t>Beams</t>
        </is>
      </c>
      <c r="C562" s="7" t="inlineStr">
        <is>
          <t>Third floor beams</t>
        </is>
      </c>
      <c r="D562" s="7" t="inlineStr">
        <is>
          <t>F07</t>
        </is>
      </c>
      <c r="E562" s="27" t="inlineStr">
        <is>
          <t>2016</t>
        </is>
      </c>
      <c r="F562" s="27" t="n">
        <v>20</v>
      </c>
      <c r="G562" s="27" t="n">
        <v>6</v>
      </c>
      <c r="H562" s="27" t="n">
        <v>12000</v>
      </c>
      <c r="I562" s="28">
        <f>G562*H562/1000*F562^2/162</f>
        <v>177.77777777777777</v>
      </c>
    </row>
    <row r="563">
      <c r="A563" s="7" t="inlineStr">
        <is>
          <t>STR-072</t>
        </is>
      </c>
      <c r="B563" s="7" t="inlineStr">
        <is>
          <t>Beams</t>
        </is>
      </c>
      <c r="C563" s="7" t="inlineStr">
        <is>
          <t>Third floor beams</t>
        </is>
      </c>
      <c r="D563" s="7" t="inlineStr">
        <is>
          <t>F07</t>
        </is>
      </c>
      <c r="E563" s="27" t="inlineStr">
        <is>
          <t>2017</t>
        </is>
      </c>
      <c r="F563" s="27" t="n">
        <v>20</v>
      </c>
      <c r="G563" s="27" t="n">
        <v>6</v>
      </c>
      <c r="H563" s="27" t="n">
        <v>5500</v>
      </c>
      <c r="I563" s="28">
        <f>G563*H563/1000*F563^2/162</f>
        <v>81.48148148148148</v>
      </c>
    </row>
    <row r="564">
      <c r="A564" s="7" t="inlineStr">
        <is>
          <t>STR-072</t>
        </is>
      </c>
      <c r="B564" s="7" t="inlineStr">
        <is>
          <t>Beams</t>
        </is>
      </c>
      <c r="C564" s="7" t="inlineStr">
        <is>
          <t>Third floor beams</t>
        </is>
      </c>
      <c r="D564" s="7" t="inlineStr">
        <is>
          <t>F07</t>
        </is>
      </c>
      <c r="E564" s="27" t="inlineStr">
        <is>
          <t>2018</t>
        </is>
      </c>
      <c r="F564" s="27" t="n">
        <v>20</v>
      </c>
      <c r="G564" s="27" t="n">
        <v>3</v>
      </c>
      <c r="H564" s="27" t="n">
        <v>11200</v>
      </c>
      <c r="I564" s="28">
        <f>G564*H564/1000*F564^2/162</f>
        <v>82.96296296296296</v>
      </c>
    </row>
    <row r="565">
      <c r="A565" s="7" t="inlineStr">
        <is>
          <t>STR-072</t>
        </is>
      </c>
      <c r="B565" s="7" t="inlineStr">
        <is>
          <t>Beams</t>
        </is>
      </c>
      <c r="C565" s="7" t="inlineStr">
        <is>
          <t>Third floor beams</t>
        </is>
      </c>
      <c r="D565" s="7" t="inlineStr">
        <is>
          <t>F07</t>
        </is>
      </c>
      <c r="E565" s="27" t="inlineStr">
        <is>
          <t>2019</t>
        </is>
      </c>
      <c r="F565" s="27" t="n">
        <v>20</v>
      </c>
      <c r="G565" s="27" t="n">
        <v>3</v>
      </c>
      <c r="H565" s="27" t="n">
        <v>8050</v>
      </c>
      <c r="I565" s="28">
        <f>G565*H565/1000*F565^2/162</f>
        <v>59.629629629629626</v>
      </c>
    </row>
    <row r="566">
      <c r="A566" s="7" t="inlineStr">
        <is>
          <t>STR-072</t>
        </is>
      </c>
      <c r="B566" s="7" t="inlineStr">
        <is>
          <t>Beams</t>
        </is>
      </c>
      <c r="C566" s="7" t="inlineStr">
        <is>
          <t>Third floor beams</t>
        </is>
      </c>
      <c r="D566" s="7" t="inlineStr">
        <is>
          <t>F07</t>
        </is>
      </c>
      <c r="E566" s="27" t="inlineStr">
        <is>
          <t>2020</t>
        </is>
      </c>
      <c r="F566" s="27" t="n">
        <v>20</v>
      </c>
      <c r="G566" s="27" t="n">
        <v>3</v>
      </c>
      <c r="H566" s="27" t="n">
        <v>11150</v>
      </c>
      <c r="I566" s="28">
        <f>G566*H566/1000*F566^2/162</f>
        <v>82.59259259259261</v>
      </c>
    </row>
    <row r="567">
      <c r="A567" s="7" t="inlineStr">
        <is>
          <t>STR-072</t>
        </is>
      </c>
      <c r="B567" s="7" t="inlineStr">
        <is>
          <t>Beams</t>
        </is>
      </c>
      <c r="C567" s="7" t="inlineStr">
        <is>
          <t>Third floor beams</t>
        </is>
      </c>
      <c r="D567" s="7" t="inlineStr">
        <is>
          <t>F07</t>
        </is>
      </c>
      <c r="E567" s="27" t="inlineStr">
        <is>
          <t>2021</t>
        </is>
      </c>
      <c r="F567" s="27" t="n">
        <v>20</v>
      </c>
      <c r="G567" s="27" t="n">
        <v>3</v>
      </c>
      <c r="H567" s="27" t="n">
        <v>11300</v>
      </c>
      <c r="I567" s="28">
        <f>G567*H567/1000*F567^2/162</f>
        <v>83.70370370370371</v>
      </c>
    </row>
    <row r="568">
      <c r="A568" s="7" t="inlineStr">
        <is>
          <t>STR-072</t>
        </is>
      </c>
      <c r="B568" s="7" t="inlineStr">
        <is>
          <t>Beams</t>
        </is>
      </c>
      <c r="C568" s="7" t="inlineStr">
        <is>
          <t>Third floor beams</t>
        </is>
      </c>
      <c r="D568" s="7" t="inlineStr">
        <is>
          <t>F07</t>
        </is>
      </c>
      <c r="E568" s="27" t="inlineStr">
        <is>
          <t>2022</t>
        </is>
      </c>
      <c r="F568" s="27" t="n">
        <v>20</v>
      </c>
      <c r="G568" s="27" t="n">
        <v>3</v>
      </c>
      <c r="H568" s="27" t="n">
        <v>7200</v>
      </c>
      <c r="I568" s="28">
        <f>G568*H568/1000*F568^2/162</f>
        <v>53.333333333333336</v>
      </c>
    </row>
    <row r="569">
      <c r="A569" s="7" t="inlineStr">
        <is>
          <t>STR-072</t>
        </is>
      </c>
      <c r="B569" s="7" t="inlineStr">
        <is>
          <t>Beams</t>
        </is>
      </c>
      <c r="C569" s="7" t="inlineStr">
        <is>
          <t>Third floor beams</t>
        </is>
      </c>
      <c r="D569" s="7" t="inlineStr">
        <is>
          <t>F07</t>
        </is>
      </c>
      <c r="E569" s="27" t="inlineStr">
        <is>
          <t>2023</t>
        </is>
      </c>
      <c r="F569" s="27" t="n">
        <v>20</v>
      </c>
      <c r="G569" s="27" t="n">
        <v>3</v>
      </c>
      <c r="H569" s="27" t="n">
        <v>11550</v>
      </c>
      <c r="I569" s="28">
        <f>G569*H569/1000*F569^2/162</f>
        <v>85.55555555555556</v>
      </c>
    </row>
    <row r="570">
      <c r="A570" s="7" t="inlineStr">
        <is>
          <t>STR-072</t>
        </is>
      </c>
      <c r="B570" s="7" t="inlineStr">
        <is>
          <t>Beams</t>
        </is>
      </c>
      <c r="C570" s="7" t="inlineStr">
        <is>
          <t>Third floor beams</t>
        </is>
      </c>
      <c r="D570" s="7" t="inlineStr">
        <is>
          <t>F07</t>
        </is>
      </c>
      <c r="E570" s="27" t="inlineStr">
        <is>
          <t>2024</t>
        </is>
      </c>
      <c r="F570" s="27" t="n">
        <v>20</v>
      </c>
      <c r="G570" s="27" t="n">
        <v>3</v>
      </c>
      <c r="H570" s="27" t="n">
        <v>9900</v>
      </c>
      <c r="I570" s="28">
        <f>G570*H570/1000*F570^2/162</f>
        <v>73.33333333333333</v>
      </c>
    </row>
    <row r="571">
      <c r="A571" s="7" t="inlineStr">
        <is>
          <t>STR-072</t>
        </is>
      </c>
      <c r="B571" s="7" t="inlineStr">
        <is>
          <t>Beams</t>
        </is>
      </c>
      <c r="C571" s="7" t="inlineStr">
        <is>
          <t>Third floor beams</t>
        </is>
      </c>
      <c r="D571" s="7" t="inlineStr">
        <is>
          <t>F07</t>
        </is>
      </c>
      <c r="E571" s="27" t="inlineStr">
        <is>
          <t>2501</t>
        </is>
      </c>
      <c r="F571" s="27" t="n">
        <v>25</v>
      </c>
      <c r="G571" s="27" t="n">
        <v>3</v>
      </c>
      <c r="H571" s="27" t="n">
        <v>11200</v>
      </c>
      <c r="I571" s="28">
        <f>G571*H571/1000*F571^2/162</f>
        <v>129.62962962962962</v>
      </c>
    </row>
    <row r="572">
      <c r="A572" s="7" t="inlineStr">
        <is>
          <t>STR-072</t>
        </is>
      </c>
      <c r="B572" s="7" t="inlineStr">
        <is>
          <t>Beams</t>
        </is>
      </c>
      <c r="C572" s="7" t="inlineStr">
        <is>
          <t>Third floor beams</t>
        </is>
      </c>
      <c r="D572" s="7" t="inlineStr">
        <is>
          <t>F07</t>
        </is>
      </c>
      <c r="E572" s="27" t="inlineStr">
        <is>
          <t>2502</t>
        </is>
      </c>
      <c r="F572" s="27" t="n">
        <v>25</v>
      </c>
      <c r="G572" s="27" t="n">
        <v>3</v>
      </c>
      <c r="H572" s="27" t="n">
        <v>9400</v>
      </c>
      <c r="I572" s="28">
        <f>G572*H572/1000*F572^2/162</f>
        <v>108.79629629629629</v>
      </c>
    </row>
    <row r="573">
      <c r="A573" s="7" t="inlineStr">
        <is>
          <t>STR-072</t>
        </is>
      </c>
      <c r="B573" s="7" t="inlineStr">
        <is>
          <t>Beams</t>
        </is>
      </c>
      <c r="C573" s="7" t="inlineStr">
        <is>
          <t>Third floor beams</t>
        </is>
      </c>
      <c r="D573" s="7" t="inlineStr">
        <is>
          <t>F07</t>
        </is>
      </c>
      <c r="E573" s="27" t="inlineStr">
        <is>
          <t>2503</t>
        </is>
      </c>
      <c r="F573" s="27" t="n">
        <v>25</v>
      </c>
      <c r="G573" s="27" t="n">
        <v>3</v>
      </c>
      <c r="H573" s="27" t="n">
        <v>12000</v>
      </c>
      <c r="I573" s="28">
        <f>G573*H573/1000*F573^2/162</f>
        <v>138.88888888888889</v>
      </c>
    </row>
    <row r="574">
      <c r="A574" s="7" t="inlineStr">
        <is>
          <t>STR-072</t>
        </is>
      </c>
      <c r="B574" s="7" t="inlineStr">
        <is>
          <t>Beams</t>
        </is>
      </c>
      <c r="C574" s="7" t="inlineStr">
        <is>
          <t>Third floor beams</t>
        </is>
      </c>
      <c r="D574" s="7" t="inlineStr">
        <is>
          <t>F07</t>
        </is>
      </c>
      <c r="E574" s="27" t="inlineStr">
        <is>
          <t>2504</t>
        </is>
      </c>
      <c r="F574" s="27" t="n">
        <v>25</v>
      </c>
      <c r="G574" s="27" t="n">
        <v>3</v>
      </c>
      <c r="H574" s="27" t="n">
        <v>7100</v>
      </c>
      <c r="I574" s="28">
        <f>G574*H574/1000*F574^2/162</f>
        <v>82.17592592592592</v>
      </c>
    </row>
    <row r="575">
      <c r="A575" s="7" t="inlineStr">
        <is>
          <t>STR-072</t>
        </is>
      </c>
      <c r="B575" s="7" t="inlineStr">
        <is>
          <t>Beams</t>
        </is>
      </c>
      <c r="C575" s="7" t="inlineStr">
        <is>
          <t>Third floor beams</t>
        </is>
      </c>
      <c r="D575" s="7" t="inlineStr">
        <is>
          <t>F07</t>
        </is>
      </c>
      <c r="E575" s="27" t="inlineStr">
        <is>
          <t>2505</t>
        </is>
      </c>
      <c r="F575" s="27" t="n">
        <v>25</v>
      </c>
      <c r="G575" s="27" t="n">
        <v>6</v>
      </c>
      <c r="H575" s="27" t="n">
        <v>9300</v>
      </c>
      <c r="I575" s="28">
        <f>G575*H575/1000*F575^2/162</f>
        <v>215.27777777777777</v>
      </c>
    </row>
    <row r="576">
      <c r="A576" s="7" t="inlineStr">
        <is>
          <t>STR-072</t>
        </is>
      </c>
      <c r="B576" s="7" t="inlineStr">
        <is>
          <t>Beams</t>
        </is>
      </c>
      <c r="C576" s="7" t="inlineStr">
        <is>
          <t>Third floor beams</t>
        </is>
      </c>
      <c r="D576" s="7" t="inlineStr">
        <is>
          <t>F07</t>
        </is>
      </c>
      <c r="E576" s="27" t="inlineStr">
        <is>
          <t>2506</t>
        </is>
      </c>
      <c r="F576" s="27" t="n">
        <v>25</v>
      </c>
      <c r="G576" s="27" t="n">
        <v>3</v>
      </c>
      <c r="H576" s="27" t="n">
        <v>9100</v>
      </c>
      <c r="I576" s="28">
        <f>G576*H576/1000*F576^2/162</f>
        <v>105.32407407407408</v>
      </c>
    </row>
    <row r="577">
      <c r="A577" s="7" t="inlineStr">
        <is>
          <t>STR-072</t>
        </is>
      </c>
      <c r="B577" s="7" t="inlineStr">
        <is>
          <t>Beams</t>
        </is>
      </c>
      <c r="C577" s="7" t="inlineStr">
        <is>
          <t>Third floor beams</t>
        </is>
      </c>
      <c r="D577" s="7" t="inlineStr">
        <is>
          <t>F07</t>
        </is>
      </c>
      <c r="E577" s="27" t="inlineStr">
        <is>
          <t>2507</t>
        </is>
      </c>
      <c r="F577" s="27" t="n">
        <v>25</v>
      </c>
      <c r="G577" s="27" t="n">
        <v>3</v>
      </c>
      <c r="H577" s="27" t="n">
        <v>5850</v>
      </c>
      <c r="I577" s="28">
        <f>G577*H577/1000*F577^2/162</f>
        <v>67.70833333333333</v>
      </c>
    </row>
    <row r="578">
      <c r="A578" s="7" t="inlineStr">
        <is>
          <t>STR-072</t>
        </is>
      </c>
      <c r="B578" s="7" t="inlineStr">
        <is>
          <t>Beams</t>
        </is>
      </c>
      <c r="C578" s="7" t="inlineStr">
        <is>
          <t>Third floor beams</t>
        </is>
      </c>
      <c r="D578" s="7" t="inlineStr">
        <is>
          <t>F07</t>
        </is>
      </c>
      <c r="E578" s="27" t="inlineStr">
        <is>
          <t>2508</t>
        </is>
      </c>
      <c r="F578" s="27" t="n">
        <v>25</v>
      </c>
      <c r="G578" s="27" t="n">
        <v>3</v>
      </c>
      <c r="H578" s="27" t="n">
        <v>8000</v>
      </c>
      <c r="I578" s="28">
        <f>G578*H578/1000*F578^2/162</f>
        <v>92.5925925925926</v>
      </c>
    </row>
    <row r="579">
      <c r="A579" s="7" t="inlineStr">
        <is>
          <t>STR-072</t>
        </is>
      </c>
      <c r="B579" s="7" t="inlineStr">
        <is>
          <t>Beams</t>
        </is>
      </c>
      <c r="C579" s="7" t="inlineStr">
        <is>
          <t>Third floor beams</t>
        </is>
      </c>
      <c r="D579" s="7" t="inlineStr">
        <is>
          <t>F07</t>
        </is>
      </c>
      <c r="E579" s="27" t="inlineStr">
        <is>
          <t>2509</t>
        </is>
      </c>
      <c r="F579" s="27" t="n">
        <v>25</v>
      </c>
      <c r="G579" s="27" t="n">
        <v>3</v>
      </c>
      <c r="H579" s="27" t="n">
        <v>8700</v>
      </c>
      <c r="I579" s="28">
        <f>G579*H579/1000*F579^2/162</f>
        <v>100.69444444444444</v>
      </c>
    </row>
    <row r="580">
      <c r="A580" s="7" t="inlineStr">
        <is>
          <t>STR-072</t>
        </is>
      </c>
      <c r="B580" s="7" t="inlineStr">
        <is>
          <t>Beams</t>
        </is>
      </c>
      <c r="C580" s="7" t="inlineStr">
        <is>
          <t>Third floor beams</t>
        </is>
      </c>
      <c r="D580" s="7" t="inlineStr">
        <is>
          <t>F07</t>
        </is>
      </c>
      <c r="E580" s="27" t="inlineStr">
        <is>
          <t>2510</t>
        </is>
      </c>
      <c r="F580" s="27" t="n">
        <v>25</v>
      </c>
      <c r="G580" s="27" t="n">
        <v>3</v>
      </c>
      <c r="H580" s="27" t="n">
        <v>5900</v>
      </c>
      <c r="I580" s="28">
        <f>G580*H580/1000*F580^2/162</f>
        <v>68.28703703703704</v>
      </c>
    </row>
    <row r="581">
      <c r="A581" s="7" t="inlineStr">
        <is>
          <t>STR-072</t>
        </is>
      </c>
      <c r="B581" s="7" t="inlineStr">
        <is>
          <t>Beams</t>
        </is>
      </c>
      <c r="C581" s="7" t="inlineStr">
        <is>
          <t>Third floor beams</t>
        </is>
      </c>
      <c r="D581" s="7" t="inlineStr">
        <is>
          <t>F07</t>
        </is>
      </c>
      <c r="E581" s="27" t="inlineStr">
        <is>
          <t>2511</t>
        </is>
      </c>
      <c r="F581" s="27" t="n">
        <v>25</v>
      </c>
      <c r="G581" s="27" t="n">
        <v>3</v>
      </c>
      <c r="H581" s="27" t="n">
        <v>7750</v>
      </c>
      <c r="I581" s="28">
        <f>G581*H581/1000*F581^2/162</f>
        <v>89.69907407407408</v>
      </c>
    </row>
    <row r="582">
      <c r="A582" s="7" t="inlineStr">
        <is>
          <t>STR-072</t>
        </is>
      </c>
      <c r="B582" s="7" t="inlineStr">
        <is>
          <t>Beams</t>
        </is>
      </c>
      <c r="C582" s="7" t="inlineStr">
        <is>
          <t>Third floor beams</t>
        </is>
      </c>
      <c r="D582" s="7" t="inlineStr">
        <is>
          <t>F07</t>
        </is>
      </c>
      <c r="E582" s="27" t="inlineStr">
        <is>
          <t>2512</t>
        </is>
      </c>
      <c r="F582" s="27" t="n">
        <v>25</v>
      </c>
      <c r="G582" s="27" t="n">
        <v>3</v>
      </c>
      <c r="H582" s="27" t="n">
        <v>6500</v>
      </c>
      <c r="I582" s="28">
        <f>G582*H582/1000*F582^2/162</f>
        <v>75.23148148148148</v>
      </c>
    </row>
    <row r="583">
      <c r="A583" s="7" t="inlineStr">
        <is>
          <t>STR-072</t>
        </is>
      </c>
      <c r="B583" s="7" t="inlineStr">
        <is>
          <t>Beams</t>
        </is>
      </c>
      <c r="C583" s="7" t="inlineStr">
        <is>
          <t>Third floor beams</t>
        </is>
      </c>
      <c r="D583" s="7" t="inlineStr">
        <is>
          <t>F07</t>
        </is>
      </c>
      <c r="E583" s="27" t="inlineStr">
        <is>
          <t>2513</t>
        </is>
      </c>
      <c r="F583" s="27" t="n">
        <v>25</v>
      </c>
      <c r="G583" s="27" t="n">
        <v>3</v>
      </c>
      <c r="H583" s="27" t="n">
        <v>9850</v>
      </c>
      <c r="I583" s="28">
        <f>G583*H583/1000*F583^2/162</f>
        <v>114.00462962962963</v>
      </c>
    </row>
    <row r="584">
      <c r="A584" s="7" t="inlineStr">
        <is>
          <t>STR-072</t>
        </is>
      </c>
      <c r="B584" s="7" t="inlineStr">
        <is>
          <t>Beams</t>
        </is>
      </c>
      <c r="C584" s="7" t="inlineStr">
        <is>
          <t>Third floor beams</t>
        </is>
      </c>
      <c r="D584" s="7" t="inlineStr">
        <is>
          <t>F07</t>
        </is>
      </c>
      <c r="E584" s="27" t="inlineStr">
        <is>
          <t>2514</t>
        </is>
      </c>
      <c r="F584" s="27" t="n">
        <v>25</v>
      </c>
      <c r="G584" s="27" t="n">
        <v>3</v>
      </c>
      <c r="H584" s="27" t="n">
        <v>11650</v>
      </c>
      <c r="I584" s="28">
        <f>G584*H584/1000*F584^2/162</f>
        <v>134.83796296296296</v>
      </c>
    </row>
    <row r="585">
      <c r="A585" s="7" t="inlineStr">
        <is>
          <t>STR-072</t>
        </is>
      </c>
      <c r="B585" s="7" t="inlineStr">
        <is>
          <t>Beams</t>
        </is>
      </c>
      <c r="C585" s="7" t="inlineStr">
        <is>
          <t>Third floor beams</t>
        </is>
      </c>
      <c r="D585" s="7" t="inlineStr">
        <is>
          <t>F07</t>
        </is>
      </c>
      <c r="E585" s="27" t="inlineStr">
        <is>
          <t>2515</t>
        </is>
      </c>
      <c r="F585" s="27" t="n">
        <v>25</v>
      </c>
      <c r="G585" s="27" t="n">
        <v>3</v>
      </c>
      <c r="H585" s="27" t="n">
        <v>6450</v>
      </c>
      <c r="I585" s="28">
        <f>G585*H585/1000*F585^2/162</f>
        <v>74.65277777777777</v>
      </c>
    </row>
    <row r="586">
      <c r="A586" s="7" t="inlineStr">
        <is>
          <t>STR-072</t>
        </is>
      </c>
      <c r="B586" s="7" t="inlineStr">
        <is>
          <t>Beams</t>
        </is>
      </c>
      <c r="C586" s="7" t="inlineStr">
        <is>
          <t>Third floor beams</t>
        </is>
      </c>
      <c r="D586" s="7" t="inlineStr">
        <is>
          <t>F07</t>
        </is>
      </c>
      <c r="E586" s="27" t="inlineStr">
        <is>
          <t>2516</t>
        </is>
      </c>
      <c r="F586" s="27" t="n">
        <v>25</v>
      </c>
      <c r="G586" s="27" t="n">
        <v>3</v>
      </c>
      <c r="H586" s="27" t="n">
        <v>7700</v>
      </c>
      <c r="I586" s="28">
        <f>G586*H586/1000*F586^2/162</f>
        <v>89.12037037037037</v>
      </c>
    </row>
    <row r="587">
      <c r="A587" s="7" t="inlineStr">
        <is>
          <t>STR-072</t>
        </is>
      </c>
      <c r="B587" s="7" t="inlineStr">
        <is>
          <t>Beams</t>
        </is>
      </c>
      <c r="C587" s="7" t="inlineStr">
        <is>
          <t>Third floor beams</t>
        </is>
      </c>
      <c r="D587" s="7" t="inlineStr">
        <is>
          <t>F07</t>
        </is>
      </c>
      <c r="E587" s="27" t="inlineStr">
        <is>
          <t>2517</t>
        </is>
      </c>
      <c r="F587" s="27" t="n">
        <v>25</v>
      </c>
      <c r="G587" s="27" t="n">
        <v>24</v>
      </c>
      <c r="H587" s="27" t="n">
        <v>3550</v>
      </c>
      <c r="I587" s="28">
        <f>G587*H587/1000*F587^2/162</f>
        <v>328.7037037037037</v>
      </c>
    </row>
    <row r="588">
      <c r="A588" s="7" t="inlineStr">
        <is>
          <t>STR-073</t>
        </is>
      </c>
      <c r="B588" s="7" t="inlineStr">
        <is>
          <t>Floor Slabs</t>
        </is>
      </c>
      <c r="C588" s="7" t="inlineStr">
        <is>
          <t>Third floor slab - bottom</t>
        </is>
      </c>
      <c r="D588" s="7" t="inlineStr">
        <is>
          <t>F07</t>
        </is>
      </c>
      <c r="E588" s="27" t="inlineStr">
        <is>
          <t>1201</t>
        </is>
      </c>
      <c r="F588" s="27" t="n">
        <v>12</v>
      </c>
      <c r="G588" s="27" t="n">
        <v>389</v>
      </c>
      <c r="H588" s="27" t="n">
        <v>9900</v>
      </c>
      <c r="I588" s="28">
        <f>G588*H588/1000*F588^2/162</f>
        <v>3423.2000000000003</v>
      </c>
    </row>
    <row r="589">
      <c r="A589" s="7" t="inlineStr">
        <is>
          <t>STR-073</t>
        </is>
      </c>
      <c r="B589" s="7" t="inlineStr">
        <is>
          <t>Floor Slabs</t>
        </is>
      </c>
      <c r="C589" s="7" t="inlineStr">
        <is>
          <t>Third floor slab - bottom</t>
        </is>
      </c>
      <c r="D589" s="7" t="inlineStr">
        <is>
          <t>F07</t>
        </is>
      </c>
      <c r="E589" s="27" t="inlineStr">
        <is>
          <t>1202</t>
        </is>
      </c>
      <c r="F589" s="27" t="n">
        <v>12</v>
      </c>
      <c r="G589" s="27" t="n">
        <v>432</v>
      </c>
      <c r="H589" s="27" t="n">
        <v>5500</v>
      </c>
      <c r="I589" s="28">
        <f>G589*H589/1000*F589^2/162</f>
        <v>2112.0</v>
      </c>
    </row>
    <row r="590">
      <c r="A590" s="7" t="inlineStr">
        <is>
          <t>STR-073</t>
        </is>
      </c>
      <c r="B590" s="7" t="inlineStr">
        <is>
          <t>Floor Slabs</t>
        </is>
      </c>
      <c r="C590" s="7" t="inlineStr">
        <is>
          <t>Third floor slab - bottom</t>
        </is>
      </c>
      <c r="D590" s="7" t="inlineStr">
        <is>
          <t>F07</t>
        </is>
      </c>
      <c r="E590" s="27" t="inlineStr">
        <is>
          <t>1203</t>
        </is>
      </c>
      <c r="F590" s="27" t="n">
        <v>12</v>
      </c>
      <c r="G590" s="27" t="n">
        <v>16</v>
      </c>
      <c r="H590" s="27" t="n">
        <v>4450</v>
      </c>
      <c r="I590" s="28">
        <f>G590*H590/1000*F590^2/162</f>
        <v>63.2888888888889</v>
      </c>
    </row>
    <row r="591">
      <c r="A591" s="7" t="inlineStr">
        <is>
          <t>STR-073</t>
        </is>
      </c>
      <c r="B591" s="7" t="inlineStr">
        <is>
          <t>Floor Slabs</t>
        </is>
      </c>
      <c r="C591" s="7" t="inlineStr">
        <is>
          <t>Third floor slab - bottom</t>
        </is>
      </c>
      <c r="D591" s="7" t="inlineStr">
        <is>
          <t>F07</t>
        </is>
      </c>
      <c r="E591" s="27" t="inlineStr">
        <is>
          <t>1204</t>
        </is>
      </c>
      <c r="F591" s="27" t="n">
        <v>12</v>
      </c>
      <c r="G591" s="27" t="n">
        <v>454</v>
      </c>
      <c r="H591" s="27" t="n">
        <v>9050</v>
      </c>
      <c r="I591" s="28">
        <f>G591*H591/1000*F591^2/162</f>
        <v>3652.1777777777775</v>
      </c>
    </row>
    <row r="592">
      <c r="A592" s="7" t="inlineStr">
        <is>
          <t>STR-073</t>
        </is>
      </c>
      <c r="B592" s="7" t="inlineStr">
        <is>
          <t>Floor Slabs</t>
        </is>
      </c>
      <c r="C592" s="7" t="inlineStr">
        <is>
          <t>Third floor slab - bottom</t>
        </is>
      </c>
      <c r="D592" s="7" t="inlineStr">
        <is>
          <t>F07</t>
        </is>
      </c>
      <c r="E592" s="27" t="inlineStr">
        <is>
          <t>1205</t>
        </is>
      </c>
      <c r="F592" s="27" t="n">
        <v>12</v>
      </c>
      <c r="G592" s="27" t="n">
        <v>16</v>
      </c>
      <c r="H592" s="27" t="n">
        <v>3400</v>
      </c>
      <c r="I592" s="28">
        <f>G592*H592/1000*F592^2/162</f>
        <v>48.355555555555554</v>
      </c>
    </row>
    <row r="593">
      <c r="A593" s="7" t="inlineStr">
        <is>
          <t>STR-073</t>
        </is>
      </c>
      <c r="B593" s="7" t="inlineStr">
        <is>
          <t>Floor Slabs</t>
        </is>
      </c>
      <c r="C593" s="7" t="inlineStr">
        <is>
          <t>Third floor slab - bottom</t>
        </is>
      </c>
      <c r="D593" s="7" t="inlineStr">
        <is>
          <t>F07</t>
        </is>
      </c>
      <c r="E593" s="27" t="inlineStr">
        <is>
          <t>1206</t>
        </is>
      </c>
      <c r="F593" s="27" t="n">
        <v>12</v>
      </c>
      <c r="G593" s="27" t="n">
        <v>58</v>
      </c>
      <c r="H593" s="27" t="n">
        <v>4800</v>
      </c>
      <c r="I593" s="28">
        <f>G593*H593/1000*F593^2/162</f>
        <v>247.46666666666667</v>
      </c>
    </row>
    <row r="594">
      <c r="A594" s="7" t="inlineStr">
        <is>
          <t>STR-073</t>
        </is>
      </c>
      <c r="B594" s="7" t="inlineStr">
        <is>
          <t>Floor Slabs</t>
        </is>
      </c>
      <c r="C594" s="7" t="inlineStr">
        <is>
          <t>Third floor slab - bottom</t>
        </is>
      </c>
      <c r="D594" s="7" t="inlineStr">
        <is>
          <t>F07</t>
        </is>
      </c>
      <c r="E594" s="27" t="inlineStr">
        <is>
          <t>1207</t>
        </is>
      </c>
      <c r="F594" s="27" t="n">
        <v>12</v>
      </c>
      <c r="G594" s="27" t="n">
        <v>47</v>
      </c>
      <c r="H594" s="27" t="n">
        <v>5500</v>
      </c>
      <c r="I594" s="28">
        <f>G594*H594/1000*F594^2/162</f>
        <v>229.77777777777777</v>
      </c>
    </row>
    <row r="595">
      <c r="A595" s="7" t="inlineStr">
        <is>
          <t>STR-073</t>
        </is>
      </c>
      <c r="B595" s="7" t="inlineStr">
        <is>
          <t>Floor Slabs</t>
        </is>
      </c>
      <c r="C595" s="7" t="inlineStr">
        <is>
          <t>Third floor slab - bottom</t>
        </is>
      </c>
      <c r="D595" s="7" t="inlineStr">
        <is>
          <t>F07</t>
        </is>
      </c>
      <c r="E595" s="27" t="inlineStr">
        <is>
          <t>1208</t>
        </is>
      </c>
      <c r="F595" s="27" t="n">
        <v>12</v>
      </c>
      <c r="G595" s="27" t="n">
        <v>269</v>
      </c>
      <c r="H595" s="27" t="n">
        <v>8850</v>
      </c>
      <c r="I595" s="28">
        <f>G595*H595/1000*F595^2/162</f>
        <v>2116.1333333333337</v>
      </c>
    </row>
    <row r="596">
      <c r="A596" s="7" t="inlineStr">
        <is>
          <t>STR-073</t>
        </is>
      </c>
      <c r="B596" s="7" t="inlineStr">
        <is>
          <t>Floor Slabs</t>
        </is>
      </c>
      <c r="C596" s="7" t="inlineStr">
        <is>
          <t>Third floor slab - bottom</t>
        </is>
      </c>
      <c r="D596" s="7" t="inlineStr">
        <is>
          <t>F07</t>
        </is>
      </c>
      <c r="E596" s="27" t="inlineStr">
        <is>
          <t>1209</t>
        </is>
      </c>
      <c r="F596" s="27" t="n">
        <v>12</v>
      </c>
      <c r="G596" s="27" t="n">
        <v>15</v>
      </c>
      <c r="H596" s="27" t="n">
        <v>8775</v>
      </c>
      <c r="I596" s="28">
        <f>G596*H596/1000*F596^2/162</f>
        <v>117.0</v>
      </c>
    </row>
    <row r="597">
      <c r="A597" s="7" t="inlineStr">
        <is>
          <t>STR-073</t>
        </is>
      </c>
      <c r="B597" s="7" t="inlineStr">
        <is>
          <t>Floor Slabs</t>
        </is>
      </c>
      <c r="C597" s="7" t="inlineStr">
        <is>
          <t>Third floor slab - bottom</t>
        </is>
      </c>
      <c r="D597" s="7" t="inlineStr">
        <is>
          <t>F07</t>
        </is>
      </c>
      <c r="E597" s="27" t="inlineStr">
        <is>
          <t>1210</t>
        </is>
      </c>
      <c r="F597" s="27" t="n">
        <v>12</v>
      </c>
      <c r="G597" s="27" t="n">
        <v>7</v>
      </c>
      <c r="H597" s="27" t="n">
        <v>1000</v>
      </c>
      <c r="I597" s="28">
        <f>G597*H597/1000*F597^2/162</f>
        <v>6.222222222222222</v>
      </c>
    </row>
    <row r="598">
      <c r="A598" s="7" t="inlineStr">
        <is>
          <t>STR-073</t>
        </is>
      </c>
      <c r="B598" s="7" t="inlineStr">
        <is>
          <t>Floor Slabs</t>
        </is>
      </c>
      <c r="C598" s="7" t="inlineStr">
        <is>
          <t>Third floor slab - bottom</t>
        </is>
      </c>
      <c r="D598" s="7" t="inlineStr">
        <is>
          <t>F07</t>
        </is>
      </c>
      <c r="E598" s="27" t="inlineStr">
        <is>
          <t>1211</t>
        </is>
      </c>
      <c r="F598" s="27" t="n">
        <v>12</v>
      </c>
      <c r="G598" s="27" t="n">
        <v>269</v>
      </c>
      <c r="H598" s="27" t="n">
        <v>8650</v>
      </c>
      <c r="I598" s="28">
        <f>G598*H598/1000*F598^2/162</f>
        <v>2068.3111111111107</v>
      </c>
    </row>
    <row r="599">
      <c r="A599" s="7" t="inlineStr">
        <is>
          <t>STR-073</t>
        </is>
      </c>
      <c r="B599" s="7" t="inlineStr">
        <is>
          <t>Floor Slabs</t>
        </is>
      </c>
      <c r="C599" s="7" t="inlineStr">
        <is>
          <t>Third floor slab - bottom</t>
        </is>
      </c>
      <c r="D599" s="7" t="inlineStr">
        <is>
          <t>F07</t>
        </is>
      </c>
      <c r="E599" s="27" t="inlineStr">
        <is>
          <t>1212</t>
        </is>
      </c>
      <c r="F599" s="27" t="n">
        <v>12</v>
      </c>
      <c r="G599" s="27" t="n">
        <v>163</v>
      </c>
      <c r="H599" s="27" t="n">
        <v>9525</v>
      </c>
      <c r="I599" s="28">
        <f>G599*H599/1000*F599^2/162</f>
        <v>1380.0666666666668</v>
      </c>
    </row>
    <row r="600">
      <c r="A600" s="7" t="inlineStr">
        <is>
          <t>STR-073</t>
        </is>
      </c>
      <c r="B600" s="7" t="inlineStr">
        <is>
          <t>Floor Slabs</t>
        </is>
      </c>
      <c r="C600" s="7" t="inlineStr">
        <is>
          <t>Third floor slab - bottom</t>
        </is>
      </c>
      <c r="D600" s="7" t="inlineStr">
        <is>
          <t>F07</t>
        </is>
      </c>
      <c r="E600" s="27" t="inlineStr">
        <is>
          <t>1213</t>
        </is>
      </c>
      <c r="F600" s="27" t="n">
        <v>12</v>
      </c>
      <c r="G600" s="27" t="n">
        <v>36</v>
      </c>
      <c r="H600" s="27" t="n">
        <v>10250</v>
      </c>
      <c r="I600" s="28">
        <f>G600*H600/1000*F600^2/162</f>
        <v>328.0</v>
      </c>
    </row>
    <row r="601">
      <c r="A601" s="7" t="inlineStr">
        <is>
          <t>STR-073</t>
        </is>
      </c>
      <c r="B601" s="7" t="inlineStr">
        <is>
          <t>Floor Slabs</t>
        </is>
      </c>
      <c r="C601" s="7" t="inlineStr">
        <is>
          <t>Third floor slab - bottom</t>
        </is>
      </c>
      <c r="D601" s="7" t="inlineStr">
        <is>
          <t>F07</t>
        </is>
      </c>
      <c r="E601" s="27" t="inlineStr">
        <is>
          <t>1214</t>
        </is>
      </c>
      <c r="F601" s="27" t="n">
        <v>12</v>
      </c>
      <c r="G601" s="27" t="n">
        <v>341</v>
      </c>
      <c r="H601" s="27" t="n">
        <v>11000</v>
      </c>
      <c r="I601" s="28">
        <f>G601*H601/1000*F601^2/162</f>
        <v>3334.222222222222</v>
      </c>
    </row>
    <row r="602">
      <c r="A602" s="7" t="inlineStr">
        <is>
          <t>STR-073</t>
        </is>
      </c>
      <c r="B602" s="7" t="inlineStr">
        <is>
          <t>Floor Slabs</t>
        </is>
      </c>
      <c r="C602" s="7" t="inlineStr">
        <is>
          <t>Third floor slab - bottom</t>
        </is>
      </c>
      <c r="D602" s="7" t="inlineStr">
        <is>
          <t>F07</t>
        </is>
      </c>
      <c r="E602" s="27" t="inlineStr">
        <is>
          <t>1215</t>
        </is>
      </c>
      <c r="F602" s="27" t="n">
        <v>12</v>
      </c>
      <c r="G602" s="27" t="n">
        <v>319</v>
      </c>
      <c r="H602" s="27" t="n">
        <v>12000</v>
      </c>
      <c r="I602" s="28">
        <f>G602*H602/1000*F602^2/162</f>
        <v>3402.6666666666665</v>
      </c>
    </row>
    <row r="603">
      <c r="A603" s="7" t="inlineStr">
        <is>
          <t>STR-073</t>
        </is>
      </c>
      <c r="B603" s="7" t="inlineStr">
        <is>
          <t>Floor Slabs</t>
        </is>
      </c>
      <c r="C603" s="7" t="inlineStr">
        <is>
          <t>Third floor slab - bottom</t>
        </is>
      </c>
      <c r="D603" s="7" t="inlineStr">
        <is>
          <t>F07</t>
        </is>
      </c>
      <c r="E603" s="27" t="inlineStr">
        <is>
          <t>1216</t>
        </is>
      </c>
      <c r="F603" s="27" t="n">
        <v>12</v>
      </c>
      <c r="G603" s="27" t="n">
        <v>9</v>
      </c>
      <c r="H603" s="27" t="n">
        <v>7375</v>
      </c>
      <c r="I603" s="28">
        <f>G603*H603/1000*F603^2/162</f>
        <v>59.0</v>
      </c>
    </row>
    <row r="604">
      <c r="A604" s="7" t="inlineStr">
        <is>
          <t>STR-073</t>
        </is>
      </c>
      <c r="B604" s="7" t="inlineStr">
        <is>
          <t>Floor Slabs</t>
        </is>
      </c>
      <c r="C604" s="7" t="inlineStr">
        <is>
          <t>Third floor slab - bottom</t>
        </is>
      </c>
      <c r="D604" s="7" t="inlineStr">
        <is>
          <t>F07</t>
        </is>
      </c>
      <c r="E604" s="27" t="inlineStr">
        <is>
          <t>1217</t>
        </is>
      </c>
      <c r="F604" s="27" t="n">
        <v>12</v>
      </c>
      <c r="G604" s="27" t="n">
        <v>153</v>
      </c>
      <c r="H604" s="27" t="n">
        <v>12000</v>
      </c>
      <c r="I604" s="28">
        <f>G604*H604/1000*F604^2/162</f>
        <v>1632.0</v>
      </c>
    </row>
    <row r="605">
      <c r="A605" s="7" t="inlineStr">
        <is>
          <t>STR-073</t>
        </is>
      </c>
      <c r="B605" s="7" t="inlineStr">
        <is>
          <t>Floor Slabs</t>
        </is>
      </c>
      <c r="C605" s="7" t="inlineStr">
        <is>
          <t>Third floor slab - bottom</t>
        </is>
      </c>
      <c r="D605" s="7" t="inlineStr">
        <is>
          <t>F07</t>
        </is>
      </c>
      <c r="E605" s="27" t="inlineStr">
        <is>
          <t>1218</t>
        </is>
      </c>
      <c r="F605" s="27" t="n">
        <v>12</v>
      </c>
      <c r="G605" s="27" t="n">
        <v>85</v>
      </c>
      <c r="H605" s="27" t="n">
        <v>7400</v>
      </c>
      <c r="I605" s="28">
        <f>G605*H605/1000*F605^2/162</f>
        <v>559.1111111111111</v>
      </c>
    </row>
    <row r="606">
      <c r="A606" s="7" t="inlineStr">
        <is>
          <t>STR-073</t>
        </is>
      </c>
      <c r="B606" s="7" t="inlineStr">
        <is>
          <t>Floor Slabs</t>
        </is>
      </c>
      <c r="C606" s="7" t="inlineStr">
        <is>
          <t>Third floor slab - bottom</t>
        </is>
      </c>
      <c r="D606" s="7" t="inlineStr">
        <is>
          <t>F07</t>
        </is>
      </c>
      <c r="E606" s="27" t="inlineStr">
        <is>
          <t>1219</t>
        </is>
      </c>
      <c r="F606" s="27" t="n">
        <v>12</v>
      </c>
      <c r="G606" s="27" t="n">
        <v>12</v>
      </c>
      <c r="H606" s="27" t="n">
        <v>4200</v>
      </c>
      <c r="I606" s="28">
        <f>G606*H606/1000*F606^2/162</f>
        <v>44.8</v>
      </c>
    </row>
    <row r="607">
      <c r="A607" s="7" t="inlineStr">
        <is>
          <t>STR-073</t>
        </is>
      </c>
      <c r="B607" s="7" t="inlineStr">
        <is>
          <t>Floor Slabs</t>
        </is>
      </c>
      <c r="C607" s="7" t="inlineStr">
        <is>
          <t>Third floor slab - bottom</t>
        </is>
      </c>
      <c r="D607" s="7" t="inlineStr">
        <is>
          <t>F07</t>
        </is>
      </c>
      <c r="E607" s="27" t="inlineStr">
        <is>
          <t>1220</t>
        </is>
      </c>
      <c r="F607" s="27" t="n">
        <v>12</v>
      </c>
      <c r="G607" s="27" t="n">
        <v>369</v>
      </c>
      <c r="H607" s="27" t="n">
        <v>3100</v>
      </c>
      <c r="I607" s="28">
        <f>G607*H607/1000*F607^2/162</f>
        <v>1016.8000000000001</v>
      </c>
    </row>
    <row r="608">
      <c r="A608" s="7" t="inlineStr">
        <is>
          <t>STR-073</t>
        </is>
      </c>
      <c r="B608" s="7" t="inlineStr">
        <is>
          <t>Floor Slabs</t>
        </is>
      </c>
      <c r="C608" s="7" t="inlineStr">
        <is>
          <t>Third floor slab - bottom</t>
        </is>
      </c>
      <c r="D608" s="7" t="inlineStr">
        <is>
          <t>F07</t>
        </is>
      </c>
      <c r="E608" s="27" t="inlineStr">
        <is>
          <t>1221</t>
        </is>
      </c>
      <c r="F608" s="27" t="n">
        <v>12</v>
      </c>
      <c r="G608" s="27" t="n">
        <v>7</v>
      </c>
      <c r="H608" s="27" t="n">
        <v>4800</v>
      </c>
      <c r="I608" s="28">
        <f>G608*H608/1000*F608^2/162</f>
        <v>29.86666666666667</v>
      </c>
    </row>
    <row r="609">
      <c r="A609" s="7" t="inlineStr">
        <is>
          <t>STR-073</t>
        </is>
      </c>
      <c r="B609" s="7" t="inlineStr">
        <is>
          <t>Floor Slabs</t>
        </is>
      </c>
      <c r="C609" s="7" t="inlineStr">
        <is>
          <t>Third floor slab - bottom</t>
        </is>
      </c>
      <c r="D609" s="7" t="inlineStr">
        <is>
          <t>F07</t>
        </is>
      </c>
      <c r="E609" s="27" t="inlineStr">
        <is>
          <t>1222</t>
        </is>
      </c>
      <c r="F609" s="27" t="n">
        <v>12</v>
      </c>
      <c r="G609" s="27" t="n">
        <v>13</v>
      </c>
      <c r="H609" s="27" t="n">
        <v>6900</v>
      </c>
      <c r="I609" s="28">
        <f>G609*H609/1000*F609^2/162</f>
        <v>79.73333333333333</v>
      </c>
    </row>
    <row r="610">
      <c r="A610" s="7" t="inlineStr">
        <is>
          <t>STR-073</t>
        </is>
      </c>
      <c r="B610" s="7" t="inlineStr">
        <is>
          <t>Floor Slabs</t>
        </is>
      </c>
      <c r="C610" s="7" t="inlineStr">
        <is>
          <t>Third floor slab - bottom</t>
        </is>
      </c>
      <c r="D610" s="7" t="inlineStr">
        <is>
          <t>F07</t>
        </is>
      </c>
      <c r="E610" s="27" t="inlineStr">
        <is>
          <t>1223</t>
        </is>
      </c>
      <c r="F610" s="27" t="n">
        <v>12</v>
      </c>
      <c r="G610" s="27" t="n">
        <v>13</v>
      </c>
      <c r="H610" s="27" t="n">
        <v>4200</v>
      </c>
      <c r="I610" s="28">
        <f>G610*H610/1000*F610^2/162</f>
        <v>48.53333333333334</v>
      </c>
    </row>
    <row r="611">
      <c r="A611" s="7" t="inlineStr">
        <is>
          <t>STR-073</t>
        </is>
      </c>
      <c r="B611" s="7" t="inlineStr">
        <is>
          <t>Floor Slabs</t>
        </is>
      </c>
      <c r="C611" s="7" t="inlineStr">
        <is>
          <t>Third floor slab - bottom</t>
        </is>
      </c>
      <c r="D611" s="7" t="inlineStr">
        <is>
          <t>F07</t>
        </is>
      </c>
      <c r="E611" s="27" t="inlineStr">
        <is>
          <t>1224</t>
        </is>
      </c>
      <c r="F611" s="27" t="n">
        <v>12</v>
      </c>
      <c r="G611" s="27" t="n">
        <v>43</v>
      </c>
      <c r="H611" s="27" t="n">
        <v>11750</v>
      </c>
      <c r="I611" s="28">
        <f>G611*H611/1000*F611^2/162</f>
        <v>449.1111111111111</v>
      </c>
    </row>
    <row r="612">
      <c r="A612" s="7" t="inlineStr">
        <is>
          <t>STR-073</t>
        </is>
      </c>
      <c r="B612" s="7" t="inlineStr">
        <is>
          <t>Floor Slabs</t>
        </is>
      </c>
      <c r="C612" s="7" t="inlineStr">
        <is>
          <t>Third floor slab - bottom</t>
        </is>
      </c>
      <c r="D612" s="7" t="inlineStr">
        <is>
          <t>F07</t>
        </is>
      </c>
      <c r="E612" s="27" t="inlineStr">
        <is>
          <t>1225</t>
        </is>
      </c>
      <c r="F612" s="27" t="n">
        <v>12</v>
      </c>
      <c r="G612" s="27" t="n">
        <v>87</v>
      </c>
      <c r="H612" s="27" t="n">
        <v>11250</v>
      </c>
      <c r="I612" s="28">
        <f>G612*H612/1000*F612^2/162</f>
        <v>870.0</v>
      </c>
    </row>
    <row r="613">
      <c r="A613" s="7" t="inlineStr">
        <is>
          <t>STR-074</t>
        </is>
      </c>
      <c r="B613" s="7" t="inlineStr">
        <is>
          <t>Floor Slabs</t>
        </is>
      </c>
      <c r="C613" s="7" t="inlineStr">
        <is>
          <t>Third floor slab - top</t>
        </is>
      </c>
      <c r="D613" s="7" t="inlineStr">
        <is>
          <t>F07</t>
        </is>
      </c>
      <c r="E613" s="27" t="inlineStr">
        <is>
          <t>1226</t>
        </is>
      </c>
      <c r="F613" s="27" t="n">
        <v>12</v>
      </c>
      <c r="G613" s="27" t="n">
        <v>16</v>
      </c>
      <c r="H613" s="27" t="n">
        <v>1925</v>
      </c>
      <c r="I613" s="28">
        <f>G613*H613/1000*F613^2/162</f>
        <v>27.377777777777776</v>
      </c>
    </row>
    <row r="614">
      <c r="A614" s="7" t="inlineStr">
        <is>
          <t>STR-074</t>
        </is>
      </c>
      <c r="B614" s="7" t="inlineStr">
        <is>
          <t>Floor Slabs</t>
        </is>
      </c>
      <c r="C614" s="7" t="inlineStr">
        <is>
          <t>Third floor slab - top</t>
        </is>
      </c>
      <c r="D614" s="7" t="inlineStr">
        <is>
          <t>F07</t>
        </is>
      </c>
      <c r="E614" s="27" t="inlineStr">
        <is>
          <t>1227</t>
        </is>
      </c>
      <c r="F614" s="27" t="n">
        <v>12</v>
      </c>
      <c r="G614" s="27" t="n">
        <v>291</v>
      </c>
      <c r="H614" s="27" t="n">
        <v>11700</v>
      </c>
      <c r="I614" s="28">
        <f>G614*H614/1000*F614^2/162</f>
        <v>3026.4</v>
      </c>
    </row>
    <row r="615">
      <c r="A615" s="7" t="inlineStr">
        <is>
          <t>STR-074</t>
        </is>
      </c>
      <c r="B615" s="7" t="inlineStr">
        <is>
          <t>Floor Slabs</t>
        </is>
      </c>
      <c r="C615" s="7" t="inlineStr">
        <is>
          <t>Third floor slab - top</t>
        </is>
      </c>
      <c r="D615" s="7" t="inlineStr">
        <is>
          <t>F07</t>
        </is>
      </c>
      <c r="E615" s="27" t="inlineStr">
        <is>
          <t>1228</t>
        </is>
      </c>
      <c r="F615" s="27" t="n">
        <v>12</v>
      </c>
      <c r="G615" s="27" t="n">
        <v>32</v>
      </c>
      <c r="H615" s="27" t="n">
        <v>5850</v>
      </c>
      <c r="I615" s="28">
        <f>G615*H615/1000*F615^2/162</f>
        <v>166.4</v>
      </c>
    </row>
    <row r="616">
      <c r="A616" s="7" t="inlineStr">
        <is>
          <t>STR-074</t>
        </is>
      </c>
      <c r="B616" s="7" t="inlineStr">
        <is>
          <t>Floor Slabs</t>
        </is>
      </c>
      <c r="C616" s="7" t="inlineStr">
        <is>
          <t>Third floor slab - top</t>
        </is>
      </c>
      <c r="D616" s="7" t="inlineStr">
        <is>
          <t>F07</t>
        </is>
      </c>
      <c r="E616" s="27" t="inlineStr">
        <is>
          <t>1229</t>
        </is>
      </c>
      <c r="F616" s="27" t="n">
        <v>12</v>
      </c>
      <c r="G616" s="27" t="n">
        <v>16</v>
      </c>
      <c r="H616" s="27" t="n">
        <v>8250</v>
      </c>
      <c r="I616" s="28">
        <f>G616*H616/1000*F616^2/162</f>
        <v>117.33333333333333</v>
      </c>
    </row>
    <row r="617">
      <c r="A617" s="7" t="inlineStr">
        <is>
          <t>STR-074</t>
        </is>
      </c>
      <c r="B617" s="7" t="inlineStr">
        <is>
          <t>Floor Slabs</t>
        </is>
      </c>
      <c r="C617" s="7" t="inlineStr">
        <is>
          <t>Third floor slab - top</t>
        </is>
      </c>
      <c r="D617" s="7" t="inlineStr">
        <is>
          <t>F07</t>
        </is>
      </c>
      <c r="E617" s="27" t="inlineStr">
        <is>
          <t>1230</t>
        </is>
      </c>
      <c r="F617" s="27" t="n">
        <v>12</v>
      </c>
      <c r="G617" s="27" t="n">
        <v>323</v>
      </c>
      <c r="H617" s="27" t="n">
        <v>8000</v>
      </c>
      <c r="I617" s="28">
        <f>G617*H617/1000*F617^2/162</f>
        <v>2296.8888888888887</v>
      </c>
    </row>
    <row r="618">
      <c r="A618" s="7" t="inlineStr">
        <is>
          <t>STR-074</t>
        </is>
      </c>
      <c r="B618" s="7" t="inlineStr">
        <is>
          <t>Floor Slabs</t>
        </is>
      </c>
      <c r="C618" s="7" t="inlineStr">
        <is>
          <t>Third floor slab - top</t>
        </is>
      </c>
      <c r="D618" s="7" t="inlineStr">
        <is>
          <t>F07</t>
        </is>
      </c>
      <c r="E618" s="27" t="inlineStr">
        <is>
          <t>1231</t>
        </is>
      </c>
      <c r="F618" s="27" t="n">
        <v>12</v>
      </c>
      <c r="G618" s="27" t="n">
        <v>217</v>
      </c>
      <c r="H618" s="27" t="n">
        <v>8800</v>
      </c>
      <c r="I618" s="28">
        <f>G618*H618/1000*F618^2/162</f>
        <v>1697.422222222222</v>
      </c>
    </row>
    <row r="619">
      <c r="A619" s="7" t="inlineStr">
        <is>
          <t>STR-074</t>
        </is>
      </c>
      <c r="B619" s="7" t="inlineStr">
        <is>
          <t>Floor Slabs</t>
        </is>
      </c>
      <c r="C619" s="7" t="inlineStr">
        <is>
          <t>Third floor slab - top</t>
        </is>
      </c>
      <c r="D619" s="7" t="inlineStr">
        <is>
          <t>F07</t>
        </is>
      </c>
      <c r="E619" s="27" t="inlineStr">
        <is>
          <t>1232</t>
        </is>
      </c>
      <c r="F619" s="27" t="n">
        <v>12</v>
      </c>
      <c r="G619" s="27" t="n">
        <v>16</v>
      </c>
      <c r="H619" s="27" t="n">
        <v>7300</v>
      </c>
      <c r="I619" s="28">
        <f>G619*H619/1000*F619^2/162</f>
        <v>103.82222222222222</v>
      </c>
    </row>
    <row r="620">
      <c r="A620" s="7" t="inlineStr">
        <is>
          <t>STR-074</t>
        </is>
      </c>
      <c r="B620" s="7" t="inlineStr">
        <is>
          <t>Floor Slabs</t>
        </is>
      </c>
      <c r="C620" s="7" t="inlineStr">
        <is>
          <t>Third floor slab - top</t>
        </is>
      </c>
      <c r="D620" s="7" t="inlineStr">
        <is>
          <t>F07</t>
        </is>
      </c>
      <c r="E620" s="27" t="inlineStr">
        <is>
          <t>1233</t>
        </is>
      </c>
      <c r="F620" s="27" t="n">
        <v>12</v>
      </c>
      <c r="G620" s="27" t="n">
        <v>58</v>
      </c>
      <c r="H620" s="27" t="n">
        <v>8700</v>
      </c>
      <c r="I620" s="28">
        <f>G620*H620/1000*F620^2/162</f>
        <v>448.53333333333336</v>
      </c>
    </row>
    <row r="621">
      <c r="A621" s="7" t="inlineStr">
        <is>
          <t>STR-074</t>
        </is>
      </c>
      <c r="B621" s="7" t="inlineStr">
        <is>
          <t>Floor Slabs</t>
        </is>
      </c>
      <c r="C621" s="7" t="inlineStr">
        <is>
          <t>Third floor slab - top</t>
        </is>
      </c>
      <c r="D621" s="7" t="inlineStr">
        <is>
          <t>F07</t>
        </is>
      </c>
      <c r="E621" s="27" t="inlineStr">
        <is>
          <t>1234</t>
        </is>
      </c>
      <c r="F621" s="27" t="n">
        <v>12</v>
      </c>
      <c r="G621" s="27" t="n">
        <v>47</v>
      </c>
      <c r="H621" s="27" t="n">
        <v>9400</v>
      </c>
      <c r="I621" s="28">
        <f>G621*H621/1000*F621^2/162</f>
        <v>392.71111111111117</v>
      </c>
    </row>
    <row r="622">
      <c r="A622" s="7" t="inlineStr">
        <is>
          <t>STR-074</t>
        </is>
      </c>
      <c r="B622" s="7" t="inlineStr">
        <is>
          <t>Floor Slabs</t>
        </is>
      </c>
      <c r="C622" s="7" t="inlineStr">
        <is>
          <t>Third floor slab - top</t>
        </is>
      </c>
      <c r="D622" s="7" t="inlineStr">
        <is>
          <t>F07</t>
        </is>
      </c>
      <c r="E622" s="27" t="inlineStr">
        <is>
          <t>1235</t>
        </is>
      </c>
      <c r="F622" s="27" t="n">
        <v>12</v>
      </c>
      <c r="G622" s="27" t="n">
        <v>15</v>
      </c>
      <c r="H622" s="27" t="n">
        <v>4700</v>
      </c>
      <c r="I622" s="28">
        <f>G622*H622/1000*F622^2/162</f>
        <v>62.666666666666664</v>
      </c>
    </row>
    <row r="623">
      <c r="A623" s="7" t="inlineStr">
        <is>
          <t>STR-074</t>
        </is>
      </c>
      <c r="B623" s="7" t="inlineStr">
        <is>
          <t>Floor Slabs</t>
        </is>
      </c>
      <c r="C623" s="7" t="inlineStr">
        <is>
          <t>Third floor slab - top</t>
        </is>
      </c>
      <c r="D623" s="7" t="inlineStr">
        <is>
          <t>F07</t>
        </is>
      </c>
      <c r="E623" s="27" t="inlineStr">
        <is>
          <t>1236</t>
        </is>
      </c>
      <c r="F623" s="27" t="n">
        <v>12</v>
      </c>
      <c r="G623" s="27" t="n">
        <v>7</v>
      </c>
      <c r="H623" s="27" t="n">
        <v>10200</v>
      </c>
      <c r="I623" s="28">
        <f>G623*H623/1000*F623^2/162</f>
        <v>63.46666666666667</v>
      </c>
    </row>
    <row r="624">
      <c r="A624" s="7" t="inlineStr">
        <is>
          <t>STR-074</t>
        </is>
      </c>
      <c r="B624" s="7" t="inlineStr">
        <is>
          <t>Floor Slabs</t>
        </is>
      </c>
      <c r="C624" s="7" t="inlineStr">
        <is>
          <t>Third floor slab - top</t>
        </is>
      </c>
      <c r="D624" s="7" t="inlineStr">
        <is>
          <t>F07</t>
        </is>
      </c>
      <c r="E624" s="27" t="inlineStr">
        <is>
          <t>1237</t>
        </is>
      </c>
      <c r="F624" s="27" t="n">
        <v>12</v>
      </c>
      <c r="G624" s="27" t="n">
        <v>202</v>
      </c>
      <c r="H624" s="27" t="n">
        <v>8650</v>
      </c>
      <c r="I624" s="28">
        <f>G624*H624/1000*F624^2/162</f>
        <v>1553.1555555555553</v>
      </c>
    </row>
    <row r="625">
      <c r="A625" s="7" t="inlineStr">
        <is>
          <t>STR-074</t>
        </is>
      </c>
      <c r="B625" s="7" t="inlineStr">
        <is>
          <t>Floor Slabs</t>
        </is>
      </c>
      <c r="C625" s="7" t="inlineStr">
        <is>
          <t>Third floor slab - top</t>
        </is>
      </c>
      <c r="D625" s="7" t="inlineStr">
        <is>
          <t>F07</t>
        </is>
      </c>
      <c r="E625" s="27" t="inlineStr">
        <is>
          <t>1238</t>
        </is>
      </c>
      <c r="F625" s="27" t="n">
        <v>12</v>
      </c>
      <c r="G625" s="27" t="n">
        <v>202</v>
      </c>
      <c r="H625" s="27" t="n">
        <v>5900</v>
      </c>
      <c r="I625" s="28">
        <f>G625*H625/1000*F625^2/162</f>
        <v>1059.3777777777777</v>
      </c>
    </row>
    <row r="626">
      <c r="A626" s="7" t="inlineStr">
        <is>
          <t>STR-074</t>
        </is>
      </c>
      <c r="B626" s="7" t="inlineStr">
        <is>
          <t>Floor Slabs</t>
        </is>
      </c>
      <c r="C626" s="7" t="inlineStr">
        <is>
          <t>Third floor slab - top</t>
        </is>
      </c>
      <c r="D626" s="7" t="inlineStr">
        <is>
          <t>F07</t>
        </is>
      </c>
      <c r="E626" s="27" t="inlineStr">
        <is>
          <t>1239</t>
        </is>
      </c>
      <c r="F626" s="27" t="n">
        <v>12</v>
      </c>
      <c r="G626" s="27" t="n">
        <v>120</v>
      </c>
      <c r="H626" s="27" t="n">
        <v>9525</v>
      </c>
      <c r="I626" s="28">
        <f>G626*H626/1000*F626^2/162</f>
        <v>1016.0</v>
      </c>
    </row>
    <row r="627">
      <c r="A627" s="7" t="inlineStr">
        <is>
          <t>STR-074</t>
        </is>
      </c>
      <c r="B627" s="7" t="inlineStr">
        <is>
          <t>Floor Slabs</t>
        </is>
      </c>
      <c r="C627" s="7" t="inlineStr">
        <is>
          <t>Third floor slab - top</t>
        </is>
      </c>
      <c r="D627" s="7" t="inlineStr">
        <is>
          <t>F07</t>
        </is>
      </c>
      <c r="E627" s="27" t="inlineStr">
        <is>
          <t>1240</t>
        </is>
      </c>
      <c r="F627" s="27" t="n">
        <v>12</v>
      </c>
      <c r="G627" s="27" t="n">
        <v>294</v>
      </c>
      <c r="H627" s="27" t="n">
        <v>7300</v>
      </c>
      <c r="I627" s="28">
        <f>G627*H627/1000*F627^2/162</f>
        <v>1907.7333333333333</v>
      </c>
    </row>
    <row r="628">
      <c r="A628" s="7" t="inlineStr">
        <is>
          <t>STR-074</t>
        </is>
      </c>
      <c r="B628" s="7" t="inlineStr">
        <is>
          <t>Floor Slabs</t>
        </is>
      </c>
      <c r="C628" s="7" t="inlineStr">
        <is>
          <t>Third floor slab - top</t>
        </is>
      </c>
      <c r="D628" s="7" t="inlineStr">
        <is>
          <t>F07</t>
        </is>
      </c>
      <c r="E628" s="27" t="inlineStr">
        <is>
          <t>1241</t>
        </is>
      </c>
      <c r="F628" s="27" t="n">
        <v>12</v>
      </c>
      <c r="G628" s="27" t="n">
        <v>36</v>
      </c>
      <c r="H628" s="27" t="n">
        <v>3800</v>
      </c>
      <c r="I628" s="28">
        <f>G628*H628/1000*F628^2/162</f>
        <v>121.60000000000001</v>
      </c>
    </row>
    <row r="629">
      <c r="A629" s="7" t="inlineStr">
        <is>
          <t>STR-074</t>
        </is>
      </c>
      <c r="B629" s="7" t="inlineStr">
        <is>
          <t>Floor Slabs</t>
        </is>
      </c>
      <c r="C629" s="7" t="inlineStr">
        <is>
          <t>Third floor slab - top</t>
        </is>
      </c>
      <c r="D629" s="7" t="inlineStr">
        <is>
          <t>F07</t>
        </is>
      </c>
      <c r="E629" s="27" t="inlineStr">
        <is>
          <t>1242</t>
        </is>
      </c>
      <c r="F629" s="27" t="n">
        <v>12</v>
      </c>
      <c r="G629" s="27" t="n">
        <v>44</v>
      </c>
      <c r="H629" s="27" t="n">
        <v>10400</v>
      </c>
      <c r="I629" s="28">
        <f>G629*H629/1000*F629^2/162</f>
        <v>406.7555555555556</v>
      </c>
    </row>
    <row r="630">
      <c r="A630" s="7" t="inlineStr">
        <is>
          <t>STR-074</t>
        </is>
      </c>
      <c r="B630" s="7" t="inlineStr">
        <is>
          <t>Floor Slabs</t>
        </is>
      </c>
      <c r="C630" s="7" t="inlineStr">
        <is>
          <t>Third floor slab - top</t>
        </is>
      </c>
      <c r="D630" s="7" t="inlineStr">
        <is>
          <t>F07</t>
        </is>
      </c>
      <c r="E630" s="27" t="inlineStr">
        <is>
          <t>1243</t>
        </is>
      </c>
      <c r="F630" s="27" t="n">
        <v>12</v>
      </c>
      <c r="G630" s="27" t="n">
        <v>23</v>
      </c>
      <c r="H630" s="27" t="n">
        <v>3450</v>
      </c>
      <c r="I630" s="28">
        <f>G630*H630/1000*F630^2/162</f>
        <v>70.53333333333333</v>
      </c>
    </row>
    <row r="631">
      <c r="A631" s="7" t="inlineStr">
        <is>
          <t>STR-074</t>
        </is>
      </c>
      <c r="B631" s="7" t="inlineStr">
        <is>
          <t>Floor Slabs</t>
        </is>
      </c>
      <c r="C631" s="7" t="inlineStr">
        <is>
          <t>Third floor slab - top</t>
        </is>
      </c>
      <c r="D631" s="7" t="inlineStr">
        <is>
          <t>F07</t>
        </is>
      </c>
      <c r="E631" s="27" t="inlineStr">
        <is>
          <t>1244</t>
        </is>
      </c>
      <c r="F631" s="27" t="n">
        <v>12</v>
      </c>
      <c r="G631" s="27" t="n">
        <v>297</v>
      </c>
      <c r="H631" s="27" t="n">
        <v>12000</v>
      </c>
      <c r="I631" s="28">
        <f>G631*H631/1000*F631^2/162</f>
        <v>3168.0</v>
      </c>
    </row>
    <row r="632">
      <c r="A632" s="7" t="inlineStr">
        <is>
          <t>STR-074</t>
        </is>
      </c>
      <c r="B632" s="7" t="inlineStr">
        <is>
          <t>Floor Slabs</t>
        </is>
      </c>
      <c r="C632" s="7" t="inlineStr">
        <is>
          <t>Third floor slab - top</t>
        </is>
      </c>
      <c r="D632" s="7" t="inlineStr">
        <is>
          <t>F07</t>
        </is>
      </c>
      <c r="E632" s="27" t="inlineStr">
        <is>
          <t>1245</t>
        </is>
      </c>
      <c r="F632" s="27" t="n">
        <v>12</v>
      </c>
      <c r="G632" s="27" t="n">
        <v>36</v>
      </c>
      <c r="H632" s="27" t="n">
        <v>7350</v>
      </c>
      <c r="I632" s="28">
        <f>G632*H632/1000*F632^2/162</f>
        <v>235.20000000000002</v>
      </c>
    </row>
    <row r="633">
      <c r="A633" s="7" t="inlineStr">
        <is>
          <t>STR-074</t>
        </is>
      </c>
      <c r="B633" s="7" t="inlineStr">
        <is>
          <t>Floor Slabs</t>
        </is>
      </c>
      <c r="C633" s="7" t="inlineStr">
        <is>
          <t>Third floor slab - top</t>
        </is>
      </c>
      <c r="D633" s="7" t="inlineStr">
        <is>
          <t>F07</t>
        </is>
      </c>
      <c r="E633" s="27" t="inlineStr">
        <is>
          <t>1246</t>
        </is>
      </c>
      <c r="F633" s="27" t="n">
        <v>12</v>
      </c>
      <c r="G633" s="27" t="n">
        <v>85</v>
      </c>
      <c r="H633" s="27" t="n">
        <v>4300</v>
      </c>
      <c r="I633" s="28">
        <f>G633*H633/1000*F633^2/162</f>
        <v>324.8888888888889</v>
      </c>
    </row>
    <row r="634">
      <c r="A634" s="7" t="inlineStr">
        <is>
          <t>STR-074</t>
        </is>
      </c>
      <c r="B634" s="7" t="inlineStr">
        <is>
          <t>Floor Slabs</t>
        </is>
      </c>
      <c r="C634" s="7" t="inlineStr">
        <is>
          <t>Third floor slab - top</t>
        </is>
      </c>
      <c r="D634" s="7" t="inlineStr">
        <is>
          <t>F07</t>
        </is>
      </c>
      <c r="E634" s="27" t="inlineStr">
        <is>
          <t>1247</t>
        </is>
      </c>
      <c r="F634" s="27" t="n">
        <v>12</v>
      </c>
      <c r="G634" s="27" t="n">
        <v>13</v>
      </c>
      <c r="H634" s="27" t="n">
        <v>4100</v>
      </c>
      <c r="I634" s="28">
        <f>G634*H634/1000*F634^2/162</f>
        <v>47.37777777777778</v>
      </c>
    </row>
    <row r="635">
      <c r="A635" s="7" t="inlineStr">
        <is>
          <t>STR-074</t>
        </is>
      </c>
      <c r="B635" s="7" t="inlineStr">
        <is>
          <t>Floor Slabs</t>
        </is>
      </c>
      <c r="C635" s="7" t="inlineStr">
        <is>
          <t>Third floor slab - top</t>
        </is>
      </c>
      <c r="D635" s="7" t="inlineStr">
        <is>
          <t>F07</t>
        </is>
      </c>
      <c r="E635" s="27" t="inlineStr">
        <is>
          <t>1248</t>
        </is>
      </c>
      <c r="F635" s="27" t="n">
        <v>12</v>
      </c>
      <c r="G635" s="27" t="n">
        <v>13</v>
      </c>
      <c r="H635" s="27" t="n">
        <v>4200</v>
      </c>
      <c r="I635" s="28">
        <f>G635*H635/1000*F635^2/162</f>
        <v>48.53333333333334</v>
      </c>
    </row>
    <row r="636">
      <c r="A636" s="7" t="inlineStr">
        <is>
          <t>STR-074</t>
        </is>
      </c>
      <c r="B636" s="7" t="inlineStr">
        <is>
          <t>Floor Slabs</t>
        </is>
      </c>
      <c r="C636" s="7" t="inlineStr">
        <is>
          <t>Third floor slab - top</t>
        </is>
      </c>
      <c r="D636" s="7" t="inlineStr">
        <is>
          <t>F07</t>
        </is>
      </c>
      <c r="E636" s="27" t="inlineStr">
        <is>
          <t>1249</t>
        </is>
      </c>
      <c r="F636" s="27" t="n">
        <v>12</v>
      </c>
      <c r="G636" s="27" t="n">
        <v>365</v>
      </c>
      <c r="H636" s="27" t="n">
        <v>9200</v>
      </c>
      <c r="I636" s="28">
        <f>G636*H636/1000*F636^2/162</f>
        <v>2984.8888888888887</v>
      </c>
    </row>
    <row r="637">
      <c r="A637" s="7" t="inlineStr">
        <is>
          <t>STR-074</t>
        </is>
      </c>
      <c r="B637" s="7" t="inlineStr">
        <is>
          <t>Floor Slabs</t>
        </is>
      </c>
      <c r="C637" s="7" t="inlineStr">
        <is>
          <t>Third floor slab - top</t>
        </is>
      </c>
      <c r="D637" s="7" t="inlineStr">
        <is>
          <t>F07</t>
        </is>
      </c>
      <c r="E637" s="27" t="inlineStr">
        <is>
          <t>1250</t>
        </is>
      </c>
      <c r="F637" s="27" t="n">
        <v>12</v>
      </c>
      <c r="G637" s="27" t="n">
        <v>7</v>
      </c>
      <c r="H637" s="27" t="n">
        <v>8500</v>
      </c>
      <c r="I637" s="28">
        <f>G637*H637/1000*F637^2/162</f>
        <v>52.888888888888886</v>
      </c>
    </row>
    <row r="638">
      <c r="A638" s="7" t="inlineStr">
        <is>
          <t>STR-074</t>
        </is>
      </c>
      <c r="B638" s="7" t="inlineStr">
        <is>
          <t>Floor Slabs</t>
        </is>
      </c>
      <c r="C638" s="7" t="inlineStr">
        <is>
          <t>Third floor slab - top</t>
        </is>
      </c>
      <c r="D638" s="7" t="inlineStr">
        <is>
          <t>F07</t>
        </is>
      </c>
      <c r="E638" s="27" t="inlineStr">
        <is>
          <t>1251</t>
        </is>
      </c>
      <c r="F638" s="27" t="n">
        <v>12</v>
      </c>
      <c r="G638" s="27" t="n">
        <v>26</v>
      </c>
      <c r="H638" s="27" t="n">
        <v>2200</v>
      </c>
      <c r="I638" s="28">
        <f>G638*H638/1000*F638^2/162</f>
        <v>50.84444444444445</v>
      </c>
    </row>
    <row r="639">
      <c r="A639" s="7" t="inlineStr">
        <is>
          <t>STR-074</t>
        </is>
      </c>
      <c r="B639" s="7" t="inlineStr">
        <is>
          <t>Floor Slabs</t>
        </is>
      </c>
      <c r="C639" s="7" t="inlineStr">
        <is>
          <t>Third floor slab - top</t>
        </is>
      </c>
      <c r="D639" s="7" t="inlineStr">
        <is>
          <t>F07</t>
        </is>
      </c>
      <c r="E639" s="27" t="inlineStr">
        <is>
          <t>1252</t>
        </is>
      </c>
      <c r="F639" s="27" t="n">
        <v>12</v>
      </c>
      <c r="G639" s="27" t="n">
        <v>238</v>
      </c>
      <c r="H639" s="27" t="n">
        <v>9250</v>
      </c>
      <c r="I639" s="28">
        <f>G639*H639/1000*F639^2/162</f>
        <v>1956.888888888889</v>
      </c>
    </row>
    <row r="640">
      <c r="A640" s="7" t="inlineStr">
        <is>
          <t>STR-074</t>
        </is>
      </c>
      <c r="B640" s="7" t="inlineStr">
        <is>
          <t>Floor Slabs</t>
        </is>
      </c>
      <c r="C640" s="7" t="inlineStr">
        <is>
          <t>Third floor slab - top</t>
        </is>
      </c>
      <c r="D640" s="7" t="inlineStr">
        <is>
          <t>F07</t>
        </is>
      </c>
      <c r="E640" s="27" t="inlineStr">
        <is>
          <t>1253</t>
        </is>
      </c>
      <c r="F640" s="27" t="n">
        <v>12</v>
      </c>
      <c r="G640" s="27" t="n">
        <v>43</v>
      </c>
      <c r="H640" s="27" t="n">
        <v>1500</v>
      </c>
      <c r="I640" s="28">
        <f>G640*H640/1000*F640^2/162</f>
        <v>57.333333333333336</v>
      </c>
    </row>
    <row r="641">
      <c r="A641" s="7" t="inlineStr">
        <is>
          <t>STR-075</t>
        </is>
      </c>
      <c r="B641" s="7" t="inlineStr">
        <is>
          <t>Floor Slabs</t>
        </is>
      </c>
      <c r="C641" s="7" t="inlineStr">
        <is>
          <t>Third floor slab - additional top</t>
        </is>
      </c>
      <c r="D641" s="7" t="inlineStr">
        <is>
          <t>F07</t>
        </is>
      </c>
      <c r="E641" s="27" t="inlineStr">
        <is>
          <t>1254</t>
        </is>
      </c>
      <c r="F641" s="27" t="n">
        <v>12</v>
      </c>
      <c r="G641" s="27" t="n">
        <v>623</v>
      </c>
      <c r="H641" s="27" t="n">
        <v>4150</v>
      </c>
      <c r="I641" s="28">
        <f>G641*H641/1000*F641^2/162</f>
        <v>2298.177777777778</v>
      </c>
    </row>
    <row r="642">
      <c r="A642" s="7" t="inlineStr">
        <is>
          <t>STR-075</t>
        </is>
      </c>
      <c r="B642" s="7" t="inlineStr">
        <is>
          <t>Floor Slabs</t>
        </is>
      </c>
      <c r="C642" s="7" t="inlineStr">
        <is>
          <t>Third floor slab - additional top</t>
        </is>
      </c>
      <c r="D642" s="7" t="inlineStr">
        <is>
          <t>F07</t>
        </is>
      </c>
      <c r="E642" s="27" t="inlineStr">
        <is>
          <t>1255</t>
        </is>
      </c>
      <c r="F642" s="27" t="n">
        <v>12</v>
      </c>
      <c r="G642" s="27" t="n">
        <v>60</v>
      </c>
      <c r="H642" s="27" t="n">
        <v>11000</v>
      </c>
      <c r="I642" s="28">
        <f>G642*H642/1000*F642^2/162</f>
        <v>586.6666666666666</v>
      </c>
    </row>
    <row r="643">
      <c r="A643" s="7" t="inlineStr">
        <is>
          <t>STR-075</t>
        </is>
      </c>
      <c r="B643" s="7" t="inlineStr">
        <is>
          <t>Floor Slabs</t>
        </is>
      </c>
      <c r="C643" s="7" t="inlineStr">
        <is>
          <t>Third floor slab - additional top</t>
        </is>
      </c>
      <c r="D643" s="7" t="inlineStr">
        <is>
          <t>F07</t>
        </is>
      </c>
      <c r="E643" s="27" t="inlineStr">
        <is>
          <t>1256</t>
        </is>
      </c>
      <c r="F643" s="27" t="n">
        <v>12</v>
      </c>
      <c r="G643" s="27" t="n">
        <v>818</v>
      </c>
      <c r="H643" s="27" t="n">
        <v>3000</v>
      </c>
      <c r="I643" s="28">
        <f>G643*H643/1000*F643^2/162</f>
        <v>2181.3333333333335</v>
      </c>
    </row>
    <row r="644">
      <c r="A644" s="7" t="inlineStr">
        <is>
          <t>STR-075</t>
        </is>
      </c>
      <c r="B644" s="7" t="inlineStr">
        <is>
          <t>Floor Slabs</t>
        </is>
      </c>
      <c r="C644" s="7" t="inlineStr">
        <is>
          <t>Third floor slab - additional top</t>
        </is>
      </c>
      <c r="D644" s="7" t="inlineStr">
        <is>
          <t>F07</t>
        </is>
      </c>
      <c r="E644" s="27" t="inlineStr">
        <is>
          <t>1257</t>
        </is>
      </c>
      <c r="F644" s="27" t="n">
        <v>12</v>
      </c>
      <c r="G644" s="27" t="n">
        <v>110</v>
      </c>
      <c r="H644" s="27" t="n">
        <v>6000</v>
      </c>
      <c r="I644" s="28">
        <f>G644*H644/1000*F644^2/162</f>
        <v>586.6666666666666</v>
      </c>
    </row>
    <row r="645">
      <c r="A645" s="7" t="inlineStr">
        <is>
          <t>STR-075</t>
        </is>
      </c>
      <c r="B645" s="7" t="inlineStr">
        <is>
          <t>Floor Slabs</t>
        </is>
      </c>
      <c r="C645" s="7" t="inlineStr">
        <is>
          <t>Third floor slab - additional top</t>
        </is>
      </c>
      <c r="D645" s="7" t="inlineStr">
        <is>
          <t>F07</t>
        </is>
      </c>
      <c r="E645" s="27" t="inlineStr">
        <is>
          <t>1258</t>
        </is>
      </c>
      <c r="F645" s="27" t="n">
        <v>12</v>
      </c>
      <c r="G645" s="27" t="n">
        <v>90</v>
      </c>
      <c r="H645" s="27" t="n">
        <v>4900</v>
      </c>
      <c r="I645" s="28">
        <f>G645*H645/1000*F645^2/162</f>
        <v>392.0</v>
      </c>
    </row>
    <row r="646">
      <c r="A646" s="7" t="inlineStr">
        <is>
          <t>STR-075</t>
        </is>
      </c>
      <c r="B646" s="7" t="inlineStr">
        <is>
          <t>Floor Slabs</t>
        </is>
      </c>
      <c r="C646" s="7" t="inlineStr">
        <is>
          <t>Third floor slab - additional top</t>
        </is>
      </c>
      <c r="D646" s="7" t="inlineStr">
        <is>
          <t>F07</t>
        </is>
      </c>
      <c r="E646" s="27" t="inlineStr">
        <is>
          <t>1601</t>
        </is>
      </c>
      <c r="F646" s="27" t="n">
        <v>16</v>
      </c>
      <c r="G646" s="27" t="n">
        <v>6</v>
      </c>
      <c r="H646" s="27" t="n">
        <v>6675</v>
      </c>
      <c r="I646" s="28">
        <f>G646*H646/1000*F646^2/162</f>
        <v>63.288888888888884</v>
      </c>
    </row>
    <row r="647">
      <c r="A647" s="7" t="inlineStr">
        <is>
          <t>STR-075</t>
        </is>
      </c>
      <c r="B647" s="7" t="inlineStr">
        <is>
          <t>Floor Slabs</t>
        </is>
      </c>
      <c r="C647" s="7" t="inlineStr">
        <is>
          <t>Third floor slab - additional top</t>
        </is>
      </c>
      <c r="D647" s="7" t="inlineStr">
        <is>
          <t>F07</t>
        </is>
      </c>
      <c r="E647" s="27" t="inlineStr">
        <is>
          <t>1602</t>
        </is>
      </c>
      <c r="F647" s="27" t="n">
        <v>16</v>
      </c>
      <c r="G647" s="27" t="n">
        <v>6</v>
      </c>
      <c r="H647" s="27" t="n">
        <v>3675</v>
      </c>
      <c r="I647" s="28">
        <f>G647*H647/1000*F647^2/162</f>
        <v>34.84444444444445</v>
      </c>
    </row>
    <row r="648">
      <c r="A648" s="7" t="inlineStr">
        <is>
          <t>STR-075</t>
        </is>
      </c>
      <c r="B648" s="7" t="inlineStr">
        <is>
          <t>Floor Slabs</t>
        </is>
      </c>
      <c r="C648" s="7" t="inlineStr">
        <is>
          <t>Third floor slab - additional top</t>
        </is>
      </c>
      <c r="D648" s="7" t="inlineStr">
        <is>
          <t>F07</t>
        </is>
      </c>
      <c r="E648" s="27" t="inlineStr">
        <is>
          <t>1603</t>
        </is>
      </c>
      <c r="F648" s="27" t="n">
        <v>16</v>
      </c>
      <c r="G648" s="27" t="n">
        <v>3</v>
      </c>
      <c r="H648" s="27" t="n">
        <v>4025</v>
      </c>
      <c r="I648" s="28">
        <f>G648*H648/1000*F648^2/162</f>
        <v>19.08148148148148</v>
      </c>
    </row>
    <row r="649">
      <c r="A649" s="7" t="inlineStr">
        <is>
          <t>STR-075</t>
        </is>
      </c>
      <c r="B649" s="7" t="inlineStr">
        <is>
          <t>Floor Slabs</t>
        </is>
      </c>
      <c r="C649" s="7" t="inlineStr">
        <is>
          <t>Third floor slab - additional top</t>
        </is>
      </c>
      <c r="D649" s="7" t="inlineStr">
        <is>
          <t>F07</t>
        </is>
      </c>
      <c r="E649" s="27" t="inlineStr">
        <is>
          <t>1604</t>
        </is>
      </c>
      <c r="F649" s="27" t="n">
        <v>16</v>
      </c>
      <c r="G649" s="27" t="n">
        <v>6</v>
      </c>
      <c r="H649" s="27" t="n">
        <v>3000</v>
      </c>
      <c r="I649" s="28">
        <f>G649*H649/1000*F649^2/162</f>
        <v>28.444444444444443</v>
      </c>
    </row>
    <row r="650">
      <c r="A650" s="7" t="inlineStr">
        <is>
          <t>STR-078</t>
        </is>
      </c>
      <c r="B650" s="7" t="inlineStr">
        <is>
          <t>Beams</t>
        </is>
      </c>
      <c r="C650" s="7" t="inlineStr">
        <is>
          <t>Typical 4th-8th floor beams (sheet 1 of 2)</t>
        </is>
      </c>
      <c r="D650" s="7" t="inlineStr">
        <is>
          <t>F08, F09, F10, F11, F12</t>
        </is>
      </c>
      <c r="E650" s="27" t="inlineStr">
        <is>
          <t>1001</t>
        </is>
      </c>
      <c r="F650" s="27" t="n">
        <v>10</v>
      </c>
      <c r="G650" s="27" t="n">
        <v>876</v>
      </c>
      <c r="H650" s="27" t="n">
        <v>1700</v>
      </c>
      <c r="I650" s="28">
        <f>G650*H650/1000*F650^2/162</f>
        <v>919.2592592592592</v>
      </c>
    </row>
    <row r="651">
      <c r="A651" s="7" t="inlineStr">
        <is>
          <t>STR-078</t>
        </is>
      </c>
      <c r="B651" s="7" t="inlineStr">
        <is>
          <t>Beams</t>
        </is>
      </c>
      <c r="C651" s="7" t="inlineStr">
        <is>
          <t>Typical 4th-8th floor beams (sheet 1 of 2)</t>
        </is>
      </c>
      <c r="D651" s="7" t="inlineStr">
        <is>
          <t>F08, F09, F10, F11, F12</t>
        </is>
      </c>
      <c r="E651" s="27" t="inlineStr">
        <is>
          <t>1002</t>
        </is>
      </c>
      <c r="F651" s="27" t="n">
        <v>10</v>
      </c>
      <c r="G651" s="27" t="n">
        <v>270</v>
      </c>
      <c r="H651" s="27" t="n">
        <v>1500</v>
      </c>
      <c r="I651" s="28">
        <f>G651*H651/1000*F651^2/162</f>
        <v>250.0</v>
      </c>
    </row>
    <row r="652">
      <c r="A652" s="7" t="inlineStr">
        <is>
          <t>STR-078</t>
        </is>
      </c>
      <c r="B652" s="7" t="inlineStr">
        <is>
          <t>Beams</t>
        </is>
      </c>
      <c r="C652" s="7" t="inlineStr">
        <is>
          <t>Typical 4th-8th floor beams (sheet 1 of 2)</t>
        </is>
      </c>
      <c r="D652" s="7" t="inlineStr">
        <is>
          <t>F08, F09, F10, F11, F12</t>
        </is>
      </c>
      <c r="E652" s="27" t="inlineStr">
        <is>
          <t>1601</t>
        </is>
      </c>
      <c r="F652" s="27" t="n">
        <v>16</v>
      </c>
      <c r="G652" s="27" t="n">
        <v>12</v>
      </c>
      <c r="H652" s="27" t="n">
        <v>12000</v>
      </c>
      <c r="I652" s="28">
        <f>G652*H652/1000*F652^2/162</f>
        <v>227.55555555555554</v>
      </c>
    </row>
    <row r="653">
      <c r="A653" s="7" t="inlineStr">
        <is>
          <t>STR-078</t>
        </is>
      </c>
      <c r="B653" s="7" t="inlineStr">
        <is>
          <t>Beams</t>
        </is>
      </c>
      <c r="C653" s="7" t="inlineStr">
        <is>
          <t>Typical 4th-8th floor beams (sheet 1 of 2)</t>
        </is>
      </c>
      <c r="D653" s="7" t="inlineStr">
        <is>
          <t>F08, F09, F10, F11, F12</t>
        </is>
      </c>
      <c r="E653" s="27" t="inlineStr">
        <is>
          <t>1602</t>
        </is>
      </c>
      <c r="F653" s="27" t="n">
        <v>16</v>
      </c>
      <c r="G653" s="27" t="n">
        <v>2</v>
      </c>
      <c r="H653" s="27" t="n">
        <v>7275</v>
      </c>
      <c r="I653" s="28">
        <f>G653*H653/1000*F653^2/162</f>
        <v>22.992592592592594</v>
      </c>
    </row>
    <row r="654">
      <c r="A654" s="7" t="inlineStr">
        <is>
          <t>STR-078</t>
        </is>
      </c>
      <c r="B654" s="7" t="inlineStr">
        <is>
          <t>Beams</t>
        </is>
      </c>
      <c r="C654" s="7" t="inlineStr">
        <is>
          <t>Typical 4th-8th floor beams (sheet 1 of 2)</t>
        </is>
      </c>
      <c r="D654" s="7" t="inlineStr">
        <is>
          <t>F08, F09, F10, F11, F12</t>
        </is>
      </c>
      <c r="E654" s="27" t="inlineStr">
        <is>
          <t>1603</t>
        </is>
      </c>
      <c r="F654" s="27" t="n">
        <v>16</v>
      </c>
      <c r="G654" s="27" t="n">
        <v>4</v>
      </c>
      <c r="H654" s="27" t="n">
        <v>7850</v>
      </c>
      <c r="I654" s="28">
        <f>G654*H654/1000*F654^2/162</f>
        <v>49.61975308641975</v>
      </c>
    </row>
    <row r="655">
      <c r="A655" s="7" t="inlineStr">
        <is>
          <t>STR-078</t>
        </is>
      </c>
      <c r="B655" s="7" t="inlineStr">
        <is>
          <t>Beams</t>
        </is>
      </c>
      <c r="C655" s="7" t="inlineStr">
        <is>
          <t>Typical 4th-8th floor beams (sheet 1 of 2)</t>
        </is>
      </c>
      <c r="D655" s="7" t="inlineStr">
        <is>
          <t>F08, F09, F10, F11, F12</t>
        </is>
      </c>
      <c r="E655" s="27" t="inlineStr">
        <is>
          <t>1604</t>
        </is>
      </c>
      <c r="F655" s="27" t="n">
        <v>16</v>
      </c>
      <c r="G655" s="27" t="n">
        <v>4</v>
      </c>
      <c r="H655" s="27" t="n">
        <v>7400</v>
      </c>
      <c r="I655" s="28">
        <f>G655*H655/1000*F655^2/162</f>
        <v>46.77530864197531</v>
      </c>
    </row>
    <row r="656">
      <c r="A656" s="7" t="inlineStr">
        <is>
          <t>STR-078</t>
        </is>
      </c>
      <c r="B656" s="7" t="inlineStr">
        <is>
          <t>Beams</t>
        </is>
      </c>
      <c r="C656" s="7" t="inlineStr">
        <is>
          <t>Typical 4th-8th floor beams (sheet 1 of 2)</t>
        </is>
      </c>
      <c r="D656" s="7" t="inlineStr">
        <is>
          <t>F08, F09, F10, F11, F12</t>
        </is>
      </c>
      <c r="E656" s="27" t="inlineStr">
        <is>
          <t>1605</t>
        </is>
      </c>
      <c r="F656" s="27" t="n">
        <v>16</v>
      </c>
      <c r="G656" s="27" t="n">
        <v>3</v>
      </c>
      <c r="H656" s="27" t="n">
        <v>8900</v>
      </c>
      <c r="I656" s="28">
        <f>G656*H656/1000*F656^2/162</f>
        <v>42.19259259259259</v>
      </c>
    </row>
    <row r="657">
      <c r="A657" s="7" t="inlineStr">
        <is>
          <t>STR-078</t>
        </is>
      </c>
      <c r="B657" s="7" t="inlineStr">
        <is>
          <t>Beams</t>
        </is>
      </c>
      <c r="C657" s="7" t="inlineStr">
        <is>
          <t>Typical 4th-8th floor beams (sheet 1 of 2)</t>
        </is>
      </c>
      <c r="D657" s="7" t="inlineStr">
        <is>
          <t>F08, F09, F10, F11, F12</t>
        </is>
      </c>
      <c r="E657" s="27" t="inlineStr">
        <is>
          <t>1606</t>
        </is>
      </c>
      <c r="F657" s="27" t="n">
        <v>16</v>
      </c>
      <c r="G657" s="27" t="n">
        <v>3</v>
      </c>
      <c r="H657" s="27" t="n">
        <v>5600</v>
      </c>
      <c r="I657" s="28">
        <f>G657*H657/1000*F657^2/162</f>
        <v>26.54814814814815</v>
      </c>
    </row>
    <row r="658">
      <c r="A658" s="7" t="inlineStr">
        <is>
          <t>STR-078</t>
        </is>
      </c>
      <c r="B658" s="7" t="inlineStr">
        <is>
          <t>Beams</t>
        </is>
      </c>
      <c r="C658" s="7" t="inlineStr">
        <is>
          <t>Typical 4th-8th floor beams (sheet 1 of 2)</t>
        </is>
      </c>
      <c r="D658" s="7" t="inlineStr">
        <is>
          <t>F08, F09, F10, F11, F12</t>
        </is>
      </c>
      <c r="E658" s="27" t="inlineStr">
        <is>
          <t>1607</t>
        </is>
      </c>
      <c r="F658" s="27" t="n">
        <v>16</v>
      </c>
      <c r="G658" s="27" t="n">
        <v>3</v>
      </c>
      <c r="H658" s="27" t="n">
        <v>9300</v>
      </c>
      <c r="I658" s="28">
        <f>G658*H658/1000*F658^2/162</f>
        <v>44.08888888888889</v>
      </c>
    </row>
    <row r="659">
      <c r="A659" s="7" t="inlineStr">
        <is>
          <t>STR-078</t>
        </is>
      </c>
      <c r="B659" s="7" t="inlineStr">
        <is>
          <t>Beams</t>
        </is>
      </c>
      <c r="C659" s="7" t="inlineStr">
        <is>
          <t>Typical 4th-8th floor beams (sheet 1 of 2)</t>
        </is>
      </c>
      <c r="D659" s="7" t="inlineStr">
        <is>
          <t>F08, F09, F10, F11, F12</t>
        </is>
      </c>
      <c r="E659" s="27" t="inlineStr">
        <is>
          <t>1608</t>
        </is>
      </c>
      <c r="F659" s="27" t="n">
        <v>16</v>
      </c>
      <c r="G659" s="27" t="n">
        <v>4</v>
      </c>
      <c r="H659" s="27" t="n">
        <v>10300</v>
      </c>
      <c r="I659" s="28">
        <f>G659*H659/1000*F659^2/162</f>
        <v>65.10617283950617</v>
      </c>
    </row>
    <row r="660">
      <c r="A660" s="7" t="inlineStr">
        <is>
          <t>STR-078</t>
        </is>
      </c>
      <c r="B660" s="7" t="inlineStr">
        <is>
          <t>Beams</t>
        </is>
      </c>
      <c r="C660" s="7" t="inlineStr">
        <is>
          <t>Typical 4th-8th floor beams (sheet 1 of 2)</t>
        </is>
      </c>
      <c r="D660" s="7" t="inlineStr">
        <is>
          <t>F08, F09, F10, F11, F12</t>
        </is>
      </c>
      <c r="E660" s="27" t="inlineStr">
        <is>
          <t>1609</t>
        </is>
      </c>
      <c r="F660" s="27" t="n">
        <v>16</v>
      </c>
      <c r="G660" s="27" t="n">
        <v>2</v>
      </c>
      <c r="H660" s="27" t="n">
        <v>10850</v>
      </c>
      <c r="I660" s="28">
        <f>G660*H660/1000*F660^2/162</f>
        <v>34.291358024691355</v>
      </c>
    </row>
    <row r="661">
      <c r="A661" s="7" t="inlineStr">
        <is>
          <t>STR-078</t>
        </is>
      </c>
      <c r="B661" s="7" t="inlineStr">
        <is>
          <t>Beams</t>
        </is>
      </c>
      <c r="C661" s="7" t="inlineStr">
        <is>
          <t>Typical 4th-8th floor beams (sheet 1 of 2)</t>
        </is>
      </c>
      <c r="D661" s="7" t="inlineStr">
        <is>
          <t>F08, F09, F10, F11, F12</t>
        </is>
      </c>
      <c r="E661" s="27" t="inlineStr">
        <is>
          <t>1610</t>
        </is>
      </c>
      <c r="F661" s="27" t="n">
        <v>16</v>
      </c>
      <c r="G661" s="27" t="n">
        <v>2</v>
      </c>
      <c r="H661" s="27" t="n">
        <v>8000</v>
      </c>
      <c r="I661" s="28">
        <f>G661*H661/1000*F661^2/162</f>
        <v>25.28395061728395</v>
      </c>
    </row>
    <row r="662">
      <c r="A662" s="7" t="inlineStr">
        <is>
          <t>STR-078</t>
        </is>
      </c>
      <c r="B662" s="7" t="inlineStr">
        <is>
          <t>Beams</t>
        </is>
      </c>
      <c r="C662" s="7" t="inlineStr">
        <is>
          <t>Typical 4th-8th floor beams (sheet 1 of 2)</t>
        </is>
      </c>
      <c r="D662" s="7" t="inlineStr">
        <is>
          <t>F08, F09, F10, F11, F12</t>
        </is>
      </c>
      <c r="E662" s="27" t="inlineStr">
        <is>
          <t>1611</t>
        </is>
      </c>
      <c r="F662" s="27" t="n">
        <v>16</v>
      </c>
      <c r="G662" s="27" t="n">
        <v>2</v>
      </c>
      <c r="H662" s="27" t="n">
        <v>11675</v>
      </c>
      <c r="I662" s="28">
        <f>G662*H662/1000*F662^2/162</f>
        <v>36.89876543209877</v>
      </c>
    </row>
    <row r="663">
      <c r="A663" s="7" t="inlineStr">
        <is>
          <t>STR-078</t>
        </is>
      </c>
      <c r="B663" s="7" t="inlineStr">
        <is>
          <t>Beams</t>
        </is>
      </c>
      <c r="C663" s="7" t="inlineStr">
        <is>
          <t>Typical 4th-8th floor beams (sheet 1 of 2)</t>
        </is>
      </c>
      <c r="D663" s="7" t="inlineStr">
        <is>
          <t>F08, F09, F10, F11, F12</t>
        </is>
      </c>
      <c r="E663" s="27" t="inlineStr">
        <is>
          <t>1612</t>
        </is>
      </c>
      <c r="F663" s="27" t="n">
        <v>16</v>
      </c>
      <c r="G663" s="27" t="n">
        <v>2</v>
      </c>
      <c r="H663" s="27" t="n">
        <v>7525</v>
      </c>
      <c r="I663" s="28">
        <f>G663*H663/1000*F663^2/162</f>
        <v>23.782716049382717</v>
      </c>
    </row>
    <row r="664">
      <c r="A664" s="7" t="inlineStr">
        <is>
          <t>STR-078</t>
        </is>
      </c>
      <c r="B664" s="7" t="inlineStr">
        <is>
          <t>Beams</t>
        </is>
      </c>
      <c r="C664" s="7" t="inlineStr">
        <is>
          <t>Typical 4th-8th floor beams (sheet 1 of 2)</t>
        </is>
      </c>
      <c r="D664" s="7" t="inlineStr">
        <is>
          <t>F08, F09, F10, F11, F12</t>
        </is>
      </c>
      <c r="E664" s="27" t="inlineStr">
        <is>
          <t>2001</t>
        </is>
      </c>
      <c r="F664" s="27" t="n">
        <v>20</v>
      </c>
      <c r="G664" s="27" t="n">
        <v>3</v>
      </c>
      <c r="H664" s="27" t="n">
        <v>11100</v>
      </c>
      <c r="I664" s="28">
        <f>G664*H664/1000*F664^2/162</f>
        <v>82.22222222222221</v>
      </c>
    </row>
    <row r="665">
      <c r="A665" s="7" t="inlineStr">
        <is>
          <t>STR-078</t>
        </is>
      </c>
      <c r="B665" s="7" t="inlineStr">
        <is>
          <t>Beams</t>
        </is>
      </c>
      <c r="C665" s="7" t="inlineStr">
        <is>
          <t>Typical 4th-8th floor beams (sheet 1 of 2)</t>
        </is>
      </c>
      <c r="D665" s="7" t="inlineStr">
        <is>
          <t>F08, F09, F10, F11, F12</t>
        </is>
      </c>
      <c r="E665" s="27" t="inlineStr">
        <is>
          <t>2002</t>
        </is>
      </c>
      <c r="F665" s="27" t="n">
        <v>20</v>
      </c>
      <c r="G665" s="27" t="n">
        <v>3</v>
      </c>
      <c r="H665" s="27" t="n">
        <v>9300</v>
      </c>
      <c r="I665" s="28">
        <f>G665*H665/1000*F665^2/162</f>
        <v>68.88888888888889</v>
      </c>
    </row>
    <row r="666">
      <c r="A666" s="7" t="inlineStr">
        <is>
          <t>STR-078</t>
        </is>
      </c>
      <c r="B666" s="7" t="inlineStr">
        <is>
          <t>Beams</t>
        </is>
      </c>
      <c r="C666" s="7" t="inlineStr">
        <is>
          <t>Typical 4th-8th floor beams (sheet 1 of 2)</t>
        </is>
      </c>
      <c r="D666" s="7" t="inlineStr">
        <is>
          <t>F08, F09, F10, F11, F12</t>
        </is>
      </c>
      <c r="E666" s="27" t="inlineStr">
        <is>
          <t>2003</t>
        </is>
      </c>
      <c r="F666" s="27" t="n">
        <v>20</v>
      </c>
      <c r="G666" s="27" t="n">
        <v>3</v>
      </c>
      <c r="H666" s="27" t="n">
        <v>12000</v>
      </c>
      <c r="I666" s="28">
        <f>G666*H666/1000*F666^2/162</f>
        <v>88.88888888888889</v>
      </c>
    </row>
    <row r="667">
      <c r="A667" s="7" t="inlineStr">
        <is>
          <t>STR-078</t>
        </is>
      </c>
      <c r="B667" s="7" t="inlineStr">
        <is>
          <t>Beams</t>
        </is>
      </c>
      <c r="C667" s="7" t="inlineStr">
        <is>
          <t>Typical 4th-8th floor beams (sheet 1 of 2)</t>
        </is>
      </c>
      <c r="D667" s="7" t="inlineStr">
        <is>
          <t>F08, F09, F10, F11, F12</t>
        </is>
      </c>
      <c r="E667" s="27" t="inlineStr">
        <is>
          <t>2004</t>
        </is>
      </c>
      <c r="F667" s="27" t="n">
        <v>20</v>
      </c>
      <c r="G667" s="27" t="n">
        <v>3</v>
      </c>
      <c r="H667" s="27" t="n">
        <v>7000</v>
      </c>
      <c r="I667" s="28">
        <f>G667*H667/1000*F667^2/162</f>
        <v>51.851851851851855</v>
      </c>
    </row>
    <row r="668">
      <c r="A668" s="7" t="inlineStr">
        <is>
          <t>STR-078</t>
        </is>
      </c>
      <c r="B668" s="7" t="inlineStr">
        <is>
          <t>Beams</t>
        </is>
      </c>
      <c r="C668" s="7" t="inlineStr">
        <is>
          <t>Typical 4th-8th floor beams (sheet 1 of 2)</t>
        </is>
      </c>
      <c r="D668" s="7" t="inlineStr">
        <is>
          <t>F08, F09, F10, F11, F12</t>
        </is>
      </c>
      <c r="E668" s="27" t="inlineStr">
        <is>
          <t>2005</t>
        </is>
      </c>
      <c r="F668" s="27" t="n">
        <v>20</v>
      </c>
      <c r="G668" s="27" t="n">
        <v>6</v>
      </c>
      <c r="H668" s="27" t="n">
        <v>9300</v>
      </c>
      <c r="I668" s="28">
        <f>G668*H668/1000*F668^2/162</f>
        <v>137.77777777777777</v>
      </c>
    </row>
    <row r="669">
      <c r="A669" s="7" t="inlineStr">
        <is>
          <t>STR-078</t>
        </is>
      </c>
      <c r="B669" s="7" t="inlineStr">
        <is>
          <t>Beams</t>
        </is>
      </c>
      <c r="C669" s="7" t="inlineStr">
        <is>
          <t>Typical 4th-8th floor beams (sheet 1 of 2)</t>
        </is>
      </c>
      <c r="D669" s="7" t="inlineStr">
        <is>
          <t>F08, F09, F10, F11, F12</t>
        </is>
      </c>
      <c r="E669" s="27" t="inlineStr">
        <is>
          <t>2006</t>
        </is>
      </c>
      <c r="F669" s="27" t="n">
        <v>20</v>
      </c>
      <c r="G669" s="27" t="n">
        <v>3</v>
      </c>
      <c r="H669" s="27" t="n">
        <v>9000</v>
      </c>
      <c r="I669" s="28">
        <f>G669*H669/1000*F669^2/162</f>
        <v>66.66666666666667</v>
      </c>
    </row>
    <row r="670">
      <c r="A670" s="7" t="inlineStr">
        <is>
          <t>STR-078</t>
        </is>
      </c>
      <c r="B670" s="7" t="inlineStr">
        <is>
          <t>Beams</t>
        </is>
      </c>
      <c r="C670" s="7" t="inlineStr">
        <is>
          <t>Typical 4th-8th floor beams (sheet 1 of 2)</t>
        </is>
      </c>
      <c r="D670" s="7" t="inlineStr">
        <is>
          <t>F08, F09, F10, F11, F12</t>
        </is>
      </c>
      <c r="E670" s="27" t="inlineStr">
        <is>
          <t>2007</t>
        </is>
      </c>
      <c r="F670" s="27" t="n">
        <v>20</v>
      </c>
      <c r="G670" s="27" t="n">
        <v>5</v>
      </c>
      <c r="H670" s="27" t="n">
        <v>11750</v>
      </c>
      <c r="I670" s="28">
        <f>G670*H670/1000*F670^2/162</f>
        <v>145.06172839506172</v>
      </c>
    </row>
    <row r="671">
      <c r="A671" s="7" t="inlineStr">
        <is>
          <t>STR-078</t>
        </is>
      </c>
      <c r="B671" s="7" t="inlineStr">
        <is>
          <t>Beams</t>
        </is>
      </c>
      <c r="C671" s="7" t="inlineStr">
        <is>
          <t>Typical 4th-8th floor beams (sheet 1 of 2)</t>
        </is>
      </c>
      <c r="D671" s="7" t="inlineStr">
        <is>
          <t>F08, F09, F10, F11, F12</t>
        </is>
      </c>
      <c r="E671" s="27" t="inlineStr">
        <is>
          <t>2008</t>
        </is>
      </c>
      <c r="F671" s="27" t="n">
        <v>20</v>
      </c>
      <c r="G671" s="27" t="n">
        <v>5</v>
      </c>
      <c r="H671" s="27" t="n">
        <v>7300</v>
      </c>
      <c r="I671" s="28">
        <f>G671*H671/1000*F671^2/162</f>
        <v>90.12345679012346</v>
      </c>
    </row>
    <row r="672">
      <c r="A672" s="7" t="inlineStr">
        <is>
          <t>STR-078</t>
        </is>
      </c>
      <c r="B672" s="7" t="inlineStr">
        <is>
          <t>Beams</t>
        </is>
      </c>
      <c r="C672" s="7" t="inlineStr">
        <is>
          <t>Typical 4th-8th floor beams (sheet 1 of 2)</t>
        </is>
      </c>
      <c r="D672" s="7" t="inlineStr">
        <is>
          <t>F08, F09, F10, F11, F12</t>
        </is>
      </c>
      <c r="E672" s="27" t="inlineStr">
        <is>
          <t>2009</t>
        </is>
      </c>
      <c r="F672" s="27" t="n">
        <v>20</v>
      </c>
      <c r="G672" s="27" t="n">
        <v>10</v>
      </c>
      <c r="H672" s="27" t="n">
        <v>9600</v>
      </c>
      <c r="I672" s="28">
        <f>G672*H672/1000*F672^2/162</f>
        <v>237.03703703703704</v>
      </c>
    </row>
    <row r="673">
      <c r="A673" s="7" t="inlineStr">
        <is>
          <t>STR-078</t>
        </is>
      </c>
      <c r="B673" s="7" t="inlineStr">
        <is>
          <t>Beams</t>
        </is>
      </c>
      <c r="C673" s="7" t="inlineStr">
        <is>
          <t>Typical 4th-8th floor beams (sheet 1 of 2)</t>
        </is>
      </c>
      <c r="D673" s="7" t="inlineStr">
        <is>
          <t>F08, F09, F10, F11, F12</t>
        </is>
      </c>
      <c r="E673" s="27" t="inlineStr">
        <is>
          <t>2010</t>
        </is>
      </c>
      <c r="F673" s="27" t="n">
        <v>20</v>
      </c>
      <c r="G673" s="27" t="n">
        <v>5</v>
      </c>
      <c r="H673" s="27" t="n">
        <v>11900</v>
      </c>
      <c r="I673" s="28">
        <f>G673*H673/1000*F673^2/162</f>
        <v>146.91358024691357</v>
      </c>
    </row>
    <row r="674">
      <c r="A674" s="7" t="inlineStr">
        <is>
          <t>STR-078</t>
        </is>
      </c>
      <c r="B674" s="7" t="inlineStr">
        <is>
          <t>Beams</t>
        </is>
      </c>
      <c r="C674" s="7" t="inlineStr">
        <is>
          <t>Typical 4th-8th floor beams (sheet 1 of 2)</t>
        </is>
      </c>
      <c r="D674" s="7" t="inlineStr">
        <is>
          <t>F08, F09, F10, F11, F12</t>
        </is>
      </c>
      <c r="E674" s="27" t="inlineStr">
        <is>
          <t>2011</t>
        </is>
      </c>
      <c r="F674" s="27" t="n">
        <v>20</v>
      </c>
      <c r="G674" s="27" t="n">
        <v>4</v>
      </c>
      <c r="H674" s="27" t="n">
        <v>11800</v>
      </c>
      <c r="I674" s="28">
        <f>G674*H674/1000*F674^2/162</f>
        <v>116.54320987654322</v>
      </c>
    </row>
    <row r="675">
      <c r="A675" s="7" t="inlineStr">
        <is>
          <t>STR-078</t>
        </is>
      </c>
      <c r="B675" s="7" t="inlineStr">
        <is>
          <t>Beams</t>
        </is>
      </c>
      <c r="C675" s="7" t="inlineStr">
        <is>
          <t>Typical 4th-8th floor beams (sheet 1 of 2)</t>
        </is>
      </c>
      <c r="D675" s="7" t="inlineStr">
        <is>
          <t>F08, F09, F10, F11, F12</t>
        </is>
      </c>
      <c r="E675" s="27" t="inlineStr">
        <is>
          <t>2012</t>
        </is>
      </c>
      <c r="F675" s="27" t="n">
        <v>20</v>
      </c>
      <c r="G675" s="27" t="n">
        <v>4</v>
      </c>
      <c r="H675" s="27" t="n">
        <v>7300</v>
      </c>
      <c r="I675" s="28">
        <f>G675*H675/1000*F675^2/162</f>
        <v>72.09876543209876</v>
      </c>
    </row>
    <row r="676">
      <c r="A676" s="7" t="inlineStr">
        <is>
          <t>STR-078</t>
        </is>
      </c>
      <c r="B676" s="7" t="inlineStr">
        <is>
          <t>Beams</t>
        </is>
      </c>
      <c r="C676" s="7" t="inlineStr">
        <is>
          <t>Typical 4th-8th floor beams (sheet 1 of 2)</t>
        </is>
      </c>
      <c r="D676" s="7" t="inlineStr">
        <is>
          <t>F08, F09, F10, F11, F12</t>
        </is>
      </c>
      <c r="E676" s="27" t="inlineStr">
        <is>
          <t>2013</t>
        </is>
      </c>
      <c r="F676" s="27" t="n">
        <v>20</v>
      </c>
      <c r="G676" s="27" t="n">
        <v>8</v>
      </c>
      <c r="H676" s="27" t="n">
        <v>9500</v>
      </c>
      <c r="I676" s="28">
        <f>G676*H676/1000*F676^2/162</f>
        <v>187.65432098765433</v>
      </c>
    </row>
    <row r="677">
      <c r="A677" s="7" t="inlineStr">
        <is>
          <t>STR-078</t>
        </is>
      </c>
      <c r="B677" s="7" t="inlineStr">
        <is>
          <t>Beams</t>
        </is>
      </c>
      <c r="C677" s="7" t="inlineStr">
        <is>
          <t>Typical 4th-8th floor beams (sheet 1 of 2)</t>
        </is>
      </c>
      <c r="D677" s="7" t="inlineStr">
        <is>
          <t>F08, F09, F10, F11, F12</t>
        </is>
      </c>
      <c r="E677" s="27" t="inlineStr">
        <is>
          <t>2014</t>
        </is>
      </c>
      <c r="F677" s="27" t="n">
        <v>20</v>
      </c>
      <c r="G677" s="27" t="n">
        <v>4</v>
      </c>
      <c r="H677" s="27" t="n">
        <v>12000</v>
      </c>
      <c r="I677" s="28">
        <f>G677*H677/1000*F677^2/162</f>
        <v>118.51851851851852</v>
      </c>
    </row>
    <row r="678">
      <c r="A678" s="7" t="inlineStr">
        <is>
          <t>STR-078</t>
        </is>
      </c>
      <c r="B678" s="7" t="inlineStr">
        <is>
          <t>Beams</t>
        </is>
      </c>
      <c r="C678" s="7" t="inlineStr">
        <is>
          <t>Typical 4th-8th floor beams (sheet 1 of 2)</t>
        </is>
      </c>
      <c r="D678" s="7" t="inlineStr">
        <is>
          <t>F08, F09, F10, F11, F12</t>
        </is>
      </c>
      <c r="E678" s="27" t="inlineStr">
        <is>
          <t>2015</t>
        </is>
      </c>
      <c r="F678" s="27" t="n">
        <v>20</v>
      </c>
      <c r="G678" s="27" t="n">
        <v>3</v>
      </c>
      <c r="H678" s="27" t="n">
        <v>6400</v>
      </c>
      <c r="I678" s="28">
        <f>G678*H678/1000*F678^2/162</f>
        <v>47.407407407407405</v>
      </c>
    </row>
    <row r="679">
      <c r="A679" s="7" t="inlineStr">
        <is>
          <t>STR-078</t>
        </is>
      </c>
      <c r="B679" s="7" t="inlineStr">
        <is>
          <t>Beams</t>
        </is>
      </c>
      <c r="C679" s="7" t="inlineStr">
        <is>
          <t>Typical 4th-8th floor beams (sheet 1 of 2)</t>
        </is>
      </c>
      <c r="D679" s="7" t="inlineStr">
        <is>
          <t>F08, F09, F10, F11, F12</t>
        </is>
      </c>
      <c r="E679" s="27" t="inlineStr">
        <is>
          <t>2016</t>
        </is>
      </c>
      <c r="F679" s="27" t="n">
        <v>20</v>
      </c>
      <c r="G679" s="27" t="n">
        <v>6</v>
      </c>
      <c r="H679" s="27" t="n">
        <v>11550</v>
      </c>
      <c r="I679" s="28">
        <f>G679*H679/1000*F679^2/162</f>
        <v>171.11111111111111</v>
      </c>
    </row>
    <row r="680">
      <c r="A680" s="7" t="inlineStr">
        <is>
          <t>STR-078</t>
        </is>
      </c>
      <c r="B680" s="7" t="inlineStr">
        <is>
          <t>Beams</t>
        </is>
      </c>
      <c r="C680" s="7" t="inlineStr">
        <is>
          <t>Typical 4th-8th floor beams (sheet 1 of 2)</t>
        </is>
      </c>
      <c r="D680" s="7" t="inlineStr">
        <is>
          <t>F08, F09, F10, F11, F12</t>
        </is>
      </c>
      <c r="E680" s="27" t="inlineStr">
        <is>
          <t>2017</t>
        </is>
      </c>
      <c r="F680" s="27" t="n">
        <v>20</v>
      </c>
      <c r="G680" s="27" t="n">
        <v>6</v>
      </c>
      <c r="H680" s="27" t="n">
        <v>6050</v>
      </c>
      <c r="I680" s="28">
        <f>G680*H680/1000*F680^2/162</f>
        <v>89.62962962962962</v>
      </c>
    </row>
    <row r="681">
      <c r="A681" s="7" t="inlineStr">
        <is>
          <t>STR-078</t>
        </is>
      </c>
      <c r="B681" s="7" t="inlineStr">
        <is>
          <t>Beams</t>
        </is>
      </c>
      <c r="C681" s="7" t="inlineStr">
        <is>
          <t>Typical 4th-8th floor beams (sheet 1 of 2)</t>
        </is>
      </c>
      <c r="D681" s="7" t="inlineStr">
        <is>
          <t>F08, F09, F10, F11, F12</t>
        </is>
      </c>
      <c r="E681" s="27" t="inlineStr">
        <is>
          <t>2018</t>
        </is>
      </c>
      <c r="F681" s="27" t="n">
        <v>20</v>
      </c>
      <c r="G681" s="27" t="n">
        <v>3</v>
      </c>
      <c r="H681" s="27" t="n">
        <v>6300</v>
      </c>
      <c r="I681" s="28">
        <f>G681*H681/1000*F681^2/162</f>
        <v>46.666666666666664</v>
      </c>
    </row>
    <row r="682">
      <c r="A682" s="7" t="inlineStr">
        <is>
          <t>STR-078</t>
        </is>
      </c>
      <c r="B682" s="7" t="inlineStr">
        <is>
          <t>Beams</t>
        </is>
      </c>
      <c r="C682" s="7" t="inlineStr">
        <is>
          <t>Typical 4th-8th floor beams (sheet 1 of 2)</t>
        </is>
      </c>
      <c r="D682" s="7" t="inlineStr">
        <is>
          <t>F08, F09, F10, F11, F12</t>
        </is>
      </c>
      <c r="E682" s="27" t="inlineStr">
        <is>
          <t>2019</t>
        </is>
      </c>
      <c r="F682" s="27" t="n">
        <v>20</v>
      </c>
      <c r="G682" s="27" t="n">
        <v>3</v>
      </c>
      <c r="H682" s="27" t="n">
        <v>5950</v>
      </c>
      <c r="I682" s="28">
        <f>G682*H682/1000*F682^2/162</f>
        <v>44.074074074074076</v>
      </c>
    </row>
    <row r="683">
      <c r="A683" s="7" t="inlineStr">
        <is>
          <t>STR-078</t>
        </is>
      </c>
      <c r="B683" s="7" t="inlineStr">
        <is>
          <t>Beams</t>
        </is>
      </c>
      <c r="C683" s="7" t="inlineStr">
        <is>
          <t>Typical 4th-8th floor beams (sheet 1 of 2)</t>
        </is>
      </c>
      <c r="D683" s="7" t="inlineStr">
        <is>
          <t>F08, F09, F10, F11, F12</t>
        </is>
      </c>
      <c r="E683" s="27" t="inlineStr">
        <is>
          <t>2501</t>
        </is>
      </c>
      <c r="F683" s="27" t="n">
        <v>25</v>
      </c>
      <c r="G683" s="27" t="n">
        <v>3</v>
      </c>
      <c r="H683" s="27" t="n">
        <v>11200</v>
      </c>
      <c r="I683" s="28">
        <f>G683*H683/1000*F683^2/162</f>
        <v>129.62962962962962</v>
      </c>
    </row>
    <row r="684">
      <c r="A684" s="7" t="inlineStr">
        <is>
          <t>STR-078</t>
        </is>
      </c>
      <c r="B684" s="7" t="inlineStr">
        <is>
          <t>Beams</t>
        </is>
      </c>
      <c r="C684" s="7" t="inlineStr">
        <is>
          <t>Typical 4th-8th floor beams (sheet 1 of 2)</t>
        </is>
      </c>
      <c r="D684" s="7" t="inlineStr">
        <is>
          <t>F08, F09, F10, F11, F12</t>
        </is>
      </c>
      <c r="E684" s="27" t="inlineStr">
        <is>
          <t>2502</t>
        </is>
      </c>
      <c r="F684" s="27" t="n">
        <v>25</v>
      </c>
      <c r="G684" s="27" t="n">
        <v>3</v>
      </c>
      <c r="H684" s="27" t="n">
        <v>9400</v>
      </c>
      <c r="I684" s="28">
        <f>G684*H684/1000*F684^2/162</f>
        <v>108.79629629629629</v>
      </c>
    </row>
    <row r="685">
      <c r="A685" s="7" t="inlineStr">
        <is>
          <t>STR-078</t>
        </is>
      </c>
      <c r="B685" s="7" t="inlineStr">
        <is>
          <t>Beams</t>
        </is>
      </c>
      <c r="C685" s="7" t="inlineStr">
        <is>
          <t>Typical 4th-8th floor beams (sheet 1 of 2)</t>
        </is>
      </c>
      <c r="D685" s="7" t="inlineStr">
        <is>
          <t>F08, F09, F10, F11, F12</t>
        </is>
      </c>
      <c r="E685" s="27" t="inlineStr">
        <is>
          <t>2503</t>
        </is>
      </c>
      <c r="F685" s="27" t="n">
        <v>25</v>
      </c>
      <c r="G685" s="27" t="n">
        <v>3</v>
      </c>
      <c r="H685" s="27" t="n">
        <v>12000</v>
      </c>
      <c r="I685" s="28">
        <f>G685*H685/1000*F685^2/162</f>
        <v>138.88888888888889</v>
      </c>
    </row>
    <row r="686">
      <c r="A686" s="7" t="inlineStr">
        <is>
          <t>STR-078</t>
        </is>
      </c>
      <c r="B686" s="7" t="inlineStr">
        <is>
          <t>Beams</t>
        </is>
      </c>
      <c r="C686" s="7" t="inlineStr">
        <is>
          <t>Typical 4th-8th floor beams (sheet 1 of 2)</t>
        </is>
      </c>
      <c r="D686" s="7" t="inlineStr">
        <is>
          <t>F08, F09, F10, F11, F12</t>
        </is>
      </c>
      <c r="E686" s="27" t="inlineStr">
        <is>
          <t>2504</t>
        </is>
      </c>
      <c r="F686" s="27" t="n">
        <v>25</v>
      </c>
      <c r="G686" s="27" t="n">
        <v>3</v>
      </c>
      <c r="H686" s="27" t="n">
        <v>7100</v>
      </c>
      <c r="I686" s="28">
        <f>G686*H686/1000*F686^2/162</f>
        <v>82.17592592592592</v>
      </c>
    </row>
    <row r="687">
      <c r="A687" s="7" t="inlineStr">
        <is>
          <t>STR-078</t>
        </is>
      </c>
      <c r="B687" s="7" t="inlineStr">
        <is>
          <t>Beams</t>
        </is>
      </c>
      <c r="C687" s="7" t="inlineStr">
        <is>
          <t>Typical 4th-8th floor beams (sheet 1 of 2)</t>
        </is>
      </c>
      <c r="D687" s="7" t="inlineStr">
        <is>
          <t>F08, F09, F10, F11, F12</t>
        </is>
      </c>
      <c r="E687" s="27" t="inlineStr">
        <is>
          <t>2505</t>
        </is>
      </c>
      <c r="F687" s="27" t="n">
        <v>25</v>
      </c>
      <c r="G687" s="27" t="n">
        <v>6</v>
      </c>
      <c r="H687" s="27" t="n">
        <v>9300</v>
      </c>
      <c r="I687" s="28">
        <f>G687*H687/1000*F687^2/162</f>
        <v>215.27777777777777</v>
      </c>
    </row>
    <row r="688">
      <c r="A688" s="7" t="inlineStr">
        <is>
          <t>STR-078</t>
        </is>
      </c>
      <c r="B688" s="7" t="inlineStr">
        <is>
          <t>Beams</t>
        </is>
      </c>
      <c r="C688" s="7" t="inlineStr">
        <is>
          <t>Typical 4th-8th floor beams (sheet 1 of 2)</t>
        </is>
      </c>
      <c r="D688" s="7" t="inlineStr">
        <is>
          <t>F08, F09, F10, F11, F12</t>
        </is>
      </c>
      <c r="E688" s="27" t="inlineStr">
        <is>
          <t>2506</t>
        </is>
      </c>
      <c r="F688" s="27" t="n">
        <v>25</v>
      </c>
      <c r="G688" s="27" t="n">
        <v>3</v>
      </c>
      <c r="H688" s="27" t="n">
        <v>9100</v>
      </c>
      <c r="I688" s="28">
        <f>G688*H688/1000*F688^2/162</f>
        <v>105.32407407407408</v>
      </c>
    </row>
    <row r="689">
      <c r="A689" s="7" t="inlineStr">
        <is>
          <t>STR-078</t>
        </is>
      </c>
      <c r="B689" s="7" t="inlineStr">
        <is>
          <t>Beams</t>
        </is>
      </c>
      <c r="C689" s="7" t="inlineStr">
        <is>
          <t>Typical 4th-8th floor beams (sheet 1 of 2)</t>
        </is>
      </c>
      <c r="D689" s="7" t="inlineStr">
        <is>
          <t>F08, F09, F10, F11, F12</t>
        </is>
      </c>
      <c r="E689" s="27" t="inlineStr">
        <is>
          <t>2507</t>
        </is>
      </c>
      <c r="F689" s="27" t="n">
        <v>25</v>
      </c>
      <c r="G689" s="27" t="n">
        <v>3</v>
      </c>
      <c r="H689" s="27" t="n">
        <v>5850</v>
      </c>
      <c r="I689" s="28">
        <f>G689*H689/1000*F689^2/162</f>
        <v>67.70833333333333</v>
      </c>
    </row>
    <row r="690">
      <c r="A690" s="7" t="inlineStr">
        <is>
          <t>STR-078</t>
        </is>
      </c>
      <c r="B690" s="7" t="inlineStr">
        <is>
          <t>Beams</t>
        </is>
      </c>
      <c r="C690" s="7" t="inlineStr">
        <is>
          <t>Typical 4th-8th floor beams (sheet 1 of 2)</t>
        </is>
      </c>
      <c r="D690" s="7" t="inlineStr">
        <is>
          <t>F08, F09, F10, F11, F12</t>
        </is>
      </c>
      <c r="E690" s="27" t="inlineStr">
        <is>
          <t>2508</t>
        </is>
      </c>
      <c r="F690" s="27" t="n">
        <v>25</v>
      </c>
      <c r="G690" s="27" t="n">
        <v>3</v>
      </c>
      <c r="H690" s="27" t="n">
        <v>8000</v>
      </c>
      <c r="I690" s="28">
        <f>G690*H690/1000*F690^2/162</f>
        <v>92.5925925925926</v>
      </c>
    </row>
    <row r="691">
      <c r="A691" s="7" t="inlineStr">
        <is>
          <t>STR-078</t>
        </is>
      </c>
      <c r="B691" s="7" t="inlineStr">
        <is>
          <t>Beams</t>
        </is>
      </c>
      <c r="C691" s="7" t="inlineStr">
        <is>
          <t>Typical 4th-8th floor beams (sheet 1 of 2)</t>
        </is>
      </c>
      <c r="D691" s="7" t="inlineStr">
        <is>
          <t>F08, F09, F10, F11, F12</t>
        </is>
      </c>
      <c r="E691" s="27" t="inlineStr">
        <is>
          <t>2509</t>
        </is>
      </c>
      <c r="F691" s="27" t="n">
        <v>25</v>
      </c>
      <c r="G691" s="27" t="n">
        <v>3</v>
      </c>
      <c r="H691" s="27" t="n">
        <v>8700</v>
      </c>
      <c r="I691" s="28">
        <f>G691*H691/1000*F691^2/162</f>
        <v>100.69444444444444</v>
      </c>
    </row>
    <row r="692">
      <c r="A692" s="7" t="inlineStr">
        <is>
          <t>STR-078</t>
        </is>
      </c>
      <c r="B692" s="7" t="inlineStr">
        <is>
          <t>Beams</t>
        </is>
      </c>
      <c r="C692" s="7" t="inlineStr">
        <is>
          <t>Typical 4th-8th floor beams (sheet 1 of 2)</t>
        </is>
      </c>
      <c r="D692" s="7" t="inlineStr">
        <is>
          <t>F08, F09, F10, F11, F12</t>
        </is>
      </c>
      <c r="E692" s="27" t="inlineStr">
        <is>
          <t>2510</t>
        </is>
      </c>
      <c r="F692" s="27" t="n">
        <v>25</v>
      </c>
      <c r="G692" s="27" t="n">
        <v>3</v>
      </c>
      <c r="H692" s="27" t="n">
        <v>5900</v>
      </c>
      <c r="I692" s="28">
        <f>G692*H692/1000*F692^2/162</f>
        <v>68.28703703703704</v>
      </c>
    </row>
    <row r="693">
      <c r="A693" s="7" t="inlineStr">
        <is>
          <t>STR-078</t>
        </is>
      </c>
      <c r="B693" s="7" t="inlineStr">
        <is>
          <t>Beams</t>
        </is>
      </c>
      <c r="C693" s="7" t="inlineStr">
        <is>
          <t>Typical 4th-8th floor beams (sheet 1 of 2)</t>
        </is>
      </c>
      <c r="D693" s="7" t="inlineStr">
        <is>
          <t>F08, F09, F10, F11, F12</t>
        </is>
      </c>
      <c r="E693" s="27" t="inlineStr">
        <is>
          <t>2511</t>
        </is>
      </c>
      <c r="F693" s="27" t="n">
        <v>25</v>
      </c>
      <c r="G693" s="27" t="n">
        <v>3</v>
      </c>
      <c r="H693" s="27" t="n">
        <v>5600</v>
      </c>
      <c r="I693" s="28">
        <f>G693*H693/1000*F693^2/162</f>
        <v>64.81481481481481</v>
      </c>
    </row>
    <row r="694">
      <c r="A694" s="7" t="inlineStr">
        <is>
          <t>STR-078</t>
        </is>
      </c>
      <c r="B694" s="7" t="inlineStr">
        <is>
          <t>Beams</t>
        </is>
      </c>
      <c r="C694" s="7" t="inlineStr">
        <is>
          <t>Typical 4th-8th floor beams (sheet 1 of 2)</t>
        </is>
      </c>
      <c r="D694" s="7" t="inlineStr">
        <is>
          <t>F08, F09, F10, F11, F12</t>
        </is>
      </c>
      <c r="E694" s="27" t="inlineStr">
        <is>
          <t>2512</t>
        </is>
      </c>
      <c r="F694" s="27" t="n">
        <v>25</v>
      </c>
      <c r="G694" s="27" t="n">
        <v>3</v>
      </c>
      <c r="H694" s="27" t="n">
        <v>11550</v>
      </c>
      <c r="I694" s="28">
        <f>G694*H694/1000*F694^2/162</f>
        <v>133.68055555555554</v>
      </c>
    </row>
    <row r="695">
      <c r="A695" s="7" t="inlineStr">
        <is>
          <t>STR-078</t>
        </is>
      </c>
      <c r="B695" s="7" t="inlineStr">
        <is>
          <t>Beams</t>
        </is>
      </c>
      <c r="C695" s="7" t="inlineStr">
        <is>
          <t>Typical 4th-8th floor beams (sheet 1 of 2)</t>
        </is>
      </c>
      <c r="D695" s="7" t="inlineStr">
        <is>
          <t>F08, F09, F10, F11, F12</t>
        </is>
      </c>
      <c r="E695" s="27" t="inlineStr">
        <is>
          <t>2513</t>
        </is>
      </c>
      <c r="F695" s="27" t="n">
        <v>25</v>
      </c>
      <c r="G695" s="27" t="n">
        <v>3</v>
      </c>
      <c r="H695" s="27" t="n">
        <v>6050</v>
      </c>
      <c r="I695" s="28">
        <f>G695*H695/1000*F695^2/162</f>
        <v>70.02314814814815</v>
      </c>
    </row>
    <row r="696">
      <c r="A696" s="7" t="inlineStr">
        <is>
          <t>STR-078</t>
        </is>
      </c>
      <c r="B696" s="7" t="inlineStr">
        <is>
          <t>Beams</t>
        </is>
      </c>
      <c r="C696" s="7" t="inlineStr">
        <is>
          <t>Typical 4th-8th floor beams (sheet 1 of 2)</t>
        </is>
      </c>
      <c r="D696" s="7" t="inlineStr">
        <is>
          <t>F08, F09, F10, F11, F12</t>
        </is>
      </c>
      <c r="E696" s="27" t="inlineStr">
        <is>
          <t>2514</t>
        </is>
      </c>
      <c r="F696" s="27" t="n">
        <v>25</v>
      </c>
      <c r="G696" s="27" t="n">
        <v>3</v>
      </c>
      <c r="H696" s="27" t="n">
        <v>9000</v>
      </c>
      <c r="I696" s="28">
        <f>G696*H696/1000*F696^2/162</f>
        <v>104.16666666666667</v>
      </c>
    </row>
    <row r="697">
      <c r="A697" s="7" t="inlineStr">
        <is>
          <t>STR-078</t>
        </is>
      </c>
      <c r="B697" s="7" t="inlineStr">
        <is>
          <t>Beams</t>
        </is>
      </c>
      <c r="C697" s="7" t="inlineStr">
        <is>
          <t>Typical 4th-8th floor beams (sheet 1 of 2)</t>
        </is>
      </c>
      <c r="D697" s="7" t="inlineStr">
        <is>
          <t>F08, F09, F10, F11, F12</t>
        </is>
      </c>
      <c r="E697" s="27" t="inlineStr">
        <is>
          <t>2515</t>
        </is>
      </c>
      <c r="F697" s="27" t="n">
        <v>25</v>
      </c>
      <c r="G697" s="27" t="n">
        <v>3</v>
      </c>
      <c r="H697" s="27" t="n">
        <v>5600</v>
      </c>
      <c r="I697" s="28">
        <f>G697*H697/1000*F697^2/162</f>
        <v>64.81481481481481</v>
      </c>
    </row>
    <row r="698">
      <c r="A698" s="7" t="inlineStr">
        <is>
          <t>STR-078</t>
        </is>
      </c>
      <c r="B698" s="7" t="inlineStr">
        <is>
          <t>Beams</t>
        </is>
      </c>
      <c r="C698" s="7" t="inlineStr">
        <is>
          <t>Typical 4th-8th floor beams (sheet 1 of 2)</t>
        </is>
      </c>
      <c r="D698" s="7" t="inlineStr">
        <is>
          <t>F08, F09, F10, F11, F12</t>
        </is>
      </c>
      <c r="E698" s="27" t="inlineStr">
        <is>
          <t>2516</t>
        </is>
      </c>
      <c r="F698" s="27" t="n">
        <v>25</v>
      </c>
      <c r="G698" s="27" t="n">
        <v>3</v>
      </c>
      <c r="H698" s="27" t="n">
        <v>9400</v>
      </c>
      <c r="I698" s="28">
        <f>G698*H698/1000*F698^2/162</f>
        <v>108.79629629629629</v>
      </c>
    </row>
    <row r="699">
      <c r="A699" s="7" t="inlineStr">
        <is>
          <t>STR-078</t>
        </is>
      </c>
      <c r="B699" s="7" t="inlineStr">
        <is>
          <t>Beams</t>
        </is>
      </c>
      <c r="C699" s="7" t="inlineStr">
        <is>
          <t>Typical 4th-8th floor beams (sheet 1 of 2)</t>
        </is>
      </c>
      <c r="D699" s="7" t="inlineStr">
        <is>
          <t>F08, F09, F10, F11, F12</t>
        </is>
      </c>
      <c r="E699" s="27" t="inlineStr">
        <is>
          <t>2517</t>
        </is>
      </c>
      <c r="F699" s="27" t="n">
        <v>25</v>
      </c>
      <c r="G699" s="27" t="n">
        <v>24</v>
      </c>
      <c r="H699" s="27" t="n">
        <v>9150</v>
      </c>
      <c r="I699" s="28">
        <f>G699*H699/1000*F699^2/162</f>
        <v>847.2222222222222</v>
      </c>
    </row>
    <row r="700">
      <c r="A700" s="7" t="inlineStr">
        <is>
          <t>STR-078</t>
        </is>
      </c>
      <c r="B700" s="7" t="inlineStr">
        <is>
          <t>Beams</t>
        </is>
      </c>
      <c r="C700" s="7" t="inlineStr">
        <is>
          <t>Typical 4th-8th floor beams (sheet 1 of 2)</t>
        </is>
      </c>
      <c r="D700" s="7" t="inlineStr">
        <is>
          <t>F08, F09, F10, F11, F12</t>
        </is>
      </c>
      <c r="E700" s="27" t="inlineStr">
        <is>
          <t>2518</t>
        </is>
      </c>
      <c r="F700" s="27" t="n">
        <v>25</v>
      </c>
      <c r="G700" s="27" t="n">
        <v>3</v>
      </c>
      <c r="H700" s="27" t="n">
        <v>9800</v>
      </c>
      <c r="I700" s="28">
        <f>G700*H700/1000*F700^2/162</f>
        <v>113.42592592592592</v>
      </c>
    </row>
    <row r="701">
      <c r="A701" s="7" t="inlineStr">
        <is>
          <t>STR-078</t>
        </is>
      </c>
      <c r="B701" s="7" t="inlineStr">
        <is>
          <t>Beams</t>
        </is>
      </c>
      <c r="C701" s="7" t="inlineStr">
        <is>
          <t>Typical 4th-8th floor beams (sheet 1 of 2)</t>
        </is>
      </c>
      <c r="D701" s="7" t="inlineStr">
        <is>
          <t>F08, F09, F10, F11, F12</t>
        </is>
      </c>
      <c r="E701" s="27" t="inlineStr">
        <is>
          <t>2519</t>
        </is>
      </c>
      <c r="F701" s="27" t="n">
        <v>25</v>
      </c>
      <c r="G701" s="27" t="n">
        <v>3</v>
      </c>
      <c r="H701" s="27" t="n">
        <v>8125</v>
      </c>
      <c r="I701" s="28">
        <f>G701*H701/1000*F701^2/162</f>
        <v>94.03935185185185</v>
      </c>
    </row>
    <row r="702">
      <c r="A702" s="7" t="inlineStr">
        <is>
          <t>STR-078</t>
        </is>
      </c>
      <c r="B702" s="7" t="inlineStr">
        <is>
          <t>Beams</t>
        </is>
      </c>
      <c r="C702" s="7" t="inlineStr">
        <is>
          <t>Typical 4th-8th floor beams (sheet 1 of 2)</t>
        </is>
      </c>
      <c r="D702" s="7" t="inlineStr">
        <is>
          <t>F08, F09, F10, F11, F12</t>
        </is>
      </c>
      <c r="E702" s="27" t="inlineStr">
        <is>
          <t>2520</t>
        </is>
      </c>
      <c r="F702" s="27" t="n">
        <v>25</v>
      </c>
      <c r="G702" s="27" t="n">
        <v>24</v>
      </c>
      <c r="H702" s="27" t="n">
        <v>8025</v>
      </c>
      <c r="I702" s="28">
        <f>G702*H702/1000*F702^2/162</f>
        <v>743.0555555555555</v>
      </c>
    </row>
    <row r="703">
      <c r="A703" s="7" t="inlineStr">
        <is>
          <t>STR-079</t>
        </is>
      </c>
      <c r="B703" s="7" t="inlineStr">
        <is>
          <t>Beams</t>
        </is>
      </c>
      <c r="C703" s="7" t="inlineStr">
        <is>
          <t>Typical 4th-8th floor beams (sheet 2 of 2)</t>
        </is>
      </c>
      <c r="D703" s="7" t="inlineStr">
        <is>
          <t>F08, F09, F10, F11, F12</t>
        </is>
      </c>
      <c r="E703" s="27" t="inlineStr">
        <is>
          <t>1001</t>
        </is>
      </c>
      <c r="F703" s="27" t="n">
        <v>10</v>
      </c>
      <c r="G703" s="27" t="n">
        <v>607</v>
      </c>
      <c r="H703" s="27" t="n">
        <v>1700</v>
      </c>
      <c r="I703" s="28">
        <f>G703*H703/1000*F703^2/162</f>
        <v>636.9753086419754</v>
      </c>
    </row>
    <row r="704">
      <c r="A704" s="7" t="inlineStr">
        <is>
          <t>STR-079</t>
        </is>
      </c>
      <c r="B704" s="7" t="inlineStr">
        <is>
          <t>Beams</t>
        </is>
      </c>
      <c r="C704" s="7" t="inlineStr">
        <is>
          <t>Typical 4th-8th floor beams (sheet 2 of 2)</t>
        </is>
      </c>
      <c r="D704" s="7" t="inlineStr">
        <is>
          <t>F08, F09, F10, F11, F12</t>
        </is>
      </c>
      <c r="E704" s="27" t="inlineStr">
        <is>
          <t>1601</t>
        </is>
      </c>
      <c r="F704" s="27" t="n">
        <v>16</v>
      </c>
      <c r="G704" s="27" t="n">
        <v>4</v>
      </c>
      <c r="H704" s="27" t="n">
        <v>11800</v>
      </c>
      <c r="I704" s="28">
        <f>G704*H704/1000*F704^2/162</f>
        <v>74.58765432098765</v>
      </c>
    </row>
    <row r="705">
      <c r="A705" s="7" t="inlineStr">
        <is>
          <t>STR-079</t>
        </is>
      </c>
      <c r="B705" s="7" t="inlineStr">
        <is>
          <t>Beams</t>
        </is>
      </c>
      <c r="C705" s="7" t="inlineStr">
        <is>
          <t>Typical 4th-8th floor beams (sheet 2 of 2)</t>
        </is>
      </c>
      <c r="D705" s="7" t="inlineStr">
        <is>
          <t>F08, F09, F10, F11, F12</t>
        </is>
      </c>
      <c r="E705" s="27" t="inlineStr">
        <is>
          <t>1602</t>
        </is>
      </c>
      <c r="F705" s="27" t="n">
        <v>16</v>
      </c>
      <c r="G705" s="27" t="n">
        <v>3</v>
      </c>
      <c r="H705" s="27" t="n">
        <v>11550</v>
      </c>
      <c r="I705" s="28">
        <f>G705*H705/1000*F705^2/162</f>
        <v>54.75555555555555</v>
      </c>
    </row>
    <row r="706">
      <c r="A706" s="7" t="inlineStr">
        <is>
          <t>STR-079</t>
        </is>
      </c>
      <c r="B706" s="7" t="inlineStr">
        <is>
          <t>Beams</t>
        </is>
      </c>
      <c r="C706" s="7" t="inlineStr">
        <is>
          <t>Typical 4th-8th floor beams (sheet 2 of 2)</t>
        </is>
      </c>
      <c r="D706" s="7" t="inlineStr">
        <is>
          <t>F08, F09, F10, F11, F12</t>
        </is>
      </c>
      <c r="E706" s="27" t="inlineStr">
        <is>
          <t>1603</t>
        </is>
      </c>
      <c r="F706" s="27" t="n">
        <v>16</v>
      </c>
      <c r="G706" s="27" t="n">
        <v>3</v>
      </c>
      <c r="H706" s="27" t="n">
        <v>6450</v>
      </c>
      <c r="I706" s="28">
        <f>G706*H706/1000*F706^2/162</f>
        <v>30.57777777777778</v>
      </c>
    </row>
    <row r="707">
      <c r="A707" s="7" t="inlineStr">
        <is>
          <t>STR-079</t>
        </is>
      </c>
      <c r="B707" s="7" t="inlineStr">
        <is>
          <t>Beams</t>
        </is>
      </c>
      <c r="C707" s="7" t="inlineStr">
        <is>
          <t>Typical 4th-8th floor beams (sheet 2 of 2)</t>
        </is>
      </c>
      <c r="D707" s="7" t="inlineStr">
        <is>
          <t>F08, F09, F10, F11, F12</t>
        </is>
      </c>
      <c r="E707" s="27" t="inlineStr">
        <is>
          <t>1604</t>
        </is>
      </c>
      <c r="F707" s="27" t="n">
        <v>16</v>
      </c>
      <c r="G707" s="27" t="n">
        <v>3</v>
      </c>
      <c r="H707" s="27" t="n">
        <v>7600</v>
      </c>
      <c r="I707" s="28">
        <f>G707*H707/1000*F707^2/162</f>
        <v>36.02962962962963</v>
      </c>
    </row>
    <row r="708">
      <c r="A708" s="7" t="inlineStr">
        <is>
          <t>STR-079</t>
        </is>
      </c>
      <c r="B708" s="7" t="inlineStr">
        <is>
          <t>Beams</t>
        </is>
      </c>
      <c r="C708" s="7" t="inlineStr">
        <is>
          <t>Typical 4th-8th floor beams (sheet 2 of 2)</t>
        </is>
      </c>
      <c r="D708" s="7" t="inlineStr">
        <is>
          <t>F08, F09, F10, F11, F12</t>
        </is>
      </c>
      <c r="E708" s="27" t="inlineStr">
        <is>
          <t>1605</t>
        </is>
      </c>
      <c r="F708" s="27" t="n">
        <v>16</v>
      </c>
      <c r="G708" s="27" t="n">
        <v>4</v>
      </c>
      <c r="H708" s="27" t="n">
        <v>1200</v>
      </c>
      <c r="I708" s="28">
        <f>G708*H708/1000*F708^2/162</f>
        <v>7.585185185185185</v>
      </c>
    </row>
    <row r="709">
      <c r="A709" s="7" t="inlineStr">
        <is>
          <t>STR-079</t>
        </is>
      </c>
      <c r="B709" s="7" t="inlineStr">
        <is>
          <t>Beams</t>
        </is>
      </c>
      <c r="C709" s="7" t="inlineStr">
        <is>
          <t>Typical 4th-8th floor beams (sheet 2 of 2)</t>
        </is>
      </c>
      <c r="D709" s="7" t="inlineStr">
        <is>
          <t>F08, F09, F10, F11, F12</t>
        </is>
      </c>
      <c r="E709" s="27" t="inlineStr">
        <is>
          <t>1606</t>
        </is>
      </c>
      <c r="F709" s="27" t="n">
        <v>16</v>
      </c>
      <c r="G709" s="27" t="n">
        <v>3</v>
      </c>
      <c r="H709" s="27" t="n">
        <v>11300</v>
      </c>
      <c r="I709" s="28">
        <f>G709*H709/1000*F709^2/162</f>
        <v>53.57037037037037</v>
      </c>
    </row>
    <row r="710">
      <c r="A710" s="7" t="inlineStr">
        <is>
          <t>STR-079</t>
        </is>
      </c>
      <c r="B710" s="7" t="inlineStr">
        <is>
          <t>Beams</t>
        </is>
      </c>
      <c r="C710" s="7" t="inlineStr">
        <is>
          <t>Typical 4th-8th floor beams (sheet 2 of 2)</t>
        </is>
      </c>
      <c r="D710" s="7" t="inlineStr">
        <is>
          <t>F08, F09, F10, F11, F12</t>
        </is>
      </c>
      <c r="E710" s="27" t="inlineStr">
        <is>
          <t>1607</t>
        </is>
      </c>
      <c r="F710" s="27" t="n">
        <v>16</v>
      </c>
      <c r="G710" s="27" t="n">
        <v>2</v>
      </c>
      <c r="H710" s="27" t="n">
        <v>7400</v>
      </c>
      <c r="I710" s="28">
        <f>G710*H710/1000*F710^2/162</f>
        <v>23.387654320987654</v>
      </c>
    </row>
    <row r="711">
      <c r="A711" s="7" t="inlineStr">
        <is>
          <t>STR-079</t>
        </is>
      </c>
      <c r="B711" s="7" t="inlineStr">
        <is>
          <t>Beams</t>
        </is>
      </c>
      <c r="C711" s="7" t="inlineStr">
        <is>
          <t>Typical 4th-8th floor beams (sheet 2 of 2)</t>
        </is>
      </c>
      <c r="D711" s="7" t="inlineStr">
        <is>
          <t>F08, F09, F10, F11, F12</t>
        </is>
      </c>
      <c r="E711" s="27" t="inlineStr">
        <is>
          <t>1608</t>
        </is>
      </c>
      <c r="F711" s="27" t="n">
        <v>16</v>
      </c>
      <c r="G711" s="27" t="n">
        <v>6</v>
      </c>
      <c r="H711" s="27" t="n">
        <v>9050</v>
      </c>
      <c r="I711" s="28">
        <f>G711*H711/1000*F711^2/162</f>
        <v>85.8074074074074</v>
      </c>
    </row>
    <row r="712">
      <c r="A712" s="7" t="inlineStr">
        <is>
          <t>STR-079</t>
        </is>
      </c>
      <c r="B712" s="7" t="inlineStr">
        <is>
          <t>Beams</t>
        </is>
      </c>
      <c r="C712" s="7" t="inlineStr">
        <is>
          <t>Typical 4th-8th floor beams (sheet 2 of 2)</t>
        </is>
      </c>
      <c r="D712" s="7" t="inlineStr">
        <is>
          <t>F08, F09, F10, F11, F12</t>
        </is>
      </c>
      <c r="E712" s="27" t="inlineStr">
        <is>
          <t>1609</t>
        </is>
      </c>
      <c r="F712" s="27" t="n">
        <v>16</v>
      </c>
      <c r="G712" s="27" t="n">
        <v>3</v>
      </c>
      <c r="H712" s="27" t="n">
        <v>9800</v>
      </c>
      <c r="I712" s="28">
        <f>G712*H712/1000*F712^2/162</f>
        <v>46.459259259259255</v>
      </c>
    </row>
    <row r="713">
      <c r="A713" s="7" t="inlineStr">
        <is>
          <t>STR-079</t>
        </is>
      </c>
      <c r="B713" s="7" t="inlineStr">
        <is>
          <t>Beams</t>
        </is>
      </c>
      <c r="C713" s="7" t="inlineStr">
        <is>
          <t>Typical 4th-8th floor beams (sheet 2 of 2)</t>
        </is>
      </c>
      <c r="D713" s="7" t="inlineStr">
        <is>
          <t>F08, F09, F10, F11, F12</t>
        </is>
      </c>
      <c r="E713" s="27" t="inlineStr">
        <is>
          <t>1610</t>
        </is>
      </c>
      <c r="F713" s="27" t="n">
        <v>16</v>
      </c>
      <c r="G713" s="27" t="n">
        <v>2</v>
      </c>
      <c r="H713" s="27" t="n">
        <v>7900</v>
      </c>
      <c r="I713" s="28">
        <f>G713*H713/1000*F713^2/162</f>
        <v>24.967901234567904</v>
      </c>
    </row>
    <row r="714">
      <c r="A714" s="7" t="inlineStr">
        <is>
          <t>STR-079</t>
        </is>
      </c>
      <c r="B714" s="7" t="inlineStr">
        <is>
          <t>Beams</t>
        </is>
      </c>
      <c r="C714" s="7" t="inlineStr">
        <is>
          <t>Typical 4th-8th floor beams (sheet 2 of 2)</t>
        </is>
      </c>
      <c r="D714" s="7" t="inlineStr">
        <is>
          <t>F08, F09, F10, F11, F12</t>
        </is>
      </c>
      <c r="E714" s="27" t="inlineStr">
        <is>
          <t>1611</t>
        </is>
      </c>
      <c r="F714" s="27" t="n">
        <v>16</v>
      </c>
      <c r="G714" s="27" t="n">
        <v>18</v>
      </c>
      <c r="H714" s="27" t="n">
        <v>3350</v>
      </c>
      <c r="I714" s="28">
        <f>G714*H714/1000*F714^2/162</f>
        <v>95.28888888888889</v>
      </c>
    </row>
    <row r="715">
      <c r="A715" s="7" t="inlineStr">
        <is>
          <t>STR-079</t>
        </is>
      </c>
      <c r="B715" s="7" t="inlineStr">
        <is>
          <t>Beams</t>
        </is>
      </c>
      <c r="C715" s="7" t="inlineStr">
        <is>
          <t>Typical 4th-8th floor beams (sheet 2 of 2)</t>
        </is>
      </c>
      <c r="D715" s="7" t="inlineStr">
        <is>
          <t>F08, F09, F10, F11, F12</t>
        </is>
      </c>
      <c r="E715" s="27" t="inlineStr">
        <is>
          <t>1612</t>
        </is>
      </c>
      <c r="F715" s="27" t="n">
        <v>16</v>
      </c>
      <c r="G715" s="27" t="n">
        <v>2</v>
      </c>
      <c r="H715" s="27" t="n">
        <v>2400</v>
      </c>
      <c r="I715" s="28">
        <f>G715*H715/1000*F715^2/162</f>
        <v>7.585185185185185</v>
      </c>
    </row>
    <row r="716">
      <c r="A716" s="7" t="inlineStr">
        <is>
          <t>STR-079</t>
        </is>
      </c>
      <c r="B716" s="7" t="inlineStr">
        <is>
          <t>Beams</t>
        </is>
      </c>
      <c r="C716" s="7" t="inlineStr">
        <is>
          <t>Typical 4th-8th floor beams (sheet 2 of 2)</t>
        </is>
      </c>
      <c r="D716" s="7" t="inlineStr">
        <is>
          <t>F08, F09, F10, F11, F12</t>
        </is>
      </c>
      <c r="E716" s="27" t="inlineStr">
        <is>
          <t>1613</t>
        </is>
      </c>
      <c r="F716" s="27" t="n">
        <v>16</v>
      </c>
      <c r="G716" s="27" t="n">
        <v>2</v>
      </c>
      <c r="H716" s="27" t="n">
        <v>10550</v>
      </c>
      <c r="I716" s="28">
        <f>G716*H716/1000*F716^2/162</f>
        <v>33.34320987654321</v>
      </c>
    </row>
    <row r="717">
      <c r="A717" s="7" t="inlineStr">
        <is>
          <t>STR-079</t>
        </is>
      </c>
      <c r="B717" s="7" t="inlineStr">
        <is>
          <t>Beams</t>
        </is>
      </c>
      <c r="C717" s="7" t="inlineStr">
        <is>
          <t>Typical 4th-8th floor beams (sheet 2 of 2)</t>
        </is>
      </c>
      <c r="D717" s="7" t="inlineStr">
        <is>
          <t>F08, F09, F10, F11, F12</t>
        </is>
      </c>
      <c r="E717" s="27" t="inlineStr">
        <is>
          <t>1614</t>
        </is>
      </c>
      <c r="F717" s="27" t="n">
        <v>16</v>
      </c>
      <c r="G717" s="27" t="n">
        <v>2</v>
      </c>
      <c r="H717" s="27" t="n">
        <v>9050</v>
      </c>
      <c r="I717" s="28">
        <f>G717*H717/1000*F717^2/162</f>
        <v>28.602469135802473</v>
      </c>
    </row>
    <row r="718">
      <c r="A718" s="7" t="inlineStr">
        <is>
          <t>STR-079</t>
        </is>
      </c>
      <c r="B718" s="7" t="inlineStr">
        <is>
          <t>Beams</t>
        </is>
      </c>
      <c r="C718" s="7" t="inlineStr">
        <is>
          <t>Typical 4th-8th floor beams (sheet 2 of 2)</t>
        </is>
      </c>
      <c r="D718" s="7" t="inlineStr">
        <is>
          <t>F08, F09, F10, F11, F12</t>
        </is>
      </c>
      <c r="E718" s="27" t="inlineStr">
        <is>
          <t>2001</t>
        </is>
      </c>
      <c r="F718" s="27" t="n">
        <v>20</v>
      </c>
      <c r="G718" s="27" t="n">
        <v>6</v>
      </c>
      <c r="H718" s="27" t="n">
        <v>8500</v>
      </c>
      <c r="I718" s="28">
        <f>G718*H718/1000*F718^2/162</f>
        <v>125.92592592592592</v>
      </c>
    </row>
    <row r="719">
      <c r="A719" s="7" t="inlineStr">
        <is>
          <t>STR-079</t>
        </is>
      </c>
      <c r="B719" s="7" t="inlineStr">
        <is>
          <t>Beams</t>
        </is>
      </c>
      <c r="C719" s="7" t="inlineStr">
        <is>
          <t>Typical 4th-8th floor beams (sheet 2 of 2)</t>
        </is>
      </c>
      <c r="D719" s="7" t="inlineStr">
        <is>
          <t>F08, F09, F10, F11, F12</t>
        </is>
      </c>
      <c r="E719" s="27" t="inlineStr">
        <is>
          <t>2501</t>
        </is>
      </c>
      <c r="F719" s="27" t="n">
        <v>25</v>
      </c>
      <c r="G719" s="27" t="n">
        <v>3</v>
      </c>
      <c r="H719" s="27" t="n">
        <v>5850</v>
      </c>
      <c r="I719" s="28">
        <f>G719*H719/1000*F719^2/162</f>
        <v>67.70833333333333</v>
      </c>
    </row>
    <row r="720">
      <c r="A720" s="7" t="inlineStr">
        <is>
          <t>STR-079</t>
        </is>
      </c>
      <c r="B720" s="7" t="inlineStr">
        <is>
          <t>Beams</t>
        </is>
      </c>
      <c r="C720" s="7" t="inlineStr">
        <is>
          <t>Typical 4th-8th floor beams (sheet 2 of 2)</t>
        </is>
      </c>
      <c r="D720" s="7" t="inlineStr">
        <is>
          <t>F08, F09, F10, F11, F12</t>
        </is>
      </c>
      <c r="E720" s="27" t="inlineStr">
        <is>
          <t>2502</t>
        </is>
      </c>
      <c r="F720" s="27" t="n">
        <v>25</v>
      </c>
      <c r="G720" s="27" t="n">
        <v>3</v>
      </c>
      <c r="H720" s="27" t="n">
        <v>8000</v>
      </c>
      <c r="I720" s="28">
        <f>G720*H720/1000*F720^2/162</f>
        <v>92.5925925925926</v>
      </c>
    </row>
    <row r="721">
      <c r="A721" s="7" t="inlineStr">
        <is>
          <t>STR-079</t>
        </is>
      </c>
      <c r="B721" s="7" t="inlineStr">
        <is>
          <t>Beams</t>
        </is>
      </c>
      <c r="C721" s="7" t="inlineStr">
        <is>
          <t>Typical 4th-8th floor beams (sheet 2 of 2)</t>
        </is>
      </c>
      <c r="D721" s="7" t="inlineStr">
        <is>
          <t>F08, F09, F10, F11, F12</t>
        </is>
      </c>
      <c r="E721" s="27" t="inlineStr">
        <is>
          <t>2503</t>
        </is>
      </c>
      <c r="F721" s="27" t="n">
        <v>25</v>
      </c>
      <c r="G721" s="27" t="n">
        <v>3</v>
      </c>
      <c r="H721" s="27" t="n">
        <v>8700</v>
      </c>
      <c r="I721" s="28">
        <f>G721*H721/1000*F721^2/162</f>
        <v>100.69444444444444</v>
      </c>
    </row>
    <row r="722">
      <c r="A722" s="7" t="inlineStr">
        <is>
          <t>STR-079</t>
        </is>
      </c>
      <c r="B722" s="7" t="inlineStr">
        <is>
          <t>Beams</t>
        </is>
      </c>
      <c r="C722" s="7" t="inlineStr">
        <is>
          <t>Typical 4th-8th floor beams (sheet 2 of 2)</t>
        </is>
      </c>
      <c r="D722" s="7" t="inlineStr">
        <is>
          <t>F08, F09, F10, F11, F12</t>
        </is>
      </c>
      <c r="E722" s="27" t="inlineStr">
        <is>
          <t>2504</t>
        </is>
      </c>
      <c r="F722" s="27" t="n">
        <v>25</v>
      </c>
      <c r="G722" s="27" t="n">
        <v>3</v>
      </c>
      <c r="H722" s="27" t="n">
        <v>5900</v>
      </c>
      <c r="I722" s="28">
        <f>G722*H722/1000*F722^2/162</f>
        <v>68.28703703703704</v>
      </c>
    </row>
    <row r="723">
      <c r="A723" s="7" t="inlineStr">
        <is>
          <t>STR-079</t>
        </is>
      </c>
      <c r="B723" s="7" t="inlineStr">
        <is>
          <t>Beams</t>
        </is>
      </c>
      <c r="C723" s="7" t="inlineStr">
        <is>
          <t>Typical 4th-8th floor beams (sheet 2 of 2)</t>
        </is>
      </c>
      <c r="D723" s="7" t="inlineStr">
        <is>
          <t>F08, F09, F10, F11, F12</t>
        </is>
      </c>
      <c r="E723" s="27" t="inlineStr">
        <is>
          <t>2505</t>
        </is>
      </c>
      <c r="F723" s="27" t="n">
        <v>25</v>
      </c>
      <c r="G723" s="27" t="n">
        <v>3</v>
      </c>
      <c r="H723" s="27" t="n">
        <v>7750</v>
      </c>
      <c r="I723" s="28">
        <f>G723*H723/1000*F723^2/162</f>
        <v>89.69907407407408</v>
      </c>
    </row>
    <row r="724">
      <c r="A724" s="7" t="inlineStr">
        <is>
          <t>STR-079</t>
        </is>
      </c>
      <c r="B724" s="7" t="inlineStr">
        <is>
          <t>Beams</t>
        </is>
      </c>
      <c r="C724" s="7" t="inlineStr">
        <is>
          <t>Typical 4th-8th floor beams (sheet 2 of 2)</t>
        </is>
      </c>
      <c r="D724" s="7" t="inlineStr">
        <is>
          <t>F08, F09, F10, F11, F12</t>
        </is>
      </c>
      <c r="E724" s="27" t="inlineStr">
        <is>
          <t>2506</t>
        </is>
      </c>
      <c r="F724" s="27" t="n">
        <v>25</v>
      </c>
      <c r="G724" s="27" t="n">
        <v>3</v>
      </c>
      <c r="H724" s="27" t="n">
        <v>6500</v>
      </c>
      <c r="I724" s="28">
        <f>G724*H724/1000*F724^2/162</f>
        <v>75.23148148148148</v>
      </c>
    </row>
    <row r="725">
      <c r="A725" s="7" t="inlineStr">
        <is>
          <t>STR-079</t>
        </is>
      </c>
      <c r="B725" s="7" t="inlineStr">
        <is>
          <t>Beams</t>
        </is>
      </c>
      <c r="C725" s="7" t="inlineStr">
        <is>
          <t>Typical 4th-8th floor beams (sheet 2 of 2)</t>
        </is>
      </c>
      <c r="D725" s="7" t="inlineStr">
        <is>
          <t>F08, F09, F10, F11, F12</t>
        </is>
      </c>
      <c r="E725" s="27" t="inlineStr">
        <is>
          <t>2507</t>
        </is>
      </c>
      <c r="F725" s="27" t="n">
        <v>25</v>
      </c>
      <c r="G725" s="27" t="n">
        <v>3</v>
      </c>
      <c r="H725" s="27" t="n">
        <v>9850</v>
      </c>
      <c r="I725" s="28">
        <f>G725*H725/1000*F725^2/162</f>
        <v>114.00462962962963</v>
      </c>
    </row>
    <row r="726">
      <c r="A726" s="7" t="inlineStr">
        <is>
          <t>STR-079</t>
        </is>
      </c>
      <c r="B726" s="7" t="inlineStr">
        <is>
          <t>Beams</t>
        </is>
      </c>
      <c r="C726" s="7" t="inlineStr">
        <is>
          <t>Typical 4th-8th floor beams (sheet 2 of 2)</t>
        </is>
      </c>
      <c r="D726" s="7" t="inlineStr">
        <is>
          <t>F08, F09, F10, F11, F12</t>
        </is>
      </c>
      <c r="E726" s="27" t="inlineStr">
        <is>
          <t>2508</t>
        </is>
      </c>
      <c r="F726" s="27" t="n">
        <v>25</v>
      </c>
      <c r="G726" s="27" t="n">
        <v>3</v>
      </c>
      <c r="H726" s="27" t="n">
        <v>11650</v>
      </c>
      <c r="I726" s="28">
        <f>G726*H726/1000*F726^2/162</f>
        <v>134.83796296296296</v>
      </c>
    </row>
    <row r="727">
      <c r="A727" s="7" t="inlineStr">
        <is>
          <t>STR-079</t>
        </is>
      </c>
      <c r="B727" s="7" t="inlineStr">
        <is>
          <t>Beams</t>
        </is>
      </c>
      <c r="C727" s="7" t="inlineStr">
        <is>
          <t>Typical 4th-8th floor beams (sheet 2 of 2)</t>
        </is>
      </c>
      <c r="D727" s="7" t="inlineStr">
        <is>
          <t>F08, F09, F10, F11, F12</t>
        </is>
      </c>
      <c r="E727" s="27" t="inlineStr">
        <is>
          <t>2509</t>
        </is>
      </c>
      <c r="F727" s="27" t="n">
        <v>25</v>
      </c>
      <c r="G727" s="27" t="n">
        <v>3</v>
      </c>
      <c r="H727" s="27" t="n">
        <v>6450</v>
      </c>
      <c r="I727" s="28">
        <f>G727*H727/1000*F727^2/162</f>
        <v>74.65277777777777</v>
      </c>
    </row>
    <row r="728">
      <c r="A728" s="7" t="inlineStr">
        <is>
          <t>STR-079</t>
        </is>
      </c>
      <c r="B728" s="7" t="inlineStr">
        <is>
          <t>Beams</t>
        </is>
      </c>
      <c r="C728" s="7" t="inlineStr">
        <is>
          <t>Typical 4th-8th floor beams (sheet 2 of 2)</t>
        </is>
      </c>
      <c r="D728" s="7" t="inlineStr">
        <is>
          <t>F08, F09, F10, F11, F12</t>
        </is>
      </c>
      <c r="E728" s="27" t="inlineStr">
        <is>
          <t>2510</t>
        </is>
      </c>
      <c r="F728" s="27" t="n">
        <v>25</v>
      </c>
      <c r="G728" s="27" t="n">
        <v>3</v>
      </c>
      <c r="H728" s="27" t="n">
        <v>7700</v>
      </c>
      <c r="I728" s="28">
        <f>G728*H728/1000*F728^2/162</f>
        <v>89.12037037037037</v>
      </c>
    </row>
    <row r="729">
      <c r="A729" s="7" t="inlineStr">
        <is>
          <t>STR-079</t>
        </is>
      </c>
      <c r="B729" s="7" t="inlineStr">
        <is>
          <t>Beams</t>
        </is>
      </c>
      <c r="C729" s="7" t="inlineStr">
        <is>
          <t>Typical 4th-8th floor beams (sheet 2 of 2)</t>
        </is>
      </c>
      <c r="D729" s="7" t="inlineStr">
        <is>
          <t>F08, F09, F10, F11, F12</t>
        </is>
      </c>
      <c r="E729" s="27" t="inlineStr">
        <is>
          <t>2511</t>
        </is>
      </c>
      <c r="F729" s="27" t="n">
        <v>25</v>
      </c>
      <c r="G729" s="27" t="n">
        <v>24</v>
      </c>
      <c r="H729" s="27" t="n">
        <v>3550</v>
      </c>
      <c r="I729" s="28">
        <f>G729*H729/1000*F729^2/162</f>
        <v>328.7037037037037</v>
      </c>
    </row>
    <row r="730">
      <c r="A730" s="7" t="inlineStr">
        <is>
          <t>STR-079</t>
        </is>
      </c>
      <c r="B730" s="7" t="inlineStr">
        <is>
          <t>Beams</t>
        </is>
      </c>
      <c r="C730" s="7" t="inlineStr">
        <is>
          <t>Typical 4th-8th floor beams (sheet 2 of 2)</t>
        </is>
      </c>
      <c r="D730" s="7" t="inlineStr">
        <is>
          <t>F08, F09, F10, F11, F12</t>
        </is>
      </c>
      <c r="E730" s="27" t="inlineStr">
        <is>
          <t>2512</t>
        </is>
      </c>
      <c r="F730" s="27" t="n">
        <v>25</v>
      </c>
      <c r="G730" s="27" t="n">
        <v>3</v>
      </c>
      <c r="H730" s="27" t="n">
        <v>7750</v>
      </c>
      <c r="I730" s="28">
        <f>G730*H730/1000*F730^2/162</f>
        <v>89.69907407407408</v>
      </c>
    </row>
    <row r="731">
      <c r="A731" s="7" t="inlineStr">
        <is>
          <t>STR-079</t>
        </is>
      </c>
      <c r="B731" s="7" t="inlineStr">
        <is>
          <t>Beams</t>
        </is>
      </c>
      <c r="C731" s="7" t="inlineStr">
        <is>
          <t>Typical 4th-8th floor beams (sheet 2 of 2)</t>
        </is>
      </c>
      <c r="D731" s="7" t="inlineStr">
        <is>
          <t>F08, F09, F10, F11, F12</t>
        </is>
      </c>
      <c r="E731" s="27" t="inlineStr">
        <is>
          <t>2513</t>
        </is>
      </c>
      <c r="F731" s="27" t="n">
        <v>25</v>
      </c>
      <c r="G731" s="27" t="n">
        <v>6</v>
      </c>
      <c r="H731" s="27" t="n">
        <v>6350</v>
      </c>
      <c r="I731" s="28">
        <f>G731*H731/1000*F731^2/162</f>
        <v>146.99074074074073</v>
      </c>
    </row>
    <row r="732">
      <c r="A732" s="7" t="inlineStr">
        <is>
          <t>STR-079</t>
        </is>
      </c>
      <c r="B732" s="7" t="inlineStr">
        <is>
          <t>Beams</t>
        </is>
      </c>
      <c r="C732" s="7" t="inlineStr">
        <is>
          <t>Typical 4th-8th floor beams (sheet 2 of 2)</t>
        </is>
      </c>
      <c r="D732" s="7" t="inlineStr">
        <is>
          <t>F08, F09, F10, F11, F12</t>
        </is>
      </c>
      <c r="E732" s="27" t="inlineStr">
        <is>
          <t>2514</t>
        </is>
      </c>
      <c r="F732" s="27" t="n">
        <v>25</v>
      </c>
      <c r="G732" s="27" t="n">
        <v>3</v>
      </c>
      <c r="H732" s="27" t="n">
        <v>10450</v>
      </c>
      <c r="I732" s="28">
        <f>G732*H732/1000*F732^2/162</f>
        <v>120.94907407407408</v>
      </c>
    </row>
    <row r="733">
      <c r="A733" s="7" t="inlineStr">
        <is>
          <t>STR-079</t>
        </is>
      </c>
      <c r="B733" s="7" t="inlineStr">
        <is>
          <t>Beams</t>
        </is>
      </c>
      <c r="C733" s="7" t="inlineStr">
        <is>
          <t>Typical 4th-8th floor beams (sheet 2 of 2)</t>
        </is>
      </c>
      <c r="D733" s="7" t="inlineStr">
        <is>
          <t>F08, F09, F10, F11, F12</t>
        </is>
      </c>
      <c r="E733" s="27" t="inlineStr">
        <is>
          <t>2515</t>
        </is>
      </c>
      <c r="F733" s="27" t="n">
        <v>25</v>
      </c>
      <c r="G733" s="27" t="n">
        <v>3</v>
      </c>
      <c r="H733" s="27" t="n">
        <v>11200</v>
      </c>
      <c r="I733" s="28">
        <f>G733*H733/1000*F733^2/162</f>
        <v>129.62962962962962</v>
      </c>
    </row>
    <row r="734">
      <c r="A734" s="7" t="inlineStr">
        <is>
          <t>STR-079</t>
        </is>
      </c>
      <c r="B734" s="7" t="inlineStr">
        <is>
          <t>Beams</t>
        </is>
      </c>
      <c r="C734" s="7" t="inlineStr">
        <is>
          <t>Typical 4th-8th floor beams (sheet 2 of 2)</t>
        </is>
      </c>
      <c r="D734" s="7" t="inlineStr">
        <is>
          <t>F08, F09, F10, F11, F12</t>
        </is>
      </c>
      <c r="E734" s="27" t="inlineStr">
        <is>
          <t>2516</t>
        </is>
      </c>
      <c r="F734" s="27" t="n">
        <v>25</v>
      </c>
      <c r="G734" s="27" t="n">
        <v>3</v>
      </c>
      <c r="H734" s="27" t="n">
        <v>8275</v>
      </c>
      <c r="I734" s="28">
        <f>G734*H734/1000*F734^2/162</f>
        <v>95.77546296296296</v>
      </c>
    </row>
    <row r="735">
      <c r="A735" s="7" t="inlineStr">
        <is>
          <t>STR-079</t>
        </is>
      </c>
      <c r="B735" s="7" t="inlineStr">
        <is>
          <t>Beams</t>
        </is>
      </c>
      <c r="C735" s="7" t="inlineStr">
        <is>
          <t>Typical 4th-8th floor beams (sheet 2 of 2)</t>
        </is>
      </c>
      <c r="D735" s="7" t="inlineStr">
        <is>
          <t>F08, F09, F10, F11, F12</t>
        </is>
      </c>
      <c r="E735" s="27" t="inlineStr">
        <is>
          <t>2517</t>
        </is>
      </c>
      <c r="F735" s="27" t="n">
        <v>25</v>
      </c>
      <c r="G735" s="27" t="n">
        <v>6</v>
      </c>
      <c r="H735" s="27" t="n">
        <v>10150</v>
      </c>
      <c r="I735" s="28">
        <f>G735*H735/1000*F735^2/162</f>
        <v>234.9537037037037</v>
      </c>
    </row>
    <row r="736">
      <c r="A736" s="7" t="inlineStr">
        <is>
          <t>STR-080</t>
        </is>
      </c>
      <c r="B736" s="7" t="inlineStr">
        <is>
          <t>Floor Slabs</t>
        </is>
      </c>
      <c r="C736" s="7" t="inlineStr">
        <is>
          <t>Typical 4th-8th slab - bottom</t>
        </is>
      </c>
      <c r="D736" s="7" t="inlineStr">
        <is>
          <t>F08, F09, F10, F11, F12</t>
        </is>
      </c>
      <c r="E736" s="27" t="inlineStr">
        <is>
          <t>1201</t>
        </is>
      </c>
      <c r="F736" s="27" t="n">
        <v>12</v>
      </c>
      <c r="G736" s="27" t="n">
        <v>306</v>
      </c>
      <c r="H736" s="27" t="n">
        <v>9900</v>
      </c>
      <c r="I736" s="28">
        <f>G736*H736/1000*F736^2/162</f>
        <v>2692.8</v>
      </c>
    </row>
    <row r="737">
      <c r="A737" s="7" t="inlineStr">
        <is>
          <t>STR-080</t>
        </is>
      </c>
      <c r="B737" s="7" t="inlineStr">
        <is>
          <t>Floor Slabs</t>
        </is>
      </c>
      <c r="C737" s="7" t="inlineStr">
        <is>
          <t>Typical 4th-8th slab - bottom</t>
        </is>
      </c>
      <c r="D737" s="7" t="inlineStr">
        <is>
          <t>F08, F09, F10, F11, F12</t>
        </is>
      </c>
      <c r="E737" s="27" t="inlineStr">
        <is>
          <t>1202</t>
        </is>
      </c>
      <c r="F737" s="27" t="n">
        <v>12</v>
      </c>
      <c r="G737" s="27" t="n">
        <v>349</v>
      </c>
      <c r="H737" s="27" t="n">
        <v>5500</v>
      </c>
      <c r="I737" s="28">
        <f>G737*H737/1000*F737^2/162</f>
        <v>1706.2222222222222</v>
      </c>
    </row>
    <row r="738">
      <c r="A738" s="7" t="inlineStr">
        <is>
          <t>STR-080</t>
        </is>
      </c>
      <c r="B738" s="7" t="inlineStr">
        <is>
          <t>Floor Slabs</t>
        </is>
      </c>
      <c r="C738" s="7" t="inlineStr">
        <is>
          <t>Typical 4th-8th slab - bottom</t>
        </is>
      </c>
      <c r="D738" s="7" t="inlineStr">
        <is>
          <t>F08, F09, F10, F11, F12</t>
        </is>
      </c>
      <c r="E738" s="27" t="inlineStr">
        <is>
          <t>1203</t>
        </is>
      </c>
      <c r="F738" s="27" t="n">
        <v>12</v>
      </c>
      <c r="G738" s="27" t="n">
        <v>16</v>
      </c>
      <c r="H738" s="27" t="n">
        <v>4450</v>
      </c>
      <c r="I738" s="28">
        <f>G738*H738/1000*F738^2/162</f>
        <v>63.2888888888889</v>
      </c>
    </row>
    <row r="739">
      <c r="A739" s="7" t="inlineStr">
        <is>
          <t>STR-080</t>
        </is>
      </c>
      <c r="B739" s="7" t="inlineStr">
        <is>
          <t>Floor Slabs</t>
        </is>
      </c>
      <c r="C739" s="7" t="inlineStr">
        <is>
          <t>Typical 4th-8th slab - bottom</t>
        </is>
      </c>
      <c r="D739" s="7" t="inlineStr">
        <is>
          <t>F08, F09, F10, F11, F12</t>
        </is>
      </c>
      <c r="E739" s="27" t="inlineStr">
        <is>
          <t>1204</t>
        </is>
      </c>
      <c r="F739" s="27" t="n">
        <v>12</v>
      </c>
      <c r="G739" s="27" t="n">
        <v>371</v>
      </c>
      <c r="H739" s="27" t="n">
        <v>9050</v>
      </c>
      <c r="I739" s="28">
        <f>G739*H739/1000*F739^2/162</f>
        <v>2984.488888888889</v>
      </c>
    </row>
    <row r="740">
      <c r="A740" s="7" t="inlineStr">
        <is>
          <t>STR-080</t>
        </is>
      </c>
      <c r="B740" s="7" t="inlineStr">
        <is>
          <t>Floor Slabs</t>
        </is>
      </c>
      <c r="C740" s="7" t="inlineStr">
        <is>
          <t>Typical 4th-8th slab - bottom</t>
        </is>
      </c>
      <c r="D740" s="7" t="inlineStr">
        <is>
          <t>F08, F09, F10, F11, F12</t>
        </is>
      </c>
      <c r="E740" s="27" t="inlineStr">
        <is>
          <t>1205</t>
        </is>
      </c>
      <c r="F740" s="27" t="n">
        <v>12</v>
      </c>
      <c r="G740" s="27" t="n">
        <v>16</v>
      </c>
      <c r="H740" s="27" t="n">
        <v>3400</v>
      </c>
      <c r="I740" s="28">
        <f>G740*H740/1000*F740^2/162</f>
        <v>48.355555555555554</v>
      </c>
    </row>
    <row r="741">
      <c r="A741" s="7" t="inlineStr">
        <is>
          <t>STR-080</t>
        </is>
      </c>
      <c r="B741" s="7" t="inlineStr">
        <is>
          <t>Floor Slabs</t>
        </is>
      </c>
      <c r="C741" s="7" t="inlineStr">
        <is>
          <t>Typical 4th-8th slab - bottom</t>
        </is>
      </c>
      <c r="D741" s="7" t="inlineStr">
        <is>
          <t>F08, F09, F10, F11, F12</t>
        </is>
      </c>
      <c r="E741" s="27" t="inlineStr">
        <is>
          <t>1206</t>
        </is>
      </c>
      <c r="F741" s="27" t="n">
        <v>12</v>
      </c>
      <c r="G741" s="27" t="n">
        <v>37</v>
      </c>
      <c r="H741" s="27" t="n">
        <v>4600</v>
      </c>
      <c r="I741" s="28">
        <f>G741*H741/1000*F741^2/162</f>
        <v>151.2888888888889</v>
      </c>
    </row>
    <row r="742">
      <c r="A742" s="7" t="inlineStr">
        <is>
          <t>STR-080</t>
        </is>
      </c>
      <c r="B742" s="7" t="inlineStr">
        <is>
          <t>Floor Slabs</t>
        </is>
      </c>
      <c r="C742" s="7" t="inlineStr">
        <is>
          <t>Typical 4th-8th slab - bottom</t>
        </is>
      </c>
      <c r="D742" s="7" t="inlineStr">
        <is>
          <t>F08, F09, F10, F11, F12</t>
        </is>
      </c>
      <c r="E742" s="27" t="inlineStr">
        <is>
          <t>1207</t>
        </is>
      </c>
      <c r="F742" s="27" t="n">
        <v>12</v>
      </c>
      <c r="G742" s="27" t="n">
        <v>21</v>
      </c>
      <c r="H742" s="27" t="n">
        <v>4575</v>
      </c>
      <c r="I742" s="28">
        <f>G742*H742/1000*F742^2/162</f>
        <v>85.4</v>
      </c>
    </row>
    <row r="743">
      <c r="A743" s="7" t="inlineStr">
        <is>
          <t>STR-080</t>
        </is>
      </c>
      <c r="B743" s="7" t="inlineStr">
        <is>
          <t>Floor Slabs</t>
        </is>
      </c>
      <c r="C743" s="7" t="inlineStr">
        <is>
          <t>Typical 4th-8th slab - bottom</t>
        </is>
      </c>
      <c r="D743" s="7" t="inlineStr">
        <is>
          <t>F08, F09, F10, F11, F12</t>
        </is>
      </c>
      <c r="E743" s="27" t="inlineStr">
        <is>
          <t>1208</t>
        </is>
      </c>
      <c r="F743" s="27" t="n">
        <v>12</v>
      </c>
      <c r="G743" s="27" t="n">
        <v>47</v>
      </c>
      <c r="H743" s="27" t="n">
        <v>5325</v>
      </c>
      <c r="I743" s="28">
        <f>G743*H743/1000*F743^2/162</f>
        <v>222.46666666666667</v>
      </c>
    </row>
    <row r="744">
      <c r="A744" s="7" t="inlineStr">
        <is>
          <t>STR-080</t>
        </is>
      </c>
      <c r="B744" s="7" t="inlineStr">
        <is>
          <t>Floor Slabs</t>
        </is>
      </c>
      <c r="C744" s="7" t="inlineStr">
        <is>
          <t>Typical 4th-8th slab - bottom</t>
        </is>
      </c>
      <c r="D744" s="7" t="inlineStr">
        <is>
          <t>F08, F09, F10, F11, F12</t>
        </is>
      </c>
      <c r="E744" s="27" t="inlineStr">
        <is>
          <t>1209</t>
        </is>
      </c>
      <c r="F744" s="27" t="n">
        <v>12</v>
      </c>
      <c r="G744" s="27" t="n">
        <v>124</v>
      </c>
      <c r="H744" s="27" t="n">
        <v>8700</v>
      </c>
      <c r="I744" s="28">
        <f>G744*H744/1000*F744^2/162</f>
        <v>958.9333333333333</v>
      </c>
    </row>
    <row r="745">
      <c r="A745" s="7" t="inlineStr">
        <is>
          <t>STR-080</t>
        </is>
      </c>
      <c r="B745" s="7" t="inlineStr">
        <is>
          <t>Floor Slabs</t>
        </is>
      </c>
      <c r="C745" s="7" t="inlineStr">
        <is>
          <t>Typical 4th-8th slab - bottom</t>
        </is>
      </c>
      <c r="D745" s="7" t="inlineStr">
        <is>
          <t>F08, F09, F10, F11, F12</t>
        </is>
      </c>
      <c r="E745" s="27" t="inlineStr">
        <is>
          <t>1210</t>
        </is>
      </c>
      <c r="F745" s="27" t="n">
        <v>12</v>
      </c>
      <c r="G745" s="27" t="n">
        <v>80</v>
      </c>
      <c r="H745" s="27" t="n">
        <v>9050</v>
      </c>
      <c r="I745" s="28">
        <f>G745*H745/1000*F745^2/162</f>
        <v>643.5555555555555</v>
      </c>
    </row>
    <row r="746">
      <c r="A746" s="7" t="inlineStr">
        <is>
          <t>STR-080</t>
        </is>
      </c>
      <c r="B746" s="7" t="inlineStr">
        <is>
          <t>Floor Slabs</t>
        </is>
      </c>
      <c r="C746" s="7" t="inlineStr">
        <is>
          <t>Typical 4th-8th slab - bottom</t>
        </is>
      </c>
      <c r="D746" s="7" t="inlineStr">
        <is>
          <t>F08, F09, F10, F11, F12</t>
        </is>
      </c>
      <c r="E746" s="27" t="inlineStr">
        <is>
          <t>1211</t>
        </is>
      </c>
      <c r="F746" s="27" t="n">
        <v>12</v>
      </c>
      <c r="G746" s="27" t="n">
        <v>15</v>
      </c>
      <c r="H746" s="27" t="n">
        <v>8650</v>
      </c>
      <c r="I746" s="28">
        <f>G746*H746/1000*F746^2/162</f>
        <v>115.33333333333333</v>
      </c>
    </row>
    <row r="747">
      <c r="A747" s="7" t="inlineStr">
        <is>
          <t>STR-080</t>
        </is>
      </c>
      <c r="B747" s="7" t="inlineStr">
        <is>
          <t>Floor Slabs</t>
        </is>
      </c>
      <c r="C747" s="7" t="inlineStr">
        <is>
          <t>Typical 4th-8th slab - bottom</t>
        </is>
      </c>
      <c r="D747" s="7" t="inlineStr">
        <is>
          <t>F08, F09, F10, F11, F12</t>
        </is>
      </c>
      <c r="E747" s="27" t="inlineStr">
        <is>
          <t>1212</t>
        </is>
      </c>
      <c r="F747" s="27" t="n">
        <v>12</v>
      </c>
      <c r="G747" s="27" t="n">
        <v>23</v>
      </c>
      <c r="H747" s="27" t="n">
        <v>8750</v>
      </c>
      <c r="I747" s="28">
        <f>G747*H747/1000*F747^2/162</f>
        <v>178.88888888888889</v>
      </c>
    </row>
    <row r="748">
      <c r="A748" s="7" t="inlineStr">
        <is>
          <t>STR-080</t>
        </is>
      </c>
      <c r="B748" s="7" t="inlineStr">
        <is>
          <t>Floor Slabs</t>
        </is>
      </c>
      <c r="C748" s="7" t="inlineStr">
        <is>
          <t>Typical 4th-8th slab - bottom</t>
        </is>
      </c>
      <c r="D748" s="7" t="inlineStr">
        <is>
          <t>F08, F09, F10, F11, F12</t>
        </is>
      </c>
      <c r="E748" s="27" t="inlineStr">
        <is>
          <t>1213</t>
        </is>
      </c>
      <c r="F748" s="27" t="n">
        <v>12</v>
      </c>
      <c r="G748" s="27" t="n">
        <v>24</v>
      </c>
      <c r="H748" s="27" t="n">
        <v>8700</v>
      </c>
      <c r="I748" s="28">
        <f>G748*H748/1000*F748^2/162</f>
        <v>185.6</v>
      </c>
    </row>
    <row r="749">
      <c r="A749" s="7" t="inlineStr">
        <is>
          <t>STR-080</t>
        </is>
      </c>
      <c r="B749" s="7" t="inlineStr">
        <is>
          <t>Floor Slabs</t>
        </is>
      </c>
      <c r="C749" s="7" t="inlineStr">
        <is>
          <t>Typical 4th-8th slab - bottom</t>
        </is>
      </c>
      <c r="D749" s="7" t="inlineStr">
        <is>
          <t>F08, F09, F10, F11, F12</t>
        </is>
      </c>
      <c r="E749" s="27" t="inlineStr">
        <is>
          <t>1214</t>
        </is>
      </c>
      <c r="F749" s="27" t="n">
        <v>12</v>
      </c>
      <c r="G749" s="27" t="n">
        <v>7</v>
      </c>
      <c r="H749" s="27" t="n">
        <v>10000</v>
      </c>
      <c r="I749" s="28">
        <f>G749*H749/1000*F749^2/162</f>
        <v>62.22222222222222</v>
      </c>
    </row>
    <row r="750">
      <c r="A750" s="7" t="inlineStr">
        <is>
          <t>STR-080</t>
        </is>
      </c>
      <c r="B750" s="7" t="inlineStr">
        <is>
          <t>Floor Slabs</t>
        </is>
      </c>
      <c r="C750" s="7" t="inlineStr">
        <is>
          <t>Typical 4th-8th slab - bottom</t>
        </is>
      </c>
      <c r="D750" s="7" t="inlineStr">
        <is>
          <t>F08, F09, F10, F11, F12</t>
        </is>
      </c>
      <c r="E750" s="27" t="inlineStr">
        <is>
          <t>1215</t>
        </is>
      </c>
      <c r="F750" s="27" t="n">
        <v>12</v>
      </c>
      <c r="G750" s="27" t="n">
        <v>202</v>
      </c>
      <c r="H750" s="27" t="n">
        <v>10000</v>
      </c>
      <c r="I750" s="28">
        <f>G750*H750/1000*F750^2/162</f>
        <v>1795.5555555555557</v>
      </c>
    </row>
    <row r="751">
      <c r="A751" s="7" t="inlineStr">
        <is>
          <t>STR-080</t>
        </is>
      </c>
      <c r="B751" s="7" t="inlineStr">
        <is>
          <t>Floor Slabs</t>
        </is>
      </c>
      <c r="C751" s="7" t="inlineStr">
        <is>
          <t>Typical 4th-8th slab - bottom</t>
        </is>
      </c>
      <c r="D751" s="7" t="inlineStr">
        <is>
          <t>F08, F09, F10, F11, F12</t>
        </is>
      </c>
      <c r="E751" s="27" t="inlineStr">
        <is>
          <t>1216</t>
        </is>
      </c>
      <c r="F751" s="27" t="n">
        <v>12</v>
      </c>
      <c r="G751" s="27" t="n">
        <v>162</v>
      </c>
      <c r="H751" s="27" t="n">
        <v>9550</v>
      </c>
      <c r="I751" s="28">
        <f>G751*H751/1000*F751^2/162</f>
        <v>1375.2</v>
      </c>
    </row>
    <row r="752">
      <c r="A752" s="7" t="inlineStr">
        <is>
          <t>STR-080</t>
        </is>
      </c>
      <c r="B752" s="7" t="inlineStr">
        <is>
          <t>Floor Slabs</t>
        </is>
      </c>
      <c r="C752" s="7" t="inlineStr">
        <is>
          <t>Typical 4th-8th slab - bottom</t>
        </is>
      </c>
      <c r="D752" s="7" t="inlineStr">
        <is>
          <t>F08, F09, F10, F11, F12</t>
        </is>
      </c>
      <c r="E752" s="27" t="inlineStr">
        <is>
          <t>1217</t>
        </is>
      </c>
      <c r="F752" s="27" t="n">
        <v>12</v>
      </c>
      <c r="G752" s="27" t="n">
        <v>31</v>
      </c>
      <c r="H752" s="27" t="n">
        <v>7250</v>
      </c>
      <c r="I752" s="28">
        <f>G752*H752/1000*F752^2/162</f>
        <v>199.77777777777777</v>
      </c>
    </row>
    <row r="753">
      <c r="A753" s="7" t="inlineStr">
        <is>
          <t>STR-080</t>
        </is>
      </c>
      <c r="B753" s="7" t="inlineStr">
        <is>
          <t>Floor Slabs</t>
        </is>
      </c>
      <c r="C753" s="7" t="inlineStr">
        <is>
          <t>Typical 4th-8th slab - bottom</t>
        </is>
      </c>
      <c r="D753" s="7" t="inlineStr">
        <is>
          <t>F08, F09, F10, F11, F12</t>
        </is>
      </c>
      <c r="E753" s="27" t="inlineStr">
        <is>
          <t>1218</t>
        </is>
      </c>
      <c r="F753" s="27" t="n">
        <v>12</v>
      </c>
      <c r="G753" s="27" t="n">
        <v>205</v>
      </c>
      <c r="H753" s="27" t="n">
        <v>7775</v>
      </c>
      <c r="I753" s="28">
        <f>G753*H753/1000*F753^2/162</f>
        <v>1416.7777777777778</v>
      </c>
    </row>
    <row r="754">
      <c r="A754" s="7" t="inlineStr">
        <is>
          <t>STR-080</t>
        </is>
      </c>
      <c r="B754" s="7" t="inlineStr">
        <is>
          <t>Floor Slabs</t>
        </is>
      </c>
      <c r="C754" s="7" t="inlineStr">
        <is>
          <t>Typical 4th-8th slab - bottom</t>
        </is>
      </c>
      <c r="D754" s="7" t="inlineStr">
        <is>
          <t>F08, F09, F10, F11, F12</t>
        </is>
      </c>
      <c r="E754" s="27" t="inlineStr">
        <is>
          <t>1219</t>
        </is>
      </c>
      <c r="F754" s="27" t="n">
        <v>12</v>
      </c>
      <c r="G754" s="27" t="n">
        <v>44</v>
      </c>
      <c r="H754" s="27" t="n">
        <v>8000</v>
      </c>
      <c r="I754" s="28">
        <f>G754*H754/1000*F754^2/162</f>
        <v>312.8888888888889</v>
      </c>
    </row>
    <row r="755">
      <c r="A755" s="7" t="inlineStr">
        <is>
          <t>STR-080</t>
        </is>
      </c>
      <c r="B755" s="7" t="inlineStr">
        <is>
          <t>Floor Slabs</t>
        </is>
      </c>
      <c r="C755" s="7" t="inlineStr">
        <is>
          <t>Typical 4th-8th slab - bottom</t>
        </is>
      </c>
      <c r="D755" s="7" t="inlineStr">
        <is>
          <t>F08, F09, F10, F11, F12</t>
        </is>
      </c>
      <c r="E755" s="27" t="inlineStr">
        <is>
          <t>1220</t>
        </is>
      </c>
      <c r="F755" s="27" t="n">
        <v>12</v>
      </c>
      <c r="G755" s="27" t="n">
        <v>23</v>
      </c>
      <c r="H755" s="27" t="n">
        <v>12000</v>
      </c>
      <c r="I755" s="28">
        <f>G755*H755/1000*F755^2/162</f>
        <v>245.33333333333334</v>
      </c>
    </row>
    <row r="756">
      <c r="A756" s="7" t="inlineStr">
        <is>
          <t>STR-080</t>
        </is>
      </c>
      <c r="B756" s="7" t="inlineStr">
        <is>
          <t>Floor Slabs</t>
        </is>
      </c>
      <c r="C756" s="7" t="inlineStr">
        <is>
          <t>Typical 4th-8th slab - bottom</t>
        </is>
      </c>
      <c r="D756" s="7" t="inlineStr">
        <is>
          <t>F08, F09, F10, F11, F12</t>
        </is>
      </c>
      <c r="E756" s="27" t="inlineStr">
        <is>
          <t>1221</t>
        </is>
      </c>
      <c r="F756" s="27" t="n">
        <v>12</v>
      </c>
      <c r="G756" s="27" t="n">
        <v>212</v>
      </c>
      <c r="H756" s="27" t="n">
        <v>6000</v>
      </c>
      <c r="I756" s="28">
        <f>G756*H756/1000*F756^2/162</f>
        <v>1130.6666666666667</v>
      </c>
    </row>
    <row r="757">
      <c r="A757" s="7" t="inlineStr">
        <is>
          <t>STR-080</t>
        </is>
      </c>
      <c r="B757" s="7" t="inlineStr">
        <is>
          <t>Floor Slabs</t>
        </is>
      </c>
      <c r="C757" s="7" t="inlineStr">
        <is>
          <t>Typical 4th-8th slab - bottom</t>
        </is>
      </c>
      <c r="D757" s="7" t="inlineStr">
        <is>
          <t>F08, F09, F10, F11, F12</t>
        </is>
      </c>
      <c r="E757" s="27" t="inlineStr">
        <is>
          <t>1222</t>
        </is>
      </c>
      <c r="F757" s="27" t="n">
        <v>12</v>
      </c>
      <c r="G757" s="27" t="n">
        <v>13</v>
      </c>
      <c r="H757" s="27" t="n">
        <v>7325</v>
      </c>
      <c r="I757" s="28">
        <f>G757*H757/1000*F757^2/162</f>
        <v>84.64444444444445</v>
      </c>
    </row>
    <row r="758">
      <c r="A758" s="7" t="inlineStr">
        <is>
          <t>STR-080</t>
        </is>
      </c>
      <c r="B758" s="7" t="inlineStr">
        <is>
          <t>Floor Slabs</t>
        </is>
      </c>
      <c r="C758" s="7" t="inlineStr">
        <is>
          <t>Typical 4th-8th slab - bottom</t>
        </is>
      </c>
      <c r="D758" s="7" t="inlineStr">
        <is>
          <t>F08, F09, F10, F11, F12</t>
        </is>
      </c>
      <c r="E758" s="27" t="inlineStr">
        <is>
          <t>1223</t>
        </is>
      </c>
      <c r="F758" s="27" t="n">
        <v>12</v>
      </c>
      <c r="G758" s="27" t="n">
        <v>149</v>
      </c>
      <c r="H758" s="27" t="n">
        <v>12000</v>
      </c>
      <c r="I758" s="28">
        <f>G758*H758/1000*F758^2/162</f>
        <v>1589.3333333333333</v>
      </c>
    </row>
    <row r="759">
      <c r="A759" s="7" t="inlineStr">
        <is>
          <t>STR-080</t>
        </is>
      </c>
      <c r="B759" s="7" t="inlineStr">
        <is>
          <t>Floor Slabs</t>
        </is>
      </c>
      <c r="C759" s="7" t="inlineStr">
        <is>
          <t>Typical 4th-8th slab - bottom</t>
        </is>
      </c>
      <c r="D759" s="7" t="inlineStr">
        <is>
          <t>F08, F09, F10, F11, F12</t>
        </is>
      </c>
      <c r="E759" s="27" t="inlineStr">
        <is>
          <t>1224</t>
        </is>
      </c>
      <c r="F759" s="27" t="n">
        <v>12</v>
      </c>
      <c r="G759" s="27" t="n">
        <v>85</v>
      </c>
      <c r="H759" s="27" t="n">
        <v>7375</v>
      </c>
      <c r="I759" s="28">
        <f>G759*H759/1000*F759^2/162</f>
        <v>557.2222222222222</v>
      </c>
    </row>
    <row r="760">
      <c r="A760" s="7" t="inlineStr">
        <is>
          <t>STR-080</t>
        </is>
      </c>
      <c r="B760" s="7" t="inlineStr">
        <is>
          <t>Floor Slabs</t>
        </is>
      </c>
      <c r="C760" s="7" t="inlineStr">
        <is>
          <t>Typical 4th-8th slab - bottom</t>
        </is>
      </c>
      <c r="D760" s="7" t="inlineStr">
        <is>
          <t>F08, F09, F10, F11, F12</t>
        </is>
      </c>
      <c r="E760" s="27" t="inlineStr">
        <is>
          <t>1225</t>
        </is>
      </c>
      <c r="F760" s="27" t="n">
        <v>12</v>
      </c>
      <c r="G760" s="27" t="n">
        <v>13</v>
      </c>
      <c r="H760" s="27" t="n">
        <v>3950</v>
      </c>
      <c r="I760" s="28">
        <f>G760*H760/1000*F760^2/162</f>
        <v>45.644444444444446</v>
      </c>
    </row>
    <row r="761">
      <c r="A761" s="7" t="inlineStr">
        <is>
          <t>STR-080</t>
        </is>
      </c>
      <c r="B761" s="7" t="inlineStr">
        <is>
          <t>Floor Slabs</t>
        </is>
      </c>
      <c r="C761" s="7" t="inlineStr">
        <is>
          <t>Typical 4th-8th slab - bottom</t>
        </is>
      </c>
      <c r="D761" s="7" t="inlineStr">
        <is>
          <t>F08, F09, F10, F11, F12</t>
        </is>
      </c>
      <c r="E761" s="27" t="inlineStr">
        <is>
          <t>1226</t>
        </is>
      </c>
      <c r="F761" s="27" t="n">
        <v>12</v>
      </c>
      <c r="G761" s="27" t="n">
        <v>357</v>
      </c>
      <c r="H761" s="27" t="n">
        <v>6200</v>
      </c>
      <c r="I761" s="28">
        <f>G761*H761/1000*F761^2/162</f>
        <v>1967.466666666667</v>
      </c>
    </row>
    <row r="762">
      <c r="A762" s="7" t="inlineStr">
        <is>
          <t>STR-080</t>
        </is>
      </c>
      <c r="B762" s="7" t="inlineStr">
        <is>
          <t>Floor Slabs</t>
        </is>
      </c>
      <c r="C762" s="7" t="inlineStr">
        <is>
          <t>Typical 4th-8th slab - bottom</t>
        </is>
      </c>
      <c r="D762" s="7" t="inlineStr">
        <is>
          <t>F08, F09, F10, F11, F12</t>
        </is>
      </c>
      <c r="E762" s="27" t="inlineStr">
        <is>
          <t>1227</t>
        </is>
      </c>
      <c r="F762" s="27" t="n">
        <v>12</v>
      </c>
      <c r="G762" s="27" t="n">
        <v>212</v>
      </c>
      <c r="H762" s="27" t="n">
        <v>9475</v>
      </c>
      <c r="I762" s="28">
        <f>G762*H762/1000*F762^2/162</f>
        <v>1785.511111111111</v>
      </c>
    </row>
    <row r="763">
      <c r="A763" s="7" t="inlineStr">
        <is>
          <t>STR-080</t>
        </is>
      </c>
      <c r="B763" s="7" t="inlineStr">
        <is>
          <t>Floor Slabs</t>
        </is>
      </c>
      <c r="C763" s="7" t="inlineStr">
        <is>
          <t>Typical 4th-8th slab - bottom</t>
        </is>
      </c>
      <c r="D763" s="7" t="inlineStr">
        <is>
          <t>F08, F09, F10, F11, F12</t>
        </is>
      </c>
      <c r="E763" s="27" t="inlineStr">
        <is>
          <t>1228</t>
        </is>
      </c>
      <c r="F763" s="27" t="n">
        <v>12</v>
      </c>
      <c r="G763" s="27" t="n">
        <v>75</v>
      </c>
      <c r="H763" s="27" t="n">
        <v>7250</v>
      </c>
      <c r="I763" s="28">
        <f>G763*H763/1000*F763^2/162</f>
        <v>483.3333333333333</v>
      </c>
    </row>
    <row r="764">
      <c r="A764" s="7" t="inlineStr">
        <is>
          <t>STR-080</t>
        </is>
      </c>
      <c r="B764" s="7" t="inlineStr">
        <is>
          <t>Floor Slabs</t>
        </is>
      </c>
      <c r="C764" s="7" t="inlineStr">
        <is>
          <t>Typical 4th-8th slab - bottom</t>
        </is>
      </c>
      <c r="D764" s="7" t="inlineStr">
        <is>
          <t>F08, F09, F10, F11, F12</t>
        </is>
      </c>
      <c r="E764" s="27" t="inlineStr">
        <is>
          <t>1229</t>
        </is>
      </c>
      <c r="F764" s="27" t="n">
        <v>12</v>
      </c>
      <c r="G764" s="27" t="n">
        <v>7</v>
      </c>
      <c r="H764" s="27" t="n">
        <v>4800</v>
      </c>
      <c r="I764" s="28">
        <f>G764*H764/1000*F764^2/162</f>
        <v>29.86666666666667</v>
      </c>
    </row>
    <row r="765">
      <c r="A765" s="7" t="inlineStr">
        <is>
          <t>STR-080</t>
        </is>
      </c>
      <c r="B765" s="7" t="inlineStr">
        <is>
          <t>Floor Slabs</t>
        </is>
      </c>
      <c r="C765" s="7" t="inlineStr">
        <is>
          <t>Typical 4th-8th slab - bottom</t>
        </is>
      </c>
      <c r="D765" s="7" t="inlineStr">
        <is>
          <t>F08, F09, F10, F11, F12</t>
        </is>
      </c>
      <c r="E765" s="27" t="inlineStr">
        <is>
          <t>1230</t>
        </is>
      </c>
      <c r="F765" s="27" t="n">
        <v>12</v>
      </c>
      <c r="G765" s="27" t="n">
        <v>73</v>
      </c>
      <c r="H765" s="27" t="n">
        <v>7400</v>
      </c>
      <c r="I765" s="28">
        <f>G765*H765/1000*F765^2/162</f>
        <v>480.1777777777778</v>
      </c>
    </row>
    <row r="766">
      <c r="A766" s="7" t="inlineStr">
        <is>
          <t>STR-080</t>
        </is>
      </c>
      <c r="B766" s="7" t="inlineStr">
        <is>
          <t>Floor Slabs</t>
        </is>
      </c>
      <c r="C766" s="7" t="inlineStr">
        <is>
          <t>Typical 4th-8th slab - bottom</t>
        </is>
      </c>
      <c r="D766" s="7" t="inlineStr">
        <is>
          <t>F08, F09, F10, F11, F12</t>
        </is>
      </c>
      <c r="E766" s="27" t="inlineStr">
        <is>
          <t>1231</t>
        </is>
      </c>
      <c r="F766" s="27" t="n">
        <v>12</v>
      </c>
      <c r="G766" s="27" t="n">
        <v>13</v>
      </c>
      <c r="H766" s="27" t="n">
        <v>6900</v>
      </c>
      <c r="I766" s="28">
        <f>G766*H766/1000*F766^2/162</f>
        <v>79.73333333333333</v>
      </c>
    </row>
    <row r="767">
      <c r="A767" s="7" t="inlineStr">
        <is>
          <t>STR-080</t>
        </is>
      </c>
      <c r="B767" s="7" t="inlineStr">
        <is>
          <t>Floor Slabs</t>
        </is>
      </c>
      <c r="C767" s="7" t="inlineStr">
        <is>
          <t>Typical 4th-8th slab - bottom</t>
        </is>
      </c>
      <c r="D767" s="7" t="inlineStr">
        <is>
          <t>F08, F09, F10, F11, F12</t>
        </is>
      </c>
      <c r="E767" s="27" t="inlineStr">
        <is>
          <t>1232</t>
        </is>
      </c>
      <c r="F767" s="27" t="n">
        <v>12</v>
      </c>
      <c r="G767" s="27" t="n">
        <v>12</v>
      </c>
      <c r="H767" s="27" t="n">
        <v>5900</v>
      </c>
      <c r="I767" s="28">
        <f>G767*H767/1000*F767^2/162</f>
        <v>62.93333333333333</v>
      </c>
    </row>
    <row r="768">
      <c r="A768" s="7" t="inlineStr">
        <is>
          <t>STR-080</t>
        </is>
      </c>
      <c r="B768" s="7" t="inlineStr">
        <is>
          <t>Floor Slabs</t>
        </is>
      </c>
      <c r="C768" s="7" t="inlineStr">
        <is>
          <t>Typical 4th-8th slab - bottom</t>
        </is>
      </c>
      <c r="D768" s="7" t="inlineStr">
        <is>
          <t>F08, F09, F10, F11, F12</t>
        </is>
      </c>
      <c r="E768" s="27" t="inlineStr">
        <is>
          <t>1233</t>
        </is>
      </c>
      <c r="F768" s="27" t="n">
        <v>12</v>
      </c>
      <c r="G768" s="27" t="n">
        <v>13</v>
      </c>
      <c r="H768" s="27" t="n">
        <v>4200</v>
      </c>
      <c r="I768" s="28">
        <f>G768*H768/1000*F768^2/162</f>
        <v>48.53333333333334</v>
      </c>
    </row>
    <row r="769">
      <c r="A769" s="7" t="inlineStr">
        <is>
          <t>STR-080</t>
        </is>
      </c>
      <c r="B769" s="7" t="inlineStr">
        <is>
          <t>Floor Slabs</t>
        </is>
      </c>
      <c r="C769" s="7" t="inlineStr">
        <is>
          <t>Typical 4th-8th slab - bottom</t>
        </is>
      </c>
      <c r="D769" s="7" t="inlineStr">
        <is>
          <t>F08, F09, F10, F11, F12</t>
        </is>
      </c>
      <c r="E769" s="27" t="inlineStr">
        <is>
          <t>1234</t>
        </is>
      </c>
      <c r="F769" s="27" t="n">
        <v>12</v>
      </c>
      <c r="G769" s="27" t="n">
        <v>73</v>
      </c>
      <c r="H769" s="27" t="n">
        <v>6000</v>
      </c>
      <c r="I769" s="28">
        <f>G769*H769/1000*F769^2/162</f>
        <v>389.3333333333333</v>
      </c>
    </row>
    <row r="770">
      <c r="A770" s="7" t="inlineStr">
        <is>
          <t>STR-080</t>
        </is>
      </c>
      <c r="B770" s="7" t="inlineStr">
        <is>
          <t>Floor Slabs</t>
        </is>
      </c>
      <c r="C770" s="7" t="inlineStr">
        <is>
          <t>Typical 4th-8th slab - bottom</t>
        </is>
      </c>
      <c r="D770" s="7" t="inlineStr">
        <is>
          <t>F08, F09, F10, F11, F12</t>
        </is>
      </c>
      <c r="E770" s="27" t="inlineStr">
        <is>
          <t>1235</t>
        </is>
      </c>
      <c r="F770" s="27" t="n">
        <v>12</v>
      </c>
      <c r="G770" s="27" t="n">
        <v>43</v>
      </c>
      <c r="H770" s="27" t="n">
        <v>11750</v>
      </c>
      <c r="I770" s="28">
        <f>G770*H770/1000*F770^2/162</f>
        <v>449.1111111111111</v>
      </c>
    </row>
    <row r="771">
      <c r="A771" s="7" t="inlineStr">
        <is>
          <t>STR-080</t>
        </is>
      </c>
      <c r="B771" s="7" t="inlineStr">
        <is>
          <t>Floor Slabs</t>
        </is>
      </c>
      <c r="C771" s="7" t="inlineStr">
        <is>
          <t>Typical 4th-8th slab - bottom</t>
        </is>
      </c>
      <c r="D771" s="7" t="inlineStr">
        <is>
          <t>F08, F09, F10, F11, F12</t>
        </is>
      </c>
      <c r="E771" s="27" t="inlineStr">
        <is>
          <t>1236</t>
        </is>
      </c>
      <c r="F771" s="27" t="n">
        <v>12</v>
      </c>
      <c r="G771" s="27" t="n">
        <v>12</v>
      </c>
      <c r="H771" s="27" t="n">
        <v>8350</v>
      </c>
      <c r="I771" s="28">
        <f>G771*H771/1000*F771^2/162</f>
        <v>89.06666666666668</v>
      </c>
    </row>
    <row r="772">
      <c r="A772" s="7" t="inlineStr">
        <is>
          <t>STR-080</t>
        </is>
      </c>
      <c r="B772" s="7" t="inlineStr">
        <is>
          <t>Floor Slabs</t>
        </is>
      </c>
      <c r="C772" s="7" t="inlineStr">
        <is>
          <t>Typical 4th-8th slab - bottom</t>
        </is>
      </c>
      <c r="D772" s="7" t="inlineStr">
        <is>
          <t>F08, F09, F10, F11, F12</t>
        </is>
      </c>
      <c r="E772" s="27" t="inlineStr">
        <is>
          <t>1237</t>
        </is>
      </c>
      <c r="F772" s="27" t="n">
        <v>12</v>
      </c>
      <c r="G772" s="27" t="n">
        <v>75</v>
      </c>
      <c r="H772" s="27" t="n">
        <v>11250</v>
      </c>
      <c r="I772" s="28">
        <f>G772*H772/1000*F772^2/162</f>
        <v>750.0</v>
      </c>
    </row>
    <row r="773">
      <c r="A773" s="7" t="inlineStr">
        <is>
          <t>STR-081</t>
        </is>
      </c>
      <c r="B773" s="7" t="inlineStr">
        <is>
          <t>Floor Slabs</t>
        </is>
      </c>
      <c r="C773" s="7" t="inlineStr">
        <is>
          <t>Typical 4th-8th slab - top</t>
        </is>
      </c>
      <c r="D773" s="7" t="inlineStr">
        <is>
          <t>F08, F09, F10, F11, F12</t>
        </is>
      </c>
      <c r="E773" s="27" t="inlineStr">
        <is>
          <t>1238</t>
        </is>
      </c>
      <c r="F773" s="27" t="n">
        <v>12</v>
      </c>
      <c r="G773" s="27" t="n">
        <v>16</v>
      </c>
      <c r="H773" s="27" t="n">
        <v>1925</v>
      </c>
      <c r="I773" s="28">
        <f>G773*H773/1000*F773^2/162</f>
        <v>27.377777777777776</v>
      </c>
    </row>
    <row r="774">
      <c r="A774" s="7" t="inlineStr">
        <is>
          <t>STR-081</t>
        </is>
      </c>
      <c r="B774" s="7" t="inlineStr">
        <is>
          <t>Floor Slabs</t>
        </is>
      </c>
      <c r="C774" s="7" t="inlineStr">
        <is>
          <t>Typical 4th-8th slab - top</t>
        </is>
      </c>
      <c r="D774" s="7" t="inlineStr">
        <is>
          <t>F08, F09, F10, F11, F12</t>
        </is>
      </c>
      <c r="E774" s="27" t="inlineStr">
        <is>
          <t>1239</t>
        </is>
      </c>
      <c r="F774" s="27" t="n">
        <v>12</v>
      </c>
      <c r="G774" s="27" t="n">
        <v>230</v>
      </c>
      <c r="H774" s="27" t="n">
        <v>11650</v>
      </c>
      <c r="I774" s="28">
        <f>G774*H774/1000*F774^2/162</f>
        <v>2381.777777777778</v>
      </c>
    </row>
    <row r="775">
      <c r="A775" s="7" t="inlineStr">
        <is>
          <t>STR-081</t>
        </is>
      </c>
      <c r="B775" s="7" t="inlineStr">
        <is>
          <t>Floor Slabs</t>
        </is>
      </c>
      <c r="C775" s="7" t="inlineStr">
        <is>
          <t>Typical 4th-8th slab - top</t>
        </is>
      </c>
      <c r="D775" s="7" t="inlineStr">
        <is>
          <t>F08, F09, F10, F11, F12</t>
        </is>
      </c>
      <c r="E775" s="27" t="inlineStr">
        <is>
          <t>1240</t>
        </is>
      </c>
      <c r="F775" s="27" t="n">
        <v>12</v>
      </c>
      <c r="G775" s="27" t="n">
        <v>74</v>
      </c>
      <c r="H775" s="27" t="n">
        <v>5850</v>
      </c>
      <c r="I775" s="28">
        <f>G775*H775/1000*F775^2/162</f>
        <v>384.8</v>
      </c>
    </row>
    <row r="776">
      <c r="A776" s="7" t="inlineStr">
        <is>
          <t>STR-081</t>
        </is>
      </c>
      <c r="B776" s="7" t="inlineStr">
        <is>
          <t>Floor Slabs</t>
        </is>
      </c>
      <c r="C776" s="7" t="inlineStr">
        <is>
          <t>Typical 4th-8th slab - top</t>
        </is>
      </c>
      <c r="D776" s="7" t="inlineStr">
        <is>
          <t>F08, F09, F10, F11, F12</t>
        </is>
      </c>
      <c r="E776" s="27" t="inlineStr">
        <is>
          <t>1241</t>
        </is>
      </c>
      <c r="F776" s="27" t="n">
        <v>12</v>
      </c>
      <c r="G776" s="27" t="n">
        <v>21</v>
      </c>
      <c r="H776" s="27" t="n">
        <v>8050</v>
      </c>
      <c r="I776" s="28">
        <f>G776*H776/1000*F776^2/162</f>
        <v>150.26666666666668</v>
      </c>
    </row>
    <row r="777">
      <c r="A777" s="7" t="inlineStr">
        <is>
          <t>STR-081</t>
        </is>
      </c>
      <c r="B777" s="7" t="inlineStr">
        <is>
          <t>Floor Slabs</t>
        </is>
      </c>
      <c r="C777" s="7" t="inlineStr">
        <is>
          <t>Typical 4th-8th slab - top</t>
        </is>
      </c>
      <c r="D777" s="7" t="inlineStr">
        <is>
          <t>F08, F09, F10, F11, F12</t>
        </is>
      </c>
      <c r="E777" s="27" t="inlineStr">
        <is>
          <t>1242</t>
        </is>
      </c>
      <c r="F777" s="27" t="n">
        <v>12</v>
      </c>
      <c r="G777" s="27" t="n">
        <v>263</v>
      </c>
      <c r="H777" s="27" t="n">
        <v>8000</v>
      </c>
      <c r="I777" s="28">
        <f>G777*H777/1000*F777^2/162</f>
        <v>1870.2222222222222</v>
      </c>
    </row>
    <row r="778">
      <c r="A778" s="7" t="inlineStr">
        <is>
          <t>STR-081</t>
        </is>
      </c>
      <c r="B778" s="7" t="inlineStr">
        <is>
          <t>Floor Slabs</t>
        </is>
      </c>
      <c r="C778" s="7" t="inlineStr">
        <is>
          <t>Typical 4th-8th slab - top</t>
        </is>
      </c>
      <c r="D778" s="7" t="inlineStr">
        <is>
          <t>F08, F09, F10, F11, F12</t>
        </is>
      </c>
      <c r="E778" s="27" t="inlineStr">
        <is>
          <t>1243</t>
        </is>
      </c>
      <c r="F778" s="27" t="n">
        <v>12</v>
      </c>
      <c r="G778" s="27" t="n">
        <v>226</v>
      </c>
      <c r="H778" s="27" t="n">
        <v>8800</v>
      </c>
      <c r="I778" s="28">
        <f>G778*H778/1000*F778^2/162</f>
        <v>1767.8222222222223</v>
      </c>
    </row>
    <row r="779">
      <c r="A779" s="7" t="inlineStr">
        <is>
          <t>STR-081</t>
        </is>
      </c>
      <c r="B779" s="7" t="inlineStr">
        <is>
          <t>Floor Slabs</t>
        </is>
      </c>
      <c r="C779" s="7" t="inlineStr">
        <is>
          <t>Typical 4th-8th slab - top</t>
        </is>
      </c>
      <c r="D779" s="7" t="inlineStr">
        <is>
          <t>F08, F09, F10, F11, F12</t>
        </is>
      </c>
      <c r="E779" s="27" t="inlineStr">
        <is>
          <t>1244</t>
        </is>
      </c>
      <c r="F779" s="27" t="n">
        <v>12</v>
      </c>
      <c r="G779" s="27" t="n">
        <v>21</v>
      </c>
      <c r="H779" s="27" t="n">
        <v>7350</v>
      </c>
      <c r="I779" s="28">
        <f>G779*H779/1000*F779^2/162</f>
        <v>137.2</v>
      </c>
    </row>
    <row r="780">
      <c r="A780" s="7" t="inlineStr">
        <is>
          <t>STR-081</t>
        </is>
      </c>
      <c r="B780" s="7" t="inlineStr">
        <is>
          <t>Floor Slabs</t>
        </is>
      </c>
      <c r="C780" s="7" t="inlineStr">
        <is>
          <t>Typical 4th-8th slab - top</t>
        </is>
      </c>
      <c r="D780" s="7" t="inlineStr">
        <is>
          <t>F08, F09, F10, F11, F12</t>
        </is>
      </c>
      <c r="E780" s="27" t="inlineStr">
        <is>
          <t>1245</t>
        </is>
      </c>
      <c r="F780" s="27" t="n">
        <v>12</v>
      </c>
      <c r="G780" s="27" t="n">
        <v>21</v>
      </c>
      <c r="H780" s="27" t="n">
        <v>8650</v>
      </c>
      <c r="I780" s="28">
        <f>G780*H780/1000*F780^2/162</f>
        <v>161.46666666666667</v>
      </c>
    </row>
    <row r="781">
      <c r="A781" s="7" t="inlineStr">
        <is>
          <t>STR-081</t>
        </is>
      </c>
      <c r="B781" s="7" t="inlineStr">
        <is>
          <t>Floor Slabs</t>
        </is>
      </c>
      <c r="C781" s="7" t="inlineStr">
        <is>
          <t>Typical 4th-8th slab - top</t>
        </is>
      </c>
      <c r="D781" s="7" t="inlineStr">
        <is>
          <t>F08, F09, F10, F11, F12</t>
        </is>
      </c>
      <c r="E781" s="27" t="inlineStr">
        <is>
          <t>1246</t>
        </is>
      </c>
      <c r="F781" s="27" t="n">
        <v>12</v>
      </c>
      <c r="G781" s="27" t="n">
        <v>27</v>
      </c>
      <c r="H781" s="27" t="n">
        <v>4575</v>
      </c>
      <c r="I781" s="28">
        <f>G781*H781/1000*F781^2/162</f>
        <v>109.80000000000001</v>
      </c>
    </row>
    <row r="782">
      <c r="A782" s="7" t="inlineStr">
        <is>
          <t>STR-081</t>
        </is>
      </c>
      <c r="B782" s="7" t="inlineStr">
        <is>
          <t>Floor Slabs</t>
        </is>
      </c>
      <c r="C782" s="7" t="inlineStr">
        <is>
          <t>Typical 4th-8th slab - top</t>
        </is>
      </c>
      <c r="D782" s="7" t="inlineStr">
        <is>
          <t>F08, F09, F10, F11, F12</t>
        </is>
      </c>
      <c r="E782" s="27" t="inlineStr">
        <is>
          <t>1247</t>
        </is>
      </c>
      <c r="F782" s="27" t="n">
        <v>12</v>
      </c>
      <c r="G782" s="27" t="n">
        <v>65</v>
      </c>
      <c r="H782" s="27" t="n">
        <v>5325</v>
      </c>
      <c r="I782" s="28">
        <f>G782*H782/1000*F782^2/162</f>
        <v>307.6666666666667</v>
      </c>
    </row>
    <row r="783">
      <c r="A783" s="7" t="inlineStr">
        <is>
          <t>STR-081</t>
        </is>
      </c>
      <c r="B783" s="7" t="inlineStr">
        <is>
          <t>Floor Slabs</t>
        </is>
      </c>
      <c r="C783" s="7" t="inlineStr">
        <is>
          <t>Typical 4th-8th slab - top</t>
        </is>
      </c>
      <c r="D783" s="7" t="inlineStr">
        <is>
          <t>F08, F09, F10, F11, F12</t>
        </is>
      </c>
      <c r="E783" s="27" t="inlineStr">
        <is>
          <t>1248</t>
        </is>
      </c>
      <c r="F783" s="27" t="n">
        <v>12</v>
      </c>
      <c r="G783" s="27" t="n">
        <v>15</v>
      </c>
      <c r="H783" s="27" t="n">
        <v>4700</v>
      </c>
      <c r="I783" s="28">
        <f>G783*H783/1000*F783^2/162</f>
        <v>62.666666666666664</v>
      </c>
    </row>
    <row r="784">
      <c r="A784" s="7" t="inlineStr">
        <is>
          <t>STR-081</t>
        </is>
      </c>
      <c r="B784" s="7" t="inlineStr">
        <is>
          <t>Floor Slabs</t>
        </is>
      </c>
      <c r="C784" s="7" t="inlineStr">
        <is>
          <t>Typical 4th-8th slab - top</t>
        </is>
      </c>
      <c r="D784" s="7" t="inlineStr">
        <is>
          <t>F08, F09, F10, F11, F12</t>
        </is>
      </c>
      <c r="E784" s="27" t="inlineStr">
        <is>
          <t>1249</t>
        </is>
      </c>
      <c r="F784" s="27" t="n">
        <v>12</v>
      </c>
      <c r="G784" s="27" t="n">
        <v>23</v>
      </c>
      <c r="H784" s="27" t="n">
        <v>12000</v>
      </c>
      <c r="I784" s="28">
        <f>G784*H784/1000*F784^2/162</f>
        <v>245.33333333333334</v>
      </c>
    </row>
    <row r="785">
      <c r="A785" s="7" t="inlineStr">
        <is>
          <t>STR-081</t>
        </is>
      </c>
      <c r="B785" s="7" t="inlineStr">
        <is>
          <t>Floor Slabs</t>
        </is>
      </c>
      <c r="C785" s="7" t="inlineStr">
        <is>
          <t>Typical 4th-8th slab - top</t>
        </is>
      </c>
      <c r="D785" s="7" t="inlineStr">
        <is>
          <t>F08, F09, F10, F11, F12</t>
        </is>
      </c>
      <c r="E785" s="27" t="inlineStr">
        <is>
          <t>1250</t>
        </is>
      </c>
      <c r="F785" s="27" t="n">
        <v>12</v>
      </c>
      <c r="G785" s="27" t="n">
        <v>9</v>
      </c>
      <c r="H785" s="27" t="n">
        <v>10000</v>
      </c>
      <c r="I785" s="28">
        <f>G785*H785/1000*F785^2/162</f>
        <v>80.0</v>
      </c>
    </row>
    <row r="786">
      <c r="A786" s="7" t="inlineStr">
        <is>
          <t>STR-081</t>
        </is>
      </c>
      <c r="B786" s="7" t="inlineStr">
        <is>
          <t>Floor Slabs</t>
        </is>
      </c>
      <c r="C786" s="7" t="inlineStr">
        <is>
          <t>Typical 4th-8th slab - top</t>
        </is>
      </c>
      <c r="D786" s="7" t="inlineStr">
        <is>
          <t>F08, F09, F10, F11, F12</t>
        </is>
      </c>
      <c r="E786" s="27" t="inlineStr">
        <is>
          <t>1251</t>
        </is>
      </c>
      <c r="F786" s="27" t="n">
        <v>12</v>
      </c>
      <c r="G786" s="27" t="n">
        <v>234</v>
      </c>
      <c r="H786" s="27" t="n">
        <v>8650</v>
      </c>
      <c r="I786" s="28">
        <f>G786*H786/1000*F786^2/162</f>
        <v>1799.1999999999998</v>
      </c>
    </row>
    <row r="787">
      <c r="A787" s="7" t="inlineStr">
        <is>
          <t>STR-081</t>
        </is>
      </c>
      <c r="B787" s="7" t="inlineStr">
        <is>
          <t>Floor Slabs</t>
        </is>
      </c>
      <c r="C787" s="7" t="inlineStr">
        <is>
          <t>Typical 4th-8th slab - top</t>
        </is>
      </c>
      <c r="D787" s="7" t="inlineStr">
        <is>
          <t>F08, F09, F10, F11, F12</t>
        </is>
      </c>
      <c r="E787" s="27" t="inlineStr">
        <is>
          <t>1252</t>
        </is>
      </c>
      <c r="F787" s="27" t="n">
        <v>12</v>
      </c>
      <c r="G787" s="27" t="n">
        <v>24</v>
      </c>
      <c r="H787" s="27" t="n">
        <v>4600</v>
      </c>
      <c r="I787" s="28">
        <f>G787*H787/1000*F787^2/162</f>
        <v>98.13333333333334</v>
      </c>
    </row>
    <row r="788">
      <c r="A788" s="7" t="inlineStr">
        <is>
          <t>STR-081</t>
        </is>
      </c>
      <c r="B788" s="7" t="inlineStr">
        <is>
          <t>Floor Slabs</t>
        </is>
      </c>
      <c r="C788" s="7" t="inlineStr">
        <is>
          <t>Typical 4th-8th slab - top</t>
        </is>
      </c>
      <c r="D788" s="7" t="inlineStr">
        <is>
          <t>F08, F09, F10, F11, F12</t>
        </is>
      </c>
      <c r="E788" s="27" t="inlineStr">
        <is>
          <t>1253</t>
        </is>
      </c>
      <c r="F788" s="27" t="n">
        <v>12</v>
      </c>
      <c r="G788" s="27" t="n">
        <v>152</v>
      </c>
      <c r="H788" s="27" t="n">
        <v>5900</v>
      </c>
      <c r="I788" s="28">
        <f>G788*H788/1000*F788^2/162</f>
        <v>797.1555555555556</v>
      </c>
    </row>
    <row r="789">
      <c r="A789" s="7" t="inlineStr">
        <is>
          <t>STR-081</t>
        </is>
      </c>
      <c r="B789" s="7" t="inlineStr">
        <is>
          <t>Floor Slabs</t>
        </is>
      </c>
      <c r="C789" s="7" t="inlineStr">
        <is>
          <t>Typical 4th-8th slab - top</t>
        </is>
      </c>
      <c r="D789" s="7" t="inlineStr">
        <is>
          <t>F08, F09, F10, F11, F12</t>
        </is>
      </c>
      <c r="E789" s="27" t="inlineStr">
        <is>
          <t>1254</t>
        </is>
      </c>
      <c r="F789" s="27" t="n">
        <v>12</v>
      </c>
      <c r="G789" s="27" t="n">
        <v>119</v>
      </c>
      <c r="H789" s="27" t="n">
        <v>9525</v>
      </c>
      <c r="I789" s="28">
        <f>G789*H789/1000*F789^2/162</f>
        <v>1007.5333333333333</v>
      </c>
    </row>
    <row r="790">
      <c r="A790" s="7" t="inlineStr">
        <is>
          <t>STR-081</t>
        </is>
      </c>
      <c r="B790" s="7" t="inlineStr">
        <is>
          <t>Floor Slabs</t>
        </is>
      </c>
      <c r="C790" s="7" t="inlineStr">
        <is>
          <t>Typical 4th-8th slab - top</t>
        </is>
      </c>
      <c r="D790" s="7" t="inlineStr">
        <is>
          <t>F08, F09, F10, F11, F12</t>
        </is>
      </c>
      <c r="E790" s="27" t="inlineStr">
        <is>
          <t>1255</t>
        </is>
      </c>
      <c r="F790" s="27" t="n">
        <v>12</v>
      </c>
      <c r="G790" s="27" t="n">
        <v>206</v>
      </c>
      <c r="H790" s="27" t="n">
        <v>4275</v>
      </c>
      <c r="I790" s="28">
        <f>G790*H790/1000*F790^2/162</f>
        <v>782.8</v>
      </c>
    </row>
    <row r="791">
      <c r="A791" s="7" t="inlineStr">
        <is>
          <t>STR-081</t>
        </is>
      </c>
      <c r="B791" s="7" t="inlineStr">
        <is>
          <t>Floor Slabs</t>
        </is>
      </c>
      <c r="C791" s="7" t="inlineStr">
        <is>
          <t>Typical 4th-8th slab - top</t>
        </is>
      </c>
      <c r="D791" s="7" t="inlineStr">
        <is>
          <t>F08, F09, F10, F11, F12</t>
        </is>
      </c>
      <c r="E791" s="27" t="inlineStr">
        <is>
          <t>1256</t>
        </is>
      </c>
      <c r="F791" s="27" t="n">
        <v>12</v>
      </c>
      <c r="G791" s="27" t="n">
        <v>31</v>
      </c>
      <c r="H791" s="27" t="n">
        <v>3750</v>
      </c>
      <c r="I791" s="28">
        <f>G791*H791/1000*F791^2/162</f>
        <v>103.33333333333333</v>
      </c>
    </row>
    <row r="792">
      <c r="A792" s="7" t="inlineStr">
        <is>
          <t>STR-081</t>
        </is>
      </c>
      <c r="B792" s="7" t="inlineStr">
        <is>
          <t>Floor Slabs</t>
        </is>
      </c>
      <c r="C792" s="7" t="inlineStr">
        <is>
          <t>Typical 4th-8th slab - top</t>
        </is>
      </c>
      <c r="D792" s="7" t="inlineStr">
        <is>
          <t>F08, F09, F10, F11, F12</t>
        </is>
      </c>
      <c r="E792" s="27" t="inlineStr">
        <is>
          <t>1257</t>
        </is>
      </c>
      <c r="F792" s="27" t="n">
        <v>12</v>
      </c>
      <c r="G792" s="27" t="n">
        <v>36</v>
      </c>
      <c r="H792" s="27" t="n">
        <v>10400</v>
      </c>
      <c r="I792" s="28">
        <f>G792*H792/1000*F792^2/162</f>
        <v>332.8</v>
      </c>
    </row>
    <row r="793">
      <c r="A793" s="7" t="inlineStr">
        <is>
          <t>STR-081</t>
        </is>
      </c>
      <c r="B793" s="7" t="inlineStr">
        <is>
          <t>Floor Slabs</t>
        </is>
      </c>
      <c r="C793" s="7" t="inlineStr">
        <is>
          <t>Typical 4th-8th slab - top</t>
        </is>
      </c>
      <c r="D793" s="7" t="inlineStr">
        <is>
          <t>F08, F09, F10, F11, F12</t>
        </is>
      </c>
      <c r="E793" s="27" t="inlineStr">
        <is>
          <t>1258</t>
        </is>
      </c>
      <c r="F793" s="27" t="n">
        <v>12</v>
      </c>
      <c r="G793" s="27" t="n">
        <v>23</v>
      </c>
      <c r="H793" s="27" t="n">
        <v>3450</v>
      </c>
      <c r="I793" s="28">
        <f>G793*H793/1000*F793^2/162</f>
        <v>70.53333333333333</v>
      </c>
    </row>
    <row r="794">
      <c r="A794" s="7" t="inlineStr">
        <is>
          <t>STR-081</t>
        </is>
      </c>
      <c r="B794" s="7" t="inlineStr">
        <is>
          <t>Floor Slabs</t>
        </is>
      </c>
      <c r="C794" s="7" t="inlineStr">
        <is>
          <t>Typical 4th-8th slab - top</t>
        </is>
      </c>
      <c r="D794" s="7" t="inlineStr">
        <is>
          <t>F08, F09, F10, F11, F12</t>
        </is>
      </c>
      <c r="E794" s="27" t="inlineStr">
        <is>
          <t>1259</t>
        </is>
      </c>
      <c r="F794" s="27" t="n">
        <v>12</v>
      </c>
      <c r="G794" s="27" t="n">
        <v>212</v>
      </c>
      <c r="H794" s="27" t="n">
        <v>9500</v>
      </c>
      <c r="I794" s="28">
        <f>G794*H794/1000*F794^2/162</f>
        <v>1790.2222222222222</v>
      </c>
    </row>
    <row r="795">
      <c r="A795" s="7" t="inlineStr">
        <is>
          <t>STR-081</t>
        </is>
      </c>
      <c r="B795" s="7" t="inlineStr">
        <is>
          <t>Floor Slabs</t>
        </is>
      </c>
      <c r="C795" s="7" t="inlineStr">
        <is>
          <t>Typical 4th-8th slab - top</t>
        </is>
      </c>
      <c r="D795" s="7" t="inlineStr">
        <is>
          <t>F08, F09, F10, F11, F12</t>
        </is>
      </c>
      <c r="E795" s="27" t="inlineStr">
        <is>
          <t>1260</t>
        </is>
      </c>
      <c r="F795" s="27" t="n">
        <v>12</v>
      </c>
      <c r="G795" s="27" t="n">
        <v>49</v>
      </c>
      <c r="H795" s="27" t="n">
        <v>7300</v>
      </c>
      <c r="I795" s="28">
        <f>G795*H795/1000*F795^2/162</f>
        <v>317.9555555555555</v>
      </c>
    </row>
    <row r="796">
      <c r="A796" s="7" t="inlineStr">
        <is>
          <t>STR-081</t>
        </is>
      </c>
      <c r="B796" s="7" t="inlineStr">
        <is>
          <t>Floor Slabs</t>
        </is>
      </c>
      <c r="C796" s="7" t="inlineStr">
        <is>
          <t>Typical 4th-8th slab - top</t>
        </is>
      </c>
      <c r="D796" s="7" t="inlineStr">
        <is>
          <t>F08, F09, F10, F11, F12</t>
        </is>
      </c>
      <c r="E796" s="27" t="inlineStr">
        <is>
          <t>1261</t>
        </is>
      </c>
      <c r="F796" s="27" t="n">
        <v>12</v>
      </c>
      <c r="G796" s="27" t="n">
        <v>113</v>
      </c>
      <c r="H796" s="27" t="n">
        <v>8750</v>
      </c>
      <c r="I796" s="28">
        <f>G796*H796/1000*F796^2/162</f>
        <v>878.8888888888889</v>
      </c>
    </row>
    <row r="797">
      <c r="A797" s="7" t="inlineStr">
        <is>
          <t>STR-081</t>
        </is>
      </c>
      <c r="B797" s="7" t="inlineStr">
        <is>
          <t>Floor Slabs</t>
        </is>
      </c>
      <c r="C797" s="7" t="inlineStr">
        <is>
          <t>Typical 4th-8th slab - top</t>
        </is>
      </c>
      <c r="D797" s="7" t="inlineStr">
        <is>
          <t>F08, F09, F10, F11, F12</t>
        </is>
      </c>
      <c r="E797" s="27" t="inlineStr">
        <is>
          <t>1262</t>
        </is>
      </c>
      <c r="F797" s="27" t="n">
        <v>12</v>
      </c>
      <c r="G797" s="27" t="n">
        <v>85</v>
      </c>
      <c r="H797" s="27" t="n">
        <v>3750</v>
      </c>
      <c r="I797" s="28">
        <f>G797*H797/1000*F797^2/162</f>
        <v>283.3333333333333</v>
      </c>
    </row>
    <row r="798">
      <c r="A798" s="7" t="inlineStr">
        <is>
          <t>STR-081</t>
        </is>
      </c>
      <c r="B798" s="7" t="inlineStr">
        <is>
          <t>Floor Slabs</t>
        </is>
      </c>
      <c r="C798" s="7" t="inlineStr">
        <is>
          <t>Typical 4th-8th slab - top</t>
        </is>
      </c>
      <c r="D798" s="7" t="inlineStr">
        <is>
          <t>F08, F09, F10, F11, F12</t>
        </is>
      </c>
      <c r="E798" s="27" t="inlineStr">
        <is>
          <t>1263</t>
        </is>
      </c>
      <c r="F798" s="27" t="n">
        <v>12</v>
      </c>
      <c r="G798" s="27" t="n">
        <v>13</v>
      </c>
      <c r="H798" s="27" t="n">
        <v>4100</v>
      </c>
      <c r="I798" s="28">
        <f>G798*H798/1000*F798^2/162</f>
        <v>47.37777777777778</v>
      </c>
    </row>
    <row r="799">
      <c r="A799" s="7" t="inlineStr">
        <is>
          <t>STR-081</t>
        </is>
      </c>
      <c r="B799" s="7" t="inlineStr">
        <is>
          <t>Floor Slabs</t>
        </is>
      </c>
      <c r="C799" s="7" t="inlineStr">
        <is>
          <t>Typical 4th-8th slab - top</t>
        </is>
      </c>
      <c r="D799" s="7" t="inlineStr">
        <is>
          <t>F08, F09, F10, F11, F12</t>
        </is>
      </c>
      <c r="E799" s="27" t="inlineStr">
        <is>
          <t>1264</t>
        </is>
      </c>
      <c r="F799" s="27" t="n">
        <v>12</v>
      </c>
      <c r="G799" s="27" t="n">
        <v>13</v>
      </c>
      <c r="H799" s="27" t="n">
        <v>4200</v>
      </c>
      <c r="I799" s="28">
        <f>G799*H799/1000*F799^2/162</f>
        <v>48.53333333333334</v>
      </c>
    </row>
    <row r="800">
      <c r="A800" s="7" t="inlineStr">
        <is>
          <t>STR-081</t>
        </is>
      </c>
      <c r="B800" s="7" t="inlineStr">
        <is>
          <t>Floor Slabs</t>
        </is>
      </c>
      <c r="C800" s="7" t="inlineStr">
        <is>
          <t>Typical 4th-8th slab - top</t>
        </is>
      </c>
      <c r="D800" s="7" t="inlineStr">
        <is>
          <t>F08, F09, F10, F11, F12</t>
        </is>
      </c>
      <c r="E800" s="27" t="inlineStr">
        <is>
          <t>1265</t>
        </is>
      </c>
      <c r="F800" s="27" t="n">
        <v>12</v>
      </c>
      <c r="G800" s="27" t="n">
        <v>357</v>
      </c>
      <c r="H800" s="27" t="n">
        <v>9200</v>
      </c>
      <c r="I800" s="28">
        <f>G800*H800/1000*F800^2/162</f>
        <v>2919.4666666666667</v>
      </c>
    </row>
    <row r="801">
      <c r="A801" s="7" t="inlineStr">
        <is>
          <t>STR-081</t>
        </is>
      </c>
      <c r="B801" s="7" t="inlineStr">
        <is>
          <t>Floor Slabs</t>
        </is>
      </c>
      <c r="C801" s="7" t="inlineStr">
        <is>
          <t>Typical 4th-8th slab - top</t>
        </is>
      </c>
      <c r="D801" s="7" t="inlineStr">
        <is>
          <t>F08, F09, F10, F11, F12</t>
        </is>
      </c>
      <c r="E801" s="27" t="inlineStr">
        <is>
          <t>1266</t>
        </is>
      </c>
      <c r="F801" s="27" t="n">
        <v>12</v>
      </c>
      <c r="G801" s="27" t="n">
        <v>12</v>
      </c>
      <c r="H801" s="27" t="n">
        <v>9475</v>
      </c>
      <c r="I801" s="28">
        <f>G801*H801/1000*F801^2/162</f>
        <v>101.06666666666668</v>
      </c>
    </row>
    <row r="802">
      <c r="A802" s="7" t="inlineStr">
        <is>
          <t>STR-081</t>
        </is>
      </c>
      <c r="B802" s="7" t="inlineStr">
        <is>
          <t>Floor Slabs</t>
        </is>
      </c>
      <c r="C802" s="7" t="inlineStr">
        <is>
          <t>Typical 4th-8th slab - top</t>
        </is>
      </c>
      <c r="D802" s="7" t="inlineStr">
        <is>
          <t>F08, F09, F10, F11, F12</t>
        </is>
      </c>
      <c r="E802" s="27" t="inlineStr">
        <is>
          <t>1267</t>
        </is>
      </c>
      <c r="F802" s="27" t="n">
        <v>12</v>
      </c>
      <c r="G802" s="27" t="n">
        <v>101</v>
      </c>
      <c r="H802" s="27" t="n">
        <v>2200</v>
      </c>
      <c r="I802" s="28">
        <f>G802*H802/1000*F802^2/162</f>
        <v>197.51111111111112</v>
      </c>
    </row>
    <row r="803">
      <c r="A803" s="7" t="inlineStr">
        <is>
          <t>STR-081</t>
        </is>
      </c>
      <c r="B803" s="7" t="inlineStr">
        <is>
          <t>Floor Slabs</t>
        </is>
      </c>
      <c r="C803" s="7" t="inlineStr">
        <is>
          <t>Typical 4th-8th slab - top</t>
        </is>
      </c>
      <c r="D803" s="7" t="inlineStr">
        <is>
          <t>F08, F09, F10, F11, F12</t>
        </is>
      </c>
      <c r="E803" s="27" t="inlineStr">
        <is>
          <t>1268</t>
        </is>
      </c>
      <c r="F803" s="27" t="n">
        <v>12</v>
      </c>
      <c r="G803" s="27" t="n">
        <v>9</v>
      </c>
      <c r="H803" s="27" t="n">
        <v>8500</v>
      </c>
      <c r="I803" s="28">
        <f>G803*H803/1000*F803^2/162</f>
        <v>68.0</v>
      </c>
    </row>
    <row r="804">
      <c r="A804" s="7" t="inlineStr">
        <is>
          <t>STR-081</t>
        </is>
      </c>
      <c r="B804" s="7" t="inlineStr">
        <is>
          <t>Floor Slabs</t>
        </is>
      </c>
      <c r="C804" s="7" t="inlineStr">
        <is>
          <t>Typical 4th-8th slab - top</t>
        </is>
      </c>
      <c r="D804" s="7" t="inlineStr">
        <is>
          <t>F08, F09, F10, F11, F12</t>
        </is>
      </c>
      <c r="E804" s="27" t="inlineStr">
        <is>
          <t>1269</t>
        </is>
      </c>
      <c r="F804" s="27" t="n">
        <v>12</v>
      </c>
      <c r="G804" s="27" t="n">
        <v>87</v>
      </c>
      <c r="H804" s="27" t="n">
        <v>4550</v>
      </c>
      <c r="I804" s="28">
        <f>G804*H804/1000*F804^2/162</f>
        <v>351.8666666666667</v>
      </c>
    </row>
    <row r="805">
      <c r="A805" s="7" t="inlineStr">
        <is>
          <t>STR-081</t>
        </is>
      </c>
      <c r="B805" s="7" t="inlineStr">
        <is>
          <t>Floor Slabs</t>
        </is>
      </c>
      <c r="C805" s="7" t="inlineStr">
        <is>
          <t>Typical 4th-8th slab - top</t>
        </is>
      </c>
      <c r="D805" s="7" t="inlineStr">
        <is>
          <t>F08, F09, F10, F11, F12</t>
        </is>
      </c>
      <c r="E805" s="27" t="inlineStr">
        <is>
          <t>1270</t>
        </is>
      </c>
      <c r="F805" s="27" t="n">
        <v>12</v>
      </c>
      <c r="G805" s="27" t="n">
        <v>48</v>
      </c>
      <c r="H805" s="27" t="n">
        <v>8727</v>
      </c>
      <c r="I805" s="28">
        <f>G805*H805/1000*F805^2/162</f>
        <v>372.35200000000003</v>
      </c>
    </row>
    <row r="806">
      <c r="A806" s="7" t="inlineStr">
        <is>
          <t>STR-081</t>
        </is>
      </c>
      <c r="B806" s="7" t="inlineStr">
        <is>
          <t>Floor Slabs</t>
        </is>
      </c>
      <c r="C806" s="7" t="inlineStr">
        <is>
          <t>Typical 4th-8th slab - top</t>
        </is>
      </c>
      <c r="D806" s="7" t="inlineStr">
        <is>
          <t>F08, F09, F10, F11, F12</t>
        </is>
      </c>
      <c r="E806" s="27" t="inlineStr">
        <is>
          <t>1271</t>
        </is>
      </c>
      <c r="F806" s="27" t="n">
        <v>12</v>
      </c>
      <c r="G806" s="27" t="n">
        <v>74</v>
      </c>
      <c r="H806" s="27" t="n">
        <v>12000</v>
      </c>
      <c r="I806" s="28">
        <f>G806*H806/1000*F806^2/162</f>
        <v>789.3333333333334</v>
      </c>
    </row>
    <row r="807">
      <c r="A807" s="7" t="inlineStr">
        <is>
          <t>STR-081</t>
        </is>
      </c>
      <c r="B807" s="7" t="inlineStr">
        <is>
          <t>Floor Slabs</t>
        </is>
      </c>
      <c r="C807" s="7" t="inlineStr">
        <is>
          <t>Typical 4th-8th slab - top</t>
        </is>
      </c>
      <c r="D807" s="7" t="inlineStr">
        <is>
          <t>F08, F09, F10, F11, F12</t>
        </is>
      </c>
      <c r="E807" s="27" t="inlineStr">
        <is>
          <t>1272</t>
        </is>
      </c>
      <c r="F807" s="27" t="n">
        <v>12</v>
      </c>
      <c r="G807" s="27" t="n">
        <v>43</v>
      </c>
      <c r="H807" s="27" t="n">
        <v>11750</v>
      </c>
      <c r="I807" s="28">
        <f>G807*H807/1000*F807^2/162</f>
        <v>449.1111111111111</v>
      </c>
    </row>
    <row r="808">
      <c r="A808" s="7" t="inlineStr">
        <is>
          <t>STR-081</t>
        </is>
      </c>
      <c r="B808" s="7" t="inlineStr">
        <is>
          <t>Floor Slabs</t>
        </is>
      </c>
      <c r="C808" s="7" t="inlineStr">
        <is>
          <t>Typical 4th-8th slab - top</t>
        </is>
      </c>
      <c r="D808" s="7" t="inlineStr">
        <is>
          <t>F08, F09, F10, F11, F12</t>
        </is>
      </c>
      <c r="E808" s="27" t="inlineStr">
        <is>
          <t>1273</t>
        </is>
      </c>
      <c r="F808" s="27" t="n">
        <v>12</v>
      </c>
      <c r="G808" s="27" t="n">
        <v>12</v>
      </c>
      <c r="H808" s="27" t="n">
        <v>8800</v>
      </c>
      <c r="I808" s="28">
        <f>G808*H808/1000*F808^2/162</f>
        <v>93.86666666666666</v>
      </c>
    </row>
    <row r="809">
      <c r="A809" s="7" t="inlineStr">
        <is>
          <t>STR-081</t>
        </is>
      </c>
      <c r="B809" s="7" t="inlineStr">
        <is>
          <t>Floor Slabs</t>
        </is>
      </c>
      <c r="C809" s="7" t="inlineStr">
        <is>
          <t>Typical 4th-8th slab - top</t>
        </is>
      </c>
      <c r="D809" s="7" t="inlineStr">
        <is>
          <t>F08, F09, F10, F11, F12</t>
        </is>
      </c>
      <c r="E809" s="27" t="inlineStr">
        <is>
          <t>1274</t>
        </is>
      </c>
      <c r="F809" s="27" t="n">
        <v>12</v>
      </c>
      <c r="G809" s="27" t="n">
        <v>75</v>
      </c>
      <c r="H809" s="27" t="n">
        <v>7900</v>
      </c>
      <c r="I809" s="28">
        <f>G809*H809/1000*F809^2/162</f>
        <v>526.6666666666666</v>
      </c>
    </row>
    <row r="810">
      <c r="A810" s="7" t="inlineStr">
        <is>
          <t>STR-082</t>
        </is>
      </c>
      <c r="B810" s="7" t="inlineStr">
        <is>
          <t>Floor Slabs</t>
        </is>
      </c>
      <c r="C810" s="7" t="inlineStr">
        <is>
          <t>Typical 4th-8th slab - additional top</t>
        </is>
      </c>
      <c r="D810" s="7" t="inlineStr">
        <is>
          <t>F08, F09, F10, F11, F12</t>
        </is>
      </c>
      <c r="E810" s="27" t="inlineStr">
        <is>
          <t>1275</t>
        </is>
      </c>
      <c r="F810" s="27" t="n">
        <v>12</v>
      </c>
      <c r="G810" s="27" t="n">
        <v>59</v>
      </c>
      <c r="H810" s="27" t="n">
        <v>11000</v>
      </c>
      <c r="I810" s="28">
        <f>G810*H810/1000*F810^2/162</f>
        <v>576.8888888888889</v>
      </c>
    </row>
    <row r="811">
      <c r="A811" s="7" t="inlineStr">
        <is>
          <t>STR-082</t>
        </is>
      </c>
      <c r="B811" s="7" t="inlineStr">
        <is>
          <t>Floor Slabs</t>
        </is>
      </c>
      <c r="C811" s="7" t="inlineStr">
        <is>
          <t>Typical 4th-8th slab - additional top</t>
        </is>
      </c>
      <c r="D811" s="7" t="inlineStr">
        <is>
          <t>F08, F09, F10, F11, F12</t>
        </is>
      </c>
      <c r="E811" s="27" t="inlineStr">
        <is>
          <t>1276</t>
        </is>
      </c>
      <c r="F811" s="27" t="n">
        <v>12</v>
      </c>
      <c r="G811" s="27" t="n">
        <v>296</v>
      </c>
      <c r="H811" s="27" t="n">
        <v>3000</v>
      </c>
      <c r="I811" s="28">
        <f>G811*H811/1000*F811^2/162</f>
        <v>789.3333333333334</v>
      </c>
    </row>
    <row r="812">
      <c r="A812" s="7" t="inlineStr">
        <is>
          <t>STR-082</t>
        </is>
      </c>
      <c r="B812" s="7" t="inlineStr">
        <is>
          <t>Floor Slabs</t>
        </is>
      </c>
      <c r="C812" s="7" t="inlineStr">
        <is>
          <t>Typical 4th-8th slab - additional top</t>
        </is>
      </c>
      <c r="D812" s="7" t="inlineStr">
        <is>
          <t>F08, F09, F10, F11, F12</t>
        </is>
      </c>
      <c r="E812" s="27" t="inlineStr">
        <is>
          <t>1277</t>
        </is>
      </c>
      <c r="F812" s="27" t="n">
        <v>12</v>
      </c>
      <c r="G812" s="27" t="n">
        <v>15</v>
      </c>
      <c r="H812" s="27" t="n">
        <v>2900</v>
      </c>
      <c r="I812" s="28">
        <f>G812*H812/1000*F812^2/162</f>
        <v>38.666666666666664</v>
      </c>
    </row>
    <row r="813">
      <c r="A813" s="7" t="inlineStr">
        <is>
          <t>STR-082</t>
        </is>
      </c>
      <c r="B813" s="7" t="inlineStr">
        <is>
          <t>Floor Slabs</t>
        </is>
      </c>
      <c r="C813" s="7" t="inlineStr">
        <is>
          <t>Typical 4th-8th slab - additional top</t>
        </is>
      </c>
      <c r="D813" s="7" t="inlineStr">
        <is>
          <t>F08, F09, F10, F11, F12</t>
        </is>
      </c>
      <c r="E813" s="27" t="inlineStr">
        <is>
          <t>1278</t>
        </is>
      </c>
      <c r="F813" s="27" t="n">
        <v>12</v>
      </c>
      <c r="G813" s="27" t="n">
        <v>15</v>
      </c>
      <c r="H813" s="27" t="n">
        <v>4150</v>
      </c>
      <c r="I813" s="28">
        <f>G813*H813/1000*F813^2/162</f>
        <v>55.333333333333336</v>
      </c>
    </row>
    <row r="814">
      <c r="A814" s="7" t="inlineStr">
        <is>
          <t>STR-082</t>
        </is>
      </c>
      <c r="B814" s="7" t="inlineStr">
        <is>
          <t>Floor Slabs</t>
        </is>
      </c>
      <c r="C814" s="7" t="inlineStr">
        <is>
          <t>Typical 4th-8th slab - additional top</t>
        </is>
      </c>
      <c r="D814" s="7" t="inlineStr">
        <is>
          <t>F08, F09, F10, F11, F12</t>
        </is>
      </c>
      <c r="E814" s="27" t="inlineStr">
        <is>
          <t>1279</t>
        </is>
      </c>
      <c r="F814" s="27" t="n">
        <v>12</v>
      </c>
      <c r="G814" s="27" t="n">
        <v>73</v>
      </c>
      <c r="H814" s="27" t="n">
        <v>4500</v>
      </c>
      <c r="I814" s="28">
        <f>G814*H814/1000*F814^2/162</f>
        <v>292.0</v>
      </c>
    </row>
    <row r="815">
      <c r="A815" s="7" t="inlineStr">
        <is>
          <t>STR-082</t>
        </is>
      </c>
      <c r="B815" s="7" t="inlineStr">
        <is>
          <t>Floor Slabs</t>
        </is>
      </c>
      <c r="C815" s="7" t="inlineStr">
        <is>
          <t>Typical 4th-8th slab - additional top</t>
        </is>
      </c>
      <c r="D815" s="7" t="inlineStr">
        <is>
          <t>F08, F09, F10, F11, F12</t>
        </is>
      </c>
      <c r="E815" s="27" t="inlineStr">
        <is>
          <t>1280</t>
        </is>
      </c>
      <c r="F815" s="27" t="n">
        <v>12</v>
      </c>
      <c r="G815" s="27" t="n">
        <v>75</v>
      </c>
      <c r="H815" s="27" t="n">
        <v>6000</v>
      </c>
      <c r="I815" s="28">
        <f>G815*H815/1000*F815^2/162</f>
        <v>400.0</v>
      </c>
    </row>
    <row r="816">
      <c r="A816" s="7" t="inlineStr">
        <is>
          <t>STR-082</t>
        </is>
      </c>
      <c r="B816" s="7" t="inlineStr">
        <is>
          <t>Floor Slabs</t>
        </is>
      </c>
      <c r="C816" s="7" t="inlineStr">
        <is>
          <t>Typical 4th-8th slab - additional top</t>
        </is>
      </c>
      <c r="D816" s="7" t="inlineStr">
        <is>
          <t>F08, F09, F10, F11, F12</t>
        </is>
      </c>
      <c r="E816" s="27" t="inlineStr">
        <is>
          <t>1281</t>
        </is>
      </c>
      <c r="F816" s="27" t="n">
        <v>12</v>
      </c>
      <c r="G816" s="27" t="n">
        <v>60</v>
      </c>
      <c r="H816" s="27" t="n">
        <v>4900</v>
      </c>
      <c r="I816" s="28">
        <f>G816*H816/1000*F816^2/162</f>
        <v>261.3333333333333</v>
      </c>
    </row>
    <row r="817">
      <c r="A817" s="7" t="inlineStr">
        <is>
          <t>STR-082</t>
        </is>
      </c>
      <c r="B817" s="7" t="inlineStr">
        <is>
          <t>Floor Slabs</t>
        </is>
      </c>
      <c r="C817" s="7" t="inlineStr">
        <is>
          <t>Typical 4th-8th slab - additional top</t>
        </is>
      </c>
      <c r="D817" s="7" t="inlineStr">
        <is>
          <t>F08, F09, F10, F11, F12</t>
        </is>
      </c>
      <c r="E817" s="27" t="inlineStr">
        <is>
          <t>1282</t>
        </is>
      </c>
      <c r="F817" s="27" t="n">
        <v>12</v>
      </c>
      <c r="G817" s="27" t="n">
        <v>8</v>
      </c>
      <c r="H817" s="27" t="n">
        <v>1475</v>
      </c>
      <c r="I817" s="28">
        <f>G817*H817/1000*F817^2/162</f>
        <v>10.488888888888889</v>
      </c>
    </row>
    <row r="818">
      <c r="A818" s="7" t="inlineStr">
        <is>
          <t>STR-082</t>
        </is>
      </c>
      <c r="B818" s="7" t="inlineStr">
        <is>
          <t>Floor Slabs</t>
        </is>
      </c>
      <c r="C818" s="7" t="inlineStr">
        <is>
          <t>Typical 4th-8th slab - additional top</t>
        </is>
      </c>
      <c r="D818" s="7" t="inlineStr">
        <is>
          <t>F08, F09, F10, F11, F12</t>
        </is>
      </c>
      <c r="E818" s="27" t="inlineStr">
        <is>
          <t>1601</t>
        </is>
      </c>
      <c r="F818" s="27" t="n">
        <v>16</v>
      </c>
      <c r="G818" s="27" t="n">
        <v>6</v>
      </c>
      <c r="H818" s="27" t="n">
        <v>3675</v>
      </c>
      <c r="I818" s="28">
        <f>G818*H818/1000*F818^2/162</f>
        <v>34.84444444444445</v>
      </c>
    </row>
    <row r="819">
      <c r="A819" s="7" t="inlineStr">
        <is>
          <t>STR-082</t>
        </is>
      </c>
      <c r="B819" s="7" t="inlineStr">
        <is>
          <t>Floor Slabs</t>
        </is>
      </c>
      <c r="C819" s="7" t="inlineStr">
        <is>
          <t>Typical 4th-8th slab - additional top</t>
        </is>
      </c>
      <c r="D819" s="7" t="inlineStr">
        <is>
          <t>F08, F09, F10, F11, F12</t>
        </is>
      </c>
      <c r="E819" s="27" t="inlineStr">
        <is>
          <t>1602</t>
        </is>
      </c>
      <c r="F819" s="27" t="n">
        <v>16</v>
      </c>
      <c r="G819" s="27" t="n">
        <v>6</v>
      </c>
      <c r="H819" s="27" t="n">
        <v>6675</v>
      </c>
      <c r="I819" s="28">
        <f>G819*H819/1000*F819^2/162</f>
        <v>63.288888888888884</v>
      </c>
    </row>
    <row r="820">
      <c r="A820" s="7" t="inlineStr">
        <is>
          <t>STR-082</t>
        </is>
      </c>
      <c r="B820" s="7" t="inlineStr">
        <is>
          <t>Floor Slabs</t>
        </is>
      </c>
      <c r="C820" s="7" t="inlineStr">
        <is>
          <t>Typical 4th-8th slab - additional top</t>
        </is>
      </c>
      <c r="D820" s="7" t="inlineStr">
        <is>
          <t>F08, F09, F10, F11, F12</t>
        </is>
      </c>
      <c r="E820" s="27" t="inlineStr">
        <is>
          <t>1603</t>
        </is>
      </c>
      <c r="F820" s="27" t="n">
        <v>16</v>
      </c>
      <c r="G820" s="27" t="n">
        <v>3</v>
      </c>
      <c r="H820" s="27" t="n">
        <v>3000</v>
      </c>
      <c r="I820" s="28">
        <f>G820*H820/1000*F820^2/162</f>
        <v>14.222222222222221</v>
      </c>
    </row>
    <row r="821">
      <c r="A821" s="7" t="inlineStr">
        <is>
          <t>STR-082</t>
        </is>
      </c>
      <c r="B821" s="7" t="inlineStr">
        <is>
          <t>Floor Slabs</t>
        </is>
      </c>
      <c r="C821" s="7" t="inlineStr">
        <is>
          <t>Typical 4th-8th slab - additional top</t>
        </is>
      </c>
      <c r="D821" s="7" t="inlineStr">
        <is>
          <t>F08, F09, F10, F11, F12</t>
        </is>
      </c>
      <c r="E821" s="27" t="inlineStr">
        <is>
          <t>1604</t>
        </is>
      </c>
      <c r="F821" s="27" t="n">
        <v>16</v>
      </c>
      <c r="G821" s="27" t="n">
        <v>6</v>
      </c>
      <c r="H821" s="27" t="n">
        <v>4025</v>
      </c>
      <c r="I821" s="28">
        <f>G821*H821/1000*F821^2/162</f>
        <v>38.16296296296296</v>
      </c>
    </row>
    <row r="822">
      <c r="A822" s="7" t="inlineStr">
        <is>
          <t>STR-085</t>
        </is>
      </c>
      <c r="B822" s="7" t="inlineStr">
        <is>
          <t>Beams</t>
        </is>
      </c>
      <c r="C822" s="7" t="inlineStr">
        <is>
          <t>Ninth floor beams (1 of 2)</t>
        </is>
      </c>
      <c r="D822" s="7" t="inlineStr">
        <is>
          <t>F13</t>
        </is>
      </c>
      <c r="E822" s="27" t="inlineStr">
        <is>
          <t>1001</t>
        </is>
      </c>
      <c r="F822" s="27" t="n">
        <v>10</v>
      </c>
      <c r="G822" s="27" t="n">
        <v>944</v>
      </c>
      <c r="H822" s="27" t="n">
        <v>1700</v>
      </c>
      <c r="I822" s="28">
        <f>G822*H822/1000*F822^2/162</f>
        <v>990.6172839506173</v>
      </c>
    </row>
    <row r="823">
      <c r="A823" s="7" t="inlineStr">
        <is>
          <t>STR-085</t>
        </is>
      </c>
      <c r="B823" s="7" t="inlineStr">
        <is>
          <t>Beams</t>
        </is>
      </c>
      <c r="C823" s="7" t="inlineStr">
        <is>
          <t>Ninth floor beams (1 of 2)</t>
        </is>
      </c>
      <c r="D823" s="7" t="inlineStr">
        <is>
          <t>F13</t>
        </is>
      </c>
      <c r="E823" s="27" t="inlineStr">
        <is>
          <t>1002</t>
        </is>
      </c>
      <c r="F823" s="27" t="n">
        <v>10</v>
      </c>
      <c r="G823" s="27" t="n">
        <v>271</v>
      </c>
      <c r="H823" s="27" t="n">
        <v>1500</v>
      </c>
      <c r="I823" s="28">
        <f>G823*H823/1000*F823^2/162</f>
        <v>250.92592592592592</v>
      </c>
    </row>
    <row r="824">
      <c r="A824" s="7" t="inlineStr">
        <is>
          <t>STR-085</t>
        </is>
      </c>
      <c r="B824" s="7" t="inlineStr">
        <is>
          <t>Beams</t>
        </is>
      </c>
      <c r="C824" s="7" t="inlineStr">
        <is>
          <t>Ninth floor beams (1 of 2)</t>
        </is>
      </c>
      <c r="D824" s="7" t="inlineStr">
        <is>
          <t>F13</t>
        </is>
      </c>
      <c r="E824" s="27" t="inlineStr">
        <is>
          <t>1601</t>
        </is>
      </c>
      <c r="F824" s="27" t="n">
        <v>16</v>
      </c>
      <c r="G824" s="27" t="n">
        <v>12</v>
      </c>
      <c r="H824" s="27" t="n">
        <v>12000</v>
      </c>
      <c r="I824" s="28">
        <f>G824*H824/1000*F824^2/162</f>
        <v>227.55555555555554</v>
      </c>
    </row>
    <row r="825">
      <c r="A825" s="7" t="inlineStr">
        <is>
          <t>STR-085</t>
        </is>
      </c>
      <c r="B825" s="7" t="inlineStr">
        <is>
          <t>Beams</t>
        </is>
      </c>
      <c r="C825" s="7" t="inlineStr">
        <is>
          <t>Ninth floor beams (1 of 2)</t>
        </is>
      </c>
      <c r="D825" s="7" t="inlineStr">
        <is>
          <t>F13</t>
        </is>
      </c>
      <c r="E825" s="27" t="inlineStr">
        <is>
          <t>1602</t>
        </is>
      </c>
      <c r="F825" s="27" t="n">
        <v>16</v>
      </c>
      <c r="G825" s="27" t="n">
        <v>2</v>
      </c>
      <c r="H825" s="27" t="n">
        <v>7275</v>
      </c>
      <c r="I825" s="28">
        <f>G825*H825/1000*F825^2/162</f>
        <v>22.992592592592594</v>
      </c>
    </row>
    <row r="826">
      <c r="A826" s="7" t="inlineStr">
        <is>
          <t>STR-085</t>
        </is>
      </c>
      <c r="B826" s="7" t="inlineStr">
        <is>
          <t>Beams</t>
        </is>
      </c>
      <c r="C826" s="7" t="inlineStr">
        <is>
          <t>Ninth floor beams (1 of 2)</t>
        </is>
      </c>
      <c r="D826" s="7" t="inlineStr">
        <is>
          <t>F13</t>
        </is>
      </c>
      <c r="E826" s="27" t="inlineStr">
        <is>
          <t>1603</t>
        </is>
      </c>
      <c r="F826" s="27" t="n">
        <v>16</v>
      </c>
      <c r="G826" s="27" t="n">
        <v>4</v>
      </c>
      <c r="H826" s="27" t="n">
        <v>7850</v>
      </c>
      <c r="I826" s="28">
        <f>G826*H826/1000*F826^2/162</f>
        <v>49.61975308641975</v>
      </c>
    </row>
    <row r="827">
      <c r="A827" s="7" t="inlineStr">
        <is>
          <t>STR-085</t>
        </is>
      </c>
      <c r="B827" s="7" t="inlineStr">
        <is>
          <t>Beams</t>
        </is>
      </c>
      <c r="C827" s="7" t="inlineStr">
        <is>
          <t>Ninth floor beams (1 of 2)</t>
        </is>
      </c>
      <c r="D827" s="7" t="inlineStr">
        <is>
          <t>F13</t>
        </is>
      </c>
      <c r="E827" s="27" t="inlineStr">
        <is>
          <t>1604</t>
        </is>
      </c>
      <c r="F827" s="27" t="n">
        <v>16</v>
      </c>
      <c r="G827" s="27" t="n">
        <v>4</v>
      </c>
      <c r="H827" s="27" t="n">
        <v>7400</v>
      </c>
      <c r="I827" s="28">
        <f>G827*H827/1000*F827^2/162</f>
        <v>46.77530864197531</v>
      </c>
    </row>
    <row r="828">
      <c r="A828" s="7" t="inlineStr">
        <is>
          <t>STR-085</t>
        </is>
      </c>
      <c r="B828" s="7" t="inlineStr">
        <is>
          <t>Beams</t>
        </is>
      </c>
      <c r="C828" s="7" t="inlineStr">
        <is>
          <t>Ninth floor beams (1 of 2)</t>
        </is>
      </c>
      <c r="D828" s="7" t="inlineStr">
        <is>
          <t>F13</t>
        </is>
      </c>
      <c r="E828" s="27" t="inlineStr">
        <is>
          <t>1605</t>
        </is>
      </c>
      <c r="F828" s="27" t="n">
        <v>16</v>
      </c>
      <c r="G828" s="27" t="n">
        <v>3</v>
      </c>
      <c r="H828" s="27" t="n">
        <v>8900</v>
      </c>
      <c r="I828" s="28">
        <f>G828*H828/1000*F828^2/162</f>
        <v>42.19259259259259</v>
      </c>
    </row>
    <row r="829">
      <c r="A829" s="7" t="inlineStr">
        <is>
          <t>STR-085</t>
        </is>
      </c>
      <c r="B829" s="7" t="inlineStr">
        <is>
          <t>Beams</t>
        </is>
      </c>
      <c r="C829" s="7" t="inlineStr">
        <is>
          <t>Ninth floor beams (1 of 2)</t>
        </is>
      </c>
      <c r="D829" s="7" t="inlineStr">
        <is>
          <t>F13</t>
        </is>
      </c>
      <c r="E829" s="27" t="inlineStr">
        <is>
          <t>1606</t>
        </is>
      </c>
      <c r="F829" s="27" t="n">
        <v>16</v>
      </c>
      <c r="G829" s="27" t="n">
        <v>3</v>
      </c>
      <c r="H829" s="27" t="n">
        <v>5600</v>
      </c>
      <c r="I829" s="28">
        <f>G829*H829/1000*F829^2/162</f>
        <v>26.54814814814815</v>
      </c>
    </row>
    <row r="830">
      <c r="A830" s="7" t="inlineStr">
        <is>
          <t>STR-085</t>
        </is>
      </c>
      <c r="B830" s="7" t="inlineStr">
        <is>
          <t>Beams</t>
        </is>
      </c>
      <c r="C830" s="7" t="inlineStr">
        <is>
          <t>Ninth floor beams (1 of 2)</t>
        </is>
      </c>
      <c r="D830" s="7" t="inlineStr">
        <is>
          <t>F13</t>
        </is>
      </c>
      <c r="E830" s="27" t="inlineStr">
        <is>
          <t>1607</t>
        </is>
      </c>
      <c r="F830" s="27" t="n">
        <v>16</v>
      </c>
      <c r="G830" s="27" t="n">
        <v>3</v>
      </c>
      <c r="H830" s="27" t="n">
        <v>9300</v>
      </c>
      <c r="I830" s="28">
        <f>G830*H830/1000*F830^2/162</f>
        <v>44.08888888888889</v>
      </c>
    </row>
    <row r="831">
      <c r="A831" s="7" t="inlineStr">
        <is>
          <t>STR-085</t>
        </is>
      </c>
      <c r="B831" s="7" t="inlineStr">
        <is>
          <t>Beams</t>
        </is>
      </c>
      <c r="C831" s="7" t="inlineStr">
        <is>
          <t>Ninth floor beams (1 of 2)</t>
        </is>
      </c>
      <c r="D831" s="7" t="inlineStr">
        <is>
          <t>F13</t>
        </is>
      </c>
      <c r="E831" s="27" t="inlineStr">
        <is>
          <t>1608</t>
        </is>
      </c>
      <c r="F831" s="27" t="n">
        <v>16</v>
      </c>
      <c r="G831" s="27" t="n">
        <v>4</v>
      </c>
      <c r="H831" s="27" t="n">
        <v>10300</v>
      </c>
      <c r="I831" s="28">
        <f>G831*H831/1000*F831^2/162</f>
        <v>65.10617283950617</v>
      </c>
    </row>
    <row r="832">
      <c r="A832" s="7" t="inlineStr">
        <is>
          <t>STR-085</t>
        </is>
      </c>
      <c r="B832" s="7" t="inlineStr">
        <is>
          <t>Beams</t>
        </is>
      </c>
      <c r="C832" s="7" t="inlineStr">
        <is>
          <t>Ninth floor beams (1 of 2)</t>
        </is>
      </c>
      <c r="D832" s="7" t="inlineStr">
        <is>
          <t>F13</t>
        </is>
      </c>
      <c r="E832" s="27" t="inlineStr">
        <is>
          <t>1609</t>
        </is>
      </c>
      <c r="F832" s="27" t="n">
        <v>16</v>
      </c>
      <c r="G832" s="27" t="n">
        <v>2</v>
      </c>
      <c r="H832" s="27" t="n">
        <v>10850</v>
      </c>
      <c r="I832" s="28">
        <f>G832*H832/1000*F832^2/162</f>
        <v>34.291358024691355</v>
      </c>
    </row>
    <row r="833">
      <c r="A833" s="7" t="inlineStr">
        <is>
          <t>STR-085</t>
        </is>
      </c>
      <c r="B833" s="7" t="inlineStr">
        <is>
          <t>Beams</t>
        </is>
      </c>
      <c r="C833" s="7" t="inlineStr">
        <is>
          <t>Ninth floor beams (1 of 2)</t>
        </is>
      </c>
      <c r="D833" s="7" t="inlineStr">
        <is>
          <t>F13</t>
        </is>
      </c>
      <c r="E833" s="27" t="inlineStr">
        <is>
          <t>1610</t>
        </is>
      </c>
      <c r="F833" s="27" t="n">
        <v>16</v>
      </c>
      <c r="G833" s="27" t="n">
        <v>2</v>
      </c>
      <c r="H833" s="27" t="n">
        <v>8000</v>
      </c>
      <c r="I833" s="28">
        <f>G833*H833/1000*F833^2/162</f>
        <v>25.28395061728395</v>
      </c>
    </row>
    <row r="834">
      <c r="A834" s="7" t="inlineStr">
        <is>
          <t>STR-085</t>
        </is>
      </c>
      <c r="B834" s="7" t="inlineStr">
        <is>
          <t>Beams</t>
        </is>
      </c>
      <c r="C834" s="7" t="inlineStr">
        <is>
          <t>Ninth floor beams (1 of 2)</t>
        </is>
      </c>
      <c r="D834" s="7" t="inlineStr">
        <is>
          <t>F13</t>
        </is>
      </c>
      <c r="E834" s="27" t="inlineStr">
        <is>
          <t>1611</t>
        </is>
      </c>
      <c r="F834" s="27" t="n">
        <v>16</v>
      </c>
      <c r="G834" s="27" t="n">
        <v>2</v>
      </c>
      <c r="H834" s="27" t="n">
        <v>11675</v>
      </c>
      <c r="I834" s="28">
        <f>G834*H834/1000*F834^2/162</f>
        <v>36.89876543209877</v>
      </c>
    </row>
    <row r="835">
      <c r="A835" s="7" t="inlineStr">
        <is>
          <t>STR-085</t>
        </is>
      </c>
      <c r="B835" s="7" t="inlineStr">
        <is>
          <t>Beams</t>
        </is>
      </c>
      <c r="C835" s="7" t="inlineStr">
        <is>
          <t>Ninth floor beams (1 of 2)</t>
        </is>
      </c>
      <c r="D835" s="7" t="inlineStr">
        <is>
          <t>F13</t>
        </is>
      </c>
      <c r="E835" s="27" t="inlineStr">
        <is>
          <t>1612</t>
        </is>
      </c>
      <c r="F835" s="27" t="n">
        <v>16</v>
      </c>
      <c r="G835" s="27" t="n">
        <v>2</v>
      </c>
      <c r="H835" s="27" t="n">
        <v>7525</v>
      </c>
      <c r="I835" s="28">
        <f>G835*H835/1000*F835^2/162</f>
        <v>23.782716049382717</v>
      </c>
    </row>
    <row r="836">
      <c r="A836" s="7" t="inlineStr">
        <is>
          <t>STR-085</t>
        </is>
      </c>
      <c r="B836" s="7" t="inlineStr">
        <is>
          <t>Beams</t>
        </is>
      </c>
      <c r="C836" s="7" t="inlineStr">
        <is>
          <t>Ninth floor beams (1 of 2)</t>
        </is>
      </c>
      <c r="D836" s="7" t="inlineStr">
        <is>
          <t>F13</t>
        </is>
      </c>
      <c r="E836" s="27" t="inlineStr">
        <is>
          <t>2001</t>
        </is>
      </c>
      <c r="F836" s="27" t="n">
        <v>20</v>
      </c>
      <c r="G836" s="27" t="n">
        <v>3</v>
      </c>
      <c r="H836" s="27" t="n">
        <v>11100</v>
      </c>
      <c r="I836" s="28">
        <f>G836*H836/1000*F836^2/162</f>
        <v>82.22222222222221</v>
      </c>
    </row>
    <row r="837">
      <c r="A837" s="7" t="inlineStr">
        <is>
          <t>STR-085</t>
        </is>
      </c>
      <c r="B837" s="7" t="inlineStr">
        <is>
          <t>Beams</t>
        </is>
      </c>
      <c r="C837" s="7" t="inlineStr">
        <is>
          <t>Ninth floor beams (1 of 2)</t>
        </is>
      </c>
      <c r="D837" s="7" t="inlineStr">
        <is>
          <t>F13</t>
        </is>
      </c>
      <c r="E837" s="27" t="inlineStr">
        <is>
          <t>2002</t>
        </is>
      </c>
      <c r="F837" s="27" t="n">
        <v>20</v>
      </c>
      <c r="G837" s="27" t="n">
        <v>3</v>
      </c>
      <c r="H837" s="27" t="n">
        <v>9300</v>
      </c>
      <c r="I837" s="28">
        <f>G837*H837/1000*F837^2/162</f>
        <v>68.88888888888889</v>
      </c>
    </row>
    <row r="838">
      <c r="A838" s="7" t="inlineStr">
        <is>
          <t>STR-085</t>
        </is>
      </c>
      <c r="B838" s="7" t="inlineStr">
        <is>
          <t>Beams</t>
        </is>
      </c>
      <c r="C838" s="7" t="inlineStr">
        <is>
          <t>Ninth floor beams (1 of 2)</t>
        </is>
      </c>
      <c r="D838" s="7" t="inlineStr">
        <is>
          <t>F13</t>
        </is>
      </c>
      <c r="E838" s="27" t="inlineStr">
        <is>
          <t>2003</t>
        </is>
      </c>
      <c r="F838" s="27" t="n">
        <v>20</v>
      </c>
      <c r="G838" s="27" t="n">
        <v>3</v>
      </c>
      <c r="H838" s="27" t="n">
        <v>12000</v>
      </c>
      <c r="I838" s="28">
        <f>G838*H838/1000*F838^2/162</f>
        <v>88.88888888888889</v>
      </c>
    </row>
    <row r="839">
      <c r="A839" s="7" t="inlineStr">
        <is>
          <t>STR-085</t>
        </is>
      </c>
      <c r="B839" s="7" t="inlineStr">
        <is>
          <t>Beams</t>
        </is>
      </c>
      <c r="C839" s="7" t="inlineStr">
        <is>
          <t>Ninth floor beams (1 of 2)</t>
        </is>
      </c>
      <c r="D839" s="7" t="inlineStr">
        <is>
          <t>F13</t>
        </is>
      </c>
      <c r="E839" s="27" t="inlineStr">
        <is>
          <t>2004</t>
        </is>
      </c>
      <c r="F839" s="27" t="n">
        <v>20</v>
      </c>
      <c r="G839" s="27" t="n">
        <v>3</v>
      </c>
      <c r="H839" s="27" t="n">
        <v>7000</v>
      </c>
      <c r="I839" s="28">
        <f>G839*H839/1000*F839^2/162</f>
        <v>51.851851851851855</v>
      </c>
    </row>
    <row r="840">
      <c r="A840" s="7" t="inlineStr">
        <is>
          <t>STR-085</t>
        </is>
      </c>
      <c r="B840" s="7" t="inlineStr">
        <is>
          <t>Beams</t>
        </is>
      </c>
      <c r="C840" s="7" t="inlineStr">
        <is>
          <t>Ninth floor beams (1 of 2)</t>
        </is>
      </c>
      <c r="D840" s="7" t="inlineStr">
        <is>
          <t>F13</t>
        </is>
      </c>
      <c r="E840" s="27" t="inlineStr">
        <is>
          <t>2005</t>
        </is>
      </c>
      <c r="F840" s="27" t="n">
        <v>20</v>
      </c>
      <c r="G840" s="27" t="n">
        <v>6</v>
      </c>
      <c r="H840" s="27" t="n">
        <v>9300</v>
      </c>
      <c r="I840" s="28">
        <f>G840*H840/1000*F840^2/162</f>
        <v>137.77777777777777</v>
      </c>
    </row>
    <row r="841">
      <c r="A841" s="7" t="inlineStr">
        <is>
          <t>STR-085</t>
        </is>
      </c>
      <c r="B841" s="7" t="inlineStr">
        <is>
          <t>Beams</t>
        </is>
      </c>
      <c r="C841" s="7" t="inlineStr">
        <is>
          <t>Ninth floor beams (1 of 2)</t>
        </is>
      </c>
      <c r="D841" s="7" t="inlineStr">
        <is>
          <t>F13</t>
        </is>
      </c>
      <c r="E841" s="27" t="inlineStr">
        <is>
          <t>2006</t>
        </is>
      </c>
      <c r="F841" s="27" t="n">
        <v>20</v>
      </c>
      <c r="G841" s="27" t="n">
        <v>3</v>
      </c>
      <c r="H841" s="27" t="n">
        <v>9000</v>
      </c>
      <c r="I841" s="28">
        <f>G841*H841/1000*F841^2/162</f>
        <v>66.66666666666667</v>
      </c>
    </row>
    <row r="842">
      <c r="A842" s="7" t="inlineStr">
        <is>
          <t>STR-085</t>
        </is>
      </c>
      <c r="B842" s="7" t="inlineStr">
        <is>
          <t>Beams</t>
        </is>
      </c>
      <c r="C842" s="7" t="inlineStr">
        <is>
          <t>Ninth floor beams (1 of 2)</t>
        </is>
      </c>
      <c r="D842" s="7" t="inlineStr">
        <is>
          <t>F13</t>
        </is>
      </c>
      <c r="E842" s="27" t="inlineStr">
        <is>
          <t>2007</t>
        </is>
      </c>
      <c r="F842" s="27" t="n">
        <v>20</v>
      </c>
      <c r="G842" s="27" t="n">
        <v>5</v>
      </c>
      <c r="H842" s="27" t="n">
        <v>11750</v>
      </c>
      <c r="I842" s="28">
        <f>G842*H842/1000*F842^2/162</f>
        <v>145.06172839506172</v>
      </c>
    </row>
    <row r="843">
      <c r="A843" s="7" t="inlineStr">
        <is>
          <t>STR-085</t>
        </is>
      </c>
      <c r="B843" s="7" t="inlineStr">
        <is>
          <t>Beams</t>
        </is>
      </c>
      <c r="C843" s="7" t="inlineStr">
        <is>
          <t>Ninth floor beams (1 of 2)</t>
        </is>
      </c>
      <c r="D843" s="7" t="inlineStr">
        <is>
          <t>F13</t>
        </is>
      </c>
      <c r="E843" s="27" t="inlineStr">
        <is>
          <t>2008</t>
        </is>
      </c>
      <c r="F843" s="27" t="n">
        <v>20</v>
      </c>
      <c r="G843" s="27" t="n">
        <v>5</v>
      </c>
      <c r="H843" s="27" t="n">
        <v>7300</v>
      </c>
      <c r="I843" s="28">
        <f>G843*H843/1000*F843^2/162</f>
        <v>90.12345679012346</v>
      </c>
    </row>
    <row r="844">
      <c r="A844" s="7" t="inlineStr">
        <is>
          <t>STR-085</t>
        </is>
      </c>
      <c r="B844" s="7" t="inlineStr">
        <is>
          <t>Beams</t>
        </is>
      </c>
      <c r="C844" s="7" t="inlineStr">
        <is>
          <t>Ninth floor beams (1 of 2)</t>
        </is>
      </c>
      <c r="D844" s="7" t="inlineStr">
        <is>
          <t>F13</t>
        </is>
      </c>
      <c r="E844" s="27" t="inlineStr">
        <is>
          <t>2009</t>
        </is>
      </c>
      <c r="F844" s="27" t="n">
        <v>20</v>
      </c>
      <c r="G844" s="27" t="n">
        <v>10</v>
      </c>
      <c r="H844" s="27" t="n">
        <v>9600</v>
      </c>
      <c r="I844" s="28">
        <f>G844*H844/1000*F844^2/162</f>
        <v>237.03703703703704</v>
      </c>
    </row>
    <row r="845">
      <c r="A845" s="7" t="inlineStr">
        <is>
          <t>STR-085</t>
        </is>
      </c>
      <c r="B845" s="7" t="inlineStr">
        <is>
          <t>Beams</t>
        </is>
      </c>
      <c r="C845" s="7" t="inlineStr">
        <is>
          <t>Ninth floor beams (1 of 2)</t>
        </is>
      </c>
      <c r="D845" s="7" t="inlineStr">
        <is>
          <t>F13</t>
        </is>
      </c>
      <c r="E845" s="27" t="inlineStr">
        <is>
          <t>2010</t>
        </is>
      </c>
      <c r="F845" s="27" t="n">
        <v>20</v>
      </c>
      <c r="G845" s="27" t="n">
        <v>5</v>
      </c>
      <c r="H845" s="27" t="n">
        <v>11900</v>
      </c>
      <c r="I845" s="28">
        <f>G845*H845/1000*F845^2/162</f>
        <v>146.91358024691357</v>
      </c>
    </row>
    <row r="846">
      <c r="A846" s="7" t="inlineStr">
        <is>
          <t>STR-085</t>
        </is>
      </c>
      <c r="B846" s="7" t="inlineStr">
        <is>
          <t>Beams</t>
        </is>
      </c>
      <c r="C846" s="7" t="inlineStr">
        <is>
          <t>Ninth floor beams (1 of 2)</t>
        </is>
      </c>
      <c r="D846" s="7" t="inlineStr">
        <is>
          <t>F13</t>
        </is>
      </c>
      <c r="E846" s="27" t="inlineStr">
        <is>
          <t>2011</t>
        </is>
      </c>
      <c r="F846" s="27" t="n">
        <v>20</v>
      </c>
      <c r="G846" s="27" t="n">
        <v>4</v>
      </c>
      <c r="H846" s="27" t="n">
        <v>11800</v>
      </c>
      <c r="I846" s="28">
        <f>G846*H846/1000*F846^2/162</f>
        <v>116.54320987654322</v>
      </c>
    </row>
    <row r="847">
      <c r="A847" s="7" t="inlineStr">
        <is>
          <t>STR-085</t>
        </is>
      </c>
      <c r="B847" s="7" t="inlineStr">
        <is>
          <t>Beams</t>
        </is>
      </c>
      <c r="C847" s="7" t="inlineStr">
        <is>
          <t>Ninth floor beams (1 of 2)</t>
        </is>
      </c>
      <c r="D847" s="7" t="inlineStr">
        <is>
          <t>F13</t>
        </is>
      </c>
      <c r="E847" s="27" t="inlineStr">
        <is>
          <t>2012</t>
        </is>
      </c>
      <c r="F847" s="27" t="n">
        <v>20</v>
      </c>
      <c r="G847" s="27" t="n">
        <v>4</v>
      </c>
      <c r="H847" s="27" t="n">
        <v>7300</v>
      </c>
      <c r="I847" s="28">
        <f>G847*H847/1000*F847^2/162</f>
        <v>72.09876543209876</v>
      </c>
    </row>
    <row r="848">
      <c r="A848" s="7" t="inlineStr">
        <is>
          <t>STR-085</t>
        </is>
      </c>
      <c r="B848" s="7" t="inlineStr">
        <is>
          <t>Beams</t>
        </is>
      </c>
      <c r="C848" s="7" t="inlineStr">
        <is>
          <t>Ninth floor beams (1 of 2)</t>
        </is>
      </c>
      <c r="D848" s="7" t="inlineStr">
        <is>
          <t>F13</t>
        </is>
      </c>
      <c r="E848" s="27" t="inlineStr">
        <is>
          <t>2013</t>
        </is>
      </c>
      <c r="F848" s="27" t="n">
        <v>20</v>
      </c>
      <c r="G848" s="27" t="n">
        <v>8</v>
      </c>
      <c r="H848" s="27" t="n">
        <v>9500</v>
      </c>
      <c r="I848" s="28">
        <f>G848*H848/1000*F848^2/162</f>
        <v>187.65432098765433</v>
      </c>
    </row>
    <row r="849">
      <c r="A849" s="7" t="inlineStr">
        <is>
          <t>STR-085</t>
        </is>
      </c>
      <c r="B849" s="7" t="inlineStr">
        <is>
          <t>Beams</t>
        </is>
      </c>
      <c r="C849" s="7" t="inlineStr">
        <is>
          <t>Ninth floor beams (1 of 2)</t>
        </is>
      </c>
      <c r="D849" s="7" t="inlineStr">
        <is>
          <t>F13</t>
        </is>
      </c>
      <c r="E849" s="27" t="inlineStr">
        <is>
          <t>2014</t>
        </is>
      </c>
      <c r="F849" s="27" t="n">
        <v>20</v>
      </c>
      <c r="G849" s="27" t="n">
        <v>4</v>
      </c>
      <c r="H849" s="27" t="n">
        <v>12000</v>
      </c>
      <c r="I849" s="28">
        <f>G849*H849/1000*F849^2/162</f>
        <v>118.51851851851852</v>
      </c>
    </row>
    <row r="850">
      <c r="A850" s="7" t="inlineStr">
        <is>
          <t>STR-085</t>
        </is>
      </c>
      <c r="B850" s="7" t="inlineStr">
        <is>
          <t>Beams</t>
        </is>
      </c>
      <c r="C850" s="7" t="inlineStr">
        <is>
          <t>Ninth floor beams (1 of 2)</t>
        </is>
      </c>
      <c r="D850" s="7" t="inlineStr">
        <is>
          <t>F13</t>
        </is>
      </c>
      <c r="E850" s="27" t="inlineStr">
        <is>
          <t>2015</t>
        </is>
      </c>
      <c r="F850" s="27" t="n">
        <v>20</v>
      </c>
      <c r="G850" s="27" t="n">
        <v>3</v>
      </c>
      <c r="H850" s="27" t="n">
        <v>6400</v>
      </c>
      <c r="I850" s="28">
        <f>G850*H850/1000*F850^2/162</f>
        <v>47.407407407407405</v>
      </c>
    </row>
    <row r="851">
      <c r="A851" s="7" t="inlineStr">
        <is>
          <t>STR-085</t>
        </is>
      </c>
      <c r="B851" s="7" t="inlineStr">
        <is>
          <t>Beams</t>
        </is>
      </c>
      <c r="C851" s="7" t="inlineStr">
        <is>
          <t>Ninth floor beams (1 of 2)</t>
        </is>
      </c>
      <c r="D851" s="7" t="inlineStr">
        <is>
          <t>F13</t>
        </is>
      </c>
      <c r="E851" s="27" t="inlineStr">
        <is>
          <t>2016</t>
        </is>
      </c>
      <c r="F851" s="27" t="n">
        <v>20</v>
      </c>
      <c r="G851" s="27" t="n">
        <v>6</v>
      </c>
      <c r="H851" s="27" t="n">
        <v>11550</v>
      </c>
      <c r="I851" s="28">
        <f>G851*H851/1000*F851^2/162</f>
        <v>171.11111111111111</v>
      </c>
    </row>
    <row r="852">
      <c r="A852" s="7" t="inlineStr">
        <is>
          <t>STR-085</t>
        </is>
      </c>
      <c r="B852" s="7" t="inlineStr">
        <is>
          <t>Beams</t>
        </is>
      </c>
      <c r="C852" s="7" t="inlineStr">
        <is>
          <t>Ninth floor beams (1 of 2)</t>
        </is>
      </c>
      <c r="D852" s="7" t="inlineStr">
        <is>
          <t>F13</t>
        </is>
      </c>
      <c r="E852" s="27" t="inlineStr">
        <is>
          <t>2017</t>
        </is>
      </c>
      <c r="F852" s="27" t="n">
        <v>20</v>
      </c>
      <c r="G852" s="27" t="n">
        <v>6</v>
      </c>
      <c r="H852" s="27" t="n">
        <v>6050</v>
      </c>
      <c r="I852" s="28">
        <f>G852*H852/1000*F852^2/162</f>
        <v>89.62962962962962</v>
      </c>
    </row>
    <row r="853">
      <c r="A853" s="7" t="inlineStr">
        <is>
          <t>STR-085</t>
        </is>
      </c>
      <c r="B853" s="7" t="inlineStr">
        <is>
          <t>Beams</t>
        </is>
      </c>
      <c r="C853" s="7" t="inlineStr">
        <is>
          <t>Ninth floor beams (1 of 2)</t>
        </is>
      </c>
      <c r="D853" s="7" t="inlineStr">
        <is>
          <t>F13</t>
        </is>
      </c>
      <c r="E853" s="27" t="inlineStr">
        <is>
          <t>2018</t>
        </is>
      </c>
      <c r="F853" s="27" t="n">
        <v>20</v>
      </c>
      <c r="G853" s="27" t="n">
        <v>3</v>
      </c>
      <c r="H853" s="27" t="n">
        <v>6300</v>
      </c>
      <c r="I853" s="28">
        <f>G853*H853/1000*F853^2/162</f>
        <v>46.666666666666664</v>
      </c>
    </row>
    <row r="854">
      <c r="A854" s="7" t="inlineStr">
        <is>
          <t>STR-085</t>
        </is>
      </c>
      <c r="B854" s="7" t="inlineStr">
        <is>
          <t>Beams</t>
        </is>
      </c>
      <c r="C854" s="7" t="inlineStr">
        <is>
          <t>Ninth floor beams (1 of 2)</t>
        </is>
      </c>
      <c r="D854" s="7" t="inlineStr">
        <is>
          <t>F13</t>
        </is>
      </c>
      <c r="E854" s="27" t="inlineStr">
        <is>
          <t>2019</t>
        </is>
      </c>
      <c r="F854" s="27" t="n">
        <v>20</v>
      </c>
      <c r="G854" s="27" t="n">
        <v>3</v>
      </c>
      <c r="H854" s="27" t="n">
        <v>5950</v>
      </c>
      <c r="I854" s="28">
        <f>G854*H854/1000*F854^2/162</f>
        <v>44.074074074074076</v>
      </c>
    </row>
    <row r="855">
      <c r="A855" s="7" t="inlineStr">
        <is>
          <t>STR-085</t>
        </is>
      </c>
      <c r="B855" s="7" t="inlineStr">
        <is>
          <t>Beams</t>
        </is>
      </c>
      <c r="C855" s="7" t="inlineStr">
        <is>
          <t>Ninth floor beams (1 of 2)</t>
        </is>
      </c>
      <c r="D855" s="7" t="inlineStr">
        <is>
          <t>F13</t>
        </is>
      </c>
      <c r="E855" s="27" t="inlineStr">
        <is>
          <t>2501</t>
        </is>
      </c>
      <c r="F855" s="27" t="n">
        <v>25</v>
      </c>
      <c r="G855" s="27" t="n">
        <v>3</v>
      </c>
      <c r="H855" s="27" t="n">
        <v>11200</v>
      </c>
      <c r="I855" s="28">
        <f>G855*H855/1000*F855^2/162</f>
        <v>129.62962962962962</v>
      </c>
    </row>
    <row r="856">
      <c r="A856" s="7" t="inlineStr">
        <is>
          <t>STR-085</t>
        </is>
      </c>
      <c r="B856" s="7" t="inlineStr">
        <is>
          <t>Beams</t>
        </is>
      </c>
      <c r="C856" s="7" t="inlineStr">
        <is>
          <t>Ninth floor beams (1 of 2)</t>
        </is>
      </c>
      <c r="D856" s="7" t="inlineStr">
        <is>
          <t>F13</t>
        </is>
      </c>
      <c r="E856" s="27" t="inlineStr">
        <is>
          <t>2502</t>
        </is>
      </c>
      <c r="F856" s="27" t="n">
        <v>25</v>
      </c>
      <c r="G856" s="27" t="n">
        <v>3</v>
      </c>
      <c r="H856" s="27" t="n">
        <v>9400</v>
      </c>
      <c r="I856" s="28">
        <f>G856*H856/1000*F856^2/162</f>
        <v>108.79629629629629</v>
      </c>
    </row>
    <row r="857">
      <c r="A857" s="7" t="inlineStr">
        <is>
          <t>STR-085</t>
        </is>
      </c>
      <c r="B857" s="7" t="inlineStr">
        <is>
          <t>Beams</t>
        </is>
      </c>
      <c r="C857" s="7" t="inlineStr">
        <is>
          <t>Ninth floor beams (1 of 2)</t>
        </is>
      </c>
      <c r="D857" s="7" t="inlineStr">
        <is>
          <t>F13</t>
        </is>
      </c>
      <c r="E857" s="27" t="inlineStr">
        <is>
          <t>2503</t>
        </is>
      </c>
      <c r="F857" s="27" t="n">
        <v>25</v>
      </c>
      <c r="G857" s="27" t="n">
        <v>3</v>
      </c>
      <c r="H857" s="27" t="n">
        <v>12000</v>
      </c>
      <c r="I857" s="28">
        <f>G857*H857/1000*F857^2/162</f>
        <v>138.88888888888889</v>
      </c>
    </row>
    <row r="858">
      <c r="A858" s="7" t="inlineStr">
        <is>
          <t>STR-085</t>
        </is>
      </c>
      <c r="B858" s="7" t="inlineStr">
        <is>
          <t>Beams</t>
        </is>
      </c>
      <c r="C858" s="7" t="inlineStr">
        <is>
          <t>Ninth floor beams (1 of 2)</t>
        </is>
      </c>
      <c r="D858" s="7" t="inlineStr">
        <is>
          <t>F13</t>
        </is>
      </c>
      <c r="E858" s="27" t="inlineStr">
        <is>
          <t>2504</t>
        </is>
      </c>
      <c r="F858" s="27" t="n">
        <v>25</v>
      </c>
      <c r="G858" s="27" t="n">
        <v>3</v>
      </c>
      <c r="H858" s="27" t="n">
        <v>7100</v>
      </c>
      <c r="I858" s="28">
        <f>G858*H858/1000*F858^2/162</f>
        <v>82.17592592592592</v>
      </c>
    </row>
    <row r="859">
      <c r="A859" s="7" t="inlineStr">
        <is>
          <t>STR-085</t>
        </is>
      </c>
      <c r="B859" s="7" t="inlineStr">
        <is>
          <t>Beams</t>
        </is>
      </c>
      <c r="C859" s="7" t="inlineStr">
        <is>
          <t>Ninth floor beams (1 of 2)</t>
        </is>
      </c>
      <c r="D859" s="7" t="inlineStr">
        <is>
          <t>F13</t>
        </is>
      </c>
      <c r="E859" s="27" t="inlineStr">
        <is>
          <t>2505</t>
        </is>
      </c>
      <c r="F859" s="27" t="n">
        <v>25</v>
      </c>
      <c r="G859" s="27" t="n">
        <v>6</v>
      </c>
      <c r="H859" s="27" t="n">
        <v>9300</v>
      </c>
      <c r="I859" s="28">
        <f>G859*H859/1000*F859^2/162</f>
        <v>215.27777777777777</v>
      </c>
    </row>
    <row r="860">
      <c r="A860" s="7" t="inlineStr">
        <is>
          <t>STR-085</t>
        </is>
      </c>
      <c r="B860" s="7" t="inlineStr">
        <is>
          <t>Beams</t>
        </is>
      </c>
      <c r="C860" s="7" t="inlineStr">
        <is>
          <t>Ninth floor beams (1 of 2)</t>
        </is>
      </c>
      <c r="D860" s="7" t="inlineStr">
        <is>
          <t>F13</t>
        </is>
      </c>
      <c r="E860" s="27" t="inlineStr">
        <is>
          <t>2506</t>
        </is>
      </c>
      <c r="F860" s="27" t="n">
        <v>25</v>
      </c>
      <c r="G860" s="27" t="n">
        <v>3</v>
      </c>
      <c r="H860" s="27" t="n">
        <v>9100</v>
      </c>
      <c r="I860" s="28">
        <f>G860*H860/1000*F860^2/162</f>
        <v>105.32407407407408</v>
      </c>
    </row>
    <row r="861">
      <c r="A861" s="7" t="inlineStr">
        <is>
          <t>STR-085</t>
        </is>
      </c>
      <c r="B861" s="7" t="inlineStr">
        <is>
          <t>Beams</t>
        </is>
      </c>
      <c r="C861" s="7" t="inlineStr">
        <is>
          <t>Ninth floor beams (1 of 2)</t>
        </is>
      </c>
      <c r="D861" s="7" t="inlineStr">
        <is>
          <t>F13</t>
        </is>
      </c>
      <c r="E861" s="27" t="inlineStr">
        <is>
          <t>2507</t>
        </is>
      </c>
      <c r="F861" s="27" t="n">
        <v>25</v>
      </c>
      <c r="G861" s="27" t="n">
        <v>3</v>
      </c>
      <c r="H861" s="27" t="n">
        <v>5850</v>
      </c>
      <c r="I861" s="28">
        <f>G861*H861/1000*F861^2/162</f>
        <v>67.70833333333333</v>
      </c>
    </row>
    <row r="862">
      <c r="A862" s="7" t="inlineStr">
        <is>
          <t>STR-085</t>
        </is>
      </c>
      <c r="B862" s="7" t="inlineStr">
        <is>
          <t>Beams</t>
        </is>
      </c>
      <c r="C862" s="7" t="inlineStr">
        <is>
          <t>Ninth floor beams (1 of 2)</t>
        </is>
      </c>
      <c r="D862" s="7" t="inlineStr">
        <is>
          <t>F13</t>
        </is>
      </c>
      <c r="E862" s="27" t="inlineStr">
        <is>
          <t>2508</t>
        </is>
      </c>
      <c r="F862" s="27" t="n">
        <v>25</v>
      </c>
      <c r="G862" s="27" t="n">
        <v>3</v>
      </c>
      <c r="H862" s="27" t="n">
        <v>8000</v>
      </c>
      <c r="I862" s="28">
        <f>G862*H862/1000*F862^2/162</f>
        <v>92.5925925925926</v>
      </c>
    </row>
    <row r="863">
      <c r="A863" s="7" t="inlineStr">
        <is>
          <t>STR-085</t>
        </is>
      </c>
      <c r="B863" s="7" t="inlineStr">
        <is>
          <t>Beams</t>
        </is>
      </c>
      <c r="C863" s="7" t="inlineStr">
        <is>
          <t>Ninth floor beams (1 of 2)</t>
        </is>
      </c>
      <c r="D863" s="7" t="inlineStr">
        <is>
          <t>F13</t>
        </is>
      </c>
      <c r="E863" s="27" t="inlineStr">
        <is>
          <t>2509</t>
        </is>
      </c>
      <c r="F863" s="27" t="n">
        <v>25</v>
      </c>
      <c r="G863" s="27" t="n">
        <v>3</v>
      </c>
      <c r="H863" s="27" t="n">
        <v>8700</v>
      </c>
      <c r="I863" s="28">
        <f>G863*H863/1000*F863^2/162</f>
        <v>100.69444444444444</v>
      </c>
    </row>
    <row r="864">
      <c r="A864" s="7" t="inlineStr">
        <is>
          <t>STR-085</t>
        </is>
      </c>
      <c r="B864" s="7" t="inlineStr">
        <is>
          <t>Beams</t>
        </is>
      </c>
      <c r="C864" s="7" t="inlineStr">
        <is>
          <t>Ninth floor beams (1 of 2)</t>
        </is>
      </c>
      <c r="D864" s="7" t="inlineStr">
        <is>
          <t>F13</t>
        </is>
      </c>
      <c r="E864" s="27" t="inlineStr">
        <is>
          <t>2510</t>
        </is>
      </c>
      <c r="F864" s="27" t="n">
        <v>25</v>
      </c>
      <c r="G864" s="27" t="n">
        <v>3</v>
      </c>
      <c r="H864" s="27" t="n">
        <v>5900</v>
      </c>
      <c r="I864" s="28">
        <f>G864*H864/1000*F864^2/162</f>
        <v>68.28703703703704</v>
      </c>
    </row>
    <row r="865">
      <c r="A865" s="7" t="inlineStr">
        <is>
          <t>STR-085</t>
        </is>
      </c>
      <c r="B865" s="7" t="inlineStr">
        <is>
          <t>Beams</t>
        </is>
      </c>
      <c r="C865" s="7" t="inlineStr">
        <is>
          <t>Ninth floor beams (1 of 2)</t>
        </is>
      </c>
      <c r="D865" s="7" t="inlineStr">
        <is>
          <t>F13</t>
        </is>
      </c>
      <c r="E865" s="27" t="inlineStr">
        <is>
          <t>2511</t>
        </is>
      </c>
      <c r="F865" s="27" t="n">
        <v>25</v>
      </c>
      <c r="G865" s="27" t="n">
        <v>3</v>
      </c>
      <c r="H865" s="27" t="n">
        <v>5600</v>
      </c>
      <c r="I865" s="28">
        <f>G865*H865/1000*F865^2/162</f>
        <v>64.81481481481481</v>
      </c>
    </row>
    <row r="866">
      <c r="A866" s="7" t="inlineStr">
        <is>
          <t>STR-085</t>
        </is>
      </c>
      <c r="B866" s="7" t="inlineStr">
        <is>
          <t>Beams</t>
        </is>
      </c>
      <c r="C866" s="7" t="inlineStr">
        <is>
          <t>Ninth floor beams (1 of 2)</t>
        </is>
      </c>
      <c r="D866" s="7" t="inlineStr">
        <is>
          <t>F13</t>
        </is>
      </c>
      <c r="E866" s="27" t="inlineStr">
        <is>
          <t>2512</t>
        </is>
      </c>
      <c r="F866" s="27" t="n">
        <v>25</v>
      </c>
      <c r="G866" s="27" t="n">
        <v>3</v>
      </c>
      <c r="H866" s="27" t="n">
        <v>11550</v>
      </c>
      <c r="I866" s="28">
        <f>G866*H866/1000*F866^2/162</f>
        <v>133.68055555555554</v>
      </c>
    </row>
    <row r="867">
      <c r="A867" s="7" t="inlineStr">
        <is>
          <t>STR-085</t>
        </is>
      </c>
      <c r="B867" s="7" t="inlineStr">
        <is>
          <t>Beams</t>
        </is>
      </c>
      <c r="C867" s="7" t="inlineStr">
        <is>
          <t>Ninth floor beams (1 of 2)</t>
        </is>
      </c>
      <c r="D867" s="7" t="inlineStr">
        <is>
          <t>F13</t>
        </is>
      </c>
      <c r="E867" s="27" t="inlineStr">
        <is>
          <t>2513</t>
        </is>
      </c>
      <c r="F867" s="27" t="n">
        <v>25</v>
      </c>
      <c r="G867" s="27" t="n">
        <v>3</v>
      </c>
      <c r="H867" s="27" t="n">
        <v>6050</v>
      </c>
      <c r="I867" s="28">
        <f>G867*H867/1000*F867^2/162</f>
        <v>70.02314814814815</v>
      </c>
    </row>
    <row r="868">
      <c r="A868" s="7" t="inlineStr">
        <is>
          <t>STR-085</t>
        </is>
      </c>
      <c r="B868" s="7" t="inlineStr">
        <is>
          <t>Beams</t>
        </is>
      </c>
      <c r="C868" s="7" t="inlineStr">
        <is>
          <t>Ninth floor beams (1 of 2)</t>
        </is>
      </c>
      <c r="D868" s="7" t="inlineStr">
        <is>
          <t>F13</t>
        </is>
      </c>
      <c r="E868" s="27" t="inlineStr">
        <is>
          <t>2514</t>
        </is>
      </c>
      <c r="F868" s="27" t="n">
        <v>25</v>
      </c>
      <c r="G868" s="27" t="n">
        <v>3</v>
      </c>
      <c r="H868" s="27" t="n">
        <v>9000</v>
      </c>
      <c r="I868" s="28">
        <f>G868*H868/1000*F868^2/162</f>
        <v>104.16666666666667</v>
      </c>
    </row>
    <row r="869">
      <c r="A869" s="7" t="inlineStr">
        <is>
          <t>STR-085</t>
        </is>
      </c>
      <c r="B869" s="7" t="inlineStr">
        <is>
          <t>Beams</t>
        </is>
      </c>
      <c r="C869" s="7" t="inlineStr">
        <is>
          <t>Ninth floor beams (1 of 2)</t>
        </is>
      </c>
      <c r="D869" s="7" t="inlineStr">
        <is>
          <t>F13</t>
        </is>
      </c>
      <c r="E869" s="27" t="inlineStr">
        <is>
          <t>2515</t>
        </is>
      </c>
      <c r="F869" s="27" t="n">
        <v>25</v>
      </c>
      <c r="G869" s="27" t="n">
        <v>3</v>
      </c>
      <c r="H869" s="27" t="n">
        <v>5600</v>
      </c>
      <c r="I869" s="28">
        <f>G869*H869/1000*F869^2/162</f>
        <v>64.81481481481481</v>
      </c>
    </row>
    <row r="870">
      <c r="A870" s="7" t="inlineStr">
        <is>
          <t>STR-085</t>
        </is>
      </c>
      <c r="B870" s="7" t="inlineStr">
        <is>
          <t>Beams</t>
        </is>
      </c>
      <c r="C870" s="7" t="inlineStr">
        <is>
          <t>Ninth floor beams (1 of 2)</t>
        </is>
      </c>
      <c r="D870" s="7" t="inlineStr">
        <is>
          <t>F13</t>
        </is>
      </c>
      <c r="E870" s="27" t="inlineStr">
        <is>
          <t>2516</t>
        </is>
      </c>
      <c r="F870" s="27" t="n">
        <v>25</v>
      </c>
      <c r="G870" s="27" t="n">
        <v>3</v>
      </c>
      <c r="H870" s="27" t="n">
        <v>9400</v>
      </c>
      <c r="I870" s="28">
        <f>G870*H870/1000*F870^2/162</f>
        <v>108.79629629629629</v>
      </c>
    </row>
    <row r="871">
      <c r="A871" s="7" t="inlineStr">
        <is>
          <t>STR-085</t>
        </is>
      </c>
      <c r="B871" s="7" t="inlineStr">
        <is>
          <t>Beams</t>
        </is>
      </c>
      <c r="C871" s="7" t="inlineStr">
        <is>
          <t>Ninth floor beams (1 of 2)</t>
        </is>
      </c>
      <c r="D871" s="7" t="inlineStr">
        <is>
          <t>F13</t>
        </is>
      </c>
      <c r="E871" s="27" t="inlineStr">
        <is>
          <t>2517</t>
        </is>
      </c>
      <c r="F871" s="27" t="n">
        <v>25</v>
      </c>
      <c r="G871" s="27" t="n">
        <v>24</v>
      </c>
      <c r="H871" s="27" t="n">
        <v>9150</v>
      </c>
      <c r="I871" s="28">
        <f>G871*H871/1000*F871^2/162</f>
        <v>847.2222222222222</v>
      </c>
    </row>
    <row r="872">
      <c r="A872" s="7" t="inlineStr">
        <is>
          <t>STR-085</t>
        </is>
      </c>
      <c r="B872" s="7" t="inlineStr">
        <is>
          <t>Beams</t>
        </is>
      </c>
      <c r="C872" s="7" t="inlineStr">
        <is>
          <t>Ninth floor beams (1 of 2)</t>
        </is>
      </c>
      <c r="D872" s="7" t="inlineStr">
        <is>
          <t>F13</t>
        </is>
      </c>
      <c r="E872" s="27" t="inlineStr">
        <is>
          <t>2518</t>
        </is>
      </c>
      <c r="F872" s="27" t="n">
        <v>25</v>
      </c>
      <c r="G872" s="27" t="n">
        <v>3</v>
      </c>
      <c r="H872" s="27" t="n">
        <v>9800</v>
      </c>
      <c r="I872" s="28">
        <f>G872*H872/1000*F872^2/162</f>
        <v>113.42592592592592</v>
      </c>
    </row>
    <row r="873">
      <c r="A873" s="7" t="inlineStr">
        <is>
          <t>STR-085</t>
        </is>
      </c>
      <c r="B873" s="7" t="inlineStr">
        <is>
          <t>Beams</t>
        </is>
      </c>
      <c r="C873" s="7" t="inlineStr">
        <is>
          <t>Ninth floor beams (1 of 2)</t>
        </is>
      </c>
      <c r="D873" s="7" t="inlineStr">
        <is>
          <t>F13</t>
        </is>
      </c>
      <c r="E873" s="27" t="inlineStr">
        <is>
          <t>2519</t>
        </is>
      </c>
      <c r="F873" s="27" t="n">
        <v>25</v>
      </c>
      <c r="G873" s="27" t="n">
        <v>3</v>
      </c>
      <c r="H873" s="27" t="n">
        <v>8125</v>
      </c>
      <c r="I873" s="28">
        <f>G873*H873/1000*F873^2/162</f>
        <v>94.03935185185185</v>
      </c>
    </row>
    <row r="874">
      <c r="A874" s="7" t="inlineStr">
        <is>
          <t>STR-085</t>
        </is>
      </c>
      <c r="B874" s="7" t="inlineStr">
        <is>
          <t>Beams</t>
        </is>
      </c>
      <c r="C874" s="7" t="inlineStr">
        <is>
          <t>Ninth floor beams (1 of 2)</t>
        </is>
      </c>
      <c r="D874" s="7" t="inlineStr">
        <is>
          <t>F13</t>
        </is>
      </c>
      <c r="E874" s="27" t="inlineStr">
        <is>
          <t>2520</t>
        </is>
      </c>
      <c r="F874" s="27" t="n">
        <v>25</v>
      </c>
      <c r="G874" s="27" t="n">
        <v>24</v>
      </c>
      <c r="H874" s="27" t="n">
        <v>8025</v>
      </c>
      <c r="I874" s="28">
        <f>G874*H874/1000*F874^2/162</f>
        <v>743.0555555555555</v>
      </c>
    </row>
    <row r="875">
      <c r="A875" s="7" t="inlineStr">
        <is>
          <t>STR-087</t>
        </is>
      </c>
      <c r="B875" s="7" t="inlineStr">
        <is>
          <t>Beams</t>
        </is>
      </c>
      <c r="C875" s="7" t="inlineStr">
        <is>
          <t>Ninth floor beams (2 of 2)</t>
        </is>
      </c>
      <c r="D875" s="7" t="inlineStr">
        <is>
          <t>F13</t>
        </is>
      </c>
      <c r="E875" s="27" t="inlineStr">
        <is>
          <t>1001</t>
        </is>
      </c>
      <c r="F875" s="27" t="n">
        <v>10</v>
      </c>
      <c r="G875" s="27" t="n">
        <v>753</v>
      </c>
      <c r="H875" s="27" t="n">
        <v>1700</v>
      </c>
      <c r="I875" s="28">
        <f>G875*H875/1000*F875^2/162</f>
        <v>790.1851851851851</v>
      </c>
    </row>
    <row r="876">
      <c r="A876" s="7" t="inlineStr">
        <is>
          <t>STR-087</t>
        </is>
      </c>
      <c r="B876" s="7" t="inlineStr">
        <is>
          <t>Beams</t>
        </is>
      </c>
      <c r="C876" s="7" t="inlineStr">
        <is>
          <t>Ninth floor beams (2 of 2)</t>
        </is>
      </c>
      <c r="D876" s="7" t="inlineStr">
        <is>
          <t>F13</t>
        </is>
      </c>
      <c r="E876" s="27" t="inlineStr">
        <is>
          <t>1601</t>
        </is>
      </c>
      <c r="F876" s="27" t="n">
        <v>16</v>
      </c>
      <c r="G876" s="27" t="n">
        <v>2</v>
      </c>
      <c r="H876" s="27" t="n">
        <v>11800</v>
      </c>
      <c r="I876" s="28">
        <f>G876*H876/1000*F876^2/162</f>
        <v>37.29382716049383</v>
      </c>
    </row>
    <row r="877">
      <c r="A877" s="7" t="inlineStr">
        <is>
          <t>STR-087</t>
        </is>
      </c>
      <c r="B877" s="7" t="inlineStr">
        <is>
          <t>Beams</t>
        </is>
      </c>
      <c r="C877" s="7" t="inlineStr">
        <is>
          <t>Ninth floor beams (2 of 2)</t>
        </is>
      </c>
      <c r="D877" s="7" t="inlineStr">
        <is>
          <t>F13</t>
        </is>
      </c>
      <c r="E877" s="27" t="inlineStr">
        <is>
          <t>1602</t>
        </is>
      </c>
      <c r="F877" s="27" t="n">
        <v>16</v>
      </c>
      <c r="G877" s="27" t="n">
        <v>8</v>
      </c>
      <c r="H877" s="27" t="n">
        <v>12000</v>
      </c>
      <c r="I877" s="28">
        <f>G877*H877/1000*F877^2/162</f>
        <v>151.7037037037037</v>
      </c>
    </row>
    <row r="878">
      <c r="A878" s="7" t="inlineStr">
        <is>
          <t>STR-087</t>
        </is>
      </c>
      <c r="B878" s="7" t="inlineStr">
        <is>
          <t>Beams</t>
        </is>
      </c>
      <c r="C878" s="7" t="inlineStr">
        <is>
          <t>Ninth floor beams (2 of 2)</t>
        </is>
      </c>
      <c r="D878" s="7" t="inlineStr">
        <is>
          <t>F13</t>
        </is>
      </c>
      <c r="E878" s="27" t="inlineStr">
        <is>
          <t>1603</t>
        </is>
      </c>
      <c r="F878" s="27" t="n">
        <v>16</v>
      </c>
      <c r="G878" s="27" t="n">
        <v>2</v>
      </c>
      <c r="H878" s="27" t="n">
        <v>6450</v>
      </c>
      <c r="I878" s="28">
        <f>G878*H878/1000*F878^2/162</f>
        <v>20.385185185185186</v>
      </c>
    </row>
    <row r="879">
      <c r="A879" s="7" t="inlineStr">
        <is>
          <t>STR-087</t>
        </is>
      </c>
      <c r="B879" s="7" t="inlineStr">
        <is>
          <t>Beams</t>
        </is>
      </c>
      <c r="C879" s="7" t="inlineStr">
        <is>
          <t>Ninth floor beams (2 of 2)</t>
        </is>
      </c>
      <c r="D879" s="7" t="inlineStr">
        <is>
          <t>F13</t>
        </is>
      </c>
      <c r="E879" s="27" t="inlineStr">
        <is>
          <t>1604</t>
        </is>
      </c>
      <c r="F879" s="27" t="n">
        <v>16</v>
      </c>
      <c r="G879" s="27" t="n">
        <v>3</v>
      </c>
      <c r="H879" s="27" t="n">
        <v>7600</v>
      </c>
      <c r="I879" s="28">
        <f>G879*H879/1000*F879^2/162</f>
        <v>36.02962962962963</v>
      </c>
    </row>
    <row r="880">
      <c r="A880" s="7" t="inlineStr">
        <is>
          <t>STR-087</t>
        </is>
      </c>
      <c r="B880" s="7" t="inlineStr">
        <is>
          <t>Beams</t>
        </is>
      </c>
      <c r="C880" s="7" t="inlineStr">
        <is>
          <t>Ninth floor beams (2 of 2)</t>
        </is>
      </c>
      <c r="D880" s="7" t="inlineStr">
        <is>
          <t>F13</t>
        </is>
      </c>
      <c r="E880" s="27" t="inlineStr">
        <is>
          <t>1605</t>
        </is>
      </c>
      <c r="F880" s="27" t="n">
        <v>16</v>
      </c>
      <c r="G880" s="27" t="n">
        <v>3</v>
      </c>
      <c r="H880" s="27" t="n">
        <v>1200</v>
      </c>
      <c r="I880" s="28">
        <f>G880*H880/1000*F880^2/162</f>
        <v>5.688888888888889</v>
      </c>
    </row>
    <row r="881">
      <c r="A881" s="7" t="inlineStr">
        <is>
          <t>STR-087</t>
        </is>
      </c>
      <c r="B881" s="7" t="inlineStr">
        <is>
          <t>Beams</t>
        </is>
      </c>
      <c r="C881" s="7" t="inlineStr">
        <is>
          <t>Ninth floor beams (2 of 2)</t>
        </is>
      </c>
      <c r="D881" s="7" t="inlineStr">
        <is>
          <t>F13</t>
        </is>
      </c>
      <c r="E881" s="27" t="inlineStr">
        <is>
          <t>1606</t>
        </is>
      </c>
      <c r="F881" s="27" t="n">
        <v>16</v>
      </c>
      <c r="G881" s="27" t="n">
        <v>3</v>
      </c>
      <c r="H881" s="27" t="n">
        <v>11300</v>
      </c>
      <c r="I881" s="28">
        <f>G881*H881/1000*F881^2/162</f>
        <v>53.57037037037037</v>
      </c>
    </row>
    <row r="882">
      <c r="A882" s="7" t="inlineStr">
        <is>
          <t>STR-087</t>
        </is>
      </c>
      <c r="B882" s="7" t="inlineStr">
        <is>
          <t>Beams</t>
        </is>
      </c>
      <c r="C882" s="7" t="inlineStr">
        <is>
          <t>Ninth floor beams (2 of 2)</t>
        </is>
      </c>
      <c r="D882" s="7" t="inlineStr">
        <is>
          <t>F13</t>
        </is>
      </c>
      <c r="E882" s="27" t="inlineStr">
        <is>
          <t>1607</t>
        </is>
      </c>
      <c r="F882" s="27" t="n">
        <v>16</v>
      </c>
      <c r="G882" s="27" t="n">
        <v>3</v>
      </c>
      <c r="H882" s="27" t="n">
        <v>9000</v>
      </c>
      <c r="I882" s="28">
        <f>G882*H882/1000*F882^2/162</f>
        <v>42.666666666666664</v>
      </c>
    </row>
    <row r="883">
      <c r="A883" s="7" t="inlineStr">
        <is>
          <t>STR-087</t>
        </is>
      </c>
      <c r="B883" s="7" t="inlineStr">
        <is>
          <t>Beams</t>
        </is>
      </c>
      <c r="C883" s="7" t="inlineStr">
        <is>
          <t>Ninth floor beams (2 of 2)</t>
        </is>
      </c>
      <c r="D883" s="7" t="inlineStr">
        <is>
          <t>F13</t>
        </is>
      </c>
      <c r="E883" s="27" t="inlineStr">
        <is>
          <t>1608</t>
        </is>
      </c>
      <c r="F883" s="27" t="n">
        <v>16</v>
      </c>
      <c r="G883" s="27" t="n">
        <v>3</v>
      </c>
      <c r="H883" s="27" t="n">
        <v>8800</v>
      </c>
      <c r="I883" s="28">
        <f>G883*H883/1000*F883^2/162</f>
        <v>41.718518518518515</v>
      </c>
    </row>
    <row r="884">
      <c r="A884" s="7" t="inlineStr">
        <is>
          <t>STR-087</t>
        </is>
      </c>
      <c r="B884" s="7" t="inlineStr">
        <is>
          <t>Beams</t>
        </is>
      </c>
      <c r="C884" s="7" t="inlineStr">
        <is>
          <t>Ninth floor beams (2 of 2)</t>
        </is>
      </c>
      <c r="D884" s="7" t="inlineStr">
        <is>
          <t>F13</t>
        </is>
      </c>
      <c r="E884" s="27" t="inlineStr">
        <is>
          <t>1608A</t>
        </is>
      </c>
      <c r="F884" s="27" t="n">
        <v>16</v>
      </c>
      <c r="G884" s="27" t="n">
        <v>2</v>
      </c>
      <c r="H884" s="27" t="n">
        <v>7900</v>
      </c>
      <c r="I884" s="28">
        <f>G884*H884/1000*F884^2/162</f>
        <v>24.967901234567904</v>
      </c>
    </row>
    <row r="885">
      <c r="A885" s="7" t="inlineStr">
        <is>
          <t>STR-087</t>
        </is>
      </c>
      <c r="B885" s="7" t="inlineStr">
        <is>
          <t>Beams</t>
        </is>
      </c>
      <c r="C885" s="7" t="inlineStr">
        <is>
          <t>Ninth floor beams (2 of 2)</t>
        </is>
      </c>
      <c r="D885" s="7" t="inlineStr">
        <is>
          <t>F13</t>
        </is>
      </c>
      <c r="E885" s="27" t="inlineStr">
        <is>
          <t>1609</t>
        </is>
      </c>
      <c r="F885" s="27" t="n">
        <v>16</v>
      </c>
      <c r="G885" s="27" t="n">
        <v>6</v>
      </c>
      <c r="H885" s="27" t="n">
        <v>3350</v>
      </c>
      <c r="I885" s="28">
        <f>G885*H885/1000*F885^2/162</f>
        <v>31.762962962962966</v>
      </c>
    </row>
    <row r="886">
      <c r="A886" s="7" t="inlineStr">
        <is>
          <t>STR-087</t>
        </is>
      </c>
      <c r="B886" s="7" t="inlineStr">
        <is>
          <t>Beams</t>
        </is>
      </c>
      <c r="C886" s="7" t="inlineStr">
        <is>
          <t>Ninth floor beams (2 of 2)</t>
        </is>
      </c>
      <c r="D886" s="7" t="inlineStr">
        <is>
          <t>F13</t>
        </is>
      </c>
      <c r="E886" s="27" t="inlineStr">
        <is>
          <t>1610</t>
        </is>
      </c>
      <c r="F886" s="27" t="n">
        <v>16</v>
      </c>
      <c r="G886" s="27" t="n">
        <v>2</v>
      </c>
      <c r="H886" s="27" t="n">
        <v>3350</v>
      </c>
      <c r="I886" s="28">
        <f>G886*H886/1000*F886^2/162</f>
        <v>10.587654320987655</v>
      </c>
    </row>
    <row r="887">
      <c r="A887" s="7" t="inlineStr">
        <is>
          <t>STR-087</t>
        </is>
      </c>
      <c r="B887" s="7" t="inlineStr">
        <is>
          <t>Beams</t>
        </is>
      </c>
      <c r="C887" s="7" t="inlineStr">
        <is>
          <t>Ninth floor beams (2 of 2)</t>
        </is>
      </c>
      <c r="D887" s="7" t="inlineStr">
        <is>
          <t>F13</t>
        </is>
      </c>
      <c r="E887" s="27" t="inlineStr">
        <is>
          <t>1611</t>
        </is>
      </c>
      <c r="F887" s="27" t="n">
        <v>16</v>
      </c>
      <c r="G887" s="27" t="n">
        <v>2</v>
      </c>
      <c r="H887" s="27" t="n">
        <v>10550</v>
      </c>
      <c r="I887" s="28">
        <f>G887*H887/1000*F887^2/162</f>
        <v>33.34320987654321</v>
      </c>
    </row>
    <row r="888">
      <c r="A888" s="7" t="inlineStr">
        <is>
          <t>STR-087</t>
        </is>
      </c>
      <c r="B888" s="7" t="inlineStr">
        <is>
          <t>Beams</t>
        </is>
      </c>
      <c r="C888" s="7" t="inlineStr">
        <is>
          <t>Ninth floor beams (2 of 2)</t>
        </is>
      </c>
      <c r="D888" s="7" t="inlineStr">
        <is>
          <t>F13</t>
        </is>
      </c>
      <c r="E888" s="27" t="inlineStr">
        <is>
          <t>1612</t>
        </is>
      </c>
      <c r="F888" s="27" t="n">
        <v>16</v>
      </c>
      <c r="G888" s="27" t="n">
        <v>2</v>
      </c>
      <c r="H888" s="27" t="n">
        <v>9050</v>
      </c>
      <c r="I888" s="28">
        <f>G888*H888/1000*F888^2/162</f>
        <v>28.602469135802473</v>
      </c>
    </row>
    <row r="889">
      <c r="A889" s="7" t="inlineStr">
        <is>
          <t>STR-087</t>
        </is>
      </c>
      <c r="B889" s="7" t="inlineStr">
        <is>
          <t>Beams</t>
        </is>
      </c>
      <c r="C889" s="7" t="inlineStr">
        <is>
          <t>Ninth floor beams (2 of 2)</t>
        </is>
      </c>
      <c r="D889" s="7" t="inlineStr">
        <is>
          <t>F13</t>
        </is>
      </c>
      <c r="E889" s="27" t="inlineStr">
        <is>
          <t>2001</t>
        </is>
      </c>
      <c r="F889" s="27" t="n">
        <v>20</v>
      </c>
      <c r="G889" s="27" t="n">
        <v>3</v>
      </c>
      <c r="H889" s="27" t="n">
        <v>8050</v>
      </c>
      <c r="I889" s="28">
        <f>G889*H889/1000*F889^2/162</f>
        <v>59.629629629629626</v>
      </c>
    </row>
    <row r="890">
      <c r="A890" s="7" t="inlineStr">
        <is>
          <t>STR-087</t>
        </is>
      </c>
      <c r="B890" s="7" t="inlineStr">
        <is>
          <t>Beams</t>
        </is>
      </c>
      <c r="C890" s="7" t="inlineStr">
        <is>
          <t>Ninth floor beams (2 of 2)</t>
        </is>
      </c>
      <c r="D890" s="7" t="inlineStr">
        <is>
          <t>F13</t>
        </is>
      </c>
      <c r="E890" s="27" t="inlineStr">
        <is>
          <t>2002</t>
        </is>
      </c>
      <c r="F890" s="27" t="n">
        <v>20</v>
      </c>
      <c r="G890" s="27" t="n">
        <v>3</v>
      </c>
      <c r="H890" s="27" t="n">
        <v>9550</v>
      </c>
      <c r="I890" s="28">
        <f>G890*H890/1000*F890^2/162</f>
        <v>70.74074074074075</v>
      </c>
    </row>
    <row r="891">
      <c r="A891" s="7" t="inlineStr">
        <is>
          <t>STR-087</t>
        </is>
      </c>
      <c r="B891" s="7" t="inlineStr">
        <is>
          <t>Beams</t>
        </is>
      </c>
      <c r="C891" s="7" t="inlineStr">
        <is>
          <t>Ninth floor beams (2 of 2)</t>
        </is>
      </c>
      <c r="D891" s="7" t="inlineStr">
        <is>
          <t>F13</t>
        </is>
      </c>
      <c r="E891" s="27" t="inlineStr">
        <is>
          <t>2003</t>
        </is>
      </c>
      <c r="F891" s="27" t="n">
        <v>20</v>
      </c>
      <c r="G891" s="27" t="n">
        <v>2</v>
      </c>
      <c r="H891" s="27" t="n">
        <v>8150</v>
      </c>
      <c r="I891" s="28">
        <f>G891*H891/1000*F891^2/162</f>
        <v>40.24691358024691</v>
      </c>
    </row>
    <row r="892">
      <c r="A892" s="7" t="inlineStr">
        <is>
          <t>STR-087</t>
        </is>
      </c>
      <c r="B892" s="7" t="inlineStr">
        <is>
          <t>Beams</t>
        </is>
      </c>
      <c r="C892" s="7" t="inlineStr">
        <is>
          <t>Ninth floor beams (2 of 2)</t>
        </is>
      </c>
      <c r="D892" s="7" t="inlineStr">
        <is>
          <t>F13</t>
        </is>
      </c>
      <c r="E892" s="27" t="inlineStr">
        <is>
          <t>2004</t>
        </is>
      </c>
      <c r="F892" s="27" t="n">
        <v>20</v>
      </c>
      <c r="G892" s="27" t="n">
        <v>2</v>
      </c>
      <c r="H892" s="27" t="n">
        <v>9450</v>
      </c>
      <c r="I892" s="28">
        <f>G892*H892/1000*F892^2/162</f>
        <v>46.666666666666664</v>
      </c>
    </row>
    <row r="893">
      <c r="A893" s="7" t="inlineStr">
        <is>
          <t>STR-087</t>
        </is>
      </c>
      <c r="B893" s="7" t="inlineStr">
        <is>
          <t>Beams</t>
        </is>
      </c>
      <c r="C893" s="7" t="inlineStr">
        <is>
          <t>Ninth floor beams (2 of 2)</t>
        </is>
      </c>
      <c r="D893" s="7" t="inlineStr">
        <is>
          <t>F13</t>
        </is>
      </c>
      <c r="E893" s="27" t="inlineStr">
        <is>
          <t>2005</t>
        </is>
      </c>
      <c r="F893" s="27" t="n">
        <v>20</v>
      </c>
      <c r="G893" s="27" t="n">
        <v>2</v>
      </c>
      <c r="H893" s="27" t="n">
        <v>11625</v>
      </c>
      <c r="I893" s="28">
        <f>G893*H893/1000*F893^2/162</f>
        <v>57.407407407407405</v>
      </c>
    </row>
    <row r="894">
      <c r="A894" s="7" t="inlineStr">
        <is>
          <t>STR-087</t>
        </is>
      </c>
      <c r="B894" s="7" t="inlineStr">
        <is>
          <t>Beams</t>
        </is>
      </c>
      <c r="C894" s="7" t="inlineStr">
        <is>
          <t>Ninth floor beams (2 of 2)</t>
        </is>
      </c>
      <c r="D894" s="7" t="inlineStr">
        <is>
          <t>F13</t>
        </is>
      </c>
      <c r="E894" s="27" t="inlineStr">
        <is>
          <t>2006</t>
        </is>
      </c>
      <c r="F894" s="27" t="n">
        <v>20</v>
      </c>
      <c r="G894" s="27" t="n">
        <v>3</v>
      </c>
      <c r="H894" s="27" t="n">
        <v>6650</v>
      </c>
      <c r="I894" s="28">
        <f>G894*H894/1000*F894^2/162</f>
        <v>49.25925925925926</v>
      </c>
    </row>
    <row r="895">
      <c r="A895" s="7" t="inlineStr">
        <is>
          <t>STR-087</t>
        </is>
      </c>
      <c r="B895" s="7" t="inlineStr">
        <is>
          <t>Beams</t>
        </is>
      </c>
      <c r="C895" s="7" t="inlineStr">
        <is>
          <t>Ninth floor beams (2 of 2)</t>
        </is>
      </c>
      <c r="D895" s="7" t="inlineStr">
        <is>
          <t>F13</t>
        </is>
      </c>
      <c r="E895" s="27" t="inlineStr">
        <is>
          <t>2007</t>
        </is>
      </c>
      <c r="F895" s="27" t="n">
        <v>20</v>
      </c>
      <c r="G895" s="27" t="n">
        <v>3</v>
      </c>
      <c r="H895" s="27" t="n">
        <v>8250</v>
      </c>
      <c r="I895" s="28">
        <f>G895*H895/1000*F895^2/162</f>
        <v>61.111111111111114</v>
      </c>
    </row>
    <row r="896">
      <c r="A896" s="7" t="inlineStr">
        <is>
          <t>STR-087</t>
        </is>
      </c>
      <c r="B896" s="7" t="inlineStr">
        <is>
          <t>Beams</t>
        </is>
      </c>
      <c r="C896" s="7" t="inlineStr">
        <is>
          <t>Ninth floor beams (2 of 2)</t>
        </is>
      </c>
      <c r="D896" s="7" t="inlineStr">
        <is>
          <t>F13</t>
        </is>
      </c>
      <c r="E896" s="27" t="inlineStr">
        <is>
          <t>2008</t>
        </is>
      </c>
      <c r="F896" s="27" t="n">
        <v>20</v>
      </c>
      <c r="G896" s="27" t="n">
        <v>3</v>
      </c>
      <c r="H896" s="27" t="n">
        <v>9000</v>
      </c>
      <c r="I896" s="28">
        <f>G896*H896/1000*F896^2/162</f>
        <v>66.66666666666667</v>
      </c>
    </row>
    <row r="897">
      <c r="A897" s="7" t="inlineStr">
        <is>
          <t>STR-087</t>
        </is>
      </c>
      <c r="B897" s="7" t="inlineStr">
        <is>
          <t>Beams</t>
        </is>
      </c>
      <c r="C897" s="7" t="inlineStr">
        <is>
          <t>Ninth floor beams (2 of 2)</t>
        </is>
      </c>
      <c r="D897" s="7" t="inlineStr">
        <is>
          <t>F13</t>
        </is>
      </c>
      <c r="E897" s="27" t="inlineStr">
        <is>
          <t>2501</t>
        </is>
      </c>
      <c r="F897" s="27" t="n">
        <v>25</v>
      </c>
      <c r="G897" s="27" t="n">
        <v>3</v>
      </c>
      <c r="H897" s="27" t="n">
        <v>5850</v>
      </c>
      <c r="I897" s="28">
        <f>G897*H897/1000*F897^2/162</f>
        <v>67.70833333333333</v>
      </c>
    </row>
    <row r="898">
      <c r="A898" s="7" t="inlineStr">
        <is>
          <t>STR-087</t>
        </is>
      </c>
      <c r="B898" s="7" t="inlineStr">
        <is>
          <t>Beams</t>
        </is>
      </c>
      <c r="C898" s="7" t="inlineStr">
        <is>
          <t>Ninth floor beams (2 of 2)</t>
        </is>
      </c>
      <c r="D898" s="7" t="inlineStr">
        <is>
          <t>F13</t>
        </is>
      </c>
      <c r="E898" s="27" t="inlineStr">
        <is>
          <t>2502</t>
        </is>
      </c>
      <c r="F898" s="27" t="n">
        <v>25</v>
      </c>
      <c r="G898" s="27" t="n">
        <v>3</v>
      </c>
      <c r="H898" s="27" t="n">
        <v>8000</v>
      </c>
      <c r="I898" s="28">
        <f>G898*H898/1000*F898^2/162</f>
        <v>92.5925925925926</v>
      </c>
    </row>
    <row r="899">
      <c r="A899" s="7" t="inlineStr">
        <is>
          <t>STR-087</t>
        </is>
      </c>
      <c r="B899" s="7" t="inlineStr">
        <is>
          <t>Beams</t>
        </is>
      </c>
      <c r="C899" s="7" t="inlineStr">
        <is>
          <t>Ninth floor beams (2 of 2)</t>
        </is>
      </c>
      <c r="D899" s="7" t="inlineStr">
        <is>
          <t>F13</t>
        </is>
      </c>
      <c r="E899" s="27" t="inlineStr">
        <is>
          <t>2503</t>
        </is>
      </c>
      <c r="F899" s="27" t="n">
        <v>25</v>
      </c>
      <c r="G899" s="27" t="n">
        <v>3</v>
      </c>
      <c r="H899" s="27" t="n">
        <v>8750</v>
      </c>
      <c r="I899" s="28">
        <f>G899*H899/1000*F899^2/162</f>
        <v>101.27314814814815</v>
      </c>
    </row>
    <row r="900">
      <c r="A900" s="7" t="inlineStr">
        <is>
          <t>STR-087</t>
        </is>
      </c>
      <c r="B900" s="7" t="inlineStr">
        <is>
          <t>Beams</t>
        </is>
      </c>
      <c r="C900" s="7" t="inlineStr">
        <is>
          <t>Ninth floor beams (2 of 2)</t>
        </is>
      </c>
      <c r="D900" s="7" t="inlineStr">
        <is>
          <t>F13</t>
        </is>
      </c>
      <c r="E900" s="27" t="inlineStr">
        <is>
          <t>2503A</t>
        </is>
      </c>
      <c r="F900" s="27" t="n">
        <v>25</v>
      </c>
      <c r="G900" s="27" t="n">
        <v>2</v>
      </c>
      <c r="H900" s="27" t="n">
        <v>8650</v>
      </c>
      <c r="I900" s="28">
        <f>G900*H900/1000*F900^2/162</f>
        <v>66.74382716049382</v>
      </c>
    </row>
    <row r="901">
      <c r="A901" s="7" t="inlineStr">
        <is>
          <t>STR-087</t>
        </is>
      </c>
      <c r="B901" s="7" t="inlineStr">
        <is>
          <t>Beams</t>
        </is>
      </c>
      <c r="C901" s="7" t="inlineStr">
        <is>
          <t>Ninth floor beams (2 of 2)</t>
        </is>
      </c>
      <c r="D901" s="7" t="inlineStr">
        <is>
          <t>F13</t>
        </is>
      </c>
      <c r="E901" s="27" t="inlineStr">
        <is>
          <t>2504</t>
        </is>
      </c>
      <c r="F901" s="27" t="n">
        <v>25</v>
      </c>
      <c r="G901" s="27" t="n">
        <v>3</v>
      </c>
      <c r="H901" s="27" t="n">
        <v>6425</v>
      </c>
      <c r="I901" s="28">
        <f>G901*H901/1000*F901^2/162</f>
        <v>74.36342592592592</v>
      </c>
    </row>
    <row r="902">
      <c r="A902" s="7" t="inlineStr">
        <is>
          <t>STR-087</t>
        </is>
      </c>
      <c r="B902" s="7" t="inlineStr">
        <is>
          <t>Beams</t>
        </is>
      </c>
      <c r="C902" s="7" t="inlineStr">
        <is>
          <t>Ninth floor beams (2 of 2)</t>
        </is>
      </c>
      <c r="D902" s="7" t="inlineStr">
        <is>
          <t>F13</t>
        </is>
      </c>
      <c r="E902" s="27" t="inlineStr">
        <is>
          <t>2504A</t>
        </is>
      </c>
      <c r="F902" s="27" t="n">
        <v>25</v>
      </c>
      <c r="G902" s="27" t="n">
        <v>2</v>
      </c>
      <c r="H902" s="27" t="n">
        <v>6325</v>
      </c>
      <c r="I902" s="28">
        <f>G902*H902/1000*F902^2/162</f>
        <v>48.80401234567901</v>
      </c>
    </row>
    <row r="903">
      <c r="A903" s="7" t="inlineStr">
        <is>
          <t>STR-087</t>
        </is>
      </c>
      <c r="B903" s="7" t="inlineStr">
        <is>
          <t>Beams</t>
        </is>
      </c>
      <c r="C903" s="7" t="inlineStr">
        <is>
          <t>Ninth floor beams (2 of 2)</t>
        </is>
      </c>
      <c r="D903" s="7" t="inlineStr">
        <is>
          <t>F13</t>
        </is>
      </c>
      <c r="E903" s="27" t="inlineStr">
        <is>
          <t>2505</t>
        </is>
      </c>
      <c r="F903" s="27" t="n">
        <v>25</v>
      </c>
      <c r="G903" s="27" t="n">
        <v>3</v>
      </c>
      <c r="H903" s="27" t="n">
        <v>5000</v>
      </c>
      <c r="I903" s="28">
        <f>G903*H903/1000*F903^2/162</f>
        <v>57.870370370370374</v>
      </c>
    </row>
    <row r="904">
      <c r="A904" s="7" t="inlineStr">
        <is>
          <t>STR-087</t>
        </is>
      </c>
      <c r="B904" s="7" t="inlineStr">
        <is>
          <t>Beams</t>
        </is>
      </c>
      <c r="C904" s="7" t="inlineStr">
        <is>
          <t>Ninth floor beams (2 of 2)</t>
        </is>
      </c>
      <c r="D904" s="7" t="inlineStr">
        <is>
          <t>F13</t>
        </is>
      </c>
      <c r="E904" s="27" t="inlineStr">
        <is>
          <t>2506</t>
        </is>
      </c>
      <c r="F904" s="27" t="n">
        <v>25</v>
      </c>
      <c r="G904" s="27" t="n">
        <v>3</v>
      </c>
      <c r="H904" s="27" t="n">
        <v>8600</v>
      </c>
      <c r="I904" s="28">
        <f>G904*H904/1000*F904^2/162</f>
        <v>99.53703703703704</v>
      </c>
    </row>
    <row r="905">
      <c r="A905" s="7" t="inlineStr">
        <is>
          <t>STR-087</t>
        </is>
      </c>
      <c r="B905" s="7" t="inlineStr">
        <is>
          <t>Beams</t>
        </is>
      </c>
      <c r="C905" s="7" t="inlineStr">
        <is>
          <t>Ninth floor beams (2 of 2)</t>
        </is>
      </c>
      <c r="D905" s="7" t="inlineStr">
        <is>
          <t>F13</t>
        </is>
      </c>
      <c r="E905" s="27" t="inlineStr">
        <is>
          <t>2507</t>
        </is>
      </c>
      <c r="F905" s="27" t="n">
        <v>25</v>
      </c>
      <c r="G905" s="27" t="n">
        <v>3</v>
      </c>
      <c r="H905" s="27" t="n">
        <v>8675</v>
      </c>
      <c r="I905" s="28">
        <f>G905*H905/1000*F905^2/162</f>
        <v>100.4050925925926</v>
      </c>
    </row>
    <row r="906">
      <c r="A906" s="7" t="inlineStr">
        <is>
          <t>STR-087</t>
        </is>
      </c>
      <c r="B906" s="7" t="inlineStr">
        <is>
          <t>Beams</t>
        </is>
      </c>
      <c r="C906" s="7" t="inlineStr">
        <is>
          <t>Ninth floor beams (2 of 2)</t>
        </is>
      </c>
      <c r="D906" s="7" t="inlineStr">
        <is>
          <t>F13</t>
        </is>
      </c>
      <c r="E906" s="27" t="inlineStr">
        <is>
          <t>2508</t>
        </is>
      </c>
      <c r="F906" s="27" t="n">
        <v>25</v>
      </c>
      <c r="G906" s="27" t="n">
        <v>3</v>
      </c>
      <c r="H906" s="27" t="n">
        <v>6350</v>
      </c>
      <c r="I906" s="28">
        <f>G906*H906/1000*F906^2/162</f>
        <v>73.49537037037037</v>
      </c>
    </row>
    <row r="907">
      <c r="A907" s="7" t="inlineStr">
        <is>
          <t>STR-087</t>
        </is>
      </c>
      <c r="B907" s="7" t="inlineStr">
        <is>
          <t>Beams</t>
        </is>
      </c>
      <c r="C907" s="7" t="inlineStr">
        <is>
          <t>Ninth floor beams (2 of 2)</t>
        </is>
      </c>
      <c r="D907" s="7" t="inlineStr">
        <is>
          <t>F13</t>
        </is>
      </c>
      <c r="E907" s="27" t="inlineStr">
        <is>
          <t>2509</t>
        </is>
      </c>
      <c r="F907" s="27" t="n">
        <v>25</v>
      </c>
      <c r="G907" s="27" t="n">
        <v>3</v>
      </c>
      <c r="H907" s="27" t="n">
        <v>5000</v>
      </c>
      <c r="I907" s="28">
        <f>G907*H907/1000*F907^2/162</f>
        <v>57.870370370370374</v>
      </c>
    </row>
    <row r="908">
      <c r="A908" s="7" t="inlineStr">
        <is>
          <t>STR-087</t>
        </is>
      </c>
      <c r="B908" s="7" t="inlineStr">
        <is>
          <t>Beams</t>
        </is>
      </c>
      <c r="C908" s="7" t="inlineStr">
        <is>
          <t>Ninth floor beams (2 of 2)</t>
        </is>
      </c>
      <c r="D908" s="7" t="inlineStr">
        <is>
          <t>F13</t>
        </is>
      </c>
      <c r="E908" s="27" t="inlineStr">
        <is>
          <t>2510</t>
        </is>
      </c>
      <c r="F908" s="27" t="n">
        <v>25</v>
      </c>
      <c r="G908" s="27" t="n">
        <v>3</v>
      </c>
      <c r="H908" s="27" t="n">
        <v>9175</v>
      </c>
      <c r="I908" s="28">
        <f>G908*H908/1000*F908^2/162</f>
        <v>106.19212962962963</v>
      </c>
    </row>
    <row r="909">
      <c r="A909" s="7" t="inlineStr">
        <is>
          <t>STR-087</t>
        </is>
      </c>
      <c r="B909" s="7" t="inlineStr">
        <is>
          <t>Beams</t>
        </is>
      </c>
      <c r="C909" s="7" t="inlineStr">
        <is>
          <t>Ninth floor beams (2 of 2)</t>
        </is>
      </c>
      <c r="D909" s="7" t="inlineStr">
        <is>
          <t>F13</t>
        </is>
      </c>
      <c r="E909" s="27" t="inlineStr">
        <is>
          <t>2511</t>
        </is>
      </c>
      <c r="F909" s="27" t="n">
        <v>25</v>
      </c>
      <c r="G909" s="27" t="n">
        <v>3</v>
      </c>
      <c r="H909" s="27" t="n">
        <v>8675</v>
      </c>
      <c r="I909" s="28">
        <f>G909*H909/1000*F909^2/162</f>
        <v>100.4050925925926</v>
      </c>
    </row>
    <row r="910">
      <c r="A910" s="7" t="inlineStr">
        <is>
          <t>STR-087</t>
        </is>
      </c>
      <c r="B910" s="7" t="inlineStr">
        <is>
          <t>Beams</t>
        </is>
      </c>
      <c r="C910" s="7" t="inlineStr">
        <is>
          <t>Ninth floor beams (2 of 2)</t>
        </is>
      </c>
      <c r="D910" s="7" t="inlineStr">
        <is>
          <t>F13</t>
        </is>
      </c>
      <c r="E910" s="27" t="inlineStr">
        <is>
          <t>2512</t>
        </is>
      </c>
      <c r="F910" s="27" t="n">
        <v>25</v>
      </c>
      <c r="G910" s="27" t="n">
        <v>3</v>
      </c>
      <c r="H910" s="27" t="n">
        <v>6350</v>
      </c>
      <c r="I910" s="28">
        <f>G910*H910/1000*F910^2/162</f>
        <v>73.49537037037037</v>
      </c>
    </row>
    <row r="911">
      <c r="A911" s="7" t="inlineStr">
        <is>
          <t>STR-087</t>
        </is>
      </c>
      <c r="B911" s="7" t="inlineStr">
        <is>
          <t>Beams</t>
        </is>
      </c>
      <c r="C911" s="7" t="inlineStr">
        <is>
          <t>Ninth floor beams (2 of 2)</t>
        </is>
      </c>
      <c r="D911" s="7" t="inlineStr">
        <is>
          <t>F13</t>
        </is>
      </c>
      <c r="E911" s="27" t="inlineStr">
        <is>
          <t>2513</t>
        </is>
      </c>
      <c r="F911" s="27" t="n">
        <v>25</v>
      </c>
      <c r="G911" s="27" t="n">
        <v>6</v>
      </c>
      <c r="H911" s="27" t="n">
        <v>4700</v>
      </c>
      <c r="I911" s="28">
        <f>G911*H911/1000*F911^2/162</f>
        <v>108.79629629629629</v>
      </c>
    </row>
    <row r="912">
      <c r="A912" s="7" t="inlineStr">
        <is>
          <t>STR-087</t>
        </is>
      </c>
      <c r="B912" s="7" t="inlineStr">
        <is>
          <t>Beams</t>
        </is>
      </c>
      <c r="C912" s="7" t="inlineStr">
        <is>
          <t>Ninth floor beams (2 of 2)</t>
        </is>
      </c>
      <c r="D912" s="7" t="inlineStr">
        <is>
          <t>F13</t>
        </is>
      </c>
      <c r="E912" s="27" t="inlineStr">
        <is>
          <t>2514</t>
        </is>
      </c>
      <c r="F912" s="27" t="n">
        <v>25</v>
      </c>
      <c r="G912" s="27" t="n">
        <v>3</v>
      </c>
      <c r="H912" s="27" t="n">
        <v>7500</v>
      </c>
      <c r="I912" s="28">
        <f>G912*H912/1000*F912^2/162</f>
        <v>86.80555555555556</v>
      </c>
    </row>
    <row r="913">
      <c r="A913" s="7" t="inlineStr">
        <is>
          <t>STR-087</t>
        </is>
      </c>
      <c r="B913" s="7" t="inlineStr">
        <is>
          <t>Beams</t>
        </is>
      </c>
      <c r="C913" s="7" t="inlineStr">
        <is>
          <t>Ninth floor beams (2 of 2)</t>
        </is>
      </c>
      <c r="D913" s="7" t="inlineStr">
        <is>
          <t>F13</t>
        </is>
      </c>
      <c r="E913" s="27" t="inlineStr">
        <is>
          <t>2515</t>
        </is>
      </c>
      <c r="F913" s="27" t="n">
        <v>25</v>
      </c>
      <c r="G913" s="27" t="n">
        <v>3</v>
      </c>
      <c r="H913" s="27" t="n">
        <v>9450</v>
      </c>
      <c r="I913" s="28">
        <f>G913*H913/1000*F913^2/162</f>
        <v>109.375</v>
      </c>
    </row>
    <row r="914">
      <c r="A914" s="7" t="inlineStr">
        <is>
          <t>STR-087</t>
        </is>
      </c>
      <c r="B914" s="7" t="inlineStr">
        <is>
          <t>Beams</t>
        </is>
      </c>
      <c r="C914" s="7" t="inlineStr">
        <is>
          <t>Ninth floor beams (2 of 2)</t>
        </is>
      </c>
      <c r="D914" s="7" t="inlineStr">
        <is>
          <t>F13</t>
        </is>
      </c>
      <c r="E914" s="27" t="inlineStr">
        <is>
          <t>2516</t>
        </is>
      </c>
      <c r="F914" s="27" t="n">
        <v>25</v>
      </c>
      <c r="G914" s="27" t="n">
        <v>2</v>
      </c>
      <c r="H914" s="27" t="n">
        <v>11300</v>
      </c>
      <c r="I914" s="28">
        <f>G914*H914/1000*F914^2/162</f>
        <v>87.19135802469135</v>
      </c>
    </row>
    <row r="915">
      <c r="A915" s="7" t="inlineStr">
        <is>
          <t>STR-087</t>
        </is>
      </c>
      <c r="B915" s="7" t="inlineStr">
        <is>
          <t>Beams</t>
        </is>
      </c>
      <c r="C915" s="7" t="inlineStr">
        <is>
          <t>Ninth floor beams (2 of 2)</t>
        </is>
      </c>
      <c r="D915" s="7" t="inlineStr">
        <is>
          <t>F13</t>
        </is>
      </c>
      <c r="E915" s="27" t="inlineStr">
        <is>
          <t>2517</t>
        </is>
      </c>
      <c r="F915" s="27" t="n">
        <v>25</v>
      </c>
      <c r="G915" s="27" t="n">
        <v>2</v>
      </c>
      <c r="H915" s="27" t="n">
        <v>9350</v>
      </c>
      <c r="I915" s="28">
        <f>G915*H915/1000*F915^2/162</f>
        <v>72.14506172839506</v>
      </c>
    </row>
    <row r="916">
      <c r="A916" s="7" t="inlineStr">
        <is>
          <t>STR-087</t>
        </is>
      </c>
      <c r="B916" s="7" t="inlineStr">
        <is>
          <t>Beams</t>
        </is>
      </c>
      <c r="C916" s="7" t="inlineStr">
        <is>
          <t>Ninth floor beams (2 of 2)</t>
        </is>
      </c>
      <c r="D916" s="7" t="inlineStr">
        <is>
          <t>F13</t>
        </is>
      </c>
      <c r="E916" s="27" t="inlineStr">
        <is>
          <t>2518</t>
        </is>
      </c>
      <c r="F916" s="27" t="n">
        <v>25</v>
      </c>
      <c r="G916" s="27" t="n">
        <v>3</v>
      </c>
      <c r="H916" s="27" t="n">
        <v>8250</v>
      </c>
      <c r="I916" s="28">
        <f>G916*H916/1000*F916^2/162</f>
        <v>95.48611111111111</v>
      </c>
    </row>
    <row r="917">
      <c r="A917" s="7" t="inlineStr">
        <is>
          <t>STR-087</t>
        </is>
      </c>
      <c r="B917" s="7" t="inlineStr">
        <is>
          <t>Beams</t>
        </is>
      </c>
      <c r="C917" s="7" t="inlineStr">
        <is>
          <t>Ninth floor beams (2 of 2)</t>
        </is>
      </c>
      <c r="D917" s="7" t="inlineStr">
        <is>
          <t>F13</t>
        </is>
      </c>
      <c r="E917" s="27" t="inlineStr">
        <is>
          <t>2519</t>
        </is>
      </c>
      <c r="F917" s="27" t="n">
        <v>25</v>
      </c>
      <c r="G917" s="27" t="n">
        <v>6</v>
      </c>
      <c r="H917" s="27" t="n">
        <v>9400</v>
      </c>
      <c r="I917" s="28">
        <f>G917*H917/1000*F917^2/162</f>
        <v>217.59259259259258</v>
      </c>
    </row>
    <row r="918">
      <c r="A918" s="7" t="inlineStr">
        <is>
          <t>STR-087</t>
        </is>
      </c>
      <c r="B918" s="7" t="inlineStr">
        <is>
          <t>Beams</t>
        </is>
      </c>
      <c r="C918" s="7" t="inlineStr">
        <is>
          <t>Ninth floor beams (2 of 2)</t>
        </is>
      </c>
      <c r="D918" s="7" t="inlineStr">
        <is>
          <t>F13</t>
        </is>
      </c>
      <c r="E918" s="27" t="inlineStr">
        <is>
          <t>2520</t>
        </is>
      </c>
      <c r="F918" s="27" t="n">
        <v>25</v>
      </c>
      <c r="G918" s="27" t="n">
        <v>3</v>
      </c>
      <c r="H918" s="27" t="n">
        <v>6350</v>
      </c>
      <c r="I918" s="28">
        <f>G918*H918/1000*F918^2/162</f>
        <v>73.49537037037037</v>
      </c>
    </row>
    <row r="919">
      <c r="A919" s="7" t="inlineStr">
        <is>
          <t>STR-087</t>
        </is>
      </c>
      <c r="B919" s="7" t="inlineStr">
        <is>
          <t>Beams</t>
        </is>
      </c>
      <c r="C919" s="7" t="inlineStr">
        <is>
          <t>Ninth floor beams (2 of 2)</t>
        </is>
      </c>
      <c r="D919" s="7" t="inlineStr">
        <is>
          <t>F13</t>
        </is>
      </c>
      <c r="E919" s="27" t="inlineStr">
        <is>
          <t>2521</t>
        </is>
      </c>
      <c r="F919" s="27" t="n">
        <v>25</v>
      </c>
      <c r="G919" s="27" t="n">
        <v>3</v>
      </c>
      <c r="H919" s="27" t="n">
        <v>8150</v>
      </c>
      <c r="I919" s="28">
        <f>G919*H919/1000*F919^2/162</f>
        <v>94.32870370370371</v>
      </c>
    </row>
    <row r="920">
      <c r="A920" s="7" t="inlineStr">
        <is>
          <t>STR-087</t>
        </is>
      </c>
      <c r="B920" s="7" t="inlineStr">
        <is>
          <t>Beams</t>
        </is>
      </c>
      <c r="C920" s="7" t="inlineStr">
        <is>
          <t>Ninth floor beams (2 of 2)</t>
        </is>
      </c>
      <c r="D920" s="7" t="inlineStr">
        <is>
          <t>F13</t>
        </is>
      </c>
      <c r="E920" s="27" t="inlineStr">
        <is>
          <t>2522</t>
        </is>
      </c>
      <c r="F920" s="27" t="n">
        <v>25</v>
      </c>
      <c r="G920" s="27" t="n">
        <v>3</v>
      </c>
      <c r="H920" s="27" t="n">
        <v>6250</v>
      </c>
      <c r="I920" s="28">
        <f>G920*H920/1000*F920^2/162</f>
        <v>72.33796296296296</v>
      </c>
    </row>
    <row r="921">
      <c r="A921" s="7" t="inlineStr">
        <is>
          <t>STR-087</t>
        </is>
      </c>
      <c r="B921" s="7" t="inlineStr">
        <is>
          <t>Beams</t>
        </is>
      </c>
      <c r="C921" s="7" t="inlineStr">
        <is>
          <t>Ninth floor beams (2 of 2)</t>
        </is>
      </c>
      <c r="D921" s="7" t="inlineStr">
        <is>
          <t>F13</t>
        </is>
      </c>
      <c r="E921" s="27" t="inlineStr">
        <is>
          <t>2523</t>
        </is>
      </c>
      <c r="F921" s="27" t="n">
        <v>25</v>
      </c>
      <c r="G921" s="27" t="n">
        <v>6</v>
      </c>
      <c r="H921" s="27" t="n">
        <v>3550</v>
      </c>
      <c r="I921" s="28">
        <f>G921*H921/1000*F921^2/162</f>
        <v>82.17592592592592</v>
      </c>
    </row>
    <row r="922">
      <c r="A922" s="7" t="inlineStr">
        <is>
          <t>STR-087</t>
        </is>
      </c>
      <c r="B922" s="7" t="inlineStr">
        <is>
          <t>Beams</t>
        </is>
      </c>
      <c r="C922" s="7" t="inlineStr">
        <is>
          <t>Ninth floor beams (2 of 2)</t>
        </is>
      </c>
      <c r="D922" s="7" t="inlineStr">
        <is>
          <t>F13</t>
        </is>
      </c>
      <c r="E922" s="27" t="inlineStr">
        <is>
          <t>2524</t>
        </is>
      </c>
      <c r="F922" s="27" t="n">
        <v>25</v>
      </c>
      <c r="G922" s="27" t="n">
        <v>3</v>
      </c>
      <c r="H922" s="27" t="n">
        <v>7750</v>
      </c>
      <c r="I922" s="28">
        <f>G922*H922/1000*F922^2/162</f>
        <v>89.69907407407408</v>
      </c>
    </row>
    <row r="923">
      <c r="A923" s="7" t="inlineStr">
        <is>
          <t>STR-087</t>
        </is>
      </c>
      <c r="B923" s="7" t="inlineStr">
        <is>
          <t>Beams</t>
        </is>
      </c>
      <c r="C923" s="7" t="inlineStr">
        <is>
          <t>Ninth floor beams (2 of 2)</t>
        </is>
      </c>
      <c r="D923" s="7" t="inlineStr">
        <is>
          <t>F13</t>
        </is>
      </c>
      <c r="E923" s="27" t="inlineStr">
        <is>
          <t>2525</t>
        </is>
      </c>
      <c r="F923" s="27" t="n">
        <v>25</v>
      </c>
      <c r="G923" s="27" t="n">
        <v>3</v>
      </c>
      <c r="H923" s="27" t="n">
        <v>6250</v>
      </c>
      <c r="I923" s="28">
        <f>G923*H923/1000*F923^2/162</f>
        <v>72.33796296296296</v>
      </c>
    </row>
    <row r="924">
      <c r="A924" s="7" t="inlineStr">
        <is>
          <t>STR-087</t>
        </is>
      </c>
      <c r="B924" s="7" t="inlineStr">
        <is>
          <t>Beams</t>
        </is>
      </c>
      <c r="C924" s="7" t="inlineStr">
        <is>
          <t>Ninth floor beams (2 of 2)</t>
        </is>
      </c>
      <c r="D924" s="7" t="inlineStr">
        <is>
          <t>F13</t>
        </is>
      </c>
      <c r="E924" s="27" t="inlineStr">
        <is>
          <t>2526</t>
        </is>
      </c>
      <c r="F924" s="27" t="n">
        <v>25</v>
      </c>
      <c r="G924" s="27" t="n">
        <v>3</v>
      </c>
      <c r="H924" s="27" t="n">
        <v>10450</v>
      </c>
      <c r="I924" s="28">
        <f>G924*H924/1000*F924^2/162</f>
        <v>120.94907407407408</v>
      </c>
    </row>
    <row r="925">
      <c r="A925" s="7" t="inlineStr">
        <is>
          <t>STR-087</t>
        </is>
      </c>
      <c r="B925" s="7" t="inlineStr">
        <is>
          <t>Beams</t>
        </is>
      </c>
      <c r="C925" s="7" t="inlineStr">
        <is>
          <t>Ninth floor beams (2 of 2)</t>
        </is>
      </c>
      <c r="D925" s="7" t="inlineStr">
        <is>
          <t>F13</t>
        </is>
      </c>
      <c r="E925" s="27" t="inlineStr">
        <is>
          <t>2527</t>
        </is>
      </c>
      <c r="F925" s="27" t="n">
        <v>25</v>
      </c>
      <c r="G925" s="27" t="n">
        <v>3</v>
      </c>
      <c r="H925" s="27" t="n">
        <v>11200</v>
      </c>
      <c r="I925" s="28">
        <f>G925*H925/1000*F925^2/162</f>
        <v>129.62962962962962</v>
      </c>
    </row>
    <row r="926">
      <c r="A926" s="7" t="inlineStr">
        <is>
          <t>STR-087</t>
        </is>
      </c>
      <c r="B926" s="7" t="inlineStr">
        <is>
          <t>Beams</t>
        </is>
      </c>
      <c r="C926" s="7" t="inlineStr">
        <is>
          <t>Ninth floor beams (2 of 2)</t>
        </is>
      </c>
      <c r="D926" s="7" t="inlineStr">
        <is>
          <t>F13</t>
        </is>
      </c>
      <c r="E926" s="27" t="inlineStr">
        <is>
          <t>2528</t>
        </is>
      </c>
      <c r="F926" s="27" t="n">
        <v>25</v>
      </c>
      <c r="G926" s="27" t="n">
        <v>3</v>
      </c>
      <c r="H926" s="27" t="n">
        <v>6325</v>
      </c>
      <c r="I926" s="28">
        <f>G926*H926/1000*F926^2/162</f>
        <v>73.20601851851852</v>
      </c>
    </row>
    <row r="927">
      <c r="A927" s="7" t="inlineStr">
        <is>
          <t>STR-087</t>
        </is>
      </c>
      <c r="B927" s="7" t="inlineStr">
        <is>
          <t>Beams</t>
        </is>
      </c>
      <c r="C927" s="7" t="inlineStr">
        <is>
          <t>Ninth floor beams (2 of 2)</t>
        </is>
      </c>
      <c r="D927" s="7" t="inlineStr">
        <is>
          <t>F13</t>
        </is>
      </c>
      <c r="E927" s="27" t="inlineStr">
        <is>
          <t>2529</t>
        </is>
      </c>
      <c r="F927" s="27" t="n">
        <v>25</v>
      </c>
      <c r="G927" s="27" t="n">
        <v>3</v>
      </c>
      <c r="H927" s="27" t="n">
        <v>8275</v>
      </c>
      <c r="I927" s="28">
        <f>G927*H927/1000*F927^2/162</f>
        <v>95.77546296296296</v>
      </c>
    </row>
    <row r="928">
      <c r="A928" s="7" t="inlineStr">
        <is>
          <t>STR-087</t>
        </is>
      </c>
      <c r="B928" s="7" t="inlineStr">
        <is>
          <t>Beams</t>
        </is>
      </c>
      <c r="C928" s="7" t="inlineStr">
        <is>
          <t>Ninth floor beams (2 of 2)</t>
        </is>
      </c>
      <c r="D928" s="7" t="inlineStr">
        <is>
          <t>F13</t>
        </is>
      </c>
      <c r="E928" s="27" t="inlineStr">
        <is>
          <t>2530</t>
        </is>
      </c>
      <c r="F928" s="27" t="n">
        <v>25</v>
      </c>
      <c r="G928" s="27" t="n">
        <v>6</v>
      </c>
      <c r="H928" s="27" t="n">
        <v>10175</v>
      </c>
      <c r="I928" s="28">
        <f>G928*H928/1000*F928^2/162</f>
        <v>235.53240740740742</v>
      </c>
    </row>
    <row r="929">
      <c r="A929" s="7" t="inlineStr">
        <is>
          <t>STR-088</t>
        </is>
      </c>
      <c r="B929" s="7" t="inlineStr">
        <is>
          <t>Floor Slabs</t>
        </is>
      </c>
      <c r="C929" s="7" t="inlineStr">
        <is>
          <t>Ninth floor slab - bottom</t>
        </is>
      </c>
      <c r="D929" s="7" t="inlineStr">
        <is>
          <t>F13</t>
        </is>
      </c>
      <c r="E929" s="27" t="inlineStr">
        <is>
          <t>1201</t>
        </is>
      </c>
      <c r="F929" s="27" t="n">
        <v>12</v>
      </c>
      <c r="G929" s="27" t="n">
        <v>306</v>
      </c>
      <c r="H929" s="27" t="n">
        <v>9900</v>
      </c>
      <c r="I929" s="28">
        <f>G929*H929/1000*F929^2/162</f>
        <v>2692.8</v>
      </c>
    </row>
    <row r="930">
      <c r="A930" s="7" t="inlineStr">
        <is>
          <t>STR-088</t>
        </is>
      </c>
      <c r="B930" s="7" t="inlineStr">
        <is>
          <t>Floor Slabs</t>
        </is>
      </c>
      <c r="C930" s="7" t="inlineStr">
        <is>
          <t>Ninth floor slab - bottom</t>
        </is>
      </c>
      <c r="D930" s="7" t="inlineStr">
        <is>
          <t>F13</t>
        </is>
      </c>
      <c r="E930" s="27" t="inlineStr">
        <is>
          <t>1202</t>
        </is>
      </c>
      <c r="F930" s="27" t="n">
        <v>12</v>
      </c>
      <c r="G930" s="27" t="n">
        <v>349</v>
      </c>
      <c r="H930" s="27" t="n">
        <v>5500</v>
      </c>
      <c r="I930" s="28">
        <f>G930*H930/1000*F930^2/162</f>
        <v>1706.2222222222222</v>
      </c>
    </row>
    <row r="931">
      <c r="A931" s="7" t="inlineStr">
        <is>
          <t>STR-088</t>
        </is>
      </c>
      <c r="B931" s="7" t="inlineStr">
        <is>
          <t>Floor Slabs</t>
        </is>
      </c>
      <c r="C931" s="7" t="inlineStr">
        <is>
          <t>Ninth floor slab - bottom</t>
        </is>
      </c>
      <c r="D931" s="7" t="inlineStr">
        <is>
          <t>F13</t>
        </is>
      </c>
      <c r="E931" s="27" t="inlineStr">
        <is>
          <t>1203</t>
        </is>
      </c>
      <c r="F931" s="27" t="n">
        <v>12</v>
      </c>
      <c r="G931" s="27" t="n">
        <v>16</v>
      </c>
      <c r="H931" s="27" t="n">
        <v>4450</v>
      </c>
      <c r="I931" s="28">
        <f>G931*H931/1000*F931^2/162</f>
        <v>63.2888888888889</v>
      </c>
    </row>
    <row r="932">
      <c r="A932" s="7" t="inlineStr">
        <is>
          <t>STR-088</t>
        </is>
      </c>
      <c r="B932" s="7" t="inlineStr">
        <is>
          <t>Floor Slabs</t>
        </is>
      </c>
      <c r="C932" s="7" t="inlineStr">
        <is>
          <t>Ninth floor slab - bottom</t>
        </is>
      </c>
      <c r="D932" s="7" t="inlineStr">
        <is>
          <t>F13</t>
        </is>
      </c>
      <c r="E932" s="27" t="inlineStr">
        <is>
          <t>1204</t>
        </is>
      </c>
      <c r="F932" s="27" t="n">
        <v>12</v>
      </c>
      <c r="G932" s="27" t="n">
        <v>371</v>
      </c>
      <c r="H932" s="27" t="n">
        <v>9050</v>
      </c>
      <c r="I932" s="28">
        <f>G932*H932/1000*F932^2/162</f>
        <v>2984.488888888889</v>
      </c>
    </row>
    <row r="933">
      <c r="A933" s="7" t="inlineStr">
        <is>
          <t>STR-088</t>
        </is>
      </c>
      <c r="B933" s="7" t="inlineStr">
        <is>
          <t>Floor Slabs</t>
        </is>
      </c>
      <c r="C933" s="7" t="inlineStr">
        <is>
          <t>Ninth floor slab - bottom</t>
        </is>
      </c>
      <c r="D933" s="7" t="inlineStr">
        <is>
          <t>F13</t>
        </is>
      </c>
      <c r="E933" s="27" t="inlineStr">
        <is>
          <t>1205</t>
        </is>
      </c>
      <c r="F933" s="27" t="n">
        <v>12</v>
      </c>
      <c r="G933" s="27" t="n">
        <v>16</v>
      </c>
      <c r="H933" s="27" t="n">
        <v>3400</v>
      </c>
      <c r="I933" s="28">
        <f>G933*H933/1000*F933^2/162</f>
        <v>48.355555555555554</v>
      </c>
    </row>
    <row r="934">
      <c r="A934" s="7" t="inlineStr">
        <is>
          <t>STR-088</t>
        </is>
      </c>
      <c r="B934" s="7" t="inlineStr">
        <is>
          <t>Floor Slabs</t>
        </is>
      </c>
      <c r="C934" s="7" t="inlineStr">
        <is>
          <t>Ninth floor slab - bottom</t>
        </is>
      </c>
      <c r="D934" s="7" t="inlineStr">
        <is>
          <t>F13</t>
        </is>
      </c>
      <c r="E934" s="27" t="inlineStr">
        <is>
          <t>1206</t>
        </is>
      </c>
      <c r="F934" s="27" t="n">
        <v>12</v>
      </c>
      <c r="G934" s="27" t="n">
        <v>37</v>
      </c>
      <c r="H934" s="27" t="n">
        <v>4600</v>
      </c>
      <c r="I934" s="28">
        <f>G934*H934/1000*F934^2/162</f>
        <v>151.2888888888889</v>
      </c>
    </row>
    <row r="935">
      <c r="A935" s="7" t="inlineStr">
        <is>
          <t>STR-088</t>
        </is>
      </c>
      <c r="B935" s="7" t="inlineStr">
        <is>
          <t>Floor Slabs</t>
        </is>
      </c>
      <c r="C935" s="7" t="inlineStr">
        <is>
          <t>Ninth floor slab - bottom</t>
        </is>
      </c>
      <c r="D935" s="7" t="inlineStr">
        <is>
          <t>F13</t>
        </is>
      </c>
      <c r="E935" s="27" t="inlineStr">
        <is>
          <t>1207</t>
        </is>
      </c>
      <c r="F935" s="27" t="n">
        <v>12</v>
      </c>
      <c r="G935" s="27" t="n">
        <v>21</v>
      </c>
      <c r="H935" s="27" t="n">
        <v>4575</v>
      </c>
      <c r="I935" s="28">
        <f>G935*H935/1000*F935^2/162</f>
        <v>85.4</v>
      </c>
    </row>
    <row r="936">
      <c r="A936" s="7" t="inlineStr">
        <is>
          <t>STR-088</t>
        </is>
      </c>
      <c r="B936" s="7" t="inlineStr">
        <is>
          <t>Floor Slabs</t>
        </is>
      </c>
      <c r="C936" s="7" t="inlineStr">
        <is>
          <t>Ninth floor slab - bottom</t>
        </is>
      </c>
      <c r="D936" s="7" t="inlineStr">
        <is>
          <t>F13</t>
        </is>
      </c>
      <c r="E936" s="27" t="inlineStr">
        <is>
          <t>1208</t>
        </is>
      </c>
      <c r="F936" s="27" t="n">
        <v>12</v>
      </c>
      <c r="G936" s="27" t="n">
        <v>47</v>
      </c>
      <c r="H936" s="27" t="n">
        <v>5325</v>
      </c>
      <c r="I936" s="28">
        <f>G936*H936/1000*F936^2/162</f>
        <v>222.46666666666667</v>
      </c>
    </row>
    <row r="937">
      <c r="A937" s="7" t="inlineStr">
        <is>
          <t>STR-088</t>
        </is>
      </c>
      <c r="B937" s="7" t="inlineStr">
        <is>
          <t>Floor Slabs</t>
        </is>
      </c>
      <c r="C937" s="7" t="inlineStr">
        <is>
          <t>Ninth floor slab - bottom</t>
        </is>
      </c>
      <c r="D937" s="7" t="inlineStr">
        <is>
          <t>F13</t>
        </is>
      </c>
      <c r="E937" s="27" t="inlineStr">
        <is>
          <t>1209</t>
        </is>
      </c>
      <c r="F937" s="27" t="n">
        <v>12</v>
      </c>
      <c r="G937" s="27" t="n">
        <v>124</v>
      </c>
      <c r="H937" s="27" t="n">
        <v>8700</v>
      </c>
      <c r="I937" s="28">
        <f>G937*H937/1000*F937^2/162</f>
        <v>958.9333333333333</v>
      </c>
    </row>
    <row r="938">
      <c r="A938" s="7" t="inlineStr">
        <is>
          <t>STR-088</t>
        </is>
      </c>
      <c r="B938" s="7" t="inlineStr">
        <is>
          <t>Floor Slabs</t>
        </is>
      </c>
      <c r="C938" s="7" t="inlineStr">
        <is>
          <t>Ninth floor slab - bottom</t>
        </is>
      </c>
      <c r="D938" s="7" t="inlineStr">
        <is>
          <t>F13</t>
        </is>
      </c>
      <c r="E938" s="27" t="inlineStr">
        <is>
          <t>1210</t>
        </is>
      </c>
      <c r="F938" s="27" t="n">
        <v>12</v>
      </c>
      <c r="G938" s="27" t="n">
        <v>80</v>
      </c>
      <c r="H938" s="27" t="n">
        <v>9050</v>
      </c>
      <c r="I938" s="28">
        <f>G938*H938/1000*F938^2/162</f>
        <v>643.5555555555555</v>
      </c>
    </row>
    <row r="939">
      <c r="A939" s="7" t="inlineStr">
        <is>
          <t>STR-088</t>
        </is>
      </c>
      <c r="B939" s="7" t="inlineStr">
        <is>
          <t>Floor Slabs</t>
        </is>
      </c>
      <c r="C939" s="7" t="inlineStr">
        <is>
          <t>Ninth floor slab - bottom</t>
        </is>
      </c>
      <c r="D939" s="7" t="inlineStr">
        <is>
          <t>F13</t>
        </is>
      </c>
      <c r="E939" s="27" t="inlineStr">
        <is>
          <t>1211</t>
        </is>
      </c>
      <c r="F939" s="27" t="n">
        <v>12</v>
      </c>
      <c r="G939" s="27" t="n">
        <v>15</v>
      </c>
      <c r="H939" s="27" t="n">
        <v>8650</v>
      </c>
      <c r="I939" s="28">
        <f>G939*H939/1000*F939^2/162</f>
        <v>115.33333333333333</v>
      </c>
    </row>
    <row r="940">
      <c r="A940" s="7" t="inlineStr">
        <is>
          <t>STR-088</t>
        </is>
      </c>
      <c r="B940" s="7" t="inlineStr">
        <is>
          <t>Floor Slabs</t>
        </is>
      </c>
      <c r="C940" s="7" t="inlineStr">
        <is>
          <t>Ninth floor slab - bottom</t>
        </is>
      </c>
      <c r="D940" s="7" t="inlineStr">
        <is>
          <t>F13</t>
        </is>
      </c>
      <c r="E940" s="27" t="inlineStr">
        <is>
          <t>1212</t>
        </is>
      </c>
      <c r="F940" s="27" t="n">
        <v>12</v>
      </c>
      <c r="G940" s="27" t="n">
        <v>23</v>
      </c>
      <c r="H940" s="27" t="n">
        <v>8750</v>
      </c>
      <c r="I940" s="28">
        <f>G940*H940/1000*F940^2/162</f>
        <v>178.88888888888889</v>
      </c>
    </row>
    <row r="941">
      <c r="A941" s="7" t="inlineStr">
        <is>
          <t>STR-088</t>
        </is>
      </c>
      <c r="B941" s="7" t="inlineStr">
        <is>
          <t>Floor Slabs</t>
        </is>
      </c>
      <c r="C941" s="7" t="inlineStr">
        <is>
          <t>Ninth floor slab - bottom</t>
        </is>
      </c>
      <c r="D941" s="7" t="inlineStr">
        <is>
          <t>F13</t>
        </is>
      </c>
      <c r="E941" s="27" t="inlineStr">
        <is>
          <t>1213</t>
        </is>
      </c>
      <c r="F941" s="27" t="n">
        <v>12</v>
      </c>
      <c r="G941" s="27" t="n">
        <v>31</v>
      </c>
      <c r="H941" s="27" t="n">
        <v>8700</v>
      </c>
      <c r="I941" s="28">
        <f>G941*H941/1000*F941^2/162</f>
        <v>239.73333333333332</v>
      </c>
    </row>
    <row r="942">
      <c r="A942" s="7" t="inlineStr">
        <is>
          <t>STR-088</t>
        </is>
      </c>
      <c r="B942" s="7" t="inlineStr">
        <is>
          <t>Floor Slabs</t>
        </is>
      </c>
      <c r="C942" s="7" t="inlineStr">
        <is>
          <t>Ninth floor slab - bottom</t>
        </is>
      </c>
      <c r="D942" s="7" t="inlineStr">
        <is>
          <t>F13</t>
        </is>
      </c>
      <c r="E942" s="27" t="inlineStr">
        <is>
          <t>1214</t>
        </is>
      </c>
      <c r="F942" s="27" t="n">
        <v>12</v>
      </c>
      <c r="G942" s="27" t="n">
        <v>7</v>
      </c>
      <c r="H942" s="27" t="n">
        <v>10000</v>
      </c>
      <c r="I942" s="28">
        <f>G942*H942/1000*F942^2/162</f>
        <v>62.22222222222222</v>
      </c>
    </row>
    <row r="943">
      <c r="A943" s="7" t="inlineStr">
        <is>
          <t>STR-088</t>
        </is>
      </c>
      <c r="B943" s="7" t="inlineStr">
        <is>
          <t>Floor Slabs</t>
        </is>
      </c>
      <c r="C943" s="7" t="inlineStr">
        <is>
          <t>Ninth floor slab - bottom</t>
        </is>
      </c>
      <c r="D943" s="7" t="inlineStr">
        <is>
          <t>F13</t>
        </is>
      </c>
      <c r="E943" s="27" t="inlineStr">
        <is>
          <t>1215</t>
        </is>
      </c>
      <c r="F943" s="27" t="n">
        <v>12</v>
      </c>
      <c r="G943" s="27" t="n">
        <v>202</v>
      </c>
      <c r="H943" s="27" t="n">
        <v>10000</v>
      </c>
      <c r="I943" s="28">
        <f>G943*H943/1000*F943^2/162</f>
        <v>1795.5555555555557</v>
      </c>
    </row>
    <row r="944">
      <c r="A944" s="7" t="inlineStr">
        <is>
          <t>STR-088</t>
        </is>
      </c>
      <c r="B944" s="7" t="inlineStr">
        <is>
          <t>Floor Slabs</t>
        </is>
      </c>
      <c r="C944" s="7" t="inlineStr">
        <is>
          <t>Ninth floor slab - bottom</t>
        </is>
      </c>
      <c r="D944" s="7" t="inlineStr">
        <is>
          <t>F13</t>
        </is>
      </c>
      <c r="E944" s="27" t="inlineStr">
        <is>
          <t>1216</t>
        </is>
      </c>
      <c r="F944" s="27" t="n">
        <v>12</v>
      </c>
      <c r="G944" s="27" t="n">
        <v>162</v>
      </c>
      <c r="H944" s="27" t="n">
        <v>9550</v>
      </c>
      <c r="I944" s="28">
        <f>G944*H944/1000*F944^2/162</f>
        <v>1375.2</v>
      </c>
    </row>
    <row r="945">
      <c r="A945" s="7" t="inlineStr">
        <is>
          <t>STR-088</t>
        </is>
      </c>
      <c r="B945" s="7" t="inlineStr">
        <is>
          <t>Floor Slabs</t>
        </is>
      </c>
      <c r="C945" s="7" t="inlineStr">
        <is>
          <t>Ninth floor slab - bottom</t>
        </is>
      </c>
      <c r="D945" s="7" t="inlineStr">
        <is>
          <t>F13</t>
        </is>
      </c>
      <c r="E945" s="27" t="inlineStr">
        <is>
          <t>1217</t>
        </is>
      </c>
      <c r="F945" s="27" t="n">
        <v>12</v>
      </c>
      <c r="G945" s="27" t="n">
        <v>31</v>
      </c>
      <c r="H945" s="27" t="n">
        <v>7250</v>
      </c>
      <c r="I945" s="28">
        <f>G945*H945/1000*F945^2/162</f>
        <v>199.77777777777777</v>
      </c>
    </row>
    <row r="946">
      <c r="A946" s="7" t="inlineStr">
        <is>
          <t>STR-088</t>
        </is>
      </c>
      <c r="B946" s="7" t="inlineStr">
        <is>
          <t>Floor Slabs</t>
        </is>
      </c>
      <c r="C946" s="7" t="inlineStr">
        <is>
          <t>Ninth floor slab - bottom</t>
        </is>
      </c>
      <c r="D946" s="7" t="inlineStr">
        <is>
          <t>F13</t>
        </is>
      </c>
      <c r="E946" s="27" t="inlineStr">
        <is>
          <t>1218</t>
        </is>
      </c>
      <c r="F946" s="27" t="n">
        <v>12</v>
      </c>
      <c r="G946" s="27" t="n">
        <v>205</v>
      </c>
      <c r="H946" s="27" t="n">
        <v>7775</v>
      </c>
      <c r="I946" s="28">
        <f>G946*H946/1000*F946^2/162</f>
        <v>1416.7777777777778</v>
      </c>
    </row>
    <row r="947">
      <c r="A947" s="7" t="inlineStr">
        <is>
          <t>STR-088</t>
        </is>
      </c>
      <c r="B947" s="7" t="inlineStr">
        <is>
          <t>Floor Slabs</t>
        </is>
      </c>
      <c r="C947" s="7" t="inlineStr">
        <is>
          <t>Ninth floor slab - bottom</t>
        </is>
      </c>
      <c r="D947" s="7" t="inlineStr">
        <is>
          <t>F13</t>
        </is>
      </c>
      <c r="E947" s="27" t="inlineStr">
        <is>
          <t>1219</t>
        </is>
      </c>
      <c r="F947" s="27" t="n">
        <v>12</v>
      </c>
      <c r="G947" s="27" t="n">
        <v>44</v>
      </c>
      <c r="H947" s="27" t="n">
        <v>8000</v>
      </c>
      <c r="I947" s="28">
        <f>G947*H947/1000*F947^2/162</f>
        <v>312.8888888888889</v>
      </c>
    </row>
    <row r="948">
      <c r="A948" s="7" t="inlineStr">
        <is>
          <t>STR-088</t>
        </is>
      </c>
      <c r="B948" s="7" t="inlineStr">
        <is>
          <t>Floor Slabs</t>
        </is>
      </c>
      <c r="C948" s="7" t="inlineStr">
        <is>
          <t>Ninth floor slab - bottom</t>
        </is>
      </c>
      <c r="D948" s="7" t="inlineStr">
        <is>
          <t>F13</t>
        </is>
      </c>
      <c r="E948" s="27" t="inlineStr">
        <is>
          <t>1220</t>
        </is>
      </c>
      <c r="F948" s="27" t="n">
        <v>12</v>
      </c>
      <c r="G948" s="27" t="n">
        <v>23</v>
      </c>
      <c r="H948" s="27" t="n">
        <v>12000</v>
      </c>
      <c r="I948" s="28">
        <f>G948*H948/1000*F948^2/162</f>
        <v>245.33333333333334</v>
      </c>
    </row>
    <row r="949">
      <c r="A949" s="7" t="inlineStr">
        <is>
          <t>STR-088</t>
        </is>
      </c>
      <c r="B949" s="7" t="inlineStr">
        <is>
          <t>Floor Slabs</t>
        </is>
      </c>
      <c r="C949" s="7" t="inlineStr">
        <is>
          <t>Ninth floor slab - bottom</t>
        </is>
      </c>
      <c r="D949" s="7" t="inlineStr">
        <is>
          <t>F13</t>
        </is>
      </c>
      <c r="E949" s="27" t="inlineStr">
        <is>
          <t>1221</t>
        </is>
      </c>
      <c r="F949" s="27" t="n">
        <v>12</v>
      </c>
      <c r="G949" s="27" t="n">
        <v>212</v>
      </c>
      <c r="H949" s="27" t="n">
        <v>6000</v>
      </c>
      <c r="I949" s="28">
        <f>G949*H949/1000*F949^2/162</f>
        <v>1130.6666666666667</v>
      </c>
    </row>
    <row r="950">
      <c r="A950" s="7" t="inlineStr">
        <is>
          <t>STR-088</t>
        </is>
      </c>
      <c r="B950" s="7" t="inlineStr">
        <is>
          <t>Floor Slabs</t>
        </is>
      </c>
      <c r="C950" s="7" t="inlineStr">
        <is>
          <t>Ninth floor slab - bottom</t>
        </is>
      </c>
      <c r="D950" s="7" t="inlineStr">
        <is>
          <t>F13</t>
        </is>
      </c>
      <c r="E950" s="27" t="inlineStr">
        <is>
          <t>1222</t>
        </is>
      </c>
      <c r="F950" s="27" t="n">
        <v>12</v>
      </c>
      <c r="G950" s="27" t="n">
        <v>13</v>
      </c>
      <c r="H950" s="27" t="n">
        <v>7325</v>
      </c>
      <c r="I950" s="28">
        <f>G950*H950/1000*F950^2/162</f>
        <v>84.64444444444445</v>
      </c>
    </row>
    <row r="951">
      <c r="A951" s="7" t="inlineStr">
        <is>
          <t>STR-088</t>
        </is>
      </c>
      <c r="B951" s="7" t="inlineStr">
        <is>
          <t>Floor Slabs</t>
        </is>
      </c>
      <c r="C951" s="7" t="inlineStr">
        <is>
          <t>Ninth floor slab - bottom</t>
        </is>
      </c>
      <c r="D951" s="7" t="inlineStr">
        <is>
          <t>F13</t>
        </is>
      </c>
      <c r="E951" s="27" t="inlineStr">
        <is>
          <t>1223</t>
        </is>
      </c>
      <c r="F951" s="27" t="n">
        <v>12</v>
      </c>
      <c r="G951" s="27" t="n">
        <v>149</v>
      </c>
      <c r="H951" s="27" t="n">
        <v>12000</v>
      </c>
      <c r="I951" s="28">
        <f>G951*H951/1000*F951^2/162</f>
        <v>1589.3333333333333</v>
      </c>
    </row>
    <row r="952">
      <c r="A952" s="7" t="inlineStr">
        <is>
          <t>STR-088</t>
        </is>
      </c>
      <c r="B952" s="7" t="inlineStr">
        <is>
          <t>Floor Slabs</t>
        </is>
      </c>
      <c r="C952" s="7" t="inlineStr">
        <is>
          <t>Ninth floor slab - bottom</t>
        </is>
      </c>
      <c r="D952" s="7" t="inlineStr">
        <is>
          <t>F13</t>
        </is>
      </c>
      <c r="E952" s="27" t="inlineStr">
        <is>
          <t>1224</t>
        </is>
      </c>
      <c r="F952" s="27" t="n">
        <v>12</v>
      </c>
      <c r="G952" s="27" t="n">
        <v>85</v>
      </c>
      <c r="H952" s="27" t="n">
        <v>7375</v>
      </c>
      <c r="I952" s="28">
        <f>G952*H952/1000*F952^2/162</f>
        <v>557.2222222222222</v>
      </c>
    </row>
    <row r="953">
      <c r="A953" s="7" t="inlineStr">
        <is>
          <t>STR-088</t>
        </is>
      </c>
      <c r="B953" s="7" t="inlineStr">
        <is>
          <t>Floor Slabs</t>
        </is>
      </c>
      <c r="C953" s="7" t="inlineStr">
        <is>
          <t>Ninth floor slab - bottom</t>
        </is>
      </c>
      <c r="D953" s="7" t="inlineStr">
        <is>
          <t>F13</t>
        </is>
      </c>
      <c r="E953" s="27" t="inlineStr">
        <is>
          <t>1225</t>
        </is>
      </c>
      <c r="F953" s="27" t="n">
        <v>12</v>
      </c>
      <c r="G953" s="27" t="n">
        <v>13</v>
      </c>
      <c r="H953" s="27" t="n">
        <v>3950</v>
      </c>
      <c r="I953" s="28">
        <f>G953*H953/1000*F953^2/162</f>
        <v>45.644444444444446</v>
      </c>
    </row>
    <row r="954">
      <c r="A954" s="7" t="inlineStr">
        <is>
          <t>STR-088</t>
        </is>
      </c>
      <c r="B954" s="7" t="inlineStr">
        <is>
          <t>Floor Slabs</t>
        </is>
      </c>
      <c r="C954" s="7" t="inlineStr">
        <is>
          <t>Ninth floor slab - bottom</t>
        </is>
      </c>
      <c r="D954" s="7" t="inlineStr">
        <is>
          <t>F13</t>
        </is>
      </c>
      <c r="E954" s="27" t="inlineStr">
        <is>
          <t>1226</t>
        </is>
      </c>
      <c r="F954" s="27" t="n">
        <v>12</v>
      </c>
      <c r="G954" s="27" t="n">
        <v>357</v>
      </c>
      <c r="H954" s="27" t="n">
        <v>6200</v>
      </c>
      <c r="I954" s="28">
        <f>G954*H954/1000*F954^2/162</f>
        <v>1967.466666666667</v>
      </c>
    </row>
    <row r="955">
      <c r="A955" s="7" t="inlineStr">
        <is>
          <t>STR-088</t>
        </is>
      </c>
      <c r="B955" s="7" t="inlineStr">
        <is>
          <t>Floor Slabs</t>
        </is>
      </c>
      <c r="C955" s="7" t="inlineStr">
        <is>
          <t>Ninth floor slab - bottom</t>
        </is>
      </c>
      <c r="D955" s="7" t="inlineStr">
        <is>
          <t>F13</t>
        </is>
      </c>
      <c r="E955" s="27" t="inlineStr">
        <is>
          <t>1227</t>
        </is>
      </c>
      <c r="F955" s="27" t="n">
        <v>12</v>
      </c>
      <c r="G955" s="27" t="n">
        <v>212</v>
      </c>
      <c r="H955" s="27" t="n">
        <v>9475</v>
      </c>
      <c r="I955" s="28">
        <f>G955*H955/1000*F955^2/162</f>
        <v>1785.511111111111</v>
      </c>
    </row>
    <row r="956">
      <c r="A956" s="7" t="inlineStr">
        <is>
          <t>STR-088</t>
        </is>
      </c>
      <c r="B956" s="7" t="inlineStr">
        <is>
          <t>Floor Slabs</t>
        </is>
      </c>
      <c r="C956" s="7" t="inlineStr">
        <is>
          <t>Ninth floor slab - bottom</t>
        </is>
      </c>
      <c r="D956" s="7" t="inlineStr">
        <is>
          <t>F13</t>
        </is>
      </c>
      <c r="E956" s="27" t="inlineStr">
        <is>
          <t>1228</t>
        </is>
      </c>
      <c r="F956" s="27" t="n">
        <v>12</v>
      </c>
      <c r="G956" s="27" t="n">
        <v>75</v>
      </c>
      <c r="H956" s="27" t="n">
        <v>7250</v>
      </c>
      <c r="I956" s="28">
        <f>G956*H956/1000*F956^2/162</f>
        <v>483.3333333333333</v>
      </c>
    </row>
    <row r="957">
      <c r="A957" s="7" t="inlineStr">
        <is>
          <t>STR-088</t>
        </is>
      </c>
      <c r="B957" s="7" t="inlineStr">
        <is>
          <t>Floor Slabs</t>
        </is>
      </c>
      <c r="C957" s="7" t="inlineStr">
        <is>
          <t>Ninth floor slab - bottom</t>
        </is>
      </c>
      <c r="D957" s="7" t="inlineStr">
        <is>
          <t>F13</t>
        </is>
      </c>
      <c r="E957" s="27" t="inlineStr">
        <is>
          <t>1229</t>
        </is>
      </c>
      <c r="F957" s="27" t="n">
        <v>12</v>
      </c>
      <c r="G957" s="27" t="n">
        <v>7</v>
      </c>
      <c r="H957" s="27" t="n">
        <v>4800</v>
      </c>
      <c r="I957" s="28">
        <f>G957*H957/1000*F957^2/162</f>
        <v>29.86666666666667</v>
      </c>
    </row>
    <row r="958">
      <c r="A958" s="7" t="inlineStr">
        <is>
          <t>STR-088</t>
        </is>
      </c>
      <c r="B958" s="7" t="inlineStr">
        <is>
          <t>Floor Slabs</t>
        </is>
      </c>
      <c r="C958" s="7" t="inlineStr">
        <is>
          <t>Ninth floor slab - bottom</t>
        </is>
      </c>
      <c r="D958" s="7" t="inlineStr">
        <is>
          <t>F13</t>
        </is>
      </c>
      <c r="E958" s="27" t="inlineStr">
        <is>
          <t>1230</t>
        </is>
      </c>
      <c r="F958" s="27" t="n">
        <v>12</v>
      </c>
      <c r="G958" s="27" t="n">
        <v>73</v>
      </c>
      <c r="H958" s="27" t="n">
        <v>7400</v>
      </c>
      <c r="I958" s="28">
        <f>G958*H958/1000*F958^2/162</f>
        <v>480.1777777777778</v>
      </c>
    </row>
    <row r="959">
      <c r="A959" s="7" t="inlineStr">
        <is>
          <t>STR-088</t>
        </is>
      </c>
      <c r="B959" s="7" t="inlineStr">
        <is>
          <t>Floor Slabs</t>
        </is>
      </c>
      <c r="C959" s="7" t="inlineStr">
        <is>
          <t>Ninth floor slab - bottom</t>
        </is>
      </c>
      <c r="D959" s="7" t="inlineStr">
        <is>
          <t>F13</t>
        </is>
      </c>
      <c r="E959" s="27" t="inlineStr">
        <is>
          <t>1231</t>
        </is>
      </c>
      <c r="F959" s="27" t="n">
        <v>12</v>
      </c>
      <c r="G959" s="27" t="n">
        <v>13</v>
      </c>
      <c r="H959" s="27" t="n">
        <v>6900</v>
      </c>
      <c r="I959" s="28">
        <f>G959*H959/1000*F959^2/162</f>
        <v>79.73333333333333</v>
      </c>
    </row>
    <row r="960">
      <c r="A960" s="7" t="inlineStr">
        <is>
          <t>STR-088</t>
        </is>
      </c>
      <c r="B960" s="7" t="inlineStr">
        <is>
          <t>Floor Slabs</t>
        </is>
      </c>
      <c r="C960" s="7" t="inlineStr">
        <is>
          <t>Ninth floor slab - bottom</t>
        </is>
      </c>
      <c r="D960" s="7" t="inlineStr">
        <is>
          <t>F13</t>
        </is>
      </c>
      <c r="E960" s="27" t="inlineStr">
        <is>
          <t>1232</t>
        </is>
      </c>
      <c r="F960" s="27" t="n">
        <v>12</v>
      </c>
      <c r="G960" s="27" t="n">
        <v>12</v>
      </c>
      <c r="H960" s="27" t="n">
        <v>5900</v>
      </c>
      <c r="I960" s="28">
        <f>G960*H960/1000*F960^2/162</f>
        <v>62.93333333333333</v>
      </c>
    </row>
    <row r="961">
      <c r="A961" s="7" t="inlineStr">
        <is>
          <t>STR-088</t>
        </is>
      </c>
      <c r="B961" s="7" t="inlineStr">
        <is>
          <t>Floor Slabs</t>
        </is>
      </c>
      <c r="C961" s="7" t="inlineStr">
        <is>
          <t>Ninth floor slab - bottom</t>
        </is>
      </c>
      <c r="D961" s="7" t="inlineStr">
        <is>
          <t>F13</t>
        </is>
      </c>
      <c r="E961" s="27" t="inlineStr">
        <is>
          <t>1233</t>
        </is>
      </c>
      <c r="F961" s="27" t="n">
        <v>12</v>
      </c>
      <c r="G961" s="27" t="n">
        <v>13</v>
      </c>
      <c r="H961" s="27" t="n">
        <v>4200</v>
      </c>
      <c r="I961" s="28">
        <f>G961*H961/1000*F961^2/162</f>
        <v>48.53333333333334</v>
      </c>
    </row>
    <row r="962">
      <c r="A962" s="7" t="inlineStr">
        <is>
          <t>STR-088</t>
        </is>
      </c>
      <c r="B962" s="7" t="inlineStr">
        <is>
          <t>Floor Slabs</t>
        </is>
      </c>
      <c r="C962" s="7" t="inlineStr">
        <is>
          <t>Ninth floor slab - bottom</t>
        </is>
      </c>
      <c r="D962" s="7" t="inlineStr">
        <is>
          <t>F13</t>
        </is>
      </c>
      <c r="E962" s="27" t="inlineStr">
        <is>
          <t>1234</t>
        </is>
      </c>
      <c r="F962" s="27" t="n">
        <v>12</v>
      </c>
      <c r="G962" s="27" t="n">
        <v>73</v>
      </c>
      <c r="H962" s="27" t="n">
        <v>6000</v>
      </c>
      <c r="I962" s="28">
        <f>G962*H962/1000*F962^2/162</f>
        <v>389.3333333333333</v>
      </c>
    </row>
    <row r="963">
      <c r="A963" s="7" t="inlineStr">
        <is>
          <t>STR-088</t>
        </is>
      </c>
      <c r="B963" s="7" t="inlineStr">
        <is>
          <t>Floor Slabs</t>
        </is>
      </c>
      <c r="C963" s="7" t="inlineStr">
        <is>
          <t>Ninth floor slab - bottom</t>
        </is>
      </c>
      <c r="D963" s="7" t="inlineStr">
        <is>
          <t>F13</t>
        </is>
      </c>
      <c r="E963" s="27" t="inlineStr">
        <is>
          <t>1235</t>
        </is>
      </c>
      <c r="F963" s="27" t="n">
        <v>12</v>
      </c>
      <c r="G963" s="27" t="n">
        <v>43</v>
      </c>
      <c r="H963" s="27" t="n">
        <v>11750</v>
      </c>
      <c r="I963" s="28">
        <f>G963*H963/1000*F963^2/162</f>
        <v>449.1111111111111</v>
      </c>
    </row>
    <row r="964">
      <c r="A964" s="7" t="inlineStr">
        <is>
          <t>STR-088</t>
        </is>
      </c>
      <c r="B964" s="7" t="inlineStr">
        <is>
          <t>Floor Slabs</t>
        </is>
      </c>
      <c r="C964" s="7" t="inlineStr">
        <is>
          <t>Ninth floor slab - bottom</t>
        </is>
      </c>
      <c r="D964" s="7" t="inlineStr">
        <is>
          <t>F13</t>
        </is>
      </c>
      <c r="E964" s="27" t="inlineStr">
        <is>
          <t>1236</t>
        </is>
      </c>
      <c r="F964" s="27" t="n">
        <v>12</v>
      </c>
      <c r="G964" s="27" t="n">
        <v>12</v>
      </c>
      <c r="H964" s="27" t="n">
        <v>8350</v>
      </c>
      <c r="I964" s="28">
        <f>G964*H964/1000*F964^2/162</f>
        <v>89.06666666666668</v>
      </c>
    </row>
    <row r="965">
      <c r="A965" s="7" t="inlineStr">
        <is>
          <t>STR-088</t>
        </is>
      </c>
      <c r="B965" s="7" t="inlineStr">
        <is>
          <t>Floor Slabs</t>
        </is>
      </c>
      <c r="C965" s="7" t="inlineStr">
        <is>
          <t>Ninth floor slab - bottom</t>
        </is>
      </c>
      <c r="D965" s="7" t="inlineStr">
        <is>
          <t>F13</t>
        </is>
      </c>
      <c r="E965" s="27" t="inlineStr">
        <is>
          <t>1237</t>
        </is>
      </c>
      <c r="F965" s="27" t="n">
        <v>12</v>
      </c>
      <c r="G965" s="27" t="n">
        <v>75</v>
      </c>
      <c r="H965" s="27" t="n">
        <v>11250</v>
      </c>
      <c r="I965" s="28">
        <f>G965*H965/1000*F965^2/162</f>
        <v>750.0</v>
      </c>
    </row>
    <row r="966">
      <c r="A966" s="7" t="inlineStr">
        <is>
          <t>STR-089</t>
        </is>
      </c>
      <c r="B966" s="7" t="inlineStr">
        <is>
          <t>Floor Slabs</t>
        </is>
      </c>
      <c r="C966" s="7" t="inlineStr">
        <is>
          <t>Ninth floor slab - top</t>
        </is>
      </c>
      <c r="D966" s="7" t="inlineStr">
        <is>
          <t>F13</t>
        </is>
      </c>
      <c r="E966" s="27" t="inlineStr">
        <is>
          <t>1238</t>
        </is>
      </c>
      <c r="F966" s="27" t="n">
        <v>12</v>
      </c>
      <c r="G966" s="27" t="n">
        <v>16</v>
      </c>
      <c r="H966" s="27" t="n">
        <v>1925</v>
      </c>
      <c r="I966" s="28">
        <f>G966*H966/1000*F966^2/162</f>
        <v>27.377777777777776</v>
      </c>
    </row>
    <row r="967">
      <c r="A967" s="7" t="inlineStr">
        <is>
          <t>STR-089</t>
        </is>
      </c>
      <c r="B967" s="7" t="inlineStr">
        <is>
          <t>Floor Slabs</t>
        </is>
      </c>
      <c r="C967" s="7" t="inlineStr">
        <is>
          <t>Ninth floor slab - top</t>
        </is>
      </c>
      <c r="D967" s="7" t="inlineStr">
        <is>
          <t>F13</t>
        </is>
      </c>
      <c r="E967" s="27" t="inlineStr">
        <is>
          <t>1239</t>
        </is>
      </c>
      <c r="F967" s="27" t="n">
        <v>12</v>
      </c>
      <c r="G967" s="27" t="n">
        <v>230</v>
      </c>
      <c r="H967" s="27" t="n">
        <v>11650</v>
      </c>
      <c r="I967" s="28">
        <f>G967*H967/1000*F967^2/162</f>
        <v>2381.777777777778</v>
      </c>
    </row>
    <row r="968">
      <c r="A968" s="7" t="inlineStr">
        <is>
          <t>STR-089</t>
        </is>
      </c>
      <c r="B968" s="7" t="inlineStr">
        <is>
          <t>Floor Slabs</t>
        </is>
      </c>
      <c r="C968" s="7" t="inlineStr">
        <is>
          <t>Ninth floor slab - top</t>
        </is>
      </c>
      <c r="D968" s="7" t="inlineStr">
        <is>
          <t>F13</t>
        </is>
      </c>
      <c r="E968" s="27" t="inlineStr">
        <is>
          <t>1240</t>
        </is>
      </c>
      <c r="F968" s="27" t="n">
        <v>12</v>
      </c>
      <c r="G968" s="27" t="n">
        <v>74</v>
      </c>
      <c r="H968" s="27" t="n">
        <v>5850</v>
      </c>
      <c r="I968" s="28">
        <f>G968*H968/1000*F968^2/162</f>
        <v>384.8</v>
      </c>
    </row>
    <row r="969">
      <c r="A969" s="7" t="inlineStr">
        <is>
          <t>STR-089</t>
        </is>
      </c>
      <c r="B969" s="7" t="inlineStr">
        <is>
          <t>Floor Slabs</t>
        </is>
      </c>
      <c r="C969" s="7" t="inlineStr">
        <is>
          <t>Ninth floor slab - top</t>
        </is>
      </c>
      <c r="D969" s="7" t="inlineStr">
        <is>
          <t>F13</t>
        </is>
      </c>
      <c r="E969" s="27" t="inlineStr">
        <is>
          <t>1241</t>
        </is>
      </c>
      <c r="F969" s="27" t="n">
        <v>12</v>
      </c>
      <c r="G969" s="27" t="n">
        <v>21</v>
      </c>
      <c r="H969" s="27" t="n">
        <v>8050</v>
      </c>
      <c r="I969" s="28">
        <f>G969*H969/1000*F969^2/162</f>
        <v>150.26666666666668</v>
      </c>
    </row>
    <row r="970">
      <c r="A970" s="7" t="inlineStr">
        <is>
          <t>STR-089</t>
        </is>
      </c>
      <c r="B970" s="7" t="inlineStr">
        <is>
          <t>Floor Slabs</t>
        </is>
      </c>
      <c r="C970" s="7" t="inlineStr">
        <is>
          <t>Ninth floor slab - top</t>
        </is>
      </c>
      <c r="D970" s="7" t="inlineStr">
        <is>
          <t>F13</t>
        </is>
      </c>
      <c r="E970" s="27" t="inlineStr">
        <is>
          <t>1242</t>
        </is>
      </c>
      <c r="F970" s="27" t="n">
        <v>12</v>
      </c>
      <c r="G970" s="27" t="n">
        <v>263</v>
      </c>
      <c r="H970" s="27" t="n">
        <v>8000</v>
      </c>
      <c r="I970" s="28">
        <f>G970*H970/1000*F970^2/162</f>
        <v>1870.2222222222222</v>
      </c>
    </row>
    <row r="971">
      <c r="A971" s="7" t="inlineStr">
        <is>
          <t>STR-089</t>
        </is>
      </c>
      <c r="B971" s="7" t="inlineStr">
        <is>
          <t>Floor Slabs</t>
        </is>
      </c>
      <c r="C971" s="7" t="inlineStr">
        <is>
          <t>Ninth floor slab - top</t>
        </is>
      </c>
      <c r="D971" s="7" t="inlineStr">
        <is>
          <t>F13</t>
        </is>
      </c>
      <c r="E971" s="27" t="inlineStr">
        <is>
          <t>1243</t>
        </is>
      </c>
      <c r="F971" s="27" t="n">
        <v>12</v>
      </c>
      <c r="G971" s="27" t="n">
        <v>226</v>
      </c>
      <c r="H971" s="27" t="n">
        <v>8800</v>
      </c>
      <c r="I971" s="28">
        <f>G971*H971/1000*F971^2/162</f>
        <v>1767.8222222222223</v>
      </c>
    </row>
    <row r="972">
      <c r="A972" s="7" t="inlineStr">
        <is>
          <t>STR-089</t>
        </is>
      </c>
      <c r="B972" s="7" t="inlineStr">
        <is>
          <t>Floor Slabs</t>
        </is>
      </c>
      <c r="C972" s="7" t="inlineStr">
        <is>
          <t>Ninth floor slab - top</t>
        </is>
      </c>
      <c r="D972" s="7" t="inlineStr">
        <is>
          <t>F13</t>
        </is>
      </c>
      <c r="E972" s="27" t="inlineStr">
        <is>
          <t>1244</t>
        </is>
      </c>
      <c r="F972" s="27" t="n">
        <v>12</v>
      </c>
      <c r="G972" s="27" t="n">
        <v>21</v>
      </c>
      <c r="H972" s="27" t="n">
        <v>7350</v>
      </c>
      <c r="I972" s="28">
        <f>G972*H972/1000*F972^2/162</f>
        <v>137.2</v>
      </c>
    </row>
    <row r="973">
      <c r="A973" s="7" t="inlineStr">
        <is>
          <t>STR-089</t>
        </is>
      </c>
      <c r="B973" s="7" t="inlineStr">
        <is>
          <t>Floor Slabs</t>
        </is>
      </c>
      <c r="C973" s="7" t="inlineStr">
        <is>
          <t>Ninth floor slab - top</t>
        </is>
      </c>
      <c r="D973" s="7" t="inlineStr">
        <is>
          <t>F13</t>
        </is>
      </c>
      <c r="E973" s="27" t="inlineStr">
        <is>
          <t>1245</t>
        </is>
      </c>
      <c r="F973" s="27" t="n">
        <v>12</v>
      </c>
      <c r="G973" s="27" t="n">
        <v>21</v>
      </c>
      <c r="H973" s="27" t="n">
        <v>8650</v>
      </c>
      <c r="I973" s="28">
        <f>G973*H973/1000*F973^2/162</f>
        <v>161.46666666666667</v>
      </c>
    </row>
    <row r="974">
      <c r="A974" s="7" t="inlineStr">
        <is>
          <t>STR-089</t>
        </is>
      </c>
      <c r="B974" s="7" t="inlineStr">
        <is>
          <t>Floor Slabs</t>
        </is>
      </c>
      <c r="C974" s="7" t="inlineStr">
        <is>
          <t>Ninth floor slab - top</t>
        </is>
      </c>
      <c r="D974" s="7" t="inlineStr">
        <is>
          <t>F13</t>
        </is>
      </c>
      <c r="E974" s="27" t="inlineStr">
        <is>
          <t>1246</t>
        </is>
      </c>
      <c r="F974" s="27" t="n">
        <v>12</v>
      </c>
      <c r="G974" s="27" t="n">
        <v>27</v>
      </c>
      <c r="H974" s="27" t="n">
        <v>4575</v>
      </c>
      <c r="I974" s="28">
        <f>G974*H974/1000*F974^2/162</f>
        <v>109.80000000000001</v>
      </c>
    </row>
    <row r="975">
      <c r="A975" s="7" t="inlineStr">
        <is>
          <t>STR-089</t>
        </is>
      </c>
      <c r="B975" s="7" t="inlineStr">
        <is>
          <t>Floor Slabs</t>
        </is>
      </c>
      <c r="C975" s="7" t="inlineStr">
        <is>
          <t>Ninth floor slab - top</t>
        </is>
      </c>
      <c r="D975" s="7" t="inlineStr">
        <is>
          <t>F13</t>
        </is>
      </c>
      <c r="E975" s="27" t="inlineStr">
        <is>
          <t>1247</t>
        </is>
      </c>
      <c r="F975" s="27" t="n">
        <v>12</v>
      </c>
      <c r="G975" s="27" t="n">
        <v>65</v>
      </c>
      <c r="H975" s="27" t="n">
        <v>5325</v>
      </c>
      <c r="I975" s="28">
        <f>G975*H975/1000*F975^2/162</f>
        <v>307.6666666666667</v>
      </c>
    </row>
    <row r="976">
      <c r="A976" s="7" t="inlineStr">
        <is>
          <t>STR-089</t>
        </is>
      </c>
      <c r="B976" s="7" t="inlineStr">
        <is>
          <t>Floor Slabs</t>
        </is>
      </c>
      <c r="C976" s="7" t="inlineStr">
        <is>
          <t>Ninth floor slab - top</t>
        </is>
      </c>
      <c r="D976" s="7" t="inlineStr">
        <is>
          <t>F13</t>
        </is>
      </c>
      <c r="E976" s="27" t="inlineStr">
        <is>
          <t>1248</t>
        </is>
      </c>
      <c r="F976" s="27" t="n">
        <v>12</v>
      </c>
      <c r="G976" s="27" t="n">
        <v>15</v>
      </c>
      <c r="H976" s="27" t="n">
        <v>4700</v>
      </c>
      <c r="I976" s="28">
        <f>G976*H976/1000*F976^2/162</f>
        <v>62.666666666666664</v>
      </c>
    </row>
    <row r="977">
      <c r="A977" s="7" t="inlineStr">
        <is>
          <t>STR-089</t>
        </is>
      </c>
      <c r="B977" s="7" t="inlineStr">
        <is>
          <t>Floor Slabs</t>
        </is>
      </c>
      <c r="C977" s="7" t="inlineStr">
        <is>
          <t>Ninth floor slab - top</t>
        </is>
      </c>
      <c r="D977" s="7" t="inlineStr">
        <is>
          <t>F13</t>
        </is>
      </c>
      <c r="E977" s="27" t="inlineStr">
        <is>
          <t>1249</t>
        </is>
      </c>
      <c r="F977" s="27" t="n">
        <v>12</v>
      </c>
      <c r="G977" s="27" t="n">
        <v>23</v>
      </c>
      <c r="H977" s="27" t="n">
        <v>12000</v>
      </c>
      <c r="I977" s="28">
        <f>G977*H977/1000*F977^2/162</f>
        <v>245.33333333333334</v>
      </c>
    </row>
    <row r="978">
      <c r="A978" s="7" t="inlineStr">
        <is>
          <t>STR-089</t>
        </is>
      </c>
      <c r="B978" s="7" t="inlineStr">
        <is>
          <t>Floor Slabs</t>
        </is>
      </c>
      <c r="C978" s="7" t="inlineStr">
        <is>
          <t>Ninth floor slab - top</t>
        </is>
      </c>
      <c r="D978" s="7" t="inlineStr">
        <is>
          <t>F13</t>
        </is>
      </c>
      <c r="E978" s="27" t="inlineStr">
        <is>
          <t>1250</t>
        </is>
      </c>
      <c r="F978" s="27" t="n">
        <v>12</v>
      </c>
      <c r="G978" s="27" t="n">
        <v>9</v>
      </c>
      <c r="H978" s="27" t="n">
        <v>10000</v>
      </c>
      <c r="I978" s="28">
        <f>G978*H978/1000*F978^2/162</f>
        <v>80.0</v>
      </c>
    </row>
    <row r="979">
      <c r="A979" s="7" t="inlineStr">
        <is>
          <t>STR-089</t>
        </is>
      </c>
      <c r="B979" s="7" t="inlineStr">
        <is>
          <t>Floor Slabs</t>
        </is>
      </c>
      <c r="C979" s="7" t="inlineStr">
        <is>
          <t>Ninth floor slab - top</t>
        </is>
      </c>
      <c r="D979" s="7" t="inlineStr">
        <is>
          <t>F13</t>
        </is>
      </c>
      <c r="E979" s="27" t="inlineStr">
        <is>
          <t>1251</t>
        </is>
      </c>
      <c r="F979" s="27" t="n">
        <v>12</v>
      </c>
      <c r="G979" s="27" t="n">
        <v>234</v>
      </c>
      <c r="H979" s="27" t="n">
        <v>8650</v>
      </c>
      <c r="I979" s="28">
        <f>G979*H979/1000*F979^2/162</f>
        <v>1799.1999999999998</v>
      </c>
    </row>
    <row r="980">
      <c r="A980" s="7" t="inlineStr">
        <is>
          <t>STR-089</t>
        </is>
      </c>
      <c r="B980" s="7" t="inlineStr">
        <is>
          <t>Floor Slabs</t>
        </is>
      </c>
      <c r="C980" s="7" t="inlineStr">
        <is>
          <t>Ninth floor slab - top</t>
        </is>
      </c>
      <c r="D980" s="7" t="inlineStr">
        <is>
          <t>F13</t>
        </is>
      </c>
      <c r="E980" s="27" t="inlineStr">
        <is>
          <t>1252</t>
        </is>
      </c>
      <c r="F980" s="27" t="n">
        <v>12</v>
      </c>
      <c r="G980" s="27" t="n">
        <v>24</v>
      </c>
      <c r="H980" s="27" t="n">
        <v>4600</v>
      </c>
      <c r="I980" s="28">
        <f>G980*H980/1000*F980^2/162</f>
        <v>98.13333333333334</v>
      </c>
    </row>
    <row r="981">
      <c r="A981" s="7" t="inlineStr">
        <is>
          <t>STR-089</t>
        </is>
      </c>
      <c r="B981" s="7" t="inlineStr">
        <is>
          <t>Floor Slabs</t>
        </is>
      </c>
      <c r="C981" s="7" t="inlineStr">
        <is>
          <t>Ninth floor slab - top</t>
        </is>
      </c>
      <c r="D981" s="7" t="inlineStr">
        <is>
          <t>F13</t>
        </is>
      </c>
      <c r="E981" s="27" t="inlineStr">
        <is>
          <t>1253</t>
        </is>
      </c>
      <c r="F981" s="27" t="n">
        <v>12</v>
      </c>
      <c r="G981" s="27" t="n">
        <v>152</v>
      </c>
      <c r="H981" s="27" t="n">
        <v>5900</v>
      </c>
      <c r="I981" s="28">
        <f>G981*H981/1000*F981^2/162</f>
        <v>797.1555555555556</v>
      </c>
    </row>
    <row r="982">
      <c r="A982" s="7" t="inlineStr">
        <is>
          <t>STR-089</t>
        </is>
      </c>
      <c r="B982" s="7" t="inlineStr">
        <is>
          <t>Floor Slabs</t>
        </is>
      </c>
      <c r="C982" s="7" t="inlineStr">
        <is>
          <t>Ninth floor slab - top</t>
        </is>
      </c>
      <c r="D982" s="7" t="inlineStr">
        <is>
          <t>F13</t>
        </is>
      </c>
      <c r="E982" s="27" t="inlineStr">
        <is>
          <t>1254</t>
        </is>
      </c>
      <c r="F982" s="27" t="n">
        <v>12</v>
      </c>
      <c r="G982" s="27" t="n">
        <v>119</v>
      </c>
      <c r="H982" s="27" t="n">
        <v>9525</v>
      </c>
      <c r="I982" s="28">
        <f>G982*H982/1000*F982^2/162</f>
        <v>1007.5333333333333</v>
      </c>
    </row>
    <row r="983">
      <c r="A983" s="7" t="inlineStr">
        <is>
          <t>STR-089</t>
        </is>
      </c>
      <c r="B983" s="7" t="inlineStr">
        <is>
          <t>Floor Slabs</t>
        </is>
      </c>
      <c r="C983" s="7" t="inlineStr">
        <is>
          <t>Ninth floor slab - top</t>
        </is>
      </c>
      <c r="D983" s="7" t="inlineStr">
        <is>
          <t>F13</t>
        </is>
      </c>
      <c r="E983" s="27" t="inlineStr">
        <is>
          <t>1255</t>
        </is>
      </c>
      <c r="F983" s="27" t="n">
        <v>12</v>
      </c>
      <c r="G983" s="27" t="n">
        <v>206</v>
      </c>
      <c r="H983" s="27" t="n">
        <v>4275</v>
      </c>
      <c r="I983" s="28">
        <f>G983*H983/1000*F983^2/162</f>
        <v>782.8</v>
      </c>
    </row>
    <row r="984">
      <c r="A984" s="7" t="inlineStr">
        <is>
          <t>STR-089</t>
        </is>
      </c>
      <c r="B984" s="7" t="inlineStr">
        <is>
          <t>Floor Slabs</t>
        </is>
      </c>
      <c r="C984" s="7" t="inlineStr">
        <is>
          <t>Ninth floor slab - top</t>
        </is>
      </c>
      <c r="D984" s="7" t="inlineStr">
        <is>
          <t>F13</t>
        </is>
      </c>
      <c r="E984" s="27" t="inlineStr">
        <is>
          <t>1256</t>
        </is>
      </c>
      <c r="F984" s="27" t="n">
        <v>12</v>
      </c>
      <c r="G984" s="27" t="n">
        <v>31</v>
      </c>
      <c r="H984" s="27" t="n">
        <v>3750</v>
      </c>
      <c r="I984" s="28">
        <f>G984*H984/1000*F984^2/162</f>
        <v>103.33333333333333</v>
      </c>
    </row>
    <row r="985">
      <c r="A985" s="7" t="inlineStr">
        <is>
          <t>STR-089</t>
        </is>
      </c>
      <c r="B985" s="7" t="inlineStr">
        <is>
          <t>Floor Slabs</t>
        </is>
      </c>
      <c r="C985" s="7" t="inlineStr">
        <is>
          <t>Ninth floor slab - top</t>
        </is>
      </c>
      <c r="D985" s="7" t="inlineStr">
        <is>
          <t>F13</t>
        </is>
      </c>
      <c r="E985" s="27" t="inlineStr">
        <is>
          <t>1257</t>
        </is>
      </c>
      <c r="F985" s="27" t="n">
        <v>12</v>
      </c>
      <c r="G985" s="27" t="n">
        <v>36</v>
      </c>
      <c r="H985" s="27" t="n">
        <v>10400</v>
      </c>
      <c r="I985" s="28">
        <f>G985*H985/1000*F985^2/162</f>
        <v>332.8</v>
      </c>
    </row>
    <row r="986">
      <c r="A986" s="7" t="inlineStr">
        <is>
          <t>STR-089</t>
        </is>
      </c>
      <c r="B986" s="7" t="inlineStr">
        <is>
          <t>Floor Slabs</t>
        </is>
      </c>
      <c r="C986" s="7" t="inlineStr">
        <is>
          <t>Ninth floor slab - top</t>
        </is>
      </c>
      <c r="D986" s="7" t="inlineStr">
        <is>
          <t>F13</t>
        </is>
      </c>
      <c r="E986" s="27" t="inlineStr">
        <is>
          <t>1258</t>
        </is>
      </c>
      <c r="F986" s="27" t="n">
        <v>12</v>
      </c>
      <c r="G986" s="27" t="n">
        <v>23</v>
      </c>
      <c r="H986" s="27" t="n">
        <v>3450</v>
      </c>
      <c r="I986" s="28">
        <f>G986*H986/1000*F986^2/162</f>
        <v>70.53333333333333</v>
      </c>
    </row>
    <row r="987">
      <c r="A987" s="7" t="inlineStr">
        <is>
          <t>STR-089</t>
        </is>
      </c>
      <c r="B987" s="7" t="inlineStr">
        <is>
          <t>Floor Slabs</t>
        </is>
      </c>
      <c r="C987" s="7" t="inlineStr">
        <is>
          <t>Ninth floor slab - top</t>
        </is>
      </c>
      <c r="D987" s="7" t="inlineStr">
        <is>
          <t>F13</t>
        </is>
      </c>
      <c r="E987" s="27" t="inlineStr">
        <is>
          <t>1259</t>
        </is>
      </c>
      <c r="F987" s="27" t="n">
        <v>12</v>
      </c>
      <c r="G987" s="27" t="n">
        <v>212</v>
      </c>
      <c r="H987" s="27" t="n">
        <v>9500</v>
      </c>
      <c r="I987" s="28">
        <f>G987*H987/1000*F987^2/162</f>
        <v>1790.2222222222222</v>
      </c>
    </row>
    <row r="988">
      <c r="A988" s="7" t="inlineStr">
        <is>
          <t>STR-089</t>
        </is>
      </c>
      <c r="B988" s="7" t="inlineStr">
        <is>
          <t>Floor Slabs</t>
        </is>
      </c>
      <c r="C988" s="7" t="inlineStr">
        <is>
          <t>Ninth floor slab - top</t>
        </is>
      </c>
      <c r="D988" s="7" t="inlineStr">
        <is>
          <t>F13</t>
        </is>
      </c>
      <c r="E988" s="27" t="inlineStr">
        <is>
          <t>1260</t>
        </is>
      </c>
      <c r="F988" s="27" t="n">
        <v>12</v>
      </c>
      <c r="G988" s="27" t="n">
        <v>49</v>
      </c>
      <c r="H988" s="27" t="n">
        <v>7300</v>
      </c>
      <c r="I988" s="28">
        <f>G988*H988/1000*F988^2/162</f>
        <v>317.9555555555555</v>
      </c>
    </row>
    <row r="989">
      <c r="A989" s="7" t="inlineStr">
        <is>
          <t>STR-089</t>
        </is>
      </c>
      <c r="B989" s="7" t="inlineStr">
        <is>
          <t>Floor Slabs</t>
        </is>
      </c>
      <c r="C989" s="7" t="inlineStr">
        <is>
          <t>Ninth floor slab - top</t>
        </is>
      </c>
      <c r="D989" s="7" t="inlineStr">
        <is>
          <t>F13</t>
        </is>
      </c>
      <c r="E989" s="27" t="inlineStr">
        <is>
          <t>1261</t>
        </is>
      </c>
      <c r="F989" s="27" t="n">
        <v>12</v>
      </c>
      <c r="G989" s="27" t="n">
        <v>113</v>
      </c>
      <c r="H989" s="27" t="n">
        <v>8750</v>
      </c>
      <c r="I989" s="28">
        <f>G989*H989/1000*F989^2/162</f>
        <v>878.8888888888889</v>
      </c>
    </row>
    <row r="990">
      <c r="A990" s="7" t="inlineStr">
        <is>
          <t>STR-089</t>
        </is>
      </c>
      <c r="B990" s="7" t="inlineStr">
        <is>
          <t>Floor Slabs</t>
        </is>
      </c>
      <c r="C990" s="7" t="inlineStr">
        <is>
          <t>Ninth floor slab - top</t>
        </is>
      </c>
      <c r="D990" s="7" t="inlineStr">
        <is>
          <t>F13</t>
        </is>
      </c>
      <c r="E990" s="27" t="inlineStr">
        <is>
          <t>1262</t>
        </is>
      </c>
      <c r="F990" s="27" t="n">
        <v>12</v>
      </c>
      <c r="G990" s="27" t="n">
        <v>85</v>
      </c>
      <c r="H990" s="27" t="n">
        <v>3750</v>
      </c>
      <c r="I990" s="28">
        <f>G990*H990/1000*F990^2/162</f>
        <v>283.3333333333333</v>
      </c>
    </row>
    <row r="991">
      <c r="A991" s="7" t="inlineStr">
        <is>
          <t>STR-089</t>
        </is>
      </c>
      <c r="B991" s="7" t="inlineStr">
        <is>
          <t>Floor Slabs</t>
        </is>
      </c>
      <c r="C991" s="7" t="inlineStr">
        <is>
          <t>Ninth floor slab - top</t>
        </is>
      </c>
      <c r="D991" s="7" t="inlineStr">
        <is>
          <t>F13</t>
        </is>
      </c>
      <c r="E991" s="27" t="inlineStr">
        <is>
          <t>1263</t>
        </is>
      </c>
      <c r="F991" s="27" t="n">
        <v>12</v>
      </c>
      <c r="G991" s="27" t="n">
        <v>13</v>
      </c>
      <c r="H991" s="27" t="n">
        <v>4100</v>
      </c>
      <c r="I991" s="28">
        <f>G991*H991/1000*F991^2/162</f>
        <v>47.37777777777778</v>
      </c>
    </row>
    <row r="992">
      <c r="A992" s="7" t="inlineStr">
        <is>
          <t>STR-089</t>
        </is>
      </c>
      <c r="B992" s="7" t="inlineStr">
        <is>
          <t>Floor Slabs</t>
        </is>
      </c>
      <c r="C992" s="7" t="inlineStr">
        <is>
          <t>Ninth floor slab - top</t>
        </is>
      </c>
      <c r="D992" s="7" t="inlineStr">
        <is>
          <t>F13</t>
        </is>
      </c>
      <c r="E992" s="27" t="inlineStr">
        <is>
          <t>1264</t>
        </is>
      </c>
      <c r="F992" s="27" t="n">
        <v>12</v>
      </c>
      <c r="G992" s="27" t="n">
        <v>13</v>
      </c>
      <c r="H992" s="27" t="n">
        <v>4200</v>
      </c>
      <c r="I992" s="28">
        <f>G992*H992/1000*F992^2/162</f>
        <v>48.53333333333334</v>
      </c>
    </row>
    <row r="993">
      <c r="A993" s="7" t="inlineStr">
        <is>
          <t>STR-089</t>
        </is>
      </c>
      <c r="B993" s="7" t="inlineStr">
        <is>
          <t>Floor Slabs</t>
        </is>
      </c>
      <c r="C993" s="7" t="inlineStr">
        <is>
          <t>Ninth floor slab - top</t>
        </is>
      </c>
      <c r="D993" s="7" t="inlineStr">
        <is>
          <t>F13</t>
        </is>
      </c>
      <c r="E993" s="27" t="inlineStr">
        <is>
          <t>1265</t>
        </is>
      </c>
      <c r="F993" s="27" t="n">
        <v>12</v>
      </c>
      <c r="G993" s="27" t="n">
        <v>357</v>
      </c>
      <c r="H993" s="27" t="n">
        <v>9200</v>
      </c>
      <c r="I993" s="28">
        <f>G993*H993/1000*F993^2/162</f>
        <v>2919.4666666666667</v>
      </c>
    </row>
    <row r="994">
      <c r="A994" s="7" t="inlineStr">
        <is>
          <t>STR-089</t>
        </is>
      </c>
      <c r="B994" s="7" t="inlineStr">
        <is>
          <t>Floor Slabs</t>
        </is>
      </c>
      <c r="C994" s="7" t="inlineStr">
        <is>
          <t>Ninth floor slab - top</t>
        </is>
      </c>
      <c r="D994" s="7" t="inlineStr">
        <is>
          <t>F13</t>
        </is>
      </c>
      <c r="E994" s="27" t="inlineStr">
        <is>
          <t>1266</t>
        </is>
      </c>
      <c r="F994" s="27" t="n">
        <v>12</v>
      </c>
      <c r="G994" s="27" t="n">
        <v>12</v>
      </c>
      <c r="H994" s="27" t="n">
        <v>9475</v>
      </c>
      <c r="I994" s="28">
        <f>G994*H994/1000*F994^2/162</f>
        <v>101.06666666666668</v>
      </c>
    </row>
    <row r="995">
      <c r="A995" s="7" t="inlineStr">
        <is>
          <t>STR-089</t>
        </is>
      </c>
      <c r="B995" s="7" t="inlineStr">
        <is>
          <t>Floor Slabs</t>
        </is>
      </c>
      <c r="C995" s="7" t="inlineStr">
        <is>
          <t>Ninth floor slab - top</t>
        </is>
      </c>
      <c r="D995" s="7" t="inlineStr">
        <is>
          <t>F13</t>
        </is>
      </c>
      <c r="E995" s="27" t="inlineStr">
        <is>
          <t>1267</t>
        </is>
      </c>
      <c r="F995" s="27" t="n">
        <v>12</v>
      </c>
      <c r="G995" s="27" t="n">
        <v>101</v>
      </c>
      <c r="H995" s="27" t="n">
        <v>2200</v>
      </c>
      <c r="I995" s="28">
        <f>G995*H995/1000*F995^2/162</f>
        <v>197.51111111111112</v>
      </c>
    </row>
    <row r="996">
      <c r="A996" s="7" t="inlineStr">
        <is>
          <t>STR-089</t>
        </is>
      </c>
      <c r="B996" s="7" t="inlineStr">
        <is>
          <t>Floor Slabs</t>
        </is>
      </c>
      <c r="C996" s="7" t="inlineStr">
        <is>
          <t>Ninth floor slab - top</t>
        </is>
      </c>
      <c r="D996" s="7" t="inlineStr">
        <is>
          <t>F13</t>
        </is>
      </c>
      <c r="E996" s="27" t="inlineStr">
        <is>
          <t>1268</t>
        </is>
      </c>
      <c r="F996" s="27" t="n">
        <v>12</v>
      </c>
      <c r="G996" s="27" t="n">
        <v>9</v>
      </c>
      <c r="H996" s="27" t="n">
        <v>8500</v>
      </c>
      <c r="I996" s="28">
        <f>G996*H996/1000*F996^2/162</f>
        <v>68.0</v>
      </c>
    </row>
    <row r="997">
      <c r="A997" s="7" t="inlineStr">
        <is>
          <t>STR-089</t>
        </is>
      </c>
      <c r="B997" s="7" t="inlineStr">
        <is>
          <t>Floor Slabs</t>
        </is>
      </c>
      <c r="C997" s="7" t="inlineStr">
        <is>
          <t>Ninth floor slab - top</t>
        </is>
      </c>
      <c r="D997" s="7" t="inlineStr">
        <is>
          <t>F13</t>
        </is>
      </c>
      <c r="E997" s="27" t="inlineStr">
        <is>
          <t>1269</t>
        </is>
      </c>
      <c r="F997" s="27" t="n">
        <v>12</v>
      </c>
      <c r="G997" s="27" t="n">
        <v>87</v>
      </c>
      <c r="H997" s="27" t="n">
        <v>4550</v>
      </c>
      <c r="I997" s="28">
        <f>G997*H997/1000*F997^2/162</f>
        <v>351.8666666666667</v>
      </c>
    </row>
    <row r="998">
      <c r="A998" s="7" t="inlineStr">
        <is>
          <t>STR-089</t>
        </is>
      </c>
      <c r="B998" s="7" t="inlineStr">
        <is>
          <t>Floor Slabs</t>
        </is>
      </c>
      <c r="C998" s="7" t="inlineStr">
        <is>
          <t>Ninth floor slab - top</t>
        </is>
      </c>
      <c r="D998" s="7" t="inlineStr">
        <is>
          <t>F13</t>
        </is>
      </c>
      <c r="E998" s="27" t="inlineStr">
        <is>
          <t>1270</t>
        </is>
      </c>
      <c r="F998" s="27" t="n">
        <v>12</v>
      </c>
      <c r="G998" s="27" t="n">
        <v>48</v>
      </c>
      <c r="H998" s="27" t="n">
        <v>8727</v>
      </c>
      <c r="I998" s="28">
        <f>G998*H998/1000*F998^2/162</f>
        <v>372.35200000000003</v>
      </c>
    </row>
    <row r="999">
      <c r="A999" s="7" t="inlineStr">
        <is>
          <t>STR-089</t>
        </is>
      </c>
      <c r="B999" s="7" t="inlineStr">
        <is>
          <t>Floor Slabs</t>
        </is>
      </c>
      <c r="C999" s="7" t="inlineStr">
        <is>
          <t>Ninth floor slab - top</t>
        </is>
      </c>
      <c r="D999" s="7" t="inlineStr">
        <is>
          <t>F13</t>
        </is>
      </c>
      <c r="E999" s="27" t="inlineStr">
        <is>
          <t>1271</t>
        </is>
      </c>
      <c r="F999" s="27" t="n">
        <v>12</v>
      </c>
      <c r="G999" s="27" t="n">
        <v>74</v>
      </c>
      <c r="H999" s="27" t="n">
        <v>12000</v>
      </c>
      <c r="I999" s="28">
        <f>G999*H999/1000*F999^2/162</f>
        <v>789.3333333333334</v>
      </c>
    </row>
    <row r="1000">
      <c r="A1000" s="7" t="inlineStr">
        <is>
          <t>STR-089</t>
        </is>
      </c>
      <c r="B1000" s="7" t="inlineStr">
        <is>
          <t>Floor Slabs</t>
        </is>
      </c>
      <c r="C1000" s="7" t="inlineStr">
        <is>
          <t>Ninth floor slab - top</t>
        </is>
      </c>
      <c r="D1000" s="7" t="inlineStr">
        <is>
          <t>F13</t>
        </is>
      </c>
      <c r="E1000" s="27" t="inlineStr">
        <is>
          <t>1272</t>
        </is>
      </c>
      <c r="F1000" s="27" t="n">
        <v>12</v>
      </c>
      <c r="G1000" s="27" t="n">
        <v>43</v>
      </c>
      <c r="H1000" s="27" t="n">
        <v>11750</v>
      </c>
      <c r="I1000" s="28">
        <f>G1000*H1000/1000*F1000^2/162</f>
        <v>449.1111111111111</v>
      </c>
    </row>
    <row r="1001">
      <c r="A1001" s="7" t="inlineStr">
        <is>
          <t>STR-089</t>
        </is>
      </c>
      <c r="B1001" s="7" t="inlineStr">
        <is>
          <t>Floor Slabs</t>
        </is>
      </c>
      <c r="C1001" s="7" t="inlineStr">
        <is>
          <t>Ninth floor slab - top</t>
        </is>
      </c>
      <c r="D1001" s="7" t="inlineStr">
        <is>
          <t>F13</t>
        </is>
      </c>
      <c r="E1001" s="27" t="inlineStr">
        <is>
          <t>1273</t>
        </is>
      </c>
      <c r="F1001" s="27" t="n">
        <v>12</v>
      </c>
      <c r="G1001" s="27" t="n">
        <v>12</v>
      </c>
      <c r="H1001" s="27" t="n">
        <v>8800</v>
      </c>
      <c r="I1001" s="28">
        <f>G1001*H1001/1000*F1001^2/162</f>
        <v>93.86666666666666</v>
      </c>
    </row>
    <row r="1002">
      <c r="A1002" s="7" t="inlineStr">
        <is>
          <t>STR-089</t>
        </is>
      </c>
      <c r="B1002" s="7" t="inlineStr">
        <is>
          <t>Floor Slabs</t>
        </is>
      </c>
      <c r="C1002" s="7" t="inlineStr">
        <is>
          <t>Ninth floor slab - top</t>
        </is>
      </c>
      <c r="D1002" s="7" t="inlineStr">
        <is>
          <t>F13</t>
        </is>
      </c>
      <c r="E1002" s="27" t="inlineStr">
        <is>
          <t>1274</t>
        </is>
      </c>
      <c r="F1002" s="27" t="n">
        <v>12</v>
      </c>
      <c r="G1002" s="27" t="n">
        <v>75</v>
      </c>
      <c r="H1002" s="27" t="n">
        <v>7900</v>
      </c>
      <c r="I1002" s="28">
        <f>G1002*H1002/1000*F1002^2/162</f>
        <v>526.6666666666666</v>
      </c>
    </row>
    <row r="1003">
      <c r="A1003" s="7" t="inlineStr">
        <is>
          <t>STR-090</t>
        </is>
      </c>
      <c r="B1003" s="7" t="inlineStr">
        <is>
          <t>Floor Slabs</t>
        </is>
      </c>
      <c r="C1003" s="7" t="inlineStr">
        <is>
          <t>Ninth floor slab - additional top</t>
        </is>
      </c>
      <c r="D1003" s="7" t="inlineStr">
        <is>
          <t>F13</t>
        </is>
      </c>
      <c r="E1003" s="27" t="inlineStr">
        <is>
          <t>1275</t>
        </is>
      </c>
      <c r="F1003" s="27" t="n">
        <v>12</v>
      </c>
      <c r="G1003" s="27" t="n">
        <v>63</v>
      </c>
      <c r="H1003" s="27" t="n">
        <v>9800</v>
      </c>
      <c r="I1003" s="28">
        <f>G1003*H1003/1000*F1003^2/162</f>
        <v>548.8</v>
      </c>
    </row>
    <row r="1004">
      <c r="A1004" s="7" t="inlineStr">
        <is>
          <t>STR-090</t>
        </is>
      </c>
      <c r="B1004" s="7" t="inlineStr">
        <is>
          <t>Floor Slabs</t>
        </is>
      </c>
      <c r="C1004" s="7" t="inlineStr">
        <is>
          <t>Ninth floor slab - additional top</t>
        </is>
      </c>
      <c r="D1004" s="7" t="inlineStr">
        <is>
          <t>F13</t>
        </is>
      </c>
      <c r="E1004" s="27" t="inlineStr">
        <is>
          <t>1276</t>
        </is>
      </c>
      <c r="F1004" s="27" t="n">
        <v>12</v>
      </c>
      <c r="G1004" s="27" t="n">
        <v>40</v>
      </c>
      <c r="H1004" s="27" t="n">
        <v>11000</v>
      </c>
      <c r="I1004" s="28">
        <f>G1004*H1004/1000*F1004^2/162</f>
        <v>391.1111111111111</v>
      </c>
    </row>
    <row r="1005">
      <c r="A1005" s="7" t="inlineStr">
        <is>
          <t>STR-090</t>
        </is>
      </c>
      <c r="B1005" s="7" t="inlineStr">
        <is>
          <t>Floor Slabs</t>
        </is>
      </c>
      <c r="C1005" s="7" t="inlineStr">
        <is>
          <t>Ninth floor slab - additional top</t>
        </is>
      </c>
      <c r="D1005" s="7" t="inlineStr">
        <is>
          <t>F13</t>
        </is>
      </c>
      <c r="E1005" s="27" t="inlineStr">
        <is>
          <t>1277</t>
        </is>
      </c>
      <c r="F1005" s="27" t="n">
        <v>12</v>
      </c>
      <c r="G1005" s="27" t="n">
        <v>156</v>
      </c>
      <c r="H1005" s="27" t="n">
        <v>3000</v>
      </c>
      <c r="I1005" s="28">
        <f>G1005*H1005/1000*F1005^2/162</f>
        <v>416.0</v>
      </c>
    </row>
    <row r="1006">
      <c r="A1006" s="7" t="inlineStr">
        <is>
          <t>STR-090</t>
        </is>
      </c>
      <c r="B1006" s="7" t="inlineStr">
        <is>
          <t>Floor Slabs</t>
        </is>
      </c>
      <c r="C1006" s="7" t="inlineStr">
        <is>
          <t>Ninth floor slab - additional top</t>
        </is>
      </c>
      <c r="D1006" s="7" t="inlineStr">
        <is>
          <t>F13</t>
        </is>
      </c>
      <c r="E1006" s="27" t="inlineStr">
        <is>
          <t>1278</t>
        </is>
      </c>
      <c r="F1006" s="27" t="n">
        <v>12</v>
      </c>
      <c r="G1006" s="27" t="n">
        <v>63</v>
      </c>
      <c r="H1006" s="27" t="n">
        <v>8800</v>
      </c>
      <c r="I1006" s="28">
        <f>G1006*H1006/1000*F1006^2/162</f>
        <v>492.79999999999995</v>
      </c>
    </row>
    <row r="1007">
      <c r="A1007" s="7" t="inlineStr">
        <is>
          <t>STR-090</t>
        </is>
      </c>
      <c r="B1007" s="7" t="inlineStr">
        <is>
          <t>Floor Slabs</t>
        </is>
      </c>
      <c r="C1007" s="7" t="inlineStr">
        <is>
          <t>Ninth floor slab - additional top</t>
        </is>
      </c>
      <c r="D1007" s="7" t="inlineStr">
        <is>
          <t>F13</t>
        </is>
      </c>
      <c r="E1007" s="27" t="inlineStr">
        <is>
          <t>1279</t>
        </is>
      </c>
      <c r="F1007" s="27" t="n">
        <v>12</v>
      </c>
      <c r="G1007" s="27" t="n">
        <v>10</v>
      </c>
      <c r="H1007" s="27" t="n">
        <v>2875</v>
      </c>
      <c r="I1007" s="28">
        <f>G1007*H1007/1000*F1007^2/162</f>
        <v>25.555555555555557</v>
      </c>
    </row>
    <row r="1008">
      <c r="A1008" s="7" t="inlineStr">
        <is>
          <t>STR-090</t>
        </is>
      </c>
      <c r="B1008" s="7" t="inlineStr">
        <is>
          <t>Floor Slabs</t>
        </is>
      </c>
      <c r="C1008" s="7" t="inlineStr">
        <is>
          <t>Ninth floor slab - additional top</t>
        </is>
      </c>
      <c r="D1008" s="7" t="inlineStr">
        <is>
          <t>F13</t>
        </is>
      </c>
      <c r="E1008" s="27" t="inlineStr">
        <is>
          <t>1280</t>
        </is>
      </c>
      <c r="F1008" s="27" t="n">
        <v>12</v>
      </c>
      <c r="G1008" s="27" t="n">
        <v>10</v>
      </c>
      <c r="H1008" s="27" t="n">
        <v>4150</v>
      </c>
      <c r="I1008" s="28">
        <f>G1008*H1008/1000*F1008^2/162</f>
        <v>36.888888888888886</v>
      </c>
    </row>
    <row r="1009">
      <c r="A1009" s="7" t="inlineStr">
        <is>
          <t>STR-090</t>
        </is>
      </c>
      <c r="B1009" s="7" t="inlineStr">
        <is>
          <t>Floor Slabs</t>
        </is>
      </c>
      <c r="C1009" s="7" t="inlineStr">
        <is>
          <t>Ninth floor slab - additional top</t>
        </is>
      </c>
      <c r="D1009" s="7" t="inlineStr">
        <is>
          <t>F13</t>
        </is>
      </c>
      <c r="E1009" s="27" t="inlineStr">
        <is>
          <t>1281</t>
        </is>
      </c>
      <c r="F1009" s="27" t="n">
        <v>12</v>
      </c>
      <c r="G1009" s="27" t="n">
        <v>73</v>
      </c>
      <c r="H1009" s="27" t="n">
        <v>6000</v>
      </c>
      <c r="I1009" s="28">
        <f>G1009*H1009/1000*F1009^2/162</f>
        <v>389.3333333333333</v>
      </c>
    </row>
    <row r="1010">
      <c r="A1010" s="7" t="inlineStr">
        <is>
          <t>STR-090</t>
        </is>
      </c>
      <c r="B1010" s="7" t="inlineStr">
        <is>
          <t>Floor Slabs</t>
        </is>
      </c>
      <c r="C1010" s="7" t="inlineStr">
        <is>
          <t>Ninth floor slab - additional top</t>
        </is>
      </c>
      <c r="D1010" s="7" t="inlineStr">
        <is>
          <t>F13</t>
        </is>
      </c>
      <c r="E1010" s="27" t="inlineStr">
        <is>
          <t>1282</t>
        </is>
      </c>
      <c r="F1010" s="27" t="n">
        <v>12</v>
      </c>
      <c r="G1010" s="27" t="n">
        <v>60</v>
      </c>
      <c r="H1010" s="27" t="n">
        <v>4900</v>
      </c>
      <c r="I1010" s="28">
        <f>G1010*H1010/1000*F1010^2/162</f>
        <v>261.3333333333333</v>
      </c>
    </row>
    <row r="1011">
      <c r="A1011" s="7" t="inlineStr">
        <is>
          <t>STR-090</t>
        </is>
      </c>
      <c r="B1011" s="7" t="inlineStr">
        <is>
          <t>Floor Slabs</t>
        </is>
      </c>
      <c r="C1011" s="7" t="inlineStr">
        <is>
          <t>Ninth floor slab - additional top</t>
        </is>
      </c>
      <c r="D1011" s="7" t="inlineStr">
        <is>
          <t>F13</t>
        </is>
      </c>
      <c r="E1011" s="27" t="inlineStr">
        <is>
          <t>1283</t>
        </is>
      </c>
      <c r="F1011" s="27" t="n">
        <v>12</v>
      </c>
      <c r="G1011" s="27" t="n">
        <v>8</v>
      </c>
      <c r="H1011" s="27" t="n">
        <v>1475</v>
      </c>
      <c r="I1011" s="28">
        <f>G1011*H1011/1000*F1011^2/162</f>
        <v>10.488888888888889</v>
      </c>
    </row>
    <row r="1012">
      <c r="A1012" s="7" t="inlineStr">
        <is>
          <t>STR-090</t>
        </is>
      </c>
      <c r="B1012" s="7" t="inlineStr">
        <is>
          <t>Floor Slabs</t>
        </is>
      </c>
      <c r="C1012" s="7" t="inlineStr">
        <is>
          <t>Ninth floor slab - additional top</t>
        </is>
      </c>
      <c r="D1012" s="7" t="inlineStr">
        <is>
          <t>F13</t>
        </is>
      </c>
      <c r="E1012" s="27" t="inlineStr">
        <is>
          <t>1601</t>
        </is>
      </c>
      <c r="F1012" s="27" t="n">
        <v>16</v>
      </c>
      <c r="G1012" s="27" t="n">
        <v>6</v>
      </c>
      <c r="H1012" s="27" t="n">
        <v>3675</v>
      </c>
      <c r="I1012" s="28">
        <f>G1012*H1012/1000*F1012^2/162</f>
        <v>34.84444444444445</v>
      </c>
    </row>
    <row r="1013">
      <c r="A1013" s="7" t="inlineStr">
        <is>
          <t>STR-090</t>
        </is>
      </c>
      <c r="B1013" s="7" t="inlineStr">
        <is>
          <t>Floor Slabs</t>
        </is>
      </c>
      <c r="C1013" s="7" t="inlineStr">
        <is>
          <t>Ninth floor slab - additional top</t>
        </is>
      </c>
      <c r="D1013" s="7" t="inlineStr">
        <is>
          <t>F13</t>
        </is>
      </c>
      <c r="E1013" s="27" t="inlineStr">
        <is>
          <t>1602</t>
        </is>
      </c>
      <c r="F1013" s="27" t="n">
        <v>16</v>
      </c>
      <c r="G1013" s="27" t="n">
        <v>6</v>
      </c>
      <c r="H1013" s="27" t="n">
        <v>6675</v>
      </c>
      <c r="I1013" s="28">
        <f>G1013*H1013/1000*F1013^2/162</f>
        <v>63.288888888888884</v>
      </c>
    </row>
    <row r="1014">
      <c r="A1014" s="7" t="inlineStr">
        <is>
          <t>STR-090</t>
        </is>
      </c>
      <c r="B1014" s="7" t="inlineStr">
        <is>
          <t>Floor Slabs</t>
        </is>
      </c>
      <c r="C1014" s="7" t="inlineStr">
        <is>
          <t>Ninth floor slab - additional top</t>
        </is>
      </c>
      <c r="D1014" s="7" t="inlineStr">
        <is>
          <t>F13</t>
        </is>
      </c>
      <c r="E1014" s="27" t="inlineStr">
        <is>
          <t>1603</t>
        </is>
      </c>
      <c r="F1014" s="27" t="n">
        <v>16</v>
      </c>
      <c r="G1014" s="27" t="n">
        <v>3</v>
      </c>
      <c r="H1014" s="27" t="n">
        <v>3000</v>
      </c>
      <c r="I1014" s="28">
        <f>G1014*H1014/1000*F1014^2/162</f>
        <v>14.222222222222221</v>
      </c>
    </row>
    <row r="1015">
      <c r="A1015" s="7" t="inlineStr">
        <is>
          <t>STR-090</t>
        </is>
      </c>
      <c r="B1015" s="7" t="inlineStr">
        <is>
          <t>Floor Slabs</t>
        </is>
      </c>
      <c r="C1015" s="7" t="inlineStr">
        <is>
          <t>Ninth floor slab - additional top</t>
        </is>
      </c>
      <c r="D1015" s="7" t="inlineStr">
        <is>
          <t>F13</t>
        </is>
      </c>
      <c r="E1015" s="27" t="inlineStr">
        <is>
          <t>1604</t>
        </is>
      </c>
      <c r="F1015" s="27" t="n">
        <v>16</v>
      </c>
      <c r="G1015" s="27" t="n">
        <v>6</v>
      </c>
      <c r="H1015" s="27" t="n">
        <v>4025</v>
      </c>
      <c r="I1015" s="28">
        <f>G1015*H1015/1000*F1015^2/162</f>
        <v>38.16296296296296</v>
      </c>
    </row>
    <row r="1016">
      <c r="A1016" s="7" t="inlineStr">
        <is>
          <t>STR-092</t>
        </is>
      </c>
      <c r="B1016" s="7" t="inlineStr">
        <is>
          <t>Beams</t>
        </is>
      </c>
      <c r="C1016" s="7" t="inlineStr">
        <is>
          <t>Tenth floor beams (1 of 2)</t>
        </is>
      </c>
      <c r="D1016" s="7" t="inlineStr">
        <is>
          <t>F14</t>
        </is>
      </c>
      <c r="E1016" s="27" t="inlineStr">
        <is>
          <t>1001</t>
        </is>
      </c>
      <c r="F1016" s="27" t="n">
        <v>10</v>
      </c>
      <c r="G1016" s="27" t="n">
        <v>736</v>
      </c>
      <c r="H1016" s="27" t="n">
        <v>1700</v>
      </c>
      <c r="I1016" s="28">
        <f>G1016*H1016/1000*F1016^2/162</f>
        <v>772.3456790123457</v>
      </c>
    </row>
    <row r="1017">
      <c r="A1017" s="7" t="inlineStr">
        <is>
          <t>STR-092</t>
        </is>
      </c>
      <c r="B1017" s="7" t="inlineStr">
        <is>
          <t>Beams</t>
        </is>
      </c>
      <c r="C1017" s="7" t="inlineStr">
        <is>
          <t>Tenth floor beams (1 of 2)</t>
        </is>
      </c>
      <c r="D1017" s="7" t="inlineStr">
        <is>
          <t>F14</t>
        </is>
      </c>
      <c r="E1017" s="27" t="inlineStr">
        <is>
          <t>1601</t>
        </is>
      </c>
      <c r="F1017" s="27" t="n">
        <v>16</v>
      </c>
      <c r="G1017" s="27" t="n">
        <v>12</v>
      </c>
      <c r="H1017" s="27" t="n">
        <v>12000</v>
      </c>
      <c r="I1017" s="28">
        <f>G1017*H1017/1000*F1017^2/162</f>
        <v>227.55555555555554</v>
      </c>
    </row>
    <row r="1018">
      <c r="A1018" s="7" t="inlineStr">
        <is>
          <t>STR-092</t>
        </is>
      </c>
      <c r="B1018" s="7" t="inlineStr">
        <is>
          <t>Beams</t>
        </is>
      </c>
      <c r="C1018" s="7" t="inlineStr">
        <is>
          <t>Tenth floor beams (1 of 2)</t>
        </is>
      </c>
      <c r="D1018" s="7" t="inlineStr">
        <is>
          <t>F14</t>
        </is>
      </c>
      <c r="E1018" s="27" t="inlineStr">
        <is>
          <t>1602</t>
        </is>
      </c>
      <c r="F1018" s="27" t="n">
        <v>16</v>
      </c>
      <c r="G1018" s="27" t="n">
        <v>2</v>
      </c>
      <c r="H1018" s="27" t="n">
        <v>7275</v>
      </c>
      <c r="I1018" s="28">
        <f>G1018*H1018/1000*F1018^2/162</f>
        <v>22.992592592592594</v>
      </c>
    </row>
    <row r="1019">
      <c r="A1019" s="7" t="inlineStr">
        <is>
          <t>STR-092</t>
        </is>
      </c>
      <c r="B1019" s="7" t="inlineStr">
        <is>
          <t>Beams</t>
        </is>
      </c>
      <c r="C1019" s="7" t="inlineStr">
        <is>
          <t>Tenth floor beams (1 of 2)</t>
        </is>
      </c>
      <c r="D1019" s="7" t="inlineStr">
        <is>
          <t>F14</t>
        </is>
      </c>
      <c r="E1019" s="27" t="inlineStr">
        <is>
          <t>1603</t>
        </is>
      </c>
      <c r="F1019" s="27" t="n">
        <v>16</v>
      </c>
      <c r="G1019" s="27" t="n">
        <v>5</v>
      </c>
      <c r="H1019" s="27" t="n">
        <v>9000</v>
      </c>
      <c r="I1019" s="28">
        <f>G1019*H1019/1000*F1019^2/162</f>
        <v>71.11111111111111</v>
      </c>
    </row>
    <row r="1020">
      <c r="A1020" s="7" t="inlineStr">
        <is>
          <t>STR-092</t>
        </is>
      </c>
      <c r="B1020" s="7" t="inlineStr">
        <is>
          <t>Beams</t>
        </is>
      </c>
      <c r="C1020" s="7" t="inlineStr">
        <is>
          <t>Tenth floor beams (1 of 2)</t>
        </is>
      </c>
      <c r="D1020" s="7" t="inlineStr">
        <is>
          <t>F14</t>
        </is>
      </c>
      <c r="E1020" s="27" t="inlineStr">
        <is>
          <t>1604</t>
        </is>
      </c>
      <c r="F1020" s="27" t="n">
        <v>16</v>
      </c>
      <c r="G1020" s="27" t="n">
        <v>2</v>
      </c>
      <c r="H1020" s="27" t="n">
        <v>7000</v>
      </c>
      <c r="I1020" s="28">
        <f>G1020*H1020/1000*F1020^2/162</f>
        <v>22.123456790123456</v>
      </c>
    </row>
    <row r="1021">
      <c r="A1021" s="7" t="inlineStr">
        <is>
          <t>STR-092</t>
        </is>
      </c>
      <c r="B1021" s="7" t="inlineStr">
        <is>
          <t>Beams</t>
        </is>
      </c>
      <c r="C1021" s="7" t="inlineStr">
        <is>
          <t>Tenth floor beams (1 of 2)</t>
        </is>
      </c>
      <c r="D1021" s="7" t="inlineStr">
        <is>
          <t>F14</t>
        </is>
      </c>
      <c r="E1021" s="27" t="inlineStr">
        <is>
          <t>1605</t>
        </is>
      </c>
      <c r="F1021" s="27" t="n">
        <v>16</v>
      </c>
      <c r="G1021" s="27" t="n">
        <v>4</v>
      </c>
      <c r="H1021" s="27" t="n">
        <v>9400</v>
      </c>
      <c r="I1021" s="28">
        <f>G1021*H1021/1000*F1021^2/162</f>
        <v>59.41728395061729</v>
      </c>
    </row>
    <row r="1022">
      <c r="A1022" s="7" t="inlineStr">
        <is>
          <t>STR-092</t>
        </is>
      </c>
      <c r="B1022" s="7" t="inlineStr">
        <is>
          <t>Beams</t>
        </is>
      </c>
      <c r="C1022" s="7" t="inlineStr">
        <is>
          <t>Tenth floor beams (1 of 2)</t>
        </is>
      </c>
      <c r="D1022" s="7" t="inlineStr">
        <is>
          <t>F14</t>
        </is>
      </c>
      <c r="E1022" s="27" t="inlineStr">
        <is>
          <t>1606</t>
        </is>
      </c>
      <c r="F1022" s="27" t="n">
        <v>16</v>
      </c>
      <c r="G1022" s="27" t="n">
        <v>4</v>
      </c>
      <c r="H1022" s="27" t="n">
        <v>7400</v>
      </c>
      <c r="I1022" s="28">
        <f>G1022*H1022/1000*F1022^2/162</f>
        <v>46.77530864197531</v>
      </c>
    </row>
    <row r="1023">
      <c r="A1023" s="7" t="inlineStr">
        <is>
          <t>STR-092</t>
        </is>
      </c>
      <c r="B1023" s="7" t="inlineStr">
        <is>
          <t>Beams</t>
        </is>
      </c>
      <c r="C1023" s="7" t="inlineStr">
        <is>
          <t>Tenth floor beams (1 of 2)</t>
        </is>
      </c>
      <c r="D1023" s="7" t="inlineStr">
        <is>
          <t>F14</t>
        </is>
      </c>
      <c r="E1023" s="27" t="inlineStr">
        <is>
          <t>1607</t>
        </is>
      </c>
      <c r="F1023" s="27" t="n">
        <v>16</v>
      </c>
      <c r="G1023" s="27" t="n">
        <v>3</v>
      </c>
      <c r="H1023" s="27" t="n">
        <v>8900</v>
      </c>
      <c r="I1023" s="28">
        <f>G1023*H1023/1000*F1023^2/162</f>
        <v>42.19259259259259</v>
      </c>
    </row>
    <row r="1024">
      <c r="A1024" s="7" t="inlineStr">
        <is>
          <t>STR-092</t>
        </is>
      </c>
      <c r="B1024" s="7" t="inlineStr">
        <is>
          <t>Beams</t>
        </is>
      </c>
      <c r="C1024" s="7" t="inlineStr">
        <is>
          <t>Tenth floor beams (1 of 2)</t>
        </is>
      </c>
      <c r="D1024" s="7" t="inlineStr">
        <is>
          <t>F14</t>
        </is>
      </c>
      <c r="E1024" s="27" t="inlineStr">
        <is>
          <t>1608</t>
        </is>
      </c>
      <c r="F1024" s="27" t="n">
        <v>16</v>
      </c>
      <c r="G1024" s="27" t="n">
        <v>3</v>
      </c>
      <c r="H1024" s="27" t="n">
        <v>5600</v>
      </c>
      <c r="I1024" s="28">
        <f>G1024*H1024/1000*F1024^2/162</f>
        <v>26.54814814814815</v>
      </c>
    </row>
    <row r="1025">
      <c r="A1025" s="7" t="inlineStr">
        <is>
          <t>STR-092</t>
        </is>
      </c>
      <c r="B1025" s="7" t="inlineStr">
        <is>
          <t>Beams</t>
        </is>
      </c>
      <c r="C1025" s="7" t="inlineStr">
        <is>
          <t>Tenth floor beams (1 of 2)</t>
        </is>
      </c>
      <c r="D1025" s="7" t="inlineStr">
        <is>
          <t>F14</t>
        </is>
      </c>
      <c r="E1025" s="27" t="inlineStr">
        <is>
          <t>1609</t>
        </is>
      </c>
      <c r="F1025" s="27" t="n">
        <v>16</v>
      </c>
      <c r="G1025" s="27" t="n">
        <v>2</v>
      </c>
      <c r="H1025" s="27" t="n">
        <v>10300</v>
      </c>
      <c r="I1025" s="28">
        <f>G1025*H1025/1000*F1025^2/162</f>
        <v>32.553086419753086</v>
      </c>
    </row>
    <row r="1026">
      <c r="A1026" s="7" t="inlineStr">
        <is>
          <t>STR-092</t>
        </is>
      </c>
      <c r="B1026" s="7" t="inlineStr">
        <is>
          <t>Beams</t>
        </is>
      </c>
      <c r="C1026" s="7" t="inlineStr">
        <is>
          <t>Tenth floor beams (1 of 2)</t>
        </is>
      </c>
      <c r="D1026" s="7" t="inlineStr">
        <is>
          <t>F14</t>
        </is>
      </c>
      <c r="E1026" s="27" t="inlineStr">
        <is>
          <t>1610</t>
        </is>
      </c>
      <c r="F1026" s="27" t="n">
        <v>16</v>
      </c>
      <c r="G1026" s="27" t="n">
        <v>2</v>
      </c>
      <c r="H1026" s="27" t="n">
        <v>10850</v>
      </c>
      <c r="I1026" s="28">
        <f>G1026*H1026/1000*F1026^2/162</f>
        <v>34.291358024691355</v>
      </c>
    </row>
    <row r="1027">
      <c r="A1027" s="7" t="inlineStr">
        <is>
          <t>STR-092</t>
        </is>
      </c>
      <c r="B1027" s="7" t="inlineStr">
        <is>
          <t>Beams</t>
        </is>
      </c>
      <c r="C1027" s="7" t="inlineStr">
        <is>
          <t>Tenth floor beams (1 of 2)</t>
        </is>
      </c>
      <c r="D1027" s="7" t="inlineStr">
        <is>
          <t>F14</t>
        </is>
      </c>
      <c r="E1027" s="27" t="inlineStr">
        <is>
          <t>1611</t>
        </is>
      </c>
      <c r="F1027" s="27" t="n">
        <v>16</v>
      </c>
      <c r="G1027" s="27" t="n">
        <v>2</v>
      </c>
      <c r="H1027" s="27" t="n">
        <v>8000</v>
      </c>
      <c r="I1027" s="28">
        <f>G1027*H1027/1000*F1027^2/162</f>
        <v>25.28395061728395</v>
      </c>
    </row>
    <row r="1028">
      <c r="A1028" s="7" t="inlineStr">
        <is>
          <t>STR-092</t>
        </is>
      </c>
      <c r="B1028" s="7" t="inlineStr">
        <is>
          <t>Beams</t>
        </is>
      </c>
      <c r="C1028" s="7" t="inlineStr">
        <is>
          <t>Tenth floor beams (1 of 2)</t>
        </is>
      </c>
      <c r="D1028" s="7" t="inlineStr">
        <is>
          <t>F14</t>
        </is>
      </c>
      <c r="E1028" s="27" t="inlineStr">
        <is>
          <t>1612</t>
        </is>
      </c>
      <c r="F1028" s="27" t="n">
        <v>16</v>
      </c>
      <c r="G1028" s="27" t="n">
        <v>2</v>
      </c>
      <c r="H1028" s="27" t="n">
        <v>8875</v>
      </c>
      <c r="I1028" s="28">
        <f>G1028*H1028/1000*F1028^2/162</f>
        <v>28.049382716049383</v>
      </c>
    </row>
    <row r="1029">
      <c r="A1029" s="7" t="inlineStr">
        <is>
          <t>STR-092</t>
        </is>
      </c>
      <c r="B1029" s="7" t="inlineStr">
        <is>
          <t>Beams</t>
        </is>
      </c>
      <c r="C1029" s="7" t="inlineStr">
        <is>
          <t>Tenth floor beams (1 of 2)</t>
        </is>
      </c>
      <c r="D1029" s="7" t="inlineStr">
        <is>
          <t>F14</t>
        </is>
      </c>
      <c r="E1029" s="27" t="inlineStr">
        <is>
          <t>2001</t>
        </is>
      </c>
      <c r="F1029" s="27" t="n">
        <v>20</v>
      </c>
      <c r="G1029" s="27" t="n">
        <v>3</v>
      </c>
      <c r="H1029" s="27" t="n">
        <v>11100</v>
      </c>
      <c r="I1029" s="28">
        <f>G1029*H1029/1000*F1029^2/162</f>
        <v>82.22222222222221</v>
      </c>
    </row>
    <row r="1030">
      <c r="A1030" s="7" t="inlineStr">
        <is>
          <t>STR-092</t>
        </is>
      </c>
      <c r="B1030" s="7" t="inlineStr">
        <is>
          <t>Beams</t>
        </is>
      </c>
      <c r="C1030" s="7" t="inlineStr">
        <is>
          <t>Tenth floor beams (1 of 2)</t>
        </is>
      </c>
      <c r="D1030" s="7" t="inlineStr">
        <is>
          <t>F14</t>
        </is>
      </c>
      <c r="E1030" s="27" t="inlineStr">
        <is>
          <t>2002</t>
        </is>
      </c>
      <c r="F1030" s="27" t="n">
        <v>20</v>
      </c>
      <c r="G1030" s="27" t="n">
        <v>3</v>
      </c>
      <c r="H1030" s="27" t="n">
        <v>9300</v>
      </c>
      <c r="I1030" s="28">
        <f>G1030*H1030/1000*F1030^2/162</f>
        <v>68.88888888888889</v>
      </c>
    </row>
    <row r="1031">
      <c r="A1031" s="7" t="inlineStr">
        <is>
          <t>STR-092</t>
        </is>
      </c>
      <c r="B1031" s="7" t="inlineStr">
        <is>
          <t>Beams</t>
        </is>
      </c>
      <c r="C1031" s="7" t="inlineStr">
        <is>
          <t>Tenth floor beams (1 of 2)</t>
        </is>
      </c>
      <c r="D1031" s="7" t="inlineStr">
        <is>
          <t>F14</t>
        </is>
      </c>
      <c r="E1031" s="27" t="inlineStr">
        <is>
          <t>2003</t>
        </is>
      </c>
      <c r="F1031" s="27" t="n">
        <v>20</v>
      </c>
      <c r="G1031" s="27" t="n">
        <v>3</v>
      </c>
      <c r="H1031" s="27" t="n">
        <v>12000</v>
      </c>
      <c r="I1031" s="28">
        <f>G1031*H1031/1000*F1031^2/162</f>
        <v>88.88888888888889</v>
      </c>
    </row>
    <row r="1032">
      <c r="A1032" s="7" t="inlineStr">
        <is>
          <t>STR-092</t>
        </is>
      </c>
      <c r="B1032" s="7" t="inlineStr">
        <is>
          <t>Beams</t>
        </is>
      </c>
      <c r="C1032" s="7" t="inlineStr">
        <is>
          <t>Tenth floor beams (1 of 2)</t>
        </is>
      </c>
      <c r="D1032" s="7" t="inlineStr">
        <is>
          <t>F14</t>
        </is>
      </c>
      <c r="E1032" s="27" t="inlineStr">
        <is>
          <t>2004</t>
        </is>
      </c>
      <c r="F1032" s="27" t="n">
        <v>20</v>
      </c>
      <c r="G1032" s="27" t="n">
        <v>3</v>
      </c>
      <c r="H1032" s="27" t="n">
        <v>7000</v>
      </c>
      <c r="I1032" s="28">
        <f>G1032*H1032/1000*F1032^2/162</f>
        <v>51.851851851851855</v>
      </c>
    </row>
    <row r="1033">
      <c r="A1033" s="7" t="inlineStr">
        <is>
          <t>STR-092</t>
        </is>
      </c>
      <c r="B1033" s="7" t="inlineStr">
        <is>
          <t>Beams</t>
        </is>
      </c>
      <c r="C1033" s="7" t="inlineStr">
        <is>
          <t>Tenth floor beams (1 of 2)</t>
        </is>
      </c>
      <c r="D1033" s="7" t="inlineStr">
        <is>
          <t>F14</t>
        </is>
      </c>
      <c r="E1033" s="27" t="inlineStr">
        <is>
          <t>2005</t>
        </is>
      </c>
      <c r="F1033" s="27" t="n">
        <v>20</v>
      </c>
      <c r="G1033" s="27" t="n">
        <v>6</v>
      </c>
      <c r="H1033" s="27" t="n">
        <v>9300</v>
      </c>
      <c r="I1033" s="28">
        <f>G1033*H1033/1000*F1033^2/162</f>
        <v>137.77777777777777</v>
      </c>
    </row>
    <row r="1034">
      <c r="A1034" s="7" t="inlineStr">
        <is>
          <t>STR-092</t>
        </is>
      </c>
      <c r="B1034" s="7" t="inlineStr">
        <is>
          <t>Beams</t>
        </is>
      </c>
      <c r="C1034" s="7" t="inlineStr">
        <is>
          <t>Tenth floor beams (1 of 2)</t>
        </is>
      </c>
      <c r="D1034" s="7" t="inlineStr">
        <is>
          <t>F14</t>
        </is>
      </c>
      <c r="E1034" s="27" t="inlineStr">
        <is>
          <t>2006</t>
        </is>
      </c>
      <c r="F1034" s="27" t="n">
        <v>20</v>
      </c>
      <c r="G1034" s="27" t="n">
        <v>3</v>
      </c>
      <c r="H1034" s="27" t="n">
        <v>9000</v>
      </c>
      <c r="I1034" s="28">
        <f>G1034*H1034/1000*F1034^2/162</f>
        <v>66.66666666666667</v>
      </c>
    </row>
    <row r="1035">
      <c r="A1035" s="7" t="inlineStr">
        <is>
          <t>STR-092</t>
        </is>
      </c>
      <c r="B1035" s="7" t="inlineStr">
        <is>
          <t>Beams</t>
        </is>
      </c>
      <c r="C1035" s="7" t="inlineStr">
        <is>
          <t>Tenth floor beams (1 of 2)</t>
        </is>
      </c>
      <c r="D1035" s="7" t="inlineStr">
        <is>
          <t>F14</t>
        </is>
      </c>
      <c r="E1035" s="27" t="inlineStr">
        <is>
          <t>2007</t>
        </is>
      </c>
      <c r="F1035" s="27" t="n">
        <v>20</v>
      </c>
      <c r="G1035" s="27" t="n">
        <v>2</v>
      </c>
      <c r="H1035" s="27" t="n">
        <v>6100</v>
      </c>
      <c r="I1035" s="28">
        <f>G1035*H1035/1000*F1035^2/162</f>
        <v>30.123456790123456</v>
      </c>
    </row>
    <row r="1036">
      <c r="A1036" s="7" t="inlineStr">
        <is>
          <t>STR-092</t>
        </is>
      </c>
      <c r="B1036" s="7" t="inlineStr">
        <is>
          <t>Beams</t>
        </is>
      </c>
      <c r="C1036" s="7" t="inlineStr">
        <is>
          <t>Tenth floor beams (1 of 2)</t>
        </is>
      </c>
      <c r="D1036" s="7" t="inlineStr">
        <is>
          <t>F14</t>
        </is>
      </c>
      <c r="E1036" s="27" t="inlineStr">
        <is>
          <t>2008</t>
        </is>
      </c>
      <c r="F1036" s="27" t="n">
        <v>20</v>
      </c>
      <c r="G1036" s="27" t="n">
        <v>2</v>
      </c>
      <c r="H1036" s="27" t="n">
        <v>12000</v>
      </c>
      <c r="I1036" s="28">
        <f>G1036*H1036/1000*F1036^2/162</f>
        <v>59.25925925925926</v>
      </c>
    </row>
    <row r="1037">
      <c r="A1037" s="7" t="inlineStr">
        <is>
          <t>STR-092</t>
        </is>
      </c>
      <c r="B1037" s="7" t="inlineStr">
        <is>
          <t>Beams</t>
        </is>
      </c>
      <c r="C1037" s="7" t="inlineStr">
        <is>
          <t>Tenth floor beams (1 of 2)</t>
        </is>
      </c>
      <c r="D1037" s="7" t="inlineStr">
        <is>
          <t>F14</t>
        </is>
      </c>
      <c r="E1037" s="27" t="inlineStr">
        <is>
          <t>2009</t>
        </is>
      </c>
      <c r="F1037" s="27" t="n">
        <v>20</v>
      </c>
      <c r="G1037" s="27" t="n">
        <v>2</v>
      </c>
      <c r="H1037" s="27" t="n">
        <v>9400</v>
      </c>
      <c r="I1037" s="28">
        <f>G1037*H1037/1000*F1037^2/162</f>
        <v>46.41975308641975</v>
      </c>
    </row>
    <row r="1038">
      <c r="A1038" s="7" t="inlineStr">
        <is>
          <t>STR-092</t>
        </is>
      </c>
      <c r="B1038" s="7" t="inlineStr">
        <is>
          <t>Beams</t>
        </is>
      </c>
      <c r="C1038" s="7" t="inlineStr">
        <is>
          <t>Tenth floor beams (1 of 2)</t>
        </is>
      </c>
      <c r="D1038" s="7" t="inlineStr">
        <is>
          <t>F14</t>
        </is>
      </c>
      <c r="E1038" s="27" t="inlineStr">
        <is>
          <t>2010</t>
        </is>
      </c>
      <c r="F1038" s="27" t="n">
        <v>20</v>
      </c>
      <c r="G1038" s="27" t="n">
        <v>2</v>
      </c>
      <c r="H1038" s="27" t="n">
        <v>9100</v>
      </c>
      <c r="I1038" s="28">
        <f>G1038*H1038/1000*F1038^2/162</f>
        <v>44.93827160493827</v>
      </c>
    </row>
    <row r="1039">
      <c r="A1039" s="7" t="inlineStr">
        <is>
          <t>STR-092</t>
        </is>
      </c>
      <c r="B1039" s="7" t="inlineStr">
        <is>
          <t>Beams</t>
        </is>
      </c>
      <c r="C1039" s="7" t="inlineStr">
        <is>
          <t>Tenth floor beams (1 of 2)</t>
        </is>
      </c>
      <c r="D1039" s="7" t="inlineStr">
        <is>
          <t>F14</t>
        </is>
      </c>
      <c r="E1039" s="27" t="inlineStr">
        <is>
          <t>2501</t>
        </is>
      </c>
      <c r="F1039" s="27" t="n">
        <v>25</v>
      </c>
      <c r="G1039" s="27" t="n">
        <v>3</v>
      </c>
      <c r="H1039" s="27" t="n">
        <v>11200</v>
      </c>
      <c r="I1039" s="28">
        <f>G1039*H1039/1000*F1039^2/162</f>
        <v>129.62962962962962</v>
      </c>
    </row>
    <row r="1040">
      <c r="A1040" s="7" t="inlineStr">
        <is>
          <t>STR-092</t>
        </is>
      </c>
      <c r="B1040" s="7" t="inlineStr">
        <is>
          <t>Beams</t>
        </is>
      </c>
      <c r="C1040" s="7" t="inlineStr">
        <is>
          <t>Tenth floor beams (1 of 2)</t>
        </is>
      </c>
      <c r="D1040" s="7" t="inlineStr">
        <is>
          <t>F14</t>
        </is>
      </c>
      <c r="E1040" s="27" t="inlineStr">
        <is>
          <t>2502</t>
        </is>
      </c>
      <c r="F1040" s="27" t="n">
        <v>25</v>
      </c>
      <c r="G1040" s="27" t="n">
        <v>3</v>
      </c>
      <c r="H1040" s="27" t="n">
        <v>9400</v>
      </c>
      <c r="I1040" s="28">
        <f>G1040*H1040/1000*F1040^2/162</f>
        <v>108.79629629629629</v>
      </c>
    </row>
    <row r="1041">
      <c r="A1041" s="7" t="inlineStr">
        <is>
          <t>STR-092</t>
        </is>
      </c>
      <c r="B1041" s="7" t="inlineStr">
        <is>
          <t>Beams</t>
        </is>
      </c>
      <c r="C1041" s="7" t="inlineStr">
        <is>
          <t>Tenth floor beams (1 of 2)</t>
        </is>
      </c>
      <c r="D1041" s="7" t="inlineStr">
        <is>
          <t>F14</t>
        </is>
      </c>
      <c r="E1041" s="27" t="inlineStr">
        <is>
          <t>2503</t>
        </is>
      </c>
      <c r="F1041" s="27" t="n">
        <v>25</v>
      </c>
      <c r="G1041" s="27" t="n">
        <v>3</v>
      </c>
      <c r="H1041" s="27" t="n">
        <v>12000</v>
      </c>
      <c r="I1041" s="28">
        <f>G1041*H1041/1000*F1041^2/162</f>
        <v>138.88888888888889</v>
      </c>
    </row>
    <row r="1042">
      <c r="A1042" s="7" t="inlineStr">
        <is>
          <t>STR-092</t>
        </is>
      </c>
      <c r="B1042" s="7" t="inlineStr">
        <is>
          <t>Beams</t>
        </is>
      </c>
      <c r="C1042" s="7" t="inlineStr">
        <is>
          <t>Tenth floor beams (1 of 2)</t>
        </is>
      </c>
      <c r="D1042" s="7" t="inlineStr">
        <is>
          <t>F14</t>
        </is>
      </c>
      <c r="E1042" s="27" t="inlineStr">
        <is>
          <t>2504</t>
        </is>
      </c>
      <c r="F1042" s="27" t="n">
        <v>25</v>
      </c>
      <c r="G1042" s="27" t="n">
        <v>3</v>
      </c>
      <c r="H1042" s="27" t="n">
        <v>7100</v>
      </c>
      <c r="I1042" s="28">
        <f>G1042*H1042/1000*F1042^2/162</f>
        <v>82.17592592592592</v>
      </c>
    </row>
    <row r="1043">
      <c r="A1043" s="7" t="inlineStr">
        <is>
          <t>STR-092</t>
        </is>
      </c>
      <c r="B1043" s="7" t="inlineStr">
        <is>
          <t>Beams</t>
        </is>
      </c>
      <c r="C1043" s="7" t="inlineStr">
        <is>
          <t>Tenth floor beams (1 of 2)</t>
        </is>
      </c>
      <c r="D1043" s="7" t="inlineStr">
        <is>
          <t>F14</t>
        </is>
      </c>
      <c r="E1043" s="27" t="inlineStr">
        <is>
          <t>2505</t>
        </is>
      </c>
      <c r="F1043" s="27" t="n">
        <v>25</v>
      </c>
      <c r="G1043" s="27" t="n">
        <v>6</v>
      </c>
      <c r="H1043" s="27" t="n">
        <v>9300</v>
      </c>
      <c r="I1043" s="28">
        <f>G1043*H1043/1000*F1043^2/162</f>
        <v>215.27777777777777</v>
      </c>
    </row>
    <row r="1044">
      <c r="A1044" s="7" t="inlineStr">
        <is>
          <t>STR-092</t>
        </is>
      </c>
      <c r="B1044" s="7" t="inlineStr">
        <is>
          <t>Beams</t>
        </is>
      </c>
      <c r="C1044" s="7" t="inlineStr">
        <is>
          <t>Tenth floor beams (1 of 2)</t>
        </is>
      </c>
      <c r="D1044" s="7" t="inlineStr">
        <is>
          <t>F14</t>
        </is>
      </c>
      <c r="E1044" s="27" t="inlineStr">
        <is>
          <t>2506</t>
        </is>
      </c>
      <c r="F1044" s="27" t="n">
        <v>25</v>
      </c>
      <c r="G1044" s="27" t="n">
        <v>3</v>
      </c>
      <c r="H1044" s="27" t="n">
        <v>9100</v>
      </c>
      <c r="I1044" s="28">
        <f>G1044*H1044/1000*F1044^2/162</f>
        <v>105.32407407407408</v>
      </c>
    </row>
    <row r="1045">
      <c r="A1045" s="7" t="inlineStr">
        <is>
          <t>STR-092</t>
        </is>
      </c>
      <c r="B1045" s="7" t="inlineStr">
        <is>
          <t>Beams</t>
        </is>
      </c>
      <c r="C1045" s="7" t="inlineStr">
        <is>
          <t>Tenth floor beams (1 of 2)</t>
        </is>
      </c>
      <c r="D1045" s="7" t="inlineStr">
        <is>
          <t>F14</t>
        </is>
      </c>
      <c r="E1045" s="27" t="inlineStr">
        <is>
          <t>2507</t>
        </is>
      </c>
      <c r="F1045" s="27" t="n">
        <v>25</v>
      </c>
      <c r="G1045" s="27" t="n">
        <v>3</v>
      </c>
      <c r="H1045" s="27" t="n">
        <v>6100</v>
      </c>
      <c r="I1045" s="28">
        <f>G1045*H1045/1000*F1045^2/162</f>
        <v>70.60185185185185</v>
      </c>
    </row>
    <row r="1046">
      <c r="A1046" s="7" t="inlineStr">
        <is>
          <t>STR-092</t>
        </is>
      </c>
      <c r="B1046" s="7" t="inlineStr">
        <is>
          <t>Beams</t>
        </is>
      </c>
      <c r="C1046" s="7" t="inlineStr">
        <is>
          <t>Tenth floor beams (1 of 2)</t>
        </is>
      </c>
      <c r="D1046" s="7" t="inlineStr">
        <is>
          <t>F14</t>
        </is>
      </c>
      <c r="E1046" s="27" t="inlineStr">
        <is>
          <t>2508</t>
        </is>
      </c>
      <c r="F1046" s="27" t="n">
        <v>25</v>
      </c>
      <c r="G1046" s="27" t="n">
        <v>3</v>
      </c>
      <c r="H1046" s="27" t="n">
        <v>12000</v>
      </c>
      <c r="I1046" s="28">
        <f>G1046*H1046/1000*F1046^2/162</f>
        <v>138.88888888888889</v>
      </c>
    </row>
    <row r="1047">
      <c r="A1047" s="7" t="inlineStr">
        <is>
          <t>STR-092</t>
        </is>
      </c>
      <c r="B1047" s="7" t="inlineStr">
        <is>
          <t>Beams</t>
        </is>
      </c>
      <c r="C1047" s="7" t="inlineStr">
        <is>
          <t>Tenth floor beams (1 of 2)</t>
        </is>
      </c>
      <c r="D1047" s="7" t="inlineStr">
        <is>
          <t>F14</t>
        </is>
      </c>
      <c r="E1047" s="27" t="inlineStr">
        <is>
          <t>2509</t>
        </is>
      </c>
      <c r="F1047" s="27" t="n">
        <v>25</v>
      </c>
      <c r="G1047" s="27" t="n">
        <v>6</v>
      </c>
      <c r="H1047" s="27" t="n">
        <v>9400</v>
      </c>
      <c r="I1047" s="28">
        <f>G1047*H1047/1000*F1047^2/162</f>
        <v>217.59259259259258</v>
      </c>
    </row>
    <row r="1048">
      <c r="A1048" s="7" t="inlineStr">
        <is>
          <t>STR-092</t>
        </is>
      </c>
      <c r="B1048" s="7" t="inlineStr">
        <is>
          <t>Beams</t>
        </is>
      </c>
      <c r="C1048" s="7" t="inlineStr">
        <is>
          <t>Tenth floor beams (1 of 2)</t>
        </is>
      </c>
      <c r="D1048" s="7" t="inlineStr">
        <is>
          <t>F14</t>
        </is>
      </c>
      <c r="E1048" s="27" t="inlineStr">
        <is>
          <t>2510</t>
        </is>
      </c>
      <c r="F1048" s="27" t="n">
        <v>25</v>
      </c>
      <c r="G1048" s="27" t="n">
        <v>3</v>
      </c>
      <c r="H1048" s="27" t="n">
        <v>9100</v>
      </c>
      <c r="I1048" s="28">
        <f>G1048*H1048/1000*F1048^2/162</f>
        <v>105.32407407407408</v>
      </c>
    </row>
    <row r="1049">
      <c r="A1049" s="7" t="inlineStr">
        <is>
          <t>STR-092</t>
        </is>
      </c>
      <c r="B1049" s="7" t="inlineStr">
        <is>
          <t>Beams</t>
        </is>
      </c>
      <c r="C1049" s="7" t="inlineStr">
        <is>
          <t>Tenth floor beams (1 of 2)</t>
        </is>
      </c>
      <c r="D1049" s="7" t="inlineStr">
        <is>
          <t>F14</t>
        </is>
      </c>
      <c r="E1049" s="27" t="inlineStr">
        <is>
          <t>2511</t>
        </is>
      </c>
      <c r="F1049" s="27" t="n">
        <v>25</v>
      </c>
      <c r="G1049" s="27" t="n">
        <v>3</v>
      </c>
      <c r="H1049" s="27" t="n">
        <v>5600</v>
      </c>
      <c r="I1049" s="28">
        <f>G1049*H1049/1000*F1049^2/162</f>
        <v>64.81481481481481</v>
      </c>
    </row>
    <row r="1050">
      <c r="A1050" s="7" t="inlineStr">
        <is>
          <t>STR-092</t>
        </is>
      </c>
      <c r="B1050" s="7" t="inlineStr">
        <is>
          <t>Beams</t>
        </is>
      </c>
      <c r="C1050" s="7" t="inlineStr">
        <is>
          <t>Tenth floor beams (1 of 2)</t>
        </is>
      </c>
      <c r="D1050" s="7" t="inlineStr">
        <is>
          <t>F14</t>
        </is>
      </c>
      <c r="E1050" s="27" t="inlineStr">
        <is>
          <t>2512</t>
        </is>
      </c>
      <c r="F1050" s="27" t="n">
        <v>25</v>
      </c>
      <c r="G1050" s="27" t="n">
        <v>3</v>
      </c>
      <c r="H1050" s="27" t="n">
        <v>11550</v>
      </c>
      <c r="I1050" s="28">
        <f>G1050*H1050/1000*F1050^2/162</f>
        <v>133.68055555555554</v>
      </c>
    </row>
    <row r="1051">
      <c r="A1051" s="7" t="inlineStr">
        <is>
          <t>STR-092</t>
        </is>
      </c>
      <c r="B1051" s="7" t="inlineStr">
        <is>
          <t>Beams</t>
        </is>
      </c>
      <c r="C1051" s="7" t="inlineStr">
        <is>
          <t>Tenth floor beams (1 of 2)</t>
        </is>
      </c>
      <c r="D1051" s="7" t="inlineStr">
        <is>
          <t>F14</t>
        </is>
      </c>
      <c r="E1051" s="27" t="inlineStr">
        <is>
          <t>2513</t>
        </is>
      </c>
      <c r="F1051" s="27" t="n">
        <v>25</v>
      </c>
      <c r="G1051" s="27" t="n">
        <v>3</v>
      </c>
      <c r="H1051" s="27" t="n">
        <v>6050</v>
      </c>
      <c r="I1051" s="28">
        <f>G1051*H1051/1000*F1051^2/162</f>
        <v>70.02314814814815</v>
      </c>
    </row>
    <row r="1052">
      <c r="A1052" s="7" t="inlineStr">
        <is>
          <t>STR-092</t>
        </is>
      </c>
      <c r="B1052" s="7" t="inlineStr">
        <is>
          <t>Beams</t>
        </is>
      </c>
      <c r="C1052" s="7" t="inlineStr">
        <is>
          <t>Tenth floor beams (1 of 2)</t>
        </is>
      </c>
      <c r="D1052" s="7" t="inlineStr">
        <is>
          <t>F14</t>
        </is>
      </c>
      <c r="E1052" s="27" t="inlineStr">
        <is>
          <t>2514</t>
        </is>
      </c>
      <c r="F1052" s="27" t="n">
        <v>25</v>
      </c>
      <c r="G1052" s="27" t="n">
        <v>3</v>
      </c>
      <c r="H1052" s="27" t="n">
        <v>9000</v>
      </c>
      <c r="I1052" s="28">
        <f>G1052*H1052/1000*F1052^2/162</f>
        <v>104.16666666666667</v>
      </c>
    </row>
    <row r="1053">
      <c r="A1053" s="7" t="inlineStr">
        <is>
          <t>STR-092</t>
        </is>
      </c>
      <c r="B1053" s="7" t="inlineStr">
        <is>
          <t>Beams</t>
        </is>
      </c>
      <c r="C1053" s="7" t="inlineStr">
        <is>
          <t>Tenth floor beams (1 of 2)</t>
        </is>
      </c>
      <c r="D1053" s="7" t="inlineStr">
        <is>
          <t>F14</t>
        </is>
      </c>
      <c r="E1053" s="27" t="inlineStr">
        <is>
          <t>2515</t>
        </is>
      </c>
      <c r="F1053" s="27" t="n">
        <v>25</v>
      </c>
      <c r="G1053" s="27" t="n">
        <v>3</v>
      </c>
      <c r="H1053" s="27" t="n">
        <v>5600</v>
      </c>
      <c r="I1053" s="28">
        <f>G1053*H1053/1000*F1053^2/162</f>
        <v>64.81481481481481</v>
      </c>
    </row>
    <row r="1054">
      <c r="A1054" s="7" t="inlineStr">
        <is>
          <t>STR-092</t>
        </is>
      </c>
      <c r="B1054" s="7" t="inlineStr">
        <is>
          <t>Beams</t>
        </is>
      </c>
      <c r="C1054" s="7" t="inlineStr">
        <is>
          <t>Tenth floor beams (1 of 2)</t>
        </is>
      </c>
      <c r="D1054" s="7" t="inlineStr">
        <is>
          <t>F14</t>
        </is>
      </c>
      <c r="E1054" s="27" t="inlineStr">
        <is>
          <t>2516</t>
        </is>
      </c>
      <c r="F1054" s="27" t="n">
        <v>25</v>
      </c>
      <c r="G1054" s="27" t="n">
        <v>6</v>
      </c>
      <c r="H1054" s="27" t="n">
        <v>9150</v>
      </c>
      <c r="I1054" s="28">
        <f>G1054*H1054/1000*F1054^2/162</f>
        <v>211.80555555555554</v>
      </c>
    </row>
    <row r="1055">
      <c r="A1055" s="7" t="inlineStr">
        <is>
          <t>STR-092</t>
        </is>
      </c>
      <c r="B1055" s="7" t="inlineStr">
        <is>
          <t>Beams</t>
        </is>
      </c>
      <c r="C1055" s="7" t="inlineStr">
        <is>
          <t>Tenth floor beams (1 of 2)</t>
        </is>
      </c>
      <c r="D1055" s="7" t="inlineStr">
        <is>
          <t>F14</t>
        </is>
      </c>
      <c r="E1055" s="27" t="inlineStr">
        <is>
          <t>2517</t>
        </is>
      </c>
      <c r="F1055" s="27" t="n">
        <v>25</v>
      </c>
      <c r="G1055" s="27" t="n">
        <v>2</v>
      </c>
      <c r="H1055" s="27" t="n">
        <v>9425</v>
      </c>
      <c r="I1055" s="28">
        <f>G1055*H1055/1000*F1055^2/162</f>
        <v>72.72376543209876</v>
      </c>
    </row>
    <row r="1056">
      <c r="A1056" s="7" t="inlineStr">
        <is>
          <t>STR-092</t>
        </is>
      </c>
      <c r="B1056" s="7" t="inlineStr">
        <is>
          <t>Beams</t>
        </is>
      </c>
      <c r="C1056" s="7" t="inlineStr">
        <is>
          <t>Tenth floor beams (1 of 2)</t>
        </is>
      </c>
      <c r="D1056" s="7" t="inlineStr">
        <is>
          <t>F14</t>
        </is>
      </c>
      <c r="E1056" s="27" t="inlineStr">
        <is>
          <t>2518</t>
        </is>
      </c>
      <c r="F1056" s="27" t="n">
        <v>25</v>
      </c>
      <c r="G1056" s="27" t="n">
        <v>6</v>
      </c>
      <c r="H1056" s="27" t="n">
        <v>9325</v>
      </c>
      <c r="I1056" s="28">
        <f>G1056*H1056/1000*F1056^2/162</f>
        <v>215.8564814814815</v>
      </c>
    </row>
    <row r="1057">
      <c r="A1057" s="7" t="inlineStr">
        <is>
          <t>STR-093</t>
        </is>
      </c>
      <c r="B1057" s="7" t="inlineStr">
        <is>
          <t>Beams</t>
        </is>
      </c>
      <c r="C1057" s="7" t="inlineStr">
        <is>
          <t>Tenth floor beams (2 of 2)</t>
        </is>
      </c>
      <c r="D1057" s="7" t="inlineStr">
        <is>
          <t>F14</t>
        </is>
      </c>
      <c r="E1057" s="27" t="inlineStr">
        <is>
          <t>1001</t>
        </is>
      </c>
      <c r="F1057" s="27" t="n">
        <v>10</v>
      </c>
      <c r="G1057" s="27" t="n">
        <v>432</v>
      </c>
      <c r="H1057" s="27" t="n">
        <v>1700</v>
      </c>
      <c r="I1057" s="28">
        <f>G1057*H1057/1000*F1057^2/162</f>
        <v>453.3333333333333</v>
      </c>
    </row>
    <row r="1058">
      <c r="A1058" s="7" t="inlineStr">
        <is>
          <t>STR-093</t>
        </is>
      </c>
      <c r="B1058" s="7" t="inlineStr">
        <is>
          <t>Beams</t>
        </is>
      </c>
      <c r="C1058" s="7" t="inlineStr">
        <is>
          <t>Tenth floor beams (2 of 2)</t>
        </is>
      </c>
      <c r="D1058" s="7" t="inlineStr">
        <is>
          <t>F14</t>
        </is>
      </c>
      <c r="E1058" s="27" t="inlineStr">
        <is>
          <t>1601</t>
        </is>
      </c>
      <c r="F1058" s="27" t="n">
        <v>16</v>
      </c>
      <c r="G1058" s="27" t="n">
        <v>4</v>
      </c>
      <c r="H1058" s="27" t="n">
        <v>12000</v>
      </c>
      <c r="I1058" s="28">
        <f>G1058*H1058/1000*F1058^2/162</f>
        <v>75.85185185185185</v>
      </c>
    </row>
    <row r="1059">
      <c r="A1059" s="7" t="inlineStr">
        <is>
          <t>STR-093</t>
        </is>
      </c>
      <c r="B1059" s="7" t="inlineStr">
        <is>
          <t>Beams</t>
        </is>
      </c>
      <c r="C1059" s="7" t="inlineStr">
        <is>
          <t>Tenth floor beams (2 of 2)</t>
        </is>
      </c>
      <c r="D1059" s="7" t="inlineStr">
        <is>
          <t>F14</t>
        </is>
      </c>
      <c r="E1059" s="27" t="inlineStr">
        <is>
          <t>1602</t>
        </is>
      </c>
      <c r="F1059" s="27" t="n">
        <v>16</v>
      </c>
      <c r="G1059" s="27" t="n">
        <v>3</v>
      </c>
      <c r="H1059" s="27" t="n">
        <v>11550</v>
      </c>
      <c r="I1059" s="28">
        <f>G1059*H1059/1000*F1059^2/162</f>
        <v>54.75555555555555</v>
      </c>
    </row>
    <row r="1060">
      <c r="A1060" s="7" t="inlineStr">
        <is>
          <t>STR-093</t>
        </is>
      </c>
      <c r="B1060" s="7" t="inlineStr">
        <is>
          <t>Beams</t>
        </is>
      </c>
      <c r="C1060" s="7" t="inlineStr">
        <is>
          <t>Tenth floor beams (2 of 2)</t>
        </is>
      </c>
      <c r="D1060" s="7" t="inlineStr">
        <is>
          <t>F14</t>
        </is>
      </c>
      <c r="E1060" s="27" t="inlineStr">
        <is>
          <t>1603</t>
        </is>
      </c>
      <c r="F1060" s="27" t="n">
        <v>16</v>
      </c>
      <c r="G1060" s="27" t="n">
        <v>3</v>
      </c>
      <c r="H1060" s="27" t="n">
        <v>6450</v>
      </c>
      <c r="I1060" s="28">
        <f>G1060*H1060/1000*F1060^2/162</f>
        <v>30.57777777777778</v>
      </c>
    </row>
    <row r="1061">
      <c r="A1061" s="7" t="inlineStr">
        <is>
          <t>STR-093</t>
        </is>
      </c>
      <c r="B1061" s="7" t="inlineStr">
        <is>
          <t>Beams</t>
        </is>
      </c>
      <c r="C1061" s="7" t="inlineStr">
        <is>
          <t>Tenth floor beams (2 of 2)</t>
        </is>
      </c>
      <c r="D1061" s="7" t="inlineStr">
        <is>
          <t>F14</t>
        </is>
      </c>
      <c r="E1061" s="27" t="inlineStr">
        <is>
          <t>1604</t>
        </is>
      </c>
      <c r="F1061" s="27" t="n">
        <v>16</v>
      </c>
      <c r="G1061" s="27" t="n">
        <v>3</v>
      </c>
      <c r="H1061" s="27" t="n">
        <v>7600</v>
      </c>
      <c r="I1061" s="28">
        <f>G1061*H1061/1000*F1061^2/162</f>
        <v>36.02962962962963</v>
      </c>
    </row>
    <row r="1062">
      <c r="A1062" s="7" t="inlineStr">
        <is>
          <t>STR-093</t>
        </is>
      </c>
      <c r="B1062" s="7" t="inlineStr">
        <is>
          <t>Beams</t>
        </is>
      </c>
      <c r="C1062" s="7" t="inlineStr">
        <is>
          <t>Tenth floor beams (2 of 2)</t>
        </is>
      </c>
      <c r="D1062" s="7" t="inlineStr">
        <is>
          <t>F14</t>
        </is>
      </c>
      <c r="E1062" s="27" t="inlineStr">
        <is>
          <t>1605</t>
        </is>
      </c>
      <c r="F1062" s="27" t="n">
        <v>16</v>
      </c>
      <c r="G1062" s="27" t="n">
        <v>2</v>
      </c>
      <c r="H1062" s="27" t="n">
        <v>11100</v>
      </c>
      <c r="I1062" s="28">
        <f>G1062*H1062/1000*F1062^2/162</f>
        <v>35.08148148148148</v>
      </c>
    </row>
    <row r="1063">
      <c r="A1063" s="7" t="inlineStr">
        <is>
          <t>STR-093</t>
        </is>
      </c>
      <c r="B1063" s="7" t="inlineStr">
        <is>
          <t>Beams</t>
        </is>
      </c>
      <c r="C1063" s="7" t="inlineStr">
        <is>
          <t>Tenth floor beams (2 of 2)</t>
        </is>
      </c>
      <c r="D1063" s="7" t="inlineStr">
        <is>
          <t>F14</t>
        </is>
      </c>
      <c r="E1063" s="27" t="inlineStr">
        <is>
          <t>1606</t>
        </is>
      </c>
      <c r="F1063" s="27" t="n">
        <v>16</v>
      </c>
      <c r="G1063" s="27" t="n">
        <v>2</v>
      </c>
      <c r="H1063" s="27" t="n">
        <v>11800</v>
      </c>
      <c r="I1063" s="28">
        <f>G1063*H1063/1000*F1063^2/162</f>
        <v>37.29382716049383</v>
      </c>
    </row>
    <row r="1064">
      <c r="A1064" s="7" t="inlineStr">
        <is>
          <t>STR-093</t>
        </is>
      </c>
      <c r="B1064" s="7" t="inlineStr">
        <is>
          <t>Beams</t>
        </is>
      </c>
      <c r="C1064" s="7" t="inlineStr">
        <is>
          <t>Tenth floor beams (2 of 2)</t>
        </is>
      </c>
      <c r="D1064" s="7" t="inlineStr">
        <is>
          <t>F14</t>
        </is>
      </c>
      <c r="E1064" s="27" t="inlineStr">
        <is>
          <t>1607</t>
        </is>
      </c>
      <c r="F1064" s="27" t="n">
        <v>16</v>
      </c>
      <c r="G1064" s="27" t="n">
        <v>3</v>
      </c>
      <c r="H1064" s="27" t="n">
        <v>9000</v>
      </c>
      <c r="I1064" s="28">
        <f>G1064*H1064/1000*F1064^2/162</f>
        <v>42.666666666666664</v>
      </c>
    </row>
    <row r="1065">
      <c r="A1065" s="7" t="inlineStr">
        <is>
          <t>STR-093</t>
        </is>
      </c>
      <c r="B1065" s="7" t="inlineStr">
        <is>
          <t>Beams</t>
        </is>
      </c>
      <c r="C1065" s="7" t="inlineStr">
        <is>
          <t>Tenth floor beams (2 of 2)</t>
        </is>
      </c>
      <c r="D1065" s="7" t="inlineStr">
        <is>
          <t>F14</t>
        </is>
      </c>
      <c r="E1065" s="27" t="inlineStr">
        <is>
          <t>1608</t>
        </is>
      </c>
      <c r="F1065" s="27" t="n">
        <v>16</v>
      </c>
      <c r="G1065" s="27" t="n">
        <v>3</v>
      </c>
      <c r="H1065" s="27" t="n">
        <v>8800</v>
      </c>
      <c r="I1065" s="28">
        <f>G1065*H1065/1000*F1065^2/162</f>
        <v>41.718518518518515</v>
      </c>
    </row>
    <row r="1066">
      <c r="A1066" s="7" t="inlineStr">
        <is>
          <t>STR-093</t>
        </is>
      </c>
      <c r="B1066" s="7" t="inlineStr">
        <is>
          <t>Beams</t>
        </is>
      </c>
      <c r="C1066" s="7" t="inlineStr">
        <is>
          <t>Tenth floor beams (2 of 2)</t>
        </is>
      </c>
      <c r="D1066" s="7" t="inlineStr">
        <is>
          <t>F14</t>
        </is>
      </c>
      <c r="E1066" s="27" t="inlineStr">
        <is>
          <t>1609</t>
        </is>
      </c>
      <c r="F1066" s="27" t="n">
        <v>16</v>
      </c>
      <c r="G1066" s="27" t="n">
        <v>2</v>
      </c>
      <c r="H1066" s="27" t="n">
        <v>7900</v>
      </c>
      <c r="I1066" s="28">
        <f>G1066*H1066/1000*F1066^2/162</f>
        <v>24.967901234567904</v>
      </c>
    </row>
    <row r="1067">
      <c r="A1067" s="7" t="inlineStr">
        <is>
          <t>STR-093</t>
        </is>
      </c>
      <c r="B1067" s="7" t="inlineStr">
        <is>
          <t>Beams</t>
        </is>
      </c>
      <c r="C1067" s="7" t="inlineStr">
        <is>
          <t>Tenth floor beams (2 of 2)</t>
        </is>
      </c>
      <c r="D1067" s="7" t="inlineStr">
        <is>
          <t>F14</t>
        </is>
      </c>
      <c r="E1067" s="27" t="inlineStr">
        <is>
          <t>1610</t>
        </is>
      </c>
      <c r="F1067" s="27" t="n">
        <v>16</v>
      </c>
      <c r="G1067" s="27" t="n">
        <v>6</v>
      </c>
      <c r="H1067" s="27" t="n">
        <v>3350</v>
      </c>
      <c r="I1067" s="28">
        <f>G1067*H1067/1000*F1067^2/162</f>
        <v>31.762962962962966</v>
      </c>
    </row>
    <row r="1068">
      <c r="A1068" s="7" t="inlineStr">
        <is>
          <t>STR-093</t>
        </is>
      </c>
      <c r="B1068" s="7" t="inlineStr">
        <is>
          <t>Beams</t>
        </is>
      </c>
      <c r="C1068" s="7" t="inlineStr">
        <is>
          <t>Tenth floor beams (2 of 2)</t>
        </is>
      </c>
      <c r="D1068" s="7" t="inlineStr">
        <is>
          <t>F14</t>
        </is>
      </c>
      <c r="E1068" s="27" t="inlineStr">
        <is>
          <t>1611</t>
        </is>
      </c>
      <c r="F1068" s="27" t="n">
        <v>16</v>
      </c>
      <c r="G1068" s="27" t="n">
        <v>2</v>
      </c>
      <c r="H1068" s="27" t="n">
        <v>2400</v>
      </c>
      <c r="I1068" s="28">
        <f>G1068*H1068/1000*F1068^2/162</f>
        <v>7.585185185185185</v>
      </c>
    </row>
    <row r="1069">
      <c r="A1069" s="7" t="inlineStr">
        <is>
          <t>STR-093</t>
        </is>
      </c>
      <c r="B1069" s="7" t="inlineStr">
        <is>
          <t>Beams</t>
        </is>
      </c>
      <c r="C1069" s="7" t="inlineStr">
        <is>
          <t>Tenth floor beams (2 of 2)</t>
        </is>
      </c>
      <c r="D1069" s="7" t="inlineStr">
        <is>
          <t>F14</t>
        </is>
      </c>
      <c r="E1069" s="27" t="inlineStr">
        <is>
          <t>1612</t>
        </is>
      </c>
      <c r="F1069" s="27" t="n">
        <v>16</v>
      </c>
      <c r="G1069" s="27" t="n">
        <v>3</v>
      </c>
      <c r="H1069" s="27" t="n">
        <v>11550</v>
      </c>
      <c r="I1069" s="28">
        <f>G1069*H1069/1000*F1069^2/162</f>
        <v>54.75555555555555</v>
      </c>
    </row>
    <row r="1070">
      <c r="A1070" s="7" t="inlineStr">
        <is>
          <t>STR-093</t>
        </is>
      </c>
      <c r="B1070" s="7" t="inlineStr">
        <is>
          <t>Beams</t>
        </is>
      </c>
      <c r="C1070" s="7" t="inlineStr">
        <is>
          <t>Tenth floor beams (2 of 2)</t>
        </is>
      </c>
      <c r="D1070" s="7" t="inlineStr">
        <is>
          <t>F14</t>
        </is>
      </c>
      <c r="E1070" s="27" t="inlineStr">
        <is>
          <t>1613</t>
        </is>
      </c>
      <c r="F1070" s="27" t="n">
        <v>16</v>
      </c>
      <c r="G1070" s="27" t="n">
        <v>3</v>
      </c>
      <c r="H1070" s="27" t="n">
        <v>9800</v>
      </c>
      <c r="I1070" s="28">
        <f>G1070*H1070/1000*F1070^2/162</f>
        <v>46.459259259259255</v>
      </c>
    </row>
    <row r="1071">
      <c r="A1071" s="7" t="inlineStr">
        <is>
          <t>STR-093</t>
        </is>
      </c>
      <c r="B1071" s="7" t="inlineStr">
        <is>
          <t>Beams</t>
        </is>
      </c>
      <c r="C1071" s="7" t="inlineStr">
        <is>
          <t>Tenth floor beams (2 of 2)</t>
        </is>
      </c>
      <c r="D1071" s="7" t="inlineStr">
        <is>
          <t>F14</t>
        </is>
      </c>
      <c r="E1071" s="27" t="inlineStr">
        <is>
          <t>1614</t>
        </is>
      </c>
      <c r="F1071" s="27" t="n">
        <v>16</v>
      </c>
      <c r="G1071" s="27" t="n">
        <v>2</v>
      </c>
      <c r="H1071" s="27" t="n">
        <v>10100</v>
      </c>
      <c r="I1071" s="28">
        <f>G1071*H1071/1000*F1071^2/162</f>
        <v>31.920987654320985</v>
      </c>
    </row>
    <row r="1072">
      <c r="A1072" s="7" t="inlineStr">
        <is>
          <t>STR-093</t>
        </is>
      </c>
      <c r="B1072" s="7" t="inlineStr">
        <is>
          <t>Beams</t>
        </is>
      </c>
      <c r="C1072" s="7" t="inlineStr">
        <is>
          <t>Tenth floor beams (2 of 2)</t>
        </is>
      </c>
      <c r="D1072" s="7" t="inlineStr">
        <is>
          <t>F14</t>
        </is>
      </c>
      <c r="E1072" s="27" t="inlineStr">
        <is>
          <t>1615</t>
        </is>
      </c>
      <c r="F1072" s="27" t="n">
        <v>16</v>
      </c>
      <c r="G1072" s="27" t="n">
        <v>2</v>
      </c>
      <c r="H1072" s="27" t="n">
        <v>9050</v>
      </c>
      <c r="I1072" s="28">
        <f>G1072*H1072/1000*F1072^2/162</f>
        <v>28.602469135802473</v>
      </c>
    </row>
    <row r="1073">
      <c r="A1073" s="7" t="inlineStr">
        <is>
          <t>STR-093</t>
        </is>
      </c>
      <c r="B1073" s="7" t="inlineStr">
        <is>
          <t>Beams</t>
        </is>
      </c>
      <c r="C1073" s="7" t="inlineStr">
        <is>
          <t>Tenth floor beams (2 of 2)</t>
        </is>
      </c>
      <c r="D1073" s="7" t="inlineStr">
        <is>
          <t>F14</t>
        </is>
      </c>
      <c r="E1073" s="27" t="inlineStr">
        <is>
          <t>2001</t>
        </is>
      </c>
      <c r="F1073" s="27" t="n">
        <v>20</v>
      </c>
      <c r="G1073" s="27" t="n">
        <v>6</v>
      </c>
      <c r="H1073" s="27" t="n">
        <v>9000</v>
      </c>
      <c r="I1073" s="28">
        <f>G1073*H1073/1000*F1073^2/162</f>
        <v>133.33333333333334</v>
      </c>
    </row>
    <row r="1074">
      <c r="A1074" s="7" t="inlineStr">
        <is>
          <t>STR-093</t>
        </is>
      </c>
      <c r="B1074" s="7" t="inlineStr">
        <is>
          <t>Beams</t>
        </is>
      </c>
      <c r="C1074" s="7" t="inlineStr">
        <is>
          <t>Tenth floor beams (2 of 2)</t>
        </is>
      </c>
      <c r="D1074" s="7" t="inlineStr">
        <is>
          <t>F14</t>
        </is>
      </c>
      <c r="E1074" s="27" t="inlineStr">
        <is>
          <t>2501</t>
        </is>
      </c>
      <c r="F1074" s="27" t="n">
        <v>25</v>
      </c>
      <c r="G1074" s="27" t="n">
        <v>3</v>
      </c>
      <c r="H1074" s="27" t="n">
        <v>5850</v>
      </c>
      <c r="I1074" s="28">
        <f>G1074*H1074/1000*F1074^2/162</f>
        <v>67.70833333333333</v>
      </c>
    </row>
    <row r="1075">
      <c r="A1075" s="7" t="inlineStr">
        <is>
          <t>STR-093</t>
        </is>
      </c>
      <c r="B1075" s="7" t="inlineStr">
        <is>
          <t>Beams</t>
        </is>
      </c>
      <c r="C1075" s="7" t="inlineStr">
        <is>
          <t>Tenth floor beams (2 of 2)</t>
        </is>
      </c>
      <c r="D1075" s="7" t="inlineStr">
        <is>
          <t>F14</t>
        </is>
      </c>
      <c r="E1075" s="27" t="inlineStr">
        <is>
          <t>2502</t>
        </is>
      </c>
      <c r="F1075" s="27" t="n">
        <v>25</v>
      </c>
      <c r="G1075" s="27" t="n">
        <v>3</v>
      </c>
      <c r="H1075" s="27" t="n">
        <v>8000</v>
      </c>
      <c r="I1075" s="28">
        <f>G1075*H1075/1000*F1075^2/162</f>
        <v>92.5925925925926</v>
      </c>
    </row>
    <row r="1076">
      <c r="A1076" s="7" t="inlineStr">
        <is>
          <t>STR-093</t>
        </is>
      </c>
      <c r="B1076" s="7" t="inlineStr">
        <is>
          <t>Beams</t>
        </is>
      </c>
      <c r="C1076" s="7" t="inlineStr">
        <is>
          <t>Tenth floor beams (2 of 2)</t>
        </is>
      </c>
      <c r="D1076" s="7" t="inlineStr">
        <is>
          <t>F14</t>
        </is>
      </c>
      <c r="E1076" s="27" t="inlineStr">
        <is>
          <t>2503</t>
        </is>
      </c>
      <c r="F1076" s="27" t="n">
        <v>25</v>
      </c>
      <c r="G1076" s="27" t="n">
        <v>3</v>
      </c>
      <c r="H1076" s="27" t="n">
        <v>8700</v>
      </c>
      <c r="I1076" s="28">
        <f>G1076*H1076/1000*F1076^2/162</f>
        <v>100.69444444444444</v>
      </c>
    </row>
    <row r="1077">
      <c r="A1077" s="7" t="inlineStr">
        <is>
          <t>STR-093</t>
        </is>
      </c>
      <c r="B1077" s="7" t="inlineStr">
        <is>
          <t>Beams</t>
        </is>
      </c>
      <c r="C1077" s="7" t="inlineStr">
        <is>
          <t>Tenth floor beams (2 of 2)</t>
        </is>
      </c>
      <c r="D1077" s="7" t="inlineStr">
        <is>
          <t>F14</t>
        </is>
      </c>
      <c r="E1077" s="27" t="inlineStr">
        <is>
          <t>2504</t>
        </is>
      </c>
      <c r="F1077" s="27" t="n">
        <v>25</v>
      </c>
      <c r="G1077" s="27" t="n">
        <v>3</v>
      </c>
      <c r="H1077" s="27" t="n">
        <v>5900</v>
      </c>
      <c r="I1077" s="28">
        <f>G1077*H1077/1000*F1077^2/162</f>
        <v>68.28703703703704</v>
      </c>
    </row>
    <row r="1078">
      <c r="A1078" s="7" t="inlineStr">
        <is>
          <t>STR-093</t>
        </is>
      </c>
      <c r="B1078" s="7" t="inlineStr">
        <is>
          <t>Beams</t>
        </is>
      </c>
      <c r="C1078" s="7" t="inlineStr">
        <is>
          <t>Tenth floor beams (2 of 2)</t>
        </is>
      </c>
      <c r="D1078" s="7" t="inlineStr">
        <is>
          <t>F14</t>
        </is>
      </c>
      <c r="E1078" s="27" t="inlineStr">
        <is>
          <t>2505</t>
        </is>
      </c>
      <c r="F1078" s="27" t="n">
        <v>25</v>
      </c>
      <c r="G1078" s="27" t="n">
        <v>3</v>
      </c>
      <c r="H1078" s="27" t="n">
        <v>7750</v>
      </c>
      <c r="I1078" s="28">
        <f>G1078*H1078/1000*F1078^2/162</f>
        <v>89.69907407407408</v>
      </c>
    </row>
    <row r="1079">
      <c r="A1079" s="7" t="inlineStr">
        <is>
          <t>STR-093</t>
        </is>
      </c>
      <c r="B1079" s="7" t="inlineStr">
        <is>
          <t>Beams</t>
        </is>
      </c>
      <c r="C1079" s="7" t="inlineStr">
        <is>
          <t>Tenth floor beams (2 of 2)</t>
        </is>
      </c>
      <c r="D1079" s="7" t="inlineStr">
        <is>
          <t>F14</t>
        </is>
      </c>
      <c r="E1079" s="27" t="inlineStr">
        <is>
          <t>2506</t>
        </is>
      </c>
      <c r="F1079" s="27" t="n">
        <v>25</v>
      </c>
      <c r="G1079" s="27" t="n">
        <v>3</v>
      </c>
      <c r="H1079" s="27" t="n">
        <v>6500</v>
      </c>
      <c r="I1079" s="28">
        <f>G1079*H1079/1000*F1079^2/162</f>
        <v>75.23148148148148</v>
      </c>
    </row>
    <row r="1080">
      <c r="A1080" s="7" t="inlineStr">
        <is>
          <t>STR-093</t>
        </is>
      </c>
      <c r="B1080" s="7" t="inlineStr">
        <is>
          <t>Beams</t>
        </is>
      </c>
      <c r="C1080" s="7" t="inlineStr">
        <is>
          <t>Tenth floor beams (2 of 2)</t>
        </is>
      </c>
      <c r="D1080" s="7" t="inlineStr">
        <is>
          <t>F14</t>
        </is>
      </c>
      <c r="E1080" s="27" t="inlineStr">
        <is>
          <t>2507</t>
        </is>
      </c>
      <c r="F1080" s="27" t="n">
        <v>25</v>
      </c>
      <c r="G1080" s="27" t="n">
        <v>3</v>
      </c>
      <c r="H1080" s="27" t="n">
        <v>9850</v>
      </c>
      <c r="I1080" s="28">
        <f>G1080*H1080/1000*F1080^2/162</f>
        <v>114.00462962962963</v>
      </c>
    </row>
    <row r="1081">
      <c r="A1081" s="7" t="inlineStr">
        <is>
          <t>STR-093</t>
        </is>
      </c>
      <c r="B1081" s="7" t="inlineStr">
        <is>
          <t>Beams</t>
        </is>
      </c>
      <c r="C1081" s="7" t="inlineStr">
        <is>
          <t>Tenth floor beams (2 of 2)</t>
        </is>
      </c>
      <c r="D1081" s="7" t="inlineStr">
        <is>
          <t>F14</t>
        </is>
      </c>
      <c r="E1081" s="27" t="inlineStr">
        <is>
          <t>2508</t>
        </is>
      </c>
      <c r="F1081" s="27" t="n">
        <v>25</v>
      </c>
      <c r="G1081" s="27" t="n">
        <v>3</v>
      </c>
      <c r="H1081" s="27" t="n">
        <v>11650</v>
      </c>
      <c r="I1081" s="28">
        <f>G1081*H1081/1000*F1081^2/162</f>
        <v>134.83796296296296</v>
      </c>
    </row>
    <row r="1082">
      <c r="A1082" s="7" t="inlineStr">
        <is>
          <t>STR-093</t>
        </is>
      </c>
      <c r="B1082" s="7" t="inlineStr">
        <is>
          <t>Beams</t>
        </is>
      </c>
      <c r="C1082" s="7" t="inlineStr">
        <is>
          <t>Tenth floor beams (2 of 2)</t>
        </is>
      </c>
      <c r="D1082" s="7" t="inlineStr">
        <is>
          <t>F14</t>
        </is>
      </c>
      <c r="E1082" s="27" t="inlineStr">
        <is>
          <t>2509</t>
        </is>
      </c>
      <c r="F1082" s="27" t="n">
        <v>25</v>
      </c>
      <c r="G1082" s="27" t="n">
        <v>3</v>
      </c>
      <c r="H1082" s="27" t="n">
        <v>6450</v>
      </c>
      <c r="I1082" s="28">
        <f>G1082*H1082/1000*F1082^2/162</f>
        <v>74.65277777777777</v>
      </c>
    </row>
    <row r="1083">
      <c r="A1083" s="7" t="inlineStr">
        <is>
          <t>STR-093</t>
        </is>
      </c>
      <c r="B1083" s="7" t="inlineStr">
        <is>
          <t>Beams</t>
        </is>
      </c>
      <c r="C1083" s="7" t="inlineStr">
        <is>
          <t>Tenth floor beams (2 of 2)</t>
        </is>
      </c>
      <c r="D1083" s="7" t="inlineStr">
        <is>
          <t>F14</t>
        </is>
      </c>
      <c r="E1083" s="27" t="inlineStr">
        <is>
          <t>2510</t>
        </is>
      </c>
      <c r="F1083" s="27" t="n">
        <v>25</v>
      </c>
      <c r="G1083" s="27" t="n">
        <v>3</v>
      </c>
      <c r="H1083" s="27" t="n">
        <v>7700</v>
      </c>
      <c r="I1083" s="28">
        <f>G1083*H1083/1000*F1083^2/162</f>
        <v>89.12037037037037</v>
      </c>
    </row>
    <row r="1084">
      <c r="A1084" s="7" t="inlineStr">
        <is>
          <t>STR-093</t>
        </is>
      </c>
      <c r="B1084" s="7" t="inlineStr">
        <is>
          <t>Beams</t>
        </is>
      </c>
      <c r="C1084" s="7" t="inlineStr">
        <is>
          <t>Tenth floor beams (2 of 2)</t>
        </is>
      </c>
      <c r="D1084" s="7" t="inlineStr">
        <is>
          <t>F14</t>
        </is>
      </c>
      <c r="E1084" s="27" t="inlineStr">
        <is>
          <t>2511</t>
        </is>
      </c>
      <c r="F1084" s="27" t="n">
        <v>25</v>
      </c>
      <c r="G1084" s="27" t="n">
        <v>6</v>
      </c>
      <c r="H1084" s="27" t="n">
        <v>3550</v>
      </c>
      <c r="I1084" s="28">
        <f>G1084*H1084/1000*F1084^2/162</f>
        <v>82.17592592592592</v>
      </c>
    </row>
    <row r="1085">
      <c r="A1085" s="7" t="inlineStr">
        <is>
          <t>STR-093</t>
        </is>
      </c>
      <c r="B1085" s="7" t="inlineStr">
        <is>
          <t>Beams</t>
        </is>
      </c>
      <c r="C1085" s="7" t="inlineStr">
        <is>
          <t>Tenth floor beams (2 of 2)</t>
        </is>
      </c>
      <c r="D1085" s="7" t="inlineStr">
        <is>
          <t>F14</t>
        </is>
      </c>
      <c r="E1085" s="27" t="inlineStr">
        <is>
          <t>2512</t>
        </is>
      </c>
      <c r="F1085" s="27" t="n">
        <v>25</v>
      </c>
      <c r="G1085" s="27" t="n">
        <v>3</v>
      </c>
      <c r="H1085" s="27" t="n">
        <v>7750</v>
      </c>
      <c r="I1085" s="28">
        <f>G1085*H1085/1000*F1085^2/162</f>
        <v>89.69907407407408</v>
      </c>
    </row>
    <row r="1086">
      <c r="A1086" s="7" t="inlineStr">
        <is>
          <t>STR-093</t>
        </is>
      </c>
      <c r="B1086" s="7" t="inlineStr">
        <is>
          <t>Beams</t>
        </is>
      </c>
      <c r="C1086" s="7" t="inlineStr">
        <is>
          <t>Tenth floor beams (2 of 2)</t>
        </is>
      </c>
      <c r="D1086" s="7" t="inlineStr">
        <is>
          <t>F14</t>
        </is>
      </c>
      <c r="E1086" s="27" t="inlineStr">
        <is>
          <t>2513</t>
        </is>
      </c>
      <c r="F1086" s="27" t="n">
        <v>25</v>
      </c>
      <c r="G1086" s="27" t="n">
        <v>6</v>
      </c>
      <c r="H1086" s="27" t="n">
        <v>6350</v>
      </c>
      <c r="I1086" s="28">
        <f>G1086*H1086/1000*F1086^2/162</f>
        <v>146.99074074074073</v>
      </c>
    </row>
    <row r="1087">
      <c r="A1087" s="7" t="inlineStr">
        <is>
          <t>STR-093</t>
        </is>
      </c>
      <c r="B1087" s="7" t="inlineStr">
        <is>
          <t>Beams</t>
        </is>
      </c>
      <c r="C1087" s="7" t="inlineStr">
        <is>
          <t>Tenth floor beams (2 of 2)</t>
        </is>
      </c>
      <c r="D1087" s="7" t="inlineStr">
        <is>
          <t>F14</t>
        </is>
      </c>
      <c r="E1087" s="27" t="inlineStr">
        <is>
          <t>2514</t>
        </is>
      </c>
      <c r="F1087" s="27" t="n">
        <v>25</v>
      </c>
      <c r="G1087" s="27" t="n">
        <v>3</v>
      </c>
      <c r="H1087" s="27" t="n">
        <v>10450</v>
      </c>
      <c r="I1087" s="28">
        <f>G1087*H1087/1000*F1087^2/162</f>
        <v>120.94907407407408</v>
      </c>
    </row>
    <row r="1088">
      <c r="A1088" s="7" t="inlineStr">
        <is>
          <t>STR-093</t>
        </is>
      </c>
      <c r="B1088" s="7" t="inlineStr">
        <is>
          <t>Beams</t>
        </is>
      </c>
      <c r="C1088" s="7" t="inlineStr">
        <is>
          <t>Tenth floor beams (2 of 2)</t>
        </is>
      </c>
      <c r="D1088" s="7" t="inlineStr">
        <is>
          <t>F14</t>
        </is>
      </c>
      <c r="E1088" s="27" t="inlineStr">
        <is>
          <t>2515</t>
        </is>
      </c>
      <c r="F1088" s="27" t="n">
        <v>25</v>
      </c>
      <c r="G1088" s="27" t="n">
        <v>3</v>
      </c>
      <c r="H1088" s="27" t="n">
        <v>11200</v>
      </c>
      <c r="I1088" s="28">
        <f>G1088*H1088/1000*F1088^2/162</f>
        <v>129.62962962962962</v>
      </c>
    </row>
    <row r="1089">
      <c r="A1089" s="7" t="inlineStr">
        <is>
          <t>STR-093</t>
        </is>
      </c>
      <c r="B1089" s="7" t="inlineStr">
        <is>
          <t>Beams</t>
        </is>
      </c>
      <c r="C1089" s="7" t="inlineStr">
        <is>
          <t>Tenth floor beams (2 of 2)</t>
        </is>
      </c>
      <c r="D1089" s="7" t="inlineStr">
        <is>
          <t>F14</t>
        </is>
      </c>
      <c r="E1089" s="27" t="inlineStr">
        <is>
          <t>2516</t>
        </is>
      </c>
      <c r="F1089" s="27" t="n">
        <v>25</v>
      </c>
      <c r="G1089" s="27" t="n">
        <v>3</v>
      </c>
      <c r="H1089" s="27" t="n">
        <v>8275</v>
      </c>
      <c r="I1089" s="28">
        <f>G1089*H1089/1000*F1089^2/162</f>
        <v>95.77546296296296</v>
      </c>
    </row>
    <row r="1090">
      <c r="A1090" s="7" t="inlineStr">
        <is>
          <t>STR-093</t>
        </is>
      </c>
      <c r="B1090" s="7" t="inlineStr">
        <is>
          <t>Beams</t>
        </is>
      </c>
      <c r="C1090" s="7" t="inlineStr">
        <is>
          <t>Tenth floor beams (2 of 2)</t>
        </is>
      </c>
      <c r="D1090" s="7" t="inlineStr">
        <is>
          <t>F14</t>
        </is>
      </c>
      <c r="E1090" s="27" t="inlineStr">
        <is>
          <t>2517</t>
        </is>
      </c>
      <c r="F1090" s="27" t="n">
        <v>25</v>
      </c>
      <c r="G1090" s="27" t="n">
        <v>6</v>
      </c>
      <c r="H1090" s="27" t="n">
        <v>10150</v>
      </c>
      <c r="I1090" s="28">
        <f>G1090*H1090/1000*F1090^2/162</f>
        <v>234.9537037037037</v>
      </c>
    </row>
    <row r="1091">
      <c r="A1091" s="7" t="inlineStr">
        <is>
          <t>STR-094</t>
        </is>
      </c>
      <c r="B1091" s="7" t="inlineStr">
        <is>
          <t>Floor Slabs</t>
        </is>
      </c>
      <c r="C1091" s="7" t="inlineStr">
        <is>
          <t>Tenth floor slab - bottom</t>
        </is>
      </c>
      <c r="D1091" s="7" t="inlineStr">
        <is>
          <t>F14</t>
        </is>
      </c>
      <c r="E1091" s="27" t="inlineStr">
        <is>
          <t>1201</t>
        </is>
      </c>
      <c r="F1091" s="27" t="n">
        <v>12</v>
      </c>
      <c r="G1091" s="27" t="n">
        <v>116</v>
      </c>
      <c r="H1091" s="27" t="n">
        <v>9650</v>
      </c>
      <c r="I1091" s="28">
        <f>G1091*H1091/1000*F1091^2/162</f>
        <v>995.0222222222222</v>
      </c>
    </row>
    <row r="1092">
      <c r="A1092" s="7" t="inlineStr">
        <is>
          <t>STR-094</t>
        </is>
      </c>
      <c r="B1092" s="7" t="inlineStr">
        <is>
          <t>Floor Slabs</t>
        </is>
      </c>
      <c r="C1092" s="7" t="inlineStr">
        <is>
          <t>Tenth floor slab - bottom</t>
        </is>
      </c>
      <c r="D1092" s="7" t="inlineStr">
        <is>
          <t>F14</t>
        </is>
      </c>
      <c r="E1092" s="27" t="inlineStr">
        <is>
          <t>1202</t>
        </is>
      </c>
      <c r="F1092" s="27" t="n">
        <v>12</v>
      </c>
      <c r="G1092" s="27" t="n">
        <v>148</v>
      </c>
      <c r="H1092" s="27" t="n">
        <v>5400</v>
      </c>
      <c r="I1092" s="28">
        <f>G1092*H1092/1000*F1092^2/162</f>
        <v>710.4</v>
      </c>
    </row>
    <row r="1093">
      <c r="A1093" s="7" t="inlineStr">
        <is>
          <t>STR-094</t>
        </is>
      </c>
      <c r="B1093" s="7" t="inlineStr">
        <is>
          <t>Floor Slabs</t>
        </is>
      </c>
      <c r="C1093" s="7" t="inlineStr">
        <is>
          <t>Tenth floor slab - bottom</t>
        </is>
      </c>
      <c r="D1093" s="7" t="inlineStr">
        <is>
          <t>F14</t>
        </is>
      </c>
      <c r="E1093" s="27" t="inlineStr">
        <is>
          <t>1203</t>
        </is>
      </c>
      <c r="F1093" s="27" t="n">
        <v>12</v>
      </c>
      <c r="G1093" s="27" t="n">
        <v>29</v>
      </c>
      <c r="H1093" s="27" t="n">
        <v>4450</v>
      </c>
      <c r="I1093" s="28">
        <f>G1093*H1093/1000*F1093^2/162</f>
        <v>114.71111111111111</v>
      </c>
    </row>
    <row r="1094">
      <c r="A1094" s="7" t="inlineStr">
        <is>
          <t>STR-094</t>
        </is>
      </c>
      <c r="B1094" s="7" t="inlineStr">
        <is>
          <t>Floor Slabs</t>
        </is>
      </c>
      <c r="C1094" s="7" t="inlineStr">
        <is>
          <t>Tenth floor slab - bottom</t>
        </is>
      </c>
      <c r="D1094" s="7" t="inlineStr">
        <is>
          <t>F14</t>
        </is>
      </c>
      <c r="E1094" s="27" t="inlineStr">
        <is>
          <t>1204</t>
        </is>
      </c>
      <c r="F1094" s="27" t="n">
        <v>12</v>
      </c>
      <c r="G1094" s="27" t="n">
        <v>263</v>
      </c>
      <c r="H1094" s="27" t="n">
        <v>8800</v>
      </c>
      <c r="I1094" s="28">
        <f>G1094*H1094/1000*F1094^2/162</f>
        <v>2057.2444444444445</v>
      </c>
    </row>
    <row r="1095">
      <c r="A1095" s="7" t="inlineStr">
        <is>
          <t>STR-094</t>
        </is>
      </c>
      <c r="B1095" s="7" t="inlineStr">
        <is>
          <t>Floor Slabs</t>
        </is>
      </c>
      <c r="C1095" s="7" t="inlineStr">
        <is>
          <t>Tenth floor slab - bottom</t>
        </is>
      </c>
      <c r="D1095" s="7" t="inlineStr">
        <is>
          <t>F14</t>
        </is>
      </c>
      <c r="E1095" s="27" t="inlineStr">
        <is>
          <t>1205</t>
        </is>
      </c>
      <c r="F1095" s="27" t="n">
        <v>12</v>
      </c>
      <c r="G1095" s="27" t="n">
        <v>16</v>
      </c>
      <c r="H1095" s="27" t="n">
        <v>3400</v>
      </c>
      <c r="I1095" s="28">
        <f>G1095*H1095/1000*F1095^2/162</f>
        <v>48.355555555555554</v>
      </c>
    </row>
    <row r="1096">
      <c r="A1096" s="7" t="inlineStr">
        <is>
          <t>STR-094</t>
        </is>
      </c>
      <c r="B1096" s="7" t="inlineStr">
        <is>
          <t>Floor Slabs</t>
        </is>
      </c>
      <c r="C1096" s="7" t="inlineStr">
        <is>
          <t>Tenth floor slab - bottom</t>
        </is>
      </c>
      <c r="D1096" s="7" t="inlineStr">
        <is>
          <t>F14</t>
        </is>
      </c>
      <c r="E1096" s="27" t="inlineStr">
        <is>
          <t>1206</t>
        </is>
      </c>
      <c r="F1096" s="27" t="n">
        <v>12</v>
      </c>
      <c r="G1096" s="27" t="n">
        <v>130</v>
      </c>
      <c r="H1096" s="27" t="n">
        <v>4600</v>
      </c>
      <c r="I1096" s="28">
        <f>G1096*H1096/1000*F1096^2/162</f>
        <v>531.5555555555555</v>
      </c>
    </row>
    <row r="1097">
      <c r="A1097" s="7" t="inlineStr">
        <is>
          <t>STR-094</t>
        </is>
      </c>
      <c r="B1097" s="7" t="inlineStr">
        <is>
          <t>Floor Slabs</t>
        </is>
      </c>
      <c r="C1097" s="7" t="inlineStr">
        <is>
          <t>Tenth floor slab - bottom</t>
        </is>
      </c>
      <c r="D1097" s="7" t="inlineStr">
        <is>
          <t>F14</t>
        </is>
      </c>
      <c r="E1097" s="27" t="inlineStr">
        <is>
          <t>1207</t>
        </is>
      </c>
      <c r="F1097" s="27" t="n">
        <v>12</v>
      </c>
      <c r="G1097" s="27" t="n">
        <v>21</v>
      </c>
      <c r="H1097" s="27" t="n">
        <v>4575</v>
      </c>
      <c r="I1097" s="28">
        <f>G1097*H1097/1000*F1097^2/162</f>
        <v>85.4</v>
      </c>
    </row>
    <row r="1098">
      <c r="A1098" s="7" t="inlineStr">
        <is>
          <t>STR-094</t>
        </is>
      </c>
      <c r="B1098" s="7" t="inlineStr">
        <is>
          <t>Floor Slabs</t>
        </is>
      </c>
      <c r="C1098" s="7" t="inlineStr">
        <is>
          <t>Tenth floor slab - bottom</t>
        </is>
      </c>
      <c r="D1098" s="7" t="inlineStr">
        <is>
          <t>F14</t>
        </is>
      </c>
      <c r="E1098" s="27" t="inlineStr">
        <is>
          <t>1208</t>
        </is>
      </c>
      <c r="F1098" s="27" t="n">
        <v>12</v>
      </c>
      <c r="G1098" s="27" t="n">
        <v>47</v>
      </c>
      <c r="H1098" s="27" t="n">
        <v>5325</v>
      </c>
      <c r="I1098" s="28">
        <f>G1098*H1098/1000*F1098^2/162</f>
        <v>222.46666666666667</v>
      </c>
    </row>
    <row r="1099">
      <c r="A1099" s="7" t="inlineStr">
        <is>
          <t>STR-094</t>
        </is>
      </c>
      <c r="B1099" s="7" t="inlineStr">
        <is>
          <t>Floor Slabs</t>
        </is>
      </c>
      <c r="C1099" s="7" t="inlineStr">
        <is>
          <t>Tenth floor slab - bottom</t>
        </is>
      </c>
      <c r="D1099" s="7" t="inlineStr">
        <is>
          <t>F14</t>
        </is>
      </c>
      <c r="E1099" s="27" t="inlineStr">
        <is>
          <t>1209</t>
        </is>
      </c>
      <c r="F1099" s="27" t="n">
        <v>12</v>
      </c>
      <c r="G1099" s="27" t="n">
        <v>93</v>
      </c>
      <c r="H1099" s="27" t="n">
        <v>8700</v>
      </c>
      <c r="I1099" s="28">
        <f>G1099*H1099/1000*F1099^2/162</f>
        <v>719.2</v>
      </c>
    </row>
    <row r="1100">
      <c r="A1100" s="7" t="inlineStr">
        <is>
          <t>STR-094</t>
        </is>
      </c>
      <c r="B1100" s="7" t="inlineStr">
        <is>
          <t>Floor Slabs</t>
        </is>
      </c>
      <c r="C1100" s="7" t="inlineStr">
        <is>
          <t>Tenth floor slab - bottom</t>
        </is>
      </c>
      <c r="D1100" s="7" t="inlineStr">
        <is>
          <t>F14</t>
        </is>
      </c>
      <c r="E1100" s="27" t="inlineStr">
        <is>
          <t>1210</t>
        </is>
      </c>
      <c r="F1100" s="27" t="n">
        <v>12</v>
      </c>
      <c r="G1100" s="27" t="n">
        <v>89</v>
      </c>
      <c r="H1100" s="27" t="n">
        <v>8575</v>
      </c>
      <c r="I1100" s="28">
        <f>G1100*H1100/1000*F1100^2/162</f>
        <v>678.3777777777777</v>
      </c>
    </row>
    <row r="1101">
      <c r="A1101" s="7" t="inlineStr">
        <is>
          <t>STR-094</t>
        </is>
      </c>
      <c r="B1101" s="7" t="inlineStr">
        <is>
          <t>Floor Slabs</t>
        </is>
      </c>
      <c r="C1101" s="7" t="inlineStr">
        <is>
          <t>Tenth floor slab - bottom</t>
        </is>
      </c>
      <c r="D1101" s="7" t="inlineStr">
        <is>
          <t>F14</t>
        </is>
      </c>
      <c r="E1101" s="27" t="inlineStr">
        <is>
          <t>1211</t>
        </is>
      </c>
      <c r="F1101" s="27" t="n">
        <v>12</v>
      </c>
      <c r="G1101" s="27" t="n">
        <v>15</v>
      </c>
      <c r="H1101" s="27" t="n">
        <v>8650</v>
      </c>
      <c r="I1101" s="28">
        <f>G1101*H1101/1000*F1101^2/162</f>
        <v>115.33333333333333</v>
      </c>
    </row>
    <row r="1102">
      <c r="A1102" s="7" t="inlineStr">
        <is>
          <t>STR-094</t>
        </is>
      </c>
      <c r="B1102" s="7" t="inlineStr">
        <is>
          <t>Floor Slabs</t>
        </is>
      </c>
      <c r="C1102" s="7" t="inlineStr">
        <is>
          <t>Tenth floor slab - bottom</t>
        </is>
      </c>
      <c r="D1102" s="7" t="inlineStr">
        <is>
          <t>F14</t>
        </is>
      </c>
      <c r="E1102" s="27" t="inlineStr">
        <is>
          <t>1212</t>
        </is>
      </c>
      <c r="F1102" s="27" t="n">
        <v>12</v>
      </c>
      <c r="G1102" s="27" t="n">
        <v>23</v>
      </c>
      <c r="H1102" s="27" t="n">
        <v>8550</v>
      </c>
      <c r="I1102" s="28">
        <f>G1102*H1102/1000*F1102^2/162</f>
        <v>174.8</v>
      </c>
    </row>
    <row r="1103">
      <c r="A1103" s="7" t="inlineStr">
        <is>
          <t>STR-094</t>
        </is>
      </c>
      <c r="B1103" s="7" t="inlineStr">
        <is>
          <t>Floor Slabs</t>
        </is>
      </c>
      <c r="C1103" s="7" t="inlineStr">
        <is>
          <t>Tenth floor slab - bottom</t>
        </is>
      </c>
      <c r="D1103" s="7" t="inlineStr">
        <is>
          <t>F14</t>
        </is>
      </c>
      <c r="E1103" s="27" t="inlineStr">
        <is>
          <t>1213</t>
        </is>
      </c>
      <c r="F1103" s="27" t="n">
        <v>12</v>
      </c>
      <c r="G1103" s="27" t="n">
        <v>31</v>
      </c>
      <c r="H1103" s="27" t="n">
        <v>8700</v>
      </c>
      <c r="I1103" s="28">
        <f>G1103*H1103/1000*F1103^2/162</f>
        <v>239.73333333333332</v>
      </c>
    </row>
    <row r="1104">
      <c r="A1104" s="7" t="inlineStr">
        <is>
          <t>STR-094</t>
        </is>
      </c>
      <c r="B1104" s="7" t="inlineStr">
        <is>
          <t>Floor Slabs</t>
        </is>
      </c>
      <c r="C1104" s="7" t="inlineStr">
        <is>
          <t>Tenth floor slab - bottom</t>
        </is>
      </c>
      <c r="D1104" s="7" t="inlineStr">
        <is>
          <t>F14</t>
        </is>
      </c>
      <c r="E1104" s="27" t="inlineStr">
        <is>
          <t>1214</t>
        </is>
      </c>
      <c r="F1104" s="27" t="n">
        <v>12</v>
      </c>
      <c r="G1104" s="27" t="n">
        <v>7</v>
      </c>
      <c r="H1104" s="27" t="n">
        <v>10200</v>
      </c>
      <c r="I1104" s="28">
        <f>G1104*H1104/1000*F1104^2/162</f>
        <v>63.46666666666667</v>
      </c>
    </row>
    <row r="1105">
      <c r="A1105" s="7" t="inlineStr">
        <is>
          <t>STR-094</t>
        </is>
      </c>
      <c r="B1105" s="7" t="inlineStr">
        <is>
          <t>Floor Slabs</t>
        </is>
      </c>
      <c r="C1105" s="7" t="inlineStr">
        <is>
          <t>Tenth floor slab - bottom</t>
        </is>
      </c>
      <c r="D1105" s="7" t="inlineStr">
        <is>
          <t>F14</t>
        </is>
      </c>
      <c r="E1105" s="27" t="inlineStr">
        <is>
          <t>1215</t>
        </is>
      </c>
      <c r="F1105" s="27" t="n">
        <v>12</v>
      </c>
      <c r="G1105" s="27" t="n">
        <v>202</v>
      </c>
      <c r="H1105" s="27" t="n">
        <v>10000</v>
      </c>
      <c r="I1105" s="28">
        <f>G1105*H1105/1000*F1105^2/162</f>
        <v>1795.5555555555557</v>
      </c>
    </row>
    <row r="1106">
      <c r="A1106" s="7" t="inlineStr">
        <is>
          <t>STR-094</t>
        </is>
      </c>
      <c r="B1106" s="7" t="inlineStr">
        <is>
          <t>Floor Slabs</t>
        </is>
      </c>
      <c r="C1106" s="7" t="inlineStr">
        <is>
          <t>Tenth floor slab - bottom</t>
        </is>
      </c>
      <c r="D1106" s="7" t="inlineStr">
        <is>
          <t>F14</t>
        </is>
      </c>
      <c r="E1106" s="27" t="inlineStr">
        <is>
          <t>1216</t>
        </is>
      </c>
      <c r="F1106" s="27" t="n">
        <v>12</v>
      </c>
      <c r="G1106" s="27" t="n">
        <v>158</v>
      </c>
      <c r="H1106" s="27" t="n">
        <v>9550</v>
      </c>
      <c r="I1106" s="28">
        <f>G1106*H1106/1000*F1106^2/162</f>
        <v>1341.2444444444445</v>
      </c>
    </row>
    <row r="1107">
      <c r="A1107" s="7" t="inlineStr">
        <is>
          <t>STR-094</t>
        </is>
      </c>
      <c r="B1107" s="7" t="inlineStr">
        <is>
          <t>Floor Slabs</t>
        </is>
      </c>
      <c r="C1107" s="7" t="inlineStr">
        <is>
          <t>Tenth floor slab - bottom</t>
        </is>
      </c>
      <c r="D1107" s="7" t="inlineStr">
        <is>
          <t>F14</t>
        </is>
      </c>
      <c r="E1107" s="27" t="inlineStr">
        <is>
          <t>1217</t>
        </is>
      </c>
      <c r="F1107" s="27" t="n">
        <v>12</v>
      </c>
      <c r="G1107" s="27" t="n">
        <v>106</v>
      </c>
      <c r="H1107" s="27" t="n">
        <v>7250</v>
      </c>
      <c r="I1107" s="28">
        <f>G1107*H1107/1000*F1107^2/162</f>
        <v>683.1111111111111</v>
      </c>
    </row>
    <row r="1108">
      <c r="A1108" s="7" t="inlineStr">
        <is>
          <t>STR-094</t>
        </is>
      </c>
      <c r="B1108" s="7" t="inlineStr">
        <is>
          <t>Floor Slabs</t>
        </is>
      </c>
      <c r="C1108" s="7" t="inlineStr">
        <is>
          <t>Tenth floor slab - bottom</t>
        </is>
      </c>
      <c r="D1108" s="7" t="inlineStr">
        <is>
          <t>F14</t>
        </is>
      </c>
      <c r="E1108" s="27" t="inlineStr">
        <is>
          <t>1218</t>
        </is>
      </c>
      <c r="F1108" s="27" t="n">
        <v>12</v>
      </c>
      <c r="G1108" s="27" t="n">
        <v>23</v>
      </c>
      <c r="H1108" s="27" t="n">
        <v>12000</v>
      </c>
      <c r="I1108" s="28">
        <f>G1108*H1108/1000*F1108^2/162</f>
        <v>245.33333333333334</v>
      </c>
    </row>
    <row r="1109">
      <c r="A1109" s="7" t="inlineStr">
        <is>
          <t>STR-094</t>
        </is>
      </c>
      <c r="B1109" s="7" t="inlineStr">
        <is>
          <t>Floor Slabs</t>
        </is>
      </c>
      <c r="C1109" s="7" t="inlineStr">
        <is>
          <t>Tenth floor slab - bottom</t>
        </is>
      </c>
      <c r="D1109" s="7" t="inlineStr">
        <is>
          <t>F14</t>
        </is>
      </c>
      <c r="E1109" s="27" t="inlineStr">
        <is>
          <t>1219</t>
        </is>
      </c>
      <c r="F1109" s="27" t="n">
        <v>12</v>
      </c>
      <c r="G1109" s="27" t="n">
        <v>212</v>
      </c>
      <c r="H1109" s="27" t="n">
        <v>6200</v>
      </c>
      <c r="I1109" s="28">
        <f>G1109*H1109/1000*F1109^2/162</f>
        <v>1168.3555555555556</v>
      </c>
    </row>
    <row r="1110">
      <c r="A1110" s="7" t="inlineStr">
        <is>
          <t>STR-094</t>
        </is>
      </c>
      <c r="B1110" s="7" t="inlineStr">
        <is>
          <t>Floor Slabs</t>
        </is>
      </c>
      <c r="C1110" s="7" t="inlineStr">
        <is>
          <t>Tenth floor slab - bottom</t>
        </is>
      </c>
      <c r="D1110" s="7" t="inlineStr">
        <is>
          <t>F14</t>
        </is>
      </c>
      <c r="E1110" s="27" t="inlineStr">
        <is>
          <t>1220</t>
        </is>
      </c>
      <c r="F1110" s="27" t="n">
        <v>12</v>
      </c>
      <c r="G1110" s="27" t="n">
        <v>25</v>
      </c>
      <c r="H1110" s="27" t="n">
        <v>7400</v>
      </c>
      <c r="I1110" s="28">
        <f>G1110*H1110/1000*F1110^2/162</f>
        <v>164.44444444444446</v>
      </c>
    </row>
    <row r="1111">
      <c r="A1111" s="7" t="inlineStr">
        <is>
          <t>STR-094</t>
        </is>
      </c>
      <c r="B1111" s="7" t="inlineStr">
        <is>
          <t>Floor Slabs</t>
        </is>
      </c>
      <c r="C1111" s="7" t="inlineStr">
        <is>
          <t>Tenth floor slab - bottom</t>
        </is>
      </c>
      <c r="D1111" s="7" t="inlineStr">
        <is>
          <t>F14</t>
        </is>
      </c>
      <c r="E1111" s="27" t="inlineStr">
        <is>
          <t>1221</t>
        </is>
      </c>
      <c r="F1111" s="27" t="n">
        <v>12</v>
      </c>
      <c r="G1111" s="27" t="n">
        <v>149</v>
      </c>
      <c r="H1111" s="27" t="n">
        <v>12000</v>
      </c>
      <c r="I1111" s="28">
        <f>G1111*H1111/1000*F1111^2/162</f>
        <v>1589.3333333333333</v>
      </c>
    </row>
    <row r="1112">
      <c r="A1112" s="7" t="inlineStr">
        <is>
          <t>STR-094</t>
        </is>
      </c>
      <c r="B1112" s="7" t="inlineStr">
        <is>
          <t>Floor Slabs</t>
        </is>
      </c>
      <c r="C1112" s="7" t="inlineStr">
        <is>
          <t>Tenth floor slab - bottom</t>
        </is>
      </c>
      <c r="D1112" s="7" t="inlineStr">
        <is>
          <t>F14</t>
        </is>
      </c>
      <c r="E1112" s="27" t="inlineStr">
        <is>
          <t>1222</t>
        </is>
      </c>
      <c r="F1112" s="27" t="n">
        <v>12</v>
      </c>
      <c r="G1112" s="27" t="n">
        <v>88</v>
      </c>
      <c r="H1112" s="27" t="n">
        <v>7325</v>
      </c>
      <c r="I1112" s="28">
        <f>G1112*H1112/1000*F1112^2/162</f>
        <v>572.9777777777779</v>
      </c>
    </row>
    <row r="1113">
      <c r="A1113" s="7" t="inlineStr">
        <is>
          <t>STR-094</t>
        </is>
      </c>
      <c r="B1113" s="7" t="inlineStr">
        <is>
          <t>Floor Slabs</t>
        </is>
      </c>
      <c r="C1113" s="7" t="inlineStr">
        <is>
          <t>Tenth floor slab - bottom</t>
        </is>
      </c>
      <c r="D1113" s="7" t="inlineStr">
        <is>
          <t>F14</t>
        </is>
      </c>
      <c r="E1113" s="27" t="inlineStr">
        <is>
          <t>1223</t>
        </is>
      </c>
      <c r="F1113" s="27" t="n">
        <v>12</v>
      </c>
      <c r="G1113" s="27" t="n">
        <v>13</v>
      </c>
      <c r="H1113" s="27" t="n">
        <v>4250</v>
      </c>
      <c r="I1113" s="28">
        <f>G1113*H1113/1000*F1113^2/162</f>
        <v>49.111111111111114</v>
      </c>
    </row>
    <row r="1114">
      <c r="A1114" s="7" t="inlineStr">
        <is>
          <t>STR-094</t>
        </is>
      </c>
      <c r="B1114" s="7" t="inlineStr">
        <is>
          <t>Floor Slabs</t>
        </is>
      </c>
      <c r="C1114" s="7" t="inlineStr">
        <is>
          <t>Tenth floor slab - bottom</t>
        </is>
      </c>
      <c r="D1114" s="7" t="inlineStr">
        <is>
          <t>F14</t>
        </is>
      </c>
      <c r="E1114" s="27" t="inlineStr">
        <is>
          <t>1224</t>
        </is>
      </c>
      <c r="F1114" s="27" t="n">
        <v>12</v>
      </c>
      <c r="G1114" s="27" t="n">
        <v>151</v>
      </c>
      <c r="H1114" s="27" t="n">
        <v>6200</v>
      </c>
      <c r="I1114" s="28">
        <f>G1114*H1114/1000*F1114^2/162</f>
        <v>832.1777777777779</v>
      </c>
    </row>
    <row r="1115">
      <c r="A1115" s="7" t="inlineStr">
        <is>
          <t>STR-094</t>
        </is>
      </c>
      <c r="B1115" s="7" t="inlineStr">
        <is>
          <t>Floor Slabs</t>
        </is>
      </c>
      <c r="C1115" s="7" t="inlineStr">
        <is>
          <t>Tenth floor slab - bottom</t>
        </is>
      </c>
      <c r="D1115" s="7" t="inlineStr">
        <is>
          <t>F14</t>
        </is>
      </c>
      <c r="E1115" s="27" t="inlineStr">
        <is>
          <t>1225</t>
        </is>
      </c>
      <c r="F1115" s="27" t="n">
        <v>12</v>
      </c>
      <c r="G1115" s="27" t="n">
        <v>12</v>
      </c>
      <c r="H1115" s="27" t="n">
        <v>9475</v>
      </c>
      <c r="I1115" s="28">
        <f>G1115*H1115/1000*F1115^2/162</f>
        <v>101.06666666666668</v>
      </c>
    </row>
    <row r="1116">
      <c r="A1116" s="7" t="inlineStr">
        <is>
          <t>STR-094</t>
        </is>
      </c>
      <c r="B1116" s="7" t="inlineStr">
        <is>
          <t>Floor Slabs</t>
        </is>
      </c>
      <c r="C1116" s="7" t="inlineStr">
        <is>
          <t>Tenth floor slab - bottom</t>
        </is>
      </c>
      <c r="D1116" s="7" t="inlineStr">
        <is>
          <t>F14</t>
        </is>
      </c>
      <c r="E1116" s="27" t="inlineStr">
        <is>
          <t>1226</t>
        </is>
      </c>
      <c r="F1116" s="27" t="n">
        <v>12</v>
      </c>
      <c r="G1116" s="27" t="n">
        <v>7</v>
      </c>
      <c r="H1116" s="27" t="n">
        <v>4800</v>
      </c>
      <c r="I1116" s="28">
        <f>G1116*H1116/1000*F1116^2/162</f>
        <v>29.86666666666667</v>
      </c>
    </row>
    <row r="1117">
      <c r="A1117" s="7" t="inlineStr">
        <is>
          <t>STR-094</t>
        </is>
      </c>
      <c r="B1117" s="7" t="inlineStr">
        <is>
          <t>Floor Slabs</t>
        </is>
      </c>
      <c r="C1117" s="7" t="inlineStr">
        <is>
          <t>Tenth floor slab - bottom</t>
        </is>
      </c>
      <c r="D1117" s="7" t="inlineStr">
        <is>
          <t>F14</t>
        </is>
      </c>
      <c r="E1117" s="27" t="inlineStr">
        <is>
          <t>1227</t>
        </is>
      </c>
      <c r="F1117" s="27" t="n">
        <v>12</v>
      </c>
      <c r="G1117" s="27" t="n">
        <v>74</v>
      </c>
      <c r="H1117" s="27" t="n">
        <v>7375</v>
      </c>
      <c r="I1117" s="28">
        <f>G1117*H1117/1000*F1117^2/162</f>
        <v>485.1111111111111</v>
      </c>
    </row>
    <row r="1118">
      <c r="A1118" s="7" t="inlineStr">
        <is>
          <t>STR-094</t>
        </is>
      </c>
      <c r="B1118" s="7" t="inlineStr">
        <is>
          <t>Floor Slabs</t>
        </is>
      </c>
      <c r="C1118" s="7" t="inlineStr">
        <is>
          <t>Tenth floor slab - bottom</t>
        </is>
      </c>
      <c r="D1118" s="7" t="inlineStr">
        <is>
          <t>F14</t>
        </is>
      </c>
      <c r="E1118" s="27" t="inlineStr">
        <is>
          <t>1228</t>
        </is>
      </c>
      <c r="F1118" s="27" t="n">
        <v>12</v>
      </c>
      <c r="G1118" s="27" t="n">
        <v>13</v>
      </c>
      <c r="H1118" s="27" t="n">
        <v>6900</v>
      </c>
      <c r="I1118" s="28">
        <f>G1118*H1118/1000*F1118^2/162</f>
        <v>79.73333333333333</v>
      </c>
    </row>
    <row r="1119">
      <c r="A1119" s="7" t="inlineStr">
        <is>
          <t>STR-094</t>
        </is>
      </c>
      <c r="B1119" s="7" t="inlineStr">
        <is>
          <t>Floor Slabs</t>
        </is>
      </c>
      <c r="C1119" s="7" t="inlineStr">
        <is>
          <t>Tenth floor slab - bottom</t>
        </is>
      </c>
      <c r="D1119" s="7" t="inlineStr">
        <is>
          <t>F14</t>
        </is>
      </c>
      <c r="E1119" s="27" t="inlineStr">
        <is>
          <t>1229</t>
        </is>
      </c>
      <c r="F1119" s="27" t="n">
        <v>12</v>
      </c>
      <c r="G1119" s="27" t="n">
        <v>12</v>
      </c>
      <c r="H1119" s="27" t="n">
        <v>5900</v>
      </c>
      <c r="I1119" s="28">
        <f>G1119*H1119/1000*F1119^2/162</f>
        <v>62.93333333333333</v>
      </c>
    </row>
    <row r="1120">
      <c r="A1120" s="7" t="inlineStr">
        <is>
          <t>STR-094</t>
        </is>
      </c>
      <c r="B1120" s="7" t="inlineStr">
        <is>
          <t>Floor Slabs</t>
        </is>
      </c>
      <c r="C1120" s="7" t="inlineStr">
        <is>
          <t>Tenth floor slab - bottom</t>
        </is>
      </c>
      <c r="D1120" s="7" t="inlineStr">
        <is>
          <t>F14</t>
        </is>
      </c>
      <c r="E1120" s="27" t="inlineStr">
        <is>
          <t>1230</t>
        </is>
      </c>
      <c r="F1120" s="27" t="n">
        <v>12</v>
      </c>
      <c r="G1120" s="27" t="n">
        <v>99</v>
      </c>
      <c r="H1120" s="27" t="n">
        <v>6000</v>
      </c>
      <c r="I1120" s="28">
        <f>G1120*H1120/1000*F1120^2/162</f>
        <v>528.0</v>
      </c>
    </row>
    <row r="1121">
      <c r="A1121" s="7" t="inlineStr">
        <is>
          <t>STR-094</t>
        </is>
      </c>
      <c r="B1121" s="7" t="inlineStr">
        <is>
          <t>Floor Slabs</t>
        </is>
      </c>
      <c r="C1121" s="7" t="inlineStr">
        <is>
          <t>Tenth floor slab - bottom</t>
        </is>
      </c>
      <c r="D1121" s="7" t="inlineStr">
        <is>
          <t>F14</t>
        </is>
      </c>
      <c r="E1121" s="27" t="inlineStr">
        <is>
          <t>1231</t>
        </is>
      </c>
      <c r="F1121" s="27" t="n">
        <v>12</v>
      </c>
      <c r="G1121" s="27" t="n">
        <v>57</v>
      </c>
      <c r="H1121" s="27" t="n">
        <v>11800</v>
      </c>
      <c r="I1121" s="28">
        <f>G1121*H1121/1000*F1121^2/162</f>
        <v>597.8666666666667</v>
      </c>
    </row>
    <row r="1122">
      <c r="A1122" s="7" t="inlineStr">
        <is>
          <t>STR-094</t>
        </is>
      </c>
      <c r="B1122" s="7" t="inlineStr">
        <is>
          <t>Floor Slabs</t>
        </is>
      </c>
      <c r="C1122" s="7" t="inlineStr">
        <is>
          <t>Tenth floor slab - bottom</t>
        </is>
      </c>
      <c r="D1122" s="7" t="inlineStr">
        <is>
          <t>F14</t>
        </is>
      </c>
      <c r="E1122" s="27" t="inlineStr">
        <is>
          <t>1232</t>
        </is>
      </c>
      <c r="F1122" s="27" t="n">
        <v>12</v>
      </c>
      <c r="G1122" s="27" t="n">
        <v>16</v>
      </c>
      <c r="H1122" s="27" t="n">
        <v>8400</v>
      </c>
      <c r="I1122" s="28">
        <f>G1122*H1122/1000*F1122^2/162</f>
        <v>119.46666666666668</v>
      </c>
    </row>
    <row r="1123">
      <c r="A1123" s="7" t="inlineStr">
        <is>
          <t>STR-094</t>
        </is>
      </c>
      <c r="B1123" s="7" t="inlineStr">
        <is>
          <t>Floor Slabs</t>
        </is>
      </c>
      <c r="C1123" s="7" t="inlineStr">
        <is>
          <t>Tenth floor slab - bottom</t>
        </is>
      </c>
      <c r="D1123" s="7" t="inlineStr">
        <is>
          <t>F14</t>
        </is>
      </c>
      <c r="E1123" s="27" t="inlineStr">
        <is>
          <t>1233</t>
        </is>
      </c>
      <c r="F1123" s="27" t="n">
        <v>12</v>
      </c>
      <c r="G1123" s="27" t="n">
        <v>75</v>
      </c>
      <c r="H1123" s="27" t="n">
        <v>11250</v>
      </c>
      <c r="I1123" s="28">
        <f>G1123*H1123/1000*F1123^2/162</f>
        <v>750.0</v>
      </c>
    </row>
    <row r="1124">
      <c r="A1124" s="7" t="inlineStr">
        <is>
          <t>STR-095</t>
        </is>
      </c>
      <c r="B1124" s="7" t="inlineStr">
        <is>
          <t>Floor Slabs</t>
        </is>
      </c>
      <c r="C1124" s="7" t="inlineStr">
        <is>
          <t>Tenth floor slab - top</t>
        </is>
      </c>
      <c r="D1124" s="7" t="inlineStr">
        <is>
          <t>F14</t>
        </is>
      </c>
      <c r="E1124" s="27" t="inlineStr">
        <is>
          <t>1234</t>
        </is>
      </c>
      <c r="F1124" s="27" t="n">
        <v>12</v>
      </c>
      <c r="G1124" s="27" t="n">
        <v>155</v>
      </c>
      <c r="H1124" s="27" t="n">
        <v>11650</v>
      </c>
      <c r="I1124" s="28">
        <f>G1124*H1124/1000*F1124^2/162</f>
        <v>1605.111111111111</v>
      </c>
    </row>
    <row r="1125">
      <c r="A1125" s="7" t="inlineStr">
        <is>
          <t>STR-095</t>
        </is>
      </c>
      <c r="B1125" s="7" t="inlineStr">
        <is>
          <t>Floor Slabs</t>
        </is>
      </c>
      <c r="C1125" s="7" t="inlineStr">
        <is>
          <t>Tenth floor slab - top</t>
        </is>
      </c>
      <c r="D1125" s="7" t="inlineStr">
        <is>
          <t>F14</t>
        </is>
      </c>
      <c r="E1125" s="27" t="inlineStr">
        <is>
          <t>1235</t>
        </is>
      </c>
      <c r="F1125" s="27" t="n">
        <v>12</v>
      </c>
      <c r="G1125" s="27" t="n">
        <v>32</v>
      </c>
      <c r="H1125" s="27" t="n">
        <v>5850</v>
      </c>
      <c r="I1125" s="28">
        <f>G1125*H1125/1000*F1125^2/162</f>
        <v>166.4</v>
      </c>
    </row>
    <row r="1126">
      <c r="A1126" s="7" t="inlineStr">
        <is>
          <t>STR-095</t>
        </is>
      </c>
      <c r="B1126" s="7" t="inlineStr">
        <is>
          <t>Floor Slabs</t>
        </is>
      </c>
      <c r="C1126" s="7" t="inlineStr">
        <is>
          <t>Tenth floor slab - top</t>
        </is>
      </c>
      <c r="D1126" s="7" t="inlineStr">
        <is>
          <t>F14</t>
        </is>
      </c>
      <c r="E1126" s="27" t="inlineStr">
        <is>
          <t>1236</t>
        </is>
      </c>
      <c r="F1126" s="27" t="n">
        <v>12</v>
      </c>
      <c r="G1126" s="27" t="n">
        <v>21</v>
      </c>
      <c r="H1126" s="27" t="n">
        <v>8250</v>
      </c>
      <c r="I1126" s="28">
        <f>G1126*H1126/1000*F1126^2/162</f>
        <v>154.0</v>
      </c>
    </row>
    <row r="1127">
      <c r="A1127" s="7" t="inlineStr">
        <is>
          <t>STR-095</t>
        </is>
      </c>
      <c r="B1127" s="7" t="inlineStr">
        <is>
          <t>Floor Slabs</t>
        </is>
      </c>
      <c r="C1127" s="7" t="inlineStr">
        <is>
          <t>Tenth floor slab - top</t>
        </is>
      </c>
      <c r="D1127" s="7" t="inlineStr">
        <is>
          <t>F14</t>
        </is>
      </c>
      <c r="E1127" s="27" t="inlineStr">
        <is>
          <t>1237</t>
        </is>
      </c>
      <c r="F1127" s="27" t="n">
        <v>12</v>
      </c>
      <c r="G1127" s="27" t="n">
        <v>148</v>
      </c>
      <c r="H1127" s="27" t="n">
        <v>7350</v>
      </c>
      <c r="I1127" s="28">
        <f>G1127*H1127/1000*F1127^2/162</f>
        <v>966.9333333333333</v>
      </c>
    </row>
    <row r="1128">
      <c r="A1128" s="7" t="inlineStr">
        <is>
          <t>STR-095</t>
        </is>
      </c>
      <c r="B1128" s="7" t="inlineStr">
        <is>
          <t>Floor Slabs</t>
        </is>
      </c>
      <c r="C1128" s="7" t="inlineStr">
        <is>
          <t>Tenth floor slab - top</t>
        </is>
      </c>
      <c r="D1128" s="7" t="inlineStr">
        <is>
          <t>F14</t>
        </is>
      </c>
      <c r="E1128" s="27" t="inlineStr">
        <is>
          <t>1238</t>
        </is>
      </c>
      <c r="F1128" s="27" t="n">
        <v>12</v>
      </c>
      <c r="G1128" s="27" t="n">
        <v>108</v>
      </c>
      <c r="H1128" s="27" t="n">
        <v>8800</v>
      </c>
      <c r="I1128" s="28">
        <f>G1128*H1128/1000*F1128^2/162</f>
        <v>844.8000000000001</v>
      </c>
    </row>
    <row r="1129">
      <c r="A1129" s="7" t="inlineStr">
        <is>
          <t>STR-095</t>
        </is>
      </c>
      <c r="B1129" s="7" t="inlineStr">
        <is>
          <t>Floor Slabs</t>
        </is>
      </c>
      <c r="C1129" s="7" t="inlineStr">
        <is>
          <t>Tenth floor slab - top</t>
        </is>
      </c>
      <c r="D1129" s="7" t="inlineStr">
        <is>
          <t>F14</t>
        </is>
      </c>
      <c r="E1129" s="27" t="inlineStr">
        <is>
          <t>1239</t>
        </is>
      </c>
      <c r="F1129" s="27" t="n">
        <v>12</v>
      </c>
      <c r="G1129" s="27" t="n">
        <v>16</v>
      </c>
      <c r="H1129" s="27" t="n">
        <v>7325</v>
      </c>
      <c r="I1129" s="28">
        <f>G1129*H1129/1000*F1129^2/162</f>
        <v>104.17777777777778</v>
      </c>
    </row>
    <row r="1130">
      <c r="A1130" s="7" t="inlineStr">
        <is>
          <t>STR-095</t>
        </is>
      </c>
      <c r="B1130" s="7" t="inlineStr">
        <is>
          <t>Floor Slabs</t>
        </is>
      </c>
      <c r="C1130" s="7" t="inlineStr">
        <is>
          <t>Tenth floor slab - top</t>
        </is>
      </c>
      <c r="D1130" s="7" t="inlineStr">
        <is>
          <t>F14</t>
        </is>
      </c>
      <c r="E1130" s="27" t="inlineStr">
        <is>
          <t>1240</t>
        </is>
      </c>
      <c r="F1130" s="27" t="n">
        <v>12</v>
      </c>
      <c r="G1130" s="27" t="n">
        <v>37</v>
      </c>
      <c r="H1130" s="27" t="n">
        <v>8700</v>
      </c>
      <c r="I1130" s="28">
        <f>G1130*H1130/1000*F1130^2/162</f>
        <v>286.1333333333333</v>
      </c>
    </row>
    <row r="1131">
      <c r="A1131" s="7" t="inlineStr">
        <is>
          <t>STR-095</t>
        </is>
      </c>
      <c r="B1131" s="7" t="inlineStr">
        <is>
          <t>Floor Slabs</t>
        </is>
      </c>
      <c r="C1131" s="7" t="inlineStr">
        <is>
          <t>Tenth floor slab - top</t>
        </is>
      </c>
      <c r="D1131" s="7" t="inlineStr">
        <is>
          <t>F14</t>
        </is>
      </c>
      <c r="E1131" s="27" t="inlineStr">
        <is>
          <t>1241</t>
        </is>
      </c>
      <c r="F1131" s="27" t="n">
        <v>12</v>
      </c>
      <c r="G1131" s="27" t="n">
        <v>21</v>
      </c>
      <c r="H1131" s="27" t="n">
        <v>4975</v>
      </c>
      <c r="I1131" s="28">
        <f>G1131*H1131/1000*F1131^2/162</f>
        <v>92.86666666666666</v>
      </c>
    </row>
    <row r="1132">
      <c r="A1132" s="7" t="inlineStr">
        <is>
          <t>STR-095</t>
        </is>
      </c>
      <c r="B1132" s="7" t="inlineStr">
        <is>
          <t>Floor Slabs</t>
        </is>
      </c>
      <c r="C1132" s="7" t="inlineStr">
        <is>
          <t>Tenth floor slab - top</t>
        </is>
      </c>
      <c r="D1132" s="7" t="inlineStr">
        <is>
          <t>F14</t>
        </is>
      </c>
      <c r="E1132" s="27" t="inlineStr">
        <is>
          <t>1242</t>
        </is>
      </c>
      <c r="F1132" s="27" t="n">
        <v>12</v>
      </c>
      <c r="G1132" s="27" t="n">
        <v>83</v>
      </c>
      <c r="H1132" s="27" t="n">
        <v>4650</v>
      </c>
      <c r="I1132" s="28">
        <f>G1132*H1132/1000*F1132^2/162</f>
        <v>343.06666666666666</v>
      </c>
    </row>
    <row r="1133">
      <c r="A1133" s="7" t="inlineStr">
        <is>
          <t>STR-095</t>
        </is>
      </c>
      <c r="B1133" s="7" t="inlineStr">
        <is>
          <t>Floor Slabs</t>
        </is>
      </c>
      <c r="C1133" s="7" t="inlineStr">
        <is>
          <t>Tenth floor slab - top</t>
        </is>
      </c>
      <c r="D1133" s="7" t="inlineStr">
        <is>
          <t>F14</t>
        </is>
      </c>
      <c r="E1133" s="27" t="inlineStr">
        <is>
          <t>1243</t>
        </is>
      </c>
      <c r="F1133" s="27" t="n">
        <v>12</v>
      </c>
      <c r="G1133" s="27" t="n">
        <v>47</v>
      </c>
      <c r="H1133" s="27" t="n">
        <v>5325</v>
      </c>
      <c r="I1133" s="28">
        <f>G1133*H1133/1000*F1133^2/162</f>
        <v>222.46666666666667</v>
      </c>
    </row>
    <row r="1134">
      <c r="A1134" s="7" t="inlineStr">
        <is>
          <t>STR-095</t>
        </is>
      </c>
      <c r="B1134" s="7" t="inlineStr">
        <is>
          <t>Floor Slabs</t>
        </is>
      </c>
      <c r="C1134" s="7" t="inlineStr">
        <is>
          <t>Tenth floor slab - top</t>
        </is>
      </c>
      <c r="D1134" s="7" t="inlineStr">
        <is>
          <t>F14</t>
        </is>
      </c>
      <c r="E1134" s="27" t="inlineStr">
        <is>
          <t>1244</t>
        </is>
      </c>
      <c r="F1134" s="27" t="n">
        <v>12</v>
      </c>
      <c r="G1134" s="27" t="n">
        <v>15</v>
      </c>
      <c r="H1134" s="27" t="n">
        <v>4500</v>
      </c>
      <c r="I1134" s="28">
        <f>G1134*H1134/1000*F1134^2/162</f>
        <v>60.0</v>
      </c>
    </row>
    <row r="1135">
      <c r="A1135" s="7" t="inlineStr">
        <is>
          <t>STR-095</t>
        </is>
      </c>
      <c r="B1135" s="7" t="inlineStr">
        <is>
          <t>Floor Slabs</t>
        </is>
      </c>
      <c r="C1135" s="7" t="inlineStr">
        <is>
          <t>Tenth floor slab - top</t>
        </is>
      </c>
      <c r="D1135" s="7" t="inlineStr">
        <is>
          <t>F14</t>
        </is>
      </c>
      <c r="E1135" s="27" t="inlineStr">
        <is>
          <t>1245</t>
        </is>
      </c>
      <c r="F1135" s="27" t="n">
        <v>12</v>
      </c>
      <c r="G1135" s="27" t="n">
        <v>24</v>
      </c>
      <c r="H1135" s="27" t="n">
        <v>8550</v>
      </c>
      <c r="I1135" s="28">
        <f>G1135*H1135/1000*F1135^2/162</f>
        <v>182.4</v>
      </c>
    </row>
    <row r="1136">
      <c r="A1136" s="7" t="inlineStr">
        <is>
          <t>STR-095</t>
        </is>
      </c>
      <c r="B1136" s="7" t="inlineStr">
        <is>
          <t>Floor Slabs</t>
        </is>
      </c>
      <c r="C1136" s="7" t="inlineStr">
        <is>
          <t>Tenth floor slab - top</t>
        </is>
      </c>
      <c r="D1136" s="7" t="inlineStr">
        <is>
          <t>F14</t>
        </is>
      </c>
      <c r="E1136" s="27" t="inlineStr">
        <is>
          <t>1246</t>
        </is>
      </c>
      <c r="F1136" s="27" t="n">
        <v>12</v>
      </c>
      <c r="G1136" s="27" t="n">
        <v>8</v>
      </c>
      <c r="H1136" s="27" t="n">
        <v>10000</v>
      </c>
      <c r="I1136" s="28">
        <f>G1136*H1136/1000*F1136^2/162</f>
        <v>71.11111111111111</v>
      </c>
    </row>
    <row r="1137">
      <c r="A1137" s="7" t="inlineStr">
        <is>
          <t>STR-095</t>
        </is>
      </c>
      <c r="B1137" s="7" t="inlineStr">
        <is>
          <t>Floor Slabs</t>
        </is>
      </c>
      <c r="C1137" s="7" t="inlineStr">
        <is>
          <t>Tenth floor slab - top</t>
        </is>
      </c>
      <c r="D1137" s="7" t="inlineStr">
        <is>
          <t>F14</t>
        </is>
      </c>
      <c r="E1137" s="27" t="inlineStr">
        <is>
          <t>1247</t>
        </is>
      </c>
      <c r="F1137" s="27" t="n">
        <v>12</v>
      </c>
      <c r="G1137" s="27" t="n">
        <v>176</v>
      </c>
      <c r="H1137" s="27" t="n">
        <v>8850</v>
      </c>
      <c r="I1137" s="28">
        <f>G1137*H1137/1000*F1137^2/162</f>
        <v>1384.5333333333333</v>
      </c>
    </row>
    <row r="1138">
      <c r="A1138" s="7" t="inlineStr">
        <is>
          <t>STR-095</t>
        </is>
      </c>
      <c r="B1138" s="7" t="inlineStr">
        <is>
          <t>Floor Slabs</t>
        </is>
      </c>
      <c r="C1138" s="7" t="inlineStr">
        <is>
          <t>Tenth floor slab - top</t>
        </is>
      </c>
      <c r="D1138" s="7" t="inlineStr">
        <is>
          <t>F14</t>
        </is>
      </c>
      <c r="E1138" s="27" t="inlineStr">
        <is>
          <t>1248</t>
        </is>
      </c>
      <c r="F1138" s="27" t="n">
        <v>12</v>
      </c>
      <c r="G1138" s="27" t="n">
        <v>31</v>
      </c>
      <c r="H1138" s="27" t="n">
        <v>4600</v>
      </c>
      <c r="I1138" s="28">
        <f>G1138*H1138/1000*F1138^2/162</f>
        <v>126.75555555555555</v>
      </c>
    </row>
    <row r="1139">
      <c r="A1139" s="7" t="inlineStr">
        <is>
          <t>STR-095</t>
        </is>
      </c>
      <c r="B1139" s="7" t="inlineStr">
        <is>
          <t>Floor Slabs</t>
        </is>
      </c>
      <c r="C1139" s="7" t="inlineStr">
        <is>
          <t>Tenth floor slab - top</t>
        </is>
      </c>
      <c r="D1139" s="7" t="inlineStr">
        <is>
          <t>F14</t>
        </is>
      </c>
      <c r="E1139" s="27" t="inlineStr">
        <is>
          <t>1249</t>
        </is>
      </c>
      <c r="F1139" s="27" t="n">
        <v>12</v>
      </c>
      <c r="G1139" s="27" t="n">
        <v>154</v>
      </c>
      <c r="H1139" s="27" t="n">
        <v>5900</v>
      </c>
      <c r="I1139" s="28">
        <f>G1139*H1139/1000*F1139^2/162</f>
        <v>807.6444444444445</v>
      </c>
    </row>
    <row r="1140">
      <c r="A1140" s="7" t="inlineStr">
        <is>
          <t>STR-095</t>
        </is>
      </c>
      <c r="B1140" s="7" t="inlineStr">
        <is>
          <t>Floor Slabs</t>
        </is>
      </c>
      <c r="C1140" s="7" t="inlineStr">
        <is>
          <t>Tenth floor slab - top</t>
        </is>
      </c>
      <c r="D1140" s="7" t="inlineStr">
        <is>
          <t>F14</t>
        </is>
      </c>
      <c r="E1140" s="27" t="inlineStr">
        <is>
          <t>1250</t>
        </is>
      </c>
      <c r="F1140" s="27" t="n">
        <v>12</v>
      </c>
      <c r="G1140" s="27" t="n">
        <v>75</v>
      </c>
      <c r="H1140" s="27" t="n">
        <v>9525</v>
      </c>
      <c r="I1140" s="28">
        <f>G1140*H1140/1000*F1140^2/162</f>
        <v>635.0</v>
      </c>
    </row>
    <row r="1141">
      <c r="A1141" s="7" t="inlineStr">
        <is>
          <t>STR-095</t>
        </is>
      </c>
      <c r="B1141" s="7" t="inlineStr">
        <is>
          <t>Floor Slabs</t>
        </is>
      </c>
      <c r="C1141" s="7" t="inlineStr">
        <is>
          <t>Tenth floor slab - top</t>
        </is>
      </c>
      <c r="D1141" s="7" t="inlineStr">
        <is>
          <t>F14</t>
        </is>
      </c>
      <c r="E1141" s="27" t="inlineStr">
        <is>
          <t>1251</t>
        </is>
      </c>
      <c r="F1141" s="27" t="n">
        <v>12</v>
      </c>
      <c r="G1141" s="27" t="n">
        <v>16</v>
      </c>
      <c r="H1141" s="27" t="n">
        <v>1925</v>
      </c>
      <c r="I1141" s="28">
        <f>G1141*H1141/1000*F1141^2/162</f>
        <v>27.377777777777776</v>
      </c>
    </row>
    <row r="1142">
      <c r="A1142" s="7" t="inlineStr">
        <is>
          <t>STR-095</t>
        </is>
      </c>
      <c r="B1142" s="7" t="inlineStr">
        <is>
          <t>Floor Slabs</t>
        </is>
      </c>
      <c r="C1142" s="7" t="inlineStr">
        <is>
          <t>Tenth floor slab - top</t>
        </is>
      </c>
      <c r="D1142" s="7" t="inlineStr">
        <is>
          <t>F14</t>
        </is>
      </c>
      <c r="E1142" s="27" t="inlineStr">
        <is>
          <t>1252</t>
        </is>
      </c>
      <c r="F1142" s="27" t="n">
        <v>12</v>
      </c>
      <c r="G1142" s="27" t="n">
        <v>116</v>
      </c>
      <c r="H1142" s="27" t="n">
        <v>3800</v>
      </c>
      <c r="I1142" s="28">
        <f>G1142*H1142/1000*F1142^2/162</f>
        <v>391.82222222222225</v>
      </c>
    </row>
    <row r="1143">
      <c r="A1143" s="7" t="inlineStr">
        <is>
          <t>STR-095</t>
        </is>
      </c>
      <c r="B1143" s="7" t="inlineStr">
        <is>
          <t>Floor Slabs</t>
        </is>
      </c>
      <c r="C1143" s="7" t="inlineStr">
        <is>
          <t>Tenth floor slab - top</t>
        </is>
      </c>
      <c r="D1143" s="7" t="inlineStr">
        <is>
          <t>F14</t>
        </is>
      </c>
      <c r="E1143" s="27" t="inlineStr">
        <is>
          <t>1253</t>
        </is>
      </c>
      <c r="F1143" s="27" t="n">
        <v>12</v>
      </c>
      <c r="G1143" s="27" t="n">
        <v>36</v>
      </c>
      <c r="H1143" s="27" t="n">
        <v>10400</v>
      </c>
      <c r="I1143" s="28">
        <f>G1143*H1143/1000*F1143^2/162</f>
        <v>332.8</v>
      </c>
    </row>
    <row r="1144">
      <c r="A1144" s="7" t="inlineStr">
        <is>
          <t>STR-095</t>
        </is>
      </c>
      <c r="B1144" s="7" t="inlineStr">
        <is>
          <t>Floor Slabs</t>
        </is>
      </c>
      <c r="C1144" s="7" t="inlineStr">
        <is>
          <t>Tenth floor slab - top</t>
        </is>
      </c>
      <c r="D1144" s="7" t="inlineStr">
        <is>
          <t>F14</t>
        </is>
      </c>
      <c r="E1144" s="27" t="inlineStr">
        <is>
          <t>1254</t>
        </is>
      </c>
      <c r="F1144" s="27" t="n">
        <v>12</v>
      </c>
      <c r="G1144" s="27" t="n">
        <v>23</v>
      </c>
      <c r="H1144" s="27" t="n">
        <v>3450</v>
      </c>
      <c r="I1144" s="28">
        <f>G1144*H1144/1000*F1144^2/162</f>
        <v>70.53333333333333</v>
      </c>
    </row>
    <row r="1145">
      <c r="A1145" s="7" t="inlineStr">
        <is>
          <t>STR-095</t>
        </is>
      </c>
      <c r="B1145" s="7" t="inlineStr">
        <is>
          <t>Floor Slabs</t>
        </is>
      </c>
      <c r="C1145" s="7" t="inlineStr">
        <is>
          <t>Tenth floor slab - top</t>
        </is>
      </c>
      <c r="D1145" s="7" t="inlineStr">
        <is>
          <t>F14</t>
        </is>
      </c>
      <c r="E1145" s="27" t="inlineStr">
        <is>
          <t>1255</t>
        </is>
      </c>
      <c r="F1145" s="27" t="n">
        <v>12</v>
      </c>
      <c r="G1145" s="27" t="n">
        <v>212</v>
      </c>
      <c r="H1145" s="27" t="n">
        <v>9500</v>
      </c>
      <c r="I1145" s="28">
        <f>G1145*H1145/1000*F1145^2/162</f>
        <v>1790.2222222222222</v>
      </c>
    </row>
    <row r="1146">
      <c r="A1146" s="7" t="inlineStr">
        <is>
          <t>STR-095</t>
        </is>
      </c>
      <c r="B1146" s="7" t="inlineStr">
        <is>
          <t>Floor Slabs</t>
        </is>
      </c>
      <c r="C1146" s="7" t="inlineStr">
        <is>
          <t>Tenth floor slab - top</t>
        </is>
      </c>
      <c r="D1146" s="7" t="inlineStr">
        <is>
          <t>F14</t>
        </is>
      </c>
      <c r="E1146" s="27" t="inlineStr">
        <is>
          <t>1256</t>
        </is>
      </c>
      <c r="F1146" s="27" t="n">
        <v>12</v>
      </c>
      <c r="G1146" s="27" t="n">
        <v>49</v>
      </c>
      <c r="H1146" s="27" t="n">
        <v>7300</v>
      </c>
      <c r="I1146" s="28">
        <f>G1146*H1146/1000*F1146^2/162</f>
        <v>317.9555555555555</v>
      </c>
    </row>
    <row r="1147">
      <c r="A1147" s="7" t="inlineStr">
        <is>
          <t>STR-095</t>
        </is>
      </c>
      <c r="B1147" s="7" t="inlineStr">
        <is>
          <t>Floor Slabs</t>
        </is>
      </c>
      <c r="C1147" s="7" t="inlineStr">
        <is>
          <t>Tenth floor slab - top</t>
        </is>
      </c>
      <c r="D1147" s="7" t="inlineStr">
        <is>
          <t>F14</t>
        </is>
      </c>
      <c r="E1147" s="27" t="inlineStr">
        <is>
          <t>1257</t>
        </is>
      </c>
      <c r="F1147" s="27" t="n">
        <v>12</v>
      </c>
      <c r="G1147" s="27" t="n">
        <v>113</v>
      </c>
      <c r="H1147" s="27" t="n">
        <v>8750</v>
      </c>
      <c r="I1147" s="28">
        <f>G1147*H1147/1000*F1147^2/162</f>
        <v>878.8888888888889</v>
      </c>
    </row>
    <row r="1148">
      <c r="A1148" s="7" t="inlineStr">
        <is>
          <t>STR-095</t>
        </is>
      </c>
      <c r="B1148" s="7" t="inlineStr">
        <is>
          <t>Floor Slabs</t>
        </is>
      </c>
      <c r="C1148" s="7" t="inlineStr">
        <is>
          <t>Tenth floor slab - top</t>
        </is>
      </c>
      <c r="D1148" s="7" t="inlineStr">
        <is>
          <t>F14</t>
        </is>
      </c>
      <c r="E1148" s="27" t="inlineStr">
        <is>
          <t>1258</t>
        </is>
      </c>
      <c r="F1148" s="27" t="n">
        <v>12</v>
      </c>
      <c r="G1148" s="27" t="n">
        <v>13</v>
      </c>
      <c r="H1148" s="27" t="n">
        <v>4150</v>
      </c>
      <c r="I1148" s="28">
        <f>G1148*H1148/1000*F1148^2/162</f>
        <v>47.955555555555556</v>
      </c>
    </row>
    <row r="1149">
      <c r="A1149" s="7" t="inlineStr">
        <is>
          <t>STR-095</t>
        </is>
      </c>
      <c r="B1149" s="7" t="inlineStr">
        <is>
          <t>Floor Slabs</t>
        </is>
      </c>
      <c r="C1149" s="7" t="inlineStr">
        <is>
          <t>Tenth floor slab - top</t>
        </is>
      </c>
      <c r="D1149" s="7" t="inlineStr">
        <is>
          <t>F14</t>
        </is>
      </c>
      <c r="E1149" s="27" t="inlineStr">
        <is>
          <t>1259</t>
        </is>
      </c>
      <c r="F1149" s="27" t="n">
        <v>12</v>
      </c>
      <c r="G1149" s="27" t="n">
        <v>13</v>
      </c>
      <c r="H1149" s="27" t="n">
        <v>4250</v>
      </c>
      <c r="I1149" s="28">
        <f>G1149*H1149/1000*F1149^2/162</f>
        <v>49.111111111111114</v>
      </c>
    </row>
    <row r="1150">
      <c r="A1150" s="7" t="inlineStr">
        <is>
          <t>STR-095</t>
        </is>
      </c>
      <c r="B1150" s="7" t="inlineStr">
        <is>
          <t>Floor Slabs</t>
        </is>
      </c>
      <c r="C1150" s="7" t="inlineStr">
        <is>
          <t>Tenth floor slab - top</t>
        </is>
      </c>
      <c r="D1150" s="7" t="inlineStr">
        <is>
          <t>F14</t>
        </is>
      </c>
      <c r="E1150" s="27" t="inlineStr">
        <is>
          <t>1260</t>
        </is>
      </c>
      <c r="F1150" s="27" t="n">
        <v>12</v>
      </c>
      <c r="G1150" s="27" t="n">
        <v>151</v>
      </c>
      <c r="H1150" s="27" t="n">
        <v>9200</v>
      </c>
      <c r="I1150" s="28">
        <f>G1150*H1150/1000*F1150^2/162</f>
        <v>1234.8444444444447</v>
      </c>
    </row>
    <row r="1151">
      <c r="A1151" s="7" t="inlineStr">
        <is>
          <t>STR-095</t>
        </is>
      </c>
      <c r="B1151" s="7" t="inlineStr">
        <is>
          <t>Floor Slabs</t>
        </is>
      </c>
      <c r="C1151" s="7" t="inlineStr">
        <is>
          <t>Tenth floor slab - top</t>
        </is>
      </c>
      <c r="D1151" s="7" t="inlineStr">
        <is>
          <t>F14</t>
        </is>
      </c>
      <c r="E1151" s="27" t="inlineStr">
        <is>
          <t>1261</t>
        </is>
      </c>
      <c r="F1151" s="27" t="n">
        <v>12</v>
      </c>
      <c r="G1151" s="27" t="n">
        <v>12</v>
      </c>
      <c r="H1151" s="27" t="n">
        <v>9475</v>
      </c>
      <c r="I1151" s="28">
        <f>G1151*H1151/1000*F1151^2/162</f>
        <v>101.06666666666668</v>
      </c>
    </row>
    <row r="1152">
      <c r="A1152" s="7" t="inlineStr">
        <is>
          <t>STR-095</t>
        </is>
      </c>
      <c r="B1152" s="7" t="inlineStr">
        <is>
          <t>Floor Slabs</t>
        </is>
      </c>
      <c r="C1152" s="7" t="inlineStr">
        <is>
          <t>Tenth floor slab - top</t>
        </is>
      </c>
      <c r="D1152" s="7" t="inlineStr">
        <is>
          <t>F14</t>
        </is>
      </c>
      <c r="E1152" s="27" t="inlineStr">
        <is>
          <t>1262</t>
        </is>
      </c>
      <c r="F1152" s="27" t="n">
        <v>12</v>
      </c>
      <c r="G1152" s="27" t="n">
        <v>105</v>
      </c>
      <c r="H1152" s="27" t="n">
        <v>2200</v>
      </c>
      <c r="I1152" s="28">
        <f>G1152*H1152/1000*F1152^2/162</f>
        <v>205.33333333333334</v>
      </c>
    </row>
    <row r="1153">
      <c r="A1153" s="7" t="inlineStr">
        <is>
          <t>STR-095</t>
        </is>
      </c>
      <c r="B1153" s="7" t="inlineStr">
        <is>
          <t>Floor Slabs</t>
        </is>
      </c>
      <c r="C1153" s="7" t="inlineStr">
        <is>
          <t>Tenth floor slab - top</t>
        </is>
      </c>
      <c r="D1153" s="7" t="inlineStr">
        <is>
          <t>F14</t>
        </is>
      </c>
      <c r="E1153" s="27" t="inlineStr">
        <is>
          <t>1263</t>
        </is>
      </c>
      <c r="F1153" s="27" t="n">
        <v>12</v>
      </c>
      <c r="G1153" s="27" t="n">
        <v>7</v>
      </c>
      <c r="H1153" s="27" t="n">
        <v>6000</v>
      </c>
      <c r="I1153" s="28">
        <f>G1153*H1153/1000*F1153^2/162</f>
        <v>37.333333333333336</v>
      </c>
    </row>
    <row r="1154">
      <c r="A1154" s="7" t="inlineStr">
        <is>
          <t>STR-095</t>
        </is>
      </c>
      <c r="B1154" s="7" t="inlineStr">
        <is>
          <t>Floor Slabs</t>
        </is>
      </c>
      <c r="C1154" s="7" t="inlineStr">
        <is>
          <t>Tenth floor slab - top</t>
        </is>
      </c>
      <c r="D1154" s="7" t="inlineStr">
        <is>
          <t>F14</t>
        </is>
      </c>
      <c r="E1154" s="27" t="inlineStr">
        <is>
          <t>1264</t>
        </is>
      </c>
      <c r="F1154" s="27" t="n">
        <v>12</v>
      </c>
      <c r="G1154" s="27" t="n">
        <v>85</v>
      </c>
      <c r="H1154" s="27" t="n">
        <v>4600</v>
      </c>
      <c r="I1154" s="28">
        <f>G1154*H1154/1000*F1154^2/162</f>
        <v>347.55555555555554</v>
      </c>
    </row>
    <row r="1155">
      <c r="A1155" s="7" t="inlineStr">
        <is>
          <t>STR-095</t>
        </is>
      </c>
      <c r="B1155" s="7" t="inlineStr">
        <is>
          <t>Floor Slabs</t>
        </is>
      </c>
      <c r="C1155" s="7" t="inlineStr">
        <is>
          <t>Tenth floor slab - top</t>
        </is>
      </c>
      <c r="D1155" s="7" t="inlineStr">
        <is>
          <t>F14</t>
        </is>
      </c>
      <c r="E1155" s="27" t="inlineStr">
        <is>
          <t>1265</t>
        </is>
      </c>
      <c r="F1155" s="27" t="n">
        <v>12</v>
      </c>
      <c r="G1155" s="27" t="n">
        <v>12</v>
      </c>
      <c r="H1155" s="27" t="n">
        <v>8750</v>
      </c>
      <c r="I1155" s="28">
        <f>G1155*H1155/1000*F1155^2/162</f>
        <v>93.33333333333333</v>
      </c>
    </row>
    <row r="1156">
      <c r="A1156" s="7" t="inlineStr">
        <is>
          <t>STR-095</t>
        </is>
      </c>
      <c r="B1156" s="7" t="inlineStr">
        <is>
          <t>Floor Slabs</t>
        </is>
      </c>
      <c r="C1156" s="7" t="inlineStr">
        <is>
          <t>Tenth floor slab - top</t>
        </is>
      </c>
      <c r="D1156" s="7" t="inlineStr">
        <is>
          <t>F14</t>
        </is>
      </c>
      <c r="E1156" s="27" t="inlineStr">
        <is>
          <t>1266</t>
        </is>
      </c>
      <c r="F1156" s="27" t="n">
        <v>12</v>
      </c>
      <c r="G1156" s="27" t="n">
        <v>98</v>
      </c>
      <c r="H1156" s="27" t="n">
        <v>12000</v>
      </c>
      <c r="I1156" s="28">
        <f>G1156*H1156/1000*F1156^2/162</f>
        <v>1045.3333333333333</v>
      </c>
    </row>
    <row r="1157">
      <c r="A1157" s="7" t="inlineStr">
        <is>
          <t>STR-095</t>
        </is>
      </c>
      <c r="B1157" s="7" t="inlineStr">
        <is>
          <t>Floor Slabs</t>
        </is>
      </c>
      <c r="C1157" s="7" t="inlineStr">
        <is>
          <t>Tenth floor slab - top</t>
        </is>
      </c>
      <c r="D1157" s="7" t="inlineStr">
        <is>
          <t>F14</t>
        </is>
      </c>
      <c r="E1157" s="27" t="inlineStr">
        <is>
          <t>1267</t>
        </is>
      </c>
      <c r="F1157" s="27" t="n">
        <v>12</v>
      </c>
      <c r="G1157" s="27" t="n">
        <v>36</v>
      </c>
      <c r="H1157" s="27" t="n">
        <v>8725</v>
      </c>
      <c r="I1157" s="28">
        <f>G1157*H1157/1000*F1157^2/162</f>
        <v>279.2</v>
      </c>
    </row>
    <row r="1158">
      <c r="A1158" s="7" t="inlineStr">
        <is>
          <t>STR-095</t>
        </is>
      </c>
      <c r="B1158" s="7" t="inlineStr">
        <is>
          <t>Floor Slabs</t>
        </is>
      </c>
      <c r="C1158" s="7" t="inlineStr">
        <is>
          <t>Tenth floor slab - top</t>
        </is>
      </c>
      <c r="D1158" s="7" t="inlineStr">
        <is>
          <t>F14</t>
        </is>
      </c>
      <c r="E1158" s="27" t="inlineStr">
        <is>
          <t>1268</t>
        </is>
      </c>
      <c r="F1158" s="27" t="n">
        <v>12</v>
      </c>
      <c r="G1158" s="27" t="n">
        <v>58</v>
      </c>
      <c r="H1158" s="27" t="n">
        <v>11800</v>
      </c>
      <c r="I1158" s="28">
        <f>G1158*H1158/1000*F1158^2/162</f>
        <v>608.3555555555555</v>
      </c>
    </row>
    <row r="1159">
      <c r="A1159" s="7" t="inlineStr">
        <is>
          <t>STR-095</t>
        </is>
      </c>
      <c r="B1159" s="7" t="inlineStr">
        <is>
          <t>Floor Slabs</t>
        </is>
      </c>
      <c r="C1159" s="7" t="inlineStr">
        <is>
          <t>Tenth floor slab - top</t>
        </is>
      </c>
      <c r="D1159" s="7" t="inlineStr">
        <is>
          <t>F14</t>
        </is>
      </c>
      <c r="E1159" s="27" t="inlineStr">
        <is>
          <t>1269</t>
        </is>
      </c>
      <c r="F1159" s="27" t="n">
        <v>12</v>
      </c>
      <c r="G1159" s="27" t="n">
        <v>12</v>
      </c>
      <c r="H1159" s="27" t="n">
        <v>11550</v>
      </c>
      <c r="I1159" s="28">
        <f>G1159*H1159/1000*F1159^2/162</f>
        <v>123.19999999999999</v>
      </c>
    </row>
    <row r="1160">
      <c r="A1160" s="7" t="inlineStr">
        <is>
          <t>STR-095</t>
        </is>
      </c>
      <c r="B1160" s="7" t="inlineStr">
        <is>
          <t>Floor Slabs</t>
        </is>
      </c>
      <c r="C1160" s="7" t="inlineStr">
        <is>
          <t>Tenth floor slab - top</t>
        </is>
      </c>
      <c r="D1160" s="7" t="inlineStr">
        <is>
          <t>F14</t>
        </is>
      </c>
      <c r="E1160" s="27" t="inlineStr">
        <is>
          <t>1270</t>
        </is>
      </c>
      <c r="F1160" s="27" t="n">
        <v>12</v>
      </c>
      <c r="G1160" s="27" t="n">
        <v>75</v>
      </c>
      <c r="H1160" s="27" t="n">
        <v>7900</v>
      </c>
      <c r="I1160" s="28">
        <f>G1160*H1160/1000*F1160^2/162</f>
        <v>526.6666666666666</v>
      </c>
    </row>
    <row r="1161">
      <c r="A1161" s="7" t="inlineStr">
        <is>
          <t>STR-096</t>
        </is>
      </c>
      <c r="B1161" s="7" t="inlineStr">
        <is>
          <t>Floor Slabs</t>
        </is>
      </c>
      <c r="C1161" s="7" t="inlineStr">
        <is>
          <t>Tenth floor slab - additional top</t>
        </is>
      </c>
      <c r="D1161" s="7" t="inlineStr">
        <is>
          <t>F14</t>
        </is>
      </c>
      <c r="E1161" s="27" t="inlineStr">
        <is>
          <t>1271</t>
        </is>
      </c>
      <c r="F1161" s="27" t="n">
        <v>12</v>
      </c>
      <c r="G1161" s="27" t="n">
        <v>40</v>
      </c>
      <c r="H1161" s="27" t="n">
        <v>11000</v>
      </c>
      <c r="I1161" s="28">
        <f>G1161*H1161/1000*F1161^2/162</f>
        <v>391.1111111111111</v>
      </c>
    </row>
    <row r="1162">
      <c r="A1162" s="7" t="inlineStr">
        <is>
          <t>STR-096</t>
        </is>
      </c>
      <c r="B1162" s="7" t="inlineStr">
        <is>
          <t>Floor Slabs</t>
        </is>
      </c>
      <c r="C1162" s="7" t="inlineStr">
        <is>
          <t>Tenth floor slab - additional top</t>
        </is>
      </c>
      <c r="D1162" s="7" t="inlineStr">
        <is>
          <t>F14</t>
        </is>
      </c>
      <c r="E1162" s="27" t="inlineStr">
        <is>
          <t>1272</t>
        </is>
      </c>
      <c r="F1162" s="27" t="n">
        <v>12</v>
      </c>
      <c r="G1162" s="27" t="n">
        <v>139</v>
      </c>
      <c r="H1162" s="27" t="n">
        <v>3000</v>
      </c>
      <c r="I1162" s="28">
        <f>G1162*H1162/1000*F1162^2/162</f>
        <v>370.6666666666667</v>
      </c>
    </row>
    <row r="1163">
      <c r="A1163" s="7" t="inlineStr">
        <is>
          <t>STR-096</t>
        </is>
      </c>
      <c r="B1163" s="7" t="inlineStr">
        <is>
          <t>Floor Slabs</t>
        </is>
      </c>
      <c r="C1163" s="7" t="inlineStr">
        <is>
          <t>Tenth floor slab - additional top</t>
        </is>
      </c>
      <c r="D1163" s="7" t="inlineStr">
        <is>
          <t>F14</t>
        </is>
      </c>
      <c r="E1163" s="27" t="inlineStr">
        <is>
          <t>1273</t>
        </is>
      </c>
      <c r="F1163" s="27" t="n">
        <v>12</v>
      </c>
      <c r="G1163" s="27" t="n">
        <v>79</v>
      </c>
      <c r="H1163" s="27" t="n">
        <v>4150</v>
      </c>
      <c r="I1163" s="28">
        <f>G1163*H1163/1000*F1163^2/162</f>
        <v>291.4222222222222</v>
      </c>
    </row>
    <row r="1164">
      <c r="A1164" s="7" t="inlineStr">
        <is>
          <t>STR-096</t>
        </is>
      </c>
      <c r="B1164" s="7" t="inlineStr">
        <is>
          <t>Floor Slabs</t>
        </is>
      </c>
      <c r="C1164" s="7" t="inlineStr">
        <is>
          <t>Tenth floor slab - additional top</t>
        </is>
      </c>
      <c r="D1164" s="7" t="inlineStr">
        <is>
          <t>F14</t>
        </is>
      </c>
      <c r="E1164" s="27" t="inlineStr">
        <is>
          <t>1274</t>
        </is>
      </c>
      <c r="F1164" s="27" t="n">
        <v>12</v>
      </c>
      <c r="G1164" s="27" t="n">
        <v>10</v>
      </c>
      <c r="H1164" s="27" t="n">
        <v>2875</v>
      </c>
      <c r="I1164" s="28">
        <f>G1164*H1164/1000*F1164^2/162</f>
        <v>25.555555555555557</v>
      </c>
    </row>
    <row r="1165">
      <c r="A1165" s="7" t="inlineStr">
        <is>
          <t>STR-096</t>
        </is>
      </c>
      <c r="B1165" s="7" t="inlineStr">
        <is>
          <t>Floor Slabs</t>
        </is>
      </c>
      <c r="C1165" s="7" t="inlineStr">
        <is>
          <t>Tenth floor slab - additional top</t>
        </is>
      </c>
      <c r="D1165" s="7" t="inlineStr">
        <is>
          <t>F14</t>
        </is>
      </c>
      <c r="E1165" s="27" t="inlineStr">
        <is>
          <t>1275</t>
        </is>
      </c>
      <c r="F1165" s="27" t="n">
        <v>12</v>
      </c>
      <c r="G1165" s="27" t="n">
        <v>73</v>
      </c>
      <c r="H1165" s="27" t="n">
        <v>6000</v>
      </c>
      <c r="I1165" s="28">
        <f>G1165*H1165/1000*F1165^2/162</f>
        <v>389.3333333333333</v>
      </c>
    </row>
    <row r="1166">
      <c r="A1166" s="7" t="inlineStr">
        <is>
          <t>STR-096</t>
        </is>
      </c>
      <c r="B1166" s="7" t="inlineStr">
        <is>
          <t>Floor Slabs</t>
        </is>
      </c>
      <c r="C1166" s="7" t="inlineStr">
        <is>
          <t>Tenth floor slab - additional top</t>
        </is>
      </c>
      <c r="D1166" s="7" t="inlineStr">
        <is>
          <t>F14</t>
        </is>
      </c>
      <c r="E1166" s="27" t="inlineStr">
        <is>
          <t>1276</t>
        </is>
      </c>
      <c r="F1166" s="27" t="n">
        <v>12</v>
      </c>
      <c r="G1166" s="27" t="n">
        <v>60</v>
      </c>
      <c r="H1166" s="27" t="n">
        <v>4900</v>
      </c>
      <c r="I1166" s="28">
        <f>G1166*H1166/1000*F1166^2/162</f>
        <v>261.3333333333333</v>
      </c>
    </row>
    <row r="1167">
      <c r="A1167" s="7" t="inlineStr">
        <is>
          <t>STR-096</t>
        </is>
      </c>
      <c r="B1167" s="7" t="inlineStr">
        <is>
          <t>Floor Slabs</t>
        </is>
      </c>
      <c r="C1167" s="7" t="inlineStr">
        <is>
          <t>Tenth floor slab - additional top</t>
        </is>
      </c>
      <c r="D1167" s="7" t="inlineStr">
        <is>
          <t>F14</t>
        </is>
      </c>
      <c r="E1167" s="27" t="inlineStr">
        <is>
          <t>1277</t>
        </is>
      </c>
      <c r="F1167" s="27" t="n">
        <v>12</v>
      </c>
      <c r="G1167" s="27" t="n">
        <v>25</v>
      </c>
      <c r="H1167" s="27" t="n">
        <v>1475</v>
      </c>
      <c r="I1167" s="28">
        <f>G1167*H1167/1000*F1167^2/162</f>
        <v>32.77777777777778</v>
      </c>
    </row>
    <row r="1168">
      <c r="A1168" s="7" t="inlineStr">
        <is>
          <t>STR-096</t>
        </is>
      </c>
      <c r="B1168" s="7" t="inlineStr">
        <is>
          <t>Floor Slabs</t>
        </is>
      </c>
      <c r="C1168" s="7" t="inlineStr">
        <is>
          <t>Tenth floor slab - additional top</t>
        </is>
      </c>
      <c r="D1168" s="7" t="inlineStr">
        <is>
          <t>F14</t>
        </is>
      </c>
      <c r="E1168" s="27" t="inlineStr">
        <is>
          <t>1601</t>
        </is>
      </c>
      <c r="F1168" s="27" t="n">
        <v>16</v>
      </c>
      <c r="G1168" s="27" t="n">
        <v>6</v>
      </c>
      <c r="H1168" s="27" t="n">
        <v>3375</v>
      </c>
      <c r="I1168" s="28">
        <f>G1168*H1168/1000*F1168^2/162</f>
        <v>32.0</v>
      </c>
    </row>
    <row r="1169">
      <c r="A1169" s="7" t="inlineStr">
        <is>
          <t>STR-096</t>
        </is>
      </c>
      <c r="B1169" s="7" t="inlineStr">
        <is>
          <t>Floor Slabs</t>
        </is>
      </c>
      <c r="C1169" s="7" t="inlineStr">
        <is>
          <t>Tenth floor slab - additional top</t>
        </is>
      </c>
      <c r="D1169" s="7" t="inlineStr">
        <is>
          <t>F14</t>
        </is>
      </c>
      <c r="E1169" s="27" t="inlineStr">
        <is>
          <t>1602</t>
        </is>
      </c>
      <c r="F1169" s="27" t="n">
        <v>16</v>
      </c>
      <c r="G1169" s="27" t="n">
        <v>6</v>
      </c>
      <c r="H1169" s="27" t="n">
        <v>6675</v>
      </c>
      <c r="I1169" s="28">
        <f>G1169*H1169/1000*F1169^2/162</f>
        <v>63.288888888888884</v>
      </c>
    </row>
    <row r="1170">
      <c r="A1170" s="7" t="inlineStr">
        <is>
          <t>STR-096</t>
        </is>
      </c>
      <c r="B1170" s="7" t="inlineStr">
        <is>
          <t>Floor Slabs</t>
        </is>
      </c>
      <c r="C1170" s="7" t="inlineStr">
        <is>
          <t>Tenth floor slab - additional top</t>
        </is>
      </c>
      <c r="D1170" s="7" t="inlineStr">
        <is>
          <t>F14</t>
        </is>
      </c>
      <c r="E1170" s="27" t="inlineStr">
        <is>
          <t>1604</t>
        </is>
      </c>
      <c r="F1170" s="27" t="n">
        <v>16</v>
      </c>
      <c r="G1170" s="27" t="n">
        <v>3</v>
      </c>
      <c r="H1170" s="27" t="n">
        <v>3000</v>
      </c>
      <c r="I1170" s="28">
        <f>G1170*H1170/1000*F1170^2/162</f>
        <v>14.222222222222221</v>
      </c>
    </row>
    <row r="1171">
      <c r="A1171" s="7" t="inlineStr">
        <is>
          <t>STR-096</t>
        </is>
      </c>
      <c r="B1171" s="7" t="inlineStr">
        <is>
          <t>Floor Slabs</t>
        </is>
      </c>
      <c r="C1171" s="7" t="inlineStr">
        <is>
          <t>Tenth floor slab - additional top</t>
        </is>
      </c>
      <c r="D1171" s="7" t="inlineStr">
        <is>
          <t>F14</t>
        </is>
      </c>
      <c r="E1171" s="27" t="inlineStr">
        <is>
          <t>1605</t>
        </is>
      </c>
      <c r="F1171" s="27" t="n">
        <v>16</v>
      </c>
      <c r="G1171" s="27" t="n">
        <v>6</v>
      </c>
      <c r="H1171" s="27" t="n">
        <v>4025</v>
      </c>
      <c r="I1171" s="28">
        <f>G1171*H1171/1000*F1171^2/162</f>
        <v>38.16296296296296</v>
      </c>
    </row>
    <row r="1172">
      <c r="A1172" s="7" t="inlineStr">
        <is>
          <t>STR-099</t>
        </is>
      </c>
      <c r="B1172" s="7" t="inlineStr">
        <is>
          <t>Beams</t>
        </is>
      </c>
      <c r="C1172" s="7" t="inlineStr">
        <is>
          <t>Roof top terrace beams (1 of 2)</t>
        </is>
      </c>
      <c r="D1172" s="7" t="inlineStr">
        <is>
          <t>F15</t>
        </is>
      </c>
      <c r="E1172" s="27" t="inlineStr">
        <is>
          <t>1001</t>
        </is>
      </c>
      <c r="F1172" s="27" t="n">
        <v>10</v>
      </c>
      <c r="G1172" s="27" t="n">
        <v>864</v>
      </c>
      <c r="H1172" s="27" t="n">
        <v>1700</v>
      </c>
      <c r="I1172" s="28">
        <f>G1172*H1172/1000*F1172^2/162</f>
        <v>906.6666666666666</v>
      </c>
    </row>
    <row r="1173">
      <c r="A1173" s="7" t="inlineStr">
        <is>
          <t>STR-099</t>
        </is>
      </c>
      <c r="B1173" s="7" t="inlineStr">
        <is>
          <t>Beams</t>
        </is>
      </c>
      <c r="C1173" s="7" t="inlineStr">
        <is>
          <t>Roof top terrace beams (1 of 2)</t>
        </is>
      </c>
      <c r="D1173" s="7" t="inlineStr">
        <is>
          <t>F15</t>
        </is>
      </c>
      <c r="E1173" s="27" t="inlineStr">
        <is>
          <t>1001(2)</t>
        </is>
      </c>
      <c r="F1173" s="27" t="n">
        <v>10</v>
      </c>
      <c r="G1173" s="27" t="n">
        <v>32</v>
      </c>
      <c r="H1173" s="27" t="n">
        <v>1400</v>
      </c>
      <c r="I1173" s="28">
        <f>G1173*H1173/1000*F1173^2/162</f>
        <v>27.65432098765432</v>
      </c>
    </row>
    <row r="1174">
      <c r="A1174" s="7" t="inlineStr">
        <is>
          <t>STR-099</t>
        </is>
      </c>
      <c r="B1174" s="7" t="inlineStr">
        <is>
          <t>Beams</t>
        </is>
      </c>
      <c r="C1174" s="7" t="inlineStr">
        <is>
          <t>Roof top terrace beams (1 of 2)</t>
        </is>
      </c>
      <c r="D1174" s="7" t="inlineStr">
        <is>
          <t>F15</t>
        </is>
      </c>
      <c r="E1174" s="27" t="inlineStr">
        <is>
          <t>1002</t>
        </is>
      </c>
      <c r="F1174" s="27" t="n">
        <v>10</v>
      </c>
      <c r="G1174" s="27" t="n">
        <v>117</v>
      </c>
      <c r="H1174" s="27" t="n">
        <v>1500</v>
      </c>
      <c r="I1174" s="28">
        <f>G1174*H1174/1000*F1174^2/162</f>
        <v>108.33333333333333</v>
      </c>
    </row>
    <row r="1175">
      <c r="A1175" s="7" t="inlineStr">
        <is>
          <t>STR-099</t>
        </is>
      </c>
      <c r="B1175" s="7" t="inlineStr">
        <is>
          <t>Beams</t>
        </is>
      </c>
      <c r="C1175" s="7" t="inlineStr">
        <is>
          <t>Roof top terrace beams (1 of 2)</t>
        </is>
      </c>
      <c r="D1175" s="7" t="inlineStr">
        <is>
          <t>F15</t>
        </is>
      </c>
      <c r="E1175" s="27" t="inlineStr">
        <is>
          <t>1601</t>
        </is>
      </c>
      <c r="F1175" s="27" t="n">
        <v>16</v>
      </c>
      <c r="G1175" s="27" t="n">
        <v>12</v>
      </c>
      <c r="H1175" s="27" t="n">
        <v>12000</v>
      </c>
      <c r="I1175" s="28">
        <f>G1175*H1175/1000*F1175^2/162</f>
        <v>227.55555555555554</v>
      </c>
    </row>
    <row r="1176">
      <c r="A1176" s="7" t="inlineStr">
        <is>
          <t>STR-099</t>
        </is>
      </c>
      <c r="B1176" s="7" t="inlineStr">
        <is>
          <t>Beams</t>
        </is>
      </c>
      <c r="C1176" s="7" t="inlineStr">
        <is>
          <t>Roof top terrace beams (1 of 2)</t>
        </is>
      </c>
      <c r="D1176" s="7" t="inlineStr">
        <is>
          <t>F15</t>
        </is>
      </c>
      <c r="E1176" s="27" t="inlineStr">
        <is>
          <t>1602</t>
        </is>
      </c>
      <c r="F1176" s="27" t="n">
        <v>16</v>
      </c>
      <c r="G1176" s="27" t="n">
        <v>2</v>
      </c>
      <c r="H1176" s="27" t="n">
        <v>7275</v>
      </c>
      <c r="I1176" s="28">
        <f>G1176*H1176/1000*F1176^2/162</f>
        <v>22.992592592592594</v>
      </c>
    </row>
    <row r="1177">
      <c r="A1177" s="7" t="inlineStr">
        <is>
          <t>STR-099</t>
        </is>
      </c>
      <c r="B1177" s="7" t="inlineStr">
        <is>
          <t>Beams</t>
        </is>
      </c>
      <c r="C1177" s="7" t="inlineStr">
        <is>
          <t>Roof top terrace beams (1 of 2)</t>
        </is>
      </c>
      <c r="D1177" s="7" t="inlineStr">
        <is>
          <t>F15</t>
        </is>
      </c>
      <c r="E1177" s="27" t="inlineStr">
        <is>
          <t>1603</t>
        </is>
      </c>
      <c r="F1177" s="27" t="n">
        <v>16</v>
      </c>
      <c r="G1177" s="27" t="n">
        <v>3</v>
      </c>
      <c r="H1177" s="27" t="n">
        <v>8900</v>
      </c>
      <c r="I1177" s="28">
        <f>G1177*H1177/1000*F1177^2/162</f>
        <v>42.19259259259259</v>
      </c>
    </row>
    <row r="1178">
      <c r="A1178" s="7" t="inlineStr">
        <is>
          <t>STR-099</t>
        </is>
      </c>
      <c r="B1178" s="7" t="inlineStr">
        <is>
          <t>Beams</t>
        </is>
      </c>
      <c r="C1178" s="7" t="inlineStr">
        <is>
          <t>Roof top terrace beams (1 of 2)</t>
        </is>
      </c>
      <c r="D1178" s="7" t="inlineStr">
        <is>
          <t>F15</t>
        </is>
      </c>
      <c r="E1178" s="27" t="inlineStr">
        <is>
          <t>1604</t>
        </is>
      </c>
      <c r="F1178" s="27" t="n">
        <v>16</v>
      </c>
      <c r="G1178" s="27" t="n">
        <v>3</v>
      </c>
      <c r="H1178" s="27" t="n">
        <v>5600</v>
      </c>
      <c r="I1178" s="28">
        <f>G1178*H1178/1000*F1178^2/162</f>
        <v>26.54814814814815</v>
      </c>
    </row>
    <row r="1179">
      <c r="A1179" s="7" t="inlineStr">
        <is>
          <t>STR-099</t>
        </is>
      </c>
      <c r="B1179" s="7" t="inlineStr">
        <is>
          <t>Beams</t>
        </is>
      </c>
      <c r="C1179" s="7" t="inlineStr">
        <is>
          <t>Roof top terrace beams (1 of 2)</t>
        </is>
      </c>
      <c r="D1179" s="7" t="inlineStr">
        <is>
          <t>F15</t>
        </is>
      </c>
      <c r="E1179" s="27" t="inlineStr">
        <is>
          <t>1605</t>
        </is>
      </c>
      <c r="F1179" s="27" t="n">
        <v>16</v>
      </c>
      <c r="G1179" s="27" t="n">
        <v>3</v>
      </c>
      <c r="H1179" s="27" t="n">
        <v>9300</v>
      </c>
      <c r="I1179" s="28">
        <f>G1179*H1179/1000*F1179^2/162</f>
        <v>44.08888888888889</v>
      </c>
    </row>
    <row r="1180">
      <c r="A1180" s="7" t="inlineStr">
        <is>
          <t>STR-099</t>
        </is>
      </c>
      <c r="B1180" s="7" t="inlineStr">
        <is>
          <t>Beams</t>
        </is>
      </c>
      <c r="C1180" s="7" t="inlineStr">
        <is>
          <t>Roof top terrace beams (1 of 2)</t>
        </is>
      </c>
      <c r="D1180" s="7" t="inlineStr">
        <is>
          <t>F15</t>
        </is>
      </c>
      <c r="E1180" s="27" t="inlineStr">
        <is>
          <t>1606</t>
        </is>
      </c>
      <c r="F1180" s="27" t="n">
        <v>16</v>
      </c>
      <c r="G1180" s="27" t="n">
        <v>2</v>
      </c>
      <c r="H1180" s="27" t="n">
        <v>9125</v>
      </c>
      <c r="I1180" s="28">
        <f>G1180*H1180/1000*F1180^2/162</f>
        <v>28.839506172839506</v>
      </c>
    </row>
    <row r="1181">
      <c r="A1181" s="7" t="inlineStr">
        <is>
          <t>STR-099</t>
        </is>
      </c>
      <c r="B1181" s="7" t="inlineStr">
        <is>
          <t>Beams</t>
        </is>
      </c>
      <c r="C1181" s="7" t="inlineStr">
        <is>
          <t>Roof top terrace beams (1 of 2)</t>
        </is>
      </c>
      <c r="D1181" s="7" t="inlineStr">
        <is>
          <t>F15</t>
        </is>
      </c>
      <c r="E1181" s="27" t="inlineStr">
        <is>
          <t>1607</t>
        </is>
      </c>
      <c r="F1181" s="27" t="n">
        <v>16</v>
      </c>
      <c r="G1181" s="27" t="n">
        <v>2</v>
      </c>
      <c r="H1181" s="27" t="n">
        <v>8000</v>
      </c>
      <c r="I1181" s="28">
        <f>G1181*H1181/1000*F1181^2/162</f>
        <v>25.28395061728395</v>
      </c>
    </row>
    <row r="1182">
      <c r="A1182" s="7" t="inlineStr">
        <is>
          <t>STR-099</t>
        </is>
      </c>
      <c r="B1182" s="7" t="inlineStr">
        <is>
          <t>Beams</t>
        </is>
      </c>
      <c r="C1182" s="7" t="inlineStr">
        <is>
          <t>Roof top terrace beams (1 of 2)</t>
        </is>
      </c>
      <c r="D1182" s="7" t="inlineStr">
        <is>
          <t>F15</t>
        </is>
      </c>
      <c r="E1182" s="27" t="inlineStr">
        <is>
          <t>1608</t>
        </is>
      </c>
      <c r="F1182" s="27" t="n">
        <v>16</v>
      </c>
      <c r="G1182" s="27" t="n">
        <v>2</v>
      </c>
      <c r="H1182" s="27" t="n">
        <v>4775</v>
      </c>
      <c r="I1182" s="28">
        <f>G1182*H1182/1000*F1182^2/162</f>
        <v>15.09135802469136</v>
      </c>
    </row>
    <row r="1183">
      <c r="A1183" s="7" t="inlineStr">
        <is>
          <t>STR-099</t>
        </is>
      </c>
      <c r="B1183" s="7" t="inlineStr">
        <is>
          <t>Beams</t>
        </is>
      </c>
      <c r="C1183" s="7" t="inlineStr">
        <is>
          <t>Roof top terrace beams (1 of 2)</t>
        </is>
      </c>
      <c r="D1183" s="7" t="inlineStr">
        <is>
          <t>F15</t>
        </is>
      </c>
      <c r="E1183" s="27" t="inlineStr">
        <is>
          <t>1609</t>
        </is>
      </c>
      <c r="F1183" s="27" t="n">
        <v>16</v>
      </c>
      <c r="G1183" s="27" t="n">
        <v>2</v>
      </c>
      <c r="H1183" s="27" t="n">
        <v>8875</v>
      </c>
      <c r="I1183" s="28">
        <f>G1183*H1183/1000*F1183^2/162</f>
        <v>28.049382716049383</v>
      </c>
    </row>
    <row r="1184">
      <c r="A1184" s="7" t="inlineStr">
        <is>
          <t>STR-099</t>
        </is>
      </c>
      <c r="B1184" s="7" t="inlineStr">
        <is>
          <t>Beams</t>
        </is>
      </c>
      <c r="C1184" s="7" t="inlineStr">
        <is>
          <t>Roof top terrace beams (1 of 2)</t>
        </is>
      </c>
      <c r="D1184" s="7" t="inlineStr">
        <is>
          <t>F15</t>
        </is>
      </c>
      <c r="E1184" s="27" t="inlineStr">
        <is>
          <t>1610</t>
        </is>
      </c>
      <c r="F1184" s="27" t="n">
        <v>16</v>
      </c>
      <c r="G1184" s="27" t="n">
        <v>2</v>
      </c>
      <c r="H1184" s="27" t="n">
        <v>7700</v>
      </c>
      <c r="I1184" s="28">
        <f>G1184*H1184/1000*F1184^2/162</f>
        <v>24.335802469135803</v>
      </c>
    </row>
    <row r="1185">
      <c r="A1185" s="7" t="inlineStr">
        <is>
          <t>STR-099</t>
        </is>
      </c>
      <c r="B1185" s="7" t="inlineStr">
        <is>
          <t>Beams</t>
        </is>
      </c>
      <c r="C1185" s="7" t="inlineStr">
        <is>
          <t>Roof top terrace beams (1 of 2)</t>
        </is>
      </c>
      <c r="D1185" s="7" t="inlineStr">
        <is>
          <t>F15</t>
        </is>
      </c>
      <c r="E1185" s="27" t="inlineStr">
        <is>
          <t>1611</t>
        </is>
      </c>
      <c r="F1185" s="27" t="n">
        <v>16</v>
      </c>
      <c r="G1185" s="27" t="n">
        <v>2</v>
      </c>
      <c r="H1185" s="27" t="n">
        <v>10550</v>
      </c>
      <c r="I1185" s="28">
        <f>G1185*H1185/1000*F1185^2/162</f>
        <v>33.34320987654321</v>
      </c>
    </row>
    <row r="1186">
      <c r="A1186" s="7" t="inlineStr">
        <is>
          <t>STR-099</t>
        </is>
      </c>
      <c r="B1186" s="7" t="inlineStr">
        <is>
          <t>Beams</t>
        </is>
      </c>
      <c r="C1186" s="7" t="inlineStr">
        <is>
          <t>Roof top terrace beams (1 of 2)</t>
        </is>
      </c>
      <c r="D1186" s="7" t="inlineStr">
        <is>
          <t>F15</t>
        </is>
      </c>
      <c r="E1186" s="27" t="inlineStr">
        <is>
          <t>1612</t>
        </is>
      </c>
      <c r="F1186" s="27" t="n">
        <v>16</v>
      </c>
      <c r="G1186" s="27" t="n">
        <v>2</v>
      </c>
      <c r="H1186" s="27" t="n">
        <v>9075</v>
      </c>
      <c r="I1186" s="28">
        <f>G1186*H1186/1000*F1186^2/162</f>
        <v>28.68148148148148</v>
      </c>
    </row>
    <row r="1187">
      <c r="A1187" s="7" t="inlineStr">
        <is>
          <t>STR-099</t>
        </is>
      </c>
      <c r="B1187" s="7" t="inlineStr">
        <is>
          <t>Beams</t>
        </is>
      </c>
      <c r="C1187" s="7" t="inlineStr">
        <is>
          <t>Roof top terrace beams (1 of 2)</t>
        </is>
      </c>
      <c r="D1187" s="7" t="inlineStr">
        <is>
          <t>F15</t>
        </is>
      </c>
      <c r="E1187" s="27" t="inlineStr">
        <is>
          <t>2001</t>
        </is>
      </c>
      <c r="F1187" s="27" t="n">
        <v>20</v>
      </c>
      <c r="G1187" s="27" t="n">
        <v>3</v>
      </c>
      <c r="H1187" s="27" t="n">
        <v>11100</v>
      </c>
      <c r="I1187" s="28">
        <f>G1187*H1187/1000*F1187^2/162</f>
        <v>82.22222222222221</v>
      </c>
    </row>
    <row r="1188">
      <c r="A1188" s="7" t="inlineStr">
        <is>
          <t>STR-099</t>
        </is>
      </c>
      <c r="B1188" s="7" t="inlineStr">
        <is>
          <t>Beams</t>
        </is>
      </c>
      <c r="C1188" s="7" t="inlineStr">
        <is>
          <t>Roof top terrace beams (1 of 2)</t>
        </is>
      </c>
      <c r="D1188" s="7" t="inlineStr">
        <is>
          <t>F15</t>
        </is>
      </c>
      <c r="E1188" s="27" t="inlineStr">
        <is>
          <t>2002</t>
        </is>
      </c>
      <c r="F1188" s="27" t="n">
        <v>20</v>
      </c>
      <c r="G1188" s="27" t="n">
        <v>3</v>
      </c>
      <c r="H1188" s="27" t="n">
        <v>9300</v>
      </c>
      <c r="I1188" s="28">
        <f>G1188*H1188/1000*F1188^2/162</f>
        <v>68.88888888888889</v>
      </c>
    </row>
    <row r="1189">
      <c r="A1189" s="7" t="inlineStr">
        <is>
          <t>STR-099</t>
        </is>
      </c>
      <c r="B1189" s="7" t="inlineStr">
        <is>
          <t>Beams</t>
        </is>
      </c>
      <c r="C1189" s="7" t="inlineStr">
        <is>
          <t>Roof top terrace beams (1 of 2)</t>
        </is>
      </c>
      <c r="D1189" s="7" t="inlineStr">
        <is>
          <t>F15</t>
        </is>
      </c>
      <c r="E1189" s="27" t="inlineStr">
        <is>
          <t>2003</t>
        </is>
      </c>
      <c r="F1189" s="27" t="n">
        <v>20</v>
      </c>
      <c r="G1189" s="27" t="n">
        <v>3</v>
      </c>
      <c r="H1189" s="27" t="n">
        <v>12000</v>
      </c>
      <c r="I1189" s="28">
        <f>G1189*H1189/1000*F1189^2/162</f>
        <v>88.88888888888889</v>
      </c>
    </row>
    <row r="1190">
      <c r="A1190" s="7" t="inlineStr">
        <is>
          <t>STR-099</t>
        </is>
      </c>
      <c r="B1190" s="7" t="inlineStr">
        <is>
          <t>Beams</t>
        </is>
      </c>
      <c r="C1190" s="7" t="inlineStr">
        <is>
          <t>Roof top terrace beams (1 of 2)</t>
        </is>
      </c>
      <c r="D1190" s="7" t="inlineStr">
        <is>
          <t>F15</t>
        </is>
      </c>
      <c r="E1190" s="27" t="inlineStr">
        <is>
          <t>2004</t>
        </is>
      </c>
      <c r="F1190" s="27" t="n">
        <v>20</v>
      </c>
      <c r="G1190" s="27" t="n">
        <v>3</v>
      </c>
      <c r="H1190" s="27" t="n">
        <v>7000</v>
      </c>
      <c r="I1190" s="28">
        <f>G1190*H1190/1000*F1190^2/162</f>
        <v>51.851851851851855</v>
      </c>
    </row>
    <row r="1191">
      <c r="A1191" s="7" t="inlineStr">
        <is>
          <t>STR-099</t>
        </is>
      </c>
      <c r="B1191" s="7" t="inlineStr">
        <is>
          <t>Beams</t>
        </is>
      </c>
      <c r="C1191" s="7" t="inlineStr">
        <is>
          <t>Roof top terrace beams (1 of 2)</t>
        </is>
      </c>
      <c r="D1191" s="7" t="inlineStr">
        <is>
          <t>F15</t>
        </is>
      </c>
      <c r="E1191" s="27" t="inlineStr">
        <is>
          <t>2005</t>
        </is>
      </c>
      <c r="F1191" s="27" t="n">
        <v>20</v>
      </c>
      <c r="G1191" s="27" t="n">
        <v>6</v>
      </c>
      <c r="H1191" s="27" t="n">
        <v>9300</v>
      </c>
      <c r="I1191" s="28">
        <f>G1191*H1191/1000*F1191^2/162</f>
        <v>137.77777777777777</v>
      </c>
    </row>
    <row r="1192">
      <c r="A1192" s="7" t="inlineStr">
        <is>
          <t>STR-099</t>
        </is>
      </c>
      <c r="B1192" s="7" t="inlineStr">
        <is>
          <t>Beams</t>
        </is>
      </c>
      <c r="C1192" s="7" t="inlineStr">
        <is>
          <t>Roof top terrace beams (1 of 2)</t>
        </is>
      </c>
      <c r="D1192" s="7" t="inlineStr">
        <is>
          <t>F15</t>
        </is>
      </c>
      <c r="E1192" s="27" t="inlineStr">
        <is>
          <t>2006</t>
        </is>
      </c>
      <c r="F1192" s="27" t="n">
        <v>20</v>
      </c>
      <c r="G1192" s="27" t="n">
        <v>3</v>
      </c>
      <c r="H1192" s="27" t="n">
        <v>9000</v>
      </c>
      <c r="I1192" s="28">
        <f>G1192*H1192/1000*F1192^2/162</f>
        <v>66.66666666666667</v>
      </c>
    </row>
    <row r="1193">
      <c r="A1193" s="7" t="inlineStr">
        <is>
          <t>STR-099</t>
        </is>
      </c>
      <c r="B1193" s="7" t="inlineStr">
        <is>
          <t>Beams</t>
        </is>
      </c>
      <c r="C1193" s="7" t="inlineStr">
        <is>
          <t>Roof top terrace beams (1 of 2)</t>
        </is>
      </c>
      <c r="D1193" s="7" t="inlineStr">
        <is>
          <t>F15</t>
        </is>
      </c>
      <c r="E1193" s="27" t="inlineStr">
        <is>
          <t>2007</t>
        </is>
      </c>
      <c r="F1193" s="27" t="n">
        <v>20</v>
      </c>
      <c r="G1193" s="27" t="n">
        <v>2</v>
      </c>
      <c r="H1193" s="27" t="n">
        <v>6100</v>
      </c>
      <c r="I1193" s="28">
        <f>G1193*H1193/1000*F1193^2/162</f>
        <v>30.123456790123456</v>
      </c>
    </row>
    <row r="1194">
      <c r="A1194" s="7" t="inlineStr">
        <is>
          <t>STR-099</t>
        </is>
      </c>
      <c r="B1194" s="7" t="inlineStr">
        <is>
          <t>Beams</t>
        </is>
      </c>
      <c r="C1194" s="7" t="inlineStr">
        <is>
          <t>Roof top terrace beams (1 of 2)</t>
        </is>
      </c>
      <c r="D1194" s="7" t="inlineStr">
        <is>
          <t>F15</t>
        </is>
      </c>
      <c r="E1194" s="27" t="inlineStr">
        <is>
          <t>2008</t>
        </is>
      </c>
      <c r="F1194" s="27" t="n">
        <v>20</v>
      </c>
      <c r="G1194" s="27" t="n">
        <v>2</v>
      </c>
      <c r="H1194" s="27" t="n">
        <v>12000</v>
      </c>
      <c r="I1194" s="28">
        <f>G1194*H1194/1000*F1194^2/162</f>
        <v>59.25925925925926</v>
      </c>
    </row>
    <row r="1195">
      <c r="A1195" s="7" t="inlineStr">
        <is>
          <t>STR-099</t>
        </is>
      </c>
      <c r="B1195" s="7" t="inlineStr">
        <is>
          <t>Beams</t>
        </is>
      </c>
      <c r="C1195" s="7" t="inlineStr">
        <is>
          <t>Roof top terrace beams (1 of 2)</t>
        </is>
      </c>
      <c r="D1195" s="7" t="inlineStr">
        <is>
          <t>F15</t>
        </is>
      </c>
      <c r="E1195" s="27" t="inlineStr">
        <is>
          <t>2009</t>
        </is>
      </c>
      <c r="F1195" s="27" t="n">
        <v>20</v>
      </c>
      <c r="G1195" s="27" t="n">
        <v>2</v>
      </c>
      <c r="H1195" s="27" t="n">
        <v>9400</v>
      </c>
      <c r="I1195" s="28">
        <f>G1195*H1195/1000*F1195^2/162</f>
        <v>46.41975308641975</v>
      </c>
    </row>
    <row r="1196">
      <c r="A1196" s="7" t="inlineStr">
        <is>
          <t>STR-099</t>
        </is>
      </c>
      <c r="B1196" s="7" t="inlineStr">
        <is>
          <t>Beams</t>
        </is>
      </c>
      <c r="C1196" s="7" t="inlineStr">
        <is>
          <t>Roof top terrace beams (1 of 2)</t>
        </is>
      </c>
      <c r="D1196" s="7" t="inlineStr">
        <is>
          <t>F15</t>
        </is>
      </c>
      <c r="E1196" s="27" t="inlineStr">
        <is>
          <t>2010</t>
        </is>
      </c>
      <c r="F1196" s="27" t="n">
        <v>20</v>
      </c>
      <c r="G1196" s="27" t="n">
        <v>2</v>
      </c>
      <c r="H1196" s="27" t="n">
        <v>9100</v>
      </c>
      <c r="I1196" s="28">
        <f>G1196*H1196/1000*F1196^2/162</f>
        <v>44.93827160493827</v>
      </c>
    </row>
    <row r="1197">
      <c r="A1197" s="7" t="inlineStr">
        <is>
          <t>STR-099</t>
        </is>
      </c>
      <c r="B1197" s="7" t="inlineStr">
        <is>
          <t>Beams</t>
        </is>
      </c>
      <c r="C1197" s="7" t="inlineStr">
        <is>
          <t>Roof top terrace beams (1 of 2)</t>
        </is>
      </c>
      <c r="D1197" s="7" t="inlineStr">
        <is>
          <t>F15</t>
        </is>
      </c>
      <c r="E1197" s="27" t="inlineStr">
        <is>
          <t>2011</t>
        </is>
      </c>
      <c r="F1197" s="27" t="n">
        <v>20</v>
      </c>
      <c r="G1197" s="27" t="n">
        <v>6</v>
      </c>
      <c r="H1197" s="27" t="n">
        <v>5750</v>
      </c>
      <c r="I1197" s="28">
        <f>G1197*H1197/1000*F1197^2/162</f>
        <v>85.18518518518519</v>
      </c>
    </row>
    <row r="1198">
      <c r="A1198" s="7" t="inlineStr">
        <is>
          <t>STR-099</t>
        </is>
      </c>
      <c r="B1198" s="7" t="inlineStr">
        <is>
          <t>Beams</t>
        </is>
      </c>
      <c r="C1198" s="7" t="inlineStr">
        <is>
          <t>Roof top terrace beams (1 of 2)</t>
        </is>
      </c>
      <c r="D1198" s="7" t="inlineStr">
        <is>
          <t>F15</t>
        </is>
      </c>
      <c r="E1198" s="27" t="inlineStr">
        <is>
          <t>2501</t>
        </is>
      </c>
      <c r="F1198" s="27" t="n">
        <v>25</v>
      </c>
      <c r="G1198" s="27" t="n">
        <v>3</v>
      </c>
      <c r="H1198" s="27" t="n">
        <v>11200</v>
      </c>
      <c r="I1198" s="28">
        <f>G1198*H1198/1000*F1198^2/162</f>
        <v>129.62962962962962</v>
      </c>
    </row>
    <row r="1199">
      <c r="A1199" s="7" t="inlineStr">
        <is>
          <t>STR-099</t>
        </is>
      </c>
      <c r="B1199" s="7" t="inlineStr">
        <is>
          <t>Beams</t>
        </is>
      </c>
      <c r="C1199" s="7" t="inlineStr">
        <is>
          <t>Roof top terrace beams (1 of 2)</t>
        </is>
      </c>
      <c r="D1199" s="7" t="inlineStr">
        <is>
          <t>F15</t>
        </is>
      </c>
      <c r="E1199" s="27" t="inlineStr">
        <is>
          <t>2502</t>
        </is>
      </c>
      <c r="F1199" s="27" t="n">
        <v>25</v>
      </c>
      <c r="G1199" s="27" t="n">
        <v>3</v>
      </c>
      <c r="H1199" s="27" t="n">
        <v>9400</v>
      </c>
      <c r="I1199" s="28">
        <f>G1199*H1199/1000*F1199^2/162</f>
        <v>108.79629629629629</v>
      </c>
    </row>
    <row r="1200">
      <c r="A1200" s="7" t="inlineStr">
        <is>
          <t>STR-099</t>
        </is>
      </c>
      <c r="B1200" s="7" t="inlineStr">
        <is>
          <t>Beams</t>
        </is>
      </c>
      <c r="C1200" s="7" t="inlineStr">
        <is>
          <t>Roof top terrace beams (1 of 2)</t>
        </is>
      </c>
      <c r="D1200" s="7" t="inlineStr">
        <is>
          <t>F15</t>
        </is>
      </c>
      <c r="E1200" s="27" t="inlineStr">
        <is>
          <t>2503</t>
        </is>
      </c>
      <c r="F1200" s="27" t="n">
        <v>25</v>
      </c>
      <c r="G1200" s="27" t="n">
        <v>3</v>
      </c>
      <c r="H1200" s="27" t="n">
        <v>12000</v>
      </c>
      <c r="I1200" s="28">
        <f>G1200*H1200/1000*F1200^2/162</f>
        <v>138.88888888888889</v>
      </c>
    </row>
    <row r="1201">
      <c r="A1201" s="7" t="inlineStr">
        <is>
          <t>STR-099</t>
        </is>
      </c>
      <c r="B1201" s="7" t="inlineStr">
        <is>
          <t>Beams</t>
        </is>
      </c>
      <c r="C1201" s="7" t="inlineStr">
        <is>
          <t>Roof top terrace beams (1 of 2)</t>
        </is>
      </c>
      <c r="D1201" s="7" t="inlineStr">
        <is>
          <t>F15</t>
        </is>
      </c>
      <c r="E1201" s="27" t="inlineStr">
        <is>
          <t>2504</t>
        </is>
      </c>
      <c r="F1201" s="27" t="n">
        <v>25</v>
      </c>
      <c r="G1201" s="27" t="n">
        <v>3</v>
      </c>
      <c r="H1201" s="27" t="n">
        <v>7100</v>
      </c>
      <c r="I1201" s="28">
        <f>G1201*H1201/1000*F1201^2/162</f>
        <v>82.17592592592592</v>
      </c>
    </row>
    <row r="1202">
      <c r="A1202" s="7" t="inlineStr">
        <is>
          <t>STR-099</t>
        </is>
      </c>
      <c r="B1202" s="7" t="inlineStr">
        <is>
          <t>Beams</t>
        </is>
      </c>
      <c r="C1202" s="7" t="inlineStr">
        <is>
          <t>Roof top terrace beams (1 of 2)</t>
        </is>
      </c>
      <c r="D1202" s="7" t="inlineStr">
        <is>
          <t>F15</t>
        </is>
      </c>
      <c r="E1202" s="27" t="inlineStr">
        <is>
          <t>2505</t>
        </is>
      </c>
      <c r="F1202" s="27" t="n">
        <v>25</v>
      </c>
      <c r="G1202" s="27" t="n">
        <v>6</v>
      </c>
      <c r="H1202" s="27" t="n">
        <v>9300</v>
      </c>
      <c r="I1202" s="28">
        <f>G1202*H1202/1000*F1202^2/162</f>
        <v>215.27777777777777</v>
      </c>
    </row>
    <row r="1203">
      <c r="A1203" s="7" t="inlineStr">
        <is>
          <t>STR-099</t>
        </is>
      </c>
      <c r="B1203" s="7" t="inlineStr">
        <is>
          <t>Beams</t>
        </is>
      </c>
      <c r="C1203" s="7" t="inlineStr">
        <is>
          <t>Roof top terrace beams (1 of 2)</t>
        </is>
      </c>
      <c r="D1203" s="7" t="inlineStr">
        <is>
          <t>F15</t>
        </is>
      </c>
      <c r="E1203" s="27" t="inlineStr">
        <is>
          <t>2506</t>
        </is>
      </c>
      <c r="F1203" s="27" t="n">
        <v>25</v>
      </c>
      <c r="G1203" s="27" t="n">
        <v>3</v>
      </c>
      <c r="H1203" s="27" t="n">
        <v>9100</v>
      </c>
      <c r="I1203" s="28">
        <f>G1203*H1203/1000*F1203^2/162</f>
        <v>105.32407407407408</v>
      </c>
    </row>
    <row r="1204">
      <c r="A1204" s="7" t="inlineStr">
        <is>
          <t>STR-099</t>
        </is>
      </c>
      <c r="B1204" s="7" t="inlineStr">
        <is>
          <t>Beams</t>
        </is>
      </c>
      <c r="C1204" s="7" t="inlineStr">
        <is>
          <t>Roof top terrace beams (1 of 2)</t>
        </is>
      </c>
      <c r="D1204" s="7" t="inlineStr">
        <is>
          <t>F15</t>
        </is>
      </c>
      <c r="E1204" s="27" t="inlineStr">
        <is>
          <t>2507</t>
        </is>
      </c>
      <c r="F1204" s="27" t="n">
        <v>25</v>
      </c>
      <c r="G1204" s="27" t="n">
        <v>3</v>
      </c>
      <c r="H1204" s="27" t="n">
        <v>5600</v>
      </c>
      <c r="I1204" s="28">
        <f>G1204*H1204/1000*F1204^2/162</f>
        <v>64.81481481481481</v>
      </c>
    </row>
    <row r="1205">
      <c r="A1205" s="7" t="inlineStr">
        <is>
          <t>STR-099</t>
        </is>
      </c>
      <c r="B1205" s="7" t="inlineStr">
        <is>
          <t>Beams</t>
        </is>
      </c>
      <c r="C1205" s="7" t="inlineStr">
        <is>
          <t>Roof top terrace beams (1 of 2)</t>
        </is>
      </c>
      <c r="D1205" s="7" t="inlineStr">
        <is>
          <t>F15</t>
        </is>
      </c>
      <c r="E1205" s="27" t="inlineStr">
        <is>
          <t>2508</t>
        </is>
      </c>
      <c r="F1205" s="27" t="n">
        <v>25</v>
      </c>
      <c r="G1205" s="27" t="n">
        <v>3</v>
      </c>
      <c r="H1205" s="27" t="n">
        <v>11600</v>
      </c>
      <c r="I1205" s="28">
        <f>G1205*H1205/1000*F1205^2/162</f>
        <v>134.25925925925927</v>
      </c>
    </row>
    <row r="1206">
      <c r="A1206" s="7" t="inlineStr">
        <is>
          <t>STR-099</t>
        </is>
      </c>
      <c r="B1206" s="7" t="inlineStr">
        <is>
          <t>Beams</t>
        </is>
      </c>
      <c r="C1206" s="7" t="inlineStr">
        <is>
          <t>Roof top terrace beams (1 of 2)</t>
        </is>
      </c>
      <c r="D1206" s="7" t="inlineStr">
        <is>
          <t>F15</t>
        </is>
      </c>
      <c r="E1206" s="27" t="inlineStr">
        <is>
          <t>2509</t>
        </is>
      </c>
      <c r="F1206" s="27" t="n">
        <v>25</v>
      </c>
      <c r="G1206" s="27" t="n">
        <v>3</v>
      </c>
      <c r="H1206" s="27" t="n">
        <v>6050</v>
      </c>
      <c r="I1206" s="28">
        <f>G1206*H1206/1000*F1206^2/162</f>
        <v>70.02314814814815</v>
      </c>
    </row>
    <row r="1207">
      <c r="A1207" s="7" t="inlineStr">
        <is>
          <t>STR-099</t>
        </is>
      </c>
      <c r="B1207" s="7" t="inlineStr">
        <is>
          <t>Beams</t>
        </is>
      </c>
      <c r="C1207" s="7" t="inlineStr">
        <is>
          <t>Roof top terrace beams (1 of 2)</t>
        </is>
      </c>
      <c r="D1207" s="7" t="inlineStr">
        <is>
          <t>F15</t>
        </is>
      </c>
      <c r="E1207" s="27" t="inlineStr">
        <is>
          <t>2510</t>
        </is>
      </c>
      <c r="F1207" s="27" t="n">
        <v>25</v>
      </c>
      <c r="G1207" s="27" t="n">
        <v>3</v>
      </c>
      <c r="H1207" s="27" t="n">
        <v>9000</v>
      </c>
      <c r="I1207" s="28">
        <f>G1207*H1207/1000*F1207^2/162</f>
        <v>104.16666666666667</v>
      </c>
    </row>
    <row r="1208">
      <c r="A1208" s="7" t="inlineStr">
        <is>
          <t>STR-099</t>
        </is>
      </c>
      <c r="B1208" s="7" t="inlineStr">
        <is>
          <t>Beams</t>
        </is>
      </c>
      <c r="C1208" s="7" t="inlineStr">
        <is>
          <t>Roof top terrace beams (1 of 2)</t>
        </is>
      </c>
      <c r="D1208" s="7" t="inlineStr">
        <is>
          <t>F15</t>
        </is>
      </c>
      <c r="E1208" s="27" t="inlineStr">
        <is>
          <t>2511</t>
        </is>
      </c>
      <c r="F1208" s="27" t="n">
        <v>25</v>
      </c>
      <c r="G1208" s="27" t="n">
        <v>3</v>
      </c>
      <c r="H1208" s="27" t="n">
        <v>5600</v>
      </c>
      <c r="I1208" s="28">
        <f>G1208*H1208/1000*F1208^2/162</f>
        <v>64.81481481481481</v>
      </c>
    </row>
    <row r="1209">
      <c r="A1209" s="7" t="inlineStr">
        <is>
          <t>STR-099</t>
        </is>
      </c>
      <c r="B1209" s="7" t="inlineStr">
        <is>
          <t>Beams</t>
        </is>
      </c>
      <c r="C1209" s="7" t="inlineStr">
        <is>
          <t>Roof top terrace beams (1 of 2)</t>
        </is>
      </c>
      <c r="D1209" s="7" t="inlineStr">
        <is>
          <t>F15</t>
        </is>
      </c>
      <c r="E1209" s="27" t="inlineStr">
        <is>
          <t>2512</t>
        </is>
      </c>
      <c r="F1209" s="27" t="n">
        <v>25</v>
      </c>
      <c r="G1209" s="27" t="n">
        <v>3</v>
      </c>
      <c r="H1209" s="27" t="n">
        <v>9400</v>
      </c>
      <c r="I1209" s="28">
        <f>G1209*H1209/1000*F1209^2/162</f>
        <v>108.79629629629629</v>
      </c>
    </row>
    <row r="1210">
      <c r="A1210" s="7" t="inlineStr">
        <is>
          <t>STR-099</t>
        </is>
      </c>
      <c r="B1210" s="7" t="inlineStr">
        <is>
          <t>Beams</t>
        </is>
      </c>
      <c r="C1210" s="7" t="inlineStr">
        <is>
          <t>Roof top terrace beams (1 of 2)</t>
        </is>
      </c>
      <c r="D1210" s="7" t="inlineStr">
        <is>
          <t>F15</t>
        </is>
      </c>
      <c r="E1210" s="27" t="inlineStr">
        <is>
          <t>2513</t>
        </is>
      </c>
      <c r="F1210" s="27" t="n">
        <v>25</v>
      </c>
      <c r="G1210" s="27" t="n">
        <v>6</v>
      </c>
      <c r="H1210" s="27" t="n">
        <v>9150</v>
      </c>
      <c r="I1210" s="28">
        <f>G1210*H1210/1000*F1210^2/162</f>
        <v>211.80555555555554</v>
      </c>
    </row>
    <row r="1211">
      <c r="A1211" s="7" t="inlineStr">
        <is>
          <t>STR-099</t>
        </is>
      </c>
      <c r="B1211" s="7" t="inlineStr">
        <is>
          <t>Beams</t>
        </is>
      </c>
      <c r="C1211" s="7" t="inlineStr">
        <is>
          <t>Roof top terrace beams (1 of 2)</t>
        </is>
      </c>
      <c r="D1211" s="7" t="inlineStr">
        <is>
          <t>F15</t>
        </is>
      </c>
      <c r="E1211" s="27" t="inlineStr">
        <is>
          <t>2514</t>
        </is>
      </c>
      <c r="F1211" s="27" t="n">
        <v>25</v>
      </c>
      <c r="G1211" s="27" t="n">
        <v>6</v>
      </c>
      <c r="H1211" s="27" t="n">
        <v>9425</v>
      </c>
      <c r="I1211" s="28">
        <f>G1211*H1211/1000*F1211^2/162</f>
        <v>218.1712962962963</v>
      </c>
    </row>
    <row r="1212">
      <c r="A1212" s="7" t="inlineStr">
        <is>
          <t>STR-099</t>
        </is>
      </c>
      <c r="B1212" s="7" t="inlineStr">
        <is>
          <t>Beams</t>
        </is>
      </c>
      <c r="C1212" s="7" t="inlineStr">
        <is>
          <t>Roof top terrace beams (1 of 2)</t>
        </is>
      </c>
      <c r="D1212" s="7" t="inlineStr">
        <is>
          <t>F15</t>
        </is>
      </c>
      <c r="E1212" s="27" t="inlineStr">
        <is>
          <t>2515</t>
        </is>
      </c>
      <c r="F1212" s="27" t="n">
        <v>25</v>
      </c>
      <c r="G1212" s="27" t="n">
        <v>3</v>
      </c>
      <c r="H1212" s="27" t="n">
        <v>4700</v>
      </c>
      <c r="I1212" s="28">
        <f>G1212*H1212/1000*F1212^2/162</f>
        <v>54.398148148148145</v>
      </c>
    </row>
    <row r="1213">
      <c r="A1213" s="7" t="inlineStr">
        <is>
          <t>STR-099</t>
        </is>
      </c>
      <c r="B1213" s="7" t="inlineStr">
        <is>
          <t>Beams</t>
        </is>
      </c>
      <c r="C1213" s="7" t="inlineStr">
        <is>
          <t>Roof top terrace beams (1 of 2)</t>
        </is>
      </c>
      <c r="D1213" s="7" t="inlineStr">
        <is>
          <t>F15</t>
        </is>
      </c>
      <c r="E1213" s="27" t="inlineStr">
        <is>
          <t>2516</t>
        </is>
      </c>
      <c r="F1213" s="27" t="n">
        <v>25</v>
      </c>
      <c r="G1213" s="27" t="n">
        <v>3</v>
      </c>
      <c r="H1213" s="27" t="n">
        <v>7500</v>
      </c>
      <c r="I1213" s="28">
        <f>G1213*H1213/1000*F1213^2/162</f>
        <v>86.80555555555556</v>
      </c>
    </row>
    <row r="1214">
      <c r="A1214" s="7" t="inlineStr">
        <is>
          <t>STR-099</t>
        </is>
      </c>
      <c r="B1214" s="7" t="inlineStr">
        <is>
          <t>Beams</t>
        </is>
      </c>
      <c r="C1214" s="7" t="inlineStr">
        <is>
          <t>Roof top terrace beams (1 of 2)</t>
        </is>
      </c>
      <c r="D1214" s="7" t="inlineStr">
        <is>
          <t>F15</t>
        </is>
      </c>
      <c r="E1214" s="27" t="inlineStr">
        <is>
          <t>2517</t>
        </is>
      </c>
      <c r="F1214" s="27" t="n">
        <v>25</v>
      </c>
      <c r="G1214" s="27" t="n">
        <v>3</v>
      </c>
      <c r="H1214" s="27" t="n">
        <v>9450</v>
      </c>
      <c r="I1214" s="28">
        <f>G1214*H1214/1000*F1214^2/162</f>
        <v>109.375</v>
      </c>
    </row>
    <row r="1215">
      <c r="A1215" s="7" t="inlineStr">
        <is>
          <t>STR-099</t>
        </is>
      </c>
      <c r="B1215" s="7" t="inlineStr">
        <is>
          <t>Beams</t>
        </is>
      </c>
      <c r="C1215" s="7" t="inlineStr">
        <is>
          <t>Roof top terrace beams (1 of 2)</t>
        </is>
      </c>
      <c r="D1215" s="7" t="inlineStr">
        <is>
          <t>F15</t>
        </is>
      </c>
      <c r="E1215" s="27" t="inlineStr">
        <is>
          <t>2518</t>
        </is>
      </c>
      <c r="F1215" s="27" t="n">
        <v>25</v>
      </c>
      <c r="G1215" s="27" t="n">
        <v>3</v>
      </c>
      <c r="H1215" s="27" t="n">
        <v>8250</v>
      </c>
      <c r="I1215" s="28">
        <f>G1215*H1215/1000*F1215^2/162</f>
        <v>95.48611111111111</v>
      </c>
    </row>
    <row r="1216">
      <c r="A1216" s="7" t="inlineStr">
        <is>
          <t>STR-099</t>
        </is>
      </c>
      <c r="B1216" s="7" t="inlineStr">
        <is>
          <t>Beams</t>
        </is>
      </c>
      <c r="C1216" s="7" t="inlineStr">
        <is>
          <t>Roof top terrace beams (1 of 2)</t>
        </is>
      </c>
      <c r="D1216" s="7" t="inlineStr">
        <is>
          <t>F15</t>
        </is>
      </c>
      <c r="E1216" s="27" t="inlineStr">
        <is>
          <t>2519</t>
        </is>
      </c>
      <c r="F1216" s="27" t="n">
        <v>25</v>
      </c>
      <c r="G1216" s="27" t="n">
        <v>3</v>
      </c>
      <c r="H1216" s="27" t="n">
        <v>8850</v>
      </c>
      <c r="I1216" s="28">
        <f>G1216*H1216/1000*F1216^2/162</f>
        <v>102.43055555555556</v>
      </c>
    </row>
    <row r="1217">
      <c r="A1217" s="7" t="inlineStr">
        <is>
          <t>STR-099</t>
        </is>
      </c>
      <c r="B1217" s="7" t="inlineStr">
        <is>
          <t>Beams</t>
        </is>
      </c>
      <c r="C1217" s="7" t="inlineStr">
        <is>
          <t>Roof top terrace beams (1 of 2)</t>
        </is>
      </c>
      <c r="D1217" s="7" t="inlineStr">
        <is>
          <t>F15</t>
        </is>
      </c>
      <c r="E1217" s="27" t="inlineStr">
        <is>
          <t>2520</t>
        </is>
      </c>
      <c r="F1217" s="27" t="n">
        <v>25</v>
      </c>
      <c r="G1217" s="27" t="n">
        <v>3</v>
      </c>
      <c r="H1217" s="27" t="n">
        <v>6350</v>
      </c>
      <c r="I1217" s="28">
        <f>G1217*H1217/1000*F1217^2/162</f>
        <v>73.49537037037037</v>
      </c>
    </row>
    <row r="1218">
      <c r="A1218" s="7" t="inlineStr">
        <is>
          <t>STR-099</t>
        </is>
      </c>
      <c r="B1218" s="7" t="inlineStr">
        <is>
          <t>Beams</t>
        </is>
      </c>
      <c r="C1218" s="7" t="inlineStr">
        <is>
          <t>Roof top terrace beams (1 of 2)</t>
        </is>
      </c>
      <c r="D1218" s="7" t="inlineStr">
        <is>
          <t>F15</t>
        </is>
      </c>
      <c r="E1218" s="27" t="inlineStr">
        <is>
          <t>2521</t>
        </is>
      </c>
      <c r="F1218" s="27" t="n">
        <v>25</v>
      </c>
      <c r="G1218" s="27" t="n">
        <v>3</v>
      </c>
      <c r="H1218" s="27" t="n">
        <v>7750</v>
      </c>
      <c r="I1218" s="28">
        <f>G1218*H1218/1000*F1218^2/162</f>
        <v>89.69907407407408</v>
      </c>
    </row>
    <row r="1219">
      <c r="A1219" s="7" t="inlineStr">
        <is>
          <t>STR-099</t>
        </is>
      </c>
      <c r="B1219" s="7" t="inlineStr">
        <is>
          <t>Beams</t>
        </is>
      </c>
      <c r="C1219" s="7" t="inlineStr">
        <is>
          <t>Roof top terrace beams (1 of 2)</t>
        </is>
      </c>
      <c r="D1219" s="7" t="inlineStr">
        <is>
          <t>F15</t>
        </is>
      </c>
      <c r="E1219" s="27" t="inlineStr">
        <is>
          <t>2522</t>
        </is>
      </c>
      <c r="F1219" s="27" t="n">
        <v>25</v>
      </c>
      <c r="G1219" s="27" t="n">
        <v>3</v>
      </c>
      <c r="H1219" s="27" t="n">
        <v>6350</v>
      </c>
      <c r="I1219" s="28">
        <f>G1219*H1219/1000*F1219^2/162</f>
        <v>73.49537037037037</v>
      </c>
    </row>
    <row r="1220">
      <c r="A1220" s="7" t="inlineStr">
        <is>
          <t>STR-099</t>
        </is>
      </c>
      <c r="B1220" s="7" t="inlineStr">
        <is>
          <t>Beams</t>
        </is>
      </c>
      <c r="C1220" s="7" t="inlineStr">
        <is>
          <t>Roof top terrace beams (1 of 2)</t>
        </is>
      </c>
      <c r="D1220" s="7" t="inlineStr">
        <is>
          <t>F15</t>
        </is>
      </c>
      <c r="E1220" s="27" t="inlineStr">
        <is>
          <t>2523</t>
        </is>
      </c>
      <c r="F1220" s="27" t="n">
        <v>25</v>
      </c>
      <c r="G1220" s="27" t="n">
        <v>3</v>
      </c>
      <c r="H1220" s="27" t="n">
        <v>10450</v>
      </c>
      <c r="I1220" s="28">
        <f>G1220*H1220/1000*F1220^2/162</f>
        <v>120.94907407407408</v>
      </c>
    </row>
    <row r="1221">
      <c r="A1221" s="7" t="inlineStr">
        <is>
          <t>STR-099</t>
        </is>
      </c>
      <c r="B1221" s="7" t="inlineStr">
        <is>
          <t>Beams</t>
        </is>
      </c>
      <c r="C1221" s="7" t="inlineStr">
        <is>
          <t>Roof top terrace beams (1 of 2)</t>
        </is>
      </c>
      <c r="D1221" s="7" t="inlineStr">
        <is>
          <t>F15</t>
        </is>
      </c>
      <c r="E1221" s="27" t="inlineStr">
        <is>
          <t>2524</t>
        </is>
      </c>
      <c r="F1221" s="27" t="n">
        <v>25</v>
      </c>
      <c r="G1221" s="27" t="n">
        <v>3</v>
      </c>
      <c r="H1221" s="27" t="n">
        <v>11200</v>
      </c>
      <c r="I1221" s="28">
        <f>G1221*H1221/1000*F1221^2/162</f>
        <v>129.62962962962962</v>
      </c>
    </row>
    <row r="1222">
      <c r="A1222" s="7" t="inlineStr">
        <is>
          <t>STR-099</t>
        </is>
      </c>
      <c r="B1222" s="7" t="inlineStr">
        <is>
          <t>Beams</t>
        </is>
      </c>
      <c r="C1222" s="7" t="inlineStr">
        <is>
          <t>Roof top terrace beams (1 of 2)</t>
        </is>
      </c>
      <c r="D1222" s="7" t="inlineStr">
        <is>
          <t>F15</t>
        </is>
      </c>
      <c r="E1222" s="27" t="inlineStr">
        <is>
          <t>2525</t>
        </is>
      </c>
      <c r="F1222" s="27" t="n">
        <v>25</v>
      </c>
      <c r="G1222" s="27" t="n">
        <v>3</v>
      </c>
      <c r="H1222" s="27" t="n">
        <v>6350</v>
      </c>
      <c r="I1222" s="28">
        <f>G1222*H1222/1000*F1222^2/162</f>
        <v>73.49537037037037</v>
      </c>
    </row>
    <row r="1223">
      <c r="A1223" s="7" t="inlineStr">
        <is>
          <t>STR-099</t>
        </is>
      </c>
      <c r="B1223" s="7" t="inlineStr">
        <is>
          <t>Beams</t>
        </is>
      </c>
      <c r="C1223" s="7" t="inlineStr">
        <is>
          <t>Roof top terrace beams (1 of 2)</t>
        </is>
      </c>
      <c r="D1223" s="7" t="inlineStr">
        <is>
          <t>F15</t>
        </is>
      </c>
      <c r="E1223" s="27" t="inlineStr">
        <is>
          <t>2526</t>
        </is>
      </c>
      <c r="F1223" s="27" t="n">
        <v>25</v>
      </c>
      <c r="G1223" s="27" t="n">
        <v>3</v>
      </c>
      <c r="H1223" s="27" t="n">
        <v>8275</v>
      </c>
      <c r="I1223" s="28">
        <f>G1223*H1223/1000*F1223^2/162</f>
        <v>95.77546296296296</v>
      </c>
    </row>
    <row r="1224">
      <c r="A1224" s="7" t="inlineStr">
        <is>
          <t>STR-099</t>
        </is>
      </c>
      <c r="B1224" s="7" t="inlineStr">
        <is>
          <t>Beams</t>
        </is>
      </c>
      <c r="C1224" s="7" t="inlineStr">
        <is>
          <t>Roof top terrace beams (1 of 2)</t>
        </is>
      </c>
      <c r="D1224" s="7" t="inlineStr">
        <is>
          <t>F15</t>
        </is>
      </c>
      <c r="E1224" s="27" t="inlineStr">
        <is>
          <t>2527</t>
        </is>
      </c>
      <c r="F1224" s="27" t="n">
        <v>25</v>
      </c>
      <c r="G1224" s="27" t="n">
        <v>6</v>
      </c>
      <c r="H1224" s="27" t="n">
        <v>10175</v>
      </c>
      <c r="I1224" s="28">
        <f>G1224*H1224/1000*F1224^2/162</f>
        <v>235.53240740740742</v>
      </c>
    </row>
    <row r="1225">
      <c r="A1225" s="7" t="inlineStr">
        <is>
          <t>STR-100</t>
        </is>
      </c>
      <c r="B1225" s="7" t="inlineStr">
        <is>
          <t>Beams</t>
        </is>
      </c>
      <c r="C1225" s="7" t="inlineStr">
        <is>
          <t>Roof top terrace beams (2 of 2)</t>
        </is>
      </c>
      <c r="D1225" s="7" t="inlineStr">
        <is>
          <t>F15</t>
        </is>
      </c>
      <c r="E1225" s="27" t="inlineStr">
        <is>
          <t>1001</t>
        </is>
      </c>
      <c r="F1225" s="27" t="n">
        <v>10</v>
      </c>
      <c r="G1225" s="27" t="n">
        <v>256</v>
      </c>
      <c r="H1225" s="27" t="n">
        <v>1700</v>
      </c>
      <c r="I1225" s="28">
        <f>G1225*H1225/1000*F1225^2/162</f>
        <v>268.641975308642</v>
      </c>
    </row>
    <row r="1226">
      <c r="A1226" s="7" t="inlineStr">
        <is>
          <t>STR-100</t>
        </is>
      </c>
      <c r="B1226" s="7" t="inlineStr">
        <is>
          <t>Beams</t>
        </is>
      </c>
      <c r="C1226" s="7" t="inlineStr">
        <is>
          <t>Roof top terrace beams (2 of 2)</t>
        </is>
      </c>
      <c r="D1226" s="7" t="inlineStr">
        <is>
          <t>F15</t>
        </is>
      </c>
      <c r="E1226" s="27" t="inlineStr">
        <is>
          <t>1601</t>
        </is>
      </c>
      <c r="F1226" s="27" t="n">
        <v>16</v>
      </c>
      <c r="G1226" s="27" t="n">
        <v>8</v>
      </c>
      <c r="H1226" s="27" t="n">
        <v>9050</v>
      </c>
      <c r="I1226" s="28">
        <f>G1226*H1226/1000*F1226^2/162</f>
        <v>114.40987654320989</v>
      </c>
    </row>
    <row r="1227">
      <c r="A1227" s="7" t="inlineStr">
        <is>
          <t>STR-100</t>
        </is>
      </c>
      <c r="B1227" s="7" t="inlineStr">
        <is>
          <t>Beams</t>
        </is>
      </c>
      <c r="C1227" s="7" t="inlineStr">
        <is>
          <t>Roof top terrace beams (2 of 2)</t>
        </is>
      </c>
      <c r="D1227" s="7" t="inlineStr">
        <is>
          <t>F15</t>
        </is>
      </c>
      <c r="E1227" s="27" t="inlineStr">
        <is>
          <t>1602</t>
        </is>
      </c>
      <c r="F1227" s="27" t="n">
        <v>16</v>
      </c>
      <c r="G1227" s="27" t="n">
        <v>4</v>
      </c>
      <c r="H1227" s="27" t="n">
        <v>8850</v>
      </c>
      <c r="I1227" s="28">
        <f>G1227*H1227/1000*F1227^2/162</f>
        <v>55.940740740740736</v>
      </c>
    </row>
    <row r="1228">
      <c r="A1228" s="7" t="inlineStr">
        <is>
          <t>STR-100</t>
        </is>
      </c>
      <c r="B1228" s="7" t="inlineStr">
        <is>
          <t>Beams</t>
        </is>
      </c>
      <c r="C1228" s="7" t="inlineStr">
        <is>
          <t>Roof top terrace beams (2 of 2)</t>
        </is>
      </c>
      <c r="D1228" s="7" t="inlineStr">
        <is>
          <t>F15</t>
        </is>
      </c>
      <c r="E1228" s="27" t="inlineStr">
        <is>
          <t>1603</t>
        </is>
      </c>
      <c r="F1228" s="27" t="n">
        <v>16</v>
      </c>
      <c r="G1228" s="27" t="n">
        <v>4</v>
      </c>
      <c r="H1228" s="27" t="n">
        <v>4650</v>
      </c>
      <c r="I1228" s="28">
        <f>G1228*H1228/1000*F1228^2/162</f>
        <v>29.392592592592596</v>
      </c>
    </row>
    <row r="1229">
      <c r="A1229" s="7" t="inlineStr">
        <is>
          <t>STR-100</t>
        </is>
      </c>
      <c r="B1229" s="7" t="inlineStr">
        <is>
          <t>Beams</t>
        </is>
      </c>
      <c r="C1229" s="7" t="inlineStr">
        <is>
          <t>Roof top terrace beams (2 of 2)</t>
        </is>
      </c>
      <c r="D1229" s="7" t="inlineStr">
        <is>
          <t>F15</t>
        </is>
      </c>
      <c r="E1229" s="27" t="inlineStr">
        <is>
          <t>1604</t>
        </is>
      </c>
      <c r="F1229" s="27" t="n">
        <v>16</v>
      </c>
      <c r="G1229" s="27" t="n">
        <v>2</v>
      </c>
      <c r="H1229" s="27" t="n">
        <v>7900</v>
      </c>
      <c r="I1229" s="28">
        <f>G1229*H1229/1000*F1229^2/162</f>
        <v>24.967901234567904</v>
      </c>
    </row>
    <row r="1230">
      <c r="A1230" s="7" t="inlineStr">
        <is>
          <t>STR-100</t>
        </is>
      </c>
      <c r="B1230" s="7" t="inlineStr">
        <is>
          <t>Beams</t>
        </is>
      </c>
      <c r="C1230" s="7" t="inlineStr">
        <is>
          <t>Roof top terrace beams (2 of 2)</t>
        </is>
      </c>
      <c r="D1230" s="7" t="inlineStr">
        <is>
          <t>F15</t>
        </is>
      </c>
      <c r="E1230" s="27" t="inlineStr">
        <is>
          <t>1605</t>
        </is>
      </c>
      <c r="F1230" s="27" t="n">
        <v>16</v>
      </c>
      <c r="G1230" s="27" t="n">
        <v>2</v>
      </c>
      <c r="H1230" s="27" t="n">
        <v>2400</v>
      </c>
      <c r="I1230" s="28">
        <f>G1230*H1230/1000*F1230^2/162</f>
        <v>7.585185185185185</v>
      </c>
    </row>
    <row r="1231">
      <c r="A1231" s="7" t="inlineStr">
        <is>
          <t>STR-100</t>
        </is>
      </c>
      <c r="B1231" s="7" t="inlineStr">
        <is>
          <t>Beams</t>
        </is>
      </c>
      <c r="C1231" s="7" t="inlineStr">
        <is>
          <t>Roof top terrace beams (2 of 2)</t>
        </is>
      </c>
      <c r="D1231" s="7" t="inlineStr">
        <is>
          <t>F15</t>
        </is>
      </c>
      <c r="E1231" s="27" t="inlineStr">
        <is>
          <t>1606</t>
        </is>
      </c>
      <c r="F1231" s="27" t="n">
        <v>16</v>
      </c>
      <c r="G1231" s="27" t="n">
        <v>2</v>
      </c>
      <c r="H1231" s="27" t="n">
        <v>9200</v>
      </c>
      <c r="I1231" s="28">
        <f>G1231*H1231/1000*F1231^2/162</f>
        <v>29.07654320987654</v>
      </c>
    </row>
    <row r="1232">
      <c r="A1232" s="7" t="inlineStr">
        <is>
          <t>STR-100</t>
        </is>
      </c>
      <c r="B1232" s="7" t="inlineStr">
        <is>
          <t>Beams</t>
        </is>
      </c>
      <c r="C1232" s="7" t="inlineStr">
        <is>
          <t>Roof top terrace beams (2 of 2)</t>
        </is>
      </c>
      <c r="D1232" s="7" t="inlineStr">
        <is>
          <t>F15</t>
        </is>
      </c>
      <c r="E1232" s="27" t="inlineStr">
        <is>
          <t>1607</t>
        </is>
      </c>
      <c r="F1232" s="27" t="n">
        <v>16</v>
      </c>
      <c r="G1232" s="27" t="n">
        <v>2</v>
      </c>
      <c r="H1232" s="27" t="n">
        <v>9000</v>
      </c>
      <c r="I1232" s="28">
        <f>G1232*H1232/1000*F1232^2/162</f>
        <v>28.444444444444443</v>
      </c>
    </row>
    <row r="1233">
      <c r="A1233" s="7" t="inlineStr">
        <is>
          <t>STR-100</t>
        </is>
      </c>
      <c r="B1233" s="7" t="inlineStr">
        <is>
          <t>Beams</t>
        </is>
      </c>
      <c r="C1233" s="7" t="inlineStr">
        <is>
          <t>Roof top terrace beams (2 of 2)</t>
        </is>
      </c>
      <c r="D1233" s="7" t="inlineStr">
        <is>
          <t>F15</t>
        </is>
      </c>
      <c r="E1233" s="27" t="inlineStr">
        <is>
          <t>1608</t>
        </is>
      </c>
      <c r="F1233" s="27" t="n">
        <v>16</v>
      </c>
      <c r="G1233" s="27" t="n">
        <v>6</v>
      </c>
      <c r="H1233" s="27" t="n">
        <v>12000</v>
      </c>
      <c r="I1233" s="28">
        <f>G1233*H1233/1000*F1233^2/162</f>
        <v>113.77777777777777</v>
      </c>
    </row>
    <row r="1234">
      <c r="A1234" s="7" t="inlineStr">
        <is>
          <t>STR-100</t>
        </is>
      </c>
      <c r="B1234" s="7" t="inlineStr">
        <is>
          <t>Beams</t>
        </is>
      </c>
      <c r="C1234" s="7" t="inlineStr">
        <is>
          <t>Roof top terrace beams (2 of 2)</t>
        </is>
      </c>
      <c r="D1234" s="7" t="inlineStr">
        <is>
          <t>F15</t>
        </is>
      </c>
      <c r="E1234" s="27" t="inlineStr">
        <is>
          <t>1609</t>
        </is>
      </c>
      <c r="F1234" s="27" t="n">
        <v>16</v>
      </c>
      <c r="G1234" s="27" t="n">
        <v>2</v>
      </c>
      <c r="H1234" s="27" t="n">
        <v>4800</v>
      </c>
      <c r="I1234" s="28">
        <f>G1234*H1234/1000*F1234^2/162</f>
        <v>15.17037037037037</v>
      </c>
    </row>
    <row r="1235">
      <c r="A1235" s="7" t="inlineStr">
        <is>
          <t>STR-100</t>
        </is>
      </c>
      <c r="B1235" s="7" t="inlineStr">
        <is>
          <t>Beams</t>
        </is>
      </c>
      <c r="C1235" s="7" t="inlineStr">
        <is>
          <t>Roof top terrace beams (2 of 2)</t>
        </is>
      </c>
      <c r="D1235" s="7" t="inlineStr">
        <is>
          <t>F15</t>
        </is>
      </c>
      <c r="E1235" s="27" t="inlineStr">
        <is>
          <t>1610</t>
        </is>
      </c>
      <c r="F1235" s="27" t="n">
        <v>16</v>
      </c>
      <c r="G1235" s="27" t="n">
        <v>4</v>
      </c>
      <c r="H1235" s="27" t="n">
        <v>8050</v>
      </c>
      <c r="I1235" s="28">
        <f>G1235*H1235/1000*F1235^2/162</f>
        <v>50.88395061728396</v>
      </c>
    </row>
    <row r="1236">
      <c r="A1236" s="7" t="inlineStr">
        <is>
          <t>STR-100</t>
        </is>
      </c>
      <c r="B1236" s="7" t="inlineStr">
        <is>
          <t>Beams</t>
        </is>
      </c>
      <c r="C1236" s="7" t="inlineStr">
        <is>
          <t>Roof top terrace beams (2 of 2)</t>
        </is>
      </c>
      <c r="D1236" s="7" t="inlineStr">
        <is>
          <t>F15</t>
        </is>
      </c>
      <c r="E1236" s="27" t="inlineStr">
        <is>
          <t>1611</t>
        </is>
      </c>
      <c r="F1236" s="27" t="n">
        <v>16</v>
      </c>
      <c r="G1236" s="27" t="n">
        <v>4</v>
      </c>
      <c r="H1236" s="27" t="n">
        <v>9450</v>
      </c>
      <c r="I1236" s="28">
        <f>G1236*H1236/1000*F1236^2/162</f>
        <v>59.73333333333333</v>
      </c>
    </row>
    <row r="1237">
      <c r="A1237" s="7" t="inlineStr">
        <is>
          <t>STR-100</t>
        </is>
      </c>
      <c r="B1237" s="7" t="inlineStr">
        <is>
          <t>Beams</t>
        </is>
      </c>
      <c r="C1237" s="7" t="inlineStr">
        <is>
          <t>Roof top terrace beams (2 of 2)</t>
        </is>
      </c>
      <c r="D1237" s="7" t="inlineStr">
        <is>
          <t>F15</t>
        </is>
      </c>
      <c r="E1237" s="27" t="inlineStr">
        <is>
          <t>1612</t>
        </is>
      </c>
      <c r="F1237" s="27" t="n">
        <v>16</v>
      </c>
      <c r="G1237" s="27" t="n">
        <v>4</v>
      </c>
      <c r="H1237" s="27" t="n">
        <v>7950</v>
      </c>
      <c r="I1237" s="28">
        <f>G1237*H1237/1000*F1237^2/162</f>
        <v>50.25185185185185</v>
      </c>
    </row>
    <row r="1238">
      <c r="A1238" s="7" t="inlineStr">
        <is>
          <t>STR-100</t>
        </is>
      </c>
      <c r="B1238" s="7" t="inlineStr">
        <is>
          <t>Beams</t>
        </is>
      </c>
      <c r="C1238" s="7" t="inlineStr">
        <is>
          <t>Roof top terrace beams (2 of 2)</t>
        </is>
      </c>
      <c r="D1238" s="7" t="inlineStr">
        <is>
          <t>F15</t>
        </is>
      </c>
      <c r="E1238" s="27" t="inlineStr">
        <is>
          <t>1613</t>
        </is>
      </c>
      <c r="F1238" s="27" t="n">
        <v>16</v>
      </c>
      <c r="G1238" s="27" t="n">
        <v>4</v>
      </c>
      <c r="H1238" s="27" t="n">
        <v>11625</v>
      </c>
      <c r="I1238" s="28">
        <f>G1238*H1238/1000*F1238^2/162</f>
        <v>73.48148148148148</v>
      </c>
    </row>
    <row r="1239">
      <c r="A1239" s="7" t="inlineStr">
        <is>
          <t>STR-100</t>
        </is>
      </c>
      <c r="B1239" s="7" t="inlineStr">
        <is>
          <t>Beams</t>
        </is>
      </c>
      <c r="C1239" s="7" t="inlineStr">
        <is>
          <t>Roof top terrace beams (2 of 2)</t>
        </is>
      </c>
      <c r="D1239" s="7" t="inlineStr">
        <is>
          <t>F15</t>
        </is>
      </c>
      <c r="E1239" s="27" t="inlineStr">
        <is>
          <t>1614</t>
        </is>
      </c>
      <c r="F1239" s="27" t="n">
        <v>16</v>
      </c>
      <c r="G1239" s="27" t="n">
        <v>4</v>
      </c>
      <c r="H1239" s="27" t="n">
        <v>6750</v>
      </c>
      <c r="I1239" s="28">
        <f>G1239*H1239/1000*F1239^2/162</f>
        <v>42.666666666666664</v>
      </c>
    </row>
    <row r="1240">
      <c r="A1240" s="7" t="inlineStr">
        <is>
          <t>STR-100</t>
        </is>
      </c>
      <c r="B1240" s="7" t="inlineStr">
        <is>
          <t>Beams</t>
        </is>
      </c>
      <c r="C1240" s="7" t="inlineStr">
        <is>
          <t>Roof top terrace beams (2 of 2)</t>
        </is>
      </c>
      <c r="D1240" s="7" t="inlineStr">
        <is>
          <t>F15</t>
        </is>
      </c>
      <c r="E1240" s="27" t="inlineStr">
        <is>
          <t>1615</t>
        </is>
      </c>
      <c r="F1240" s="27" t="n">
        <v>16</v>
      </c>
      <c r="G1240" s="27" t="n">
        <v>2</v>
      </c>
      <c r="H1240" s="27" t="n">
        <v>4300</v>
      </c>
      <c r="I1240" s="28">
        <f>G1240*H1240/1000*F1240^2/162</f>
        <v>13.590123456790122</v>
      </c>
    </row>
    <row r="1241">
      <c r="A1241" s="7" t="inlineStr">
        <is>
          <t>STR-100</t>
        </is>
      </c>
      <c r="B1241" s="7" t="inlineStr">
        <is>
          <t>Beams</t>
        </is>
      </c>
      <c r="C1241" s="7" t="inlineStr">
        <is>
          <t>Roof top terrace beams (2 of 2)</t>
        </is>
      </c>
      <c r="D1241" s="7" t="inlineStr">
        <is>
          <t>F15</t>
        </is>
      </c>
      <c r="E1241" s="27" t="inlineStr">
        <is>
          <t>2001</t>
        </is>
      </c>
      <c r="F1241" s="27" t="n">
        <v>20</v>
      </c>
      <c r="G1241" s="27" t="n">
        <v>6</v>
      </c>
      <c r="H1241" s="27" t="n">
        <v>11100</v>
      </c>
      <c r="I1241" s="28">
        <f>G1241*H1241/1000*F1241^2/162</f>
        <v>164.44444444444443</v>
      </c>
    </row>
    <row r="1242">
      <c r="A1242" s="7" t="inlineStr">
        <is>
          <t>STR-100</t>
        </is>
      </c>
      <c r="B1242" s="7" t="inlineStr">
        <is>
          <t>Beams</t>
        </is>
      </c>
      <c r="C1242" s="7" t="inlineStr">
        <is>
          <t>Roof top terrace beams (2 of 2)</t>
        </is>
      </c>
      <c r="D1242" s="7" t="inlineStr">
        <is>
          <t>F15</t>
        </is>
      </c>
      <c r="E1242" s="27" t="inlineStr">
        <is>
          <t>2002</t>
        </is>
      </c>
      <c r="F1242" s="27" t="n">
        <v>20</v>
      </c>
      <c r="G1242" s="27" t="n">
        <v>6</v>
      </c>
      <c r="H1242" s="27" t="n">
        <v>9300</v>
      </c>
      <c r="I1242" s="28">
        <f>G1242*H1242/1000*F1242^2/162</f>
        <v>137.77777777777777</v>
      </c>
    </row>
    <row r="1243">
      <c r="A1243" s="7" t="inlineStr">
        <is>
          <t>STR-100</t>
        </is>
      </c>
      <c r="B1243" s="7" t="inlineStr">
        <is>
          <t>Beams</t>
        </is>
      </c>
      <c r="C1243" s="7" t="inlineStr">
        <is>
          <t>Roof top terrace beams (2 of 2)</t>
        </is>
      </c>
      <c r="D1243" s="7" t="inlineStr">
        <is>
          <t>F15</t>
        </is>
      </c>
      <c r="E1243" s="27" t="inlineStr">
        <is>
          <t>2501</t>
        </is>
      </c>
      <c r="F1243" s="27" t="n">
        <v>25</v>
      </c>
      <c r="G1243" s="27" t="n">
        <v>3</v>
      </c>
      <c r="H1243" s="27" t="n">
        <v>6100</v>
      </c>
      <c r="I1243" s="28">
        <f>G1243*H1243/1000*F1243^2/162</f>
        <v>70.60185185185185</v>
      </c>
    </row>
    <row r="1244">
      <c r="A1244" s="7" t="inlineStr">
        <is>
          <t>STR-100</t>
        </is>
      </c>
      <c r="B1244" s="7" t="inlineStr">
        <is>
          <t>Beams</t>
        </is>
      </c>
      <c r="C1244" s="7" t="inlineStr">
        <is>
          <t>Roof top terrace beams (2 of 2)</t>
        </is>
      </c>
      <c r="D1244" s="7" t="inlineStr">
        <is>
          <t>F15</t>
        </is>
      </c>
      <c r="E1244" s="27" t="inlineStr">
        <is>
          <t>2502</t>
        </is>
      </c>
      <c r="F1244" s="27" t="n">
        <v>25</v>
      </c>
      <c r="G1244" s="27" t="n">
        <v>3</v>
      </c>
      <c r="H1244" s="27" t="n">
        <v>12000</v>
      </c>
      <c r="I1244" s="28">
        <f>G1244*H1244/1000*F1244^2/162</f>
        <v>138.88888888888889</v>
      </c>
    </row>
    <row r="1245">
      <c r="A1245" s="7" t="inlineStr">
        <is>
          <t>STR-100</t>
        </is>
      </c>
      <c r="B1245" s="7" t="inlineStr">
        <is>
          <t>Beams</t>
        </is>
      </c>
      <c r="C1245" s="7" t="inlineStr">
        <is>
          <t>Roof top terrace beams (2 of 2)</t>
        </is>
      </c>
      <c r="D1245" s="7" t="inlineStr">
        <is>
          <t>F15</t>
        </is>
      </c>
      <c r="E1245" s="27" t="inlineStr">
        <is>
          <t>2503</t>
        </is>
      </c>
      <c r="F1245" s="27" t="n">
        <v>25</v>
      </c>
      <c r="G1245" s="27" t="n">
        <v>2</v>
      </c>
      <c r="H1245" s="27" t="n">
        <v>6000</v>
      </c>
      <c r="I1245" s="28">
        <f>G1245*H1245/1000*F1245^2/162</f>
        <v>46.2962962962963</v>
      </c>
    </row>
    <row r="1246">
      <c r="A1246" s="7" t="inlineStr">
        <is>
          <t>STR-100</t>
        </is>
      </c>
      <c r="B1246" s="7" t="inlineStr">
        <is>
          <t>Beams</t>
        </is>
      </c>
      <c r="C1246" s="7" t="inlineStr">
        <is>
          <t>Roof top terrace beams (2 of 2)</t>
        </is>
      </c>
      <c r="D1246" s="7" t="inlineStr">
        <is>
          <t>F15</t>
        </is>
      </c>
      <c r="E1246" s="27" t="inlineStr">
        <is>
          <t>2504</t>
        </is>
      </c>
      <c r="F1246" s="27" t="n">
        <v>25</v>
      </c>
      <c r="G1246" s="27" t="n">
        <v>2</v>
      </c>
      <c r="H1246" s="27" t="n">
        <v>11900</v>
      </c>
      <c r="I1246" s="28">
        <f>G1246*H1246/1000*F1246^2/162</f>
        <v>91.82098765432099</v>
      </c>
    </row>
    <row r="1247">
      <c r="A1247" s="7" t="inlineStr">
        <is>
          <t>STR-100</t>
        </is>
      </c>
      <c r="B1247" s="7" t="inlineStr">
        <is>
          <t>Beams</t>
        </is>
      </c>
      <c r="C1247" s="7" t="inlineStr">
        <is>
          <t>Roof top terrace beams (2 of 2)</t>
        </is>
      </c>
      <c r="D1247" s="7" t="inlineStr">
        <is>
          <t>F15</t>
        </is>
      </c>
      <c r="E1247" s="27" t="inlineStr">
        <is>
          <t>2505</t>
        </is>
      </c>
      <c r="F1247" s="27" t="n">
        <v>25</v>
      </c>
      <c r="G1247" s="27" t="n">
        <v>2</v>
      </c>
      <c r="H1247" s="27" t="n">
        <v>9300</v>
      </c>
      <c r="I1247" s="28">
        <f>G1247*H1247/1000*F1247^2/162</f>
        <v>71.75925925925925</v>
      </c>
    </row>
    <row r="1248">
      <c r="A1248" s="7" t="inlineStr">
        <is>
          <t>STR-100</t>
        </is>
      </c>
      <c r="B1248" s="7" t="inlineStr">
        <is>
          <t>Beams</t>
        </is>
      </c>
      <c r="C1248" s="7" t="inlineStr">
        <is>
          <t>Roof top terrace beams (2 of 2)</t>
        </is>
      </c>
      <c r="D1248" s="7" t="inlineStr">
        <is>
          <t>F15</t>
        </is>
      </c>
      <c r="E1248" s="27" t="inlineStr">
        <is>
          <t>2506</t>
        </is>
      </c>
      <c r="F1248" s="27" t="n">
        <v>25</v>
      </c>
      <c r="G1248" s="27" t="n">
        <v>3</v>
      </c>
      <c r="H1248" s="27" t="n">
        <v>9100</v>
      </c>
      <c r="I1248" s="28">
        <f>G1248*H1248/1000*F1248^2/162</f>
        <v>105.32407407407408</v>
      </c>
    </row>
    <row r="1249">
      <c r="A1249" s="7" t="inlineStr">
        <is>
          <t>STR-101</t>
        </is>
      </c>
      <c r="B1249" s="7" t="inlineStr">
        <is>
          <t>Floor Slabs</t>
        </is>
      </c>
      <c r="C1249" s="7" t="inlineStr">
        <is>
          <t>Roof top terrace slab - bottom</t>
        </is>
      </c>
      <c r="D1249" s="7" t="inlineStr">
        <is>
          <t>F15</t>
        </is>
      </c>
      <c r="E1249" s="27" t="inlineStr">
        <is>
          <t>1201</t>
        </is>
      </c>
      <c r="F1249" s="27" t="n">
        <v>12</v>
      </c>
      <c r="G1249" s="27" t="n">
        <v>154</v>
      </c>
      <c r="H1249" s="27" t="n">
        <v>9650</v>
      </c>
      <c r="I1249" s="28">
        <f>G1249*H1249/1000*F1249^2/162</f>
        <v>1320.9777777777776</v>
      </c>
    </row>
    <row r="1250">
      <c r="A1250" s="7" t="inlineStr">
        <is>
          <t>STR-101</t>
        </is>
      </c>
      <c r="B1250" s="7" t="inlineStr">
        <is>
          <t>Floor Slabs</t>
        </is>
      </c>
      <c r="C1250" s="7" t="inlineStr">
        <is>
          <t>Roof top terrace slab - bottom</t>
        </is>
      </c>
      <c r="D1250" s="7" t="inlineStr">
        <is>
          <t>F15</t>
        </is>
      </c>
      <c r="E1250" s="27" t="inlineStr">
        <is>
          <t>1202</t>
        </is>
      </c>
      <c r="F1250" s="27" t="n">
        <v>12</v>
      </c>
      <c r="G1250" s="27" t="n">
        <v>197</v>
      </c>
      <c r="H1250" s="27" t="n">
        <v>5400</v>
      </c>
      <c r="I1250" s="28">
        <f>G1250*H1250/1000*F1250^2/162</f>
        <v>945.5999999999999</v>
      </c>
    </row>
    <row r="1251">
      <c r="A1251" s="7" t="inlineStr">
        <is>
          <t>STR-101</t>
        </is>
      </c>
      <c r="B1251" s="7" t="inlineStr">
        <is>
          <t>Floor Slabs</t>
        </is>
      </c>
      <c r="C1251" s="7" t="inlineStr">
        <is>
          <t>Roof top terrace slab - bottom</t>
        </is>
      </c>
      <c r="D1251" s="7" t="inlineStr">
        <is>
          <t>F15</t>
        </is>
      </c>
      <c r="E1251" s="27" t="inlineStr">
        <is>
          <t>1203</t>
        </is>
      </c>
      <c r="F1251" s="27" t="n">
        <v>12</v>
      </c>
      <c r="G1251" s="27" t="n">
        <v>38</v>
      </c>
      <c r="H1251" s="27" t="n">
        <v>4450</v>
      </c>
      <c r="I1251" s="28">
        <f>G1251*H1251/1000*F1251^2/162</f>
        <v>150.3111111111111</v>
      </c>
    </row>
    <row r="1252">
      <c r="A1252" s="7" t="inlineStr">
        <is>
          <t>STR-101</t>
        </is>
      </c>
      <c r="B1252" s="7" t="inlineStr">
        <is>
          <t>Floor Slabs</t>
        </is>
      </c>
      <c r="C1252" s="7" t="inlineStr">
        <is>
          <t>Roof top terrace slab - bottom</t>
        </is>
      </c>
      <c r="D1252" s="7" t="inlineStr">
        <is>
          <t>F15</t>
        </is>
      </c>
      <c r="E1252" s="27" t="inlineStr">
        <is>
          <t>1204</t>
        </is>
      </c>
      <c r="F1252" s="27" t="n">
        <v>12</v>
      </c>
      <c r="G1252" s="27" t="n">
        <v>278</v>
      </c>
      <c r="H1252" s="27" t="n">
        <v>8800</v>
      </c>
      <c r="I1252" s="28">
        <f>G1252*H1252/1000*F1252^2/162</f>
        <v>2174.577777777778</v>
      </c>
    </row>
    <row r="1253">
      <c r="A1253" s="7" t="inlineStr">
        <is>
          <t>STR-101</t>
        </is>
      </c>
      <c r="B1253" s="7" t="inlineStr">
        <is>
          <t>Floor Slabs</t>
        </is>
      </c>
      <c r="C1253" s="7" t="inlineStr">
        <is>
          <t>Roof top terrace slab - bottom</t>
        </is>
      </c>
      <c r="D1253" s="7" t="inlineStr">
        <is>
          <t>F15</t>
        </is>
      </c>
      <c r="E1253" s="27" t="inlineStr">
        <is>
          <t>1205</t>
        </is>
      </c>
      <c r="F1253" s="27" t="n">
        <v>12</v>
      </c>
      <c r="G1253" s="27" t="n">
        <v>21</v>
      </c>
      <c r="H1253" s="27" t="n">
        <v>3400</v>
      </c>
      <c r="I1253" s="28">
        <f>G1253*H1253/1000*F1253^2/162</f>
        <v>63.46666666666667</v>
      </c>
    </row>
    <row r="1254">
      <c r="A1254" s="7" t="inlineStr">
        <is>
          <t>STR-101</t>
        </is>
      </c>
      <c r="B1254" s="7" t="inlineStr">
        <is>
          <t>Floor Slabs</t>
        </is>
      </c>
      <c r="C1254" s="7" t="inlineStr">
        <is>
          <t>Roof top terrace slab - bottom</t>
        </is>
      </c>
      <c r="D1254" s="7" t="inlineStr">
        <is>
          <t>F15</t>
        </is>
      </c>
      <c r="E1254" s="27" t="inlineStr">
        <is>
          <t>1206</t>
        </is>
      </c>
      <c r="F1254" s="27" t="n">
        <v>12</v>
      </c>
      <c r="G1254" s="27" t="n">
        <v>49</v>
      </c>
      <c r="H1254" s="27" t="n">
        <v>4600</v>
      </c>
      <c r="I1254" s="28">
        <f>G1254*H1254/1000*F1254^2/162</f>
        <v>200.35555555555558</v>
      </c>
    </row>
    <row r="1255">
      <c r="A1255" s="7" t="inlineStr">
        <is>
          <t>STR-101</t>
        </is>
      </c>
      <c r="B1255" s="7" t="inlineStr">
        <is>
          <t>Floor Slabs</t>
        </is>
      </c>
      <c r="C1255" s="7" t="inlineStr">
        <is>
          <t>Roof top terrace slab - bottom</t>
        </is>
      </c>
      <c r="D1255" s="7" t="inlineStr">
        <is>
          <t>F15</t>
        </is>
      </c>
      <c r="E1255" s="27" t="inlineStr">
        <is>
          <t>1207</t>
        </is>
      </c>
      <c r="F1255" s="27" t="n">
        <v>12</v>
      </c>
      <c r="G1255" s="27" t="n">
        <v>27</v>
      </c>
      <c r="H1255" s="27" t="n">
        <v>4575</v>
      </c>
      <c r="I1255" s="28">
        <f>G1255*H1255/1000*F1255^2/162</f>
        <v>109.80000000000001</v>
      </c>
    </row>
    <row r="1256">
      <c r="A1256" s="7" t="inlineStr">
        <is>
          <t>STR-101</t>
        </is>
      </c>
      <c r="B1256" s="7" t="inlineStr">
        <is>
          <t>Floor Slabs</t>
        </is>
      </c>
      <c r="C1256" s="7" t="inlineStr">
        <is>
          <t>Roof top terrace slab - bottom</t>
        </is>
      </c>
      <c r="D1256" s="7" t="inlineStr">
        <is>
          <t>F15</t>
        </is>
      </c>
      <c r="E1256" s="27" t="inlineStr">
        <is>
          <t>1208</t>
        </is>
      </c>
      <c r="F1256" s="27" t="n">
        <v>12</v>
      </c>
      <c r="G1256" s="27" t="n">
        <v>63</v>
      </c>
      <c r="H1256" s="27" t="n">
        <v>5325</v>
      </c>
      <c r="I1256" s="28">
        <f>G1256*H1256/1000*F1256^2/162</f>
        <v>298.2</v>
      </c>
    </row>
    <row r="1257">
      <c r="A1257" s="7" t="inlineStr">
        <is>
          <t>STR-101</t>
        </is>
      </c>
      <c r="B1257" s="7" t="inlineStr">
        <is>
          <t>Floor Slabs</t>
        </is>
      </c>
      <c r="C1257" s="7" t="inlineStr">
        <is>
          <t>Roof top terrace slab - bottom</t>
        </is>
      </c>
      <c r="D1257" s="7" t="inlineStr">
        <is>
          <t>F15</t>
        </is>
      </c>
      <c r="E1257" s="27" t="inlineStr">
        <is>
          <t>1209</t>
        </is>
      </c>
      <c r="F1257" s="27" t="n">
        <v>12</v>
      </c>
      <c r="G1257" s="27" t="n">
        <v>62</v>
      </c>
      <c r="H1257" s="27" t="n">
        <v>8700</v>
      </c>
      <c r="I1257" s="28">
        <f>G1257*H1257/1000*F1257^2/162</f>
        <v>479.46666666666664</v>
      </c>
    </row>
    <row r="1258">
      <c r="A1258" s="7" t="inlineStr">
        <is>
          <t>STR-101</t>
        </is>
      </c>
      <c r="B1258" s="7" t="inlineStr">
        <is>
          <t>Floor Slabs</t>
        </is>
      </c>
      <c r="C1258" s="7" t="inlineStr">
        <is>
          <t>Roof top terrace slab - bottom</t>
        </is>
      </c>
      <c r="D1258" s="7" t="inlineStr">
        <is>
          <t>F15</t>
        </is>
      </c>
      <c r="E1258" s="27" t="inlineStr">
        <is>
          <t>1210</t>
        </is>
      </c>
      <c r="F1258" s="27" t="n">
        <v>12</v>
      </c>
      <c r="G1258" s="27" t="n">
        <v>110</v>
      </c>
      <c r="H1258" s="27" t="n">
        <v>8575</v>
      </c>
      <c r="I1258" s="28">
        <f>G1258*H1258/1000*F1258^2/162</f>
        <v>838.4444444444445</v>
      </c>
    </row>
    <row r="1259">
      <c r="A1259" s="7" t="inlineStr">
        <is>
          <t>STR-101</t>
        </is>
      </c>
      <c r="B1259" s="7" t="inlineStr">
        <is>
          <t>Floor Slabs</t>
        </is>
      </c>
      <c r="C1259" s="7" t="inlineStr">
        <is>
          <t>Roof top terrace slab - bottom</t>
        </is>
      </c>
      <c r="D1259" s="7" t="inlineStr">
        <is>
          <t>F15</t>
        </is>
      </c>
      <c r="E1259" s="27" t="inlineStr">
        <is>
          <t>1211</t>
        </is>
      </c>
      <c r="F1259" s="27" t="n">
        <v>12</v>
      </c>
      <c r="G1259" s="27" t="n">
        <v>20</v>
      </c>
      <c r="H1259" s="27" t="n">
        <v>8650</v>
      </c>
      <c r="I1259" s="28">
        <f>G1259*H1259/1000*F1259^2/162</f>
        <v>153.77777777777777</v>
      </c>
    </row>
    <row r="1260">
      <c r="A1260" s="7" t="inlineStr">
        <is>
          <t>STR-101</t>
        </is>
      </c>
      <c r="B1260" s="7" t="inlineStr">
        <is>
          <t>Floor Slabs</t>
        </is>
      </c>
      <c r="C1260" s="7" t="inlineStr">
        <is>
          <t>Roof top terrace slab - bottom</t>
        </is>
      </c>
      <c r="D1260" s="7" t="inlineStr">
        <is>
          <t>F15</t>
        </is>
      </c>
      <c r="E1260" s="27" t="inlineStr">
        <is>
          <t>1212</t>
        </is>
      </c>
      <c r="F1260" s="27" t="n">
        <v>12</v>
      </c>
      <c r="G1260" s="27" t="n">
        <v>31</v>
      </c>
      <c r="H1260" s="27" t="n">
        <v>8550</v>
      </c>
      <c r="I1260" s="28">
        <f>G1260*H1260/1000*F1260^2/162</f>
        <v>235.60000000000002</v>
      </c>
    </row>
    <row r="1261">
      <c r="A1261" s="7" t="inlineStr">
        <is>
          <t>STR-101</t>
        </is>
      </c>
      <c r="B1261" s="7" t="inlineStr">
        <is>
          <t>Floor Slabs</t>
        </is>
      </c>
      <c r="C1261" s="7" t="inlineStr">
        <is>
          <t>Roof top terrace slab - bottom</t>
        </is>
      </c>
      <c r="D1261" s="7" t="inlineStr">
        <is>
          <t>F15</t>
        </is>
      </c>
      <c r="E1261" s="27" t="inlineStr">
        <is>
          <t>1213</t>
        </is>
      </c>
      <c r="F1261" s="27" t="n">
        <v>12</v>
      </c>
      <c r="G1261" s="27" t="n">
        <v>31</v>
      </c>
      <c r="H1261" s="27" t="n">
        <v>8700</v>
      </c>
      <c r="I1261" s="28">
        <f>G1261*H1261/1000*F1261^2/162</f>
        <v>239.73333333333332</v>
      </c>
    </row>
    <row r="1262">
      <c r="A1262" s="7" t="inlineStr">
        <is>
          <t>STR-101</t>
        </is>
      </c>
      <c r="B1262" s="7" t="inlineStr">
        <is>
          <t>Floor Slabs</t>
        </is>
      </c>
      <c r="C1262" s="7" t="inlineStr">
        <is>
          <t>Roof top terrace slab - bottom</t>
        </is>
      </c>
      <c r="D1262" s="7" t="inlineStr">
        <is>
          <t>F15</t>
        </is>
      </c>
      <c r="E1262" s="27" t="inlineStr">
        <is>
          <t>1214</t>
        </is>
      </c>
      <c r="F1262" s="27" t="n">
        <v>12</v>
      </c>
      <c r="G1262" s="27" t="n">
        <v>10</v>
      </c>
      <c r="H1262" s="27" t="n">
        <v>10200</v>
      </c>
      <c r="I1262" s="28">
        <f>G1262*H1262/1000*F1262^2/162</f>
        <v>90.66666666666667</v>
      </c>
    </row>
    <row r="1263">
      <c r="A1263" s="7" t="inlineStr">
        <is>
          <t>STR-101</t>
        </is>
      </c>
      <c r="B1263" s="7" t="inlineStr">
        <is>
          <t>Floor Slabs</t>
        </is>
      </c>
      <c r="C1263" s="7" t="inlineStr">
        <is>
          <t>Roof top terrace slab - bottom</t>
        </is>
      </c>
      <c r="D1263" s="7" t="inlineStr">
        <is>
          <t>F15</t>
        </is>
      </c>
      <c r="E1263" s="27" t="inlineStr">
        <is>
          <t>1215</t>
        </is>
      </c>
      <c r="F1263" s="27" t="n">
        <v>12</v>
      </c>
      <c r="G1263" s="27" t="n">
        <v>202</v>
      </c>
      <c r="H1263" s="27" t="n">
        <v>10000</v>
      </c>
      <c r="I1263" s="28">
        <f>G1263*H1263/1000*F1263^2/162</f>
        <v>1795.5555555555557</v>
      </c>
    </row>
    <row r="1264">
      <c r="A1264" s="7" t="inlineStr">
        <is>
          <t>STR-101</t>
        </is>
      </c>
      <c r="B1264" s="7" t="inlineStr">
        <is>
          <t>Floor Slabs</t>
        </is>
      </c>
      <c r="C1264" s="7" t="inlineStr">
        <is>
          <t>Roof top terrace slab - bottom</t>
        </is>
      </c>
      <c r="D1264" s="7" t="inlineStr">
        <is>
          <t>F15</t>
        </is>
      </c>
      <c r="E1264" s="27" t="inlineStr">
        <is>
          <t>1216</t>
        </is>
      </c>
      <c r="F1264" s="27" t="n">
        <v>12</v>
      </c>
      <c r="G1264" s="27" t="n">
        <v>158</v>
      </c>
      <c r="H1264" s="27" t="n">
        <v>9550</v>
      </c>
      <c r="I1264" s="28">
        <f>G1264*H1264/1000*F1264^2/162</f>
        <v>1341.2444444444445</v>
      </c>
    </row>
    <row r="1265">
      <c r="A1265" s="7" t="inlineStr">
        <is>
          <t>STR-101</t>
        </is>
      </c>
      <c r="B1265" s="7" t="inlineStr">
        <is>
          <t>Floor Slabs</t>
        </is>
      </c>
      <c r="C1265" s="7" t="inlineStr">
        <is>
          <t>Roof top terrace slab - bottom</t>
        </is>
      </c>
      <c r="D1265" s="7" t="inlineStr">
        <is>
          <t>F15</t>
        </is>
      </c>
      <c r="E1265" s="27" t="inlineStr">
        <is>
          <t>1217</t>
        </is>
      </c>
      <c r="F1265" s="27" t="n">
        <v>12</v>
      </c>
      <c r="G1265" s="27" t="n">
        <v>141</v>
      </c>
      <c r="H1265" s="27" t="n">
        <v>7250</v>
      </c>
      <c r="I1265" s="28">
        <f>G1265*H1265/1000*F1265^2/162</f>
        <v>908.6666666666666</v>
      </c>
    </row>
    <row r="1266">
      <c r="A1266" s="7" t="inlineStr">
        <is>
          <t>STR-101</t>
        </is>
      </c>
      <c r="B1266" s="7" t="inlineStr">
        <is>
          <t>Floor Slabs</t>
        </is>
      </c>
      <c r="C1266" s="7" t="inlineStr">
        <is>
          <t>Roof top terrace slab - bottom</t>
        </is>
      </c>
      <c r="D1266" s="7" t="inlineStr">
        <is>
          <t>F15</t>
        </is>
      </c>
      <c r="E1266" s="27" t="inlineStr">
        <is>
          <t>1218</t>
        </is>
      </c>
      <c r="F1266" s="27" t="n">
        <v>12</v>
      </c>
      <c r="G1266" s="27" t="n">
        <v>31</v>
      </c>
      <c r="H1266" s="27" t="n">
        <v>12000</v>
      </c>
      <c r="I1266" s="28">
        <f>G1266*H1266/1000*F1266^2/162</f>
        <v>330.6666666666667</v>
      </c>
    </row>
    <row r="1267">
      <c r="A1267" s="7" t="inlineStr">
        <is>
          <t>STR-101</t>
        </is>
      </c>
      <c r="B1267" s="7" t="inlineStr">
        <is>
          <t>Floor Slabs</t>
        </is>
      </c>
      <c r="C1267" s="7" t="inlineStr">
        <is>
          <t>Roof top terrace slab - bottom</t>
        </is>
      </c>
      <c r="D1267" s="7" t="inlineStr">
        <is>
          <t>F15</t>
        </is>
      </c>
      <c r="E1267" s="27" t="inlineStr">
        <is>
          <t>1219</t>
        </is>
      </c>
      <c r="F1267" s="27" t="n">
        <v>12</v>
      </c>
      <c r="G1267" s="27" t="n">
        <v>282</v>
      </c>
      <c r="H1267" s="27" t="n">
        <v>6200</v>
      </c>
      <c r="I1267" s="28">
        <f>G1267*H1267/1000*F1267^2/162</f>
        <v>1554.1333333333334</v>
      </c>
    </row>
    <row r="1268">
      <c r="A1268" s="7" t="inlineStr">
        <is>
          <t>STR-101</t>
        </is>
      </c>
      <c r="B1268" s="7" t="inlineStr">
        <is>
          <t>Floor Slabs</t>
        </is>
      </c>
      <c r="C1268" s="7" t="inlineStr">
        <is>
          <t>Roof top terrace slab - bottom</t>
        </is>
      </c>
      <c r="D1268" s="7" t="inlineStr">
        <is>
          <t>F15</t>
        </is>
      </c>
      <c r="E1268" s="27" t="inlineStr">
        <is>
          <t>1220</t>
        </is>
      </c>
      <c r="F1268" s="27" t="n">
        <v>12</v>
      </c>
      <c r="G1268" s="27" t="n">
        <v>33</v>
      </c>
      <c r="H1268" s="27" t="n">
        <v>7400</v>
      </c>
      <c r="I1268" s="28">
        <f>G1268*H1268/1000*F1268^2/162</f>
        <v>217.06666666666663</v>
      </c>
    </row>
    <row r="1269">
      <c r="A1269" s="7" t="inlineStr">
        <is>
          <t>STR-101</t>
        </is>
      </c>
      <c r="B1269" s="7" t="inlineStr">
        <is>
          <t>Floor Slabs</t>
        </is>
      </c>
      <c r="C1269" s="7" t="inlineStr">
        <is>
          <t>Roof top terrace slab - bottom</t>
        </is>
      </c>
      <c r="D1269" s="7" t="inlineStr">
        <is>
          <t>F15</t>
        </is>
      </c>
      <c r="E1269" s="27" t="inlineStr">
        <is>
          <t>1221</t>
        </is>
      </c>
      <c r="F1269" s="27" t="n">
        <v>12</v>
      </c>
      <c r="G1269" s="27" t="n">
        <v>203</v>
      </c>
      <c r="H1269" s="27" t="n">
        <v>12000</v>
      </c>
      <c r="I1269" s="28">
        <f>G1269*H1269/1000*F1269^2/162</f>
        <v>2165.3333333333335</v>
      </c>
    </row>
    <row r="1270">
      <c r="A1270" s="7" t="inlineStr">
        <is>
          <t>STR-101</t>
        </is>
      </c>
      <c r="B1270" s="7" t="inlineStr">
        <is>
          <t>Floor Slabs</t>
        </is>
      </c>
      <c r="C1270" s="7" t="inlineStr">
        <is>
          <t>Roof top terrace slab - bottom</t>
        </is>
      </c>
      <c r="D1270" s="7" t="inlineStr">
        <is>
          <t>F15</t>
        </is>
      </c>
      <c r="E1270" s="27" t="inlineStr">
        <is>
          <t>1222</t>
        </is>
      </c>
      <c r="F1270" s="27" t="n">
        <v>12</v>
      </c>
      <c r="G1270" s="27" t="n">
        <v>133</v>
      </c>
      <c r="H1270" s="27" t="n">
        <v>7325</v>
      </c>
      <c r="I1270" s="28">
        <f>G1270*H1270/1000*F1270^2/162</f>
        <v>865.9777777777778</v>
      </c>
    </row>
    <row r="1271">
      <c r="A1271" s="7" t="inlineStr">
        <is>
          <t>STR-101</t>
        </is>
      </c>
      <c r="B1271" s="7" t="inlineStr">
        <is>
          <t>Floor Slabs</t>
        </is>
      </c>
      <c r="C1271" s="7" t="inlineStr">
        <is>
          <t>Roof top terrace slab - bottom</t>
        </is>
      </c>
      <c r="D1271" s="7" t="inlineStr">
        <is>
          <t>F15</t>
        </is>
      </c>
      <c r="E1271" s="27" t="inlineStr">
        <is>
          <t>1223</t>
        </is>
      </c>
      <c r="F1271" s="27" t="n">
        <v>12</v>
      </c>
      <c r="G1271" s="27" t="n">
        <v>17</v>
      </c>
      <c r="H1271" s="27" t="n">
        <v>4250</v>
      </c>
      <c r="I1271" s="28">
        <f>G1271*H1271/1000*F1271^2/162</f>
        <v>64.22222222222223</v>
      </c>
    </row>
    <row r="1272">
      <c r="A1272" s="7" t="inlineStr">
        <is>
          <t>STR-101</t>
        </is>
      </c>
      <c r="B1272" s="7" t="inlineStr">
        <is>
          <t>Floor Slabs</t>
        </is>
      </c>
      <c r="C1272" s="7" t="inlineStr">
        <is>
          <t>Roof top terrace slab - bottom</t>
        </is>
      </c>
      <c r="D1272" s="7" t="inlineStr">
        <is>
          <t>F15</t>
        </is>
      </c>
      <c r="E1272" s="27" t="inlineStr">
        <is>
          <t>1224</t>
        </is>
      </c>
      <c r="F1272" s="27" t="n">
        <v>12</v>
      </c>
      <c r="G1272" s="27" t="n">
        <v>24</v>
      </c>
      <c r="H1272" s="27" t="n">
        <v>6200</v>
      </c>
      <c r="I1272" s="28">
        <f>G1272*H1272/1000*F1272^2/162</f>
        <v>132.26666666666668</v>
      </c>
    </row>
    <row r="1273">
      <c r="A1273" s="7" t="inlineStr">
        <is>
          <t>STR-101</t>
        </is>
      </c>
      <c r="B1273" s="7" t="inlineStr">
        <is>
          <t>Floor Slabs</t>
        </is>
      </c>
      <c r="C1273" s="7" t="inlineStr">
        <is>
          <t>Roof top terrace slab - bottom</t>
        </is>
      </c>
      <c r="D1273" s="7" t="inlineStr">
        <is>
          <t>F15</t>
        </is>
      </c>
      <c r="E1273" s="27" t="inlineStr">
        <is>
          <t>1225</t>
        </is>
      </c>
      <c r="F1273" s="27" t="n">
        <v>12</v>
      </c>
      <c r="G1273" s="27" t="n">
        <v>16</v>
      </c>
      <c r="H1273" s="27" t="n">
        <v>9475</v>
      </c>
      <c r="I1273" s="28">
        <f>G1273*H1273/1000*F1273^2/162</f>
        <v>134.75555555555553</v>
      </c>
    </row>
    <row r="1274">
      <c r="A1274" s="7" t="inlineStr">
        <is>
          <t>STR-101</t>
        </is>
      </c>
      <c r="B1274" s="7" t="inlineStr">
        <is>
          <t>Floor Slabs</t>
        </is>
      </c>
      <c r="C1274" s="7" t="inlineStr">
        <is>
          <t>Roof top terrace slab - bottom</t>
        </is>
      </c>
      <c r="D1274" s="7" t="inlineStr">
        <is>
          <t>F15</t>
        </is>
      </c>
      <c r="E1274" s="27" t="inlineStr">
        <is>
          <t>1226</t>
        </is>
      </c>
      <c r="F1274" s="27" t="n">
        <v>12</v>
      </c>
      <c r="G1274" s="27" t="n">
        <v>10</v>
      </c>
      <c r="H1274" s="27" t="n">
        <v>4800</v>
      </c>
      <c r="I1274" s="28">
        <f>G1274*H1274/1000*F1274^2/162</f>
        <v>42.666666666666664</v>
      </c>
    </row>
    <row r="1275">
      <c r="A1275" s="7" t="inlineStr">
        <is>
          <t>STR-101</t>
        </is>
      </c>
      <c r="B1275" s="7" t="inlineStr">
        <is>
          <t>Floor Slabs</t>
        </is>
      </c>
      <c r="C1275" s="7" t="inlineStr">
        <is>
          <t>Roof top terrace slab - bottom</t>
        </is>
      </c>
      <c r="D1275" s="7" t="inlineStr">
        <is>
          <t>F15</t>
        </is>
      </c>
      <c r="E1275" s="27" t="inlineStr">
        <is>
          <t>1227</t>
        </is>
      </c>
      <c r="F1275" s="27" t="n">
        <v>12</v>
      </c>
      <c r="G1275" s="27" t="n">
        <v>99</v>
      </c>
      <c r="H1275" s="27" t="n">
        <v>7375</v>
      </c>
      <c r="I1275" s="28">
        <f>G1275*H1275/1000*F1275^2/162</f>
        <v>649.0</v>
      </c>
    </row>
    <row r="1276">
      <c r="A1276" s="7" t="inlineStr">
        <is>
          <t>STR-101</t>
        </is>
      </c>
      <c r="B1276" s="7" t="inlineStr">
        <is>
          <t>Floor Slabs</t>
        </is>
      </c>
      <c r="C1276" s="7" t="inlineStr">
        <is>
          <t>Roof top terrace slab - bottom</t>
        </is>
      </c>
      <c r="D1276" s="7" t="inlineStr">
        <is>
          <t>F15</t>
        </is>
      </c>
      <c r="E1276" s="27" t="inlineStr">
        <is>
          <t>1228</t>
        </is>
      </c>
      <c r="F1276" s="27" t="n">
        <v>12</v>
      </c>
      <c r="G1276" s="27" t="n">
        <v>17</v>
      </c>
      <c r="H1276" s="27" t="n">
        <v>6900</v>
      </c>
      <c r="I1276" s="28">
        <f>G1276*H1276/1000*F1276^2/162</f>
        <v>104.26666666666667</v>
      </c>
    </row>
    <row r="1277">
      <c r="A1277" s="7" t="inlineStr">
        <is>
          <t>STR-101</t>
        </is>
      </c>
      <c r="B1277" s="7" t="inlineStr">
        <is>
          <t>Floor Slabs</t>
        </is>
      </c>
      <c r="C1277" s="7" t="inlineStr">
        <is>
          <t>Roof top terrace slab - bottom</t>
        </is>
      </c>
      <c r="D1277" s="7" t="inlineStr">
        <is>
          <t>F15</t>
        </is>
      </c>
      <c r="E1277" s="27" t="inlineStr">
        <is>
          <t>1229</t>
        </is>
      </c>
      <c r="F1277" s="27" t="n">
        <v>12</v>
      </c>
      <c r="G1277" s="27" t="n">
        <v>16</v>
      </c>
      <c r="H1277" s="27" t="n">
        <v>5900</v>
      </c>
      <c r="I1277" s="28">
        <f>G1277*H1277/1000*F1277^2/162</f>
        <v>83.91111111111111</v>
      </c>
    </row>
    <row r="1278">
      <c r="A1278" s="7" t="inlineStr">
        <is>
          <t>STR-101</t>
        </is>
      </c>
      <c r="B1278" s="7" t="inlineStr">
        <is>
          <t>Floor Slabs</t>
        </is>
      </c>
      <c r="C1278" s="7" t="inlineStr">
        <is>
          <t>Roof top terrace slab - bottom</t>
        </is>
      </c>
      <c r="D1278" s="7" t="inlineStr">
        <is>
          <t>F15</t>
        </is>
      </c>
      <c r="E1278" s="27" t="inlineStr">
        <is>
          <t>1230</t>
        </is>
      </c>
      <c r="F1278" s="27" t="n">
        <v>12</v>
      </c>
      <c r="G1278" s="27" t="n">
        <v>99</v>
      </c>
      <c r="H1278" s="27" t="n">
        <v>6000</v>
      </c>
      <c r="I1278" s="28">
        <f>G1278*H1278/1000*F1278^2/162</f>
        <v>528.0</v>
      </c>
    </row>
    <row r="1279">
      <c r="A1279" s="7" t="inlineStr">
        <is>
          <t>STR-101</t>
        </is>
      </c>
      <c r="B1279" s="7" t="inlineStr">
        <is>
          <t>Floor Slabs</t>
        </is>
      </c>
      <c r="C1279" s="7" t="inlineStr">
        <is>
          <t>Roof top terrace slab - bottom</t>
        </is>
      </c>
      <c r="D1279" s="7" t="inlineStr">
        <is>
          <t>F15</t>
        </is>
      </c>
      <c r="E1279" s="27" t="inlineStr">
        <is>
          <t>1231</t>
        </is>
      </c>
      <c r="F1279" s="27" t="n">
        <v>12</v>
      </c>
      <c r="G1279" s="27" t="n">
        <v>57</v>
      </c>
      <c r="H1279" s="27" t="n">
        <v>11800</v>
      </c>
      <c r="I1279" s="28">
        <f>G1279*H1279/1000*F1279^2/162</f>
        <v>597.8666666666667</v>
      </c>
    </row>
    <row r="1280">
      <c r="A1280" s="7" t="inlineStr">
        <is>
          <t>STR-101</t>
        </is>
      </c>
      <c r="B1280" s="7" t="inlineStr">
        <is>
          <t>Floor Slabs</t>
        </is>
      </c>
      <c r="C1280" s="7" t="inlineStr">
        <is>
          <t>Roof top terrace slab - bottom</t>
        </is>
      </c>
      <c r="D1280" s="7" t="inlineStr">
        <is>
          <t>F15</t>
        </is>
      </c>
      <c r="E1280" s="27" t="inlineStr">
        <is>
          <t>1232</t>
        </is>
      </c>
      <c r="F1280" s="27" t="n">
        <v>12</v>
      </c>
      <c r="G1280" s="27" t="n">
        <v>16</v>
      </c>
      <c r="H1280" s="27" t="n">
        <v>8400</v>
      </c>
      <c r="I1280" s="28">
        <f>G1280*H1280/1000*F1280^2/162</f>
        <v>119.46666666666668</v>
      </c>
    </row>
    <row r="1281">
      <c r="A1281" s="7" t="inlineStr">
        <is>
          <t>STR-101</t>
        </is>
      </c>
      <c r="B1281" s="7" t="inlineStr">
        <is>
          <t>Floor Slabs</t>
        </is>
      </c>
      <c r="C1281" s="7" t="inlineStr">
        <is>
          <t>Roof top terrace slab - bottom</t>
        </is>
      </c>
      <c r="D1281" s="7" t="inlineStr">
        <is>
          <t>F15</t>
        </is>
      </c>
      <c r="E1281" s="27" t="inlineStr">
        <is>
          <t>1233</t>
        </is>
      </c>
      <c r="F1281" s="27" t="n">
        <v>12</v>
      </c>
      <c r="G1281" s="27" t="n">
        <v>100</v>
      </c>
      <c r="H1281" s="27" t="n">
        <v>11250</v>
      </c>
      <c r="I1281" s="28">
        <f>G1281*H1281/1000*F1281^2/162</f>
        <v>1000.0</v>
      </c>
    </row>
    <row r="1282">
      <c r="A1282" s="7" t="inlineStr">
        <is>
          <t>STR-102</t>
        </is>
      </c>
      <c r="B1282" s="7" t="inlineStr">
        <is>
          <t>Floor Slabs</t>
        </is>
      </c>
      <c r="C1282" s="7" t="inlineStr">
        <is>
          <t>Roof top terrace slab - top</t>
        </is>
      </c>
      <c r="D1282" s="7" t="inlineStr">
        <is>
          <t>F15</t>
        </is>
      </c>
      <c r="E1282" s="27" t="inlineStr">
        <is>
          <t>1234</t>
        </is>
      </c>
      <c r="F1282" s="27" t="n">
        <v>12</v>
      </c>
      <c r="G1282" s="27" t="n">
        <v>155</v>
      </c>
      <c r="H1282" s="27" t="n">
        <v>11650</v>
      </c>
      <c r="I1282" s="28">
        <f>G1282*H1282/1000*F1282^2/162</f>
        <v>1605.111111111111</v>
      </c>
    </row>
    <row r="1283">
      <c r="A1283" s="7" t="inlineStr">
        <is>
          <t>STR-102</t>
        </is>
      </c>
      <c r="B1283" s="7" t="inlineStr">
        <is>
          <t>Floor Slabs</t>
        </is>
      </c>
      <c r="C1283" s="7" t="inlineStr">
        <is>
          <t>Roof top terrace slab - top</t>
        </is>
      </c>
      <c r="D1283" s="7" t="inlineStr">
        <is>
          <t>F15</t>
        </is>
      </c>
      <c r="E1283" s="27" t="inlineStr">
        <is>
          <t>1235</t>
        </is>
      </c>
      <c r="F1283" s="27" t="n">
        <v>12</v>
      </c>
      <c r="G1283" s="27" t="n">
        <v>45</v>
      </c>
      <c r="H1283" s="27" t="n">
        <v>5850</v>
      </c>
      <c r="I1283" s="28">
        <f>G1283*H1283/1000*F1283^2/162</f>
        <v>234.0</v>
      </c>
    </row>
    <row r="1284">
      <c r="A1284" s="7" t="inlineStr">
        <is>
          <t>STR-102</t>
        </is>
      </c>
      <c r="B1284" s="7" t="inlineStr">
        <is>
          <t>Floor Slabs</t>
        </is>
      </c>
      <c r="C1284" s="7" t="inlineStr">
        <is>
          <t>Roof top terrace slab - top</t>
        </is>
      </c>
      <c r="D1284" s="7" t="inlineStr">
        <is>
          <t>F15</t>
        </is>
      </c>
      <c r="E1284" s="27" t="inlineStr">
        <is>
          <t>1236</t>
        </is>
      </c>
      <c r="F1284" s="27" t="n">
        <v>12</v>
      </c>
      <c r="G1284" s="27" t="n">
        <v>21</v>
      </c>
      <c r="H1284" s="27" t="n">
        <v>8250</v>
      </c>
      <c r="I1284" s="28">
        <f>G1284*H1284/1000*F1284^2/162</f>
        <v>154.0</v>
      </c>
    </row>
    <row r="1285">
      <c r="A1285" s="7" t="inlineStr">
        <is>
          <t>STR-102</t>
        </is>
      </c>
      <c r="B1285" s="7" t="inlineStr">
        <is>
          <t>Floor Slabs</t>
        </is>
      </c>
      <c r="C1285" s="7" t="inlineStr">
        <is>
          <t>Roof top terrace slab - top</t>
        </is>
      </c>
      <c r="D1285" s="7" t="inlineStr">
        <is>
          <t>F15</t>
        </is>
      </c>
      <c r="E1285" s="27" t="inlineStr">
        <is>
          <t>1237</t>
        </is>
      </c>
      <c r="F1285" s="27" t="n">
        <v>12</v>
      </c>
      <c r="G1285" s="27" t="n">
        <v>200</v>
      </c>
      <c r="H1285" s="27" t="n">
        <v>7350</v>
      </c>
      <c r="I1285" s="28">
        <f>G1285*H1285/1000*F1285^2/162</f>
        <v>1306.6666666666667</v>
      </c>
    </row>
    <row r="1286">
      <c r="A1286" s="7" t="inlineStr">
        <is>
          <t>STR-102</t>
        </is>
      </c>
      <c r="B1286" s="7" t="inlineStr">
        <is>
          <t>Floor Slabs</t>
        </is>
      </c>
      <c r="C1286" s="7" t="inlineStr">
        <is>
          <t>Roof top terrace slab - top</t>
        </is>
      </c>
      <c r="D1286" s="7" t="inlineStr">
        <is>
          <t>F15</t>
        </is>
      </c>
      <c r="E1286" s="27" t="inlineStr">
        <is>
          <t>1238</t>
        </is>
      </c>
      <c r="F1286" s="27" t="n">
        <v>12</v>
      </c>
      <c r="G1286" s="27" t="n">
        <v>145</v>
      </c>
      <c r="H1286" s="27" t="n">
        <v>8800</v>
      </c>
      <c r="I1286" s="28">
        <f>G1286*H1286/1000*F1286^2/162</f>
        <v>1134.2222222222222</v>
      </c>
    </row>
    <row r="1287">
      <c r="A1287" s="7" t="inlineStr">
        <is>
          <t>STR-102</t>
        </is>
      </c>
      <c r="B1287" s="7" t="inlineStr">
        <is>
          <t>Floor Slabs</t>
        </is>
      </c>
      <c r="C1287" s="7" t="inlineStr">
        <is>
          <t>Roof top terrace slab - top</t>
        </is>
      </c>
      <c r="D1287" s="7" t="inlineStr">
        <is>
          <t>F15</t>
        </is>
      </c>
      <c r="E1287" s="27" t="inlineStr">
        <is>
          <t>1239</t>
        </is>
      </c>
      <c r="F1287" s="27" t="n">
        <v>12</v>
      </c>
      <c r="G1287" s="27" t="n">
        <v>20</v>
      </c>
      <c r="H1287" s="27" t="n">
        <v>7325</v>
      </c>
      <c r="I1287" s="28">
        <f>G1287*H1287/1000*F1287^2/162</f>
        <v>130.22222222222223</v>
      </c>
    </row>
    <row r="1288">
      <c r="A1288" s="7" t="inlineStr">
        <is>
          <t>STR-102</t>
        </is>
      </c>
      <c r="B1288" s="7" t="inlineStr">
        <is>
          <t>Floor Slabs</t>
        </is>
      </c>
      <c r="C1288" s="7" t="inlineStr">
        <is>
          <t>Roof top terrace slab - top</t>
        </is>
      </c>
      <c r="D1288" s="7" t="inlineStr">
        <is>
          <t>F15</t>
        </is>
      </c>
      <c r="E1288" s="27" t="inlineStr">
        <is>
          <t>1240</t>
        </is>
      </c>
      <c r="F1288" s="27" t="n">
        <v>12</v>
      </c>
      <c r="G1288" s="27" t="n">
        <v>50</v>
      </c>
      <c r="H1288" s="27" t="n">
        <v>8700</v>
      </c>
      <c r="I1288" s="28">
        <f>G1288*H1288/1000*F1288^2/162</f>
        <v>386.6666666666667</v>
      </c>
    </row>
    <row r="1289">
      <c r="A1289" s="7" t="inlineStr">
        <is>
          <t>STR-102</t>
        </is>
      </c>
      <c r="B1289" s="7" t="inlineStr">
        <is>
          <t>Floor Slabs</t>
        </is>
      </c>
      <c r="C1289" s="7" t="inlineStr">
        <is>
          <t>Roof top terrace slab - top</t>
        </is>
      </c>
      <c r="D1289" s="7" t="inlineStr">
        <is>
          <t>F15</t>
        </is>
      </c>
      <c r="E1289" s="27" t="inlineStr">
        <is>
          <t>1241</t>
        </is>
      </c>
      <c r="F1289" s="27" t="n">
        <v>12</v>
      </c>
      <c r="G1289" s="27" t="n">
        <v>28</v>
      </c>
      <c r="H1289" s="27" t="n">
        <v>4975</v>
      </c>
      <c r="I1289" s="28">
        <f>G1289*H1289/1000*F1289^2/162</f>
        <v>123.82222222222222</v>
      </c>
    </row>
    <row r="1290">
      <c r="A1290" s="7" t="inlineStr">
        <is>
          <t>STR-102</t>
        </is>
      </c>
      <c r="B1290" s="7" t="inlineStr">
        <is>
          <t>Floor Slabs</t>
        </is>
      </c>
      <c r="C1290" s="7" t="inlineStr">
        <is>
          <t>Roof top terrace slab - top</t>
        </is>
      </c>
      <c r="D1290" s="7" t="inlineStr">
        <is>
          <t>F15</t>
        </is>
      </c>
      <c r="E1290" s="27" t="inlineStr">
        <is>
          <t>1242</t>
        </is>
      </c>
      <c r="F1290" s="27" t="n">
        <v>12</v>
      </c>
      <c r="G1290" s="27" t="n">
        <v>110</v>
      </c>
      <c r="H1290" s="27" t="n">
        <v>4650</v>
      </c>
      <c r="I1290" s="28">
        <f>G1290*H1290/1000*F1290^2/162</f>
        <v>454.6666666666667</v>
      </c>
    </row>
    <row r="1291">
      <c r="A1291" s="7" t="inlineStr">
        <is>
          <t>STR-102</t>
        </is>
      </c>
      <c r="B1291" s="7" t="inlineStr">
        <is>
          <t>Floor Slabs</t>
        </is>
      </c>
      <c r="C1291" s="7" t="inlineStr">
        <is>
          <t>Roof top terrace slab - top</t>
        </is>
      </c>
      <c r="D1291" s="7" t="inlineStr">
        <is>
          <t>F15</t>
        </is>
      </c>
      <c r="E1291" s="27" t="inlineStr">
        <is>
          <t>1243</t>
        </is>
      </c>
      <c r="F1291" s="27" t="n">
        <v>12</v>
      </c>
      <c r="G1291" s="27" t="n">
        <v>63</v>
      </c>
      <c r="H1291" s="27" t="n">
        <v>5325</v>
      </c>
      <c r="I1291" s="28">
        <f>G1291*H1291/1000*F1291^2/162</f>
        <v>298.2</v>
      </c>
    </row>
    <row r="1292">
      <c r="A1292" s="7" t="inlineStr">
        <is>
          <t>STR-102</t>
        </is>
      </c>
      <c r="B1292" s="7" t="inlineStr">
        <is>
          <t>Floor Slabs</t>
        </is>
      </c>
      <c r="C1292" s="7" t="inlineStr">
        <is>
          <t>Roof top terrace slab - top</t>
        </is>
      </c>
      <c r="D1292" s="7" t="inlineStr">
        <is>
          <t>F15</t>
        </is>
      </c>
      <c r="E1292" s="27" t="inlineStr">
        <is>
          <t>1244</t>
        </is>
      </c>
      <c r="F1292" s="27" t="n">
        <v>12</v>
      </c>
      <c r="G1292" s="27" t="n">
        <v>21</v>
      </c>
      <c r="H1292" s="27" t="n">
        <v>4500</v>
      </c>
      <c r="I1292" s="28">
        <f>G1292*H1292/1000*F1292^2/162</f>
        <v>84.0</v>
      </c>
    </row>
    <row r="1293">
      <c r="A1293" s="7" t="inlineStr">
        <is>
          <t>STR-102</t>
        </is>
      </c>
      <c r="B1293" s="7" t="inlineStr">
        <is>
          <t>Floor Slabs</t>
        </is>
      </c>
      <c r="C1293" s="7" t="inlineStr">
        <is>
          <t>Roof top terrace slab - top</t>
        </is>
      </c>
      <c r="D1293" s="7" t="inlineStr">
        <is>
          <t>F15</t>
        </is>
      </c>
      <c r="E1293" s="27" t="inlineStr">
        <is>
          <t>1245</t>
        </is>
      </c>
      <c r="F1293" s="27" t="n">
        <v>12</v>
      </c>
      <c r="G1293" s="27" t="n">
        <v>32</v>
      </c>
      <c r="H1293" s="27" t="n">
        <v>8550</v>
      </c>
      <c r="I1293" s="28">
        <f>G1293*H1293/1000*F1293^2/162</f>
        <v>243.20000000000002</v>
      </c>
    </row>
    <row r="1294">
      <c r="A1294" s="7" t="inlineStr">
        <is>
          <t>STR-102</t>
        </is>
      </c>
      <c r="B1294" s="7" t="inlineStr">
        <is>
          <t>Floor Slabs</t>
        </is>
      </c>
      <c r="C1294" s="7" t="inlineStr">
        <is>
          <t>Roof top terrace slab - top</t>
        </is>
      </c>
      <c r="D1294" s="7" t="inlineStr">
        <is>
          <t>F15</t>
        </is>
      </c>
      <c r="E1294" s="27" t="inlineStr">
        <is>
          <t>1246</t>
        </is>
      </c>
      <c r="F1294" s="27" t="n">
        <v>12</v>
      </c>
      <c r="G1294" s="27" t="n">
        <v>10</v>
      </c>
      <c r="H1294" s="27" t="n">
        <v>10000</v>
      </c>
      <c r="I1294" s="28">
        <f>G1294*H1294/1000*F1294^2/162</f>
        <v>88.88888888888889</v>
      </c>
    </row>
    <row r="1295">
      <c r="A1295" s="7" t="inlineStr">
        <is>
          <t>STR-102</t>
        </is>
      </c>
      <c r="B1295" s="7" t="inlineStr">
        <is>
          <t>Floor Slabs</t>
        </is>
      </c>
      <c r="C1295" s="7" t="inlineStr">
        <is>
          <t>Roof top terrace slab - top</t>
        </is>
      </c>
      <c r="D1295" s="7" t="inlineStr">
        <is>
          <t>F15</t>
        </is>
      </c>
      <c r="E1295" s="27" t="inlineStr">
        <is>
          <t>1247</t>
        </is>
      </c>
      <c r="F1295" s="27" t="n">
        <v>12</v>
      </c>
      <c r="G1295" s="27" t="n">
        <v>234</v>
      </c>
      <c r="H1295" s="27" t="n">
        <v>8850</v>
      </c>
      <c r="I1295" s="28">
        <f>G1295*H1295/1000*F1295^2/162</f>
        <v>1840.8000000000002</v>
      </c>
    </row>
    <row r="1296">
      <c r="A1296" s="7" t="inlineStr">
        <is>
          <t>STR-102</t>
        </is>
      </c>
      <c r="B1296" s="7" t="inlineStr">
        <is>
          <t>Floor Slabs</t>
        </is>
      </c>
      <c r="C1296" s="7" t="inlineStr">
        <is>
          <t>Roof top terrace slab - top</t>
        </is>
      </c>
      <c r="D1296" s="7" t="inlineStr">
        <is>
          <t>F15</t>
        </is>
      </c>
      <c r="E1296" s="27" t="inlineStr">
        <is>
          <t>1248</t>
        </is>
      </c>
      <c r="F1296" s="27" t="n">
        <v>12</v>
      </c>
      <c r="G1296" s="27" t="n">
        <v>31</v>
      </c>
      <c r="H1296" s="27" t="n">
        <v>4600</v>
      </c>
      <c r="I1296" s="28">
        <f>G1296*H1296/1000*F1296^2/162</f>
        <v>126.75555555555555</v>
      </c>
    </row>
    <row r="1297">
      <c r="A1297" s="7" t="inlineStr">
        <is>
          <t>STR-102</t>
        </is>
      </c>
      <c r="B1297" s="7" t="inlineStr">
        <is>
          <t>Floor Slabs</t>
        </is>
      </c>
      <c r="C1297" s="7" t="inlineStr">
        <is>
          <t>Roof top terrace slab - top</t>
        </is>
      </c>
      <c r="D1297" s="7" t="inlineStr">
        <is>
          <t>F15</t>
        </is>
      </c>
      <c r="E1297" s="27" t="inlineStr">
        <is>
          <t>1249</t>
        </is>
      </c>
      <c r="F1297" s="27" t="n">
        <v>12</v>
      </c>
      <c r="G1297" s="27" t="n">
        <v>202</v>
      </c>
      <c r="H1297" s="27" t="n">
        <v>5900</v>
      </c>
      <c r="I1297" s="28">
        <f>G1297*H1297/1000*F1297^2/162</f>
        <v>1059.3777777777777</v>
      </c>
    </row>
    <row r="1298">
      <c r="A1298" s="7" t="inlineStr">
        <is>
          <t>STR-102</t>
        </is>
      </c>
      <c r="B1298" s="7" t="inlineStr">
        <is>
          <t>Floor Slabs</t>
        </is>
      </c>
      <c r="C1298" s="7" t="inlineStr">
        <is>
          <t>Roof top terrace slab - top</t>
        </is>
      </c>
      <c r="D1298" s="7" t="inlineStr">
        <is>
          <t>F15</t>
        </is>
      </c>
      <c r="E1298" s="27" t="inlineStr">
        <is>
          <t>1250</t>
        </is>
      </c>
      <c r="F1298" s="27" t="n">
        <v>12</v>
      </c>
      <c r="G1298" s="27" t="n">
        <v>158</v>
      </c>
      <c r="H1298" s="27" t="n">
        <v>9525</v>
      </c>
      <c r="I1298" s="28">
        <f>G1298*H1298/1000*F1298^2/162</f>
        <v>1337.7333333333333</v>
      </c>
    </row>
    <row r="1299">
      <c r="A1299" s="7" t="inlineStr">
        <is>
          <t>STR-102</t>
        </is>
      </c>
      <c r="B1299" s="7" t="inlineStr">
        <is>
          <t>Floor Slabs</t>
        </is>
      </c>
      <c r="C1299" s="7" t="inlineStr">
        <is>
          <t>Roof top terrace slab - top</t>
        </is>
      </c>
      <c r="D1299" s="7" t="inlineStr">
        <is>
          <t>F15</t>
        </is>
      </c>
      <c r="E1299" s="27" t="inlineStr">
        <is>
          <t>1251</t>
        </is>
      </c>
      <c r="F1299" s="27" t="n">
        <v>12</v>
      </c>
      <c r="G1299" s="27" t="n">
        <v>16</v>
      </c>
      <c r="H1299" s="27" t="n">
        <v>1925</v>
      </c>
      <c r="I1299" s="28">
        <f>G1299*H1299/1000*F1299^2/162</f>
        <v>27.377777777777776</v>
      </c>
    </row>
    <row r="1300">
      <c r="A1300" s="7" t="inlineStr">
        <is>
          <t>STR-102</t>
        </is>
      </c>
      <c r="B1300" s="7" t="inlineStr">
        <is>
          <t>Floor Slabs</t>
        </is>
      </c>
      <c r="C1300" s="7" t="inlineStr">
        <is>
          <t>Roof top terrace slab - top</t>
        </is>
      </c>
      <c r="D1300" s="7" t="inlineStr">
        <is>
          <t>F15</t>
        </is>
      </c>
      <c r="E1300" s="27" t="inlineStr">
        <is>
          <t>1252</t>
        </is>
      </c>
      <c r="F1300" s="27" t="n">
        <v>12</v>
      </c>
      <c r="G1300" s="27" t="n">
        <v>155</v>
      </c>
      <c r="H1300" s="27" t="n">
        <v>3800</v>
      </c>
      <c r="I1300" s="28">
        <f>G1300*H1300/1000*F1300^2/162</f>
        <v>523.5555555555555</v>
      </c>
    </row>
    <row r="1301">
      <c r="A1301" s="7" t="inlineStr">
        <is>
          <t>STR-102</t>
        </is>
      </c>
      <c r="B1301" s="7" t="inlineStr">
        <is>
          <t>Floor Slabs</t>
        </is>
      </c>
      <c r="C1301" s="7" t="inlineStr">
        <is>
          <t>Roof top terrace slab - top</t>
        </is>
      </c>
      <c r="D1301" s="7" t="inlineStr">
        <is>
          <t>F15</t>
        </is>
      </c>
      <c r="E1301" s="27" t="inlineStr">
        <is>
          <t>1253</t>
        </is>
      </c>
      <c r="F1301" s="27" t="n">
        <v>12</v>
      </c>
      <c r="G1301" s="27" t="n">
        <v>49</v>
      </c>
      <c r="H1301" s="27" t="n">
        <v>10400</v>
      </c>
      <c r="I1301" s="28">
        <f>G1301*H1301/1000*F1301^2/162</f>
        <v>452.9777777777778</v>
      </c>
    </row>
    <row r="1302">
      <c r="A1302" s="7" t="inlineStr">
        <is>
          <t>STR-102</t>
        </is>
      </c>
      <c r="B1302" s="7" t="inlineStr">
        <is>
          <t>Floor Slabs</t>
        </is>
      </c>
      <c r="C1302" s="7" t="inlineStr">
        <is>
          <t>Roof top terrace slab - top</t>
        </is>
      </c>
      <c r="D1302" s="7" t="inlineStr">
        <is>
          <t>F15</t>
        </is>
      </c>
      <c r="E1302" s="27" t="inlineStr">
        <is>
          <t>1254</t>
        </is>
      </c>
      <c r="F1302" s="27" t="n">
        <v>12</v>
      </c>
      <c r="G1302" s="27" t="n">
        <v>30</v>
      </c>
      <c r="H1302" s="27" t="n">
        <v>3450</v>
      </c>
      <c r="I1302" s="28">
        <f>G1302*H1302/1000*F1302^2/162</f>
        <v>92.0</v>
      </c>
    </row>
    <row r="1303">
      <c r="A1303" s="7" t="inlineStr">
        <is>
          <t>STR-102</t>
        </is>
      </c>
      <c r="B1303" s="7" t="inlineStr">
        <is>
          <t>Floor Slabs</t>
        </is>
      </c>
      <c r="C1303" s="7" t="inlineStr">
        <is>
          <t>Roof top terrace slab - top</t>
        </is>
      </c>
      <c r="D1303" s="7" t="inlineStr">
        <is>
          <t>F15</t>
        </is>
      </c>
      <c r="E1303" s="27" t="inlineStr">
        <is>
          <t>1255</t>
        </is>
      </c>
      <c r="F1303" s="27" t="n">
        <v>12</v>
      </c>
      <c r="G1303" s="27" t="n">
        <v>283</v>
      </c>
      <c r="H1303" s="27" t="n">
        <v>9500</v>
      </c>
      <c r="I1303" s="28">
        <f>G1303*H1303/1000*F1303^2/162</f>
        <v>2389.777777777778</v>
      </c>
    </row>
    <row r="1304">
      <c r="A1304" s="7" t="inlineStr">
        <is>
          <t>STR-102</t>
        </is>
      </c>
      <c r="B1304" s="7" t="inlineStr">
        <is>
          <t>Floor Slabs</t>
        </is>
      </c>
      <c r="C1304" s="7" t="inlineStr">
        <is>
          <t>Roof top terrace slab - top</t>
        </is>
      </c>
      <c r="D1304" s="7" t="inlineStr">
        <is>
          <t>F15</t>
        </is>
      </c>
      <c r="E1304" s="27" t="inlineStr">
        <is>
          <t>1256</t>
        </is>
      </c>
      <c r="F1304" s="27" t="n">
        <v>12</v>
      </c>
      <c r="G1304" s="27" t="n">
        <v>49</v>
      </c>
      <c r="H1304" s="27" t="n">
        <v>7300</v>
      </c>
      <c r="I1304" s="28">
        <f>G1304*H1304/1000*F1304^2/162</f>
        <v>317.9555555555555</v>
      </c>
    </row>
    <row r="1305">
      <c r="A1305" s="7" t="inlineStr">
        <is>
          <t>STR-102</t>
        </is>
      </c>
      <c r="B1305" s="7" t="inlineStr">
        <is>
          <t>Floor Slabs</t>
        </is>
      </c>
      <c r="C1305" s="7" t="inlineStr">
        <is>
          <t>Roof top terrace slab - top</t>
        </is>
      </c>
      <c r="D1305" s="7" t="inlineStr">
        <is>
          <t>F15</t>
        </is>
      </c>
      <c r="E1305" s="27" t="inlineStr">
        <is>
          <t>1257</t>
        </is>
      </c>
      <c r="F1305" s="27" t="n">
        <v>12</v>
      </c>
      <c r="G1305" s="27" t="n">
        <v>152</v>
      </c>
      <c r="H1305" s="27" t="n">
        <v>8750</v>
      </c>
      <c r="I1305" s="28">
        <f>G1305*H1305/1000*F1305^2/162</f>
        <v>1182.2222222222222</v>
      </c>
    </row>
    <row r="1306">
      <c r="A1306" s="7" t="inlineStr">
        <is>
          <t>STR-102</t>
        </is>
      </c>
      <c r="B1306" s="7" t="inlineStr">
        <is>
          <t>Floor Slabs</t>
        </is>
      </c>
      <c r="C1306" s="7" t="inlineStr">
        <is>
          <t>Roof top terrace slab - top</t>
        </is>
      </c>
      <c r="D1306" s="7" t="inlineStr">
        <is>
          <t>F15</t>
        </is>
      </c>
      <c r="E1306" s="27" t="inlineStr">
        <is>
          <t>1258</t>
        </is>
      </c>
      <c r="F1306" s="27" t="n">
        <v>12</v>
      </c>
      <c r="G1306" s="27" t="n">
        <v>17</v>
      </c>
      <c r="H1306" s="27" t="n">
        <v>4150</v>
      </c>
      <c r="I1306" s="28">
        <f>G1306*H1306/1000*F1306^2/162</f>
        <v>62.7111111111111</v>
      </c>
    </row>
    <row r="1307">
      <c r="A1307" s="7" t="inlineStr">
        <is>
          <t>STR-102</t>
        </is>
      </c>
      <c r="B1307" s="7" t="inlineStr">
        <is>
          <t>Floor Slabs</t>
        </is>
      </c>
      <c r="C1307" s="7" t="inlineStr">
        <is>
          <t>Roof top terrace slab - top</t>
        </is>
      </c>
      <c r="D1307" s="7" t="inlineStr">
        <is>
          <t>F15</t>
        </is>
      </c>
      <c r="E1307" s="27" t="inlineStr">
        <is>
          <t>1259</t>
        </is>
      </c>
      <c r="F1307" s="27" t="n">
        <v>12</v>
      </c>
      <c r="G1307" s="27" t="n">
        <v>17</v>
      </c>
      <c r="H1307" s="27" t="n">
        <v>4250</v>
      </c>
      <c r="I1307" s="28">
        <f>G1307*H1307/1000*F1307^2/162</f>
        <v>64.22222222222223</v>
      </c>
    </row>
    <row r="1308">
      <c r="A1308" s="7" t="inlineStr">
        <is>
          <t>STR-102</t>
        </is>
      </c>
      <c r="B1308" s="7" t="inlineStr">
        <is>
          <t>Floor Slabs</t>
        </is>
      </c>
      <c r="C1308" s="7" t="inlineStr">
        <is>
          <t>Roof top terrace slab - top</t>
        </is>
      </c>
      <c r="D1308" s="7" t="inlineStr">
        <is>
          <t>F15</t>
        </is>
      </c>
      <c r="E1308" s="27" t="inlineStr">
        <is>
          <t>1260</t>
        </is>
      </c>
      <c r="F1308" s="27" t="n">
        <v>12</v>
      </c>
      <c r="G1308" s="27" t="n">
        <v>210</v>
      </c>
      <c r="H1308" s="27" t="n">
        <v>9200</v>
      </c>
      <c r="I1308" s="28">
        <f>G1308*H1308/1000*F1308^2/162</f>
        <v>1717.3333333333333</v>
      </c>
    </row>
    <row r="1309">
      <c r="A1309" s="7" t="inlineStr">
        <is>
          <t>STR-102</t>
        </is>
      </c>
      <c r="B1309" s="7" t="inlineStr">
        <is>
          <t>Floor Slabs</t>
        </is>
      </c>
      <c r="C1309" s="7" t="inlineStr">
        <is>
          <t>Roof top terrace slab - top</t>
        </is>
      </c>
      <c r="D1309" s="7" t="inlineStr">
        <is>
          <t>F15</t>
        </is>
      </c>
      <c r="E1309" s="27" t="inlineStr">
        <is>
          <t>1261</t>
        </is>
      </c>
      <c r="F1309" s="27" t="n">
        <v>12</v>
      </c>
      <c r="G1309" s="27" t="n">
        <v>16</v>
      </c>
      <c r="H1309" s="27" t="n">
        <v>9475</v>
      </c>
      <c r="I1309" s="28">
        <f>G1309*H1309/1000*F1309^2/162</f>
        <v>134.75555555555553</v>
      </c>
    </row>
    <row r="1310">
      <c r="A1310" s="7" t="inlineStr">
        <is>
          <t>STR-102</t>
        </is>
      </c>
      <c r="B1310" s="7" t="inlineStr">
        <is>
          <t>Floor Slabs</t>
        </is>
      </c>
      <c r="C1310" s="7" t="inlineStr">
        <is>
          <t>Roof top terrace slab - top</t>
        </is>
      </c>
      <c r="D1310" s="7" t="inlineStr">
        <is>
          <t>F15</t>
        </is>
      </c>
      <c r="E1310" s="27" t="inlineStr">
        <is>
          <t>1262</t>
        </is>
      </c>
      <c r="F1310" s="27" t="n">
        <v>12</v>
      </c>
      <c r="G1310" s="27" t="n">
        <v>133</v>
      </c>
      <c r="H1310" s="27" t="n">
        <v>2200</v>
      </c>
      <c r="I1310" s="28">
        <f>G1310*H1310/1000*F1310^2/162</f>
        <v>260.0888888888889</v>
      </c>
    </row>
    <row r="1311">
      <c r="A1311" s="7" t="inlineStr">
        <is>
          <t>STR-102</t>
        </is>
      </c>
      <c r="B1311" s="7" t="inlineStr">
        <is>
          <t>Floor Slabs</t>
        </is>
      </c>
      <c r="C1311" s="7" t="inlineStr">
        <is>
          <t>Roof top terrace slab - top</t>
        </is>
      </c>
      <c r="D1311" s="7" t="inlineStr">
        <is>
          <t>F15</t>
        </is>
      </c>
      <c r="E1311" s="27" t="inlineStr">
        <is>
          <t>1263</t>
        </is>
      </c>
      <c r="F1311" s="27" t="n">
        <v>12</v>
      </c>
      <c r="G1311" s="27" t="n">
        <v>10</v>
      </c>
      <c r="H1311" s="27" t="n">
        <v>6000</v>
      </c>
      <c r="I1311" s="28">
        <f>G1311*H1311/1000*F1311^2/162</f>
        <v>53.333333333333336</v>
      </c>
    </row>
    <row r="1312">
      <c r="A1312" s="7" t="inlineStr">
        <is>
          <t>STR-102</t>
        </is>
      </c>
      <c r="B1312" s="7" t="inlineStr">
        <is>
          <t>Floor Slabs</t>
        </is>
      </c>
      <c r="C1312" s="7" t="inlineStr">
        <is>
          <t>Roof top terrace slab - top</t>
        </is>
      </c>
      <c r="D1312" s="7" t="inlineStr">
        <is>
          <t>F15</t>
        </is>
      </c>
      <c r="E1312" s="27" t="inlineStr">
        <is>
          <t>1264</t>
        </is>
      </c>
      <c r="F1312" s="27" t="n">
        <v>12</v>
      </c>
      <c r="G1312" s="27" t="n">
        <v>114</v>
      </c>
      <c r="H1312" s="27" t="n">
        <v>4600</v>
      </c>
      <c r="I1312" s="28">
        <f>G1312*H1312/1000*F1312^2/162</f>
        <v>466.13333333333327</v>
      </c>
    </row>
    <row r="1313">
      <c r="A1313" s="7" t="inlineStr">
        <is>
          <t>STR-102</t>
        </is>
      </c>
      <c r="B1313" s="7" t="inlineStr">
        <is>
          <t>Floor Slabs</t>
        </is>
      </c>
      <c r="C1313" s="7" t="inlineStr">
        <is>
          <t>Roof top terrace slab - top</t>
        </is>
      </c>
      <c r="D1313" s="7" t="inlineStr">
        <is>
          <t>F15</t>
        </is>
      </c>
      <c r="E1313" s="27" t="inlineStr">
        <is>
          <t>1265</t>
        </is>
      </c>
      <c r="F1313" s="27" t="n">
        <v>12</v>
      </c>
      <c r="G1313" s="27" t="n">
        <v>16</v>
      </c>
      <c r="H1313" s="27" t="n">
        <v>8750</v>
      </c>
      <c r="I1313" s="28">
        <f>G1313*H1313/1000*F1313^2/162</f>
        <v>124.44444444444444</v>
      </c>
    </row>
    <row r="1314">
      <c r="A1314" s="7" t="inlineStr">
        <is>
          <t>STR-102</t>
        </is>
      </c>
      <c r="B1314" s="7" t="inlineStr">
        <is>
          <t>Floor Slabs</t>
        </is>
      </c>
      <c r="C1314" s="7" t="inlineStr">
        <is>
          <t>Roof top terrace slab - top</t>
        </is>
      </c>
      <c r="D1314" s="7" t="inlineStr">
        <is>
          <t>F15</t>
        </is>
      </c>
      <c r="E1314" s="27" t="inlineStr">
        <is>
          <t>1266</t>
        </is>
      </c>
      <c r="F1314" s="27" t="n">
        <v>12</v>
      </c>
      <c r="G1314" s="27" t="n">
        <v>98</v>
      </c>
      <c r="H1314" s="27" t="n">
        <v>12000</v>
      </c>
      <c r="I1314" s="28">
        <f>G1314*H1314/1000*F1314^2/162</f>
        <v>1045.3333333333333</v>
      </c>
    </row>
    <row r="1315">
      <c r="A1315" s="7" t="inlineStr">
        <is>
          <t>STR-102</t>
        </is>
      </c>
      <c r="B1315" s="7" t="inlineStr">
        <is>
          <t>Floor Slabs</t>
        </is>
      </c>
      <c r="C1315" s="7" t="inlineStr">
        <is>
          <t>Roof top terrace slab - top</t>
        </is>
      </c>
      <c r="D1315" s="7" t="inlineStr">
        <is>
          <t>F15</t>
        </is>
      </c>
      <c r="E1315" s="27" t="inlineStr">
        <is>
          <t>1267</t>
        </is>
      </c>
      <c r="F1315" s="27" t="n">
        <v>12</v>
      </c>
      <c r="G1315" s="27" t="n">
        <v>53</v>
      </c>
      <c r="H1315" s="27" t="n">
        <v>8725</v>
      </c>
      <c r="I1315" s="28">
        <f>G1315*H1315/1000*F1315^2/162</f>
        <v>411.0444444444444</v>
      </c>
    </row>
    <row r="1316">
      <c r="A1316" s="7" t="inlineStr">
        <is>
          <t>STR-102</t>
        </is>
      </c>
      <c r="B1316" s="7" t="inlineStr">
        <is>
          <t>Floor Slabs</t>
        </is>
      </c>
      <c r="C1316" s="7" t="inlineStr">
        <is>
          <t>Roof top terrace slab - top</t>
        </is>
      </c>
      <c r="D1316" s="7" t="inlineStr">
        <is>
          <t>F15</t>
        </is>
      </c>
      <c r="E1316" s="27" t="inlineStr">
        <is>
          <t>1268</t>
        </is>
      </c>
      <c r="F1316" s="27" t="n">
        <v>12</v>
      </c>
      <c r="G1316" s="27" t="n">
        <v>58</v>
      </c>
      <c r="H1316" s="27" t="n">
        <v>11800</v>
      </c>
      <c r="I1316" s="28">
        <f>G1316*H1316/1000*F1316^2/162</f>
        <v>608.3555555555555</v>
      </c>
    </row>
    <row r="1317">
      <c r="A1317" s="7" t="inlineStr">
        <is>
          <t>STR-102</t>
        </is>
      </c>
      <c r="B1317" s="7" t="inlineStr">
        <is>
          <t>Floor Slabs</t>
        </is>
      </c>
      <c r="C1317" s="7" t="inlineStr">
        <is>
          <t>Roof top terrace slab - top</t>
        </is>
      </c>
      <c r="D1317" s="7" t="inlineStr">
        <is>
          <t>F15</t>
        </is>
      </c>
      <c r="E1317" s="27" t="inlineStr">
        <is>
          <t>1269</t>
        </is>
      </c>
      <c r="F1317" s="27" t="n">
        <v>12</v>
      </c>
      <c r="G1317" s="27" t="n">
        <v>16</v>
      </c>
      <c r="H1317" s="27" t="n">
        <v>11550</v>
      </c>
      <c r="I1317" s="28">
        <f>G1317*H1317/1000*F1317^2/162</f>
        <v>164.26666666666668</v>
      </c>
    </row>
    <row r="1318">
      <c r="A1318" s="7" t="inlineStr">
        <is>
          <t>STR-102</t>
        </is>
      </c>
      <c r="B1318" s="7" t="inlineStr">
        <is>
          <t>Floor Slabs</t>
        </is>
      </c>
      <c r="C1318" s="7" t="inlineStr">
        <is>
          <t>Roof top terrace slab - top</t>
        </is>
      </c>
      <c r="D1318" s="7" t="inlineStr">
        <is>
          <t>F15</t>
        </is>
      </c>
      <c r="E1318" s="27" t="inlineStr">
        <is>
          <t>1270</t>
        </is>
      </c>
      <c r="F1318" s="27" t="n">
        <v>12</v>
      </c>
      <c r="G1318" s="27" t="n">
        <v>101</v>
      </c>
      <c r="H1318" s="27" t="n">
        <v>7900</v>
      </c>
      <c r="I1318" s="28">
        <f>G1318*H1318/1000*F1318^2/162</f>
        <v>709.2444444444444</v>
      </c>
    </row>
    <row r="1319">
      <c r="A1319" s="7" t="inlineStr">
        <is>
          <t>STR-103</t>
        </is>
      </c>
      <c r="B1319" s="7" t="inlineStr">
        <is>
          <t>Floor Slabs</t>
        </is>
      </c>
      <c r="C1319" s="7" t="inlineStr">
        <is>
          <t>Roof top terrace slab - additional top</t>
        </is>
      </c>
      <c r="D1319" s="7" t="inlineStr">
        <is>
          <t>F15</t>
        </is>
      </c>
      <c r="E1319" s="27" t="inlineStr">
        <is>
          <t>1271</t>
        </is>
      </c>
      <c r="F1319" s="27" t="n">
        <v>12</v>
      </c>
      <c r="G1319" s="27" t="n">
        <v>30</v>
      </c>
      <c r="H1319" s="27" t="n">
        <v>11000</v>
      </c>
      <c r="I1319" s="28">
        <f>G1319*H1319/1000*F1319^2/162</f>
        <v>293.3333333333333</v>
      </c>
    </row>
    <row r="1320">
      <c r="A1320" s="7" t="inlineStr">
        <is>
          <t>STR-103</t>
        </is>
      </c>
      <c r="B1320" s="7" t="inlineStr">
        <is>
          <t>Floor Slabs</t>
        </is>
      </c>
      <c r="C1320" s="7" t="inlineStr">
        <is>
          <t>Roof top terrace slab - additional top</t>
        </is>
      </c>
      <c r="D1320" s="7" t="inlineStr">
        <is>
          <t>F15</t>
        </is>
      </c>
      <c r="E1320" s="27" t="inlineStr">
        <is>
          <t>1272</t>
        </is>
      </c>
      <c r="F1320" s="27" t="n">
        <v>12</v>
      </c>
      <c r="G1320" s="27" t="n">
        <v>159</v>
      </c>
      <c r="H1320" s="27" t="n">
        <v>3000</v>
      </c>
      <c r="I1320" s="28">
        <f>G1320*H1320/1000*F1320^2/162</f>
        <v>424.0</v>
      </c>
    </row>
    <row r="1321">
      <c r="A1321" s="7" t="inlineStr">
        <is>
          <t>STR-103</t>
        </is>
      </c>
      <c r="B1321" s="7" t="inlineStr">
        <is>
          <t>Floor Slabs</t>
        </is>
      </c>
      <c r="C1321" s="7" t="inlineStr">
        <is>
          <t>Roof top terrace slab - additional top</t>
        </is>
      </c>
      <c r="D1321" s="7" t="inlineStr">
        <is>
          <t>F15</t>
        </is>
      </c>
      <c r="E1321" s="27" t="inlineStr">
        <is>
          <t>1273</t>
        </is>
      </c>
      <c r="F1321" s="27" t="n">
        <v>12</v>
      </c>
      <c r="G1321" s="27" t="n">
        <v>47</v>
      </c>
      <c r="H1321" s="27" t="n">
        <v>4150</v>
      </c>
      <c r="I1321" s="28">
        <f>G1321*H1321/1000*F1321^2/162</f>
        <v>173.3777777777778</v>
      </c>
    </row>
    <row r="1322">
      <c r="A1322" s="7" t="inlineStr">
        <is>
          <t>STR-103</t>
        </is>
      </c>
      <c r="B1322" s="7" t="inlineStr">
        <is>
          <t>Floor Slabs</t>
        </is>
      </c>
      <c r="C1322" s="7" t="inlineStr">
        <is>
          <t>Roof top terrace slab - additional top</t>
        </is>
      </c>
      <c r="D1322" s="7" t="inlineStr">
        <is>
          <t>F15</t>
        </is>
      </c>
      <c r="E1322" s="27" t="inlineStr">
        <is>
          <t>1274</t>
        </is>
      </c>
      <c r="F1322" s="27" t="n">
        <v>12</v>
      </c>
      <c r="G1322" s="27" t="n">
        <v>12</v>
      </c>
      <c r="H1322" s="27" t="n">
        <v>2875</v>
      </c>
      <c r="I1322" s="28">
        <f>G1322*H1322/1000*F1322^2/162</f>
        <v>30.666666666666668</v>
      </c>
    </row>
    <row r="1323">
      <c r="A1323" s="7" t="inlineStr">
        <is>
          <t>STR-103</t>
        </is>
      </c>
      <c r="B1323" s="7" t="inlineStr">
        <is>
          <t>Floor Slabs</t>
        </is>
      </c>
      <c r="C1323" s="7" t="inlineStr">
        <is>
          <t>Roof top terrace slab - additional top</t>
        </is>
      </c>
      <c r="D1323" s="7" t="inlineStr">
        <is>
          <t>F15</t>
        </is>
      </c>
      <c r="E1323" s="27" t="inlineStr">
        <is>
          <t>1275</t>
        </is>
      </c>
      <c r="F1323" s="27" t="n">
        <v>12</v>
      </c>
      <c r="G1323" s="27" t="n">
        <v>55</v>
      </c>
      <c r="H1323" s="27" t="n">
        <v>6000</v>
      </c>
      <c r="I1323" s="28">
        <f>G1323*H1323/1000*F1323^2/162</f>
        <v>293.3333333333333</v>
      </c>
    </row>
    <row r="1324">
      <c r="A1324" s="7" t="inlineStr">
        <is>
          <t>STR-103</t>
        </is>
      </c>
      <c r="B1324" s="7" t="inlineStr">
        <is>
          <t>Floor Slabs</t>
        </is>
      </c>
      <c r="C1324" s="7" t="inlineStr">
        <is>
          <t>Roof top terrace slab - additional top</t>
        </is>
      </c>
      <c r="D1324" s="7" t="inlineStr">
        <is>
          <t>F15</t>
        </is>
      </c>
      <c r="E1324" s="27" t="inlineStr">
        <is>
          <t>1276</t>
        </is>
      </c>
      <c r="F1324" s="27" t="n">
        <v>12</v>
      </c>
      <c r="G1324" s="27" t="n">
        <v>60</v>
      </c>
      <c r="H1324" s="27" t="n">
        <v>4900</v>
      </c>
      <c r="I1324" s="28">
        <f>G1324*H1324/1000*F1324^2/162</f>
        <v>261.3333333333333</v>
      </c>
    </row>
    <row r="1325">
      <c r="A1325" s="7" t="inlineStr">
        <is>
          <t>STR-103</t>
        </is>
      </c>
      <c r="B1325" s="7" t="inlineStr">
        <is>
          <t>Floor Slabs</t>
        </is>
      </c>
      <c r="C1325" s="7" t="inlineStr">
        <is>
          <t>Roof top terrace slab - additional top</t>
        </is>
      </c>
      <c r="D1325" s="7" t="inlineStr">
        <is>
          <t>F15</t>
        </is>
      </c>
      <c r="E1325" s="27" t="inlineStr">
        <is>
          <t>1277</t>
        </is>
      </c>
      <c r="F1325" s="27" t="n">
        <v>12</v>
      </c>
      <c r="G1325" s="27" t="n">
        <v>10</v>
      </c>
      <c r="H1325" s="27" t="n">
        <v>1475</v>
      </c>
      <c r="I1325" s="28">
        <f>G1325*H1325/1000*F1325^2/162</f>
        <v>13.11111111111111</v>
      </c>
    </row>
    <row r="1326">
      <c r="A1326" s="7" t="inlineStr">
        <is>
          <t>STR-103</t>
        </is>
      </c>
      <c r="B1326" s="7" t="inlineStr">
        <is>
          <t>Floor Slabs</t>
        </is>
      </c>
      <c r="C1326" s="7" t="inlineStr">
        <is>
          <t>Roof top terrace slab - additional top</t>
        </is>
      </c>
      <c r="D1326" s="7" t="inlineStr">
        <is>
          <t>F15</t>
        </is>
      </c>
      <c r="E1326" s="27" t="inlineStr">
        <is>
          <t>1601</t>
        </is>
      </c>
      <c r="F1326" s="27" t="n">
        <v>16</v>
      </c>
      <c r="G1326" s="27" t="n">
        <v>6</v>
      </c>
      <c r="H1326" s="27" t="n">
        <v>3375</v>
      </c>
      <c r="I1326" s="28">
        <f>G1326*H1326/1000*F1326^2/162</f>
        <v>32.0</v>
      </c>
    </row>
    <row r="1327">
      <c r="A1327" s="7" t="inlineStr">
        <is>
          <t>STR-103</t>
        </is>
      </c>
      <c r="B1327" s="7" t="inlineStr">
        <is>
          <t>Floor Slabs</t>
        </is>
      </c>
      <c r="C1327" s="7" t="inlineStr">
        <is>
          <t>Roof top terrace slab - additional top</t>
        </is>
      </c>
      <c r="D1327" s="7" t="inlineStr">
        <is>
          <t>F15</t>
        </is>
      </c>
      <c r="E1327" s="27" t="inlineStr">
        <is>
          <t>1602</t>
        </is>
      </c>
      <c r="F1327" s="27" t="n">
        <v>16</v>
      </c>
      <c r="G1327" s="27" t="n">
        <v>6</v>
      </c>
      <c r="H1327" s="27" t="n">
        <v>6675</v>
      </c>
      <c r="I1327" s="28">
        <f>G1327*H1327/1000*F1327^2/162</f>
        <v>63.288888888888884</v>
      </c>
    </row>
    <row r="1328">
      <c r="A1328" s="7" t="inlineStr">
        <is>
          <t>STR-103</t>
        </is>
      </c>
      <c r="B1328" s="7" t="inlineStr">
        <is>
          <t>Floor Slabs</t>
        </is>
      </c>
      <c r="C1328" s="7" t="inlineStr">
        <is>
          <t>Roof top terrace slab - additional top</t>
        </is>
      </c>
      <c r="D1328" s="7" t="inlineStr">
        <is>
          <t>F15</t>
        </is>
      </c>
      <c r="E1328" s="27" t="inlineStr">
        <is>
          <t>1603</t>
        </is>
      </c>
      <c r="F1328" s="27" t="n">
        <v>16</v>
      </c>
      <c r="G1328" s="27" t="n">
        <v>3</v>
      </c>
      <c r="H1328" s="27" t="n">
        <v>7650</v>
      </c>
      <c r="I1328" s="28">
        <f>G1328*H1328/1000*F1328^2/162</f>
        <v>36.266666666666666</v>
      </c>
    </row>
    <row r="1329">
      <c r="A1329" s="7" t="inlineStr">
        <is>
          <t>STR-103</t>
        </is>
      </c>
      <c r="B1329" s="7" t="inlineStr">
        <is>
          <t>Floor Slabs</t>
        </is>
      </c>
      <c r="C1329" s="7" t="inlineStr">
        <is>
          <t>Roof top terrace slab - additional top</t>
        </is>
      </c>
      <c r="D1329" s="7" t="inlineStr">
        <is>
          <t>F15</t>
        </is>
      </c>
      <c r="E1329" s="27" t="inlineStr">
        <is>
          <t>1604</t>
        </is>
      </c>
      <c r="F1329" s="27" t="n">
        <v>16</v>
      </c>
      <c r="G1329" s="27" t="n">
        <v>3</v>
      </c>
      <c r="H1329" s="27" t="n">
        <v>3000</v>
      </c>
      <c r="I1329" s="28">
        <f>G1329*H1329/1000*F1329^2/162</f>
        <v>14.222222222222221</v>
      </c>
    </row>
    <row r="1330">
      <c r="A1330" s="7" t="inlineStr">
        <is>
          <t>STR-103</t>
        </is>
      </c>
      <c r="B1330" s="7" t="inlineStr">
        <is>
          <t>Floor Slabs</t>
        </is>
      </c>
      <c r="C1330" s="7" t="inlineStr">
        <is>
          <t>Roof top terrace slab - additional top</t>
        </is>
      </c>
      <c r="D1330" s="7" t="inlineStr">
        <is>
          <t>F15</t>
        </is>
      </c>
      <c r="E1330" s="27" t="inlineStr">
        <is>
          <t>1605</t>
        </is>
      </c>
      <c r="F1330" s="27" t="n">
        <v>16</v>
      </c>
      <c r="G1330" s="27" t="n">
        <v>6</v>
      </c>
      <c r="H1330" s="27" t="n">
        <v>4025</v>
      </c>
      <c r="I1330" s="28">
        <f>G1330*H1330/1000*F1330^2/162</f>
        <v>38.16296296296296</v>
      </c>
    </row>
    <row r="1331">
      <c r="A1331" s="7" t="inlineStr">
        <is>
          <t>STR-105</t>
        </is>
      </c>
      <c r="B1331" s="7" t="inlineStr">
        <is>
          <t>Beams</t>
        </is>
      </c>
      <c r="C1331" s="7" t="inlineStr">
        <is>
          <t>Roof level beams</t>
        </is>
      </c>
      <c r="D1331" s="7" t="inlineStr">
        <is>
          <t>F16</t>
        </is>
      </c>
      <c r="E1331" s="27" t="inlineStr">
        <is>
          <t>1001</t>
        </is>
      </c>
      <c r="F1331" s="27" t="n">
        <v>10</v>
      </c>
      <c r="G1331" s="27" t="n">
        <v>121</v>
      </c>
      <c r="H1331" s="27" t="n">
        <v>1200</v>
      </c>
      <c r="I1331" s="28">
        <f>G1331*H1331/1000*F1331^2/162</f>
        <v>89.62962962962962</v>
      </c>
    </row>
    <row r="1332">
      <c r="A1332" s="7" t="inlineStr">
        <is>
          <t>STR-105</t>
        </is>
      </c>
      <c r="B1332" s="7" t="inlineStr">
        <is>
          <t>Beams</t>
        </is>
      </c>
      <c r="C1332" s="7" t="inlineStr">
        <is>
          <t>Roof level beams</t>
        </is>
      </c>
      <c r="D1332" s="7" t="inlineStr">
        <is>
          <t>F16</t>
        </is>
      </c>
      <c r="E1332" s="27" t="inlineStr">
        <is>
          <t>1002</t>
        </is>
      </c>
      <c r="F1332" s="27" t="n">
        <v>10</v>
      </c>
      <c r="G1332" s="27" t="n">
        <v>376</v>
      </c>
      <c r="H1332" s="27" t="n">
        <v>1500</v>
      </c>
      <c r="I1332" s="28">
        <f>G1332*H1332/1000*F1332^2/162</f>
        <v>348.14814814814815</v>
      </c>
    </row>
    <row r="1333">
      <c r="A1333" s="7" t="inlineStr">
        <is>
          <t>STR-105</t>
        </is>
      </c>
      <c r="B1333" s="7" t="inlineStr">
        <is>
          <t>Beams</t>
        </is>
      </c>
      <c r="C1333" s="7" t="inlineStr">
        <is>
          <t>Roof level beams</t>
        </is>
      </c>
      <c r="D1333" s="7" t="inlineStr">
        <is>
          <t>F16</t>
        </is>
      </c>
      <c r="E1333" s="27" t="inlineStr">
        <is>
          <t>1003</t>
        </is>
      </c>
      <c r="F1333" s="27" t="n">
        <v>10</v>
      </c>
      <c r="G1333" s="27" t="n">
        <v>259</v>
      </c>
      <c r="H1333" s="27" t="n">
        <v>1600</v>
      </c>
      <c r="I1333" s="28">
        <f>G1333*H1333/1000*F1333^2/162</f>
        <v>255.80246913580248</v>
      </c>
    </row>
    <row r="1334">
      <c r="A1334" s="7" t="inlineStr">
        <is>
          <t>STR-105</t>
        </is>
      </c>
      <c r="B1334" s="7" t="inlineStr">
        <is>
          <t>Beams</t>
        </is>
      </c>
      <c r="C1334" s="7" t="inlineStr">
        <is>
          <t>Roof level beams</t>
        </is>
      </c>
      <c r="D1334" s="7" t="inlineStr">
        <is>
          <t>F16</t>
        </is>
      </c>
      <c r="E1334" s="27" t="inlineStr">
        <is>
          <t>1601</t>
        </is>
      </c>
      <c r="F1334" s="27" t="n">
        <v>16</v>
      </c>
      <c r="G1334" s="27" t="n">
        <v>3</v>
      </c>
      <c r="H1334" s="27" t="n">
        <v>6775</v>
      </c>
      <c r="I1334" s="28">
        <f>G1334*H1334/1000*F1334^2/162</f>
        <v>32.11851851851852</v>
      </c>
    </row>
    <row r="1335">
      <c r="A1335" s="7" t="inlineStr">
        <is>
          <t>STR-105</t>
        </is>
      </c>
      <c r="B1335" s="7" t="inlineStr">
        <is>
          <t>Beams</t>
        </is>
      </c>
      <c r="C1335" s="7" t="inlineStr">
        <is>
          <t>Roof level beams</t>
        </is>
      </c>
      <c r="D1335" s="7" t="inlineStr">
        <is>
          <t>F16</t>
        </is>
      </c>
      <c r="E1335" s="27" t="inlineStr">
        <is>
          <t>1602</t>
        </is>
      </c>
      <c r="F1335" s="27" t="n">
        <v>16</v>
      </c>
      <c r="G1335" s="27" t="n">
        <v>2</v>
      </c>
      <c r="H1335" s="27" t="n">
        <v>6325</v>
      </c>
      <c r="I1335" s="28">
        <f>G1335*H1335/1000*F1335^2/162</f>
        <v>19.990123456790123</v>
      </c>
    </row>
    <row r="1336">
      <c r="A1336" s="7" t="inlineStr">
        <is>
          <t>STR-105</t>
        </is>
      </c>
      <c r="B1336" s="7" t="inlineStr">
        <is>
          <t>Beams</t>
        </is>
      </c>
      <c r="C1336" s="7" t="inlineStr">
        <is>
          <t>Roof level beams</t>
        </is>
      </c>
      <c r="D1336" s="7" t="inlineStr">
        <is>
          <t>F16</t>
        </is>
      </c>
      <c r="E1336" s="27" t="inlineStr">
        <is>
          <t>1603</t>
        </is>
      </c>
      <c r="F1336" s="27" t="n">
        <v>16</v>
      </c>
      <c r="G1336" s="27" t="n">
        <v>3</v>
      </c>
      <c r="H1336" s="27" t="n">
        <v>9350</v>
      </c>
      <c r="I1336" s="28">
        <f>G1336*H1336/1000*F1336^2/162</f>
        <v>44.32592592592593</v>
      </c>
    </row>
    <row r="1337">
      <c r="A1337" s="7" t="inlineStr">
        <is>
          <t>STR-105</t>
        </is>
      </c>
      <c r="B1337" s="7" t="inlineStr">
        <is>
          <t>Beams</t>
        </is>
      </c>
      <c r="C1337" s="7" t="inlineStr">
        <is>
          <t>Roof level beams</t>
        </is>
      </c>
      <c r="D1337" s="7" t="inlineStr">
        <is>
          <t>F16</t>
        </is>
      </c>
      <c r="E1337" s="27" t="inlineStr">
        <is>
          <t>1604</t>
        </is>
      </c>
      <c r="F1337" s="27" t="n">
        <v>16</v>
      </c>
      <c r="G1337" s="27" t="n">
        <v>2</v>
      </c>
      <c r="H1337" s="27" t="n">
        <v>8900</v>
      </c>
      <c r="I1337" s="28">
        <f>G1337*H1337/1000*F1337^2/162</f>
        <v>28.128395061728398</v>
      </c>
    </row>
    <row r="1338">
      <c r="A1338" s="7" t="inlineStr">
        <is>
          <t>STR-105</t>
        </is>
      </c>
      <c r="B1338" s="7" t="inlineStr">
        <is>
          <t>Beams</t>
        </is>
      </c>
      <c r="C1338" s="7" t="inlineStr">
        <is>
          <t>Roof level beams</t>
        </is>
      </c>
      <c r="D1338" s="7" t="inlineStr">
        <is>
          <t>F16</t>
        </is>
      </c>
      <c r="E1338" s="27" t="inlineStr">
        <is>
          <t>1605</t>
        </is>
      </c>
      <c r="F1338" s="27" t="n">
        <v>16</v>
      </c>
      <c r="G1338" s="27" t="n">
        <v>4</v>
      </c>
      <c r="H1338" s="27" t="n">
        <v>8900</v>
      </c>
      <c r="I1338" s="28">
        <f>G1338*H1338/1000*F1338^2/162</f>
        <v>56.256790123456796</v>
      </c>
    </row>
    <row r="1339">
      <c r="A1339" s="7" t="inlineStr">
        <is>
          <t>STR-105</t>
        </is>
      </c>
      <c r="B1339" s="7" t="inlineStr">
        <is>
          <t>Beams</t>
        </is>
      </c>
      <c r="C1339" s="7" t="inlineStr">
        <is>
          <t>Roof level beams</t>
        </is>
      </c>
      <c r="D1339" s="7" t="inlineStr">
        <is>
          <t>F16</t>
        </is>
      </c>
      <c r="E1339" s="27" t="inlineStr">
        <is>
          <t>1606</t>
        </is>
      </c>
      <c r="F1339" s="27" t="n">
        <v>16</v>
      </c>
      <c r="G1339" s="27" t="n">
        <v>4</v>
      </c>
      <c r="H1339" s="27" t="n">
        <v>7500</v>
      </c>
      <c r="I1339" s="28">
        <f>G1339*H1339/1000*F1339^2/162</f>
        <v>47.407407407407405</v>
      </c>
    </row>
    <row r="1340">
      <c r="A1340" s="7" t="inlineStr">
        <is>
          <t>STR-105</t>
        </is>
      </c>
      <c r="B1340" s="7" t="inlineStr">
        <is>
          <t>Beams</t>
        </is>
      </c>
      <c r="C1340" s="7" t="inlineStr">
        <is>
          <t>Roof level beams</t>
        </is>
      </c>
      <c r="D1340" s="7" t="inlineStr">
        <is>
          <t>F16</t>
        </is>
      </c>
      <c r="E1340" s="27" t="inlineStr">
        <is>
          <t>1607</t>
        </is>
      </c>
      <c r="F1340" s="27" t="n">
        <v>16</v>
      </c>
      <c r="G1340" s="27" t="n">
        <v>6</v>
      </c>
      <c r="H1340" s="27" t="n">
        <v>7550</v>
      </c>
      <c r="I1340" s="28">
        <f>G1340*H1340/1000*F1340^2/162</f>
        <v>71.58518518518518</v>
      </c>
    </row>
    <row r="1341">
      <c r="A1341" s="7" t="inlineStr">
        <is>
          <t>STR-105</t>
        </is>
      </c>
      <c r="B1341" s="7" t="inlineStr">
        <is>
          <t>Beams</t>
        </is>
      </c>
      <c r="C1341" s="7" t="inlineStr">
        <is>
          <t>Roof level beams</t>
        </is>
      </c>
      <c r="D1341" s="7" t="inlineStr">
        <is>
          <t>F16</t>
        </is>
      </c>
      <c r="E1341" s="27" t="inlineStr">
        <is>
          <t>1608</t>
        </is>
      </c>
      <c r="F1341" s="27" t="n">
        <v>16</v>
      </c>
      <c r="G1341" s="27" t="n">
        <v>4</v>
      </c>
      <c r="H1341" s="27" t="n">
        <v>7100</v>
      </c>
      <c r="I1341" s="28">
        <f>G1341*H1341/1000*F1341^2/162</f>
        <v>44.87901234567901</v>
      </c>
    </row>
    <row r="1342">
      <c r="A1342" s="7" t="inlineStr">
        <is>
          <t>STR-105</t>
        </is>
      </c>
      <c r="B1342" s="7" t="inlineStr">
        <is>
          <t>Beams</t>
        </is>
      </c>
      <c r="C1342" s="7" t="inlineStr">
        <is>
          <t>Roof level beams</t>
        </is>
      </c>
      <c r="D1342" s="7" t="inlineStr">
        <is>
          <t>F16</t>
        </is>
      </c>
      <c r="E1342" s="27" t="inlineStr">
        <is>
          <t>1609</t>
        </is>
      </c>
      <c r="F1342" s="27" t="n">
        <v>16</v>
      </c>
      <c r="G1342" s="27" t="n">
        <v>3</v>
      </c>
      <c r="H1342" s="27" t="n">
        <v>4125</v>
      </c>
      <c r="I1342" s="28">
        <f>G1342*H1342/1000*F1342^2/162</f>
        <v>19.555555555555557</v>
      </c>
    </row>
    <row r="1343">
      <c r="A1343" s="7" t="inlineStr">
        <is>
          <t>STR-105</t>
        </is>
      </c>
      <c r="B1343" s="7" t="inlineStr">
        <is>
          <t>Beams</t>
        </is>
      </c>
      <c r="C1343" s="7" t="inlineStr">
        <is>
          <t>Roof level beams</t>
        </is>
      </c>
      <c r="D1343" s="7" t="inlineStr">
        <is>
          <t>F16</t>
        </is>
      </c>
      <c r="E1343" s="27" t="inlineStr">
        <is>
          <t>1610</t>
        </is>
      </c>
      <c r="F1343" s="27" t="n">
        <v>16</v>
      </c>
      <c r="G1343" s="27" t="n">
        <v>3</v>
      </c>
      <c r="H1343" s="27" t="n">
        <v>6650</v>
      </c>
      <c r="I1343" s="28">
        <f>G1343*H1343/1000*F1343^2/162</f>
        <v>31.525925925925925</v>
      </c>
    </row>
    <row r="1344">
      <c r="A1344" s="7" t="inlineStr">
        <is>
          <t>STR-105</t>
        </is>
      </c>
      <c r="B1344" s="7" t="inlineStr">
        <is>
          <t>Beams</t>
        </is>
      </c>
      <c r="C1344" s="7" t="inlineStr">
        <is>
          <t>Roof level beams</t>
        </is>
      </c>
      <c r="D1344" s="7" t="inlineStr">
        <is>
          <t>F16</t>
        </is>
      </c>
      <c r="E1344" s="27" t="inlineStr">
        <is>
          <t>1611</t>
        </is>
      </c>
      <c r="F1344" s="27" t="n">
        <v>16</v>
      </c>
      <c r="G1344" s="27" t="n">
        <v>3</v>
      </c>
      <c r="H1344" s="27" t="n">
        <v>5825</v>
      </c>
      <c r="I1344" s="28">
        <f>G1344*H1344/1000*F1344^2/162</f>
        <v>27.614814814814817</v>
      </c>
    </row>
    <row r="1345">
      <c r="A1345" s="7" t="inlineStr">
        <is>
          <t>STR-105</t>
        </is>
      </c>
      <c r="B1345" s="7" t="inlineStr">
        <is>
          <t>Beams</t>
        </is>
      </c>
      <c r="C1345" s="7" t="inlineStr">
        <is>
          <t>Roof level beams</t>
        </is>
      </c>
      <c r="D1345" s="7" t="inlineStr">
        <is>
          <t>F16</t>
        </is>
      </c>
      <c r="E1345" s="27" t="inlineStr">
        <is>
          <t>1612</t>
        </is>
      </c>
      <c r="F1345" s="27" t="n">
        <v>16</v>
      </c>
      <c r="G1345" s="27" t="n">
        <v>3</v>
      </c>
      <c r="H1345" s="27" t="n">
        <v>7875</v>
      </c>
      <c r="I1345" s="28">
        <f>G1345*H1345/1000*F1345^2/162</f>
        <v>37.333333333333336</v>
      </c>
    </row>
    <row r="1346">
      <c r="A1346" s="7" t="inlineStr">
        <is>
          <t>STR-105</t>
        </is>
      </c>
      <c r="B1346" s="7" t="inlineStr">
        <is>
          <t>Beams</t>
        </is>
      </c>
      <c r="C1346" s="7" t="inlineStr">
        <is>
          <t>Roof level beams</t>
        </is>
      </c>
      <c r="D1346" s="7" t="inlineStr">
        <is>
          <t>F16</t>
        </is>
      </c>
      <c r="E1346" s="27" t="inlineStr">
        <is>
          <t>1613</t>
        </is>
      </c>
      <c r="F1346" s="27" t="n">
        <v>16</v>
      </c>
      <c r="G1346" s="27" t="n">
        <v>3</v>
      </c>
      <c r="H1346" s="27" t="n">
        <v>6425</v>
      </c>
      <c r="I1346" s="28">
        <f>G1346*H1346/1000*F1346^2/162</f>
        <v>30.459259259259255</v>
      </c>
    </row>
    <row r="1347">
      <c r="A1347" s="7" t="inlineStr">
        <is>
          <t>STR-105</t>
        </is>
      </c>
      <c r="B1347" s="7" t="inlineStr">
        <is>
          <t>Beams</t>
        </is>
      </c>
      <c r="C1347" s="7" t="inlineStr">
        <is>
          <t>Roof level beams</t>
        </is>
      </c>
      <c r="D1347" s="7" t="inlineStr">
        <is>
          <t>F16</t>
        </is>
      </c>
      <c r="E1347" s="27" t="inlineStr">
        <is>
          <t>1614</t>
        </is>
      </c>
      <c r="F1347" s="27" t="n">
        <v>16</v>
      </c>
      <c r="G1347" s="27" t="n">
        <v>3</v>
      </c>
      <c r="H1347" s="27" t="n">
        <v>3725</v>
      </c>
      <c r="I1347" s="28">
        <f>G1347*H1347/1000*F1347^2/162</f>
        <v>17.65925925925926</v>
      </c>
    </row>
    <row r="1348">
      <c r="A1348" s="7" t="inlineStr">
        <is>
          <t>STR-105</t>
        </is>
      </c>
      <c r="B1348" s="7" t="inlineStr">
        <is>
          <t>Beams</t>
        </is>
      </c>
      <c r="C1348" s="7" t="inlineStr">
        <is>
          <t>Roof level beams</t>
        </is>
      </c>
      <c r="D1348" s="7" t="inlineStr">
        <is>
          <t>F16</t>
        </is>
      </c>
      <c r="E1348" s="27" t="inlineStr">
        <is>
          <t>1615</t>
        </is>
      </c>
      <c r="F1348" s="27" t="n">
        <v>16</v>
      </c>
      <c r="G1348" s="27" t="n">
        <v>2</v>
      </c>
      <c r="H1348" s="27" t="n">
        <v>6650</v>
      </c>
      <c r="I1348" s="28">
        <f>G1348*H1348/1000*F1348^2/162</f>
        <v>21.017283950617283</v>
      </c>
    </row>
    <row r="1349">
      <c r="A1349" s="7" t="inlineStr">
        <is>
          <t>STR-105</t>
        </is>
      </c>
      <c r="B1349" s="7" t="inlineStr">
        <is>
          <t>Beams</t>
        </is>
      </c>
      <c r="C1349" s="7" t="inlineStr">
        <is>
          <t>Roof level beams</t>
        </is>
      </c>
      <c r="D1349" s="7" t="inlineStr">
        <is>
          <t>F16</t>
        </is>
      </c>
      <c r="E1349" s="27" t="inlineStr">
        <is>
          <t>1616</t>
        </is>
      </c>
      <c r="F1349" s="27" t="n">
        <v>16</v>
      </c>
      <c r="G1349" s="27" t="n">
        <v>2</v>
      </c>
      <c r="H1349" s="27" t="n">
        <v>7525</v>
      </c>
      <c r="I1349" s="28">
        <f>G1349*H1349/1000*F1349^2/162</f>
        <v>23.782716049382717</v>
      </c>
    </row>
    <row r="1350">
      <c r="A1350" s="7" t="inlineStr">
        <is>
          <t>STR-105</t>
        </is>
      </c>
      <c r="B1350" s="7" t="inlineStr">
        <is>
          <t>Beams</t>
        </is>
      </c>
      <c r="C1350" s="7" t="inlineStr">
        <is>
          <t>Roof level beams</t>
        </is>
      </c>
      <c r="D1350" s="7" t="inlineStr">
        <is>
          <t>F16</t>
        </is>
      </c>
      <c r="E1350" s="27" t="inlineStr">
        <is>
          <t>1617</t>
        </is>
      </c>
      <c r="F1350" s="27" t="n">
        <v>16</v>
      </c>
      <c r="G1350" s="27" t="n">
        <v>4</v>
      </c>
      <c r="H1350" s="27" t="n">
        <v>7575</v>
      </c>
      <c r="I1350" s="28">
        <f>G1350*H1350/1000*F1350^2/162</f>
        <v>47.88148148148148</v>
      </c>
    </row>
    <row r="1351">
      <c r="A1351" s="7" t="inlineStr">
        <is>
          <t>STR-105</t>
        </is>
      </c>
      <c r="B1351" s="7" t="inlineStr">
        <is>
          <t>Beams</t>
        </is>
      </c>
      <c r="C1351" s="7" t="inlineStr">
        <is>
          <t>Roof level beams</t>
        </is>
      </c>
      <c r="D1351" s="7" t="inlineStr">
        <is>
          <t>F16</t>
        </is>
      </c>
      <c r="E1351" s="27" t="inlineStr">
        <is>
          <t>1618</t>
        </is>
      </c>
      <c r="F1351" s="27" t="n">
        <v>16</v>
      </c>
      <c r="G1351" s="27" t="n">
        <v>4</v>
      </c>
      <c r="H1351" s="27" t="n">
        <v>6875</v>
      </c>
      <c r="I1351" s="28">
        <f>G1351*H1351/1000*F1351^2/162</f>
        <v>43.45679012345679</v>
      </c>
    </row>
    <row r="1352">
      <c r="A1352" s="7" t="inlineStr">
        <is>
          <t>STR-105</t>
        </is>
      </c>
      <c r="B1352" s="7" t="inlineStr">
        <is>
          <t>Beams</t>
        </is>
      </c>
      <c r="C1352" s="7" t="inlineStr">
        <is>
          <t>Roof level beams</t>
        </is>
      </c>
      <c r="D1352" s="7" t="inlineStr">
        <is>
          <t>F16</t>
        </is>
      </c>
      <c r="E1352" s="27" t="inlineStr">
        <is>
          <t>1619</t>
        </is>
      </c>
      <c r="F1352" s="27" t="n">
        <v>16</v>
      </c>
      <c r="G1352" s="27" t="n">
        <v>2</v>
      </c>
      <c r="H1352" s="27" t="n">
        <v>2050</v>
      </c>
      <c r="I1352" s="28">
        <f>G1352*H1352/1000*F1352^2/162</f>
        <v>6.479012345679012</v>
      </c>
    </row>
    <row r="1353">
      <c r="A1353" s="7" t="inlineStr">
        <is>
          <t>STR-105</t>
        </is>
      </c>
      <c r="B1353" s="7" t="inlineStr">
        <is>
          <t>Beams</t>
        </is>
      </c>
      <c r="C1353" s="7" t="inlineStr">
        <is>
          <t>Roof level beams</t>
        </is>
      </c>
      <c r="D1353" s="7" t="inlineStr">
        <is>
          <t>F16</t>
        </is>
      </c>
      <c r="E1353" s="27" t="inlineStr">
        <is>
          <t>1620</t>
        </is>
      </c>
      <c r="F1353" s="27" t="n">
        <v>16</v>
      </c>
      <c r="G1353" s="27" t="n">
        <v>2</v>
      </c>
      <c r="H1353" s="27" t="n">
        <v>9650</v>
      </c>
      <c r="I1353" s="28">
        <f>G1353*H1353/1000*F1353^2/162</f>
        <v>30.498765432098768</v>
      </c>
    </row>
    <row r="1354">
      <c r="A1354" s="7" t="inlineStr">
        <is>
          <t>STR-105</t>
        </is>
      </c>
      <c r="B1354" s="7" t="inlineStr">
        <is>
          <t>Beams</t>
        </is>
      </c>
      <c r="C1354" s="7" t="inlineStr">
        <is>
          <t>Roof level beams</t>
        </is>
      </c>
      <c r="D1354" s="7" t="inlineStr">
        <is>
          <t>F16</t>
        </is>
      </c>
      <c r="E1354" s="27" t="inlineStr">
        <is>
          <t>1621</t>
        </is>
      </c>
      <c r="F1354" s="27" t="n">
        <v>16</v>
      </c>
      <c r="G1354" s="27" t="n">
        <v>2</v>
      </c>
      <c r="H1354" s="27" t="n">
        <v>7525</v>
      </c>
      <c r="I1354" s="28">
        <f>G1354*H1354/1000*F1354^2/162</f>
        <v>23.782716049382717</v>
      </c>
    </row>
    <row r="1355">
      <c r="A1355" s="7" t="inlineStr">
        <is>
          <t>STR-105</t>
        </is>
      </c>
      <c r="B1355" s="7" t="inlineStr">
        <is>
          <t>Beams</t>
        </is>
      </c>
      <c r="C1355" s="7" t="inlineStr">
        <is>
          <t>Roof level beams</t>
        </is>
      </c>
      <c r="D1355" s="7" t="inlineStr">
        <is>
          <t>F16</t>
        </is>
      </c>
      <c r="E1355" s="27" t="inlineStr">
        <is>
          <t>1622</t>
        </is>
      </c>
      <c r="F1355" s="27" t="n">
        <v>16</v>
      </c>
      <c r="G1355" s="27" t="n">
        <v>3</v>
      </c>
      <c r="H1355" s="27" t="n">
        <v>7675</v>
      </c>
      <c r="I1355" s="28">
        <f>G1355*H1355/1000*F1355^2/162</f>
        <v>36.385185185185186</v>
      </c>
    </row>
    <row r="1356">
      <c r="A1356" s="7" t="inlineStr">
        <is>
          <t>STR-105</t>
        </is>
      </c>
      <c r="B1356" s="7" t="inlineStr">
        <is>
          <t>Beams</t>
        </is>
      </c>
      <c r="C1356" s="7" t="inlineStr">
        <is>
          <t>Roof level beams</t>
        </is>
      </c>
      <c r="D1356" s="7" t="inlineStr">
        <is>
          <t>F16</t>
        </is>
      </c>
      <c r="E1356" s="27" t="inlineStr">
        <is>
          <t>1623</t>
        </is>
      </c>
      <c r="F1356" s="27" t="n">
        <v>16</v>
      </c>
      <c r="G1356" s="27" t="n">
        <v>2</v>
      </c>
      <c r="H1356" s="27" t="n">
        <v>7625</v>
      </c>
      <c r="I1356" s="28">
        <f>G1356*H1356/1000*F1356^2/162</f>
        <v>24.098765432098766</v>
      </c>
    </row>
    <row r="1357">
      <c r="A1357" s="7" t="inlineStr">
        <is>
          <t>STR-105</t>
        </is>
      </c>
      <c r="B1357" s="7" t="inlineStr">
        <is>
          <t>Beams</t>
        </is>
      </c>
      <c r="C1357" s="7" t="inlineStr">
        <is>
          <t>Roof level beams</t>
        </is>
      </c>
      <c r="D1357" s="7" t="inlineStr">
        <is>
          <t>F16</t>
        </is>
      </c>
      <c r="E1357" s="27" t="inlineStr">
        <is>
          <t>1624</t>
        </is>
      </c>
      <c r="F1357" s="27" t="n">
        <v>16</v>
      </c>
      <c r="G1357" s="27" t="n">
        <v>7</v>
      </c>
      <c r="H1357" s="27" t="n">
        <v>4625</v>
      </c>
      <c r="I1357" s="28">
        <f>G1357*H1357/1000*F1357^2/162</f>
        <v>51.160493827160494</v>
      </c>
    </row>
    <row r="1358">
      <c r="A1358" s="7" t="inlineStr">
        <is>
          <t>STR-105</t>
        </is>
      </c>
      <c r="B1358" s="7" t="inlineStr">
        <is>
          <t>Beams</t>
        </is>
      </c>
      <c r="C1358" s="7" t="inlineStr">
        <is>
          <t>Roof level beams</t>
        </is>
      </c>
      <c r="D1358" s="7" t="inlineStr">
        <is>
          <t>F16</t>
        </is>
      </c>
      <c r="E1358" s="27" t="inlineStr">
        <is>
          <t>1625</t>
        </is>
      </c>
      <c r="F1358" s="27" t="n">
        <v>16</v>
      </c>
      <c r="G1358" s="27" t="n">
        <v>4</v>
      </c>
      <c r="H1358" s="27" t="n">
        <v>8925</v>
      </c>
      <c r="I1358" s="28">
        <f>G1358*H1358/1000*F1358^2/162</f>
        <v>56.41481481481482</v>
      </c>
    </row>
    <row r="1359">
      <c r="A1359" s="7" t="inlineStr">
        <is>
          <t>STR-105</t>
        </is>
      </c>
      <c r="B1359" s="7" t="inlineStr">
        <is>
          <t>Beams</t>
        </is>
      </c>
      <c r="C1359" s="7" t="inlineStr">
        <is>
          <t>Roof level beams</t>
        </is>
      </c>
      <c r="D1359" s="7" t="inlineStr">
        <is>
          <t>F16</t>
        </is>
      </c>
      <c r="E1359" s="27" t="inlineStr">
        <is>
          <t>1626</t>
        </is>
      </c>
      <c r="F1359" s="27" t="n">
        <v>16</v>
      </c>
      <c r="G1359" s="27" t="n">
        <v>4</v>
      </c>
      <c r="H1359" s="27" t="n">
        <v>8475</v>
      </c>
      <c r="I1359" s="28">
        <f>G1359*H1359/1000*F1359^2/162</f>
        <v>53.57037037037037</v>
      </c>
    </row>
    <row r="1360">
      <c r="A1360" s="7" t="inlineStr">
        <is>
          <t>STR-105</t>
        </is>
      </c>
      <c r="B1360" s="7" t="inlineStr">
        <is>
          <t>Beams</t>
        </is>
      </c>
      <c r="C1360" s="7" t="inlineStr">
        <is>
          <t>Roof level beams</t>
        </is>
      </c>
      <c r="D1360" s="7" t="inlineStr">
        <is>
          <t>F16</t>
        </is>
      </c>
      <c r="E1360" s="27" t="inlineStr">
        <is>
          <t>1627</t>
        </is>
      </c>
      <c r="F1360" s="27" t="n">
        <v>16</v>
      </c>
      <c r="G1360" s="27" t="n">
        <v>5</v>
      </c>
      <c r="H1360" s="27" t="n">
        <v>4175</v>
      </c>
      <c r="I1360" s="28">
        <f>G1360*H1360/1000*F1360^2/162</f>
        <v>32.98765432098765</v>
      </c>
    </row>
    <row r="1361">
      <c r="A1361" s="7" t="inlineStr">
        <is>
          <t>STR-105</t>
        </is>
      </c>
      <c r="B1361" s="7" t="inlineStr">
        <is>
          <t>Beams</t>
        </is>
      </c>
      <c r="C1361" s="7" t="inlineStr">
        <is>
          <t>Roof level beams</t>
        </is>
      </c>
      <c r="D1361" s="7" t="inlineStr">
        <is>
          <t>F16</t>
        </is>
      </c>
      <c r="E1361" s="27" t="inlineStr">
        <is>
          <t>2001</t>
        </is>
      </c>
      <c r="F1361" s="27" t="n">
        <v>20</v>
      </c>
      <c r="G1361" s="27" t="n">
        <v>3</v>
      </c>
      <c r="H1361" s="27" t="n">
        <v>9100</v>
      </c>
      <c r="I1361" s="28">
        <f>G1361*H1361/1000*F1361^2/162</f>
        <v>67.4074074074074</v>
      </c>
    </row>
    <row r="1362">
      <c r="A1362" s="7" t="inlineStr">
        <is>
          <t>STR-105</t>
        </is>
      </c>
      <c r="B1362" s="7" t="inlineStr">
        <is>
          <t>Beams</t>
        </is>
      </c>
      <c r="C1362" s="7" t="inlineStr">
        <is>
          <t>Roof level beams</t>
        </is>
      </c>
      <c r="D1362" s="7" t="inlineStr">
        <is>
          <t>F16</t>
        </is>
      </c>
      <c r="E1362" s="27" t="inlineStr">
        <is>
          <t>2002</t>
        </is>
      </c>
      <c r="F1362" s="27" t="n">
        <v>20</v>
      </c>
      <c r="G1362" s="27" t="n">
        <v>3</v>
      </c>
      <c r="H1362" s="27" t="n">
        <v>8325</v>
      </c>
      <c r="I1362" s="28">
        <f>G1362*H1362/1000*F1362^2/162</f>
        <v>61.666666666666664</v>
      </c>
    </row>
    <row r="1363">
      <c r="A1363" s="7" t="inlineStr">
        <is>
          <t>STR-105</t>
        </is>
      </c>
      <c r="B1363" s="7" t="inlineStr">
        <is>
          <t>Beams</t>
        </is>
      </c>
      <c r="C1363" s="7" t="inlineStr">
        <is>
          <t>Roof level beams</t>
        </is>
      </c>
      <c r="D1363" s="7" t="inlineStr">
        <is>
          <t>F16</t>
        </is>
      </c>
      <c r="E1363" s="27" t="inlineStr">
        <is>
          <t>2003</t>
        </is>
      </c>
      <c r="F1363" s="27" t="n">
        <v>20</v>
      </c>
      <c r="G1363" s="27" t="n">
        <v>6</v>
      </c>
      <c r="H1363" s="27" t="n">
        <v>7500</v>
      </c>
      <c r="I1363" s="28">
        <f>G1363*H1363/1000*F1363^2/162</f>
        <v>111.11111111111111</v>
      </c>
    </row>
    <row r="1364">
      <c r="A1364" s="7" t="inlineStr">
        <is>
          <t>STR-105</t>
        </is>
      </c>
      <c r="B1364" s="7" t="inlineStr">
        <is>
          <t>Beams</t>
        </is>
      </c>
      <c r="C1364" s="7" t="inlineStr">
        <is>
          <t>Roof level beams</t>
        </is>
      </c>
      <c r="D1364" s="7" t="inlineStr">
        <is>
          <t>F16</t>
        </is>
      </c>
      <c r="E1364" s="27" t="inlineStr">
        <is>
          <t>2004</t>
        </is>
      </c>
      <c r="F1364" s="27" t="n">
        <v>20</v>
      </c>
      <c r="G1364" s="27" t="n">
        <v>3</v>
      </c>
      <c r="H1364" s="27" t="n">
        <v>4600</v>
      </c>
      <c r="I1364" s="28">
        <f>G1364*H1364/1000*F1364^2/162</f>
        <v>34.074074074074076</v>
      </c>
    </row>
    <row r="1365">
      <c r="A1365" s="7" t="inlineStr">
        <is>
          <t>STR-105</t>
        </is>
      </c>
      <c r="B1365" s="7" t="inlineStr">
        <is>
          <t>Beams</t>
        </is>
      </c>
      <c r="C1365" s="7" t="inlineStr">
        <is>
          <t>Roof level beams</t>
        </is>
      </c>
      <c r="D1365" s="7" t="inlineStr">
        <is>
          <t>F16</t>
        </is>
      </c>
      <c r="E1365" s="27" t="inlineStr">
        <is>
          <t>2005</t>
        </is>
      </c>
      <c r="F1365" s="27" t="n">
        <v>20</v>
      </c>
      <c r="G1365" s="27" t="n">
        <v>3</v>
      </c>
      <c r="H1365" s="27" t="n">
        <v>6650</v>
      </c>
      <c r="I1365" s="28">
        <f>G1365*H1365/1000*F1365^2/162</f>
        <v>49.25925925925926</v>
      </c>
    </row>
    <row r="1366">
      <c r="A1366" s="7" t="inlineStr">
        <is>
          <t>STR-105</t>
        </is>
      </c>
      <c r="B1366" s="7" t="inlineStr">
        <is>
          <t>Beams</t>
        </is>
      </c>
      <c r="C1366" s="7" t="inlineStr">
        <is>
          <t>Roof level beams</t>
        </is>
      </c>
      <c r="D1366" s="7" t="inlineStr">
        <is>
          <t>F16</t>
        </is>
      </c>
      <c r="E1366" s="27" t="inlineStr">
        <is>
          <t>2006</t>
        </is>
      </c>
      <c r="F1366" s="27" t="n">
        <v>20</v>
      </c>
      <c r="G1366" s="27" t="n">
        <v>3</v>
      </c>
      <c r="H1366" s="27" t="n">
        <v>5925</v>
      </c>
      <c r="I1366" s="28">
        <f>G1366*H1366/1000*F1366^2/162</f>
        <v>43.888888888888886</v>
      </c>
    </row>
    <row r="1367">
      <c r="A1367" s="7" t="inlineStr">
        <is>
          <t>STR-105</t>
        </is>
      </c>
      <c r="B1367" s="7" t="inlineStr">
        <is>
          <t>Beams</t>
        </is>
      </c>
      <c r="C1367" s="7" t="inlineStr">
        <is>
          <t>Roof level beams</t>
        </is>
      </c>
      <c r="D1367" s="7" t="inlineStr">
        <is>
          <t>F16</t>
        </is>
      </c>
      <c r="E1367" s="27" t="inlineStr">
        <is>
          <t>2007</t>
        </is>
      </c>
      <c r="F1367" s="27" t="n">
        <v>20</v>
      </c>
      <c r="G1367" s="27" t="n">
        <v>4</v>
      </c>
      <c r="H1367" s="27" t="n">
        <v>8350</v>
      </c>
      <c r="I1367" s="28">
        <f>G1367*H1367/1000*F1367^2/162</f>
        <v>82.46913580246914</v>
      </c>
    </row>
    <row r="1368">
      <c r="A1368" s="7" t="inlineStr">
        <is>
          <t>STR-105</t>
        </is>
      </c>
      <c r="B1368" s="7" t="inlineStr">
        <is>
          <t>Beams</t>
        </is>
      </c>
      <c r="C1368" s="7" t="inlineStr">
        <is>
          <t>Roof level beams</t>
        </is>
      </c>
      <c r="D1368" s="7" t="inlineStr">
        <is>
          <t>F16</t>
        </is>
      </c>
      <c r="E1368" s="27" t="inlineStr">
        <is>
          <t>2008</t>
        </is>
      </c>
      <c r="F1368" s="27" t="n">
        <v>20</v>
      </c>
      <c r="G1368" s="27" t="n">
        <v>4</v>
      </c>
      <c r="H1368" s="27" t="n">
        <v>8725</v>
      </c>
      <c r="I1368" s="28">
        <f>G1368*H1368/1000*F1368^2/162</f>
        <v>86.17283950617283</v>
      </c>
    </row>
    <row r="1369">
      <c r="A1369" s="7" t="inlineStr">
        <is>
          <t>STR-105</t>
        </is>
      </c>
      <c r="B1369" s="7" t="inlineStr">
        <is>
          <t>Beams</t>
        </is>
      </c>
      <c r="C1369" s="7" t="inlineStr">
        <is>
          <t>Roof level beams</t>
        </is>
      </c>
      <c r="D1369" s="7" t="inlineStr">
        <is>
          <t>F16</t>
        </is>
      </c>
      <c r="E1369" s="27" t="inlineStr">
        <is>
          <t>2009</t>
        </is>
      </c>
      <c r="F1369" s="27" t="n">
        <v>20</v>
      </c>
      <c r="G1369" s="27" t="n">
        <v>2</v>
      </c>
      <c r="H1369" s="27" t="n">
        <v>4325</v>
      </c>
      <c r="I1369" s="28">
        <f>G1369*H1369/1000*F1369^2/162</f>
        <v>21.358024691358025</v>
      </c>
    </row>
    <row r="1370">
      <c r="A1370" s="7" t="inlineStr">
        <is>
          <t>STR-105</t>
        </is>
      </c>
      <c r="B1370" s="7" t="inlineStr">
        <is>
          <t>Beams</t>
        </is>
      </c>
      <c r="C1370" s="7" t="inlineStr">
        <is>
          <t>Roof level beams</t>
        </is>
      </c>
      <c r="D1370" s="7" t="inlineStr">
        <is>
          <t>F16</t>
        </is>
      </c>
      <c r="E1370" s="27" t="inlineStr">
        <is>
          <t>2010</t>
        </is>
      </c>
      <c r="F1370" s="27" t="n">
        <v>20</v>
      </c>
      <c r="G1370" s="27" t="n">
        <v>2</v>
      </c>
      <c r="H1370" s="27" t="n">
        <v>4750</v>
      </c>
      <c r="I1370" s="28">
        <f>G1370*H1370/1000*F1370^2/162</f>
        <v>23.45679012345679</v>
      </c>
    </row>
    <row r="1371">
      <c r="A1371" s="7" t="inlineStr">
        <is>
          <t>STR-105</t>
        </is>
      </c>
      <c r="B1371" s="7" t="inlineStr">
        <is>
          <t>Beams</t>
        </is>
      </c>
      <c r="C1371" s="7" t="inlineStr">
        <is>
          <t>Roof level beams</t>
        </is>
      </c>
      <c r="D1371" s="7" t="inlineStr">
        <is>
          <t>F16</t>
        </is>
      </c>
      <c r="E1371" s="27" t="inlineStr">
        <is>
          <t>2011</t>
        </is>
      </c>
      <c r="F1371" s="27" t="n">
        <v>20</v>
      </c>
      <c r="G1371" s="27" t="n">
        <v>2</v>
      </c>
      <c r="H1371" s="27" t="n">
        <v>6625</v>
      </c>
      <c r="I1371" s="28">
        <f>G1371*H1371/1000*F1371^2/162</f>
        <v>32.71604938271605</v>
      </c>
    </row>
    <row r="1372">
      <c r="A1372" s="7" t="inlineStr">
        <is>
          <t>STR-105</t>
        </is>
      </c>
      <c r="B1372" s="7" t="inlineStr">
        <is>
          <t>Beams</t>
        </is>
      </c>
      <c r="C1372" s="7" t="inlineStr">
        <is>
          <t>Roof level beams</t>
        </is>
      </c>
      <c r="D1372" s="7" t="inlineStr">
        <is>
          <t>F16</t>
        </is>
      </c>
      <c r="E1372" s="27" t="inlineStr">
        <is>
          <t>2012</t>
        </is>
      </c>
      <c r="F1372" s="27" t="n">
        <v>20</v>
      </c>
      <c r="G1372" s="27" t="n">
        <v>2</v>
      </c>
      <c r="H1372" s="27" t="n">
        <v>6475</v>
      </c>
      <c r="I1372" s="28">
        <f>G1372*H1372/1000*F1372^2/162</f>
        <v>31.97530864197531</v>
      </c>
    </row>
    <row r="1373">
      <c r="A1373" s="7" t="inlineStr">
        <is>
          <t>STR-105</t>
        </is>
      </c>
      <c r="B1373" s="7" t="inlineStr">
        <is>
          <t>Beams</t>
        </is>
      </c>
      <c r="C1373" s="7" t="inlineStr">
        <is>
          <t>Roof level beams</t>
        </is>
      </c>
      <c r="D1373" s="7" t="inlineStr">
        <is>
          <t>F16</t>
        </is>
      </c>
      <c r="E1373" s="27" t="inlineStr">
        <is>
          <t>2013</t>
        </is>
      </c>
      <c r="F1373" s="27" t="n">
        <v>20</v>
      </c>
      <c r="G1373" s="27" t="n">
        <v>2</v>
      </c>
      <c r="H1373" s="27" t="n">
        <v>8625</v>
      </c>
      <c r="I1373" s="28">
        <f>G1373*H1373/1000*F1373^2/162</f>
        <v>42.592592592592595</v>
      </c>
    </row>
    <row r="1374">
      <c r="A1374" s="7" t="inlineStr">
        <is>
          <t>STR-105</t>
        </is>
      </c>
      <c r="B1374" s="7" t="inlineStr">
        <is>
          <t>Beams</t>
        </is>
      </c>
      <c r="C1374" s="7" t="inlineStr">
        <is>
          <t>Roof level beams</t>
        </is>
      </c>
      <c r="D1374" s="7" t="inlineStr">
        <is>
          <t>F16</t>
        </is>
      </c>
      <c r="E1374" s="27" t="inlineStr">
        <is>
          <t>2014</t>
        </is>
      </c>
      <c r="F1374" s="27" t="n">
        <v>20</v>
      </c>
      <c r="G1374" s="27" t="n">
        <v>6</v>
      </c>
      <c r="H1374" s="27" t="n">
        <v>2550</v>
      </c>
      <c r="I1374" s="28">
        <f>G1374*H1374/1000*F1374^2/162</f>
        <v>37.77777777777778</v>
      </c>
    </row>
    <row r="1375">
      <c r="A1375" s="7" t="inlineStr">
        <is>
          <t>STR-105</t>
        </is>
      </c>
      <c r="B1375" s="7" t="inlineStr">
        <is>
          <t>Beams</t>
        </is>
      </c>
      <c r="C1375" s="7" t="inlineStr">
        <is>
          <t>Roof level beams</t>
        </is>
      </c>
      <c r="D1375" s="7" t="inlineStr">
        <is>
          <t>F16</t>
        </is>
      </c>
      <c r="E1375" s="27" t="inlineStr">
        <is>
          <t>2015</t>
        </is>
      </c>
      <c r="F1375" s="27" t="n">
        <v>20</v>
      </c>
      <c r="G1375" s="27" t="n">
        <v>6</v>
      </c>
      <c r="H1375" s="27" t="n">
        <v>10100</v>
      </c>
      <c r="I1375" s="28">
        <f>G1375*H1375/1000*F1375^2/162</f>
        <v>149.62962962962962</v>
      </c>
    </row>
    <row r="1376">
      <c r="A1376" s="7" t="inlineStr">
        <is>
          <t>STR-105</t>
        </is>
      </c>
      <c r="B1376" s="7" t="inlineStr">
        <is>
          <t>Beams</t>
        </is>
      </c>
      <c r="C1376" s="7" t="inlineStr">
        <is>
          <t>Roof level beams</t>
        </is>
      </c>
      <c r="D1376" s="7" t="inlineStr">
        <is>
          <t>F16</t>
        </is>
      </c>
      <c r="E1376" s="27" t="inlineStr">
        <is>
          <t>2016</t>
        </is>
      </c>
      <c r="F1376" s="27" t="n">
        <v>20</v>
      </c>
      <c r="G1376" s="27" t="n">
        <v>6</v>
      </c>
      <c r="H1376" s="27" t="n">
        <v>4775</v>
      </c>
      <c r="I1376" s="28">
        <f>G1376*H1376/1000*F1376^2/162</f>
        <v>70.74074074074075</v>
      </c>
    </row>
    <row r="1377">
      <c r="A1377" s="7" t="inlineStr">
        <is>
          <t>STR-105</t>
        </is>
      </c>
      <c r="B1377" s="7" t="inlineStr">
        <is>
          <t>Beams</t>
        </is>
      </c>
      <c r="C1377" s="7" t="inlineStr">
        <is>
          <t>Roof level beams</t>
        </is>
      </c>
      <c r="D1377" s="7" t="inlineStr">
        <is>
          <t>F16</t>
        </is>
      </c>
      <c r="E1377" s="27" t="inlineStr">
        <is>
          <t>2017</t>
        </is>
      </c>
      <c r="F1377" s="27" t="n">
        <v>20</v>
      </c>
      <c r="G1377" s="27" t="n">
        <v>3</v>
      </c>
      <c r="H1377" s="27" t="n">
        <v>8595</v>
      </c>
      <c r="I1377" s="28">
        <f>G1377*H1377/1000*F1377^2/162</f>
        <v>63.666666666666664</v>
      </c>
    </row>
    <row r="1378">
      <c r="A1378" s="7" t="inlineStr">
        <is>
          <t>STR-105</t>
        </is>
      </c>
      <c r="B1378" s="7" t="inlineStr">
        <is>
          <t>Beams</t>
        </is>
      </c>
      <c r="C1378" s="7" t="inlineStr">
        <is>
          <t>Roof level beams</t>
        </is>
      </c>
      <c r="D1378" s="7" t="inlineStr">
        <is>
          <t>F16</t>
        </is>
      </c>
      <c r="E1378" s="27" t="inlineStr">
        <is>
          <t>2501</t>
        </is>
      </c>
      <c r="F1378" s="27" t="n">
        <v>25</v>
      </c>
      <c r="G1378" s="27" t="n">
        <v>3</v>
      </c>
      <c r="H1378" s="27" t="n">
        <v>10100</v>
      </c>
      <c r="I1378" s="28">
        <f>G1378*H1378/1000*F1378^2/162</f>
        <v>116.89814814814815</v>
      </c>
    </row>
    <row r="1379">
      <c r="A1379" s="7" t="inlineStr">
        <is>
          <t>STR-105</t>
        </is>
      </c>
      <c r="B1379" s="7" t="inlineStr">
        <is>
          <t>Beams</t>
        </is>
      </c>
      <c r="C1379" s="7" t="inlineStr">
        <is>
          <t>Roof level beams</t>
        </is>
      </c>
      <c r="D1379" s="7" t="inlineStr">
        <is>
          <t>F16</t>
        </is>
      </c>
      <c r="E1379" s="27" t="inlineStr">
        <is>
          <t>2502</t>
        </is>
      </c>
      <c r="F1379" s="27" t="n">
        <v>25</v>
      </c>
      <c r="G1379" s="27" t="n">
        <v>3</v>
      </c>
      <c r="H1379" s="27" t="n">
        <v>8925</v>
      </c>
      <c r="I1379" s="28">
        <f>G1379*H1379/1000*F1379^2/162</f>
        <v>103.29861111111111</v>
      </c>
    </row>
    <row r="1380">
      <c r="A1380" s="7" t="inlineStr">
        <is>
          <t>STR-105</t>
        </is>
      </c>
      <c r="B1380" s="7" t="inlineStr">
        <is>
          <t>Beams</t>
        </is>
      </c>
      <c r="C1380" s="7" t="inlineStr">
        <is>
          <t>Roof level beams</t>
        </is>
      </c>
      <c r="D1380" s="7" t="inlineStr">
        <is>
          <t>F16</t>
        </is>
      </c>
      <c r="E1380" s="27" t="inlineStr">
        <is>
          <t>2503</t>
        </is>
      </c>
      <c r="F1380" s="27" t="n">
        <v>25</v>
      </c>
      <c r="G1380" s="27" t="n">
        <v>3</v>
      </c>
      <c r="H1380" s="27" t="n">
        <v>8925</v>
      </c>
      <c r="I1380" s="28">
        <f>G1380*H1380/1000*F1380^2/162</f>
        <v>103.29861111111111</v>
      </c>
    </row>
    <row r="1381">
      <c r="A1381" s="7" t="inlineStr">
        <is>
          <t>STR-106</t>
        </is>
      </c>
      <c r="B1381" s="7" t="inlineStr">
        <is>
          <t>Floor Slabs</t>
        </is>
      </c>
      <c r="C1381" s="7" t="inlineStr">
        <is>
          <t>Roof level slab</t>
        </is>
      </c>
      <c r="D1381" s="7" t="inlineStr">
        <is>
          <t>F16</t>
        </is>
      </c>
      <c r="E1381" s="27" t="inlineStr">
        <is>
          <t>1201</t>
        </is>
      </c>
      <c r="F1381" s="27" t="n">
        <v>12</v>
      </c>
      <c r="G1381" s="27" t="n">
        <v>100</v>
      </c>
      <c r="H1381" s="27" t="n">
        <v>5050</v>
      </c>
      <c r="I1381" s="28">
        <f>G1381*H1381/1000*F1381^2/162</f>
        <v>448.8888888888889</v>
      </c>
    </row>
    <row r="1382">
      <c r="A1382" s="7" t="inlineStr">
        <is>
          <t>STR-106</t>
        </is>
      </c>
      <c r="B1382" s="7" t="inlineStr">
        <is>
          <t>Floor Slabs</t>
        </is>
      </c>
      <c r="C1382" s="7" t="inlineStr">
        <is>
          <t>Roof level slab</t>
        </is>
      </c>
      <c r="D1382" s="7" t="inlineStr">
        <is>
          <t>F16</t>
        </is>
      </c>
      <c r="E1382" s="27" t="inlineStr">
        <is>
          <t>1202</t>
        </is>
      </c>
      <c r="F1382" s="27" t="n">
        <v>12</v>
      </c>
      <c r="G1382" s="27" t="n">
        <v>16</v>
      </c>
      <c r="H1382" s="27" t="n">
        <v>2950</v>
      </c>
      <c r="I1382" s="28">
        <f>G1382*H1382/1000*F1382^2/162</f>
        <v>41.955555555555556</v>
      </c>
    </row>
    <row r="1383">
      <c r="A1383" s="7" t="inlineStr">
        <is>
          <t>STR-106</t>
        </is>
      </c>
      <c r="B1383" s="7" t="inlineStr">
        <is>
          <t>Floor Slabs</t>
        </is>
      </c>
      <c r="C1383" s="7" t="inlineStr">
        <is>
          <t>Roof level slab</t>
        </is>
      </c>
      <c r="D1383" s="7" t="inlineStr">
        <is>
          <t>F16</t>
        </is>
      </c>
      <c r="E1383" s="27" t="inlineStr">
        <is>
          <t>1203</t>
        </is>
      </c>
      <c r="F1383" s="27" t="n">
        <v>12</v>
      </c>
      <c r="G1383" s="27" t="n">
        <v>10</v>
      </c>
      <c r="H1383" s="27" t="n">
        <v>7950</v>
      </c>
      <c r="I1383" s="28">
        <f>G1383*H1383/1000*F1383^2/162</f>
        <v>70.66666666666667</v>
      </c>
    </row>
    <row r="1384">
      <c r="A1384" s="7" t="inlineStr">
        <is>
          <t>STR-106</t>
        </is>
      </c>
      <c r="B1384" s="7" t="inlineStr">
        <is>
          <t>Floor Slabs</t>
        </is>
      </c>
      <c r="C1384" s="7" t="inlineStr">
        <is>
          <t>Roof level slab</t>
        </is>
      </c>
      <c r="D1384" s="7" t="inlineStr">
        <is>
          <t>F16</t>
        </is>
      </c>
      <c r="E1384" s="27" t="inlineStr">
        <is>
          <t>1204</t>
        </is>
      </c>
      <c r="F1384" s="27" t="n">
        <v>12</v>
      </c>
      <c r="G1384" s="27" t="n">
        <v>10</v>
      </c>
      <c r="H1384" s="27" t="n">
        <v>7700</v>
      </c>
      <c r="I1384" s="28">
        <f>G1384*H1384/1000*F1384^2/162</f>
        <v>68.44444444444444</v>
      </c>
    </row>
    <row r="1385">
      <c r="A1385" s="7" t="inlineStr">
        <is>
          <t>STR-106</t>
        </is>
      </c>
      <c r="B1385" s="7" t="inlineStr">
        <is>
          <t>Floor Slabs</t>
        </is>
      </c>
      <c r="C1385" s="7" t="inlineStr">
        <is>
          <t>Roof level slab</t>
        </is>
      </c>
      <c r="D1385" s="7" t="inlineStr">
        <is>
          <t>F16</t>
        </is>
      </c>
      <c r="E1385" s="27" t="inlineStr">
        <is>
          <t>1205</t>
        </is>
      </c>
      <c r="F1385" s="27" t="n">
        <v>12</v>
      </c>
      <c r="G1385" s="27" t="n">
        <v>26</v>
      </c>
      <c r="H1385" s="27" t="n">
        <v>9000</v>
      </c>
      <c r="I1385" s="28">
        <f>G1385*H1385/1000*F1385^2/162</f>
        <v>208.0</v>
      </c>
    </row>
    <row r="1386">
      <c r="A1386" s="7" t="inlineStr">
        <is>
          <t>STR-106</t>
        </is>
      </c>
      <c r="B1386" s="7" t="inlineStr">
        <is>
          <t>Floor Slabs</t>
        </is>
      </c>
      <c r="C1386" s="7" t="inlineStr">
        <is>
          <t>Roof level slab</t>
        </is>
      </c>
      <c r="D1386" s="7" t="inlineStr">
        <is>
          <t>F16</t>
        </is>
      </c>
      <c r="E1386" s="27" t="inlineStr">
        <is>
          <t>1206</t>
        </is>
      </c>
      <c r="F1386" s="27" t="n">
        <v>12</v>
      </c>
      <c r="G1386" s="27" t="n">
        <v>78</v>
      </c>
      <c r="H1386" s="27" t="n">
        <v>10250</v>
      </c>
      <c r="I1386" s="28">
        <f>G1386*H1386/1000*F1386^2/162</f>
        <v>710.6666666666666</v>
      </c>
    </row>
    <row r="1387">
      <c r="A1387" s="7" t="inlineStr">
        <is>
          <t>STR-106</t>
        </is>
      </c>
      <c r="B1387" s="7" t="inlineStr">
        <is>
          <t>Floor Slabs</t>
        </is>
      </c>
      <c r="C1387" s="7" t="inlineStr">
        <is>
          <t>Roof level slab</t>
        </is>
      </c>
      <c r="D1387" s="7" t="inlineStr">
        <is>
          <t>F16</t>
        </is>
      </c>
      <c r="E1387" s="27" t="inlineStr">
        <is>
          <t>1207</t>
        </is>
      </c>
      <c r="F1387" s="27" t="n">
        <v>12</v>
      </c>
      <c r="G1387" s="27" t="n">
        <v>28</v>
      </c>
      <c r="H1387" s="27" t="n">
        <v>10025</v>
      </c>
      <c r="I1387" s="28">
        <f>G1387*H1387/1000*F1387^2/162</f>
        <v>249.5111111111111</v>
      </c>
    </row>
    <row r="1388">
      <c r="A1388" s="7" t="inlineStr">
        <is>
          <t>STR-106</t>
        </is>
      </c>
      <c r="B1388" s="7" t="inlineStr">
        <is>
          <t>Floor Slabs</t>
        </is>
      </c>
      <c r="C1388" s="7" t="inlineStr">
        <is>
          <t>Roof level slab</t>
        </is>
      </c>
      <c r="D1388" s="7" t="inlineStr">
        <is>
          <t>F16</t>
        </is>
      </c>
      <c r="E1388" s="27" t="inlineStr">
        <is>
          <t>1208</t>
        </is>
      </c>
      <c r="F1388" s="27" t="n">
        <v>12</v>
      </c>
      <c r="G1388" s="27" t="n">
        <v>53</v>
      </c>
      <c r="H1388" s="27" t="n">
        <v>8250</v>
      </c>
      <c r="I1388" s="28">
        <f>G1388*H1388/1000*F1388^2/162</f>
        <v>388.6666666666667</v>
      </c>
    </row>
    <row r="1389">
      <c r="A1389" s="7" t="inlineStr">
        <is>
          <t>STR-106</t>
        </is>
      </c>
      <c r="B1389" s="7" t="inlineStr">
        <is>
          <t>Floor Slabs</t>
        </is>
      </c>
      <c r="C1389" s="7" t="inlineStr">
        <is>
          <t>Roof level slab</t>
        </is>
      </c>
      <c r="D1389" s="7" t="inlineStr">
        <is>
          <t>F16</t>
        </is>
      </c>
      <c r="E1389" s="27" t="inlineStr">
        <is>
          <t>1209</t>
        </is>
      </c>
      <c r="F1389" s="27" t="n">
        <v>12</v>
      </c>
      <c r="G1389" s="27" t="n">
        <v>66</v>
      </c>
      <c r="H1389" s="27" t="n">
        <v>7350</v>
      </c>
      <c r="I1389" s="28">
        <f>G1389*H1389/1000*F1389^2/162</f>
        <v>431.20000000000005</v>
      </c>
    </row>
    <row r="1390">
      <c r="A1390" s="7" t="inlineStr">
        <is>
          <t>STR-106</t>
        </is>
      </c>
      <c r="B1390" s="7" t="inlineStr">
        <is>
          <t>Floor Slabs</t>
        </is>
      </c>
      <c r="C1390" s="7" t="inlineStr">
        <is>
          <t>Roof level slab</t>
        </is>
      </c>
      <c r="D1390" s="7" t="inlineStr">
        <is>
          <t>F16</t>
        </is>
      </c>
      <c r="E1390" s="27" t="inlineStr">
        <is>
          <t>1210</t>
        </is>
      </c>
      <c r="F1390" s="27" t="n">
        <v>12</v>
      </c>
      <c r="G1390" s="27" t="n">
        <v>10</v>
      </c>
      <c r="H1390" s="27" t="n">
        <v>4700</v>
      </c>
      <c r="I1390" s="28">
        <f>G1390*H1390/1000*F1390^2/162</f>
        <v>41.77777777777778</v>
      </c>
    </row>
    <row r="1391">
      <c r="A1391" s="7" t="inlineStr">
        <is>
          <t>STR-106</t>
        </is>
      </c>
      <c r="B1391" s="7" t="inlineStr">
        <is>
          <t>Floor Slabs</t>
        </is>
      </c>
      <c r="C1391" s="7" t="inlineStr">
        <is>
          <t>Roof level slab</t>
        </is>
      </c>
      <c r="D1391" s="7" t="inlineStr">
        <is>
          <t>F16</t>
        </is>
      </c>
      <c r="E1391" s="27" t="inlineStr">
        <is>
          <t>1211</t>
        </is>
      </c>
      <c r="F1391" s="27" t="n">
        <v>12</v>
      </c>
      <c r="G1391" s="27" t="n">
        <v>53</v>
      </c>
      <c r="H1391" s="27" t="n">
        <v>5450</v>
      </c>
      <c r="I1391" s="28">
        <f>G1391*H1391/1000*F1391^2/162</f>
        <v>256.7555555555556</v>
      </c>
    </row>
    <row r="1392">
      <c r="A1392" s="7" t="inlineStr">
        <is>
          <t>STR-106</t>
        </is>
      </c>
      <c r="B1392" s="7" t="inlineStr">
        <is>
          <t>Floor Slabs</t>
        </is>
      </c>
      <c r="C1392" s="7" t="inlineStr">
        <is>
          <t>Roof level slab</t>
        </is>
      </c>
      <c r="D1392" s="7" t="inlineStr">
        <is>
          <t>F16</t>
        </is>
      </c>
      <c r="E1392" s="27" t="inlineStr">
        <is>
          <t>1212</t>
        </is>
      </c>
      <c r="F1392" s="27" t="n">
        <v>12</v>
      </c>
      <c r="G1392" s="27" t="n">
        <v>46</v>
      </c>
      <c r="H1392" s="27" t="n">
        <v>2500</v>
      </c>
      <c r="I1392" s="28">
        <f>G1392*H1392/1000*F1392^2/162</f>
        <v>102.22222222222223</v>
      </c>
    </row>
    <row r="1393">
      <c r="A1393" s="7" t="inlineStr">
        <is>
          <t>STR-106</t>
        </is>
      </c>
      <c r="B1393" s="7" t="inlineStr">
        <is>
          <t>Floor Slabs</t>
        </is>
      </c>
      <c r="C1393" s="7" t="inlineStr">
        <is>
          <t>Roof level slab</t>
        </is>
      </c>
      <c r="D1393" s="7" t="inlineStr">
        <is>
          <t>F16</t>
        </is>
      </c>
      <c r="E1393" s="27" t="inlineStr">
        <is>
          <t>1213</t>
        </is>
      </c>
      <c r="F1393" s="27" t="n">
        <v>12</v>
      </c>
      <c r="G1393" s="27" t="n">
        <v>92</v>
      </c>
      <c r="H1393" s="27" t="n">
        <v>6050</v>
      </c>
      <c r="I1393" s="28">
        <f>G1393*H1393/1000*F1393^2/162</f>
        <v>494.7555555555556</v>
      </c>
    </row>
    <row r="1394">
      <c r="A1394" s="7" t="inlineStr">
        <is>
          <t>STR-106</t>
        </is>
      </c>
      <c r="B1394" s="7" t="inlineStr">
        <is>
          <t>Floor Slabs</t>
        </is>
      </c>
      <c r="C1394" s="7" t="inlineStr">
        <is>
          <t>Roof level slab</t>
        </is>
      </c>
      <c r="D1394" s="7" t="inlineStr">
        <is>
          <t>F16</t>
        </is>
      </c>
      <c r="E1394" s="27" t="inlineStr">
        <is>
          <t>1214</t>
        </is>
      </c>
      <c r="F1394" s="27" t="n">
        <v>12</v>
      </c>
      <c r="G1394" s="27" t="n">
        <v>22</v>
      </c>
      <c r="H1394" s="27" t="n">
        <v>8075</v>
      </c>
      <c r="I1394" s="28">
        <f>G1394*H1394/1000*F1394^2/162</f>
        <v>157.91111111111113</v>
      </c>
    </row>
    <row r="1395">
      <c r="A1395" s="7" t="inlineStr">
        <is>
          <t>STR-106</t>
        </is>
      </c>
      <c r="B1395" s="7" t="inlineStr">
        <is>
          <t>Floor Slabs</t>
        </is>
      </c>
      <c r="C1395" s="7" t="inlineStr">
        <is>
          <t>Roof level slab</t>
        </is>
      </c>
      <c r="D1395" s="7" t="inlineStr">
        <is>
          <t>F16</t>
        </is>
      </c>
      <c r="E1395" s="27" t="inlineStr">
        <is>
          <t>1215</t>
        </is>
      </c>
      <c r="F1395" s="27" t="n">
        <v>12</v>
      </c>
      <c r="G1395" s="27" t="n">
        <v>20</v>
      </c>
      <c r="H1395" s="27" t="n">
        <v>9100</v>
      </c>
      <c r="I1395" s="28">
        <f>G1395*H1395/1000*F1395^2/162</f>
        <v>161.77777777777777</v>
      </c>
    </row>
    <row r="1396">
      <c r="A1396" s="7" t="inlineStr">
        <is>
          <t>STR-106</t>
        </is>
      </c>
      <c r="B1396" s="7" t="inlineStr">
        <is>
          <t>Floor Slabs</t>
        </is>
      </c>
      <c r="C1396" s="7" t="inlineStr">
        <is>
          <t>Roof level slab</t>
        </is>
      </c>
      <c r="D1396" s="7" t="inlineStr">
        <is>
          <t>F16</t>
        </is>
      </c>
      <c r="E1396" s="27" t="inlineStr">
        <is>
          <t>1216</t>
        </is>
      </c>
      <c r="F1396" s="27" t="n">
        <v>12</v>
      </c>
      <c r="G1396" s="27" t="n">
        <v>90</v>
      </c>
      <c r="H1396" s="27" t="n">
        <v>9250</v>
      </c>
      <c r="I1396" s="28">
        <f>G1396*H1396/1000*F1396^2/162</f>
        <v>740.0</v>
      </c>
    </row>
    <row r="1397">
      <c r="A1397" s="7" t="inlineStr">
        <is>
          <t>STR-107</t>
        </is>
      </c>
      <c r="B1397" s="7" t="inlineStr">
        <is>
          <t>Lift Core Roof Slab</t>
        </is>
      </c>
      <c r="C1397" s="7" t="inlineStr">
        <is>
          <t>Top of lift core slab</t>
        </is>
      </c>
      <c r="D1397" s="7" t="inlineStr">
        <is>
          <t>F17</t>
        </is>
      </c>
      <c r="E1397" s="27" t="inlineStr">
        <is>
          <t>1201</t>
        </is>
      </c>
      <c r="F1397" s="27" t="n">
        <v>12</v>
      </c>
      <c r="G1397" s="27" t="n">
        <v>34</v>
      </c>
      <c r="H1397" s="27" t="n">
        <v>5150</v>
      </c>
      <c r="I1397" s="28">
        <f>G1397*H1397/1000*F1397^2/162</f>
        <v>155.64444444444442</v>
      </c>
    </row>
    <row r="1398">
      <c r="A1398" s="7" t="inlineStr">
        <is>
          <t>STR-107</t>
        </is>
      </c>
      <c r="B1398" s="7" t="inlineStr">
        <is>
          <t>Lift Core Roof Slab</t>
        </is>
      </c>
      <c r="C1398" s="7" t="inlineStr">
        <is>
          <t>Top of lift core slab</t>
        </is>
      </c>
      <c r="D1398" s="7" t="inlineStr">
        <is>
          <t>F17</t>
        </is>
      </c>
      <c r="E1398" s="27" t="inlineStr">
        <is>
          <t>1202</t>
        </is>
      </c>
      <c r="F1398" s="27" t="n">
        <v>12</v>
      </c>
      <c r="G1398" s="27" t="n">
        <v>14</v>
      </c>
      <c r="H1398" s="27" t="n">
        <v>2875</v>
      </c>
      <c r="I1398" s="28">
        <f>G1398*H1398/1000*F1398^2/162</f>
        <v>35.77777777777778</v>
      </c>
    </row>
    <row r="1399">
      <c r="A1399" s="7" t="inlineStr">
        <is>
          <t>STR-107</t>
        </is>
      </c>
      <c r="B1399" s="7" t="inlineStr">
        <is>
          <t>Lift Core Roof Slab</t>
        </is>
      </c>
      <c r="C1399" s="7" t="inlineStr">
        <is>
          <t>Top of lift core slab</t>
        </is>
      </c>
      <c r="D1399" s="7" t="inlineStr">
        <is>
          <t>F17</t>
        </is>
      </c>
      <c r="E1399" s="27" t="inlineStr">
        <is>
          <t>1203</t>
        </is>
      </c>
      <c r="F1399" s="27" t="n">
        <v>12</v>
      </c>
      <c r="G1399" s="27" t="n">
        <v>28</v>
      </c>
      <c r="H1399" s="27" t="n">
        <v>2725</v>
      </c>
      <c r="I1399" s="28">
        <f>G1399*H1399/1000*F1399^2/162</f>
        <v>67.82222222222221</v>
      </c>
    </row>
    <row r="1400">
      <c r="A1400" s="7" t="inlineStr">
        <is>
          <t>STR-107</t>
        </is>
      </c>
      <c r="B1400" s="7" t="inlineStr">
        <is>
          <t>Lift Core Roof Slab</t>
        </is>
      </c>
      <c r="C1400" s="7" t="inlineStr">
        <is>
          <t>Top of lift core slab</t>
        </is>
      </c>
      <c r="D1400" s="7" t="inlineStr">
        <is>
          <t>F17</t>
        </is>
      </c>
      <c r="E1400" s="27" t="inlineStr">
        <is>
          <t>1204</t>
        </is>
      </c>
      <c r="F1400" s="27" t="n">
        <v>12</v>
      </c>
      <c r="G1400" s="27" t="n">
        <v>32</v>
      </c>
      <c r="H1400" s="27" t="n">
        <v>3750</v>
      </c>
      <c r="I1400" s="28">
        <f>G1400*H1400/1000*F1400^2/162</f>
        <v>106.66666666666667</v>
      </c>
    </row>
    <row r="1401">
      <c r="A1401" s="7" t="inlineStr">
        <is>
          <t>STR-019</t>
        </is>
      </c>
      <c r="B1401" s="7" t="inlineStr">
        <is>
          <t>Staircases</t>
        </is>
      </c>
      <c r="C1401" s="7" t="inlineStr">
        <is>
          <t>Main staircase GF to 1st floor</t>
        </is>
      </c>
      <c r="D1401" s="7" t="inlineStr">
        <is>
          <t>F01</t>
        </is>
      </c>
      <c r="E1401" s="27" t="inlineStr">
        <is>
          <t>1201</t>
        </is>
      </c>
      <c r="F1401" s="27" t="n">
        <v>12</v>
      </c>
      <c r="G1401" s="27" t="n">
        <v>30</v>
      </c>
      <c r="H1401" s="27" t="n">
        <v>6200</v>
      </c>
      <c r="I1401" s="28">
        <f>G1401*H1401/1000*F1401^2/162</f>
        <v>165.33333333333334</v>
      </c>
    </row>
    <row r="1402">
      <c r="A1402" s="7" t="inlineStr">
        <is>
          <t>STR-019</t>
        </is>
      </c>
      <c r="B1402" s="7" t="inlineStr">
        <is>
          <t>Staircases</t>
        </is>
      </c>
      <c r="C1402" s="7" t="inlineStr">
        <is>
          <t>Main staircase GF to 1st floor</t>
        </is>
      </c>
      <c r="D1402" s="7" t="inlineStr">
        <is>
          <t>F01</t>
        </is>
      </c>
      <c r="E1402" s="27" t="inlineStr">
        <is>
          <t>1202</t>
        </is>
      </c>
      <c r="F1402" s="27" t="n">
        <v>12</v>
      </c>
      <c r="G1402" s="27" t="n">
        <v>80</v>
      </c>
      <c r="H1402" s="27" t="n">
        <v>2300</v>
      </c>
      <c r="I1402" s="28">
        <f>G1402*H1402/1000*F1402^2/162</f>
        <v>163.55555555555554</v>
      </c>
    </row>
    <row r="1403">
      <c r="A1403" s="7" t="inlineStr">
        <is>
          <t>STR-019</t>
        </is>
      </c>
      <c r="B1403" s="7" t="inlineStr">
        <is>
          <t>Staircases</t>
        </is>
      </c>
      <c r="C1403" s="7" t="inlineStr">
        <is>
          <t>Main staircase GF to 1st floor</t>
        </is>
      </c>
      <c r="D1403" s="7" t="inlineStr">
        <is>
          <t>F01</t>
        </is>
      </c>
      <c r="E1403" s="27" t="inlineStr">
        <is>
          <t>1203</t>
        </is>
      </c>
      <c r="F1403" s="27" t="n">
        <v>12</v>
      </c>
      <c r="G1403" s="27" t="n">
        <v>26</v>
      </c>
      <c r="H1403" s="27" t="n">
        <v>4800</v>
      </c>
      <c r="I1403" s="28">
        <f>G1403*H1403/1000*F1403^2/162</f>
        <v>110.93333333333334</v>
      </c>
    </row>
    <row r="1404">
      <c r="A1404" s="7" t="inlineStr">
        <is>
          <t>STR-019</t>
        </is>
      </c>
      <c r="B1404" s="7" t="inlineStr">
        <is>
          <t>Staircases</t>
        </is>
      </c>
      <c r="C1404" s="7" t="inlineStr">
        <is>
          <t>Main staircase GF to 1st floor</t>
        </is>
      </c>
      <c r="D1404" s="7" t="inlineStr">
        <is>
          <t>F01</t>
        </is>
      </c>
      <c r="E1404" s="27" t="inlineStr">
        <is>
          <t>1601</t>
        </is>
      </c>
      <c r="F1404" s="27" t="n">
        <v>16</v>
      </c>
      <c r="G1404" s="27" t="n">
        <v>11</v>
      </c>
      <c r="H1404" s="27" t="n">
        <v>6800</v>
      </c>
      <c r="I1404" s="28">
        <f>G1404*H1404/1000*F1404^2/162</f>
        <v>118.20246913580246</v>
      </c>
    </row>
    <row r="1405">
      <c r="A1405" s="7" t="inlineStr">
        <is>
          <t>STR-019</t>
        </is>
      </c>
      <c r="B1405" s="7" t="inlineStr">
        <is>
          <t>Staircases</t>
        </is>
      </c>
      <c r="C1405" s="7" t="inlineStr">
        <is>
          <t>Main staircase GF to 1st floor</t>
        </is>
      </c>
      <c r="D1405" s="7" t="inlineStr">
        <is>
          <t>F01</t>
        </is>
      </c>
      <c r="E1405" s="27" t="inlineStr">
        <is>
          <t>1602</t>
        </is>
      </c>
      <c r="F1405" s="27" t="n">
        <v>16</v>
      </c>
      <c r="G1405" s="27" t="n">
        <v>11</v>
      </c>
      <c r="H1405" s="27" t="n">
        <v>9000</v>
      </c>
      <c r="I1405" s="28">
        <f>G1405*H1405/1000*F1405^2/162</f>
        <v>156.44444444444446</v>
      </c>
    </row>
    <row r="1406">
      <c r="A1406" s="7" t="inlineStr">
        <is>
          <t>STR-019</t>
        </is>
      </c>
      <c r="B1406" s="7" t="inlineStr">
        <is>
          <t>Staircases</t>
        </is>
      </c>
      <c r="C1406" s="7" t="inlineStr">
        <is>
          <t>Main staircase GF to 1st floor</t>
        </is>
      </c>
      <c r="D1406" s="7" t="inlineStr">
        <is>
          <t>F01</t>
        </is>
      </c>
      <c r="E1406" s="27" t="inlineStr">
        <is>
          <t>1603</t>
        </is>
      </c>
      <c r="F1406" s="27" t="n">
        <v>16</v>
      </c>
      <c r="G1406" s="27" t="n">
        <v>11</v>
      </c>
      <c r="H1406" s="27" t="n">
        <v>2400</v>
      </c>
      <c r="I1406" s="28">
        <f>G1406*H1406/1000*F1406^2/162</f>
        <v>41.718518518518515</v>
      </c>
    </row>
    <row r="1407">
      <c r="A1407" s="7" t="inlineStr">
        <is>
          <t>STR-019</t>
        </is>
      </c>
      <c r="B1407" s="7" t="inlineStr">
        <is>
          <t>Staircases</t>
        </is>
      </c>
      <c r="C1407" s="7" t="inlineStr">
        <is>
          <t>Main staircase GF to 1st floor</t>
        </is>
      </c>
      <c r="D1407" s="7" t="inlineStr">
        <is>
          <t>F01</t>
        </is>
      </c>
      <c r="E1407" s="27" t="inlineStr">
        <is>
          <t>1606</t>
        </is>
      </c>
      <c r="F1407" s="27" t="n">
        <v>16</v>
      </c>
      <c r="G1407" s="27" t="n">
        <v>11</v>
      </c>
      <c r="H1407" s="27" t="n">
        <v>8375</v>
      </c>
      <c r="I1407" s="28">
        <f>G1407*H1407/1000*F1407^2/162</f>
        <v>145.58024691358025</v>
      </c>
    </row>
    <row r="1408">
      <c r="A1408" s="7" t="inlineStr">
        <is>
          <t>STR-019</t>
        </is>
      </c>
      <c r="B1408" s="7" t="inlineStr">
        <is>
          <t>Staircases</t>
        </is>
      </c>
      <c r="C1408" s="7" t="inlineStr">
        <is>
          <t>Main staircase GF to 1st floor</t>
        </is>
      </c>
      <c r="D1408" s="7" t="inlineStr">
        <is>
          <t>F01</t>
        </is>
      </c>
      <c r="E1408" s="27" t="inlineStr">
        <is>
          <t>1607</t>
        </is>
      </c>
      <c r="F1408" s="27" t="n">
        <v>16</v>
      </c>
      <c r="G1408" s="27" t="n">
        <v>11</v>
      </c>
      <c r="H1408" s="27" t="n">
        <v>3500</v>
      </c>
      <c r="I1408" s="28">
        <f>G1408*H1408/1000*F1408^2/162</f>
        <v>60.839506172839506</v>
      </c>
    </row>
    <row r="1409">
      <c r="A1409" s="7" t="inlineStr">
        <is>
          <t>STR-019</t>
        </is>
      </c>
      <c r="B1409" s="7" t="inlineStr">
        <is>
          <t>Staircases</t>
        </is>
      </c>
      <c r="C1409" s="7" t="inlineStr">
        <is>
          <t>Main staircase GF to 1st floor</t>
        </is>
      </c>
      <c r="D1409" s="7" t="inlineStr">
        <is>
          <t>F01</t>
        </is>
      </c>
      <c r="E1409" s="27" t="inlineStr">
        <is>
          <t>1608</t>
        </is>
      </c>
      <c r="F1409" s="27" t="n">
        <v>16</v>
      </c>
      <c r="G1409" s="27" t="n">
        <v>11</v>
      </c>
      <c r="H1409" s="27" t="n">
        <v>2500</v>
      </c>
      <c r="I1409" s="28">
        <f>G1409*H1409/1000*F1409^2/162</f>
        <v>43.45679012345679</v>
      </c>
    </row>
    <row r="1410">
      <c r="A1410" s="7" t="inlineStr">
        <is>
          <t>STR-019</t>
        </is>
      </c>
      <c r="B1410" s="7" t="inlineStr">
        <is>
          <t>Staircases</t>
        </is>
      </c>
      <c r="C1410" s="7" t="inlineStr">
        <is>
          <t>Main staircase GF to 1st floor</t>
        </is>
      </c>
      <c r="D1410" s="7" t="inlineStr">
        <is>
          <t>F01</t>
        </is>
      </c>
      <c r="E1410" s="27" t="inlineStr">
        <is>
          <t>1609</t>
        </is>
      </c>
      <c r="F1410" s="27" t="n">
        <v>16</v>
      </c>
      <c r="G1410" s="27" t="n">
        <v>11</v>
      </c>
      <c r="H1410" s="27" t="n">
        <v>3500</v>
      </c>
      <c r="I1410" s="28">
        <f>G1410*H1410/1000*F1410^2/162</f>
        <v>60.839506172839506</v>
      </c>
    </row>
    <row r="1411">
      <c r="A1411" s="7" t="inlineStr">
        <is>
          <t>STR-019</t>
        </is>
      </c>
      <c r="B1411" s="7" t="inlineStr">
        <is>
          <t>Staircases</t>
        </is>
      </c>
      <c r="C1411" s="7" t="inlineStr">
        <is>
          <t>Main staircase GF to 1st floor</t>
        </is>
      </c>
      <c r="D1411" s="7" t="inlineStr">
        <is>
          <t>F01</t>
        </is>
      </c>
      <c r="E1411" s="27" t="inlineStr">
        <is>
          <t>1610</t>
        </is>
      </c>
      <c r="F1411" s="27" t="n">
        <v>16</v>
      </c>
      <c r="G1411" s="27" t="n">
        <v>11</v>
      </c>
      <c r="H1411" s="27" t="n">
        <v>2000</v>
      </c>
      <c r="I1411" s="28">
        <f>G1411*H1411/1000*F1411^2/162</f>
        <v>34.76543209876543</v>
      </c>
    </row>
    <row r="1412">
      <c r="A1412" s="7" t="inlineStr">
        <is>
          <t>STR-021</t>
        </is>
      </c>
      <c r="B1412" s="7" t="inlineStr">
        <is>
          <t>Staircases</t>
        </is>
      </c>
      <c r="C1412" s="7" t="inlineStr">
        <is>
          <t>Main staircase 1st to 2nd floor</t>
        </is>
      </c>
      <c r="D1412" s="7" t="inlineStr">
        <is>
          <t>F03</t>
        </is>
      </c>
      <c r="E1412" s="27" t="inlineStr">
        <is>
          <t>1201</t>
        </is>
      </c>
      <c r="F1412" s="27" t="n">
        <v>12</v>
      </c>
      <c r="G1412" s="27" t="n">
        <v>30</v>
      </c>
      <c r="H1412" s="27" t="n">
        <v>6200</v>
      </c>
      <c r="I1412" s="28">
        <f>G1412*H1412/1000*F1412^2/162</f>
        <v>165.33333333333334</v>
      </c>
    </row>
    <row r="1413">
      <c r="A1413" s="7" t="inlineStr">
        <is>
          <t>STR-021</t>
        </is>
      </c>
      <c r="B1413" s="7" t="inlineStr">
        <is>
          <t>Staircases</t>
        </is>
      </c>
      <c r="C1413" s="7" t="inlineStr">
        <is>
          <t>Main staircase 1st to 2nd floor</t>
        </is>
      </c>
      <c r="D1413" s="7" t="inlineStr">
        <is>
          <t>F03</t>
        </is>
      </c>
      <c r="E1413" s="27" t="inlineStr">
        <is>
          <t>1202</t>
        </is>
      </c>
      <c r="F1413" s="27" t="n">
        <v>12</v>
      </c>
      <c r="G1413" s="27" t="n">
        <v>80</v>
      </c>
      <c r="H1413" s="27" t="n">
        <v>2300</v>
      </c>
      <c r="I1413" s="28">
        <f>G1413*H1413/1000*F1413^2/162</f>
        <v>163.55555555555554</v>
      </c>
    </row>
    <row r="1414">
      <c r="A1414" s="7" t="inlineStr">
        <is>
          <t>STR-021</t>
        </is>
      </c>
      <c r="B1414" s="7" t="inlineStr">
        <is>
          <t>Staircases</t>
        </is>
      </c>
      <c r="C1414" s="7" t="inlineStr">
        <is>
          <t>Main staircase 1st to 2nd floor</t>
        </is>
      </c>
      <c r="D1414" s="7" t="inlineStr">
        <is>
          <t>F03</t>
        </is>
      </c>
      <c r="E1414" s="27" t="inlineStr">
        <is>
          <t>1203</t>
        </is>
      </c>
      <c r="F1414" s="27" t="n">
        <v>12</v>
      </c>
      <c r="G1414" s="27" t="n">
        <v>26</v>
      </c>
      <c r="H1414" s="27" t="n">
        <v>4800</v>
      </c>
      <c r="I1414" s="28">
        <f>G1414*H1414/1000*F1414^2/162</f>
        <v>110.93333333333334</v>
      </c>
    </row>
    <row r="1415">
      <c r="A1415" s="7" t="inlineStr">
        <is>
          <t>STR-021</t>
        </is>
      </c>
      <c r="B1415" s="7" t="inlineStr">
        <is>
          <t>Staircases</t>
        </is>
      </c>
      <c r="C1415" s="7" t="inlineStr">
        <is>
          <t>Main staircase 1st to 2nd floor</t>
        </is>
      </c>
      <c r="D1415" s="7" t="inlineStr">
        <is>
          <t>F03</t>
        </is>
      </c>
      <c r="E1415" s="27" t="inlineStr">
        <is>
          <t>1601</t>
        </is>
      </c>
      <c r="F1415" s="27" t="n">
        <v>16</v>
      </c>
      <c r="G1415" s="27" t="n">
        <v>11</v>
      </c>
      <c r="H1415" s="27" t="n">
        <v>8450</v>
      </c>
      <c r="I1415" s="28">
        <f>G1415*H1415/1000*F1415^2/162</f>
        <v>146.88395061728394</v>
      </c>
    </row>
    <row r="1416">
      <c r="A1416" s="7" t="inlineStr">
        <is>
          <t>STR-021</t>
        </is>
      </c>
      <c r="B1416" s="7" t="inlineStr">
        <is>
          <t>Staircases</t>
        </is>
      </c>
      <c r="C1416" s="7" t="inlineStr">
        <is>
          <t>Main staircase 1st to 2nd floor</t>
        </is>
      </c>
      <c r="D1416" s="7" t="inlineStr">
        <is>
          <t>F03</t>
        </is>
      </c>
      <c r="E1416" s="27" t="inlineStr">
        <is>
          <t>1602</t>
        </is>
      </c>
      <c r="F1416" s="27" t="n">
        <v>16</v>
      </c>
      <c r="G1416" s="27" t="n">
        <v>11</v>
      </c>
      <c r="H1416" s="27" t="n">
        <v>4475</v>
      </c>
      <c r="I1416" s="28">
        <f>G1416*H1416/1000*F1416^2/162</f>
        <v>77.78765432098766</v>
      </c>
    </row>
    <row r="1417">
      <c r="A1417" s="7" t="inlineStr">
        <is>
          <t>STR-021</t>
        </is>
      </c>
      <c r="B1417" s="7" t="inlineStr">
        <is>
          <t>Staircases</t>
        </is>
      </c>
      <c r="C1417" s="7" t="inlineStr">
        <is>
          <t>Main staircase 1st to 2nd floor</t>
        </is>
      </c>
      <c r="D1417" s="7" t="inlineStr">
        <is>
          <t>F03</t>
        </is>
      </c>
      <c r="E1417" s="27" t="inlineStr">
        <is>
          <t>1603</t>
        </is>
      </c>
      <c r="F1417" s="27" t="n">
        <v>16</v>
      </c>
      <c r="G1417" s="27" t="n">
        <v>11</v>
      </c>
      <c r="H1417" s="27" t="n">
        <v>2400</v>
      </c>
      <c r="I1417" s="28">
        <f>G1417*H1417/1000*F1417^2/162</f>
        <v>41.718518518518515</v>
      </c>
    </row>
    <row r="1418">
      <c r="A1418" s="7" t="inlineStr">
        <is>
          <t>STR-021</t>
        </is>
      </c>
      <c r="B1418" s="7" t="inlineStr">
        <is>
          <t>Staircases</t>
        </is>
      </c>
      <c r="C1418" s="7" t="inlineStr">
        <is>
          <t>Main staircase 1st to 2nd floor</t>
        </is>
      </c>
      <c r="D1418" s="7" t="inlineStr">
        <is>
          <t>F03</t>
        </is>
      </c>
      <c r="E1418" s="27" t="inlineStr">
        <is>
          <t>1604</t>
        </is>
      </c>
      <c r="F1418" s="27" t="n">
        <v>16</v>
      </c>
      <c r="G1418" s="27" t="n">
        <v>11</v>
      </c>
      <c r="H1418" s="27" t="n">
        <v>4250</v>
      </c>
      <c r="I1418" s="28">
        <f>G1418*H1418/1000*F1418^2/162</f>
        <v>73.87654320987654</v>
      </c>
    </row>
    <row r="1419">
      <c r="A1419" s="7" t="inlineStr">
        <is>
          <t>STR-021</t>
        </is>
      </c>
      <c r="B1419" s="7" t="inlineStr">
        <is>
          <t>Staircases</t>
        </is>
      </c>
      <c r="C1419" s="7" t="inlineStr">
        <is>
          <t>Main staircase 1st to 2nd floor</t>
        </is>
      </c>
      <c r="D1419" s="7" t="inlineStr">
        <is>
          <t>F03</t>
        </is>
      </c>
      <c r="E1419" s="27" t="inlineStr">
        <is>
          <t>1605</t>
        </is>
      </c>
      <c r="F1419" s="27" t="n">
        <v>16</v>
      </c>
      <c r="G1419" s="27" t="n">
        <v>11</v>
      </c>
      <c r="H1419" s="27" t="n">
        <v>2100</v>
      </c>
      <c r="I1419" s="28">
        <f>G1419*H1419/1000*F1419^2/162</f>
        <v>36.50370370370371</v>
      </c>
    </row>
    <row r="1420">
      <c r="A1420" s="7" t="inlineStr">
        <is>
          <t>STR-021</t>
        </is>
      </c>
      <c r="B1420" s="7" t="inlineStr">
        <is>
          <t>Staircases</t>
        </is>
      </c>
      <c r="C1420" s="7" t="inlineStr">
        <is>
          <t>Main staircase 1st to 2nd floor</t>
        </is>
      </c>
      <c r="D1420" s="7" t="inlineStr">
        <is>
          <t>F03</t>
        </is>
      </c>
      <c r="E1420" s="27" t="inlineStr">
        <is>
          <t>1606</t>
        </is>
      </c>
      <c r="F1420" s="27" t="n">
        <v>16</v>
      </c>
      <c r="G1420" s="27" t="n">
        <v>11</v>
      </c>
      <c r="H1420" s="27" t="n">
        <v>6950</v>
      </c>
      <c r="I1420" s="28">
        <f>G1420*H1420/1000*F1420^2/162</f>
        <v>120.80987654320988</v>
      </c>
    </row>
    <row r="1421">
      <c r="A1421" s="7" t="inlineStr">
        <is>
          <t>STR-021</t>
        </is>
      </c>
      <c r="B1421" s="7" t="inlineStr">
        <is>
          <t>Staircases</t>
        </is>
      </c>
      <c r="C1421" s="7" t="inlineStr">
        <is>
          <t>Main staircase 1st to 2nd floor</t>
        </is>
      </c>
      <c r="D1421" s="7" t="inlineStr">
        <is>
          <t>F03</t>
        </is>
      </c>
      <c r="E1421" s="27" t="inlineStr">
        <is>
          <t>1607</t>
        </is>
      </c>
      <c r="F1421" s="27" t="n">
        <v>16</v>
      </c>
      <c r="G1421" s="27" t="n">
        <v>11</v>
      </c>
      <c r="H1421" s="27" t="n">
        <v>3300</v>
      </c>
      <c r="I1421" s="28">
        <f>G1421*H1421/1000*F1421^2/162</f>
        <v>57.36296296296296</v>
      </c>
    </row>
    <row r="1422">
      <c r="A1422" s="7" t="inlineStr">
        <is>
          <t>STR-021</t>
        </is>
      </c>
      <c r="B1422" s="7" t="inlineStr">
        <is>
          <t>Staircases</t>
        </is>
      </c>
      <c r="C1422" s="7" t="inlineStr">
        <is>
          <t>Main staircase 1st to 2nd floor</t>
        </is>
      </c>
      <c r="D1422" s="7" t="inlineStr">
        <is>
          <t>F03</t>
        </is>
      </c>
      <c r="E1422" s="27" t="inlineStr">
        <is>
          <t>1608</t>
        </is>
      </c>
      <c r="F1422" s="27" t="n">
        <v>16</v>
      </c>
      <c r="G1422" s="27" t="n">
        <v>11</v>
      </c>
      <c r="H1422" s="27" t="n">
        <v>1200</v>
      </c>
      <c r="I1422" s="28">
        <f>G1422*H1422/1000*F1422^2/162</f>
        <v>20.859259259259257</v>
      </c>
    </row>
    <row r="1423">
      <c r="A1423" s="7" t="inlineStr">
        <is>
          <t>STR-021</t>
        </is>
      </c>
      <c r="B1423" s="7" t="inlineStr">
        <is>
          <t>Staircases</t>
        </is>
      </c>
      <c r="C1423" s="7" t="inlineStr">
        <is>
          <t>Main staircase 1st to 2nd floor</t>
        </is>
      </c>
      <c r="D1423" s="7" t="inlineStr">
        <is>
          <t>F03</t>
        </is>
      </c>
      <c r="E1423" s="27" t="inlineStr">
        <is>
          <t>1609</t>
        </is>
      </c>
      <c r="F1423" s="27" t="n">
        <v>16</v>
      </c>
      <c r="G1423" s="27" t="n">
        <v>11</v>
      </c>
      <c r="H1423" s="27" t="n">
        <v>6225</v>
      </c>
      <c r="I1423" s="28">
        <f>G1423*H1423/1000*F1423^2/162</f>
        <v>108.2074074074074</v>
      </c>
    </row>
    <row r="1424">
      <c r="A1424" s="7" t="inlineStr">
        <is>
          <t>STR-021</t>
        </is>
      </c>
      <c r="B1424" s="7" t="inlineStr">
        <is>
          <t>Staircases</t>
        </is>
      </c>
      <c r="C1424" s="7" t="inlineStr">
        <is>
          <t>Main staircase 1st to 2nd floor</t>
        </is>
      </c>
      <c r="D1424" s="7" t="inlineStr">
        <is>
          <t>F03</t>
        </is>
      </c>
      <c r="E1424" s="27" t="inlineStr">
        <is>
          <t>1610</t>
        </is>
      </c>
      <c r="F1424" s="27" t="n">
        <v>16</v>
      </c>
      <c r="G1424" s="27" t="n">
        <v>11</v>
      </c>
      <c r="H1424" s="27" t="n">
        <v>3225</v>
      </c>
      <c r="I1424" s="28">
        <f>G1424*H1424/1000*F1424^2/162</f>
        <v>56.059259259259264</v>
      </c>
    </row>
    <row r="1425">
      <c r="A1425" s="7" t="inlineStr">
        <is>
          <t>STR-023</t>
        </is>
      </c>
      <c r="B1425" s="7" t="inlineStr">
        <is>
          <t>Staircases</t>
        </is>
      </c>
      <c r="C1425" s="7" t="inlineStr">
        <is>
          <t>Main staircase 2nd to 3rd floor</t>
        </is>
      </c>
      <c r="D1425" s="7" t="inlineStr">
        <is>
          <t>F05</t>
        </is>
      </c>
      <c r="E1425" s="27" t="inlineStr">
        <is>
          <t>1201</t>
        </is>
      </c>
      <c r="F1425" s="27" t="n">
        <v>12</v>
      </c>
      <c r="G1425" s="27" t="n">
        <v>30</v>
      </c>
      <c r="H1425" s="27" t="n">
        <v>6200</v>
      </c>
      <c r="I1425" s="28">
        <f>G1425*H1425/1000*F1425^2/162</f>
        <v>165.33333333333334</v>
      </c>
    </row>
    <row r="1426">
      <c r="A1426" s="7" t="inlineStr">
        <is>
          <t>STR-023</t>
        </is>
      </c>
      <c r="B1426" s="7" t="inlineStr">
        <is>
          <t>Staircases</t>
        </is>
      </c>
      <c r="C1426" s="7" t="inlineStr">
        <is>
          <t>Main staircase 2nd to 3rd floor</t>
        </is>
      </c>
      <c r="D1426" s="7" t="inlineStr">
        <is>
          <t>F05</t>
        </is>
      </c>
      <c r="E1426" s="27" t="inlineStr">
        <is>
          <t>1202</t>
        </is>
      </c>
      <c r="F1426" s="27" t="n">
        <v>12</v>
      </c>
      <c r="G1426" s="27" t="n">
        <v>80</v>
      </c>
      <c r="H1426" s="27" t="n">
        <v>2300</v>
      </c>
      <c r="I1426" s="28">
        <f>G1426*H1426/1000*F1426^2/162</f>
        <v>163.55555555555554</v>
      </c>
    </row>
    <row r="1427">
      <c r="A1427" s="7" t="inlineStr">
        <is>
          <t>STR-023</t>
        </is>
      </c>
      <c r="B1427" s="7" t="inlineStr">
        <is>
          <t>Staircases</t>
        </is>
      </c>
      <c r="C1427" s="7" t="inlineStr">
        <is>
          <t>Main staircase 2nd to 3rd floor</t>
        </is>
      </c>
      <c r="D1427" s="7" t="inlineStr">
        <is>
          <t>F05</t>
        </is>
      </c>
      <c r="E1427" s="27" t="inlineStr">
        <is>
          <t>1203</t>
        </is>
      </c>
      <c r="F1427" s="27" t="n">
        <v>12</v>
      </c>
      <c r="G1427" s="27" t="n">
        <v>26</v>
      </c>
      <c r="H1427" s="27" t="n">
        <v>4800</v>
      </c>
      <c r="I1427" s="28">
        <f>G1427*H1427/1000*F1427^2/162</f>
        <v>110.93333333333334</v>
      </c>
    </row>
    <row r="1428">
      <c r="A1428" s="7" t="inlineStr">
        <is>
          <t>STR-023</t>
        </is>
      </c>
      <c r="B1428" s="7" t="inlineStr">
        <is>
          <t>Staircases</t>
        </is>
      </c>
      <c r="C1428" s="7" t="inlineStr">
        <is>
          <t>Main staircase 2nd to 3rd floor</t>
        </is>
      </c>
      <c r="D1428" s="7" t="inlineStr">
        <is>
          <t>F05</t>
        </is>
      </c>
      <c r="E1428" s="27" t="inlineStr">
        <is>
          <t>1601</t>
        </is>
      </c>
      <c r="F1428" s="27" t="n">
        <v>16</v>
      </c>
      <c r="G1428" s="27" t="n">
        <v>11</v>
      </c>
      <c r="H1428" s="27" t="n">
        <v>8450</v>
      </c>
      <c r="I1428" s="28">
        <f>G1428*H1428/1000*F1428^2/162</f>
        <v>146.88395061728394</v>
      </c>
    </row>
    <row r="1429">
      <c r="A1429" s="7" t="inlineStr">
        <is>
          <t>STR-023</t>
        </is>
      </c>
      <c r="B1429" s="7" t="inlineStr">
        <is>
          <t>Staircases</t>
        </is>
      </c>
      <c r="C1429" s="7" t="inlineStr">
        <is>
          <t>Main staircase 2nd to 3rd floor</t>
        </is>
      </c>
      <c r="D1429" s="7" t="inlineStr">
        <is>
          <t>F05</t>
        </is>
      </c>
      <c r="E1429" s="27" t="inlineStr">
        <is>
          <t>1602</t>
        </is>
      </c>
      <c r="F1429" s="27" t="n">
        <v>16</v>
      </c>
      <c r="G1429" s="27" t="n">
        <v>11</v>
      </c>
      <c r="H1429" s="27" t="n">
        <v>4475</v>
      </c>
      <c r="I1429" s="28">
        <f>G1429*H1429/1000*F1429^2/162</f>
        <v>77.78765432098766</v>
      </c>
    </row>
    <row r="1430">
      <c r="A1430" s="7" t="inlineStr">
        <is>
          <t>STR-023</t>
        </is>
      </c>
      <c r="B1430" s="7" t="inlineStr">
        <is>
          <t>Staircases</t>
        </is>
      </c>
      <c r="C1430" s="7" t="inlineStr">
        <is>
          <t>Main staircase 2nd to 3rd floor</t>
        </is>
      </c>
      <c r="D1430" s="7" t="inlineStr">
        <is>
          <t>F05</t>
        </is>
      </c>
      <c r="E1430" s="27" t="inlineStr">
        <is>
          <t>1603</t>
        </is>
      </c>
      <c r="F1430" s="27" t="n">
        <v>16</v>
      </c>
      <c r="G1430" s="27" t="n">
        <v>11</v>
      </c>
      <c r="H1430" s="27" t="n">
        <v>2400</v>
      </c>
      <c r="I1430" s="28">
        <f>G1430*H1430/1000*F1430^2/162</f>
        <v>41.718518518518515</v>
      </c>
    </row>
    <row r="1431">
      <c r="A1431" s="7" t="inlineStr">
        <is>
          <t>STR-023</t>
        </is>
      </c>
      <c r="B1431" s="7" t="inlineStr">
        <is>
          <t>Staircases</t>
        </is>
      </c>
      <c r="C1431" s="7" t="inlineStr">
        <is>
          <t>Main staircase 2nd to 3rd floor</t>
        </is>
      </c>
      <c r="D1431" s="7" t="inlineStr">
        <is>
          <t>F05</t>
        </is>
      </c>
      <c r="E1431" s="27" t="inlineStr">
        <is>
          <t>1604</t>
        </is>
      </c>
      <c r="F1431" s="27" t="n">
        <v>16</v>
      </c>
      <c r="G1431" s="27" t="n">
        <v>11</v>
      </c>
      <c r="H1431" s="27" t="n">
        <v>4250</v>
      </c>
      <c r="I1431" s="28">
        <f>G1431*H1431/1000*F1431^2/162</f>
        <v>73.87654320987654</v>
      </c>
    </row>
    <row r="1432">
      <c r="A1432" s="7" t="inlineStr">
        <is>
          <t>STR-023</t>
        </is>
      </c>
      <c r="B1432" s="7" t="inlineStr">
        <is>
          <t>Staircases</t>
        </is>
      </c>
      <c r="C1432" s="7" t="inlineStr">
        <is>
          <t>Main staircase 2nd to 3rd floor</t>
        </is>
      </c>
      <c r="D1432" s="7" t="inlineStr">
        <is>
          <t>F05</t>
        </is>
      </c>
      <c r="E1432" s="27" t="inlineStr">
        <is>
          <t>1605</t>
        </is>
      </c>
      <c r="F1432" s="27" t="n">
        <v>16</v>
      </c>
      <c r="G1432" s="27" t="n">
        <v>11</v>
      </c>
      <c r="H1432" s="27" t="n">
        <v>2100</v>
      </c>
      <c r="I1432" s="28">
        <f>G1432*H1432/1000*F1432^2/162</f>
        <v>36.50370370370371</v>
      </c>
    </row>
    <row r="1433">
      <c r="A1433" s="7" t="inlineStr">
        <is>
          <t>STR-023</t>
        </is>
      </c>
      <c r="B1433" s="7" t="inlineStr">
        <is>
          <t>Staircases</t>
        </is>
      </c>
      <c r="C1433" s="7" t="inlineStr">
        <is>
          <t>Main staircase 2nd to 3rd floor</t>
        </is>
      </c>
      <c r="D1433" s="7" t="inlineStr">
        <is>
          <t>F05</t>
        </is>
      </c>
      <c r="E1433" s="27" t="inlineStr">
        <is>
          <t>1606</t>
        </is>
      </c>
      <c r="F1433" s="27" t="n">
        <v>16</v>
      </c>
      <c r="G1433" s="27" t="n">
        <v>11</v>
      </c>
      <c r="H1433" s="27" t="n">
        <v>6950</v>
      </c>
      <c r="I1433" s="28">
        <f>G1433*H1433/1000*F1433^2/162</f>
        <v>120.80987654320988</v>
      </c>
    </row>
    <row r="1434">
      <c r="A1434" s="7" t="inlineStr">
        <is>
          <t>STR-023</t>
        </is>
      </c>
      <c r="B1434" s="7" t="inlineStr">
        <is>
          <t>Staircases</t>
        </is>
      </c>
      <c r="C1434" s="7" t="inlineStr">
        <is>
          <t>Main staircase 2nd to 3rd floor</t>
        </is>
      </c>
      <c r="D1434" s="7" t="inlineStr">
        <is>
          <t>F05</t>
        </is>
      </c>
      <c r="E1434" s="27" t="inlineStr">
        <is>
          <t>1607</t>
        </is>
      </c>
      <c r="F1434" s="27" t="n">
        <v>16</v>
      </c>
      <c r="G1434" s="27" t="n">
        <v>11</v>
      </c>
      <c r="H1434" s="27" t="n">
        <v>3300</v>
      </c>
      <c r="I1434" s="28">
        <f>G1434*H1434/1000*F1434^2/162</f>
        <v>57.36296296296296</v>
      </c>
    </row>
    <row r="1435">
      <c r="A1435" s="7" t="inlineStr">
        <is>
          <t>STR-023</t>
        </is>
      </c>
      <c r="B1435" s="7" t="inlineStr">
        <is>
          <t>Staircases</t>
        </is>
      </c>
      <c r="C1435" s="7" t="inlineStr">
        <is>
          <t>Main staircase 2nd to 3rd floor</t>
        </is>
      </c>
      <c r="D1435" s="7" t="inlineStr">
        <is>
          <t>F05</t>
        </is>
      </c>
      <c r="E1435" s="27" t="inlineStr">
        <is>
          <t>1608</t>
        </is>
      </c>
      <c r="F1435" s="27" t="n">
        <v>16</v>
      </c>
      <c r="G1435" s="27" t="n">
        <v>11</v>
      </c>
      <c r="H1435" s="27" t="n">
        <v>1200</v>
      </c>
      <c r="I1435" s="28">
        <f>G1435*H1435/1000*F1435^2/162</f>
        <v>20.859259259259257</v>
      </c>
    </row>
    <row r="1436">
      <c r="A1436" s="7" t="inlineStr">
        <is>
          <t>STR-023</t>
        </is>
      </c>
      <c r="B1436" s="7" t="inlineStr">
        <is>
          <t>Staircases</t>
        </is>
      </c>
      <c r="C1436" s="7" t="inlineStr">
        <is>
          <t>Main staircase 2nd to 3rd floor</t>
        </is>
      </c>
      <c r="D1436" s="7" t="inlineStr">
        <is>
          <t>F05</t>
        </is>
      </c>
      <c r="E1436" s="27" t="inlineStr">
        <is>
          <t>1609</t>
        </is>
      </c>
      <c r="F1436" s="27" t="n">
        <v>16</v>
      </c>
      <c r="G1436" s="27" t="n">
        <v>11</v>
      </c>
      <c r="H1436" s="27" t="n">
        <v>6225</v>
      </c>
      <c r="I1436" s="28">
        <f>G1436*H1436/1000*F1436^2/162</f>
        <v>108.2074074074074</v>
      </c>
    </row>
    <row r="1437">
      <c r="A1437" s="7" t="inlineStr">
        <is>
          <t>STR-023</t>
        </is>
      </c>
      <c r="B1437" s="7" t="inlineStr">
        <is>
          <t>Staircases</t>
        </is>
      </c>
      <c r="C1437" s="7" t="inlineStr">
        <is>
          <t>Main staircase 2nd to 3rd floor</t>
        </is>
      </c>
      <c r="D1437" s="7" t="inlineStr">
        <is>
          <t>F05</t>
        </is>
      </c>
      <c r="E1437" s="27" t="inlineStr">
        <is>
          <t>1610</t>
        </is>
      </c>
      <c r="F1437" s="27" t="n">
        <v>16</v>
      </c>
      <c r="G1437" s="27" t="n">
        <v>11</v>
      </c>
      <c r="H1437" s="27" t="n">
        <v>3225</v>
      </c>
      <c r="I1437" s="28">
        <f>G1437*H1437/1000*F1437^2/162</f>
        <v>56.059259259259264</v>
      </c>
    </row>
    <row r="1438">
      <c r="A1438" s="7" t="inlineStr">
        <is>
          <t>STR-025</t>
        </is>
      </c>
      <c r="B1438" s="7" t="inlineStr">
        <is>
          <t>Staircases</t>
        </is>
      </c>
      <c r="C1438" s="7" t="inlineStr">
        <is>
          <t>Main staircase 3rd to 4th floor</t>
        </is>
      </c>
      <c r="D1438" s="7" t="inlineStr">
        <is>
          <t>F07</t>
        </is>
      </c>
      <c r="E1438" s="27" t="inlineStr">
        <is>
          <t>1201</t>
        </is>
      </c>
      <c r="F1438" s="27" t="n">
        <v>12</v>
      </c>
      <c r="G1438" s="27" t="n">
        <v>30</v>
      </c>
      <c r="H1438" s="27" t="n">
        <v>6200</v>
      </c>
      <c r="I1438" s="28">
        <f>G1438*H1438/1000*F1438^2/162</f>
        <v>165.33333333333334</v>
      </c>
    </row>
    <row r="1439">
      <c r="A1439" s="7" t="inlineStr">
        <is>
          <t>STR-025</t>
        </is>
      </c>
      <c r="B1439" s="7" t="inlineStr">
        <is>
          <t>Staircases</t>
        </is>
      </c>
      <c r="C1439" s="7" t="inlineStr">
        <is>
          <t>Main staircase 3rd to 4th floor</t>
        </is>
      </c>
      <c r="D1439" s="7" t="inlineStr">
        <is>
          <t>F07</t>
        </is>
      </c>
      <c r="E1439" s="27" t="inlineStr">
        <is>
          <t>1202</t>
        </is>
      </c>
      <c r="F1439" s="27" t="n">
        <v>12</v>
      </c>
      <c r="G1439" s="27" t="n">
        <v>80</v>
      </c>
      <c r="H1439" s="27" t="n">
        <v>2300</v>
      </c>
      <c r="I1439" s="28">
        <f>G1439*H1439/1000*F1439^2/162</f>
        <v>163.55555555555554</v>
      </c>
    </row>
    <row r="1440">
      <c r="A1440" s="7" t="inlineStr">
        <is>
          <t>STR-025</t>
        </is>
      </c>
      <c r="B1440" s="7" t="inlineStr">
        <is>
          <t>Staircases</t>
        </is>
      </c>
      <c r="C1440" s="7" t="inlineStr">
        <is>
          <t>Main staircase 3rd to 4th floor</t>
        </is>
      </c>
      <c r="D1440" s="7" t="inlineStr">
        <is>
          <t>F07</t>
        </is>
      </c>
      <c r="E1440" s="27" t="inlineStr">
        <is>
          <t>1203</t>
        </is>
      </c>
      <c r="F1440" s="27" t="n">
        <v>12</v>
      </c>
      <c r="G1440" s="27" t="n">
        <v>26</v>
      </c>
      <c r="H1440" s="27" t="n">
        <v>4800</v>
      </c>
      <c r="I1440" s="28">
        <f>G1440*H1440/1000*F1440^2/162</f>
        <v>110.93333333333334</v>
      </c>
    </row>
    <row r="1441">
      <c r="A1441" s="7" t="inlineStr">
        <is>
          <t>STR-025</t>
        </is>
      </c>
      <c r="B1441" s="7" t="inlineStr">
        <is>
          <t>Staircases</t>
        </is>
      </c>
      <c r="C1441" s="7" t="inlineStr">
        <is>
          <t>Main staircase 3rd to 4th floor</t>
        </is>
      </c>
      <c r="D1441" s="7" t="inlineStr">
        <is>
          <t>F07</t>
        </is>
      </c>
      <c r="E1441" s="27" t="inlineStr">
        <is>
          <t>1601</t>
        </is>
      </c>
      <c r="F1441" s="27" t="n">
        <v>16</v>
      </c>
      <c r="G1441" s="27" t="n">
        <v>11</v>
      </c>
      <c r="H1441" s="27" t="n">
        <v>8450</v>
      </c>
      <c r="I1441" s="28">
        <f>G1441*H1441/1000*F1441^2/162</f>
        <v>146.88395061728394</v>
      </c>
    </row>
    <row r="1442">
      <c r="A1442" s="7" t="inlineStr">
        <is>
          <t>STR-025</t>
        </is>
      </c>
      <c r="B1442" s="7" t="inlineStr">
        <is>
          <t>Staircases</t>
        </is>
      </c>
      <c r="C1442" s="7" t="inlineStr">
        <is>
          <t>Main staircase 3rd to 4th floor</t>
        </is>
      </c>
      <c r="D1442" s="7" t="inlineStr">
        <is>
          <t>F07</t>
        </is>
      </c>
      <c r="E1442" s="27" t="inlineStr">
        <is>
          <t>1602</t>
        </is>
      </c>
      <c r="F1442" s="27" t="n">
        <v>16</v>
      </c>
      <c r="G1442" s="27" t="n">
        <v>11</v>
      </c>
      <c r="H1442" s="27" t="n">
        <v>4475</v>
      </c>
      <c r="I1442" s="28">
        <f>G1442*H1442/1000*F1442^2/162</f>
        <v>77.78765432098766</v>
      </c>
    </row>
    <row r="1443">
      <c r="A1443" s="7" t="inlineStr">
        <is>
          <t>STR-025</t>
        </is>
      </c>
      <c r="B1443" s="7" t="inlineStr">
        <is>
          <t>Staircases</t>
        </is>
      </c>
      <c r="C1443" s="7" t="inlineStr">
        <is>
          <t>Main staircase 3rd to 4th floor</t>
        </is>
      </c>
      <c r="D1443" s="7" t="inlineStr">
        <is>
          <t>F07</t>
        </is>
      </c>
      <c r="E1443" s="27" t="inlineStr">
        <is>
          <t>1603</t>
        </is>
      </c>
      <c r="F1443" s="27" t="n">
        <v>16</v>
      </c>
      <c r="G1443" s="27" t="n">
        <v>11</v>
      </c>
      <c r="H1443" s="27" t="n">
        <v>2400</v>
      </c>
      <c r="I1443" s="28">
        <f>G1443*H1443/1000*F1443^2/162</f>
        <v>41.718518518518515</v>
      </c>
    </row>
    <row r="1444">
      <c r="A1444" s="7" t="inlineStr">
        <is>
          <t>STR-025</t>
        </is>
      </c>
      <c r="B1444" s="7" t="inlineStr">
        <is>
          <t>Staircases</t>
        </is>
      </c>
      <c r="C1444" s="7" t="inlineStr">
        <is>
          <t>Main staircase 3rd to 4th floor</t>
        </is>
      </c>
      <c r="D1444" s="7" t="inlineStr">
        <is>
          <t>F07</t>
        </is>
      </c>
      <c r="E1444" s="27" t="inlineStr">
        <is>
          <t>1604</t>
        </is>
      </c>
      <c r="F1444" s="27" t="n">
        <v>16</v>
      </c>
      <c r="G1444" s="27" t="n">
        <v>11</v>
      </c>
      <c r="H1444" s="27" t="n">
        <v>4250</v>
      </c>
      <c r="I1444" s="28">
        <f>G1444*H1444/1000*F1444^2/162</f>
        <v>73.87654320987654</v>
      </c>
    </row>
    <row r="1445">
      <c r="A1445" s="7" t="inlineStr">
        <is>
          <t>STR-025</t>
        </is>
      </c>
      <c r="B1445" s="7" t="inlineStr">
        <is>
          <t>Staircases</t>
        </is>
      </c>
      <c r="C1445" s="7" t="inlineStr">
        <is>
          <t>Main staircase 3rd to 4th floor</t>
        </is>
      </c>
      <c r="D1445" s="7" t="inlineStr">
        <is>
          <t>F07</t>
        </is>
      </c>
      <c r="E1445" s="27" t="inlineStr">
        <is>
          <t>1605</t>
        </is>
      </c>
      <c r="F1445" s="27" t="n">
        <v>16</v>
      </c>
      <c r="G1445" s="27" t="n">
        <v>11</v>
      </c>
      <c r="H1445" s="27" t="n">
        <v>2100</v>
      </c>
      <c r="I1445" s="28">
        <f>G1445*H1445/1000*F1445^2/162</f>
        <v>36.50370370370371</v>
      </c>
    </row>
    <row r="1446">
      <c r="A1446" s="7" t="inlineStr">
        <is>
          <t>STR-025</t>
        </is>
      </c>
      <c r="B1446" s="7" t="inlineStr">
        <is>
          <t>Staircases</t>
        </is>
      </c>
      <c r="C1446" s="7" t="inlineStr">
        <is>
          <t>Main staircase 3rd to 4th floor</t>
        </is>
      </c>
      <c r="D1446" s="7" t="inlineStr">
        <is>
          <t>F07</t>
        </is>
      </c>
      <c r="E1446" s="27" t="inlineStr">
        <is>
          <t>1606</t>
        </is>
      </c>
      <c r="F1446" s="27" t="n">
        <v>16</v>
      </c>
      <c r="G1446" s="27" t="n">
        <v>11</v>
      </c>
      <c r="H1446" s="27" t="n">
        <v>6950</v>
      </c>
      <c r="I1446" s="28">
        <f>G1446*H1446/1000*F1446^2/162</f>
        <v>120.80987654320988</v>
      </c>
    </row>
    <row r="1447">
      <c r="A1447" s="7" t="inlineStr">
        <is>
          <t>STR-025</t>
        </is>
      </c>
      <c r="B1447" s="7" t="inlineStr">
        <is>
          <t>Staircases</t>
        </is>
      </c>
      <c r="C1447" s="7" t="inlineStr">
        <is>
          <t>Main staircase 3rd to 4th floor</t>
        </is>
      </c>
      <c r="D1447" s="7" t="inlineStr">
        <is>
          <t>F07</t>
        </is>
      </c>
      <c r="E1447" s="27" t="inlineStr">
        <is>
          <t>1607</t>
        </is>
      </c>
      <c r="F1447" s="27" t="n">
        <v>16</v>
      </c>
      <c r="G1447" s="27" t="n">
        <v>11</v>
      </c>
      <c r="H1447" s="27" t="n">
        <v>3300</v>
      </c>
      <c r="I1447" s="28">
        <f>G1447*H1447/1000*F1447^2/162</f>
        <v>57.36296296296296</v>
      </c>
    </row>
    <row r="1448">
      <c r="A1448" s="7" t="inlineStr">
        <is>
          <t>STR-025</t>
        </is>
      </c>
      <c r="B1448" s="7" t="inlineStr">
        <is>
          <t>Staircases</t>
        </is>
      </c>
      <c r="C1448" s="7" t="inlineStr">
        <is>
          <t>Main staircase 3rd to 4th floor</t>
        </is>
      </c>
      <c r="D1448" s="7" t="inlineStr">
        <is>
          <t>F07</t>
        </is>
      </c>
      <c r="E1448" s="27" t="inlineStr">
        <is>
          <t>1608</t>
        </is>
      </c>
      <c r="F1448" s="27" t="n">
        <v>16</v>
      </c>
      <c r="G1448" s="27" t="n">
        <v>11</v>
      </c>
      <c r="H1448" s="27" t="n">
        <v>1200</v>
      </c>
      <c r="I1448" s="28">
        <f>G1448*H1448/1000*F1448^2/162</f>
        <v>20.859259259259257</v>
      </c>
    </row>
    <row r="1449">
      <c r="A1449" s="7" t="inlineStr">
        <is>
          <t>STR-025</t>
        </is>
      </c>
      <c r="B1449" s="7" t="inlineStr">
        <is>
          <t>Staircases</t>
        </is>
      </c>
      <c r="C1449" s="7" t="inlineStr">
        <is>
          <t>Main staircase 3rd to 4th floor</t>
        </is>
      </c>
      <c r="D1449" s="7" t="inlineStr">
        <is>
          <t>F07</t>
        </is>
      </c>
      <c r="E1449" s="27" t="inlineStr">
        <is>
          <t>1609</t>
        </is>
      </c>
      <c r="F1449" s="27" t="n">
        <v>16</v>
      </c>
      <c r="G1449" s="27" t="n">
        <v>11</v>
      </c>
      <c r="H1449" s="27" t="n">
        <v>6225</v>
      </c>
      <c r="I1449" s="28">
        <f>G1449*H1449/1000*F1449^2/162</f>
        <v>108.2074074074074</v>
      </c>
    </row>
    <row r="1450">
      <c r="A1450" s="7" t="inlineStr">
        <is>
          <t>STR-025</t>
        </is>
      </c>
      <c r="B1450" s="7" t="inlineStr">
        <is>
          <t>Staircases</t>
        </is>
      </c>
      <c r="C1450" s="7" t="inlineStr">
        <is>
          <t>Main staircase 3rd to 4th floor</t>
        </is>
      </c>
      <c r="D1450" s="7" t="inlineStr">
        <is>
          <t>F07</t>
        </is>
      </c>
      <c r="E1450" s="27" t="inlineStr">
        <is>
          <t>1610</t>
        </is>
      </c>
      <c r="F1450" s="27" t="n">
        <v>16</v>
      </c>
      <c r="G1450" s="27" t="n">
        <v>11</v>
      </c>
      <c r="H1450" s="27" t="n">
        <v>3225</v>
      </c>
      <c r="I1450" s="28">
        <f>G1450*H1450/1000*F1450^2/162</f>
        <v>56.059259259259264</v>
      </c>
    </row>
    <row r="1451">
      <c r="A1451" s="7" t="inlineStr">
        <is>
          <t>STR-027</t>
        </is>
      </c>
      <c r="B1451" s="7" t="inlineStr">
        <is>
          <t>Staircases</t>
        </is>
      </c>
      <c r="C1451" s="7" t="inlineStr">
        <is>
          <t>Main staircase typical flight (4th to 10th, one storey)</t>
        </is>
      </c>
      <c r="D1451" s="7" t="inlineStr">
        <is>
          <t>F08, F09, F10, F11, F12, F13</t>
        </is>
      </c>
      <c r="E1451" s="27" t="inlineStr">
        <is>
          <t>1201</t>
        </is>
      </c>
      <c r="F1451" s="27" t="n">
        <v>12</v>
      </c>
      <c r="G1451" s="27" t="n">
        <v>30</v>
      </c>
      <c r="H1451" s="27" t="n">
        <v>6200</v>
      </c>
      <c r="I1451" s="28">
        <f>G1451*H1451/1000*F1451^2/162</f>
        <v>165.33333333333334</v>
      </c>
    </row>
    <row r="1452">
      <c r="A1452" s="7" t="inlineStr">
        <is>
          <t>STR-027</t>
        </is>
      </c>
      <c r="B1452" s="7" t="inlineStr">
        <is>
          <t>Staircases</t>
        </is>
      </c>
      <c r="C1452" s="7" t="inlineStr">
        <is>
          <t>Main staircase typical flight (4th to 10th, one storey)</t>
        </is>
      </c>
      <c r="D1452" s="7" t="inlineStr">
        <is>
          <t>F08, F09, F10, F11, F12, F13</t>
        </is>
      </c>
      <c r="E1452" s="27" t="inlineStr">
        <is>
          <t>1202</t>
        </is>
      </c>
      <c r="F1452" s="27" t="n">
        <v>12</v>
      </c>
      <c r="G1452" s="27" t="n">
        <v>80</v>
      </c>
      <c r="H1452" s="27" t="n">
        <v>2300</v>
      </c>
      <c r="I1452" s="28">
        <f>G1452*H1452/1000*F1452^2/162</f>
        <v>163.55555555555554</v>
      </c>
    </row>
    <row r="1453">
      <c r="A1453" s="7" t="inlineStr">
        <is>
          <t>STR-027</t>
        </is>
      </c>
      <c r="B1453" s="7" t="inlineStr">
        <is>
          <t>Staircases</t>
        </is>
      </c>
      <c r="C1453" s="7" t="inlineStr">
        <is>
          <t>Main staircase typical flight (4th to 10th, one storey)</t>
        </is>
      </c>
      <c r="D1453" s="7" t="inlineStr">
        <is>
          <t>F08, F09, F10, F11, F12, F13</t>
        </is>
      </c>
      <c r="E1453" s="27" t="inlineStr">
        <is>
          <t>1203</t>
        </is>
      </c>
      <c r="F1453" s="27" t="n">
        <v>12</v>
      </c>
      <c r="G1453" s="27" t="n">
        <v>26</v>
      </c>
      <c r="H1453" s="27" t="n">
        <v>4800</v>
      </c>
      <c r="I1453" s="28">
        <f>G1453*H1453/1000*F1453^2/162</f>
        <v>110.93333333333334</v>
      </c>
    </row>
    <row r="1454">
      <c r="A1454" s="7" t="inlineStr">
        <is>
          <t>STR-027</t>
        </is>
      </c>
      <c r="B1454" s="7" t="inlineStr">
        <is>
          <t>Staircases</t>
        </is>
      </c>
      <c r="C1454" s="7" t="inlineStr">
        <is>
          <t>Main staircase typical flight (4th to 10th, one storey)</t>
        </is>
      </c>
      <c r="D1454" s="7" t="inlineStr">
        <is>
          <t>F08, F09, F10, F11, F12, F13</t>
        </is>
      </c>
      <c r="E1454" s="27" t="inlineStr">
        <is>
          <t>1601</t>
        </is>
      </c>
      <c r="F1454" s="27" t="n">
        <v>16</v>
      </c>
      <c r="G1454" s="27" t="n">
        <v>11</v>
      </c>
      <c r="H1454" s="27" t="n">
        <v>8450</v>
      </c>
      <c r="I1454" s="28">
        <f>G1454*H1454/1000*F1454^2/162</f>
        <v>146.88395061728394</v>
      </c>
    </row>
    <row r="1455">
      <c r="A1455" s="7" t="inlineStr">
        <is>
          <t>STR-027</t>
        </is>
      </c>
      <c r="B1455" s="7" t="inlineStr">
        <is>
          <t>Staircases</t>
        </is>
      </c>
      <c r="C1455" s="7" t="inlineStr">
        <is>
          <t>Main staircase typical flight (4th to 10th, one storey)</t>
        </is>
      </c>
      <c r="D1455" s="7" t="inlineStr">
        <is>
          <t>F08, F09, F10, F11, F12, F13</t>
        </is>
      </c>
      <c r="E1455" s="27" t="inlineStr">
        <is>
          <t>1602</t>
        </is>
      </c>
      <c r="F1455" s="27" t="n">
        <v>16</v>
      </c>
      <c r="G1455" s="27" t="n">
        <v>11</v>
      </c>
      <c r="H1455" s="27" t="n">
        <v>4475</v>
      </c>
      <c r="I1455" s="28">
        <f>G1455*H1455/1000*F1455^2/162</f>
        <v>77.78765432098766</v>
      </c>
    </row>
    <row r="1456">
      <c r="A1456" s="7" t="inlineStr">
        <is>
          <t>STR-027</t>
        </is>
      </c>
      <c r="B1456" s="7" t="inlineStr">
        <is>
          <t>Staircases</t>
        </is>
      </c>
      <c r="C1456" s="7" t="inlineStr">
        <is>
          <t>Main staircase typical flight (4th to 10th, one storey)</t>
        </is>
      </c>
      <c r="D1456" s="7" t="inlineStr">
        <is>
          <t>F08, F09, F10, F11, F12, F13</t>
        </is>
      </c>
      <c r="E1456" s="27" t="inlineStr">
        <is>
          <t>1603</t>
        </is>
      </c>
      <c r="F1456" s="27" t="n">
        <v>16</v>
      </c>
      <c r="G1456" s="27" t="n">
        <v>11</v>
      </c>
      <c r="H1456" s="27" t="n">
        <v>2400</v>
      </c>
      <c r="I1456" s="28">
        <f>G1456*H1456/1000*F1456^2/162</f>
        <v>41.718518518518515</v>
      </c>
    </row>
    <row r="1457">
      <c r="A1457" s="7" t="inlineStr">
        <is>
          <t>STR-027</t>
        </is>
      </c>
      <c r="B1457" s="7" t="inlineStr">
        <is>
          <t>Staircases</t>
        </is>
      </c>
      <c r="C1457" s="7" t="inlineStr">
        <is>
          <t>Main staircase typical flight (4th to 10th, one storey)</t>
        </is>
      </c>
      <c r="D1457" s="7" t="inlineStr">
        <is>
          <t>F08, F09, F10, F11, F12, F13</t>
        </is>
      </c>
      <c r="E1457" s="27" t="inlineStr">
        <is>
          <t>1604</t>
        </is>
      </c>
      <c r="F1457" s="27" t="n">
        <v>16</v>
      </c>
      <c r="G1457" s="27" t="n">
        <v>11</v>
      </c>
      <c r="H1457" s="27" t="n">
        <v>4250</v>
      </c>
      <c r="I1457" s="28">
        <f>G1457*H1457/1000*F1457^2/162</f>
        <v>73.87654320987654</v>
      </c>
    </row>
    <row r="1458">
      <c r="A1458" s="7" t="inlineStr">
        <is>
          <t>STR-027</t>
        </is>
      </c>
      <c r="B1458" s="7" t="inlineStr">
        <is>
          <t>Staircases</t>
        </is>
      </c>
      <c r="C1458" s="7" t="inlineStr">
        <is>
          <t>Main staircase typical flight (4th to 10th, one storey)</t>
        </is>
      </c>
      <c r="D1458" s="7" t="inlineStr">
        <is>
          <t>F08, F09, F10, F11, F12, F13</t>
        </is>
      </c>
      <c r="E1458" s="27" t="inlineStr">
        <is>
          <t>1605</t>
        </is>
      </c>
      <c r="F1458" s="27" t="n">
        <v>16</v>
      </c>
      <c r="G1458" s="27" t="n">
        <v>11</v>
      </c>
      <c r="H1458" s="27" t="n">
        <v>2100</v>
      </c>
      <c r="I1458" s="28">
        <f>G1458*H1458/1000*F1458^2/162</f>
        <v>36.50370370370371</v>
      </c>
    </row>
    <row r="1459">
      <c r="A1459" s="7" t="inlineStr">
        <is>
          <t>STR-027</t>
        </is>
      </c>
      <c r="B1459" s="7" t="inlineStr">
        <is>
          <t>Staircases</t>
        </is>
      </c>
      <c r="C1459" s="7" t="inlineStr">
        <is>
          <t>Main staircase typical flight (4th to 10th, one storey)</t>
        </is>
      </c>
      <c r="D1459" s="7" t="inlineStr">
        <is>
          <t>F08, F09, F10, F11, F12, F13</t>
        </is>
      </c>
      <c r="E1459" s="27" t="inlineStr">
        <is>
          <t>1606</t>
        </is>
      </c>
      <c r="F1459" s="27" t="n">
        <v>16</v>
      </c>
      <c r="G1459" s="27" t="n">
        <v>11</v>
      </c>
      <c r="H1459" s="27" t="n">
        <v>6950</v>
      </c>
      <c r="I1459" s="28">
        <f>G1459*H1459/1000*F1459^2/162</f>
        <v>120.80987654320988</v>
      </c>
    </row>
    <row r="1460">
      <c r="A1460" s="7" t="inlineStr">
        <is>
          <t>STR-027</t>
        </is>
      </c>
      <c r="B1460" s="7" t="inlineStr">
        <is>
          <t>Staircases</t>
        </is>
      </c>
      <c r="C1460" s="7" t="inlineStr">
        <is>
          <t>Main staircase typical flight (4th to 10th, one storey)</t>
        </is>
      </c>
      <c r="D1460" s="7" t="inlineStr">
        <is>
          <t>F08, F09, F10, F11, F12, F13</t>
        </is>
      </c>
      <c r="E1460" s="27" t="inlineStr">
        <is>
          <t>1607</t>
        </is>
      </c>
      <c r="F1460" s="27" t="n">
        <v>16</v>
      </c>
      <c r="G1460" s="27" t="n">
        <v>11</v>
      </c>
      <c r="H1460" s="27" t="n">
        <v>3300</v>
      </c>
      <c r="I1460" s="28">
        <f>G1460*H1460/1000*F1460^2/162</f>
        <v>57.36296296296296</v>
      </c>
    </row>
    <row r="1461">
      <c r="A1461" s="7" t="inlineStr">
        <is>
          <t>STR-027</t>
        </is>
      </c>
      <c r="B1461" s="7" t="inlineStr">
        <is>
          <t>Staircases</t>
        </is>
      </c>
      <c r="C1461" s="7" t="inlineStr">
        <is>
          <t>Main staircase typical flight (4th to 10th, one storey)</t>
        </is>
      </c>
      <c r="D1461" s="7" t="inlineStr">
        <is>
          <t>F08, F09, F10, F11, F12, F13</t>
        </is>
      </c>
      <c r="E1461" s="27" t="inlineStr">
        <is>
          <t>1608</t>
        </is>
      </c>
      <c r="F1461" s="27" t="n">
        <v>16</v>
      </c>
      <c r="G1461" s="27" t="n">
        <v>11</v>
      </c>
      <c r="H1461" s="27" t="n">
        <v>1200</v>
      </c>
      <c r="I1461" s="28">
        <f>G1461*H1461/1000*F1461^2/162</f>
        <v>20.859259259259257</v>
      </c>
    </row>
    <row r="1462">
      <c r="A1462" s="7" t="inlineStr">
        <is>
          <t>STR-027</t>
        </is>
      </c>
      <c r="B1462" s="7" t="inlineStr">
        <is>
          <t>Staircases</t>
        </is>
      </c>
      <c r="C1462" s="7" t="inlineStr">
        <is>
          <t>Main staircase typical flight (4th to 10th, one storey)</t>
        </is>
      </c>
      <c r="D1462" s="7" t="inlineStr">
        <is>
          <t>F08, F09, F10, F11, F12, F13</t>
        </is>
      </c>
      <c r="E1462" s="27" t="inlineStr">
        <is>
          <t>1609</t>
        </is>
      </c>
      <c r="F1462" s="27" t="n">
        <v>16</v>
      </c>
      <c r="G1462" s="27" t="n">
        <v>11</v>
      </c>
      <c r="H1462" s="27" t="n">
        <v>6225</v>
      </c>
      <c r="I1462" s="28">
        <f>G1462*H1462/1000*F1462^2/162</f>
        <v>108.2074074074074</v>
      </c>
    </row>
    <row r="1463">
      <c r="A1463" s="7" t="inlineStr">
        <is>
          <t>STR-027</t>
        </is>
      </c>
      <c r="B1463" s="7" t="inlineStr">
        <is>
          <t>Staircases</t>
        </is>
      </c>
      <c r="C1463" s="7" t="inlineStr">
        <is>
          <t>Main staircase typical flight (4th to 10th, one storey)</t>
        </is>
      </c>
      <c r="D1463" s="7" t="inlineStr">
        <is>
          <t>F08, F09, F10, F11, F12, F13</t>
        </is>
      </c>
      <c r="E1463" s="27" t="inlineStr">
        <is>
          <t>1610</t>
        </is>
      </c>
      <c r="F1463" s="27" t="n">
        <v>16</v>
      </c>
      <c r="G1463" s="27" t="n">
        <v>11</v>
      </c>
      <c r="H1463" s="27" t="n">
        <v>3225</v>
      </c>
      <c r="I1463" s="28">
        <f>G1463*H1463/1000*F1463^2/162</f>
        <v>56.059259259259264</v>
      </c>
    </row>
    <row r="1464">
      <c r="A1464" s="7" t="inlineStr">
        <is>
          <t>STR-029</t>
        </is>
      </c>
      <c r="B1464" s="7" t="inlineStr">
        <is>
          <t>Staircases</t>
        </is>
      </c>
      <c r="C1464" s="7" t="inlineStr">
        <is>
          <t>Main staircase 10th floor to roof top terrace</t>
        </is>
      </c>
      <c r="D1464" s="7" t="inlineStr">
        <is>
          <t>F14</t>
        </is>
      </c>
      <c r="E1464" s="27" t="inlineStr">
        <is>
          <t>1201</t>
        </is>
      </c>
      <c r="F1464" s="27" t="n">
        <v>12</v>
      </c>
      <c r="G1464" s="27" t="n">
        <v>30</v>
      </c>
      <c r="H1464" s="27" t="n">
        <v>6200</v>
      </c>
      <c r="I1464" s="28">
        <f>G1464*H1464/1000*F1464^2/162</f>
        <v>165.33333333333334</v>
      </c>
    </row>
    <row r="1465">
      <c r="A1465" s="7" t="inlineStr">
        <is>
          <t>STR-029</t>
        </is>
      </c>
      <c r="B1465" s="7" t="inlineStr">
        <is>
          <t>Staircases</t>
        </is>
      </c>
      <c r="C1465" s="7" t="inlineStr">
        <is>
          <t>Main staircase 10th floor to roof top terrace</t>
        </is>
      </c>
      <c r="D1465" s="7" t="inlineStr">
        <is>
          <t>F14</t>
        </is>
      </c>
      <c r="E1465" s="27" t="inlineStr">
        <is>
          <t>1202</t>
        </is>
      </c>
      <c r="F1465" s="27" t="n">
        <v>12</v>
      </c>
      <c r="G1465" s="27" t="n">
        <v>80</v>
      </c>
      <c r="H1465" s="27" t="n">
        <v>2300</v>
      </c>
      <c r="I1465" s="28">
        <f>G1465*H1465/1000*F1465^2/162</f>
        <v>163.55555555555554</v>
      </c>
    </row>
    <row r="1466">
      <c r="A1466" s="7" t="inlineStr">
        <is>
          <t>STR-029</t>
        </is>
      </c>
      <c r="B1466" s="7" t="inlineStr">
        <is>
          <t>Staircases</t>
        </is>
      </c>
      <c r="C1466" s="7" t="inlineStr">
        <is>
          <t>Main staircase 10th floor to roof top terrace</t>
        </is>
      </c>
      <c r="D1466" s="7" t="inlineStr">
        <is>
          <t>F14</t>
        </is>
      </c>
      <c r="E1466" s="27" t="inlineStr">
        <is>
          <t>1203</t>
        </is>
      </c>
      <c r="F1466" s="27" t="n">
        <v>12</v>
      </c>
      <c r="G1466" s="27" t="n">
        <v>26</v>
      </c>
      <c r="H1466" s="27" t="n">
        <v>4800</v>
      </c>
      <c r="I1466" s="28">
        <f>G1466*H1466/1000*F1466^2/162</f>
        <v>110.93333333333334</v>
      </c>
    </row>
    <row r="1467">
      <c r="A1467" s="7" t="inlineStr">
        <is>
          <t>STR-029</t>
        </is>
      </c>
      <c r="B1467" s="7" t="inlineStr">
        <is>
          <t>Staircases</t>
        </is>
      </c>
      <c r="C1467" s="7" t="inlineStr">
        <is>
          <t>Main staircase 10th floor to roof top terrace</t>
        </is>
      </c>
      <c r="D1467" s="7" t="inlineStr">
        <is>
          <t>F14</t>
        </is>
      </c>
      <c r="E1467" s="27" t="inlineStr">
        <is>
          <t>1601</t>
        </is>
      </c>
      <c r="F1467" s="27" t="n">
        <v>16</v>
      </c>
      <c r="G1467" s="27" t="n">
        <v>11</v>
      </c>
      <c r="H1467" s="27" t="n">
        <v>8450</v>
      </c>
      <c r="I1467" s="28">
        <f>G1467*H1467/1000*F1467^2/162</f>
        <v>146.88395061728394</v>
      </c>
    </row>
    <row r="1468">
      <c r="A1468" s="7" t="inlineStr">
        <is>
          <t>STR-029</t>
        </is>
      </c>
      <c r="B1468" s="7" t="inlineStr">
        <is>
          <t>Staircases</t>
        </is>
      </c>
      <c r="C1468" s="7" t="inlineStr">
        <is>
          <t>Main staircase 10th floor to roof top terrace</t>
        </is>
      </c>
      <c r="D1468" s="7" t="inlineStr">
        <is>
          <t>F14</t>
        </is>
      </c>
      <c r="E1468" s="27" t="inlineStr">
        <is>
          <t>1602</t>
        </is>
      </c>
      <c r="F1468" s="27" t="n">
        <v>16</v>
      </c>
      <c r="G1468" s="27" t="n">
        <v>11</v>
      </c>
      <c r="H1468" s="27" t="n">
        <v>4475</v>
      </c>
      <c r="I1468" s="28">
        <f>G1468*H1468/1000*F1468^2/162</f>
        <v>77.78765432098766</v>
      </c>
    </row>
    <row r="1469">
      <c r="A1469" s="7" t="inlineStr">
        <is>
          <t>STR-029</t>
        </is>
      </c>
      <c r="B1469" s="7" t="inlineStr">
        <is>
          <t>Staircases</t>
        </is>
      </c>
      <c r="C1469" s="7" t="inlineStr">
        <is>
          <t>Main staircase 10th floor to roof top terrace</t>
        </is>
      </c>
      <c r="D1469" s="7" t="inlineStr">
        <is>
          <t>F14</t>
        </is>
      </c>
      <c r="E1469" s="27" t="inlineStr">
        <is>
          <t>1603</t>
        </is>
      </c>
      <c r="F1469" s="27" t="n">
        <v>16</v>
      </c>
      <c r="G1469" s="27" t="n">
        <v>11</v>
      </c>
      <c r="H1469" s="27" t="n">
        <v>2400</v>
      </c>
      <c r="I1469" s="28">
        <f>G1469*H1469/1000*F1469^2/162</f>
        <v>41.718518518518515</v>
      </c>
    </row>
    <row r="1470">
      <c r="A1470" s="7" t="inlineStr">
        <is>
          <t>STR-029</t>
        </is>
      </c>
      <c r="B1470" s="7" t="inlineStr">
        <is>
          <t>Staircases</t>
        </is>
      </c>
      <c r="C1470" s="7" t="inlineStr">
        <is>
          <t>Main staircase 10th floor to roof top terrace</t>
        </is>
      </c>
      <c r="D1470" s="7" t="inlineStr">
        <is>
          <t>F14</t>
        </is>
      </c>
      <c r="E1470" s="27" t="inlineStr">
        <is>
          <t>1604</t>
        </is>
      </c>
      <c r="F1470" s="27" t="n">
        <v>16</v>
      </c>
      <c r="G1470" s="27" t="n">
        <v>11</v>
      </c>
      <c r="H1470" s="27" t="n">
        <v>4250</v>
      </c>
      <c r="I1470" s="28">
        <f>G1470*H1470/1000*F1470^2/162</f>
        <v>73.87654320987654</v>
      </c>
    </row>
    <row r="1471">
      <c r="A1471" s="7" t="inlineStr">
        <is>
          <t>STR-029</t>
        </is>
      </c>
      <c r="B1471" s="7" t="inlineStr">
        <is>
          <t>Staircases</t>
        </is>
      </c>
      <c r="C1471" s="7" t="inlineStr">
        <is>
          <t>Main staircase 10th floor to roof top terrace</t>
        </is>
      </c>
      <c r="D1471" s="7" t="inlineStr">
        <is>
          <t>F14</t>
        </is>
      </c>
      <c r="E1471" s="27" t="inlineStr">
        <is>
          <t>1605</t>
        </is>
      </c>
      <c r="F1471" s="27" t="n">
        <v>16</v>
      </c>
      <c r="G1471" s="27" t="n">
        <v>11</v>
      </c>
      <c r="H1471" s="27" t="n">
        <v>2100</v>
      </c>
      <c r="I1471" s="28">
        <f>G1471*H1471/1000*F1471^2/162</f>
        <v>36.50370370370371</v>
      </c>
    </row>
    <row r="1472">
      <c r="A1472" s="7" t="inlineStr">
        <is>
          <t>STR-029</t>
        </is>
      </c>
      <c r="B1472" s="7" t="inlineStr">
        <is>
          <t>Staircases</t>
        </is>
      </c>
      <c r="C1472" s="7" t="inlineStr">
        <is>
          <t>Main staircase 10th floor to roof top terrace</t>
        </is>
      </c>
      <c r="D1472" s="7" t="inlineStr">
        <is>
          <t>F14</t>
        </is>
      </c>
      <c r="E1472" s="27" t="inlineStr">
        <is>
          <t>1606</t>
        </is>
      </c>
      <c r="F1472" s="27" t="n">
        <v>16</v>
      </c>
      <c r="G1472" s="27" t="n">
        <v>11</v>
      </c>
      <c r="H1472" s="27" t="n">
        <v>6950</v>
      </c>
      <c r="I1472" s="28">
        <f>G1472*H1472/1000*F1472^2/162</f>
        <v>120.80987654320988</v>
      </c>
    </row>
    <row r="1473">
      <c r="A1473" s="7" t="inlineStr">
        <is>
          <t>STR-029</t>
        </is>
      </c>
      <c r="B1473" s="7" t="inlineStr">
        <is>
          <t>Staircases</t>
        </is>
      </c>
      <c r="C1473" s="7" t="inlineStr">
        <is>
          <t>Main staircase 10th floor to roof top terrace</t>
        </is>
      </c>
      <c r="D1473" s="7" t="inlineStr">
        <is>
          <t>F14</t>
        </is>
      </c>
      <c r="E1473" s="27" t="inlineStr">
        <is>
          <t>1607</t>
        </is>
      </c>
      <c r="F1473" s="27" t="n">
        <v>16</v>
      </c>
      <c r="G1473" s="27" t="n">
        <v>11</v>
      </c>
      <c r="H1473" s="27" t="n">
        <v>3300</v>
      </c>
      <c r="I1473" s="28">
        <f>G1473*H1473/1000*F1473^2/162</f>
        <v>57.36296296296296</v>
      </c>
    </row>
    <row r="1474">
      <c r="A1474" s="7" t="inlineStr">
        <is>
          <t>STR-029</t>
        </is>
      </c>
      <c r="B1474" s="7" t="inlineStr">
        <is>
          <t>Staircases</t>
        </is>
      </c>
      <c r="C1474" s="7" t="inlineStr">
        <is>
          <t>Main staircase 10th floor to roof top terrace</t>
        </is>
      </c>
      <c r="D1474" s="7" t="inlineStr">
        <is>
          <t>F14</t>
        </is>
      </c>
      <c r="E1474" s="27" t="inlineStr">
        <is>
          <t>1608</t>
        </is>
      </c>
      <c r="F1474" s="27" t="n">
        <v>16</v>
      </c>
      <c r="G1474" s="27" t="n">
        <v>11</v>
      </c>
      <c r="H1474" s="27" t="n">
        <v>1200</v>
      </c>
      <c r="I1474" s="28">
        <f>G1474*H1474/1000*F1474^2/162</f>
        <v>20.859259259259257</v>
      </c>
    </row>
    <row r="1475">
      <c r="A1475" s="7" t="inlineStr">
        <is>
          <t>STR-029</t>
        </is>
      </c>
      <c r="B1475" s="7" t="inlineStr">
        <is>
          <t>Staircases</t>
        </is>
      </c>
      <c r="C1475" s="7" t="inlineStr">
        <is>
          <t>Main staircase 10th floor to roof top terrace</t>
        </is>
      </c>
      <c r="D1475" s="7" t="inlineStr">
        <is>
          <t>F14</t>
        </is>
      </c>
      <c r="E1475" s="27" t="inlineStr">
        <is>
          <t>1609</t>
        </is>
      </c>
      <c r="F1475" s="27" t="n">
        <v>16</v>
      </c>
      <c r="G1475" s="27" t="n">
        <v>11</v>
      </c>
      <c r="H1475" s="27" t="n">
        <v>6225</v>
      </c>
      <c r="I1475" s="28">
        <f>G1475*H1475/1000*F1475^2/162</f>
        <v>108.2074074074074</v>
      </c>
    </row>
    <row r="1476">
      <c r="A1476" s="7" t="inlineStr">
        <is>
          <t>STR-029</t>
        </is>
      </c>
      <c r="B1476" s="7" t="inlineStr">
        <is>
          <t>Staircases</t>
        </is>
      </c>
      <c r="C1476" s="7" t="inlineStr">
        <is>
          <t>Main staircase 10th floor to roof top terrace</t>
        </is>
      </c>
      <c r="D1476" s="7" t="inlineStr">
        <is>
          <t>F14</t>
        </is>
      </c>
      <c r="E1476" s="27" t="inlineStr">
        <is>
          <t>1610</t>
        </is>
      </c>
      <c r="F1476" s="27" t="n">
        <v>16</v>
      </c>
      <c r="G1476" s="27" t="n">
        <v>11</v>
      </c>
      <c r="H1476" s="27" t="n">
        <v>3225</v>
      </c>
      <c r="I1476" s="28">
        <f>G1476*H1476/1000*F1476^2/162</f>
        <v>56.059259259259264</v>
      </c>
    </row>
    <row r="1477">
      <c r="A1477" s="7" t="inlineStr">
        <is>
          <t>STR-031</t>
        </is>
      </c>
      <c r="B1477" s="7" t="inlineStr">
        <is>
          <t>Staircases</t>
        </is>
      </c>
      <c r="C1477" s="7" t="inlineStr">
        <is>
          <t>Emergency staircase GF to M1</t>
        </is>
      </c>
      <c r="D1477" s="7" t="inlineStr">
        <is>
          <t>F01</t>
        </is>
      </c>
      <c r="E1477" s="27" t="inlineStr">
        <is>
          <t>1201</t>
        </is>
      </c>
      <c r="F1477" s="27" t="n">
        <v>12</v>
      </c>
      <c r="G1477" s="27" t="n">
        <v>30</v>
      </c>
      <c r="H1477" s="27" t="n">
        <v>6200</v>
      </c>
      <c r="I1477" s="28">
        <f>G1477*H1477/1000*F1477^2/162</f>
        <v>165.33333333333334</v>
      </c>
    </row>
    <row r="1478">
      <c r="A1478" s="7" t="inlineStr">
        <is>
          <t>STR-031</t>
        </is>
      </c>
      <c r="B1478" s="7" t="inlineStr">
        <is>
          <t>Staircases</t>
        </is>
      </c>
      <c r="C1478" s="7" t="inlineStr">
        <is>
          <t>Emergency staircase GF to M1</t>
        </is>
      </c>
      <c r="D1478" s="7" t="inlineStr">
        <is>
          <t>F01</t>
        </is>
      </c>
      <c r="E1478" s="27" t="inlineStr">
        <is>
          <t>1202</t>
        </is>
      </c>
      <c r="F1478" s="27" t="n">
        <v>12</v>
      </c>
      <c r="G1478" s="27" t="n">
        <v>80</v>
      </c>
      <c r="H1478" s="27" t="n">
        <v>2300</v>
      </c>
      <c r="I1478" s="28">
        <f>G1478*H1478/1000*F1478^2/162</f>
        <v>163.55555555555554</v>
      </c>
    </row>
    <row r="1479">
      <c r="A1479" s="7" t="inlineStr">
        <is>
          <t>STR-031</t>
        </is>
      </c>
      <c r="B1479" s="7" t="inlineStr">
        <is>
          <t>Staircases</t>
        </is>
      </c>
      <c r="C1479" s="7" t="inlineStr">
        <is>
          <t>Emergency staircase GF to M1</t>
        </is>
      </c>
      <c r="D1479" s="7" t="inlineStr">
        <is>
          <t>F01</t>
        </is>
      </c>
      <c r="E1479" s="27" t="inlineStr">
        <is>
          <t>1203</t>
        </is>
      </c>
      <c r="F1479" s="27" t="n">
        <v>12</v>
      </c>
      <c r="G1479" s="27" t="n">
        <v>26</v>
      </c>
      <c r="H1479" s="27" t="n">
        <v>4800</v>
      </c>
      <c r="I1479" s="28">
        <f>G1479*H1479/1000*F1479^2/162</f>
        <v>110.93333333333334</v>
      </c>
    </row>
    <row r="1480">
      <c r="A1480" s="7" t="inlineStr">
        <is>
          <t>STR-031</t>
        </is>
      </c>
      <c r="B1480" s="7" t="inlineStr">
        <is>
          <t>Staircases</t>
        </is>
      </c>
      <c r="C1480" s="7" t="inlineStr">
        <is>
          <t>Emergency staircase GF to M1</t>
        </is>
      </c>
      <c r="D1480" s="7" t="inlineStr">
        <is>
          <t>F01</t>
        </is>
      </c>
      <c r="E1480" s="27" t="inlineStr">
        <is>
          <t>1601</t>
        </is>
      </c>
      <c r="F1480" s="27" t="n">
        <v>16</v>
      </c>
      <c r="G1480" s="27" t="n">
        <v>10</v>
      </c>
      <c r="H1480" s="27" t="n">
        <v>5100</v>
      </c>
      <c r="I1480" s="28">
        <f>G1480*H1480/1000*F1480^2/162</f>
        <v>80.5925925925926</v>
      </c>
    </row>
    <row r="1481">
      <c r="A1481" s="7" t="inlineStr">
        <is>
          <t>STR-031</t>
        </is>
      </c>
      <c r="B1481" s="7" t="inlineStr">
        <is>
          <t>Staircases</t>
        </is>
      </c>
      <c r="C1481" s="7" t="inlineStr">
        <is>
          <t>Emergency staircase GF to M1</t>
        </is>
      </c>
      <c r="D1481" s="7" t="inlineStr">
        <is>
          <t>F01</t>
        </is>
      </c>
      <c r="E1481" s="27" t="inlineStr">
        <is>
          <t>1602</t>
        </is>
      </c>
      <c r="F1481" s="27" t="n">
        <v>16</v>
      </c>
      <c r="G1481" s="27" t="n">
        <v>10</v>
      </c>
      <c r="H1481" s="27" t="n">
        <v>7300</v>
      </c>
      <c r="I1481" s="28">
        <f>G1481*H1481/1000*F1481^2/162</f>
        <v>115.35802469135803</v>
      </c>
    </row>
    <row r="1482">
      <c r="A1482" s="7" t="inlineStr">
        <is>
          <t>STR-031</t>
        </is>
      </c>
      <c r="B1482" s="7" t="inlineStr">
        <is>
          <t>Staircases</t>
        </is>
      </c>
      <c r="C1482" s="7" t="inlineStr">
        <is>
          <t>Emergency staircase GF to M1</t>
        </is>
      </c>
      <c r="D1482" s="7" t="inlineStr">
        <is>
          <t>F01</t>
        </is>
      </c>
      <c r="E1482" s="27" t="inlineStr">
        <is>
          <t>1603</t>
        </is>
      </c>
      <c r="F1482" s="27" t="n">
        <v>16</v>
      </c>
      <c r="G1482" s="27" t="n">
        <v>10</v>
      </c>
      <c r="H1482" s="27" t="n">
        <v>2125</v>
      </c>
      <c r="I1482" s="28">
        <f>G1482*H1482/1000*F1482^2/162</f>
        <v>33.58024691358025</v>
      </c>
    </row>
    <row r="1483">
      <c r="A1483" s="7" t="inlineStr">
        <is>
          <t>STR-031</t>
        </is>
      </c>
      <c r="B1483" s="7" t="inlineStr">
        <is>
          <t>Staircases</t>
        </is>
      </c>
      <c r="C1483" s="7" t="inlineStr">
        <is>
          <t>Emergency staircase GF to M1</t>
        </is>
      </c>
      <c r="D1483" s="7" t="inlineStr">
        <is>
          <t>F01</t>
        </is>
      </c>
      <c r="E1483" s="27" t="inlineStr">
        <is>
          <t>1606</t>
        </is>
      </c>
      <c r="F1483" s="27" t="n">
        <v>16</v>
      </c>
      <c r="G1483" s="27" t="n">
        <v>10</v>
      </c>
      <c r="H1483" s="27" t="n">
        <v>8500</v>
      </c>
      <c r="I1483" s="28">
        <f>G1483*H1483/1000*F1483^2/162</f>
        <v>134.320987654321</v>
      </c>
    </row>
    <row r="1484">
      <c r="A1484" s="7" t="inlineStr">
        <is>
          <t>STR-031</t>
        </is>
      </c>
      <c r="B1484" s="7" t="inlineStr">
        <is>
          <t>Staircases</t>
        </is>
      </c>
      <c r="C1484" s="7" t="inlineStr">
        <is>
          <t>Emergency staircase GF to M1</t>
        </is>
      </c>
      <c r="D1484" s="7" t="inlineStr">
        <is>
          <t>F01</t>
        </is>
      </c>
      <c r="E1484" s="27" t="inlineStr">
        <is>
          <t>1607</t>
        </is>
      </c>
      <c r="F1484" s="27" t="n">
        <v>16</v>
      </c>
      <c r="G1484" s="27" t="n">
        <v>10</v>
      </c>
      <c r="H1484" s="27" t="n">
        <v>4500</v>
      </c>
      <c r="I1484" s="28">
        <f>G1484*H1484/1000*F1484^2/162</f>
        <v>71.11111111111111</v>
      </c>
    </row>
    <row r="1485">
      <c r="A1485" s="7" t="inlineStr">
        <is>
          <t>STR-031</t>
        </is>
      </c>
      <c r="B1485" s="7" t="inlineStr">
        <is>
          <t>Staircases</t>
        </is>
      </c>
      <c r="C1485" s="7" t="inlineStr">
        <is>
          <t>Emergency staircase GF to M1</t>
        </is>
      </c>
      <c r="D1485" s="7" t="inlineStr">
        <is>
          <t>F01</t>
        </is>
      </c>
      <c r="E1485" s="27" t="inlineStr">
        <is>
          <t>1608</t>
        </is>
      </c>
      <c r="F1485" s="27" t="n">
        <v>16</v>
      </c>
      <c r="G1485" s="27" t="n">
        <v>10</v>
      </c>
      <c r="H1485" s="27" t="n">
        <v>1200</v>
      </c>
      <c r="I1485" s="28">
        <f>G1485*H1485/1000*F1485^2/162</f>
        <v>18.962962962962962</v>
      </c>
    </row>
    <row r="1486">
      <c r="A1486" s="7" t="inlineStr">
        <is>
          <t>STR-031</t>
        </is>
      </c>
      <c r="B1486" s="7" t="inlineStr">
        <is>
          <t>Staircases</t>
        </is>
      </c>
      <c r="C1486" s="7" t="inlineStr">
        <is>
          <t>Emergency staircase GF to M1</t>
        </is>
      </c>
      <c r="D1486" s="7" t="inlineStr">
        <is>
          <t>F01</t>
        </is>
      </c>
      <c r="E1486" s="27" t="inlineStr">
        <is>
          <t>1609</t>
        </is>
      </c>
      <c r="F1486" s="27" t="n">
        <v>16</v>
      </c>
      <c r="G1486" s="27" t="n">
        <v>10</v>
      </c>
      <c r="H1486" s="27" t="n">
        <v>2800</v>
      </c>
      <c r="I1486" s="28">
        <f>G1486*H1486/1000*F1486^2/162</f>
        <v>44.24691358024691</v>
      </c>
    </row>
    <row r="1487">
      <c r="A1487" s="7" t="inlineStr">
        <is>
          <t>STR-031</t>
        </is>
      </c>
      <c r="B1487" s="7" t="inlineStr">
        <is>
          <t>Staircases</t>
        </is>
      </c>
      <c r="C1487" s="7" t="inlineStr">
        <is>
          <t>Emergency staircase GF to M1</t>
        </is>
      </c>
      <c r="D1487" s="7" t="inlineStr">
        <is>
          <t>F01</t>
        </is>
      </c>
      <c r="E1487" s="27" t="inlineStr">
        <is>
          <t>1610</t>
        </is>
      </c>
      <c r="F1487" s="27" t="n">
        <v>16</v>
      </c>
      <c r="G1487" s="27" t="n">
        <v>10</v>
      </c>
      <c r="H1487" s="27" t="n">
        <v>2000</v>
      </c>
      <c r="I1487" s="28">
        <f>G1487*H1487/1000*F1487^2/162</f>
        <v>31.604938271604937</v>
      </c>
    </row>
    <row r="1488">
      <c r="A1488" s="7" t="inlineStr">
        <is>
          <t>STR-033</t>
        </is>
      </c>
      <c r="B1488" s="7" t="inlineStr">
        <is>
          <t>Staircases</t>
        </is>
      </c>
      <c r="C1488" s="7" t="inlineStr">
        <is>
          <t>Emergency staircase typical flight (M1 to 3rd, one storey)</t>
        </is>
      </c>
      <c r="D1488" s="7" t="inlineStr">
        <is>
          <t>F02, F04, F06</t>
        </is>
      </c>
      <c r="E1488" s="27" t="inlineStr">
        <is>
          <t>1201</t>
        </is>
      </c>
      <c r="F1488" s="27" t="n">
        <v>12</v>
      </c>
      <c r="G1488" s="27" t="n">
        <v>30</v>
      </c>
      <c r="H1488" s="27" t="n">
        <v>6200</v>
      </c>
      <c r="I1488" s="28">
        <f>G1488*H1488/1000*F1488^2/162</f>
        <v>165.33333333333334</v>
      </c>
    </row>
    <row r="1489">
      <c r="A1489" s="7" t="inlineStr">
        <is>
          <t>STR-033</t>
        </is>
      </c>
      <c r="B1489" s="7" t="inlineStr">
        <is>
          <t>Staircases</t>
        </is>
      </c>
      <c r="C1489" s="7" t="inlineStr">
        <is>
          <t>Emergency staircase typical flight (M1 to 3rd, one storey)</t>
        </is>
      </c>
      <c r="D1489" s="7" t="inlineStr">
        <is>
          <t>F02, F04, F06</t>
        </is>
      </c>
      <c r="E1489" s="27" t="inlineStr">
        <is>
          <t>1202</t>
        </is>
      </c>
      <c r="F1489" s="27" t="n">
        <v>12</v>
      </c>
      <c r="G1489" s="27" t="n">
        <v>80</v>
      </c>
      <c r="H1489" s="27" t="n">
        <v>2300</v>
      </c>
      <c r="I1489" s="28">
        <f>G1489*H1489/1000*F1489^2/162</f>
        <v>163.55555555555554</v>
      </c>
    </row>
    <row r="1490">
      <c r="A1490" s="7" t="inlineStr">
        <is>
          <t>STR-033</t>
        </is>
      </c>
      <c r="B1490" s="7" t="inlineStr">
        <is>
          <t>Staircases</t>
        </is>
      </c>
      <c r="C1490" s="7" t="inlineStr">
        <is>
          <t>Emergency staircase typical flight (M1 to 3rd, one storey)</t>
        </is>
      </c>
      <c r="D1490" s="7" t="inlineStr">
        <is>
          <t>F02, F04, F06</t>
        </is>
      </c>
      <c r="E1490" s="27" t="inlineStr">
        <is>
          <t>1203</t>
        </is>
      </c>
      <c r="F1490" s="27" t="n">
        <v>12</v>
      </c>
      <c r="G1490" s="27" t="n">
        <v>26</v>
      </c>
      <c r="H1490" s="27" t="n">
        <v>4800</v>
      </c>
      <c r="I1490" s="28">
        <f>G1490*H1490/1000*F1490^2/162</f>
        <v>110.93333333333334</v>
      </c>
    </row>
    <row r="1491">
      <c r="A1491" s="7" t="inlineStr">
        <is>
          <t>STR-033</t>
        </is>
      </c>
      <c r="B1491" s="7" t="inlineStr">
        <is>
          <t>Staircases</t>
        </is>
      </c>
      <c r="C1491" s="7" t="inlineStr">
        <is>
          <t>Emergency staircase typical flight (M1 to 3rd, one storey)</t>
        </is>
      </c>
      <c r="D1491" s="7" t="inlineStr">
        <is>
          <t>F02, F04, F06</t>
        </is>
      </c>
      <c r="E1491" s="27" t="inlineStr">
        <is>
          <t>1601</t>
        </is>
      </c>
      <c r="F1491" s="27" t="n">
        <v>16</v>
      </c>
      <c r="G1491" s="27" t="n">
        <v>11</v>
      </c>
      <c r="H1491" s="27" t="n">
        <v>8175</v>
      </c>
      <c r="I1491" s="28">
        <f>G1491*H1491/1000*F1491^2/162</f>
        <v>142.1037037037037</v>
      </c>
    </row>
    <row r="1492">
      <c r="A1492" s="7" t="inlineStr">
        <is>
          <t>STR-033</t>
        </is>
      </c>
      <c r="B1492" s="7" t="inlineStr">
        <is>
          <t>Staircases</t>
        </is>
      </c>
      <c r="C1492" s="7" t="inlineStr">
        <is>
          <t>Emergency staircase typical flight (M1 to 3rd, one storey)</t>
        </is>
      </c>
      <c r="D1492" s="7" t="inlineStr">
        <is>
          <t>F02, F04, F06</t>
        </is>
      </c>
      <c r="E1492" s="27" t="inlineStr">
        <is>
          <t>1602</t>
        </is>
      </c>
      <c r="F1492" s="27" t="n">
        <v>16</v>
      </c>
      <c r="G1492" s="27" t="n">
        <v>11</v>
      </c>
      <c r="H1492" s="27" t="n">
        <v>2650</v>
      </c>
      <c r="I1492" s="28">
        <f>G1492*H1492/1000*F1492^2/162</f>
        <v>46.06419753086419</v>
      </c>
    </row>
    <row r="1493">
      <c r="A1493" s="7" t="inlineStr">
        <is>
          <t>STR-033</t>
        </is>
      </c>
      <c r="B1493" s="7" t="inlineStr">
        <is>
          <t>Staircases</t>
        </is>
      </c>
      <c r="C1493" s="7" t="inlineStr">
        <is>
          <t>Emergency staircase typical flight (M1 to 3rd, one storey)</t>
        </is>
      </c>
      <c r="D1493" s="7" t="inlineStr">
        <is>
          <t>F02, F04, F06</t>
        </is>
      </c>
      <c r="E1493" s="27" t="inlineStr">
        <is>
          <t>1603</t>
        </is>
      </c>
      <c r="F1493" s="27" t="n">
        <v>16</v>
      </c>
      <c r="G1493" s="27" t="n">
        <v>11</v>
      </c>
      <c r="H1493" s="27" t="n">
        <v>2400</v>
      </c>
      <c r="I1493" s="28">
        <f>G1493*H1493/1000*F1493^2/162</f>
        <v>41.718518518518515</v>
      </c>
    </row>
    <row r="1494">
      <c r="A1494" s="7" t="inlineStr">
        <is>
          <t>STR-033</t>
        </is>
      </c>
      <c r="B1494" s="7" t="inlineStr">
        <is>
          <t>Staircases</t>
        </is>
      </c>
      <c r="C1494" s="7" t="inlineStr">
        <is>
          <t>Emergency staircase typical flight (M1 to 3rd, one storey)</t>
        </is>
      </c>
      <c r="D1494" s="7" t="inlineStr">
        <is>
          <t>F02, F04, F06</t>
        </is>
      </c>
      <c r="E1494" s="27" t="inlineStr">
        <is>
          <t>1604</t>
        </is>
      </c>
      <c r="F1494" s="27" t="n">
        <v>16</v>
      </c>
      <c r="G1494" s="27" t="n">
        <v>11</v>
      </c>
      <c r="H1494" s="27" t="n">
        <v>4300</v>
      </c>
      <c r="I1494" s="28">
        <f>G1494*H1494/1000*F1494^2/162</f>
        <v>74.74567901234568</v>
      </c>
    </row>
    <row r="1495">
      <c r="A1495" s="7" t="inlineStr">
        <is>
          <t>STR-033</t>
        </is>
      </c>
      <c r="B1495" s="7" t="inlineStr">
        <is>
          <t>Staircases</t>
        </is>
      </c>
      <c r="C1495" s="7" t="inlineStr">
        <is>
          <t>Emergency staircase typical flight (M1 to 3rd, one storey)</t>
        </is>
      </c>
      <c r="D1495" s="7" t="inlineStr">
        <is>
          <t>F02, F04, F06</t>
        </is>
      </c>
      <c r="E1495" s="27" t="inlineStr">
        <is>
          <t>1605</t>
        </is>
      </c>
      <c r="F1495" s="27" t="n">
        <v>16</v>
      </c>
      <c r="G1495" s="27" t="n">
        <v>11</v>
      </c>
      <c r="H1495" s="27" t="n">
        <v>2100</v>
      </c>
      <c r="I1495" s="28">
        <f>G1495*H1495/1000*F1495^2/162</f>
        <v>36.50370370370371</v>
      </c>
    </row>
    <row r="1496">
      <c r="A1496" s="7" t="inlineStr">
        <is>
          <t>STR-033</t>
        </is>
      </c>
      <c r="B1496" s="7" t="inlineStr">
        <is>
          <t>Staircases</t>
        </is>
      </c>
      <c r="C1496" s="7" t="inlineStr">
        <is>
          <t>Emergency staircase typical flight (M1 to 3rd, one storey)</t>
        </is>
      </c>
      <c r="D1496" s="7" t="inlineStr">
        <is>
          <t>F02, F04, F06</t>
        </is>
      </c>
      <c r="E1496" s="27" t="inlineStr">
        <is>
          <t>1606</t>
        </is>
      </c>
      <c r="F1496" s="27" t="n">
        <v>16</v>
      </c>
      <c r="G1496" s="27" t="n">
        <v>11</v>
      </c>
      <c r="H1496" s="27" t="n">
        <v>6900</v>
      </c>
      <c r="I1496" s="28">
        <f>G1496*H1496/1000*F1496^2/162</f>
        <v>119.94074074074075</v>
      </c>
    </row>
    <row r="1497">
      <c r="A1497" s="7" t="inlineStr">
        <is>
          <t>STR-033</t>
        </is>
      </c>
      <c r="B1497" s="7" t="inlineStr">
        <is>
          <t>Staircases</t>
        </is>
      </c>
      <c r="C1497" s="7" t="inlineStr">
        <is>
          <t>Emergency staircase typical flight (M1 to 3rd, one storey)</t>
        </is>
      </c>
      <c r="D1497" s="7" t="inlineStr">
        <is>
          <t>F02, F04, F06</t>
        </is>
      </c>
      <c r="E1497" s="27" t="inlineStr">
        <is>
          <t>1607</t>
        </is>
      </c>
      <c r="F1497" s="27" t="n">
        <v>16</v>
      </c>
      <c r="G1497" s="27" t="n">
        <v>11</v>
      </c>
      <c r="H1497" s="27" t="n">
        <v>4800</v>
      </c>
      <c r="I1497" s="28">
        <f>G1497*H1497/1000*F1497^2/162</f>
        <v>83.43703703703703</v>
      </c>
    </row>
    <row r="1498">
      <c r="A1498" s="7" t="inlineStr">
        <is>
          <t>STR-033</t>
        </is>
      </c>
      <c r="B1498" s="7" t="inlineStr">
        <is>
          <t>Staircases</t>
        </is>
      </c>
      <c r="C1498" s="7" t="inlineStr">
        <is>
          <t>Emergency staircase typical flight (M1 to 3rd, one storey)</t>
        </is>
      </c>
      <c r="D1498" s="7" t="inlineStr">
        <is>
          <t>F02, F04, F06</t>
        </is>
      </c>
      <c r="E1498" s="27" t="inlineStr">
        <is>
          <t>1608</t>
        </is>
      </c>
      <c r="F1498" s="27" t="n">
        <v>16</v>
      </c>
      <c r="G1498" s="27" t="n">
        <v>11</v>
      </c>
      <c r="H1498" s="27" t="n">
        <v>3400</v>
      </c>
      <c r="I1498" s="28">
        <f>G1498*H1498/1000*F1498^2/162</f>
        <v>59.10123456790123</v>
      </c>
    </row>
    <row r="1499">
      <c r="A1499" s="7" t="inlineStr">
        <is>
          <t>STR-033</t>
        </is>
      </c>
      <c r="B1499" s="7" t="inlineStr">
        <is>
          <t>Staircases</t>
        </is>
      </c>
      <c r="C1499" s="7" t="inlineStr">
        <is>
          <t>Emergency staircase typical flight (M1 to 3rd, one storey)</t>
        </is>
      </c>
      <c r="D1499" s="7" t="inlineStr">
        <is>
          <t>F02, F04, F06</t>
        </is>
      </c>
      <c r="E1499" s="27" t="inlineStr">
        <is>
          <t>1609</t>
        </is>
      </c>
      <c r="F1499" s="27" t="n">
        <v>16</v>
      </c>
      <c r="G1499" s="27" t="n">
        <v>11</v>
      </c>
      <c r="H1499" s="27" t="n">
        <v>3200</v>
      </c>
      <c r="I1499" s="28">
        <f>G1499*H1499/1000*F1499^2/162</f>
        <v>55.6246913580247</v>
      </c>
    </row>
    <row r="1500">
      <c r="A1500" s="7" t="inlineStr">
        <is>
          <t>STR-033</t>
        </is>
      </c>
      <c r="B1500" s="7" t="inlineStr">
        <is>
          <t>Staircases</t>
        </is>
      </c>
      <c r="C1500" s="7" t="inlineStr">
        <is>
          <t>Emergency staircase typical flight (M1 to 3rd, one storey)</t>
        </is>
      </c>
      <c r="D1500" s="7" t="inlineStr">
        <is>
          <t>F02, F04, F06</t>
        </is>
      </c>
      <c r="E1500" s="27" t="inlineStr">
        <is>
          <t>1610</t>
        </is>
      </c>
      <c r="F1500" s="27" t="n">
        <v>16</v>
      </c>
      <c r="G1500" s="27" t="n">
        <v>11</v>
      </c>
      <c r="H1500" s="27" t="n">
        <v>2000</v>
      </c>
      <c r="I1500" s="28">
        <f>G1500*H1500/1000*F1500^2/162</f>
        <v>34.76543209876543</v>
      </c>
    </row>
    <row r="1501">
      <c r="A1501" s="7" t="inlineStr">
        <is>
          <t>STR-035</t>
        </is>
      </c>
      <c r="B1501" s="7" t="inlineStr">
        <is>
          <t>Staircases</t>
        </is>
      </c>
      <c r="C1501" s="7" t="inlineStr">
        <is>
          <t>Emergency staircase 3rd to 4th floor</t>
        </is>
      </c>
      <c r="D1501" s="7" t="inlineStr">
        <is>
          <t>F07</t>
        </is>
      </c>
      <c r="E1501" s="27" t="inlineStr">
        <is>
          <t>1201</t>
        </is>
      </c>
      <c r="F1501" s="27" t="n">
        <v>12</v>
      </c>
      <c r="G1501" s="27" t="n">
        <v>30</v>
      </c>
      <c r="H1501" s="27" t="n">
        <v>6200</v>
      </c>
      <c r="I1501" s="28">
        <f>G1501*H1501/1000*F1501^2/162</f>
        <v>165.33333333333334</v>
      </c>
    </row>
    <row r="1502">
      <c r="A1502" s="7" t="inlineStr">
        <is>
          <t>STR-035</t>
        </is>
      </c>
      <c r="B1502" s="7" t="inlineStr">
        <is>
          <t>Staircases</t>
        </is>
      </c>
      <c r="C1502" s="7" t="inlineStr">
        <is>
          <t>Emergency staircase 3rd to 4th floor</t>
        </is>
      </c>
      <c r="D1502" s="7" t="inlineStr">
        <is>
          <t>F07</t>
        </is>
      </c>
      <c r="E1502" s="27" t="inlineStr">
        <is>
          <t>1202</t>
        </is>
      </c>
      <c r="F1502" s="27" t="n">
        <v>12</v>
      </c>
      <c r="G1502" s="27" t="n">
        <v>80</v>
      </c>
      <c r="H1502" s="27" t="n">
        <v>2300</v>
      </c>
      <c r="I1502" s="28">
        <f>G1502*H1502/1000*F1502^2/162</f>
        <v>163.55555555555554</v>
      </c>
    </row>
    <row r="1503">
      <c r="A1503" s="7" t="inlineStr">
        <is>
          <t>STR-035</t>
        </is>
      </c>
      <c r="B1503" s="7" t="inlineStr">
        <is>
          <t>Staircases</t>
        </is>
      </c>
      <c r="C1503" s="7" t="inlineStr">
        <is>
          <t>Emergency staircase 3rd to 4th floor</t>
        </is>
      </c>
      <c r="D1503" s="7" t="inlineStr">
        <is>
          <t>F07</t>
        </is>
      </c>
      <c r="E1503" s="27" t="inlineStr">
        <is>
          <t>1203</t>
        </is>
      </c>
      <c r="F1503" s="27" t="n">
        <v>12</v>
      </c>
      <c r="G1503" s="27" t="n">
        <v>26</v>
      </c>
      <c r="H1503" s="27" t="n">
        <v>4800</v>
      </c>
      <c r="I1503" s="28">
        <f>G1503*H1503/1000*F1503^2/162</f>
        <v>110.93333333333334</v>
      </c>
    </row>
    <row r="1504">
      <c r="A1504" s="7" t="inlineStr">
        <is>
          <t>STR-035</t>
        </is>
      </c>
      <c r="B1504" s="7" t="inlineStr">
        <is>
          <t>Staircases</t>
        </is>
      </c>
      <c r="C1504" s="7" t="inlineStr">
        <is>
          <t>Emergency staircase 3rd to 4th floor</t>
        </is>
      </c>
      <c r="D1504" s="7" t="inlineStr">
        <is>
          <t>F07</t>
        </is>
      </c>
      <c r="E1504" s="27" t="inlineStr">
        <is>
          <t>1601</t>
        </is>
      </c>
      <c r="F1504" s="27" t="n">
        <v>16</v>
      </c>
      <c r="G1504" s="27" t="n">
        <v>11</v>
      </c>
      <c r="H1504" s="27" t="n">
        <v>8175</v>
      </c>
      <c r="I1504" s="28">
        <f>G1504*H1504/1000*F1504^2/162</f>
        <v>142.1037037037037</v>
      </c>
    </row>
    <row r="1505">
      <c r="A1505" s="7" t="inlineStr">
        <is>
          <t>STR-035</t>
        </is>
      </c>
      <c r="B1505" s="7" t="inlineStr">
        <is>
          <t>Staircases</t>
        </is>
      </c>
      <c r="C1505" s="7" t="inlineStr">
        <is>
          <t>Emergency staircase 3rd to 4th floor</t>
        </is>
      </c>
      <c r="D1505" s="7" t="inlineStr">
        <is>
          <t>F07</t>
        </is>
      </c>
      <c r="E1505" s="27" t="inlineStr">
        <is>
          <t>1602</t>
        </is>
      </c>
      <c r="F1505" s="27" t="n">
        <v>16</v>
      </c>
      <c r="G1505" s="27" t="n">
        <v>11</v>
      </c>
      <c r="H1505" s="27" t="n">
        <v>2650</v>
      </c>
      <c r="I1505" s="28">
        <f>G1505*H1505/1000*F1505^2/162</f>
        <v>46.06419753086419</v>
      </c>
    </row>
    <row r="1506">
      <c r="A1506" s="7" t="inlineStr">
        <is>
          <t>STR-035</t>
        </is>
      </c>
      <c r="B1506" s="7" t="inlineStr">
        <is>
          <t>Staircases</t>
        </is>
      </c>
      <c r="C1506" s="7" t="inlineStr">
        <is>
          <t>Emergency staircase 3rd to 4th floor</t>
        </is>
      </c>
      <c r="D1506" s="7" t="inlineStr">
        <is>
          <t>F07</t>
        </is>
      </c>
      <c r="E1506" s="27" t="inlineStr">
        <is>
          <t>1603</t>
        </is>
      </c>
      <c r="F1506" s="27" t="n">
        <v>16</v>
      </c>
      <c r="G1506" s="27" t="n">
        <v>11</v>
      </c>
      <c r="H1506" s="27" t="n">
        <v>2400</v>
      </c>
      <c r="I1506" s="28">
        <f>G1506*H1506/1000*F1506^2/162</f>
        <v>41.718518518518515</v>
      </c>
    </row>
    <row r="1507">
      <c r="A1507" s="7" t="inlineStr">
        <is>
          <t>STR-035</t>
        </is>
      </c>
      <c r="B1507" s="7" t="inlineStr">
        <is>
          <t>Staircases</t>
        </is>
      </c>
      <c r="C1507" s="7" t="inlineStr">
        <is>
          <t>Emergency staircase 3rd to 4th floor</t>
        </is>
      </c>
      <c r="D1507" s="7" t="inlineStr">
        <is>
          <t>F07</t>
        </is>
      </c>
      <c r="E1507" s="27" t="inlineStr">
        <is>
          <t>1604</t>
        </is>
      </c>
      <c r="F1507" s="27" t="n">
        <v>16</v>
      </c>
      <c r="G1507" s="27" t="n">
        <v>11</v>
      </c>
      <c r="H1507" s="27" t="n">
        <v>4300</v>
      </c>
      <c r="I1507" s="28">
        <f>G1507*H1507/1000*F1507^2/162</f>
        <v>74.74567901234568</v>
      </c>
    </row>
    <row r="1508">
      <c r="A1508" s="7" t="inlineStr">
        <is>
          <t>STR-035</t>
        </is>
      </c>
      <c r="B1508" s="7" t="inlineStr">
        <is>
          <t>Staircases</t>
        </is>
      </c>
      <c r="C1508" s="7" t="inlineStr">
        <is>
          <t>Emergency staircase 3rd to 4th floor</t>
        </is>
      </c>
      <c r="D1508" s="7" t="inlineStr">
        <is>
          <t>F07</t>
        </is>
      </c>
      <c r="E1508" s="27" t="inlineStr">
        <is>
          <t>1605</t>
        </is>
      </c>
      <c r="F1508" s="27" t="n">
        <v>16</v>
      </c>
      <c r="G1508" s="27" t="n">
        <v>11</v>
      </c>
      <c r="H1508" s="27" t="n">
        <v>2100</v>
      </c>
      <c r="I1508" s="28">
        <f>G1508*H1508/1000*F1508^2/162</f>
        <v>36.50370370370371</v>
      </c>
    </row>
    <row r="1509">
      <c r="A1509" s="7" t="inlineStr">
        <is>
          <t>STR-035</t>
        </is>
      </c>
      <c r="B1509" s="7" t="inlineStr">
        <is>
          <t>Staircases</t>
        </is>
      </c>
      <c r="C1509" s="7" t="inlineStr">
        <is>
          <t>Emergency staircase 3rd to 4th floor</t>
        </is>
      </c>
      <c r="D1509" s="7" t="inlineStr">
        <is>
          <t>F07</t>
        </is>
      </c>
      <c r="E1509" s="27" t="inlineStr">
        <is>
          <t>1606</t>
        </is>
      </c>
      <c r="F1509" s="27" t="n">
        <v>16</v>
      </c>
      <c r="G1509" s="27" t="n">
        <v>11</v>
      </c>
      <c r="H1509" s="27" t="n">
        <v>6900</v>
      </c>
      <c r="I1509" s="28">
        <f>G1509*H1509/1000*F1509^2/162</f>
        <v>119.94074074074075</v>
      </c>
    </row>
    <row r="1510">
      <c r="A1510" s="7" t="inlineStr">
        <is>
          <t>STR-035</t>
        </is>
      </c>
      <c r="B1510" s="7" t="inlineStr">
        <is>
          <t>Staircases</t>
        </is>
      </c>
      <c r="C1510" s="7" t="inlineStr">
        <is>
          <t>Emergency staircase 3rd to 4th floor</t>
        </is>
      </c>
      <c r="D1510" s="7" t="inlineStr">
        <is>
          <t>F07</t>
        </is>
      </c>
      <c r="E1510" s="27" t="inlineStr">
        <is>
          <t>1607</t>
        </is>
      </c>
      <c r="F1510" s="27" t="n">
        <v>16</v>
      </c>
      <c r="G1510" s="27" t="n">
        <v>11</v>
      </c>
      <c r="H1510" s="27" t="n">
        <v>4800</v>
      </c>
      <c r="I1510" s="28">
        <f>G1510*H1510/1000*F1510^2/162</f>
        <v>83.43703703703703</v>
      </c>
    </row>
    <row r="1511">
      <c r="A1511" s="7" t="inlineStr">
        <is>
          <t>STR-035</t>
        </is>
      </c>
      <c r="B1511" s="7" t="inlineStr">
        <is>
          <t>Staircases</t>
        </is>
      </c>
      <c r="C1511" s="7" t="inlineStr">
        <is>
          <t>Emergency staircase 3rd to 4th floor</t>
        </is>
      </c>
      <c r="D1511" s="7" t="inlineStr">
        <is>
          <t>F07</t>
        </is>
      </c>
      <c r="E1511" s="27" t="inlineStr">
        <is>
          <t>1608</t>
        </is>
      </c>
      <c r="F1511" s="27" t="n">
        <v>16</v>
      </c>
      <c r="G1511" s="27" t="n">
        <v>11</v>
      </c>
      <c r="H1511" s="27" t="n">
        <v>3400</v>
      </c>
      <c r="I1511" s="28">
        <f>G1511*H1511/1000*F1511^2/162</f>
        <v>59.10123456790123</v>
      </c>
    </row>
    <row r="1512">
      <c r="A1512" s="7" t="inlineStr">
        <is>
          <t>STR-035</t>
        </is>
      </c>
      <c r="B1512" s="7" t="inlineStr">
        <is>
          <t>Staircases</t>
        </is>
      </c>
      <c r="C1512" s="7" t="inlineStr">
        <is>
          <t>Emergency staircase 3rd to 4th floor</t>
        </is>
      </c>
      <c r="D1512" s="7" t="inlineStr">
        <is>
          <t>F07</t>
        </is>
      </c>
      <c r="E1512" s="27" t="inlineStr">
        <is>
          <t>1609</t>
        </is>
      </c>
      <c r="F1512" s="27" t="n">
        <v>16</v>
      </c>
      <c r="G1512" s="27" t="n">
        <v>11</v>
      </c>
      <c r="H1512" s="27" t="n">
        <v>3200</v>
      </c>
      <c r="I1512" s="28">
        <f>G1512*H1512/1000*F1512^2/162</f>
        <v>55.6246913580247</v>
      </c>
    </row>
    <row r="1513">
      <c r="A1513" s="7" t="inlineStr">
        <is>
          <t>STR-035</t>
        </is>
      </c>
      <c r="B1513" s="7" t="inlineStr">
        <is>
          <t>Staircases</t>
        </is>
      </c>
      <c r="C1513" s="7" t="inlineStr">
        <is>
          <t>Emergency staircase 3rd to 4th floor</t>
        </is>
      </c>
      <c r="D1513" s="7" t="inlineStr">
        <is>
          <t>F07</t>
        </is>
      </c>
      <c r="E1513" s="27" t="inlineStr">
        <is>
          <t>1610</t>
        </is>
      </c>
      <c r="F1513" s="27" t="n">
        <v>16</v>
      </c>
      <c r="G1513" s="27" t="n">
        <v>11</v>
      </c>
      <c r="H1513" s="27" t="n">
        <v>2000</v>
      </c>
      <c r="I1513" s="28">
        <f>G1513*H1513/1000*F1513^2/162</f>
        <v>34.76543209876543</v>
      </c>
    </row>
    <row r="1514">
      <c r="A1514" s="7" t="inlineStr">
        <is>
          <t>STR-037</t>
        </is>
      </c>
      <c r="B1514" s="7" t="inlineStr">
        <is>
          <t>Staircases</t>
        </is>
      </c>
      <c r="C1514" s="7" t="inlineStr">
        <is>
          <t>Emergency staircase typical flight (4th to 10th, one storey)</t>
        </is>
      </c>
      <c r="D1514" s="7" t="inlineStr">
        <is>
          <t>F08, F09, F10, F11, F12, F13</t>
        </is>
      </c>
      <c r="E1514" s="27" t="inlineStr">
        <is>
          <t>1201</t>
        </is>
      </c>
      <c r="F1514" s="27" t="n">
        <v>12</v>
      </c>
      <c r="G1514" s="27" t="n">
        <v>30</v>
      </c>
      <c r="H1514" s="27" t="n">
        <v>6200</v>
      </c>
      <c r="I1514" s="28">
        <f>G1514*H1514/1000*F1514^2/162</f>
        <v>165.33333333333334</v>
      </c>
    </row>
    <row r="1515">
      <c r="A1515" s="7" t="inlineStr">
        <is>
          <t>STR-037</t>
        </is>
      </c>
      <c r="B1515" s="7" t="inlineStr">
        <is>
          <t>Staircases</t>
        </is>
      </c>
      <c r="C1515" s="7" t="inlineStr">
        <is>
          <t>Emergency staircase typical flight (4th to 10th, one storey)</t>
        </is>
      </c>
      <c r="D1515" s="7" t="inlineStr">
        <is>
          <t>F08, F09, F10, F11, F12, F13</t>
        </is>
      </c>
      <c r="E1515" s="27" t="inlineStr">
        <is>
          <t>1202</t>
        </is>
      </c>
      <c r="F1515" s="27" t="n">
        <v>12</v>
      </c>
      <c r="G1515" s="27" t="n">
        <v>80</v>
      </c>
      <c r="H1515" s="27" t="n">
        <v>2300</v>
      </c>
      <c r="I1515" s="28">
        <f>G1515*H1515/1000*F1515^2/162</f>
        <v>163.55555555555554</v>
      </c>
    </row>
    <row r="1516">
      <c r="A1516" s="7" t="inlineStr">
        <is>
          <t>STR-037</t>
        </is>
      </c>
      <c r="B1516" s="7" t="inlineStr">
        <is>
          <t>Staircases</t>
        </is>
      </c>
      <c r="C1516" s="7" t="inlineStr">
        <is>
          <t>Emergency staircase typical flight (4th to 10th, one storey)</t>
        </is>
      </c>
      <c r="D1516" s="7" t="inlineStr">
        <is>
          <t>F08, F09, F10, F11, F12, F13</t>
        </is>
      </c>
      <c r="E1516" s="27" t="inlineStr">
        <is>
          <t>1203</t>
        </is>
      </c>
      <c r="F1516" s="27" t="n">
        <v>12</v>
      </c>
      <c r="G1516" s="27" t="n">
        <v>26</v>
      </c>
      <c r="H1516" s="27" t="n">
        <v>4800</v>
      </c>
      <c r="I1516" s="28">
        <f>G1516*H1516/1000*F1516^2/162</f>
        <v>110.93333333333334</v>
      </c>
    </row>
    <row r="1517">
      <c r="A1517" s="7" t="inlineStr">
        <is>
          <t>STR-037</t>
        </is>
      </c>
      <c r="B1517" s="7" t="inlineStr">
        <is>
          <t>Staircases</t>
        </is>
      </c>
      <c r="C1517" s="7" t="inlineStr">
        <is>
          <t>Emergency staircase typical flight (4th to 10th, one storey)</t>
        </is>
      </c>
      <c r="D1517" s="7" t="inlineStr">
        <is>
          <t>F08, F09, F10, F11, F12, F13</t>
        </is>
      </c>
      <c r="E1517" s="27" t="inlineStr">
        <is>
          <t>1601</t>
        </is>
      </c>
      <c r="F1517" s="27" t="n">
        <v>16</v>
      </c>
      <c r="G1517" s="27" t="n">
        <v>11</v>
      </c>
      <c r="H1517" s="27" t="n">
        <v>8175</v>
      </c>
      <c r="I1517" s="28">
        <f>G1517*H1517/1000*F1517^2/162</f>
        <v>142.1037037037037</v>
      </c>
    </row>
    <row r="1518">
      <c r="A1518" s="7" t="inlineStr">
        <is>
          <t>STR-037</t>
        </is>
      </c>
      <c r="B1518" s="7" t="inlineStr">
        <is>
          <t>Staircases</t>
        </is>
      </c>
      <c r="C1518" s="7" t="inlineStr">
        <is>
          <t>Emergency staircase typical flight (4th to 10th, one storey)</t>
        </is>
      </c>
      <c r="D1518" s="7" t="inlineStr">
        <is>
          <t>F08, F09, F10, F11, F12, F13</t>
        </is>
      </c>
      <c r="E1518" s="27" t="inlineStr">
        <is>
          <t>1602</t>
        </is>
      </c>
      <c r="F1518" s="27" t="n">
        <v>16</v>
      </c>
      <c r="G1518" s="27" t="n">
        <v>11</v>
      </c>
      <c r="H1518" s="27" t="n">
        <v>2650</v>
      </c>
      <c r="I1518" s="28">
        <f>G1518*H1518/1000*F1518^2/162</f>
        <v>46.06419753086419</v>
      </c>
    </row>
    <row r="1519">
      <c r="A1519" s="7" t="inlineStr">
        <is>
          <t>STR-037</t>
        </is>
      </c>
      <c r="B1519" s="7" t="inlineStr">
        <is>
          <t>Staircases</t>
        </is>
      </c>
      <c r="C1519" s="7" t="inlineStr">
        <is>
          <t>Emergency staircase typical flight (4th to 10th, one storey)</t>
        </is>
      </c>
      <c r="D1519" s="7" t="inlineStr">
        <is>
          <t>F08, F09, F10, F11, F12, F13</t>
        </is>
      </c>
      <c r="E1519" s="27" t="inlineStr">
        <is>
          <t>1603</t>
        </is>
      </c>
      <c r="F1519" s="27" t="n">
        <v>16</v>
      </c>
      <c r="G1519" s="27" t="n">
        <v>11</v>
      </c>
      <c r="H1519" s="27" t="n">
        <v>2400</v>
      </c>
      <c r="I1519" s="28">
        <f>G1519*H1519/1000*F1519^2/162</f>
        <v>41.718518518518515</v>
      </c>
    </row>
    <row r="1520">
      <c r="A1520" s="7" t="inlineStr">
        <is>
          <t>STR-037</t>
        </is>
      </c>
      <c r="B1520" s="7" t="inlineStr">
        <is>
          <t>Staircases</t>
        </is>
      </c>
      <c r="C1520" s="7" t="inlineStr">
        <is>
          <t>Emergency staircase typical flight (4th to 10th, one storey)</t>
        </is>
      </c>
      <c r="D1520" s="7" t="inlineStr">
        <is>
          <t>F08, F09, F10, F11, F12, F13</t>
        </is>
      </c>
      <c r="E1520" s="27" t="inlineStr">
        <is>
          <t>1604</t>
        </is>
      </c>
      <c r="F1520" s="27" t="n">
        <v>16</v>
      </c>
      <c r="G1520" s="27" t="n">
        <v>11</v>
      </c>
      <c r="H1520" s="27" t="n">
        <v>4300</v>
      </c>
      <c r="I1520" s="28">
        <f>G1520*H1520/1000*F1520^2/162</f>
        <v>74.74567901234568</v>
      </c>
    </row>
    <row r="1521">
      <c r="A1521" s="7" t="inlineStr">
        <is>
          <t>STR-037</t>
        </is>
      </c>
      <c r="B1521" s="7" t="inlineStr">
        <is>
          <t>Staircases</t>
        </is>
      </c>
      <c r="C1521" s="7" t="inlineStr">
        <is>
          <t>Emergency staircase typical flight (4th to 10th, one storey)</t>
        </is>
      </c>
      <c r="D1521" s="7" t="inlineStr">
        <is>
          <t>F08, F09, F10, F11, F12, F13</t>
        </is>
      </c>
      <c r="E1521" s="27" t="inlineStr">
        <is>
          <t>1605</t>
        </is>
      </c>
      <c r="F1521" s="27" t="n">
        <v>16</v>
      </c>
      <c r="G1521" s="27" t="n">
        <v>11</v>
      </c>
      <c r="H1521" s="27" t="n">
        <v>2100</v>
      </c>
      <c r="I1521" s="28">
        <f>G1521*H1521/1000*F1521^2/162</f>
        <v>36.50370370370371</v>
      </c>
    </row>
    <row r="1522">
      <c r="A1522" s="7" t="inlineStr">
        <is>
          <t>STR-037</t>
        </is>
      </c>
      <c r="B1522" s="7" t="inlineStr">
        <is>
          <t>Staircases</t>
        </is>
      </c>
      <c r="C1522" s="7" t="inlineStr">
        <is>
          <t>Emergency staircase typical flight (4th to 10th, one storey)</t>
        </is>
      </c>
      <c r="D1522" s="7" t="inlineStr">
        <is>
          <t>F08, F09, F10, F11, F12, F13</t>
        </is>
      </c>
      <c r="E1522" s="27" t="inlineStr">
        <is>
          <t>1606</t>
        </is>
      </c>
      <c r="F1522" s="27" t="n">
        <v>16</v>
      </c>
      <c r="G1522" s="27" t="n">
        <v>11</v>
      </c>
      <c r="H1522" s="27" t="n">
        <v>6900</v>
      </c>
      <c r="I1522" s="28">
        <f>G1522*H1522/1000*F1522^2/162</f>
        <v>119.94074074074075</v>
      </c>
    </row>
    <row r="1523">
      <c r="A1523" s="7" t="inlineStr">
        <is>
          <t>STR-037</t>
        </is>
      </c>
      <c r="B1523" s="7" t="inlineStr">
        <is>
          <t>Staircases</t>
        </is>
      </c>
      <c r="C1523" s="7" t="inlineStr">
        <is>
          <t>Emergency staircase typical flight (4th to 10th, one storey)</t>
        </is>
      </c>
      <c r="D1523" s="7" t="inlineStr">
        <is>
          <t>F08, F09, F10, F11, F12, F13</t>
        </is>
      </c>
      <c r="E1523" s="27" t="inlineStr">
        <is>
          <t>1607</t>
        </is>
      </c>
      <c r="F1523" s="27" t="n">
        <v>16</v>
      </c>
      <c r="G1523" s="27" t="n">
        <v>11</v>
      </c>
      <c r="H1523" s="27" t="n">
        <v>4800</v>
      </c>
      <c r="I1523" s="28">
        <f>G1523*H1523/1000*F1523^2/162</f>
        <v>83.43703703703703</v>
      </c>
    </row>
    <row r="1524">
      <c r="A1524" s="7" t="inlineStr">
        <is>
          <t>STR-037</t>
        </is>
      </c>
      <c r="B1524" s="7" t="inlineStr">
        <is>
          <t>Staircases</t>
        </is>
      </c>
      <c r="C1524" s="7" t="inlineStr">
        <is>
          <t>Emergency staircase typical flight (4th to 10th, one storey)</t>
        </is>
      </c>
      <c r="D1524" s="7" t="inlineStr">
        <is>
          <t>F08, F09, F10, F11, F12, F13</t>
        </is>
      </c>
      <c r="E1524" s="27" t="inlineStr">
        <is>
          <t>1608</t>
        </is>
      </c>
      <c r="F1524" s="27" t="n">
        <v>16</v>
      </c>
      <c r="G1524" s="27" t="n">
        <v>11</v>
      </c>
      <c r="H1524" s="27" t="n">
        <v>3400</v>
      </c>
      <c r="I1524" s="28">
        <f>G1524*H1524/1000*F1524^2/162</f>
        <v>59.10123456790123</v>
      </c>
    </row>
    <row r="1525">
      <c r="A1525" s="7" t="inlineStr">
        <is>
          <t>STR-037</t>
        </is>
      </c>
      <c r="B1525" s="7" t="inlineStr">
        <is>
          <t>Staircases</t>
        </is>
      </c>
      <c r="C1525" s="7" t="inlineStr">
        <is>
          <t>Emergency staircase typical flight (4th to 10th, one storey)</t>
        </is>
      </c>
      <c r="D1525" s="7" t="inlineStr">
        <is>
          <t>F08, F09, F10, F11, F12, F13</t>
        </is>
      </c>
      <c r="E1525" s="27" t="inlineStr">
        <is>
          <t>1609</t>
        </is>
      </c>
      <c r="F1525" s="27" t="n">
        <v>16</v>
      </c>
      <c r="G1525" s="27" t="n">
        <v>11</v>
      </c>
      <c r="H1525" s="27" t="n">
        <v>3200</v>
      </c>
      <c r="I1525" s="28">
        <f>G1525*H1525/1000*F1525^2/162</f>
        <v>55.6246913580247</v>
      </c>
    </row>
    <row r="1526">
      <c r="A1526" s="7" t="inlineStr">
        <is>
          <t>STR-037</t>
        </is>
      </c>
      <c r="B1526" s="7" t="inlineStr">
        <is>
          <t>Staircases</t>
        </is>
      </c>
      <c r="C1526" s="7" t="inlineStr">
        <is>
          <t>Emergency staircase typical flight (4th to 10th, one storey)</t>
        </is>
      </c>
      <c r="D1526" s="7" t="inlineStr">
        <is>
          <t>F08, F09, F10, F11, F12, F13</t>
        </is>
      </c>
      <c r="E1526" s="27" t="inlineStr">
        <is>
          <t>1610</t>
        </is>
      </c>
      <c r="F1526" s="27" t="n">
        <v>16</v>
      </c>
      <c r="G1526" s="27" t="n">
        <v>11</v>
      </c>
      <c r="H1526" s="27" t="n">
        <v>2000</v>
      </c>
      <c r="I1526" s="28">
        <f>G1526*H1526/1000*F1526^2/162</f>
        <v>34.76543209876543</v>
      </c>
    </row>
    <row r="1527">
      <c r="A1527" s="7" t="inlineStr">
        <is>
          <t>STR-039</t>
        </is>
      </c>
      <c r="B1527" s="7" t="inlineStr">
        <is>
          <t>Staircases</t>
        </is>
      </c>
      <c r="C1527" s="7" t="inlineStr">
        <is>
          <t>Emergency staircase 10th floor to roof top terrace</t>
        </is>
      </c>
      <c r="D1527" s="7" t="inlineStr">
        <is>
          <t>F14</t>
        </is>
      </c>
      <c r="E1527" s="27" t="inlineStr">
        <is>
          <t>1201</t>
        </is>
      </c>
      <c r="F1527" s="27" t="n">
        <v>12</v>
      </c>
      <c r="G1527" s="27" t="n">
        <v>30</v>
      </c>
      <c r="H1527" s="27" t="n">
        <v>6200</v>
      </c>
      <c r="I1527" s="28">
        <f>G1527*H1527/1000*F1527^2/162</f>
        <v>165.33333333333334</v>
      </c>
    </row>
    <row r="1528">
      <c r="A1528" s="7" t="inlineStr">
        <is>
          <t>STR-039</t>
        </is>
      </c>
      <c r="B1528" s="7" t="inlineStr">
        <is>
          <t>Staircases</t>
        </is>
      </c>
      <c r="C1528" s="7" t="inlineStr">
        <is>
          <t>Emergency staircase 10th floor to roof top terrace</t>
        </is>
      </c>
      <c r="D1528" s="7" t="inlineStr">
        <is>
          <t>F14</t>
        </is>
      </c>
      <c r="E1528" s="27" t="inlineStr">
        <is>
          <t>1202</t>
        </is>
      </c>
      <c r="F1528" s="27" t="n">
        <v>12</v>
      </c>
      <c r="G1528" s="27" t="n">
        <v>80</v>
      </c>
      <c r="H1528" s="27" t="n">
        <v>2300</v>
      </c>
      <c r="I1528" s="28">
        <f>G1528*H1528/1000*F1528^2/162</f>
        <v>163.55555555555554</v>
      </c>
    </row>
    <row r="1529">
      <c r="A1529" s="7" t="inlineStr">
        <is>
          <t>STR-039</t>
        </is>
      </c>
      <c r="B1529" s="7" t="inlineStr">
        <is>
          <t>Staircases</t>
        </is>
      </c>
      <c r="C1529" s="7" t="inlineStr">
        <is>
          <t>Emergency staircase 10th floor to roof top terrace</t>
        </is>
      </c>
      <c r="D1529" s="7" t="inlineStr">
        <is>
          <t>F14</t>
        </is>
      </c>
      <c r="E1529" s="27" t="inlineStr">
        <is>
          <t>1203</t>
        </is>
      </c>
      <c r="F1529" s="27" t="n">
        <v>12</v>
      </c>
      <c r="G1529" s="27" t="n">
        <v>26</v>
      </c>
      <c r="H1529" s="27" t="n">
        <v>4800</v>
      </c>
      <c r="I1529" s="28">
        <f>G1529*H1529/1000*F1529^2/162</f>
        <v>110.93333333333334</v>
      </c>
    </row>
    <row r="1530">
      <c r="A1530" s="7" t="inlineStr">
        <is>
          <t>STR-039</t>
        </is>
      </c>
      <c r="B1530" s="7" t="inlineStr">
        <is>
          <t>Staircases</t>
        </is>
      </c>
      <c r="C1530" s="7" t="inlineStr">
        <is>
          <t>Emergency staircase 10th floor to roof top terrace</t>
        </is>
      </c>
      <c r="D1530" s="7" t="inlineStr">
        <is>
          <t>F14</t>
        </is>
      </c>
      <c r="E1530" s="27" t="inlineStr">
        <is>
          <t>1601</t>
        </is>
      </c>
      <c r="F1530" s="27" t="n">
        <v>16</v>
      </c>
      <c r="G1530" s="27" t="n">
        <v>11</v>
      </c>
      <c r="H1530" s="27" t="n">
        <v>8175</v>
      </c>
      <c r="I1530" s="28">
        <f>G1530*H1530/1000*F1530^2/162</f>
        <v>142.1037037037037</v>
      </c>
    </row>
    <row r="1531">
      <c r="A1531" s="7" t="inlineStr">
        <is>
          <t>STR-039</t>
        </is>
      </c>
      <c r="B1531" s="7" t="inlineStr">
        <is>
          <t>Staircases</t>
        </is>
      </c>
      <c r="C1531" s="7" t="inlineStr">
        <is>
          <t>Emergency staircase 10th floor to roof top terrace</t>
        </is>
      </c>
      <c r="D1531" s="7" t="inlineStr">
        <is>
          <t>F14</t>
        </is>
      </c>
      <c r="E1531" s="27" t="inlineStr">
        <is>
          <t>1602</t>
        </is>
      </c>
      <c r="F1531" s="27" t="n">
        <v>16</v>
      </c>
      <c r="G1531" s="27" t="n">
        <v>11</v>
      </c>
      <c r="H1531" s="27" t="n">
        <v>2650</v>
      </c>
      <c r="I1531" s="28">
        <f>G1531*H1531/1000*F1531^2/162</f>
        <v>46.06419753086419</v>
      </c>
    </row>
    <row r="1532">
      <c r="A1532" s="7" t="inlineStr">
        <is>
          <t>STR-039</t>
        </is>
      </c>
      <c r="B1532" s="7" t="inlineStr">
        <is>
          <t>Staircases</t>
        </is>
      </c>
      <c r="C1532" s="7" t="inlineStr">
        <is>
          <t>Emergency staircase 10th floor to roof top terrace</t>
        </is>
      </c>
      <c r="D1532" s="7" t="inlineStr">
        <is>
          <t>F14</t>
        </is>
      </c>
      <c r="E1532" s="27" t="inlineStr">
        <is>
          <t>1603</t>
        </is>
      </c>
      <c r="F1532" s="27" t="n">
        <v>16</v>
      </c>
      <c r="G1532" s="27" t="n">
        <v>11</v>
      </c>
      <c r="H1532" s="27" t="n">
        <v>2400</v>
      </c>
      <c r="I1532" s="28">
        <f>G1532*H1532/1000*F1532^2/162</f>
        <v>41.718518518518515</v>
      </c>
    </row>
    <row r="1533">
      <c r="A1533" s="7" t="inlineStr">
        <is>
          <t>STR-039</t>
        </is>
      </c>
      <c r="B1533" s="7" t="inlineStr">
        <is>
          <t>Staircases</t>
        </is>
      </c>
      <c r="C1533" s="7" t="inlineStr">
        <is>
          <t>Emergency staircase 10th floor to roof top terrace</t>
        </is>
      </c>
      <c r="D1533" s="7" t="inlineStr">
        <is>
          <t>F14</t>
        </is>
      </c>
      <c r="E1533" s="27" t="inlineStr">
        <is>
          <t>1604</t>
        </is>
      </c>
      <c r="F1533" s="27" t="n">
        <v>16</v>
      </c>
      <c r="G1533" s="27" t="n">
        <v>11</v>
      </c>
      <c r="H1533" s="27" t="n">
        <v>4300</v>
      </c>
      <c r="I1533" s="28">
        <f>G1533*H1533/1000*F1533^2/162</f>
        <v>74.74567901234568</v>
      </c>
    </row>
    <row r="1534">
      <c r="A1534" s="7" t="inlineStr">
        <is>
          <t>STR-039</t>
        </is>
      </c>
      <c r="B1534" s="7" t="inlineStr">
        <is>
          <t>Staircases</t>
        </is>
      </c>
      <c r="C1534" s="7" t="inlineStr">
        <is>
          <t>Emergency staircase 10th floor to roof top terrace</t>
        </is>
      </c>
      <c r="D1534" s="7" t="inlineStr">
        <is>
          <t>F14</t>
        </is>
      </c>
      <c r="E1534" s="27" t="inlineStr">
        <is>
          <t>1605</t>
        </is>
      </c>
      <c r="F1534" s="27" t="n">
        <v>16</v>
      </c>
      <c r="G1534" s="27" t="n">
        <v>11</v>
      </c>
      <c r="H1534" s="27" t="n">
        <v>2100</v>
      </c>
      <c r="I1534" s="28">
        <f>G1534*H1534/1000*F1534^2/162</f>
        <v>36.50370370370371</v>
      </c>
    </row>
    <row r="1535">
      <c r="A1535" s="7" t="inlineStr">
        <is>
          <t>STR-039</t>
        </is>
      </c>
      <c r="B1535" s="7" t="inlineStr">
        <is>
          <t>Staircases</t>
        </is>
      </c>
      <c r="C1535" s="7" t="inlineStr">
        <is>
          <t>Emergency staircase 10th floor to roof top terrace</t>
        </is>
      </c>
      <c r="D1535" s="7" t="inlineStr">
        <is>
          <t>F14</t>
        </is>
      </c>
      <c r="E1535" s="27" t="inlineStr">
        <is>
          <t>1606</t>
        </is>
      </c>
      <c r="F1535" s="27" t="n">
        <v>16</v>
      </c>
      <c r="G1535" s="27" t="n">
        <v>11</v>
      </c>
      <c r="H1535" s="27" t="n">
        <v>6900</v>
      </c>
      <c r="I1535" s="28">
        <f>G1535*H1535/1000*F1535^2/162</f>
        <v>119.94074074074075</v>
      </c>
    </row>
    <row r="1536">
      <c r="A1536" s="7" t="inlineStr">
        <is>
          <t>STR-039</t>
        </is>
      </c>
      <c r="B1536" s="7" t="inlineStr">
        <is>
          <t>Staircases</t>
        </is>
      </c>
      <c r="C1536" s="7" t="inlineStr">
        <is>
          <t>Emergency staircase 10th floor to roof top terrace</t>
        </is>
      </c>
      <c r="D1536" s="7" t="inlineStr">
        <is>
          <t>F14</t>
        </is>
      </c>
      <c r="E1536" s="27" t="inlineStr">
        <is>
          <t>1607</t>
        </is>
      </c>
      <c r="F1536" s="27" t="n">
        <v>16</v>
      </c>
      <c r="G1536" s="27" t="n">
        <v>11</v>
      </c>
      <c r="H1536" s="27" t="n">
        <v>4800</v>
      </c>
      <c r="I1536" s="28">
        <f>G1536*H1536/1000*F1536^2/162</f>
        <v>83.43703703703703</v>
      </c>
    </row>
    <row r="1537">
      <c r="A1537" s="7" t="inlineStr">
        <is>
          <t>STR-039</t>
        </is>
      </c>
      <c r="B1537" s="7" t="inlineStr">
        <is>
          <t>Staircases</t>
        </is>
      </c>
      <c r="C1537" s="7" t="inlineStr">
        <is>
          <t>Emergency staircase 10th floor to roof top terrace</t>
        </is>
      </c>
      <c r="D1537" s="7" t="inlineStr">
        <is>
          <t>F14</t>
        </is>
      </c>
      <c r="E1537" s="27" t="inlineStr">
        <is>
          <t>1608</t>
        </is>
      </c>
      <c r="F1537" s="27" t="n">
        <v>16</v>
      </c>
      <c r="G1537" s="27" t="n">
        <v>11</v>
      </c>
      <c r="H1537" s="27" t="n">
        <v>3400</v>
      </c>
      <c r="I1537" s="28">
        <f>G1537*H1537/1000*F1537^2/162</f>
        <v>59.10123456790123</v>
      </c>
    </row>
    <row r="1538">
      <c r="A1538" s="7" t="inlineStr">
        <is>
          <t>STR-039</t>
        </is>
      </c>
      <c r="B1538" s="7" t="inlineStr">
        <is>
          <t>Staircases</t>
        </is>
      </c>
      <c r="C1538" s="7" t="inlineStr">
        <is>
          <t>Emergency staircase 10th floor to roof top terrace</t>
        </is>
      </c>
      <c r="D1538" s="7" t="inlineStr">
        <is>
          <t>F14</t>
        </is>
      </c>
      <c r="E1538" s="27" t="inlineStr">
        <is>
          <t>1609</t>
        </is>
      </c>
      <c r="F1538" s="27" t="n">
        <v>16</v>
      </c>
      <c r="G1538" s="27" t="n">
        <v>11</v>
      </c>
      <c r="H1538" s="27" t="n">
        <v>3200</v>
      </c>
      <c r="I1538" s="28">
        <f>G1538*H1538/1000*F1538^2/162</f>
        <v>55.6246913580247</v>
      </c>
    </row>
    <row r="1539">
      <c r="A1539" s="7" t="inlineStr">
        <is>
          <t>STR-039</t>
        </is>
      </c>
      <c r="B1539" s="7" t="inlineStr">
        <is>
          <t>Staircases</t>
        </is>
      </c>
      <c r="C1539" s="7" t="inlineStr">
        <is>
          <t>Emergency staircase 10th floor to roof top terrace</t>
        </is>
      </c>
      <c r="D1539" s="7" t="inlineStr">
        <is>
          <t>F14</t>
        </is>
      </c>
      <c r="E1539" s="27" t="inlineStr">
        <is>
          <t>1610</t>
        </is>
      </c>
      <c r="F1539" s="27" t="n">
        <v>16</v>
      </c>
      <c r="G1539" s="27" t="n">
        <v>11</v>
      </c>
      <c r="H1539" s="27" t="n">
        <v>2000</v>
      </c>
      <c r="I1539" s="28">
        <f>G1539*H1539/1000*F1539^2/162</f>
        <v>34.76543209876543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2026-09-27T12:06:47Z</dcterms:created>
  <dcterms:modified xsi:type="dcterms:W3CDTF">2026-09-27T12:06:50Z</dcterms:modified>
</cp:coreProperties>
</file>