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externalLinks/_rels/externalLink33.xml.rels" ContentType="application/vnd.openxmlformats-package.relationships+xml"/>
  <Override PartName="/xl/externalLinks/_rels/externalLink9.xml.rels" ContentType="application/vnd.openxmlformats-package.relationships+xml"/>
  <Override PartName="/xl/externalLinks/_rels/externalLink51.xml.rels" ContentType="application/vnd.openxmlformats-package.relationships+xml"/>
  <Override PartName="/xl/externalLinks/_rels/externalLink13.xml.rels" ContentType="application/vnd.openxmlformats-package.relationships+xml"/>
  <Override PartName="/xl/externalLinks/_rels/externalLink49.xml.rels" ContentType="application/vnd.openxmlformats-package.relationships+xml"/>
  <Override PartName="/xl/externalLinks/_rels/externalLink12.xml.rels" ContentType="application/vnd.openxmlformats-package.relationships+xml"/>
  <Override PartName="/xl/externalLinks/_rels/externalLink48.xml.rels" ContentType="application/vnd.openxmlformats-package.relationships+xml"/>
  <Override PartName="/xl/externalLinks/_rels/externalLink11.xml.rels" ContentType="application/vnd.openxmlformats-package.relationships+xml"/>
  <Override PartName="/xl/externalLinks/_rels/externalLink27.xml.rels" ContentType="application/vnd.openxmlformats-package.relationships+xml"/>
  <Override PartName="/xl/externalLinks/_rels/externalLink47.xml.rels" ContentType="application/vnd.openxmlformats-package.relationships+xml"/>
  <Override PartName="/xl/externalLinks/_rels/externalLink10.xml.rels" ContentType="application/vnd.openxmlformats-package.relationships+xml"/>
  <Override PartName="/xl/externalLinks/_rels/externalLink26.xml.rels" ContentType="application/vnd.openxmlformats-package.relationships+xml"/>
  <Override PartName="/xl/externalLinks/_rels/externalLink79.xml.rels" ContentType="application/vnd.openxmlformats-package.relationships+xml"/>
  <Override PartName="/xl/externalLinks/_rels/externalLink25.xml.rels" ContentType="application/vnd.openxmlformats-package.relationships+xml"/>
  <Override PartName="/xl/externalLinks/_rels/externalLink78.xml.rels" ContentType="application/vnd.openxmlformats-package.relationships+xml"/>
  <Override PartName="/xl/externalLinks/_rels/externalLink24.xml.rels" ContentType="application/vnd.openxmlformats-package.relationships+xml"/>
  <Override PartName="/xl/externalLinks/_rels/externalLink23.xml.rels" ContentType="application/vnd.openxmlformats-package.relationships+xml"/>
  <Override PartName="/xl/externalLinks/_rels/externalLink14.xml.rels" ContentType="application/vnd.openxmlformats-package.relationships+xml"/>
  <Override PartName="/xl/externalLinks/_rels/externalLink15.xml.rels" ContentType="application/vnd.openxmlformats-package.relationships+xml"/>
  <Override PartName="/xl/externalLinks/_rels/externalLink4.xml.rels" ContentType="application/vnd.openxmlformats-package.relationships+xml"/>
  <Override PartName="/xl/externalLinks/_rels/externalLink61.xml.rels" ContentType="application/vnd.openxmlformats-package.relationships+xml"/>
  <Override PartName="/xl/externalLinks/_rels/externalLink19.xml.rels" ContentType="application/vnd.openxmlformats-package.relationships+xml"/>
  <Override PartName="/xl/externalLinks/_rels/externalLink57.xml.rels" ContentType="application/vnd.openxmlformats-package.relationships+xml"/>
  <Override PartName="/xl/externalLinks/_rels/externalLink20.xml.rels" ContentType="application/vnd.openxmlformats-package.relationships+xml"/>
  <Override PartName="/xl/externalLinks/_rels/externalLink58.xml.rels" ContentType="application/vnd.openxmlformats-package.relationships+xml"/>
  <Override PartName="/xl/externalLinks/_rels/externalLink21.xml.rels" ContentType="application/vnd.openxmlformats-package.relationships+xml"/>
  <Override PartName="/xl/externalLinks/_rels/externalLink60.xml.rels" ContentType="application/vnd.openxmlformats-package.relationships+xml"/>
  <Override PartName="/xl/externalLinks/_rels/externalLink18.xml.rels" ContentType="application/vnd.openxmlformats-package.relationships+xml"/>
  <Override PartName="/xl/externalLinks/_rels/externalLink34.xml.rels" ContentType="application/vnd.openxmlformats-package.relationships+xml"/>
  <Override PartName="/xl/externalLinks/_rels/externalLink35.xml.rels" ContentType="application/vnd.openxmlformats-package.relationships+xml"/>
  <Override PartName="/xl/externalLinks/_rels/externalLink36.xml.rels" ContentType="application/vnd.openxmlformats-package.relationships+xml"/>
  <Override PartName="/xl/externalLinks/_rels/externalLink37.xml.rels" ContentType="application/vnd.openxmlformats-package.relationships+xml"/>
  <Override PartName="/xl/externalLinks/_rels/externalLink56.xml.rels" ContentType="application/vnd.openxmlformats-package.relationships+xml"/>
  <Override PartName="/xl/externalLinks/_rels/externalLink44.xml.rels" ContentType="application/vnd.openxmlformats-package.relationships+xml"/>
  <Override PartName="/xl/externalLinks/_rels/externalLink55.xml.rels" ContentType="application/vnd.openxmlformats-package.relationships+xml"/>
  <Override PartName="/xl/externalLinks/_rels/externalLink43.xml.rels" ContentType="application/vnd.openxmlformats-package.relationships+xml"/>
  <Override PartName="/xl/externalLinks/_rels/externalLink17.xml.rels" ContentType="application/vnd.openxmlformats-package.relationships+xml"/>
  <Override PartName="/xl/externalLinks/_rels/externalLink54.xml.rels" ContentType="application/vnd.openxmlformats-package.relationships+xml"/>
  <Override PartName="/xl/externalLinks/_rels/externalLink77.xml.rels" ContentType="application/vnd.openxmlformats-package.relationships+xml"/>
  <Override PartName="/xl/externalLinks/_rels/externalLink40.xml.rels" ContentType="application/vnd.openxmlformats-package.relationships+xml"/>
  <Override PartName="/xl/externalLinks/_rels/externalLink42.xml.rels" ContentType="application/vnd.openxmlformats-package.relationships+xml"/>
  <Override PartName="/xl/externalLinks/_rels/externalLink16.xml.rels" ContentType="application/vnd.openxmlformats-package.relationships+xml"/>
  <Override PartName="/xl/externalLinks/_rels/externalLink53.xml.rels" ContentType="application/vnd.openxmlformats-package.relationships+xml"/>
  <Override PartName="/xl/externalLinks/_rels/externalLink52.xml.rels" ContentType="application/vnd.openxmlformats-package.relationships+xml"/>
  <Override PartName="/xl/externalLinks/_rels/externalLink38.xml.rels" ContentType="application/vnd.openxmlformats-package.relationships+xml"/>
  <Override PartName="/xl/externalLinks/_rels/externalLink46.xml.rels" ContentType="application/vnd.openxmlformats-package.relationships+xml"/>
  <Override PartName="/xl/externalLinks/_rels/externalLink45.xml.rels" ContentType="application/vnd.openxmlformats-package.relationships+xml"/>
  <Override PartName="/xl/externalLinks/_rels/externalLink41.xml.rels" ContentType="application/vnd.openxmlformats-package.relationships+xml"/>
  <Override PartName="/xl/externalLinks/_rels/externalLink39.xml.rels" ContentType="application/vnd.openxmlformats-package.relationships+xml"/>
  <Override PartName="/xl/externalLinks/_rels/externalLink22.xml.rels" ContentType="application/vnd.openxmlformats-package.relationships+xml"/>
  <Override PartName="/xl/externalLinks/_rels/externalLink59.xml.rels" ContentType="application/vnd.openxmlformats-package.relationships+xml"/>
  <Override PartName="/xl/externalLinks/_rels/externalLink62.xml.rels" ContentType="application/vnd.openxmlformats-package.relationships+xml"/>
  <Override PartName="/xl/externalLinks/_rels/externalLink1.xml.rels" ContentType="application/vnd.openxmlformats-package.relationships+xml"/>
  <Override PartName="/xl/externalLinks/_rels/externalLink63.xml.rels" ContentType="application/vnd.openxmlformats-package.relationships+xml"/>
  <Override PartName="/xl/externalLinks/_rels/externalLink2.xml.rels" ContentType="application/vnd.openxmlformats-package.relationships+xml"/>
  <Override PartName="/xl/externalLinks/_rels/externalLink76.xml.rels" ContentType="application/vnd.openxmlformats-package.relationships+xml"/>
  <Override PartName="/xl/externalLinks/_rels/externalLink64.xml.rels" ContentType="application/vnd.openxmlformats-package.relationships+xml"/>
  <Override PartName="/xl/externalLinks/_rels/externalLink3.xml.rels" ContentType="application/vnd.openxmlformats-package.relationships+xml"/>
  <Override PartName="/xl/externalLinks/_rels/externalLink75.xml.rels" ContentType="application/vnd.openxmlformats-package.relationships+xml"/>
  <Override PartName="/xl/externalLinks/_rels/externalLink74.xml.rels" ContentType="application/vnd.openxmlformats-package.relationships+xml"/>
  <Override PartName="/xl/externalLinks/_rels/externalLink73.xml.rels" ContentType="application/vnd.openxmlformats-package.relationships+xml"/>
  <Override PartName="/xl/externalLinks/_rels/externalLink72.xml.rels" ContentType="application/vnd.openxmlformats-package.relationships+xml"/>
  <Override PartName="/xl/externalLinks/_rels/externalLink71.xml.rels" ContentType="application/vnd.openxmlformats-package.relationships+xml"/>
  <Override PartName="/xl/externalLinks/_rels/externalLink29.xml.rels" ContentType="application/vnd.openxmlformats-package.relationships+xml"/>
  <Override PartName="/xl/externalLinks/_rels/externalLink69.xml.rels" ContentType="application/vnd.openxmlformats-package.relationships+xml"/>
  <Override PartName="/xl/externalLinks/_rels/externalLink32.xml.rels" ContentType="application/vnd.openxmlformats-package.relationships+xml"/>
  <Override PartName="/xl/externalLinks/_rels/externalLink8.xml.rels" ContentType="application/vnd.openxmlformats-package.relationships+xml"/>
  <Override PartName="/xl/externalLinks/_rels/externalLink50.xml.rels" ContentType="application/vnd.openxmlformats-package.relationships+xml"/>
  <Override PartName="/xl/externalLinks/_rels/externalLink70.xml.rels" ContentType="application/vnd.openxmlformats-package.relationships+xml"/>
  <Override PartName="/xl/externalLinks/_rels/externalLink28.xml.rels" ContentType="application/vnd.openxmlformats-package.relationships+xml"/>
  <Override PartName="/xl/externalLinks/_rels/externalLink68.xml.rels" ContentType="application/vnd.openxmlformats-package.relationships+xml"/>
  <Override PartName="/xl/externalLinks/_rels/externalLink7.xml.rels" ContentType="application/vnd.openxmlformats-package.relationships+xml"/>
  <Override PartName="/xl/externalLinks/_rels/externalLink31.xml.rels" ContentType="application/vnd.openxmlformats-package.relationships+xml"/>
  <Override PartName="/xl/externalLinks/_rels/externalLink67.xml.rels" ContentType="application/vnd.openxmlformats-package.relationships+xml"/>
  <Override PartName="/xl/externalLinks/_rels/externalLink6.xml.rels" ContentType="application/vnd.openxmlformats-package.relationships+xml"/>
  <Override PartName="/xl/externalLinks/_rels/externalLink30.xml.rels" ContentType="application/vnd.openxmlformats-package.relationships+xml"/>
  <Override PartName="/xl/externalLinks/_rels/externalLink66.xml.rels" ContentType="application/vnd.openxmlformats-package.relationships+xml"/>
  <Override PartName="/xl/externalLinks/_rels/externalLink5.xml.rels" ContentType="application/vnd.openxmlformats-package.relationships+xml"/>
  <Override PartName="/xl/externalLinks/_rels/externalLink65.xml.rels" ContentType="application/vnd.openxmlformats-package.relationships+xml"/>
  <Override PartName="/xl/externalLinks/externalLink56.xml" ContentType="application/vnd.openxmlformats-officedocument.spreadsheetml.externalLink+xml"/>
  <Override PartName="/xl/externalLinks/externalLink55.xml" ContentType="application/vnd.openxmlformats-officedocument.spreadsheetml.externalLink+xml"/>
  <Override PartName="/xl/externalLinks/externalLink54.xml" ContentType="application/vnd.openxmlformats-officedocument.spreadsheetml.externalLink+xml"/>
  <Override PartName="/xl/externalLinks/externalLink53.xml" ContentType="application/vnd.openxmlformats-officedocument.spreadsheetml.externalLink+xml"/>
  <Override PartName="/xl/externalLinks/externalLink52.xml" ContentType="application/vnd.openxmlformats-officedocument.spreadsheetml.externalLink+xml"/>
  <Override PartName="/xl/externalLinks/externalLink51.xml" ContentType="application/vnd.openxmlformats-officedocument.spreadsheetml.externalLink+xml"/>
  <Override PartName="/xl/externalLinks/externalLink50.xml" ContentType="application/vnd.openxmlformats-officedocument.spreadsheetml.externalLink+xml"/>
  <Override PartName="/xl/externalLinks/externalLink46.xml" ContentType="application/vnd.openxmlformats-officedocument.spreadsheetml.externalLink+xml"/>
  <Override PartName="/xl/externalLinks/externalLink45.xml" ContentType="application/vnd.openxmlformats-officedocument.spreadsheetml.externalLink+xml"/>
  <Override PartName="/xl/externalLinks/externalLink44.xml" ContentType="application/vnd.openxmlformats-officedocument.spreadsheetml.externalLink+xml"/>
  <Override PartName="/xl/externalLinks/externalLink43.xml" ContentType="application/vnd.openxmlformats-officedocument.spreadsheetml.externalLink+xml"/>
  <Override PartName="/xl/externalLinks/externalLink42.xml" ContentType="application/vnd.openxmlformats-officedocument.spreadsheetml.externalLink+xml"/>
  <Override PartName="/xl/externalLinks/externalLink41.xml" ContentType="application/vnd.openxmlformats-officedocument.spreadsheetml.externalLink+xml"/>
  <Override PartName="/xl/externalLinks/externalLink40.xml" ContentType="application/vnd.openxmlformats-officedocument.spreadsheetml.externalLink+xml"/>
  <Override PartName="/xl/externalLinks/externalLink39.xml" ContentType="application/vnd.openxmlformats-officedocument.spreadsheetml.externalLink+xml"/>
  <Override PartName="/xl/externalLinks/externalLink38.xml" ContentType="application/vnd.openxmlformats-officedocument.spreadsheetml.externalLink+xml"/>
  <Override PartName="/xl/externalLinks/externalLink37.xml" ContentType="application/vnd.openxmlformats-officedocument.spreadsheetml.externalLink+xml"/>
  <Override PartName="/xl/externalLinks/externalLink36.xml" ContentType="application/vnd.openxmlformats-officedocument.spreadsheetml.externalLink+xml"/>
  <Override PartName="/xl/externalLinks/externalLink35.xml" ContentType="application/vnd.openxmlformats-officedocument.spreadsheetml.externalLink+xml"/>
  <Override PartName="/xl/externalLinks/externalLink34.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60.xml" ContentType="application/vnd.openxmlformats-officedocument.spreadsheetml.externalLink+xml"/>
  <Override PartName="/xl/externalLinks/externalLink20.xml" ContentType="application/vnd.openxmlformats-officedocument.spreadsheetml.externalLink+xml"/>
  <Override PartName="/xl/externalLinks/externalLink57.xml" ContentType="application/vnd.openxmlformats-officedocument.spreadsheetml.externalLink+xml"/>
  <Override PartName="/xl/externalLinks/externalLink19.xml" ContentType="application/vnd.openxmlformats-officedocument.spreadsheetml.externalLink+xml"/>
  <Override PartName="/xl/externalLinks/externalLink77.xml" ContentType="application/vnd.openxmlformats-officedocument.spreadsheetml.externalLink+xml"/>
  <Override PartName="/xl/externalLinks/externalLink1.xml" ContentType="application/vnd.openxmlformats-officedocument.spreadsheetml.externalLink+xml"/>
  <Override PartName="/xl/externalLinks/externalLink61.xml" ContentType="application/vnd.openxmlformats-officedocument.spreadsheetml.externalLink+xml"/>
  <Override PartName="/xl/externalLinks/externalLink21.xml" ContentType="application/vnd.openxmlformats-officedocument.spreadsheetml.externalLink+xml"/>
  <Override PartName="/xl/externalLinks/externalLink58.xml" ContentType="application/vnd.openxmlformats-officedocument.spreadsheetml.externalLink+xml"/>
  <Override PartName="/xl/externalLinks/externalLink22.xml" ContentType="application/vnd.openxmlformats-officedocument.spreadsheetml.externalLink+xml"/>
  <Override PartName="/xl/externalLinks/externalLink59.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76.xml" ContentType="application/vnd.openxmlformats-officedocument.spreadsheetml.externalLink+xml"/>
  <Override PartName="/xl/externalLinks/externalLink64.xml" ContentType="application/vnd.openxmlformats-officedocument.spreadsheetml.externalLink+xml"/>
  <Override PartName="/xl/externalLinks/externalLink4.xml" ContentType="application/vnd.openxmlformats-officedocument.spreadsheetml.externalLink+xml"/>
  <Override PartName="/xl/externalLinks/externalLink75.xml" ContentType="application/vnd.openxmlformats-officedocument.spreadsheetml.externalLink+xml"/>
  <Override PartName="/xl/externalLinks/externalLink74.xml" ContentType="application/vnd.openxmlformats-officedocument.spreadsheetml.externalLink+xml"/>
  <Override PartName="/xl/externalLinks/externalLink73.xml" ContentType="application/vnd.openxmlformats-officedocument.spreadsheetml.externalLink+xml"/>
  <Override PartName="/xl/externalLinks/externalLink72.xml" ContentType="application/vnd.openxmlformats-officedocument.spreadsheetml.externalLink+xml"/>
  <Override PartName="/xl/externalLinks/externalLink71.xml" ContentType="application/vnd.openxmlformats-officedocument.spreadsheetml.externalLink+xml"/>
  <Override PartName="/xl/externalLinks/externalLink29.xml" ContentType="application/vnd.openxmlformats-officedocument.spreadsheetml.externalLink+xml"/>
  <Override PartName="/xl/externalLinks/externalLink69.xml" ContentType="application/vnd.openxmlformats-officedocument.spreadsheetml.externalLink+xml"/>
  <Override PartName="/xl/externalLinks/externalLink9.xml" ContentType="application/vnd.openxmlformats-officedocument.spreadsheetml.externalLink+xml"/>
  <Override PartName="/xl/externalLinks/externalLink32.xml" ContentType="application/vnd.openxmlformats-officedocument.spreadsheetml.externalLink+xml"/>
  <Override PartName="/xl/externalLinks/externalLink70.xml" ContentType="application/vnd.openxmlformats-officedocument.spreadsheetml.externalLink+xml"/>
  <Override PartName="/xl/externalLinks/externalLink28.xml" ContentType="application/vnd.openxmlformats-officedocument.spreadsheetml.externalLink+xml"/>
  <Override PartName="/xl/externalLinks/externalLink68.xml" ContentType="application/vnd.openxmlformats-officedocument.spreadsheetml.externalLink+xml"/>
  <Override PartName="/xl/externalLinks/externalLink8.xml" ContentType="application/vnd.openxmlformats-officedocument.spreadsheetml.externalLink+xml"/>
  <Override PartName="/xl/externalLinks/externalLink31.xml" ContentType="application/vnd.openxmlformats-officedocument.spreadsheetml.externalLink+xml"/>
  <Override PartName="/xl/externalLinks/externalLink67.xml" ContentType="application/vnd.openxmlformats-officedocument.spreadsheetml.externalLink+xml"/>
  <Override PartName="/xl/externalLinks/externalLink7.xml" ContentType="application/vnd.openxmlformats-officedocument.spreadsheetml.externalLink+xml"/>
  <Override PartName="/xl/externalLinks/externalLink30.xml" ContentType="application/vnd.openxmlformats-officedocument.spreadsheetml.externalLink+xml"/>
  <Override PartName="/xl/externalLinks/externalLink66.xml" ContentType="application/vnd.openxmlformats-officedocument.spreadsheetml.externalLink+xml"/>
  <Override PartName="/xl/externalLinks/externalLink6.xml" ContentType="application/vnd.openxmlformats-officedocument.spreadsheetml.externalLink+xml"/>
  <Override PartName="/xl/externalLinks/externalLink65.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4.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xml" ContentType="application/vnd.openxmlformats-officedocument.spreadsheetml.externalLink+xml"/>
  <Override PartName="/xl/externalLinks/externalLink78.xml" ContentType="application/vnd.openxmlformats-officedocument.spreadsheetml.externalLink+xml"/>
  <Override PartName="/xl/externalLinks/externalLink25.xml" ContentType="application/vnd.openxmlformats-officedocument.spreadsheetml.externalLink+xml"/>
  <Override PartName="/xl/externalLinks/externalLink3.xml" ContentType="application/vnd.openxmlformats-officedocument.spreadsheetml.externalLink+xml"/>
  <Override PartName="/xl/externalLinks/externalLink79.xml" ContentType="application/vnd.openxmlformats-officedocument.spreadsheetml.externalLink+xml"/>
  <Override PartName="/xl/externalLinks/externalLink26.xml" ContentType="application/vnd.openxmlformats-officedocument.spreadsheetml.externalLink+xml"/>
  <Override PartName="/xl/externalLinks/externalLink10.xml" ContentType="application/vnd.openxmlformats-officedocument.spreadsheetml.externalLink+xml"/>
  <Override PartName="/xl/externalLinks/externalLink47.xml" ContentType="application/vnd.openxmlformats-officedocument.spreadsheetml.externalLink+xml"/>
  <Override PartName="/xl/externalLinks/externalLink27.xml" ContentType="application/vnd.openxmlformats-officedocument.spreadsheetml.externalLink+xml"/>
  <Override PartName="/xl/externalLinks/externalLink11.xml" ContentType="application/vnd.openxmlformats-officedocument.spreadsheetml.externalLink+xml"/>
  <Override PartName="/xl/externalLinks/externalLink48.xml" ContentType="application/vnd.openxmlformats-officedocument.spreadsheetml.externalLink+xml"/>
  <Override PartName="/xl/externalLinks/externalLink12.xml" ContentType="application/vnd.openxmlformats-officedocument.spreadsheetml.externalLink+xml"/>
  <Override PartName="/xl/externalLinks/externalLink49.xml" ContentType="application/vnd.openxmlformats-officedocument.spreadsheetml.externalLink+xml"/>
  <Override PartName="/xl/externalLinks/externalLink13.xml" ContentType="application/vnd.openxmlformats-officedocument.spreadsheetml.externalLink+xml"/>
  <Override PartName="/xl/externalLinks/externalLink33.xml" ContentType="application/vnd.openxmlformats-officedocument.spreadsheetml.externalLink+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TY SUMM" sheetId="1" state="visible" r:id="rId3"/>
    <sheet name="DRAWING CHECK" sheetId="2" state="visible" r:id="rId4"/>
    <sheet name="CEILING FINISHES SCHEDULE" sheetId="3" state="visible" r:id="rId5"/>
    <sheet name="BLOCK WORK" sheetId="4" state="visible" r:id="rId6"/>
    <sheet name="PLASTERING" sheetId="5" state="visible" r:id="rId7"/>
    <sheet name="PLASTERBOARD PARTITION " sheetId="6" state="visible" r:id="rId8"/>
    <sheet name="CEMENT PARTITION  " sheetId="7" state="visible" r:id="rId9"/>
    <sheet name="GLASS PARTITION" sheetId="8" state="visible" r:id="rId10"/>
    <sheet name="WINDOWS AND DOORS SCHEDULE" sheetId="9" state="visible" r:id="rId11"/>
    <sheet name="BASEMENT CEILING LAYOUT" sheetId="10" state="visible" r:id="rId12"/>
    <sheet name="GROUND FLOOR CEILING LAYOUT" sheetId="11" state="visible" r:id="rId13"/>
    <sheet name="FIRST FLOOR CEILING LAYOUT " sheetId="12" state="visible" r:id="rId14"/>
    <sheet name="SECOND FLOOR CEILING LAYOUT " sheetId="13" state="visible" r:id="rId15"/>
    <sheet name="THIRD FLOOR CEILING LAYOUT " sheetId="14" state="visible" r:id="rId16"/>
    <sheet name="FOURTH FLOOR CEILING LAYOUT  " sheetId="15" state="visible" r:id="rId17"/>
    <sheet name="FIFTH FLOOR CEILING LAYOUT" sheetId="16" state="visible"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s>
  <definedNames>
    <definedName function="false" hidden="true" name="A" vbProcedure="false">{#N/A,#N/A,FALSE,"mpph1";#N/A,#N/A,FALSE,"mpmseb";#N/A,#N/A,FALSE,"mpph2"}</definedName>
    <definedName function="false" hidden="false" name="a._Trimmer" vbProcedure="false">#REF!</definedName>
    <definedName function="false" hidden="false" name="A10_" vbProcedure="false">#REF!</definedName>
    <definedName function="false" hidden="false" name="A10____0" vbProcedure="false">#REF!</definedName>
    <definedName function="false" hidden="false" name="A10____13" vbProcedure="false">#REF!</definedName>
    <definedName function="false" hidden="false" name="A13_" vbProcedure="false">#REF!</definedName>
    <definedName function="false" hidden="false" name="A13____0" vbProcedure="false">#REF!</definedName>
    <definedName function="false" hidden="false" name="A13____13" vbProcedure="false">#REF!</definedName>
    <definedName function="false" hidden="false" name="A1_" vbProcedure="false">#REF!</definedName>
    <definedName function="false" hidden="false" name="A1____0" vbProcedure="false">#REF!</definedName>
    <definedName function="false" hidden="false" name="A1____13" vbProcedure="false">#REF!</definedName>
    <definedName function="false" hidden="false" name="A2_" vbProcedure="false">#REF!</definedName>
    <definedName function="false" hidden="false" name="A2____0" vbProcedure="false">#REF!</definedName>
    <definedName function="false" hidden="false" name="A2____13" vbProcedure="false">#REF!</definedName>
    <definedName function="false" hidden="false" name="A3_" vbProcedure="false">#REF!</definedName>
    <definedName function="false" hidden="false" name="A3____0" vbProcedure="false">#REF!</definedName>
    <definedName function="false" hidden="false" name="A3____13" vbProcedure="false">#REF!</definedName>
    <definedName function="false" hidden="false" name="A4_" vbProcedure="false">#REF!</definedName>
    <definedName function="false" hidden="false" name="A4____0" vbProcedure="false">#REF!</definedName>
    <definedName function="false" hidden="false" name="A4____13" vbProcedure="false">#REF!</definedName>
    <definedName function="false" hidden="false" name="A5_" vbProcedure="false">#REF!</definedName>
    <definedName function="false" hidden="false" name="A5____0" vbProcedure="false">#REF!</definedName>
    <definedName function="false" hidden="false" name="A5____13" vbProcedure="false">#REF!</definedName>
    <definedName function="false" hidden="false" name="A6_" vbProcedure="false">#REF!</definedName>
    <definedName function="false" hidden="false" name="A6____0" vbProcedure="false">#REF!</definedName>
    <definedName function="false" hidden="false" name="A6____13" vbProcedure="false">#REF!</definedName>
    <definedName function="false" hidden="false" name="A7_" vbProcedure="false">#REF!</definedName>
    <definedName function="false" hidden="false" name="A7____0" vbProcedure="false">#REF!</definedName>
    <definedName function="false" hidden="false" name="A7____13" vbProcedure="false">#REF!</definedName>
    <definedName function="false" hidden="false" name="A8_" vbProcedure="false">#REF!</definedName>
    <definedName function="false" hidden="false" name="A8____0" vbProcedure="false">#REF!</definedName>
    <definedName function="false" hidden="false" name="A8____13" vbProcedure="false">#REF!</definedName>
    <definedName function="false" hidden="false" name="A9_" vbProcedure="false">#REF!</definedName>
    <definedName function="false" hidden="false" name="A9____0" vbProcedure="false">#REF!</definedName>
    <definedName function="false" hidden="false" name="A9____13" vbProcedure="false">#REF!</definedName>
    <definedName function="false" hidden="true" name="AA" vbProcedure="false">{#N/A,#N/A,FALSE,"mpph1";#N/A,#N/A,FALSE,"mpmseb";#N/A,#N/A,FALSE,"mpph2"}</definedName>
    <definedName function="false" hidden="false" name="aaa" vbProcedure="false">#REF!</definedName>
    <definedName function="false" hidden="false" name="AAAA" vbProcedure="false">#REF!</definedName>
    <definedName function="false" hidden="false" name="aaaaaaaaa" vbProcedure="false">#REF!</definedName>
    <definedName function="false" hidden="false" name="aaainput" vbProcedure="false">#REF!</definedName>
    <definedName function="false" hidden="false" name="aainput" vbProcedure="false">#REF!</definedName>
    <definedName function="false" hidden="false" name="AB" vbProcedure="false">#REF!</definedName>
    <definedName function="false" hidden="false" name="abc" vbProcedure="false">#REF!</definedName>
    <definedName function="false" hidden="false" name="abcd" vbProcedure="false">#REF!</definedName>
    <definedName function="false" hidden="false" name="Abs" vbProcedure="false">#REF!</definedName>
    <definedName function="false" hidden="false" name="ABSTRACT" vbProcedure="false">#REF!</definedName>
    <definedName function="false" hidden="false" name="AC" vbProcedure="false">#REF!</definedName>
    <definedName function="false" hidden="false" name="acab" vbProcedure="false">#REF!</definedName>
    <definedName function="false" hidden="false" name="acBridge" vbProcedure="false">#REF!</definedName>
    <definedName function="false" hidden="false" name="accab" vbProcedure="false">#REF!</definedName>
    <definedName function="false" hidden="false" name="ACCIDENT" vbProcedure="false">#REF!</definedName>
    <definedName function="false" hidden="false" name="ACCOMODATION_DROUBI_OVERHEAD" vbProcedure="false">[8]DATA!$I$5</definedName>
    <definedName function="false" hidden="false" name="acon" vbProcedure="false">#REF!</definedName>
    <definedName function="false" hidden="false" name="Acost" vbProcedure="false">#REF!</definedName>
    <definedName function="false" hidden="false" name="ACOSTTT" vbProcedure="false">#REF!</definedName>
    <definedName function="false" hidden="false" name="ACSYSTEM" vbProcedure="false">#REF!</definedName>
    <definedName function="false" hidden="false" name="acv" vbProcedure="false">#REF!</definedName>
    <definedName function="false" hidden="false" name="adj" vbProcedure="false">#REF!</definedName>
    <definedName function="false" hidden="false" name="ADJUST" vbProcedure="false">#REF!</definedName>
    <definedName function="false" hidden="false" name="ADMIN" vbProcedure="false">#REF!</definedName>
    <definedName function="false" hidden="false" name="ADMIX" vbProcedure="false">[9]SUB!$C$1</definedName>
    <definedName function="false" hidden="false" name="admn_off" vbProcedure="false">#REF!</definedName>
    <definedName function="false" hidden="false" name="admn_site" vbProcedure="false">#REF!</definedName>
    <definedName function="false" hidden="false" name="afy" vbProcedure="false">#REF!</definedName>
    <definedName function="false" hidden="false" name="Ag" vbProcedure="false">#REF!</definedName>
    <definedName function="false" hidden="false" name="Ag___0" vbProcedure="false">#REF!</definedName>
    <definedName function="false" hidden="false" name="Ag___13" vbProcedure="false">#REF!</definedName>
    <definedName function="false" hidden="false" name="ahu" vbProcedure="false">#REF!</definedName>
    <definedName function="false" hidden="false" name="AIRDIFF1" vbProcedure="false">'[2]graphic bill of quantities'!#ref!</definedName>
    <definedName function="false" hidden="false" name="air_trap" vbProcedure="false">#REF!</definedName>
    <definedName function="false" hidden="false" name="aiv" vbProcedure="false">#REF!</definedName>
    <definedName function="false" hidden="false" name="aiv_2" vbProcedure="false">#REF!</definedName>
    <definedName function="false" hidden="false" name="ALDENSITY" vbProcedure="false">[10]CABLERET!$B$10</definedName>
    <definedName function="false" hidden="false" name="alload" vbProcedure="false">[10]CABLERET!$D$13:$D$128</definedName>
    <definedName function="false" hidden="false" name="Allowance" vbProcedure="false">#REF!</definedName>
    <definedName function="false" hidden="false" name="ALMARGIN" vbProcedure="false">[10]CABLERET!$D$7</definedName>
    <definedName function="false" hidden="false" name="alpha" vbProcedure="false">#REF!</definedName>
    <definedName function="false" hidden="false" name="Alphabet" vbProcedure="false">#REF!</definedName>
    <definedName function="false" hidden="false" name="Alw" vbProcedure="false">#REF!</definedName>
    <definedName function="false" hidden="false" name="Amount" vbProcedure="false">#NAME?</definedName>
    <definedName function="false" hidden="false" name="AmountGR" vbProcedure="false">#REF!</definedName>
    <definedName function="false" hidden="false" name="AMOUNTQQ" vbProcedure="false">#REF!</definedName>
    <definedName function="false" hidden="false" name="AmountSer" vbProcedure="false">#REF!</definedName>
    <definedName function="false" hidden="false" name="ANA" vbProcedure="false">'[11]warehouse -(removed)'!#ref!</definedName>
    <definedName function="false" hidden="false" name="ANCILLARY" vbProcedure="false">'[12]electrical factors block'!#ref!</definedName>
    <definedName function="false" hidden="false" name="angle" vbProcedure="false">#REF!</definedName>
    <definedName function="false" hidden="false" name="ann" vbProcedure="false">#REF!</definedName>
    <definedName function="false" hidden="false" name="anne" vbProcedure="false">#REF!</definedName>
    <definedName function="false" hidden="false" name="annealing" vbProcedure="false">#REF!</definedName>
    <definedName function="false" hidden="false" name="annealing1" vbProcedure="false">#REF!</definedName>
    <definedName function="false" hidden="false" name="Approachslab" vbProcedure="false">#REF!</definedName>
    <definedName function="false" hidden="false" name="apr03rate" vbProcedure="false">#REF!</definedName>
    <definedName function="false" hidden="false" name="april_qty" vbProcedure="false">#REF!</definedName>
    <definedName function="false" hidden="false" name="aps" vbProcedure="false">#REF!</definedName>
    <definedName function="false" hidden="true" name="AQWE" vbProcedure="false">{#N/A,#N/A,FALSE,"mpph1";#N/A,#N/A,FALSE,"mpmseb";#N/A,#N/A,FALSE,"mpph2"}</definedName>
    <definedName function="false" hidden="false" name="ararearer" vbProcedure="false">#REF!</definedName>
    <definedName function="false" hidden="false" name="Architect" vbProcedure="false">#REF!</definedName>
    <definedName function="false" hidden="false" name="ARCHITECTURAL" vbProcedure="false">#REF!</definedName>
    <definedName function="false" hidden="false" name="AREA" vbProcedure="false">#REF!</definedName>
    <definedName function="false" hidden="false" name="as" vbProcedure="false">#REF!</definedName>
    <definedName function="false" hidden="false" name="ascd" vbProcedure="false">[13]rates!#ref!</definedName>
    <definedName function="false" hidden="false" name="asd" vbProcedure="false">#REF!</definedName>
    <definedName function="false" hidden="false" name="ASHOKA" vbProcedure="false">#REF!</definedName>
    <definedName function="false" hidden="false" name="aug03rate" vbProcedure="false">#REF!</definedName>
    <definedName function="false" hidden="false" name="Average" vbProcedure="false">[14]ALLOWANCES!$D$8</definedName>
    <definedName function="false" hidden="false" name="a__Labour_charges_for_cutting_bending__welding_including_materials." vbProcedure="false">#REF!</definedName>
    <definedName function="false" hidden="false" name="a___0" vbProcedure="false">#REF!</definedName>
    <definedName function="false" hidden="false" name="a___13" vbProcedure="false">#REF!</definedName>
    <definedName function="false" hidden="true" name="b" vbProcedure="false">{#N/A,#N/A,FALSE,"mpph1";#N/A,#N/A,FALSE,"mpmseb";#N/A,#N/A,FALSE,"mpph2"}</definedName>
    <definedName function="false" hidden="false" name="b6fv6fd" vbProcedure="false">#REF!</definedName>
    <definedName function="false" hidden="false" name="back_pressure" vbProcedure="false">#REF!</definedName>
    <definedName function="false" hidden="true" name="BADWE" vbProcedure="false">{#N/A,#N/A,FALSE,"mpph1";#N/A,#N/A,FALSE,"mpmseb";#N/A,#N/A,FALSE,"mpph2"}</definedName>
    <definedName function="false" hidden="false" name="ball" vbProcedure="false">#REF!</definedName>
    <definedName function="false" hidden="false" name="BAP" vbProcedure="false">'[15]GRAND SUMMARY'!$F$1</definedName>
    <definedName function="false" hidden="false" name="BASE" vbProcedure="false">'[16]REINF DET'!$E$3</definedName>
    <definedName function="false" hidden="false" name="Base1" vbProcedure="false">#REF!</definedName>
    <definedName function="false" hidden="false" name="Base2" vbProcedure="false">#REF!</definedName>
    <definedName function="false" hidden="false" name="baserate" vbProcedure="false">[17]FINOLEX!$W$17</definedName>
    <definedName function="false" hidden="false" name="basic_GHC" vbProcedure="false">'[18]Exchange Rate'!$B$4</definedName>
    <definedName function="false" hidden="false" name="basic_USD" vbProcedure="false">'[18]Exchange Rate'!$B$3</definedName>
    <definedName function="false" hidden="false" name="Batching_hot_mix_plant" vbProcedure="false">#REF!</definedName>
    <definedName function="false" hidden="false" name="BAY" vbProcedure="false">[15]BOQ!$AB$2</definedName>
    <definedName function="false" hidden="false" name="bbb" vbProcedure="false">#REF!</definedName>
    <definedName function="false" hidden="false" name="bbhju" vbProcedure="false">#REF!</definedName>
    <definedName function="false" hidden="false" name="BDI" vbProcedure="false">[19]CDB!$D$18</definedName>
    <definedName function="false" hidden="false" name="BDquantities" vbProcedure="false">[20]DB!$D$5:$AI$841</definedName>
    <definedName function="false" hidden="false" name="BeginBorder" vbProcedure="false">#REF!</definedName>
    <definedName function="false" hidden="false" name="BESGS" vbProcedure="false">#REF!</definedName>
    <definedName function="false" hidden="false" name="beta" vbProcedure="false">#REF!</definedName>
    <definedName function="false" hidden="false" name="BF" vbProcedure="false">#REF!</definedName>
    <definedName function="false" hidden="false" name="BGP" vbProcedure="false">'[21]SUPERSTR.BOQ'!$AO$135</definedName>
    <definedName function="false" hidden="false" name="bhbd" vbProcedure="false">#REF!</definedName>
    <definedName function="false" hidden="false" name="bill" vbProcedure="false">[22]rates!#ref!</definedName>
    <definedName function="false" hidden="false" name="bill4" vbProcedure="false">[23]rates!#ref!</definedName>
    <definedName function="false" hidden="false" name="BILLLL" vbProcedure="false">[24]rates!#ref!</definedName>
    <definedName function="false" hidden="false" name="Bitumen" vbProcedure="false">#REF!</definedName>
    <definedName function="false" hidden="false" name="bjlc" vbProcedure="false">#REF!</definedName>
    <definedName function="false" hidden="false" name="blankhome" vbProcedure="false">[25]HOME!$F$7</definedName>
    <definedName function="false" hidden="false" name="BldgQty" vbProcedure="false">#REF!</definedName>
    <definedName function="false" hidden="false" name="Blockwork" vbProcedure="false">'[27]build up'!#ref!</definedName>
    <definedName function="false" hidden="false" name="Block_Type" vbProcedure="false">[26]!Block_Name[#data]</definedName>
    <definedName function="false" hidden="false" name="BOC" vbProcedure="false">#REF!</definedName>
    <definedName function="false" hidden="false" name="bol" vbProcedure="false">#REF!</definedName>
    <definedName function="false" hidden="false" name="BOLT" vbProcedure="false">#REF!</definedName>
    <definedName function="false" hidden="false" name="BOM" vbProcedure="false">'[16]EXT FACADE &amp; GEN WORKS'!$H$37</definedName>
    <definedName function="false" hidden="false" name="boml" vbProcedure="false">#REF!</definedName>
    <definedName function="false" hidden="false" name="boml1" vbProcedure="false">#REF!</definedName>
    <definedName function="false" hidden="false" name="boq" vbProcedure="false">#REF!</definedName>
    <definedName function="false" hidden="false" name="BOSS" vbProcedure="false">#REF!</definedName>
    <definedName function="false" hidden="false" name="botl" vbProcedure="false">#REF!</definedName>
    <definedName function="false" hidden="false" name="botl1" vbProcedure="false">#REF!</definedName>
    <definedName function="false" hidden="false" name="botn" vbProcedure="false">#REF!</definedName>
    <definedName function="false" hidden="false" name="boulder" vbProcedure="false">#REF!</definedName>
    <definedName function="false" hidden="false" name="BP" vbProcedure="false">'[28]GROUND FLOOR '!$D$120</definedName>
    <definedName function="false" hidden="false" name="BPF" vbProcedure="false">'[29]GROUND FLOOR '!$U$6</definedName>
    <definedName function="false" hidden="false" name="brate" vbProcedure="false">[30]Input!$D$4</definedName>
    <definedName function="false" hidden="false" name="Breaks" vbProcedure="false">#REF!</definedName>
    <definedName function="false" hidden="false" name="Brick_Size" vbProcedure="false">#REF!</definedName>
    <definedName function="false" hidden="false" name="bsbsb" vbProcedure="false">[13]rates!#ref!</definedName>
    <definedName function="false" hidden="false" name="BSS" vbProcedure="false">'[31]FIRST FLOOR'!$V$4</definedName>
    <definedName function="false" hidden="false" name="bua" vbProcedure="false">#REF!</definedName>
    <definedName function="false" hidden="false" name="BUDDHA" vbProcedure="false">#REF!</definedName>
    <definedName function="false" hidden="false" name="BUDGET" vbProcedure="false">'[32]PRELIMS &amp; GEN. ITEMS'!$K$2</definedName>
    <definedName function="false" hidden="false" name="BUG" vbProcedure="false">'[31]FIRST FLOOR'!$V$6</definedName>
    <definedName function="false" hidden="false" name="building" vbProcedure="false">#REF!</definedName>
    <definedName function="false" hidden="false" name="building___0" vbProcedure="false">#REF!</definedName>
    <definedName function="false" hidden="false" name="building___11" vbProcedure="false">#REF!</definedName>
    <definedName function="false" hidden="false" name="building___12" vbProcedure="false">#REF!</definedName>
    <definedName function="false" hidden="false" name="BuiltIn_Print_Area" vbProcedure="false">#REF!</definedName>
    <definedName function="false" hidden="false" name="BuiltIn_Print_Area___0" vbProcedure="false">#REF!</definedName>
    <definedName function="false" hidden="false" name="BuiltIn_Print_Area___0___0" vbProcedure="false">#REF!</definedName>
    <definedName function="false" hidden="false" name="BuiltIn_Print_Titles" vbProcedure="false">#REF!</definedName>
    <definedName function="false" hidden="false" name="BuiltIn_Print_Titles___0" vbProcedure="false">#REF!</definedName>
    <definedName function="false" hidden="false" name="BuiltIn_Print_Titles___0___0" vbProcedure="false">#REF!</definedName>
    <definedName function="false" hidden="false" name="bur" vbProcedure="false">#REF!</definedName>
    <definedName function="false" hidden="false" name="Burglarproof" vbProcedure="false">#REF!</definedName>
    <definedName function="false" hidden="false" name="butterfly" vbProcedure="false">#REF!</definedName>
    <definedName function="false" hidden="false" name="Bx" vbProcedure="false">#REF!</definedName>
    <definedName function="false" hidden="false" name="bxevxed" vbProcedure="false">#REF!</definedName>
    <definedName function="false" hidden="false" name="bxnvxnd" vbProcedure="false">#REF!</definedName>
    <definedName function="false" hidden="false" name="Bx___0" vbProcedure="false">#REF!</definedName>
    <definedName function="false" hidden="false" name="Bx___13" vbProcedure="false">#REF!</definedName>
    <definedName function="false" hidden="false" name="BZENITH" vbProcedure="false">#REF!</definedName>
    <definedName function="false" hidden="false" name="B_FLG" vbProcedure="false">#REF!</definedName>
    <definedName function="false" hidden="false" name="B___0" vbProcedure="false">#REF!</definedName>
    <definedName function="false" hidden="false" name="B___13" vbProcedure="false">#REF!</definedName>
    <definedName function="false" hidden="false" name="cab21.5tp" vbProcedure="false">#REF!</definedName>
    <definedName function="false" hidden="false" name="cab21s" vbProcedure="false">#REF!</definedName>
    <definedName function="false" hidden="false" name="cab21us" vbProcedure="false">#REF!</definedName>
    <definedName function="false" hidden="false" name="cab31s" vbProcedure="false">#REF!</definedName>
    <definedName function="false" hidden="false" name="cab31us" vbProcedure="false">#REF!</definedName>
    <definedName function="false" hidden="false" name="cab41s" vbProcedure="false">#REF!</definedName>
    <definedName function="false" hidden="false" name="cab41us" vbProcedure="false">#REF!</definedName>
    <definedName function="false" hidden="false" name="cabd" vbProcedure="false">#REF!</definedName>
    <definedName function="false" hidden="false" name="cabf" vbProcedure="false">#REF!</definedName>
    <definedName function="false" hidden="false" name="cable" vbProcedure="false">[10]CABLERET!$B$13:$B$128</definedName>
    <definedName function="false" hidden="false" name="CABLEDATA" vbProcedure="false">'[2]ELECTRICAL CABLE DATABASE'!$B$2:$H$22</definedName>
    <definedName function="false" hidden="false" name="Cablelec" vbProcedure="false">#REF!</definedName>
    <definedName function="false" hidden="false" name="cald" vbProcedure="false">#REF!</definedName>
    <definedName function="false" hidden="false" name="CALf" vbProcedure="false">#REF!</definedName>
    <definedName function="false" hidden="false" name="CALIMP" vbProcedure="false">#REF!</definedName>
    <definedName function="false" hidden="false" name="CAMBIO" vbProcedure="false">[19]CDB!$D$30</definedName>
    <definedName function="false" hidden="false" name="cant" vbProcedure="false">#REF!</definedName>
    <definedName function="false" hidden="false" name="CAP" vbProcedure="false">#REF!</definedName>
    <definedName function="false" hidden="false" name="capital" vbProcedure="false">#REF!</definedName>
    <definedName function="false" hidden="false" name="Carac_Village" vbProcedure="false">#REF!</definedName>
    <definedName function="false" hidden="false" name="Carpentry" vbProcedure="false">'[27]build up'!#ref!</definedName>
    <definedName function="false" hidden="false" name="carpet" vbProcedure="false">#REF!</definedName>
    <definedName function="false" hidden="false" name="carpet___0" vbProcedure="false">#REF!</definedName>
    <definedName function="false" hidden="false" name="carpet___11" vbProcedure="false">#REF!</definedName>
    <definedName function="false" hidden="false" name="carpet___12" vbProcedure="false">#REF!</definedName>
    <definedName function="false" hidden="false" name="CARPI" vbProcedure="false">#REF!</definedName>
    <definedName function="false" hidden="false" name="cash_bank" vbProcedure="false">#REF!</definedName>
    <definedName function="false" hidden="false" name="Cash_Minimum" vbProcedure="false">'[33]payment schedule - car park'!#ref!</definedName>
    <definedName function="false" hidden="false" name="CASSETTE" vbProcedure="false">#REF!</definedName>
    <definedName function="false" hidden="false" name="CATEGORY" vbProcedure="false">[34]INPUT!$B$35:$B$50</definedName>
    <definedName function="false" hidden="false" name="cbgl1" vbProcedure="false">#REF!</definedName>
    <definedName function="false" hidden="false" name="cbgl2" vbProcedure="false">#REF!</definedName>
    <definedName function="false" hidden="false" name="cbgl3" vbProcedure="false">#REF!</definedName>
    <definedName function="false" hidden="false" name="cbgl4" vbProcedure="false">#REF!</definedName>
    <definedName function="false" hidden="false" name="cc" vbProcedure="false">#REF!</definedName>
    <definedName function="false" hidden="false" name="ccolagl" vbProcedure="false">#REF!</definedName>
    <definedName function="false" hidden="false" name="Ccost" vbProcedure="false">#REF!</definedName>
    <definedName function="false" hidden="false" name="ccv" vbProcedure="false">#REF!</definedName>
    <definedName function="false" hidden="false" name="CDB" vbProcedure="false">[19]CDB!$D$27</definedName>
    <definedName function="false" hidden="false" name="Cedi" vbProcedure="false">#REF!</definedName>
    <definedName function="false" hidden="false" name="CEDITOPOUND" vbProcedure="false">[35]intro!$H$24</definedName>
    <definedName function="false" hidden="false" name="Ceiling" vbProcedure="false">#REF!</definedName>
    <definedName function="false" hidden="false" name="ceomar" vbProcedure="false">'[36]CEO WR'!$J$2</definedName>
    <definedName function="false" hidden="false" name="Certificate" vbProcedure="false">#REF!</definedName>
    <definedName function="false" hidden="false" name="cfa" vbProcedure="false">'[37]first floor'!#ref!</definedName>
    <definedName function="false" hidden="false" name="cfaa" vbProcedure="false">#REF!</definedName>
    <definedName function="false" hidden="false" name="CFAAA" vbProcedure="false">'[38]SUBSTR.BOQ (A) '!$H$5</definedName>
    <definedName function="false" hidden="false" name="CFAT" vbProcedure="false">#REF!</definedName>
    <definedName function="false" hidden="false" name="cfb" vbProcedure="false">#REF!</definedName>
    <definedName function="false" hidden="false" name="cfbeams" vbProcedure="false">#REF!</definedName>
    <definedName function="false" hidden="false" name="cfsalb" vbProcedure="false">#REF!</definedName>
    <definedName function="false" hidden="false" name="cfslab" vbProcedure="false">#REF!</definedName>
    <definedName function="false" hidden="false" name="Charges_of_road_roller" vbProcedure="false">#REF!</definedName>
    <definedName function="false" hidden="false" name="check" vbProcedure="false">#REF!</definedName>
    <definedName function="false" hidden="false" name="checked" vbProcedure="false">#REF!</definedName>
    <definedName function="false" hidden="false" name="CHILELEC1" vbProcedure="false">'[2]graphic bill of quantities'!#ref!</definedName>
    <definedName function="false" hidden="false" name="chiller" vbProcedure="false">#REF!</definedName>
    <definedName function="false" hidden="false" name="CHILMAN1" vbProcedure="false">'[2]graphic bill of quantities'!#ref!</definedName>
    <definedName function="false" hidden="false" name="CHILMON1" vbProcedure="false">'[2]graphic bill of quantities'!#ref!</definedName>
    <definedName function="false" hidden="false" name="CHILPIPE1" vbProcedure="false">'[2]graphic bill of quantities'!#ref!</definedName>
    <definedName function="false" hidden="false" name="CHILSPAR1" vbProcedure="false">'[2]graphic bill of quantities'!#ref!</definedName>
    <definedName function="false" hidden="false" name="ChINo5" vbProcedure="false">#REF!</definedName>
    <definedName function="false" hidden="false" name="CIVIL" vbProcedure="false">#REF!</definedName>
    <definedName function="false" hidden="false" name="Class" vbProcedure="false">#REF!</definedName>
    <definedName function="false" hidden="false" name="clComplete" vbProcedure="false">[39]Finishes!$G$4</definedName>
    <definedName function="false" hidden="false" name="clCustom1" vbProcedure="false">[39]Finishes!$H$4</definedName>
    <definedName function="false" hidden="false" name="clCustom2" vbProcedure="false">[39]Finishes!$I$4</definedName>
    <definedName function="false" hidden="false" name="cld" vbProcedure="false">#REF!</definedName>
    <definedName function="false" hidden="false" name="clDelayed" vbProcedure="false">[39]Finishes!$F$4</definedName>
    <definedName function="false" hidden="false" name="ClientAddress1" vbProcedure="false">#REF!</definedName>
    <definedName function="false" hidden="false" name="ClientAddress2" vbProcedure="false">#REF!</definedName>
    <definedName function="false" hidden="false" name="ClientCity" vbProcedure="false">#REF!</definedName>
    <definedName function="false" hidden="false" name="ClientCountry" vbProcedure="false">#REF!</definedName>
    <definedName function="false" hidden="false" name="ClientEmail" vbProcedure="false">#REF!</definedName>
    <definedName function="false" hidden="false" name="ClientFax" vbProcedure="false">#REF!</definedName>
    <definedName function="false" hidden="false" name="ClientPhone" vbProcedure="false">#REF!</definedName>
    <definedName function="false" hidden="false" name="ClientState" vbProcedure="false">#REF!</definedName>
    <definedName function="false" hidden="false" name="clientv" vbProcedure="false">#REF!</definedName>
    <definedName function="false" hidden="false" name="ClientZip" vbProcedure="false">#REF!</definedName>
    <definedName function="false" hidden="false" name="clInProgress" vbProcedure="false">[39]Finishes!$E$4</definedName>
    <definedName function="false" hidden="false" name="clintels" vbProcedure="false">#REF!</definedName>
    <definedName function="false" hidden="false" name="clNotStarted" vbProcedure="false">[39]Finishes!$D$4</definedName>
    <definedName function="false" hidden="false" name="CO" vbProcedure="false">#REF!</definedName>
    <definedName function="false" hidden="false" name="Code" vbProcedure="false">#REF!</definedName>
    <definedName function="false" hidden="false" name="code021" vbProcedure="false">[40]Criteria!$A$20:$A$21</definedName>
    <definedName function="false" hidden="false" name="CODE1" vbProcedure="false">#REF!</definedName>
    <definedName function="false" hidden="false" name="code1110" vbProcedure="false">[40]Criteria!$B$23:$B$24</definedName>
    <definedName function="false" hidden="false" name="code1114" vbProcedure="false">[40]Criteria!$C$23:$C$24</definedName>
    <definedName function="false" hidden="false" name="code1116" vbProcedure="false">[40]Criteria!$D$23:$D$24</definedName>
    <definedName function="false" hidden="false" name="code1118" vbProcedure="false">[40]Criteria!$E$23:$E$24</definedName>
    <definedName function="false" hidden="false" name="code1180" vbProcedure="false">[40]Criteria!$L$23:$L$24</definedName>
    <definedName function="false" hidden="false" name="code1203" vbProcedure="false">[40]Criteria!$G$23:$G$24</definedName>
    <definedName function="false" hidden="false" name="code1205" vbProcedure="false">[40]Criteria!$H$23:$H$24</definedName>
    <definedName function="false" hidden="false" name="code1225" vbProcedure="false">[40]Criteria!$I$23:$I$24</definedName>
    <definedName function="false" hidden="false" name="code1251" vbProcedure="false">[40]Criteria!$J$23:$J$24</definedName>
    <definedName function="false" hidden="false" name="code1275" vbProcedure="false">[40]Criteria!$A$23:$A$24</definedName>
    <definedName function="false" hidden="false" name="code1282" vbProcedure="false">[40]Criteria!$K$23:$K$24</definedName>
    <definedName function="false" hidden="false" name="code1291" vbProcedure="false">[40]Criteria!$M$23:$M$24</definedName>
    <definedName function="false" hidden="false" name="code3502" vbProcedure="false">[40]Criteria!$B$20:$B$21</definedName>
    <definedName function="false" hidden="false" name="code4101" vbProcedure="false">[40]Criteria!$C$20:$C$21</definedName>
    <definedName function="false" hidden="false" name="code4103" vbProcedure="false">[40]Criteria!$D$20:$D$21</definedName>
    <definedName function="false" hidden="false" name="code4402" vbProcedure="false">[40]Criteria!$K$20:$K$21</definedName>
    <definedName function="false" hidden="false" name="code4403" vbProcedure="false">[40]Criteria!$L$20:$L$21</definedName>
    <definedName function="false" hidden="false" name="code4404" vbProcedure="false">[40]Criteria!$M$20:$M$21</definedName>
    <definedName function="false" hidden="false" name="code4602" vbProcedure="false">[40]Criteria!$E$20:$E$21</definedName>
    <definedName function="false" hidden="false" name="code4604" vbProcedure="false">[40]Criteria!$F$20:$F$21</definedName>
    <definedName function="false" hidden="false" name="code4606" vbProcedure="false">[40]Criteria!$G$20:$G$21</definedName>
    <definedName function="false" hidden="false" name="code4806" vbProcedure="false">[40]Criteria!$H$20:$H$21</definedName>
    <definedName function="false" hidden="false" name="code4808" vbProcedure="false">[40]Criteria!$I$20:$I$21</definedName>
    <definedName function="false" hidden="false" name="code4809" vbProcedure="false">[40]Criteria!$J$20:$J$21</definedName>
    <definedName function="false" hidden="false" name="code5102" vbProcedure="false">[40]Criteria!$F$23:$F$24</definedName>
    <definedName function="false" hidden="false" name="Coeff." vbProcedure="false">#NAME?</definedName>
    <definedName function="false" hidden="false" name="Coef_Materiaux" vbProcedure="false">[19]Materials!$Z$3</definedName>
    <definedName function="false" hidden="false" name="Coef_Materiel" vbProcedure="false">[19]Equipments!$E$66</definedName>
    <definedName function="false" hidden="false" name="Coef_M_Oeuvre" vbProcedure="false">[19]Labour!$D$57</definedName>
    <definedName function="false" hidden="false" name="coimbatore" vbProcedure="false">#REF!</definedName>
    <definedName function="false" hidden="false" name="col" vbProcedure="false">#REF!</definedName>
    <definedName function="false" hidden="false" name="Colbgl" vbProcedure="false">#REF!</definedName>
    <definedName function="false" hidden="false" name="colbgl2" vbProcedure="false">#REF!</definedName>
    <definedName function="false" hidden="false" name="ColourCode" vbProcedure="false">#REF!</definedName>
    <definedName function="false" hidden="false" name="Columns" vbProcedure="false">#REF!</definedName>
    <definedName function="false" hidden="false" name="Column_shape" vbProcedure="false">'[26]sub LISTS'!$F$27:$I$27</definedName>
    <definedName function="false" hidden="false" name="col___0" vbProcedure="false">#REF!</definedName>
    <definedName function="false" hidden="false" name="col___11" vbProcedure="false">#REF!</definedName>
    <definedName function="false" hidden="false" name="col___12" vbProcedure="false">#REF!</definedName>
    <definedName function="false" hidden="false" name="COM" vbProcedure="false">#REF!</definedName>
    <definedName function="false" hidden="false" name="Company" vbProcedure="false">#REF!</definedName>
    <definedName function="false" hidden="true" name="COMPARISON" vbProcedure="false">{#N/A,#N/A,FALSE,"mpph1";#N/A,#N/A,FALSE,"mpmseb";#N/A,#N/A,FALSE,"mpph2"}</definedName>
    <definedName function="false" hidden="false" name="CON" vbProcedure="false">[23]rates!#ref!</definedName>
    <definedName function="false" hidden="false" name="Concrete" vbProcedure="false">[41]rates!#ref!</definedName>
    <definedName function="false" hidden="false" name="condf" vbProcedure="false">#REF!</definedName>
    <definedName function="false" hidden="false" name="conf" vbProcedure="false">#REF!</definedName>
    <definedName function="false" hidden="false" name="conpro" vbProcedure="false">#REF!</definedName>
    <definedName function="false" hidden="false" name="CONS" vbProcedure="false">'[42]IT WORKS'!$N$1</definedName>
    <definedName function="false" hidden="false" name="constrn" vbProcedure="false">#REF!</definedName>
    <definedName function="false" hidden="false" name="Construction_Period" vbProcedure="false">#REF!</definedName>
    <definedName function="false" hidden="false" name="Contact" vbProcedure="false">#REF!</definedName>
    <definedName function="false" hidden="false" name="contractdays" vbProcedure="false">[25]datatable!$B$83</definedName>
    <definedName function="false" hidden="false" name="contrib" vbProcedure="false">#REF!</definedName>
    <definedName function="false" hidden="false" name="conv" vbProcedure="false">'[11]SDMA CONTAINER TERMINAL BUDGET'!$AH$2</definedName>
    <definedName function="false" hidden="false" name="copy1" vbProcedure="false">#REF!</definedName>
    <definedName function="false" hidden="false" name="copy1a" vbProcedure="false">#REF!</definedName>
    <definedName function="false" hidden="false" name="copy2" vbProcedure="false">#REF!</definedName>
    <definedName function="false" hidden="false" name="copy2a" vbProcedure="false">#REF!</definedName>
    <definedName function="false" hidden="false" name="copy3" vbProcedure="false">#REF!</definedName>
    <definedName function="false" hidden="false" name="copy3a" vbProcedure="false">#REF!</definedName>
    <definedName function="false" hidden="false" name="copy4" vbProcedure="false">#REF!</definedName>
    <definedName function="false" hidden="false" name="copy4a" vbProcedure="false">#REF!</definedName>
    <definedName function="false" hidden="false" name="copy5" vbProcedure="false">#REF!</definedName>
    <definedName function="false" hidden="false" name="copy5a" vbProcedure="false">#REF!</definedName>
    <definedName function="false" hidden="false" name="copy6" vbProcedure="false">#REF!</definedName>
    <definedName function="false" hidden="false" name="copy6a" vbProcedure="false">#REF!</definedName>
    <definedName function="false" hidden="false" name="copy7" vbProcedure="false">#REF!</definedName>
    <definedName function="false" hidden="false" name="copy7a" vbProcedure="false">#REF!</definedName>
    <definedName function="false" hidden="false" name="copy8" vbProcedure="false">#REF!</definedName>
    <definedName function="false" hidden="false" name="copy8a" vbProcedure="false">#REF!</definedName>
    <definedName function="false" hidden="false" name="copy9" vbProcedure="false">#REF!</definedName>
    <definedName function="false" hidden="false" name="copy9a" vbProcedure="false">#REF!</definedName>
    <definedName function="false" hidden="false" name="cord" vbProcedure="false">#REF!</definedName>
    <definedName function="false" hidden="false" name="Cost" vbProcedure="false">#REF!</definedName>
    <definedName function="false" hidden="false" name="Cost_for_10_Hp_Hr." vbProcedure="false">#REF!</definedName>
    <definedName function="false" hidden="false" name="Cost_of_water_including_filling_the_tanker" vbProcedure="false">#REF!</definedName>
    <definedName function="false" hidden="false" name="COU" vbProcedure="false">#REF!</definedName>
    <definedName function="false" hidden="false" name="country" vbProcedure="false">#REF!</definedName>
    <definedName function="false" hidden="false" name="COU___0" vbProcedure="false">#REF!</definedName>
    <definedName function="false" hidden="false" name="COU___13" vbProcedure="false">#REF!</definedName>
    <definedName function="false" hidden="false" name="Cover_blocks" vbProcedure="false">#REF!</definedName>
    <definedName function="false" hidden="false" name="CPLG" vbProcedure="false">#REF!</definedName>
    <definedName function="false" hidden="false" name="CRF" vbProcedure="false">'[1]schedule carrier spa'!#ref!</definedName>
    <definedName function="false" hidden="false" name="cs" vbProcedure="false">[43]Summary!$J$9</definedName>
    <definedName function="false" hidden="false" name="csplit" vbProcedure="false">#REF!</definedName>
    <definedName function="false" hidden="false" name="csshade" vbProcedure="false">#REF!</definedName>
    <definedName function="false" hidden="false" name="cst" vbProcedure="false">#REF!</definedName>
    <definedName function="false" hidden="false" name="Cs___0" vbProcedure="false">#REF!</definedName>
    <definedName function="false" hidden="false" name="Cs___13" vbProcedure="false">#REF!</definedName>
    <definedName function="false" hidden="false" name="CUDENSITY" vbProcedure="false">[10]CABLERET!$B$9</definedName>
    <definedName function="false" hidden="false" name="cuload" vbProcedure="false">[10]CABLERET!$E$13:$E$128</definedName>
    <definedName function="false" hidden="false" name="CUMARGIN" vbProcedure="false">[10]CABLERET!$E$7</definedName>
    <definedName function="false" hidden="false" name="cummeas_may1006" vbProcedure="false">#REF!</definedName>
    <definedName function="false" hidden="false" name="cummeas_up_to_mar" vbProcedure="false">#REF!</definedName>
    <definedName function="false" hidden="false" name="CUP" vbProcedure="false">'[2]INPUT DATA'!$F$1</definedName>
    <definedName function="false" hidden="false" name="current1" vbProcedure="false">#REF!</definedName>
    <definedName function="false" hidden="false" name="current2" vbProcedure="false">#REF!</definedName>
    <definedName function="false" hidden="false" name="current3" vbProcedure="false">#REF!</definedName>
    <definedName function="false" hidden="false" name="current4" vbProcedure="false">#REF!</definedName>
    <definedName function="false" hidden="false" name="current5" vbProcedure="false">#REF!</definedName>
    <definedName function="false" hidden="false" name="CurrentEURO" vbProcedure="false">'[18]Exchange Rate'!$C$6</definedName>
    <definedName function="false" hidden="false" name="CurrentGHC" vbProcedure="false">'[18]Exchange Rate'!$C$4</definedName>
    <definedName function="false" hidden="false" name="CurrentUSD" vbProcedure="false">'[18]Exchange Rate'!$C$3</definedName>
    <definedName function="false" hidden="false" name="curr_liab_prov" vbProcedure="false">#REF!</definedName>
    <definedName function="false" hidden="false" name="CURTAIN" vbProcedure="false">'[44]GROUND FLOOR'!$E$71</definedName>
    <definedName function="false" hidden="false" name="cutoffwall" vbProcedure="false">#REF!</definedName>
    <definedName function="false" hidden="false" name="CV_Number" vbProcedure="false">#REF!</definedName>
    <definedName function="false" hidden="false" name="C_" vbProcedure="false">#REF!</definedName>
    <definedName function="false" hidden="false" name="d" vbProcedure="false">#REF!</definedName>
    <definedName function="false" hidden="false" name="d._Staging_to_keep_deflactometer___hire_charges_of_deflectometer" vbProcedure="false">#REF!</definedName>
    <definedName function="false" hidden="false" name="DAILYRATE" vbProcedure="false">'[45]electrical works'!#ref!</definedName>
    <definedName function="false" hidden="false" name="DAILYWAGE" vbProcedure="false">'[46]PLUMBING INSTALLATION WORKS'!$M$1</definedName>
    <definedName function="false" hidden="false" name="data" vbProcedure="false">#REF!</definedName>
    <definedName function="false" hidden="false" name="DATA10" vbProcedure="false">#REF!</definedName>
    <definedName function="false" hidden="false" name="DATA100" vbProcedure="false">#REF!</definedName>
    <definedName function="false" hidden="false" name="DATA1011" vbProcedure="false">#REF!</definedName>
    <definedName function="false" hidden="false" name="DATA1012" vbProcedure="false">#REF!</definedName>
    <definedName function="false" hidden="false" name="DATA1013" vbProcedure="false">#REF!</definedName>
    <definedName function="false" hidden="false" name="DATA1014" vbProcedure="false">#REF!</definedName>
    <definedName function="false" hidden="false" name="DATA1015" vbProcedure="false">#REF!</definedName>
    <definedName function="false" hidden="false" name="DATA102" vbProcedure="false">#REF!</definedName>
    <definedName function="false" hidden="false" name="DATA103" vbProcedure="false">#REF!</definedName>
    <definedName function="false" hidden="false" name="DATA104" vbProcedure="false">#REF!</definedName>
    <definedName function="false" hidden="false" name="DATA105" vbProcedure="false">#REF!</definedName>
    <definedName function="false" hidden="false" name="DATA106" vbProcedure="false">#REF!</definedName>
    <definedName function="false" hidden="false" name="DATA107A" vbProcedure="false">#REF!</definedName>
    <definedName function="false" hidden="false" name="DATA107B" vbProcedure="false">#REF!</definedName>
    <definedName function="false" hidden="false" name="DATA107C" vbProcedure="false">#REF!</definedName>
    <definedName function="false" hidden="false" name="DATA107D" vbProcedure="false">#REF!</definedName>
    <definedName function="false" hidden="false" name="DATA107E" vbProcedure="false">#REF!</definedName>
    <definedName function="false" hidden="false" name="DATA107F" vbProcedure="false">#REF!</definedName>
    <definedName function="false" hidden="false" name="DATA107G" vbProcedure="false">#REF!</definedName>
    <definedName function="false" hidden="false" name="DATA108A" vbProcedure="false">#REF!</definedName>
    <definedName function="false" hidden="false" name="DATA108B" vbProcedure="false">#REF!</definedName>
    <definedName function="false" hidden="false" name="DATA108C" vbProcedure="false">#REF!</definedName>
    <definedName function="false" hidden="false" name="DATA108D" vbProcedure="false">#REF!</definedName>
    <definedName function="false" hidden="false" name="DATA108E" vbProcedure="false">#REF!</definedName>
    <definedName function="false" hidden="false" name="DATA108F" vbProcedure="false">#REF!</definedName>
    <definedName function="false" hidden="false" name="DATA108G" vbProcedure="false">#REF!</definedName>
    <definedName function="false" hidden="false" name="DATA108H" vbProcedure="false">#REF!</definedName>
    <definedName function="false" hidden="false" name="DATA108I" vbProcedure="false">#REF!</definedName>
    <definedName function="false" hidden="false" name="DATA108J" vbProcedure="false">#REF!</definedName>
    <definedName function="false" hidden="false" name="DATA108K" vbProcedure="false">#REF!</definedName>
    <definedName function="false" hidden="false" name="DATA108L" vbProcedure="false">#REF!</definedName>
    <definedName function="false" hidden="false" name="DATA108M" vbProcedure="false">#REF!</definedName>
    <definedName function="false" hidden="false" name="DATA108N" vbProcedure="false">#REF!</definedName>
    <definedName function="false" hidden="false" name="DATA108O" vbProcedure="false">#REF!</definedName>
    <definedName function="false" hidden="false" name="DATA108P" vbProcedure="false">#REF!</definedName>
    <definedName function="false" hidden="false" name="DATA109A" vbProcedure="false">#REF!</definedName>
    <definedName function="false" hidden="false" name="DATA109B" vbProcedure="false">#REF!</definedName>
    <definedName function="false" hidden="false" name="DATA109C" vbProcedure="false">#REF!</definedName>
    <definedName function="false" hidden="false" name="DATA109D" vbProcedure="false">#REF!</definedName>
    <definedName function="false" hidden="false" name="DATA109E" vbProcedure="false">#REF!</definedName>
    <definedName function="false" hidden="false" name="DATA109F" vbProcedure="false">#REF!</definedName>
    <definedName function="false" hidden="false" name="DATA109G" vbProcedure="false">#REF!</definedName>
    <definedName function="false" hidden="false" name="DATA109H" vbProcedure="false">#REF!</definedName>
    <definedName function="false" hidden="false" name="DATA109I" vbProcedure="false">#REF!</definedName>
    <definedName function="false" hidden="false" name="DATA109J" vbProcedure="false">#REF!</definedName>
    <definedName function="false" hidden="false" name="DATA109K" vbProcedure="false">#REF!</definedName>
    <definedName function="false" hidden="false" name="DATA109L" vbProcedure="false">#REF!</definedName>
    <definedName function="false" hidden="false" name="DATA109M" vbProcedure="false">#REF!</definedName>
    <definedName function="false" hidden="false" name="DATA109N" vbProcedure="false">#REF!</definedName>
    <definedName function="false" hidden="false" name="DATA109O" vbProcedure="false">#REF!</definedName>
    <definedName function="false" hidden="false" name="DATA109P" vbProcedure="false">#REF!</definedName>
    <definedName function="false" hidden="false" name="DATA11" vbProcedure="false">#REF!</definedName>
    <definedName function="false" hidden="false" name="DATA110A" vbProcedure="false">#REF!</definedName>
    <definedName function="false" hidden="false" name="DATA110B" vbProcedure="false">#REF!</definedName>
    <definedName function="false" hidden="false" name="DATA110C" vbProcedure="false">#REF!</definedName>
    <definedName function="false" hidden="false" name="DATA110D" vbProcedure="false">#REF!</definedName>
    <definedName function="false" hidden="false" name="DATA110E" vbProcedure="false">#REF!</definedName>
    <definedName function="false" hidden="false" name="DATA110F" vbProcedure="false">#REF!</definedName>
    <definedName function="false" hidden="false" name="DATA110G" vbProcedure="false">#REF!</definedName>
    <definedName function="false" hidden="false" name="DATA110H" vbProcedure="false">#REF!</definedName>
    <definedName function="false" hidden="false" name="DATA110I" vbProcedure="false">#REF!</definedName>
    <definedName function="false" hidden="false" name="DATA110J" vbProcedure="false">#REF!</definedName>
    <definedName function="false" hidden="false" name="DATA110K" vbProcedure="false">#REF!</definedName>
    <definedName function="false" hidden="false" name="DATA110L" vbProcedure="false">#REF!</definedName>
    <definedName function="false" hidden="false" name="DATA110M" vbProcedure="false">#REF!</definedName>
    <definedName function="false" hidden="false" name="DATA110N" vbProcedure="false">#REF!</definedName>
    <definedName function="false" hidden="false" name="DATA110O" vbProcedure="false">#REF!</definedName>
    <definedName function="false" hidden="false" name="DATA110P" vbProcedure="false">#REF!</definedName>
    <definedName function="false" hidden="false" name="DATA111A" vbProcedure="false">#REF!</definedName>
    <definedName function="false" hidden="false" name="DATA111B" vbProcedure="false">#REF!</definedName>
    <definedName function="false" hidden="false" name="DATA111C" vbProcedure="false">#REF!</definedName>
    <definedName function="false" hidden="false" name="DATA111D" vbProcedure="false">#REF!</definedName>
    <definedName function="false" hidden="false" name="DATA111E" vbProcedure="false">#REF!</definedName>
    <definedName function="false" hidden="false" name="DATA111F" vbProcedure="false">#REF!</definedName>
    <definedName function="false" hidden="false" name="DATA111G" vbProcedure="false">#REF!</definedName>
    <definedName function="false" hidden="false" name="DATA111H" vbProcedure="false">#REF!</definedName>
    <definedName function="false" hidden="false" name="DATA111I" vbProcedure="false">#REF!</definedName>
    <definedName function="false" hidden="false" name="DATA111J" vbProcedure="false">#REF!</definedName>
    <definedName function="false" hidden="false" name="DATA111K" vbProcedure="false">#REF!</definedName>
    <definedName function="false" hidden="false" name="DATA111L" vbProcedure="false">#REF!</definedName>
    <definedName function="false" hidden="false" name="DATA111M" vbProcedure="false">#REF!</definedName>
    <definedName function="false" hidden="false" name="DATA111N" vbProcedure="false">#REF!</definedName>
    <definedName function="false" hidden="false" name="DATA111O" vbProcedure="false">#REF!</definedName>
    <definedName function="false" hidden="false" name="DATA111P" vbProcedure="false">#REF!</definedName>
    <definedName function="false" hidden="false" name="DATA112A" vbProcedure="false">#REF!</definedName>
    <definedName function="false" hidden="false" name="DATA112B" vbProcedure="false">#REF!</definedName>
    <definedName function="false" hidden="false" name="DATA112C" vbProcedure="false">#REF!</definedName>
    <definedName function="false" hidden="false" name="DATA112D" vbProcedure="false">#REF!</definedName>
    <definedName function="false" hidden="false" name="DATA112E" vbProcedure="false">#REF!</definedName>
    <definedName function="false" hidden="false" name="DATA112F" vbProcedure="false">#REF!</definedName>
    <definedName function="false" hidden="false" name="DATA112G" vbProcedure="false">#REF!</definedName>
    <definedName function="false" hidden="false" name="DATA112H" vbProcedure="false">#REF!</definedName>
    <definedName function="false" hidden="false" name="DATA112I" vbProcedure="false">#REF!</definedName>
    <definedName function="false" hidden="false" name="DATA112J" vbProcedure="false">#REF!</definedName>
    <definedName function="false" hidden="false" name="DATA112K" vbProcedure="false">#REF!</definedName>
    <definedName function="false" hidden="false" name="DATA112L" vbProcedure="false">#REF!</definedName>
    <definedName function="false" hidden="false" name="DATA112M" vbProcedure="false">#REF!</definedName>
    <definedName function="false" hidden="false" name="DATA112N" vbProcedure="false">#REF!</definedName>
    <definedName function="false" hidden="false" name="DATA112O" vbProcedure="false">#REF!</definedName>
    <definedName function="false" hidden="false" name="DATA112P" vbProcedure="false">#REF!</definedName>
    <definedName function="false" hidden="false" name="DATA113A" vbProcedure="false">#REF!</definedName>
    <definedName function="false" hidden="false" name="DATA113B" vbProcedure="false">#REF!</definedName>
    <definedName function="false" hidden="false" name="DATA113C" vbProcedure="false">#REF!</definedName>
    <definedName function="false" hidden="false" name="DATA113D" vbProcedure="false">#REF!</definedName>
    <definedName function="false" hidden="false" name="DATA113E" vbProcedure="false">#REF!</definedName>
    <definedName function="false" hidden="false" name="DATA113F" vbProcedure="false">#REF!</definedName>
    <definedName function="false" hidden="false" name="DATA113G" vbProcedure="false">#REF!</definedName>
    <definedName function="false" hidden="false" name="DATA113H" vbProcedure="false">#REF!</definedName>
    <definedName function="false" hidden="false" name="DATA113I" vbProcedure="false">#REF!</definedName>
    <definedName function="false" hidden="false" name="DATA113J" vbProcedure="false">#REF!</definedName>
    <definedName function="false" hidden="false" name="DATA113K" vbProcedure="false">#REF!</definedName>
    <definedName function="false" hidden="false" name="DATA114" vbProcedure="false">#REF!</definedName>
    <definedName function="false" hidden="false" name="DATA115" vbProcedure="false">#REF!</definedName>
    <definedName function="false" hidden="false" name="DATA116" vbProcedure="false">#REF!</definedName>
    <definedName function="false" hidden="false" name="DATA117" vbProcedure="false">#REF!</definedName>
    <definedName function="false" hidden="false" name="DATA118" vbProcedure="false">#REF!</definedName>
    <definedName function="false" hidden="false" name="DATA119" vbProcedure="false">#REF!</definedName>
    <definedName function="false" hidden="false" name="DATA12" vbProcedure="false">#REF!</definedName>
    <definedName function="false" hidden="false" name="DATA120" vbProcedure="false">#REF!</definedName>
    <definedName function="false" hidden="false" name="DATA121" vbProcedure="false">#REF!</definedName>
    <definedName function="false" hidden="false" name="DATA122" vbProcedure="false">#REF!</definedName>
    <definedName function="false" hidden="false" name="DATA123" vbProcedure="false">#REF!</definedName>
    <definedName function="false" hidden="false" name="DATA124" vbProcedure="false">#REF!</definedName>
    <definedName function="false" hidden="false" name="DATA125" vbProcedure="false">#REF!</definedName>
    <definedName function="false" hidden="false" name="DATA126" vbProcedure="false">#REF!</definedName>
    <definedName function="false" hidden="false" name="DATA127A" vbProcedure="false">#REF!</definedName>
    <definedName function="false" hidden="false" name="DATA127B" vbProcedure="false">#REF!</definedName>
    <definedName function="false" hidden="false" name="DATA127C" vbProcedure="false">#REF!</definedName>
    <definedName function="false" hidden="false" name="DATA127D" vbProcedure="false">#REF!</definedName>
    <definedName function="false" hidden="false" name="DATA127E" vbProcedure="false">#REF!</definedName>
    <definedName function="false" hidden="false" name="DATA127F" vbProcedure="false">#REF!</definedName>
    <definedName function="false" hidden="false" name="DATA127G" vbProcedure="false">#REF!</definedName>
    <definedName function="false" hidden="false" name="DATA127H" vbProcedure="false">#REF!</definedName>
    <definedName function="false" hidden="false" name="DATA127I" vbProcedure="false">#REF!</definedName>
    <definedName function="false" hidden="false" name="DATA127J" vbProcedure="false">#REF!</definedName>
    <definedName function="false" hidden="false" name="DATA128A" vbProcedure="false">#REF!</definedName>
    <definedName function="false" hidden="false" name="DATA128B" vbProcedure="false">#REF!</definedName>
    <definedName function="false" hidden="false" name="DATA128C" vbProcedure="false">#REF!</definedName>
    <definedName function="false" hidden="false" name="DATA128D" vbProcedure="false">#REF!</definedName>
    <definedName function="false" hidden="false" name="DATA128E" vbProcedure="false">#REF!</definedName>
    <definedName function="false" hidden="false" name="DATA128F" vbProcedure="false">#REF!</definedName>
    <definedName function="false" hidden="false" name="DATA128G" vbProcedure="false">#REF!</definedName>
    <definedName function="false" hidden="false" name="DATA129A" vbProcedure="false">#REF!</definedName>
    <definedName function="false" hidden="false" name="DATA129B" vbProcedure="false">#REF!</definedName>
    <definedName function="false" hidden="false" name="DATA129C" vbProcedure="false">#REF!</definedName>
    <definedName function="false" hidden="false" name="DATA129D" vbProcedure="false">#REF!</definedName>
    <definedName function="false" hidden="false" name="DATA13" vbProcedure="false">#REF!</definedName>
    <definedName function="false" hidden="false" name="DATA130A" vbProcedure="false">#REF!</definedName>
    <definedName function="false" hidden="false" name="DATA130B" vbProcedure="false">#REF!</definedName>
    <definedName function="false" hidden="false" name="DATA131" vbProcedure="false">#REF!</definedName>
    <definedName function="false" hidden="false" name="DATA132" vbProcedure="false">#REF!</definedName>
    <definedName function="false" hidden="false" name="DATA133" vbProcedure="false">#REF!</definedName>
    <definedName function="false" hidden="false" name="DATA134110" vbProcedure="false">#REF!</definedName>
    <definedName function="false" hidden="false" name="DATA134125" vbProcedure="false">#REF!</definedName>
    <definedName function="false" hidden="false" name="DATA134140" vbProcedure="false">#REF!</definedName>
    <definedName function="false" hidden="false" name="DATA134160" vbProcedure="false">#REF!</definedName>
    <definedName function="false" hidden="false" name="DATA134180" vbProcedure="false">#REF!</definedName>
    <definedName function="false" hidden="false" name="DATA134200" vbProcedure="false">#REF!</definedName>
    <definedName function="false" hidden="false" name="DATA134225" vbProcedure="false">#REF!</definedName>
    <definedName function="false" hidden="false" name="DATA134250" vbProcedure="false">#REF!</definedName>
    <definedName function="false" hidden="false" name="DATA134280" vbProcedure="false">#REF!</definedName>
    <definedName function="false" hidden="false" name="DATA134315" vbProcedure="false">#REF!</definedName>
    <definedName function="false" hidden="false" name="DATA134355" vbProcedure="false">#REF!</definedName>
    <definedName function="false" hidden="false" name="DATA134400" vbProcedure="false">#REF!</definedName>
    <definedName function="false" hidden="false" name="DATA13450" vbProcedure="false">#REF!</definedName>
    <definedName function="false" hidden="false" name="DATA13463" vbProcedure="false">#REF!</definedName>
    <definedName function="false" hidden="false" name="DATA13475" vbProcedure="false">#REF!</definedName>
    <definedName function="false" hidden="false" name="DATA13490" vbProcedure="false">#REF!</definedName>
    <definedName function="false" hidden="false" name="DATA135110" vbProcedure="false">#REF!</definedName>
    <definedName function="false" hidden="false" name="DATA135125" vbProcedure="false">#REF!</definedName>
    <definedName function="false" hidden="false" name="DATA135140" vbProcedure="false">#REF!</definedName>
    <definedName function="false" hidden="false" name="DATA135160" vbProcedure="false">#REF!</definedName>
    <definedName function="false" hidden="false" name="DATA135180" vbProcedure="false">#REF!</definedName>
    <definedName function="false" hidden="false" name="DATA135200" vbProcedure="false">#REF!</definedName>
    <definedName function="false" hidden="false" name="DATA135225" vbProcedure="false">#REF!</definedName>
    <definedName function="false" hidden="false" name="DATA135250" vbProcedure="false">#REF!</definedName>
    <definedName function="false" hidden="false" name="DATA135280" vbProcedure="false">#REF!</definedName>
    <definedName function="false" hidden="false" name="DATA135315" vbProcedure="false">#REF!</definedName>
    <definedName function="false" hidden="false" name="DATA135355" vbProcedure="false">#REF!</definedName>
    <definedName function="false" hidden="false" name="DATA135400" vbProcedure="false">#REF!</definedName>
    <definedName function="false" hidden="false" name="DATA13550" vbProcedure="false">#REF!</definedName>
    <definedName function="false" hidden="false" name="DATA13563" vbProcedure="false">#REF!</definedName>
    <definedName function="false" hidden="false" name="DATA13575" vbProcedure="false">#REF!</definedName>
    <definedName function="false" hidden="false" name="DATA13590" vbProcedure="false">#REF!</definedName>
    <definedName function="false" hidden="false" name="DATA136A" vbProcedure="false">#REF!</definedName>
    <definedName function="false" hidden="false" name="DATA136B" vbProcedure="false">#REF!</definedName>
    <definedName function="false" hidden="false" name="DATA136C" vbProcedure="false">#REF!</definedName>
    <definedName function="false" hidden="false" name="DATA136D" vbProcedure="false">#REF!</definedName>
    <definedName function="false" hidden="false" name="DATA136E" vbProcedure="false">#REF!</definedName>
    <definedName function="false" hidden="false" name="DATA136F" vbProcedure="false">#REF!</definedName>
    <definedName function="false" hidden="false" name="DATA136G" vbProcedure="false">#REF!</definedName>
    <definedName function="false" hidden="false" name="DATA136H" vbProcedure="false">#REF!</definedName>
    <definedName function="false" hidden="false" name="DATA136I" vbProcedure="false">#REF!</definedName>
    <definedName function="false" hidden="false" name="DATA136J" vbProcedure="false">#REF!</definedName>
    <definedName function="false" hidden="false" name="DATA136K" vbProcedure="false">#REF!</definedName>
    <definedName function="false" hidden="false" name="DATA136L" vbProcedure="false">#REF!</definedName>
    <definedName function="false" hidden="false" name="DATA136M" vbProcedure="false">#REF!</definedName>
    <definedName function="false" hidden="false" name="DATA136N" vbProcedure="false">#REF!</definedName>
    <definedName function="false" hidden="false" name="DATA136O" vbProcedure="false">#REF!</definedName>
    <definedName function="false" hidden="false" name="DATA136P" vbProcedure="false">#REF!</definedName>
    <definedName function="false" hidden="false" name="DATA137I" vbProcedure="false">#REF!</definedName>
    <definedName function="false" hidden="false" name="DATA137II" vbProcedure="false">#REF!</definedName>
    <definedName function="false" hidden="false" name="DATA137III" vbProcedure="false">#REF!</definedName>
    <definedName function="false" hidden="false" name="DATA137IV" vbProcedure="false">#REF!</definedName>
    <definedName function="false" hidden="false" name="DATA137V" vbProcedure="false">#REF!</definedName>
    <definedName function="false" hidden="false" name="DATA138I" vbProcedure="false">#REF!</definedName>
    <definedName function="false" hidden="false" name="DATA138II" vbProcedure="false">#REF!</definedName>
    <definedName function="false" hidden="false" name="DATA138III" vbProcedure="false">#REF!</definedName>
    <definedName function="false" hidden="false" name="DATA138IV" vbProcedure="false">#REF!</definedName>
    <definedName function="false" hidden="false" name="DATA138V" vbProcedure="false">#REF!</definedName>
    <definedName function="false" hidden="false" name="DATA138VI" vbProcedure="false">#REF!</definedName>
    <definedName function="false" hidden="false" name="DATA139IX" vbProcedure="false">#REF!</definedName>
    <definedName function="false" hidden="false" name="DATA139V" vbProcedure="false">#REF!</definedName>
    <definedName function="false" hidden="false" name="DATA139VI" vbProcedure="false">#REF!</definedName>
    <definedName function="false" hidden="false" name="DATA139VII" vbProcedure="false">#REF!</definedName>
    <definedName function="false" hidden="false" name="DATA139VIII" vbProcedure="false">#REF!</definedName>
    <definedName function="false" hidden="false" name="DATA14" vbProcedure="false">#REF!</definedName>
    <definedName function="false" hidden="false" name="DATA140I" vbProcedure="false">#REF!</definedName>
    <definedName function="false" hidden="false" name="DATA140II" vbProcedure="false">#REF!</definedName>
    <definedName function="false" hidden="false" name="DATA140III" vbProcedure="false">#REF!</definedName>
    <definedName function="false" hidden="false" name="DATA140IV" vbProcedure="false">#REF!</definedName>
    <definedName function="false" hidden="false" name="DATA140V" vbProcedure="false">#REF!</definedName>
    <definedName function="false" hidden="false" name="DATA141I" vbProcedure="false">#REF!</definedName>
    <definedName function="false" hidden="false" name="DATA141II" vbProcedure="false">#REF!</definedName>
    <definedName function="false" hidden="false" name="DATA141III" vbProcedure="false">#REF!</definedName>
    <definedName function="false" hidden="false" name="DATA141IV" vbProcedure="false">#REF!</definedName>
    <definedName function="false" hidden="false" name="DATA141V" vbProcedure="false">#REF!</definedName>
    <definedName function="false" hidden="false" name="DATA142I" vbProcedure="false">#REF!</definedName>
    <definedName function="false" hidden="false" name="DATA142II" vbProcedure="false">#REF!</definedName>
    <definedName function="false" hidden="false" name="DATA142III" vbProcedure="false">#REF!</definedName>
    <definedName function="false" hidden="false" name="DATA142IV" vbProcedure="false">#REF!</definedName>
    <definedName function="false" hidden="false" name="DATA142V" vbProcedure="false">#REF!</definedName>
    <definedName function="false" hidden="false" name="DATA143" vbProcedure="false">#REF!</definedName>
    <definedName function="false" hidden="false" name="DATA144" vbProcedure="false">#REF!</definedName>
    <definedName function="false" hidden="false" name="DATA145" vbProcedure="false">#REF!</definedName>
    <definedName function="false" hidden="false" name="DATA146" vbProcedure="false">#REF!</definedName>
    <definedName function="false" hidden="false" name="DATA147" vbProcedure="false">#REF!</definedName>
    <definedName function="false" hidden="false" name="DATA148" vbProcedure="false">#REF!</definedName>
    <definedName function="false" hidden="false" name="DATA149" vbProcedure="false">#REF!</definedName>
    <definedName function="false" hidden="false" name="DATA150" vbProcedure="false">#REF!</definedName>
    <definedName function="false" hidden="false" name="DATA151A" vbProcedure="false">#REF!</definedName>
    <definedName function="false" hidden="false" name="DATA152" vbProcedure="false">#REF!</definedName>
    <definedName function="false" hidden="false" name="DATA153" vbProcedure="false">#REF!</definedName>
    <definedName function="false" hidden="false" name="DATA154" vbProcedure="false">#REF!</definedName>
    <definedName function="false" hidden="false" name="DATA156" vbProcedure="false">#REF!</definedName>
    <definedName function="false" hidden="false" name="DATA157" vbProcedure="false">#REF!</definedName>
    <definedName function="false" hidden="false" name="DATA158" vbProcedure="false">#REF!</definedName>
    <definedName function="false" hidden="false" name="DATA159A" vbProcedure="false">#REF!</definedName>
    <definedName function="false" hidden="false" name="DATA159B" vbProcedure="false">#REF!</definedName>
    <definedName function="false" hidden="false" name="DATA159C" vbProcedure="false">#REF!</definedName>
    <definedName function="false" hidden="false" name="DATA159D" vbProcedure="false">#REF!</definedName>
    <definedName function="false" hidden="false" name="DATA16" vbProcedure="false">#REF!</definedName>
    <definedName function="false" hidden="false" name="DATA160" vbProcedure="false">#REF!</definedName>
    <definedName function="false" hidden="false" name="DATA161" vbProcedure="false">#REF!</definedName>
    <definedName function="false" hidden="false" name="DATA162" vbProcedure="false">#REF!</definedName>
    <definedName function="false" hidden="false" name="DATA163" vbProcedure="false">#REF!</definedName>
    <definedName function="false" hidden="false" name="DATA18" vbProcedure="false">#REF!</definedName>
    <definedName function="false" hidden="false" name="DATA19" vbProcedure="false">#REF!</definedName>
    <definedName function="false" hidden="false" name="DATA2" vbProcedure="false">#REF!</definedName>
    <definedName function="false" hidden="false" name="DATA20" vbProcedure="false">#REF!</definedName>
    <definedName function="false" hidden="false" name="DATA21" vbProcedure="false">#REF!</definedName>
    <definedName function="false" hidden="false" name="DATA22" vbProcedure="false">#REF!</definedName>
    <definedName function="false" hidden="false" name="DATA23" vbProcedure="false">#REF!</definedName>
    <definedName function="false" hidden="false" name="DATA24" vbProcedure="false">#REF!</definedName>
    <definedName function="false" hidden="false" name="DATA26" vbProcedure="false">#REF!</definedName>
    <definedName function="false" hidden="false" name="DATA27" vbProcedure="false">#REF!</definedName>
    <definedName function="false" hidden="false" name="DATA29" vbProcedure="false">#REF!</definedName>
    <definedName function="false" hidden="false" name="DATA3" vbProcedure="false">#REF!</definedName>
    <definedName function="false" hidden="false" name="DATA30" vbProcedure="false">#REF!</definedName>
    <definedName function="false" hidden="false" name="DATA31" vbProcedure="false">#REF!</definedName>
    <definedName function="false" hidden="false" name="DATA32" vbProcedure="false">#REF!</definedName>
    <definedName function="false" hidden="false" name="DATA33" vbProcedure="false">#REF!</definedName>
    <definedName function="false" hidden="false" name="DATA34" vbProcedure="false">#REF!</definedName>
    <definedName function="false" hidden="false" name="DATA35" vbProcedure="false">#REF!</definedName>
    <definedName function="false" hidden="false" name="DATA36" vbProcedure="false">#REF!</definedName>
    <definedName function="false" hidden="false" name="DATA37" vbProcedure="false">#REF!</definedName>
    <definedName function="false" hidden="false" name="DATA38" vbProcedure="false">#REF!</definedName>
    <definedName function="false" hidden="false" name="DATA39" vbProcedure="false">#REF!</definedName>
    <definedName function="false" hidden="false" name="DATA4" vbProcedure="false">#REF!</definedName>
    <definedName function="false" hidden="false" name="DATA40" vbProcedure="false">#REF!</definedName>
    <definedName function="false" hidden="false" name="DATA41" vbProcedure="false">#REF!</definedName>
    <definedName function="false" hidden="false" name="DATA42" vbProcedure="false">#REF!</definedName>
    <definedName function="false" hidden="false" name="DATA43" vbProcedure="false">#REF!</definedName>
    <definedName function="false" hidden="false" name="DATA44" vbProcedure="false">#REF!</definedName>
    <definedName function="false" hidden="false" name="DATA45" vbProcedure="false">#REF!</definedName>
    <definedName function="false" hidden="false" name="DATA46" vbProcedure="false">#REF!</definedName>
    <definedName function="false" hidden="false" name="DATA47" vbProcedure="false">#REF!</definedName>
    <definedName function="false" hidden="false" name="DATA48" vbProcedure="false">#REF!</definedName>
    <definedName function="false" hidden="false" name="DATA49" vbProcedure="false">#REF!</definedName>
    <definedName function="false" hidden="false" name="DATA5" vbProcedure="false">#REF!</definedName>
    <definedName function="false" hidden="false" name="DATA50" vbProcedure="false">#REF!</definedName>
    <definedName function="false" hidden="false" name="DATA51" vbProcedure="false">#REF!</definedName>
    <definedName function="false" hidden="false" name="DATA52" vbProcedure="false">#REF!</definedName>
    <definedName function="false" hidden="false" name="DATA53" vbProcedure="false">#REF!</definedName>
    <definedName function="false" hidden="false" name="DATA54" vbProcedure="false">#REF!</definedName>
    <definedName function="false" hidden="false" name="DATA56" vbProcedure="false">#REF!</definedName>
    <definedName function="false" hidden="false" name="DATA57" vbProcedure="false">#REF!</definedName>
    <definedName function="false" hidden="false" name="DATA58" vbProcedure="false">#REF!</definedName>
    <definedName function="false" hidden="false" name="DATA59" vbProcedure="false">#REF!</definedName>
    <definedName function="false" hidden="false" name="DATA6" vbProcedure="false">#REF!</definedName>
    <definedName function="false" hidden="false" name="DATA60" vbProcedure="false">#REF!</definedName>
    <definedName function="false" hidden="false" name="DATA61" vbProcedure="false">#REF!</definedName>
    <definedName function="false" hidden="false" name="DATA63" vbProcedure="false">#REF!</definedName>
    <definedName function="false" hidden="false" name="DATA64" vbProcedure="false">#REF!</definedName>
    <definedName function="false" hidden="false" name="DATA65" vbProcedure="false">#REF!</definedName>
    <definedName function="false" hidden="false" name="DATA66" vbProcedure="false">#REF!</definedName>
    <definedName function="false" hidden="false" name="DATA67" vbProcedure="false">#REF!</definedName>
    <definedName function="false" hidden="false" name="DATA68" vbProcedure="false">#REF!</definedName>
    <definedName function="false" hidden="false" name="DATA69" vbProcedure="false">#REF!</definedName>
    <definedName function="false" hidden="false" name="DATA7" vbProcedure="false">#REF!</definedName>
    <definedName function="false" hidden="false" name="DATA70" vbProcedure="false">#REF!</definedName>
    <definedName function="false" hidden="false" name="DATA71" vbProcedure="false">#REF!</definedName>
    <definedName function="false" hidden="false" name="DATA72" vbProcedure="false">#REF!</definedName>
    <definedName function="false" hidden="false" name="DATA73" vbProcedure="false">#REF!</definedName>
    <definedName function="false" hidden="false" name="DATA74" vbProcedure="false">#REF!</definedName>
    <definedName function="false" hidden="false" name="DATA76" vbProcedure="false">#REF!</definedName>
    <definedName function="false" hidden="false" name="DATA77A" vbProcedure="false">#REF!</definedName>
    <definedName function="false" hidden="false" name="DATA77B" vbProcedure="false">#REF!</definedName>
    <definedName function="false" hidden="false" name="DATA78" vbProcedure="false">#REF!</definedName>
    <definedName function="false" hidden="false" name="DATA79A" vbProcedure="false">#REF!</definedName>
    <definedName function="false" hidden="false" name="DATA79B" vbProcedure="false">#REF!</definedName>
    <definedName function="false" hidden="false" name="DATA79C" vbProcedure="false">#REF!</definedName>
    <definedName function="false" hidden="false" name="DATA8" vbProcedure="false">#REF!</definedName>
    <definedName function="false" hidden="false" name="DATA80A" vbProcedure="false">#REF!</definedName>
    <definedName function="false" hidden="false" name="DATA80B" vbProcedure="false">#REF!</definedName>
    <definedName function="false" hidden="false" name="DATA80C" vbProcedure="false">#REF!</definedName>
    <definedName function="false" hidden="false" name="DATA81" vbProcedure="false">#REF!</definedName>
    <definedName function="false" hidden="false" name="DATA82" vbProcedure="false">#REF!</definedName>
    <definedName function="false" hidden="false" name="DATA84" vbProcedure="false">#REF!</definedName>
    <definedName function="false" hidden="false" name="DATA85" vbProcedure="false">#REF!</definedName>
    <definedName function="false" hidden="false" name="DATA86" vbProcedure="false">#REF!</definedName>
    <definedName function="false" hidden="false" name="DATA87" vbProcedure="false">#REF!</definedName>
    <definedName function="false" hidden="false" name="DATA88" vbProcedure="false">#REF!</definedName>
    <definedName function="false" hidden="false" name="DATA89" vbProcedure="false">#REF!</definedName>
    <definedName function="false" hidden="false" name="DATA9" vbProcedure="false">#REF!</definedName>
    <definedName function="false" hidden="false" name="DATA90" vbProcedure="false">#REF!</definedName>
    <definedName function="false" hidden="false" name="DATA92" vbProcedure="false">#REF!</definedName>
    <definedName function="false" hidden="false" name="DATA93" vbProcedure="false">#REF!</definedName>
    <definedName function="false" hidden="false" name="DATA94" vbProcedure="false">#REF!</definedName>
    <definedName function="false" hidden="false" name="DATA95" vbProcedure="false">#REF!</definedName>
    <definedName function="false" hidden="false" name="DATA98" vbProcedure="false">#REF!</definedName>
    <definedName function="false" hidden="false" name="DATA99" vbProcedure="false">#REF!</definedName>
    <definedName function="false" hidden="false" name="Date" vbProcedure="false">#REF!</definedName>
    <definedName function="false" hidden="false" name="db" vbProcedure="false">#REF!</definedName>
    <definedName function="false" hidden="false" name="db___0" vbProcedure="false">#REF!</definedName>
    <definedName function="false" hidden="false" name="db___13" vbProcedure="false">#REF!</definedName>
    <definedName function="false" hidden="false" name="dc" vbProcedure="false">#REF!</definedName>
    <definedName function="false" hidden="false" name="dd" vbProcedure="false">#REF!</definedName>
    <definedName function="false" hidden="false" name="ddd" vbProcedure="false">#REF!</definedName>
    <definedName function="false" hidden="false" name="dddddd" vbProcedure="false">[13]rates!#ref!</definedName>
    <definedName function="false" hidden="false" name="ddoorrr" vbProcedure="false">#REF!</definedName>
    <definedName function="false" hidden="false" name="dec03rate" vbProcedure="false">#REF!</definedName>
    <definedName function="false" hidden="false" name="DELTA20" vbProcedure="false">#REF!</definedName>
    <definedName function="false" hidden="false" name="DELTA20___0" vbProcedure="false">#REF!</definedName>
    <definedName function="false" hidden="false" name="DELTA20___13" vbProcedure="false">#REF!</definedName>
    <definedName function="false" hidden="false" name="demo" vbProcedure="false">#REF!</definedName>
    <definedName function="false" hidden="false" name="den" vbProcedure="false">#REF!</definedName>
    <definedName function="false" hidden="false" name="Depn" vbProcedure="false">#REF!</definedName>
    <definedName function="false" hidden="false" name="DEPTH" vbProcedure="false">#REF!</definedName>
    <definedName function="false" hidden="false" name="dero" vbProcedure="false">#REF!</definedName>
    <definedName function="false" hidden="false" name="DES" vbProcedure="false">#REF!</definedName>
    <definedName function="false" hidden="false" name="DESC100" vbProcedure="false">#REF!</definedName>
    <definedName function="false" hidden="false" name="DESC101" vbProcedure="false">#REF!</definedName>
    <definedName function="false" hidden="false" name="DESC1011" vbProcedure="false">#REF!</definedName>
    <definedName function="false" hidden="false" name="DESC1012" vbProcedure="false">#REF!</definedName>
    <definedName function="false" hidden="false" name="DESC1013" vbProcedure="false">#REF!</definedName>
    <definedName function="false" hidden="false" name="DESC1014" vbProcedure="false">#REF!</definedName>
    <definedName function="false" hidden="false" name="DESC1015" vbProcedure="false">#REF!</definedName>
    <definedName function="false" hidden="false" name="DESC102" vbProcedure="false">#REF!</definedName>
    <definedName function="false" hidden="false" name="DESC103" vbProcedure="false">#REF!</definedName>
    <definedName function="false" hidden="false" name="DESC104" vbProcedure="false">#REF!</definedName>
    <definedName function="false" hidden="false" name="DESC105" vbProcedure="false">#REF!</definedName>
    <definedName function="false" hidden="false" name="DESC106" vbProcedure="false">#REF!</definedName>
    <definedName function="false" hidden="false" name="DESC107" vbProcedure="false">#REF!</definedName>
    <definedName function="false" hidden="false" name="DESC107A" vbProcedure="false">#REF!</definedName>
    <definedName function="false" hidden="false" name="DESC107B" vbProcedure="false">#REF!</definedName>
    <definedName function="false" hidden="false" name="DESC107C" vbProcedure="false">#REF!</definedName>
    <definedName function="false" hidden="false" name="DESC107D" vbProcedure="false">#REF!</definedName>
    <definedName function="false" hidden="false" name="DESC107E" vbProcedure="false">#REF!</definedName>
    <definedName function="false" hidden="false" name="DESC107F" vbProcedure="false">#REF!</definedName>
    <definedName function="false" hidden="false" name="DESC107G" vbProcedure="false">#REF!</definedName>
    <definedName function="false" hidden="false" name="DESC108" vbProcedure="false">#REF!</definedName>
    <definedName function="false" hidden="false" name="DESC108A" vbProcedure="false">#REF!</definedName>
    <definedName function="false" hidden="false" name="DESC108B" vbProcedure="false">#REF!</definedName>
    <definedName function="false" hidden="false" name="DESC108C" vbProcedure="false">#REF!</definedName>
    <definedName function="false" hidden="false" name="DESC108D" vbProcedure="false">#REF!</definedName>
    <definedName function="false" hidden="false" name="DESC108E" vbProcedure="false">#REF!</definedName>
    <definedName function="false" hidden="false" name="DESC108F" vbProcedure="false">#REF!</definedName>
    <definedName function="false" hidden="false" name="DESC108G" vbProcedure="false">#REF!</definedName>
    <definedName function="false" hidden="false" name="DESC108H" vbProcedure="false">#REF!</definedName>
    <definedName function="false" hidden="false" name="DESC108I" vbProcedure="false">#REF!</definedName>
    <definedName function="false" hidden="false" name="DESC108J" vbProcedure="false">#REF!</definedName>
    <definedName function="false" hidden="false" name="DESC108K" vbProcedure="false">#REF!</definedName>
    <definedName function="false" hidden="false" name="DESC108L" vbProcedure="false">#REF!</definedName>
    <definedName function="false" hidden="false" name="DESC108M" vbProcedure="false">#REF!</definedName>
    <definedName function="false" hidden="false" name="DESC108N" vbProcedure="false">#REF!</definedName>
    <definedName function="false" hidden="false" name="DESC108O" vbProcedure="false">#REF!</definedName>
    <definedName function="false" hidden="false" name="DESC108P" vbProcedure="false">#REF!</definedName>
    <definedName function="false" hidden="false" name="DESC109" vbProcedure="false">#REF!</definedName>
    <definedName function="false" hidden="false" name="DESC109A" vbProcedure="false">#REF!</definedName>
    <definedName function="false" hidden="false" name="DESC109B" vbProcedure="false">#REF!</definedName>
    <definedName function="false" hidden="false" name="DESC109C" vbProcedure="false">#REF!</definedName>
    <definedName function="false" hidden="false" name="DESC109D" vbProcedure="false">#REF!</definedName>
    <definedName function="false" hidden="false" name="DESC109E" vbProcedure="false">#REF!</definedName>
    <definedName function="false" hidden="false" name="DESC109F" vbProcedure="false">#REF!</definedName>
    <definedName function="false" hidden="false" name="DESC109G" vbProcedure="false">#REF!</definedName>
    <definedName function="false" hidden="false" name="DESC109H" vbProcedure="false">#REF!</definedName>
    <definedName function="false" hidden="false" name="DESC109I" vbProcedure="false">#REF!</definedName>
    <definedName function="false" hidden="false" name="DESC109J" vbProcedure="false">#REF!</definedName>
    <definedName function="false" hidden="false" name="DESC109K" vbProcedure="false">#REF!</definedName>
    <definedName function="false" hidden="false" name="DESC109L" vbProcedure="false">#REF!</definedName>
    <definedName function="false" hidden="false" name="DESC109M" vbProcedure="false">#REF!</definedName>
    <definedName function="false" hidden="false" name="DESC109N" vbProcedure="false">#REF!</definedName>
    <definedName function="false" hidden="false" name="DESC109O" vbProcedure="false">#REF!</definedName>
    <definedName function="false" hidden="false" name="DESC109P" vbProcedure="false">#REF!</definedName>
    <definedName function="false" hidden="false" name="DESC110" vbProcedure="false">#REF!</definedName>
    <definedName function="false" hidden="false" name="DESC110A" vbProcedure="false">#REF!</definedName>
    <definedName function="false" hidden="false" name="DESC110B" vbProcedure="false">#REF!</definedName>
    <definedName function="false" hidden="false" name="DESC110C" vbProcedure="false">#REF!</definedName>
    <definedName function="false" hidden="false" name="DESC110D" vbProcedure="false">#REF!</definedName>
    <definedName function="false" hidden="false" name="DESC110E" vbProcedure="false">#REF!</definedName>
    <definedName function="false" hidden="false" name="DESC110F" vbProcedure="false">#REF!</definedName>
    <definedName function="false" hidden="false" name="DESC110G" vbProcedure="false">#REF!</definedName>
    <definedName function="false" hidden="false" name="DESC110H" vbProcedure="false">#REF!</definedName>
    <definedName function="false" hidden="false" name="DESC110I" vbProcedure="false">#REF!</definedName>
    <definedName function="false" hidden="false" name="DESC110J" vbProcedure="false">#REF!</definedName>
    <definedName function="false" hidden="false" name="DESC110K" vbProcedure="false">#REF!</definedName>
    <definedName function="false" hidden="false" name="DESC110L" vbProcedure="false">#REF!</definedName>
    <definedName function="false" hidden="false" name="DESC110M" vbProcedure="false">#REF!</definedName>
    <definedName function="false" hidden="false" name="DESC110N" vbProcedure="false">#REF!</definedName>
    <definedName function="false" hidden="false" name="DESC110O" vbProcedure="false">#REF!</definedName>
    <definedName function="false" hidden="false" name="DESC110P" vbProcedure="false">#REF!</definedName>
    <definedName function="false" hidden="false" name="DESC111" vbProcedure="false">#REF!</definedName>
    <definedName function="false" hidden="false" name="DESC111A" vbProcedure="false">#REF!</definedName>
    <definedName function="false" hidden="false" name="DESC111B" vbProcedure="false">#REF!</definedName>
    <definedName function="false" hidden="false" name="DESC111C" vbProcedure="false">#REF!</definedName>
    <definedName function="false" hidden="false" name="DESC111D" vbProcedure="false">#REF!</definedName>
    <definedName function="false" hidden="false" name="DESC111E" vbProcedure="false">#REF!</definedName>
    <definedName function="false" hidden="false" name="DESC111F" vbProcedure="false">#REF!</definedName>
    <definedName function="false" hidden="false" name="DESC111G" vbProcedure="false">#REF!</definedName>
    <definedName function="false" hidden="false" name="DESC111H" vbProcedure="false">#REF!</definedName>
    <definedName function="false" hidden="false" name="DESC111I" vbProcedure="false">#REF!</definedName>
    <definedName function="false" hidden="false" name="DESC111J" vbProcedure="false">#REF!</definedName>
    <definedName function="false" hidden="false" name="DESC111K" vbProcedure="false">#REF!</definedName>
    <definedName function="false" hidden="false" name="DESC111L" vbProcedure="false">#REF!</definedName>
    <definedName function="false" hidden="false" name="DESC111M" vbProcedure="false">#REF!</definedName>
    <definedName function="false" hidden="false" name="DESC111N" vbProcedure="false">#REF!</definedName>
    <definedName function="false" hidden="false" name="DESC111O" vbProcedure="false">#REF!</definedName>
    <definedName function="false" hidden="false" name="DESC111P" vbProcedure="false">#REF!</definedName>
    <definedName function="false" hidden="false" name="DESC112" vbProcedure="false">#REF!</definedName>
    <definedName function="false" hidden="false" name="DESC112A" vbProcedure="false">#REF!</definedName>
    <definedName function="false" hidden="false" name="DESC112B" vbProcedure="false">#REF!</definedName>
    <definedName function="false" hidden="false" name="DESC112C" vbProcedure="false">#REF!</definedName>
    <definedName function="false" hidden="false" name="DESC112D" vbProcedure="false">#REF!</definedName>
    <definedName function="false" hidden="false" name="DESC112E" vbProcedure="false">#REF!</definedName>
    <definedName function="false" hidden="false" name="DESC112F" vbProcedure="false">#REF!</definedName>
    <definedName function="false" hidden="false" name="DESC112G" vbProcedure="false">#REF!</definedName>
    <definedName function="false" hidden="false" name="DESC112H" vbProcedure="false">#REF!</definedName>
    <definedName function="false" hidden="false" name="DESC112I" vbProcedure="false">#REF!</definedName>
    <definedName function="false" hidden="false" name="DESC112J" vbProcedure="false">#REF!</definedName>
    <definedName function="false" hidden="false" name="DESC112K" vbProcedure="false">#REF!</definedName>
    <definedName function="false" hidden="false" name="DESC112L" vbProcedure="false">#REF!</definedName>
    <definedName function="false" hidden="false" name="DESC112M" vbProcedure="false">#REF!</definedName>
    <definedName function="false" hidden="false" name="DESC112N" vbProcedure="false">#REF!</definedName>
    <definedName function="false" hidden="false" name="DESC112O" vbProcedure="false">#REF!</definedName>
    <definedName function="false" hidden="false" name="DESC112P" vbProcedure="false">#REF!</definedName>
    <definedName function="false" hidden="false" name="DESC113" vbProcedure="false">#REF!</definedName>
    <definedName function="false" hidden="false" name="DESC113A" vbProcedure="false">#REF!</definedName>
    <definedName function="false" hidden="false" name="DESC113B" vbProcedure="false">#REF!</definedName>
    <definedName function="false" hidden="false" name="DESC113C" vbProcedure="false">#REF!</definedName>
    <definedName function="false" hidden="false" name="DESC113D" vbProcedure="false">#REF!</definedName>
    <definedName function="false" hidden="false" name="DESC113E" vbProcedure="false">#REF!</definedName>
    <definedName function="false" hidden="false" name="DESC113F" vbProcedure="false">#REF!</definedName>
    <definedName function="false" hidden="false" name="DESC113G" vbProcedure="false">#REF!</definedName>
    <definedName function="false" hidden="false" name="DESC113H" vbProcedure="false">#REF!</definedName>
    <definedName function="false" hidden="false" name="DESC113I" vbProcedure="false">#REF!</definedName>
    <definedName function="false" hidden="false" name="DESC113J" vbProcedure="false">#REF!</definedName>
    <definedName function="false" hidden="false" name="DESC113K" vbProcedure="false">#REF!</definedName>
    <definedName function="false" hidden="false" name="DESC114" vbProcedure="false">#REF!</definedName>
    <definedName function="false" hidden="false" name="DESC115" vbProcedure="false">#REF!</definedName>
    <definedName function="false" hidden="false" name="DESC116" vbProcedure="false">#REF!</definedName>
    <definedName function="false" hidden="false" name="DESC117" vbProcedure="false">#REF!</definedName>
    <definedName function="false" hidden="false" name="DESC118" vbProcedure="false">#REF!</definedName>
    <definedName function="false" hidden="false" name="DESC119" vbProcedure="false">#REF!</definedName>
    <definedName function="false" hidden="false" name="DESC120" vbProcedure="false">#REF!</definedName>
    <definedName function="false" hidden="false" name="DESC121" vbProcedure="false">#REF!</definedName>
    <definedName function="false" hidden="false" name="DESC122" vbProcedure="false">#REF!</definedName>
    <definedName function="false" hidden="false" name="DESC123" vbProcedure="false">#REF!</definedName>
    <definedName function="false" hidden="false" name="DESC124" vbProcedure="false">#REF!</definedName>
    <definedName function="false" hidden="false" name="DESC125" vbProcedure="false">#REF!</definedName>
    <definedName function="false" hidden="false" name="DESC126" vbProcedure="false">#REF!</definedName>
    <definedName function="false" hidden="false" name="DESC127" vbProcedure="false">#REF!</definedName>
    <definedName function="false" hidden="false" name="DESC127A" vbProcedure="false">#REF!</definedName>
    <definedName function="false" hidden="false" name="DESC127B" vbProcedure="false">#REF!</definedName>
    <definedName function="false" hidden="false" name="DESC127C" vbProcedure="false">#REF!</definedName>
    <definedName function="false" hidden="false" name="DESC127D" vbProcedure="false">#REF!</definedName>
    <definedName function="false" hidden="false" name="DESC127E" vbProcedure="false">#REF!</definedName>
    <definedName function="false" hidden="false" name="DESC127F" vbProcedure="false">#REF!</definedName>
    <definedName function="false" hidden="false" name="DESC127G" vbProcedure="false">#REF!</definedName>
    <definedName function="false" hidden="false" name="DESC127H" vbProcedure="false">#REF!</definedName>
    <definedName function="false" hidden="false" name="DESC127I" vbProcedure="false">#REF!</definedName>
    <definedName function="false" hidden="false" name="DESC127J" vbProcedure="false">#REF!</definedName>
    <definedName function="false" hidden="false" name="DESC128" vbProcedure="false">#REF!</definedName>
    <definedName function="false" hidden="false" name="DESC128A" vbProcedure="false">#REF!</definedName>
    <definedName function="false" hidden="false" name="DESC128B" vbProcedure="false">#REF!</definedName>
    <definedName function="false" hidden="false" name="DESC128C" vbProcedure="false">#REF!</definedName>
    <definedName function="false" hidden="false" name="DESC128D" vbProcedure="false">#REF!</definedName>
    <definedName function="false" hidden="false" name="DESC128E" vbProcedure="false">#REF!</definedName>
    <definedName function="false" hidden="false" name="DESC128F" vbProcedure="false">#REF!</definedName>
    <definedName function="false" hidden="false" name="DESC128G" vbProcedure="false">#REF!</definedName>
    <definedName function="false" hidden="false" name="DESC129" vbProcedure="false">#REF!</definedName>
    <definedName function="false" hidden="false" name="DESC129A" vbProcedure="false">#REF!</definedName>
    <definedName function="false" hidden="false" name="DESC129B" vbProcedure="false">#REF!</definedName>
    <definedName function="false" hidden="false" name="DESC129C" vbProcedure="false">#REF!</definedName>
    <definedName function="false" hidden="false" name="DESC129D" vbProcedure="false">#REF!</definedName>
    <definedName function="false" hidden="false" name="DESC130" vbProcedure="false">#REF!</definedName>
    <definedName function="false" hidden="false" name="DESC130A" vbProcedure="false">#REF!</definedName>
    <definedName function="false" hidden="false" name="DESC130B" vbProcedure="false">#REF!</definedName>
    <definedName function="false" hidden="false" name="DESC131" vbProcedure="false">#REF!</definedName>
    <definedName function="false" hidden="false" name="DESC132" vbProcedure="false">#REF!</definedName>
    <definedName function="false" hidden="false" name="DESC133" vbProcedure="false">#REF!</definedName>
    <definedName function="false" hidden="false" name="DESC14" vbProcedure="false">#REF!</definedName>
    <definedName function="false" hidden="false" name="DESC143" vbProcedure="false">#REF!</definedName>
    <definedName function="false" hidden="false" name="DESC144" vbProcedure="false">#REF!</definedName>
    <definedName function="false" hidden="false" name="DESC145" vbProcedure="false">#REF!</definedName>
    <definedName function="false" hidden="false" name="DESC146" vbProcedure="false">#REF!</definedName>
    <definedName function="false" hidden="false" name="DESC147" vbProcedure="false">#REF!</definedName>
    <definedName function="false" hidden="false" name="DESC148" vbProcedure="false">#REF!</definedName>
    <definedName function="false" hidden="false" name="DESC149" vbProcedure="false">#REF!</definedName>
    <definedName function="false" hidden="false" name="DESC150" vbProcedure="false">#REF!</definedName>
    <definedName function="false" hidden="false" name="DESC151A" vbProcedure="false">#REF!</definedName>
    <definedName function="false" hidden="false" name="DESC152" vbProcedure="false">#REF!</definedName>
    <definedName function="false" hidden="false" name="DESC153" vbProcedure="false">#REF!</definedName>
    <definedName function="false" hidden="false" name="DESC154" vbProcedure="false">#REF!</definedName>
    <definedName function="false" hidden="false" name="DESC155" vbProcedure="false">#REF!</definedName>
    <definedName function="false" hidden="false" name="DESC156" vbProcedure="false">#REF!</definedName>
    <definedName function="false" hidden="false" name="DESC157" vbProcedure="false">#REF!</definedName>
    <definedName function="false" hidden="false" name="DESC158" vbProcedure="false">#REF!</definedName>
    <definedName function="false" hidden="false" name="DESC16" vbProcedure="false">#REF!</definedName>
    <definedName function="false" hidden="false" name="DESC18" vbProcedure="false">#REF!</definedName>
    <definedName function="false" hidden="false" name="DESC19" vbProcedure="false">#REF!</definedName>
    <definedName function="false" hidden="false" name="DESC20" vbProcedure="false">#REF!</definedName>
    <definedName function="false" hidden="false" name="DESC21" vbProcedure="false">#REF!</definedName>
    <definedName function="false" hidden="false" name="DESC22" vbProcedure="false">#REF!</definedName>
    <definedName function="false" hidden="false" name="DESC23" vbProcedure="false">#REF!</definedName>
    <definedName function="false" hidden="false" name="DESC24" vbProcedure="false">#REF!</definedName>
    <definedName function="false" hidden="false" name="DESC26" vbProcedure="false">#REF!</definedName>
    <definedName function="false" hidden="false" name="DESC27" vbProcedure="false">#REF!</definedName>
    <definedName function="false" hidden="false" name="DESC29" vbProcedure="false">#REF!</definedName>
    <definedName function="false" hidden="false" name="DESC30" vbProcedure="false">#REF!</definedName>
    <definedName function="false" hidden="false" name="DESC31" vbProcedure="false">#REF!</definedName>
    <definedName function="false" hidden="false" name="DESC32" vbProcedure="false">#REF!</definedName>
    <definedName function="false" hidden="false" name="DESC33" vbProcedure="false">#REF!</definedName>
    <definedName function="false" hidden="false" name="DESC34" vbProcedure="false">#REF!</definedName>
    <definedName function="false" hidden="false" name="DESC35" vbProcedure="false">#REF!</definedName>
    <definedName function="false" hidden="false" name="DESC36" vbProcedure="false">#REF!</definedName>
    <definedName function="false" hidden="false" name="DESC37" vbProcedure="false">#REF!</definedName>
    <definedName function="false" hidden="false" name="DESC38" vbProcedure="false">#REF!</definedName>
    <definedName function="false" hidden="false" name="DESC39" vbProcedure="false">#REF!</definedName>
    <definedName function="false" hidden="false" name="DESC40" vbProcedure="false">#REF!</definedName>
    <definedName function="false" hidden="false" name="DESC41" vbProcedure="false">#REF!</definedName>
    <definedName function="false" hidden="false" name="DESC42" vbProcedure="false">#REF!</definedName>
    <definedName function="false" hidden="false" name="DESC43" vbProcedure="false">#REF!</definedName>
    <definedName function="false" hidden="false" name="DESC44" vbProcedure="false">#REF!</definedName>
    <definedName function="false" hidden="false" name="DESC44PN" vbProcedure="false">#REF!</definedName>
    <definedName function="false" hidden="false" name="DESC45" vbProcedure="false">#REF!</definedName>
    <definedName function="false" hidden="false" name="DESC46" vbProcedure="false">#REF!</definedName>
    <definedName function="false" hidden="false" name="DESC47" vbProcedure="false">#REF!</definedName>
    <definedName function="false" hidden="false" name="DESC48" vbProcedure="false">#REF!</definedName>
    <definedName function="false" hidden="false" name="DESC49" vbProcedure="false">#REF!</definedName>
    <definedName function="false" hidden="false" name="DESC50" vbProcedure="false">#REF!</definedName>
    <definedName function="false" hidden="false" name="DESC51" vbProcedure="false">#REF!</definedName>
    <definedName function="false" hidden="false" name="DESC52" vbProcedure="false">#REF!</definedName>
    <definedName function="false" hidden="false" name="DESC54" vbProcedure="false">#REF!</definedName>
    <definedName function="false" hidden="false" name="DESC56" vbProcedure="false">#REF!</definedName>
    <definedName function="false" hidden="false" name="DESC57" vbProcedure="false">#REF!</definedName>
    <definedName function="false" hidden="false" name="DESC58" vbProcedure="false">#REF!</definedName>
    <definedName function="false" hidden="false" name="DESC59" vbProcedure="false">#REF!</definedName>
    <definedName function="false" hidden="false" name="DESC60" vbProcedure="false">#REF!</definedName>
    <definedName function="false" hidden="false" name="DESC61" vbProcedure="false">#REF!</definedName>
    <definedName function="false" hidden="false" name="DESC63" vbProcedure="false">#REF!</definedName>
    <definedName function="false" hidden="false" name="DESC64" vbProcedure="false">#REF!</definedName>
    <definedName function="false" hidden="false" name="DESC65" vbProcedure="false">#REF!</definedName>
    <definedName function="false" hidden="false" name="DESC66" vbProcedure="false">#REF!</definedName>
    <definedName function="false" hidden="false" name="DESC68" vbProcedure="false">#REF!</definedName>
    <definedName function="false" hidden="false" name="DESC69" vbProcedure="false">#REF!</definedName>
    <definedName function="false" hidden="false" name="DESC7" vbProcedure="false">#REF!</definedName>
    <definedName function="false" hidden="false" name="DESC70" vbProcedure="false">#REF!</definedName>
    <definedName function="false" hidden="false" name="DESC71" vbProcedure="false">#REF!</definedName>
    <definedName function="false" hidden="false" name="DESC72" vbProcedure="false">#REF!</definedName>
    <definedName function="false" hidden="false" name="DESC73" vbProcedure="false">#REF!</definedName>
    <definedName function="false" hidden="false" name="DESC74" vbProcedure="false">#REF!</definedName>
    <definedName function="false" hidden="false" name="DESC77" vbProcedure="false">#REF!</definedName>
    <definedName function="false" hidden="false" name="DESC78" vbProcedure="false">#REF!</definedName>
    <definedName function="false" hidden="false" name="DESC79" vbProcedure="false">#REF!</definedName>
    <definedName function="false" hidden="false" name="DESC79A" vbProcedure="false">#REF!</definedName>
    <definedName function="false" hidden="false" name="DESC79B" vbProcedure="false">#REF!</definedName>
    <definedName function="false" hidden="false" name="DESC79C" vbProcedure="false">#REF!</definedName>
    <definedName function="false" hidden="false" name="DESC80" vbProcedure="false">#REF!</definedName>
    <definedName function="false" hidden="false" name="DESC80A" vbProcedure="false">#REF!</definedName>
    <definedName function="false" hidden="false" name="DESC80B" vbProcedure="false">#REF!</definedName>
    <definedName function="false" hidden="false" name="DESC80C" vbProcedure="false">#REF!</definedName>
    <definedName function="false" hidden="false" name="DESC81" vbProcedure="false">#REF!</definedName>
    <definedName function="false" hidden="false" name="DESC82" vbProcedure="false">#REF!</definedName>
    <definedName function="false" hidden="false" name="DESC85" vbProcedure="false">#REF!</definedName>
    <definedName function="false" hidden="false" name="DESC86" vbProcedure="false">#REF!</definedName>
    <definedName function="false" hidden="false" name="DESC87" vbProcedure="false">#REF!</definedName>
    <definedName function="false" hidden="false" name="DESC88" vbProcedure="false">#REF!</definedName>
    <definedName function="false" hidden="false" name="DESC92" vbProcedure="false">#REF!</definedName>
    <definedName function="false" hidden="false" name="DESC93" vbProcedure="false">#REF!</definedName>
    <definedName function="false" hidden="false" name="DESC94" vbProcedure="false">#REF!</definedName>
    <definedName function="false" hidden="false" name="DESC95" vbProcedure="false">#REF!</definedName>
    <definedName function="false" hidden="false" name="DESC98" vbProcedure="false">#REF!</definedName>
    <definedName function="false" hidden="false" name="DESC99" vbProcedure="false">#REF!</definedName>
    <definedName function="false" hidden="false" name="Description" vbProcedure="false">#REF!</definedName>
    <definedName function="false" hidden="false" name="designed" vbProcedure="false">#REF!</definedName>
    <definedName function="false" hidden="false" name="df" vbProcedure="false">#REF!</definedName>
    <definedName function="false" hidden="false" name="dff" vbProcedure="false">#REF!</definedName>
    <definedName function="false" hidden="false" name="dfgagggggggggggggggggggggggggggggg" vbProcedure="false">#REF!</definedName>
    <definedName function="false" hidden="false" name="dfght" vbProcedure="false">#REF!</definedName>
    <definedName function="false" hidden="false" name="dfgtr" vbProcedure="false">#REF!</definedName>
    <definedName function="false" hidden="false" name="dfrgehy" vbProcedure="false">#REF!</definedName>
    <definedName function="false" hidden="false" name="DFSDFREW" vbProcedure="false">#REF!</definedName>
    <definedName function="false" hidden="false" name="dfwfdewae" vbProcedure="false">#REF!</definedName>
    <definedName function="false" hidden="false" name="dg" vbProcedure="false">#REF!</definedName>
    <definedName function="false" hidden="false" name="Di" vbProcedure="false">#REF!</definedName>
    <definedName function="false" hidden="false" name="DIAGNOSTICS" vbProcedure="false">[47]diagnostic!#ref!</definedName>
    <definedName function="false" hidden="false" name="diameter" vbProcedure="false">#REF!</definedName>
    <definedName function="false" hidden="false" name="Diamètres_Tuyaux" vbProcedure="false">#REF!</definedName>
    <definedName function="false" hidden="false" name="diaphragm" vbProcedure="false">#REF!</definedName>
    <definedName function="false" hidden="false" name="DIESEL_INCREASE_FACTOR" vbProcedure="false">[48]DATA!$G$4</definedName>
    <definedName function="false" hidden="false" name="dim4e" vbProcedure="false">#REF!</definedName>
    <definedName function="false" hidden="false" name="Dimensions_Stockage" vbProcedure="false">#REF!</definedName>
    <definedName function="false" hidden="false" name="DIns" vbProcedure="false">#REF!</definedName>
    <definedName function="false" hidden="false" name="DISC" vbProcedure="false">#REF!</definedName>
    <definedName function="false" hidden="false" name="DISCOUNTAL" vbProcedure="false">[10]CABLERET!$D$3</definedName>
    <definedName function="false" hidden="false" name="DISCOUNTCU" vbProcedure="false">[10]CABLERET!$E$3</definedName>
    <definedName function="false" hidden="false" name="dl" vbProcedure="false">#REF!</definedName>
    <definedName function="false" hidden="false" name="DLLR" vbProcedure="false">'[42]SUBSTRUCTURE BOQ.'!$K$2</definedName>
    <definedName function="false" hidden="false" name="dlr" vbProcedure="false">'[49]SUBSTR.BOQ'!$O$2</definedName>
    <definedName function="false" hidden="false" name="dl___0" vbProcedure="false">#REF!</definedName>
    <definedName function="false" hidden="false" name="dl___13" vbProcedure="false">#REF!</definedName>
    <definedName function="false" hidden="false" name="DM" vbProcedure="false">'[2]graphic bill of quantities'!#ref!</definedName>
    <definedName function="false" hidden="false" name="DMATESUM" vbProcedure="false">'[2]DUCTMATE CALCULATION #1'!$G$158:$P$163</definedName>
    <definedName function="false" hidden="false" name="Do" vbProcedure="false">#REF!</definedName>
    <definedName function="false" hidden="false" name="docu" vbProcedure="false">#REF!</definedName>
    <definedName function="false" hidden="false" name="DOL" vbProcedure="false">'[50]ELECTRICAL FENCE (B)'!$W$2</definedName>
    <definedName function="false" hidden="false" name="DOLLAR" vbProcedure="false">'[1]schedule carrier spa'!#ref!</definedName>
    <definedName function="false" hidden="false" name="dollaradjust" vbProcedure="false">'[45]electrical works'!#ref!</definedName>
    <definedName function="false" hidden="false" name="DOLLARRATE" vbProcedure="false">#REF!</definedName>
    <definedName function="false" hidden="false" name="DOLLARTOPOUND" vbProcedure="false">[35]intro!$H$25</definedName>
    <definedName function="false" hidden="false" name="DOLR" vbProcedure="false">#REF!</definedName>
    <definedName function="false" hidden="false" name="doo" vbProcedure="false">#REF!</definedName>
    <definedName function="false" hidden="false" name="Doors" vbProcedure="false">#REF!</definedName>
    <definedName function="false" hidden="false" name="DOW_CORNING_789_SILICONE_SEALANT" vbProcedure="false">#REF!</definedName>
    <definedName function="false" hidden="false" name="DP" vbProcedure="false">#REF!</definedName>
    <definedName function="false" hidden="false" name="dq" vbProcedure="false">#REF!</definedName>
    <definedName function="false" hidden="false" name="DR.33" vbProcedure="false">#REF!</definedName>
    <definedName function="false" hidden="false" name="DR.46" vbProcedure="false">#REF!</definedName>
    <definedName function="false" hidden="false" name="DR.56" vbProcedure="false">#REF!</definedName>
    <definedName function="false" hidden="false" name="Drainwaste" vbProcedure="false">#REF!</definedName>
    <definedName function="false" hidden="false" name="drain_trap" vbProcedure="false">#REF!</definedName>
    <definedName function="false" hidden="false" name="DRIVERMONTH" vbProcedure="false">[35]lab!$B$144</definedName>
    <definedName function="false" hidden="false" name="DRL" vbProcedure="false">'[51]AGREED BOQ'!$I$3</definedName>
    <definedName function="false" hidden="false" name="Ds" vbProcedure="false">#REF!</definedName>
    <definedName function="false" hidden="false" name="dsdud" vbProcedure="false">#REF!</definedName>
    <definedName function="false" hidden="false" name="Ds___0" vbProcedure="false">#REF!</definedName>
    <definedName function="false" hidden="false" name="Ds___13" vbProcedure="false">#REF!</definedName>
    <definedName function="false" hidden="false" name="dual_plate_check" vbProcedure="false">#REF!</definedName>
    <definedName function="false" hidden="false" name="DUCTMATESUM2" vbProcedure="false">'[2]DUCTMATE CALCULATION #2'!$G$158:$P$164</definedName>
    <definedName function="false" hidden="false" name="DUCTMATE_DATABASE" vbProcedure="false">'[2]DUCTMATE  DATABASE'!$A$3:$K$14</definedName>
    <definedName function="false" hidden="false" name="DUCTSUM1" vbProcedure="false">'[2]graphic bill of quantities'!#ref!</definedName>
    <definedName function="false" hidden="false" name="duplex_strainer" vbProcedure="false">#REF!</definedName>
    <definedName function="false" hidden="false" name="dwkamount" vbProcedure="false">'[52]DWKS+15%'!$D$5:$D$129</definedName>
    <definedName function="false" hidden="false" name="dwkcode" vbProcedure="false">'[52]DWKS+15%'!$A$5:$A$129</definedName>
    <definedName function="false" hidden="false" name="d___0" vbProcedure="false">#REF!</definedName>
    <definedName function="false" hidden="false" name="d___13" vbProcedure="false">#REF!</definedName>
    <definedName function="false" hidden="false" name="E" vbProcedure="false">#REF!</definedName>
    <definedName function="false" hidden="false" name="EARTH" vbProcedure="false">[23]rates!#ref!</definedName>
    <definedName function="false" hidden="false" name="Earthwork" vbProcedure="false">[41]rates!#ref!</definedName>
    <definedName function="false" hidden="false" name="EARTHWORKS" vbProcedure="false">[53]DATA!$I$1</definedName>
    <definedName function="false" hidden="false" name="ED" vbProcedure="false">[23]rates!#ref!</definedName>
    <definedName function="false" hidden="false" name="eeeee" vbProcedure="false">#REF!</definedName>
    <definedName function="false" hidden="false" name="eeeeeee" vbProcedure="false">#REF!</definedName>
    <definedName function="false" hidden="false" name="efrte" vbProcedure="false">#REF!</definedName>
    <definedName function="false" hidden="false" name="egt301d" vbProcedure="false">#REF!</definedName>
    <definedName function="false" hidden="false" name="egt330d" vbProcedure="false">#REF!</definedName>
    <definedName function="false" hidden="false" name="ELEBILL" vbProcedure="false">'[16]ELECTRICAL WORKS'!$L$2</definedName>
    <definedName function="false" hidden="false" name="elebud" vbProcedure="false">'[54]MEP BUDGET'!$L$1</definedName>
    <definedName function="false" hidden="false" name="ELECTRICAL" vbProcedure="false">#REF!</definedName>
    <definedName function="false" hidden="false" name="electricpoles" vbProcedure="false">#REF!</definedName>
    <definedName function="false" hidden="false" name="ELECTSUM" vbProcedure="false">'[2]graphic bill of quantities'!#ref!</definedName>
    <definedName function="false" hidden="false" name="elmathandling" vbProcedure="false">'[45]electrical works'!#ref!</definedName>
    <definedName function="false" hidden="false" name="elprofit" vbProcedure="false">'[45]electrical works'!#ref!</definedName>
    <definedName function="false" hidden="false" name="elsupervision" vbProcedure="false">'[45]electrical works'!#ref!</definedName>
    <definedName function="false" hidden="false" name="elsupply" vbProcedure="false">'[45]electrical works'!#ref!</definedName>
    <definedName function="false" hidden="false" name="eltooling" vbProcedure="false">'[45]electrical works'!#ref!</definedName>
    <definedName function="false" hidden="false" name="Em" vbProcedure="false">#REF!</definedName>
    <definedName function="false" hidden="false" name="Em___0" vbProcedure="false">#REF!</definedName>
    <definedName function="false" hidden="false" name="Em___13" vbProcedure="false">#REF!</definedName>
    <definedName function="false" hidden="false" name="EndBorder" vbProcedure="false">#REF!</definedName>
    <definedName function="false" hidden="false" name="ENERGY" vbProcedure="false">'[55]ENERGY CENTRE'!$F$1670</definedName>
    <definedName function="false" hidden="false" name="environmentalcost" vbProcedure="false">#REF!</definedName>
    <definedName function="false" hidden="false" name="EOL" vbProcedure="false">#REF!</definedName>
    <definedName function="false" hidden="false" name="eqjwd" vbProcedure="false">#REF!</definedName>
    <definedName function="false" hidden="false" name="EQUIP2" vbProcedure="false">'[2]graphic bill of quantities'!#ref!</definedName>
    <definedName function="false" hidden="false" name="Equipamentos" vbProcedure="false">[19]Equipments!$A$13:$AE$61</definedName>
    <definedName function="false" hidden="false" name="EQUIPMENTLIST" vbProcedure="false">'[56]EQTPDB-NOT APPLICABLE'!$A$1:$A$65536</definedName>
    <definedName function="false" hidden="false" name="er" vbProcedure="false">[5]당초!#REF!</definedName>
    <definedName function="false" hidden="false" name="ERTUIKJ" vbProcedure="false">'[57]graphic bill of quantities'!#ref!</definedName>
    <definedName function="false" hidden="false" name="Es" vbProcedure="false">#REF!</definedName>
    <definedName function="false" hidden="false" name="ESSR1" vbProcedure="false">#REF!</definedName>
    <definedName function="false" hidden="false" name="ESSR10" vbProcedure="false">#REF!</definedName>
    <definedName function="false" hidden="false" name="ESSR11" vbProcedure="false">#REF!</definedName>
    <definedName function="false" hidden="false" name="ESSR12" vbProcedure="false">#REF!</definedName>
    <definedName function="false" hidden="false" name="ESSR13" vbProcedure="false">#REF!</definedName>
    <definedName function="false" hidden="false" name="ESSR2" vbProcedure="false">#REF!</definedName>
    <definedName function="false" hidden="false" name="ESSR3" vbProcedure="false">#REF!</definedName>
    <definedName function="false" hidden="false" name="ESSR4" vbProcedure="false">#REF!</definedName>
    <definedName function="false" hidden="false" name="ESSR5" vbProcedure="false">#REF!</definedName>
    <definedName function="false" hidden="false" name="ESSR6" vbProcedure="false">#REF!</definedName>
    <definedName function="false" hidden="false" name="ESSR7" vbProcedure="false">#REF!</definedName>
    <definedName function="false" hidden="false" name="ESSR8" vbProcedure="false">#REF!</definedName>
    <definedName function="false" hidden="false" name="ESSR9" vbProcedure="false">#REF!</definedName>
    <definedName function="false" hidden="false" name="estpl" vbProcedure="false">#REF!</definedName>
    <definedName function="false" hidden="false" name="Es___0" vbProcedure="false">#REF!</definedName>
    <definedName function="false" hidden="false" name="Es___13" vbProcedure="false">#REF!</definedName>
    <definedName function="false" hidden="false" name="ET" vbProcedure="false">#REF!</definedName>
    <definedName function="false" hidden="false" name="Et___0" vbProcedure="false">#REF!</definedName>
    <definedName function="false" hidden="false" name="Et___13" vbProcedure="false">#REF!</definedName>
    <definedName function="false" hidden="false" name="eu" vbProcedure="false">#REF!</definedName>
    <definedName function="false" hidden="false" name="EUR" vbProcedure="false">'[58]INTERIOR BOQ'!$K$2</definedName>
    <definedName function="false" hidden="false" name="euro" vbProcedure="false">#REF!</definedName>
    <definedName function="false" hidden="false" name="EUROcote" vbProcedure="false">'[59]MAIN BOQ'!$Q$1</definedName>
    <definedName function="false" hidden="false" name="EUROOO" vbProcedure="false">'[60]SUBSTR.BOQ (A) '!$N$5</definedName>
    <definedName function="false" hidden="false" name="EURORATE" vbProcedure="false">#REF!</definedName>
    <definedName function="false" hidden="false" name="euroT" vbProcedure="false">'[61]purple park budget'!#ref!</definedName>
    <definedName function="false" hidden="false" name="ew" vbProcedure="false">#REF!</definedName>
    <definedName function="false" hidden="false" name="ewerty" vbProcedure="false">#REF!</definedName>
    <definedName function="false" hidden="false" name="EXCAVATION" vbProcedure="false">[10]CABLERET!$I$3</definedName>
    <definedName function="false" hidden="false" name="Excel_BuiltIn_Print_Area_1" vbProcedure="false">#REF!</definedName>
    <definedName function="false" hidden="false" name="Excel_BuiltIn_Print_Area_10" vbProcedure="false">#REF!</definedName>
    <definedName function="false" hidden="false" name="Excel_BuiltIn_Print_Area_1_1" vbProcedure="false">#REF!</definedName>
    <definedName function="false" hidden="false" name="Excel_BuiltIn_Print_Area_1_1_1" vbProcedure="false">#REF!</definedName>
    <definedName function="false" hidden="false" name="Excel_BuiltIn_Print_Area_1_1_1_1" vbProcedure="false">#REF!</definedName>
    <definedName function="false" hidden="false" name="Excel_BuiltIn_Print_Area_4" vbProcedure="false">#REF!</definedName>
    <definedName function="false" hidden="false" name="Excel_BuiltIn_Print_Area_5" vbProcedure="false">#REF!</definedName>
    <definedName function="false" hidden="false" name="Excel_BuiltIn_Print_Area_6" vbProcedure="false">#REF!</definedName>
    <definedName function="false" hidden="false" name="Excel_BuiltIn_Print_Titles" vbProcedure="false">#REF!</definedName>
    <definedName function="false" hidden="false" name="Excel_BuiltIn_Print_Titles_10" vbProcedure="false">#REF!</definedName>
    <definedName function="false" hidden="false" name="Excel_BuiltIn_Print_Titles_1_1" vbProcedure="false">#REF!</definedName>
    <definedName function="false" hidden="false" name="Excel_BuiltIn_Print_Titles_2" vbProcedure="false">#REF!</definedName>
    <definedName function="false" hidden="false" name="Excel_BuiltIn_Print_Titles_2_1" vbProcedure="false">#REF!</definedName>
    <definedName function="false" hidden="false" name="Excel_BuiltIn_Print_Titles_3" vbProcedure="false">#REF!</definedName>
    <definedName function="false" hidden="false" name="Excel_BuiltIn_Print_Titles_3_1" vbProcedure="false">#REF!</definedName>
    <definedName function="false" hidden="false" name="Excel_BuiltIn_Print_Titles_4" vbProcedure="false">#REF!</definedName>
    <definedName function="false" hidden="false" name="Excel_BuiltIn_Print_Titles_5" vbProcedure="false">#REF!</definedName>
    <definedName function="false" hidden="false" name="Excel_BuiltIn_Print_Titles_6" vbProcedure="false">#REF!</definedName>
    <definedName function="false" hidden="false" name="Excel_BuiltIn_Print_Titles_7" vbProcedure="false">#REF!</definedName>
    <definedName function="false" hidden="false" name="Excel_BuiltIn_Print_Titles_7_1" vbProcedure="false">#REF!</definedName>
    <definedName function="false" hidden="false" name="Excel_BuiltIn_Print_Titles_7_1_1" vbProcedure="false">#REF!</definedName>
    <definedName function="false" hidden="false" name="Excel_BuiltIn_Print_Titles_8" vbProcedure="false">#REF!</definedName>
    <definedName function="false" hidden="false" name="Excel_BuiltIn_Print_Titles_9" vbProcedure="false">#REF!</definedName>
    <definedName function="false" hidden="false" name="Excel_BuiltIn__FilterDatabase_1" vbProcedure="false">#REF!</definedName>
    <definedName function="false" hidden="false" name="Excel_BuiltIn__FilterDatabase_5" vbProcedure="false">#REF!</definedName>
    <definedName function="false" hidden="false" name="excf" vbProcedure="false">#REF!</definedName>
    <definedName function="false" hidden="false" name="EXCH" vbProcedure="false">'[62]EXTERNAL WORKS'!$L$2</definedName>
    <definedName function="false" hidden="false" name="EXICEAL" vbProcedure="false">[10]CABLERET!$D$2</definedName>
    <definedName function="false" hidden="false" name="EXICECU" vbProcedure="false">[10]CABLERET!$E$2</definedName>
    <definedName function="false" hidden="false" name="EXIT" vbProcedure="false">#REF!</definedName>
    <definedName function="false" hidden="false" name="exp.joints" vbProcedure="false">#REF!</definedName>
    <definedName function="false" hidden="false" name="EXR" vbProcedure="false">'[44]G.Summary'!$H$2</definedName>
    <definedName function="false" hidden="false" name="ex_joint" vbProcedure="false">#REF!</definedName>
    <definedName function="false" hidden="false" name="eyrlp" vbProcedure="false">#REF!</definedName>
    <definedName function="false" hidden="false" name="F" vbProcedure="false">#REF!</definedName>
    <definedName function="false" hidden="false" name="fac" vbProcedure="false">#REF!</definedName>
    <definedName function="false" hidden="false" name="factor1" vbProcedure="false">[63]Factor!$D$12</definedName>
    <definedName function="false" hidden="false" name="FASFS" vbProcedure="false">[22]rates!#ref!</definedName>
    <definedName function="false" hidden="false" name="FAST_TRACK_PRICE_FACTOR" vbProcedure="false">[48]DATA!$G$5</definedName>
    <definedName function="false" hidden="false" name="Fb" vbProcedure="false">#REF!</definedName>
    <definedName function="false" hidden="false" name="FCFA" vbProcedure="false">'[64]MAT. SUMMARY'!$Q$1</definedName>
    <definedName function="false" hidden="false" name="Fcost" vbProcedure="false">#REF!</definedName>
    <definedName function="false" hidden="false" name="feb03rate" vbProcedure="false">#REF!</definedName>
    <definedName function="false" hidden="false" name="feb_qty_rev_3" vbProcedure="false">#REF!</definedName>
    <definedName function="false" hidden="false" name="feb_rev4_qty" vbProcedure="false">#REF!</definedName>
    <definedName function="false" hidden="false" name="FEMALE" vbProcedure="false">'[47]female ward'!#ref!</definedName>
    <definedName function="false" hidden="false" name="fencewall" vbProcedure="false">#REF!</definedName>
    <definedName function="false" hidden="false" name="FF" vbProcedure="false">'[2]graphic bill of quantities'!#ref!</definedName>
    <definedName function="false" hidden="false" name="fff" vbProcedure="false">[5]당초!#REF!</definedName>
    <definedName function="false" hidden="false" name="ffgggggggggggg" vbProcedure="false">#REF!</definedName>
    <definedName function="false" hidden="false" name="fgf" vbProcedure="false">#REF!</definedName>
    <definedName function="false" hidden="false" name="fgghtyy" vbProcedure="false">#REF!</definedName>
    <definedName function="false" hidden="false" name="fghdse" vbProcedure="false">#REF!</definedName>
    <definedName function="false" hidden="false" name="FGN" vbProcedure="false">'[16]GEN SUMMARY'!$D$2</definedName>
    <definedName function="false" hidden="false" name="fgrety" vbProcedure="false">#REF!</definedName>
    <definedName function="false" hidden="false" name="Fh" vbProcedure="false">#REF!</definedName>
    <definedName function="false" hidden="false" name="Fhwl" vbProcedure="false">#REF!</definedName>
    <definedName function="false" hidden="false" name="file" vbProcedure="false">#REF!</definedName>
    <definedName function="false" hidden="true" name="fillol" vbProcedure="false">'[65]wt-list'!#ref!</definedName>
    <definedName function="false" hidden="false" name="filtermaterial" vbProcedure="false">#REF!</definedName>
    <definedName function="false" hidden="false" name="final_report" vbProcedure="false">#REF!</definedName>
    <definedName function="false" hidden="false" name="final_report1" vbProcedure="false">#REF!</definedName>
    <definedName function="false" hidden="false" name="Finishings" vbProcedure="false">'[27]build up'!#ref!</definedName>
    <definedName function="false" hidden="false" name="FIRE" vbProcedure="false">#REF!</definedName>
    <definedName function="false" hidden="false" name="FIT" vbProcedure="false">#REF!</definedName>
    <definedName function="false" hidden="false" name="FIT___0" vbProcedure="false">#REF!</definedName>
    <definedName function="false" hidden="false" name="FIT___13" vbProcedure="false">#REF!</definedName>
    <definedName function="false" hidden="false" name="fixed_asset" vbProcedure="false">#REF!</definedName>
    <definedName function="false" hidden="false" name="FKTR" vbProcedure="false">#REF!</definedName>
    <definedName function="false" hidden="false" name="Fl" vbProcedure="false">#REF!</definedName>
    <definedName function="false" hidden="false" name="flatstone" vbProcedure="false">#REF!</definedName>
    <definedName function="false" hidden="false" name="FLG" vbProcedure="false">#REF!</definedName>
    <definedName function="false" hidden="false" name="FLG_Orifice" vbProcedure="false">#REF!</definedName>
    <definedName function="false" hidden="false" name="Floor" vbProcedure="false">#REF!</definedName>
    <definedName function="false" hidden="false" name="Floorsqty" vbProcedure="false">#REF!</definedName>
    <definedName function="false" hidden="false" name="FLR" vbProcedure="false">#REF!</definedName>
    <definedName function="false" hidden="false" name="fm" vbProcedure="false">#REF!</definedName>
    <definedName function="false" hidden="false" name="fo" vbProcedure="false">#REF!</definedName>
    <definedName function="false" hidden="false" name="FOB" vbProcedure="false">'[1]schedule carrier spa'!#ref!</definedName>
    <definedName function="false" hidden="false" name="Footings" vbProcedure="false">#REF!</definedName>
    <definedName function="false" hidden="false" name="FOREX" vbProcedure="false">'[1]schedule carrier spa'!#ref!</definedName>
    <definedName function="false" hidden="false" name="FORM" vbProcedure="false">[23]rates!#ref!</definedName>
    <definedName function="false" hidden="false" name="Formula1" vbProcedure="false">#REF!</definedName>
    <definedName function="false" hidden="false" name="Formula2" vbProcedure="false">#REF!</definedName>
    <definedName function="false" hidden="false" name="Formwork" vbProcedure="false">[41]rates!#ref!</definedName>
    <definedName function="false" hidden="false" name="FOS" vbProcedure="false">#REF!</definedName>
    <definedName function="false" hidden="false" name="Fp" vbProcedure="false">#REF!</definedName>
    <definedName function="false" hidden="false" name="FRANCE" vbProcedure="false">'[2]graphic bill of quantities'!#ref!</definedName>
    <definedName function="false" hidden="false" name="fred" vbProcedure="false">#REF!</definedName>
    <definedName function="false" hidden="false" name="FRETE" vbProcedure="false">[19]Materials!$G$416</definedName>
    <definedName function="false" hidden="false" name="frncis" vbProcedure="false">#REF!</definedName>
    <definedName function="false" hidden="true" name="FRRR" vbProcedure="false">'[66]wt-list'!#ref!</definedName>
    <definedName function="false" hidden="false" name="frtert" vbProcedure="false">#REF!</definedName>
    <definedName function="false" hidden="false" name="Fs" vbProcedure="false">#REF!</definedName>
    <definedName function="false" hidden="false" name="fsdfad" vbProcedure="false">[67]rates!#ref!</definedName>
    <definedName function="false" hidden="false" name="fsg" vbProcedure="false">#REF!</definedName>
    <definedName function="false" hidden="false" name="FST" vbProcedure="false">#REF!</definedName>
    <definedName function="false" hidden="false" name="ftrtghy" vbProcedure="false">#REF!</definedName>
    <definedName function="false" hidden="false" name="FV" vbProcedure="false">'[68]Reinf taking off'!$AA$6</definedName>
    <definedName function="false" hidden="false" name="FZS" vbProcedure="false">#REF!</definedName>
    <definedName function="false" hidden="false" name="G" vbProcedure="false">#REF!</definedName>
    <definedName function="false" hidden="false" name="Ga" vbProcedure="false">#REF!</definedName>
    <definedName function="false" hidden="false" name="gama" vbProcedure="false">#REF!</definedName>
    <definedName function="false" hidden="false" name="gamah" vbProcedure="false">#REF!</definedName>
    <definedName function="false" hidden="false" name="gate" vbProcedure="false">#REF!</definedName>
    <definedName function="false" hidden="false" name="Genconnection" vbProcedure="false">#REF!</definedName>
    <definedName function="false" hidden="false" name="GENDER_COMMENCEMENT" vbProcedure="false">#REF!</definedName>
    <definedName function="false" hidden="false" name="GenPlinth" vbProcedure="false">#REF!</definedName>
    <definedName function="false" hidden="false" name="GERMANY" vbProcedure="false">'[2]graphic bill of quantities'!#ref!</definedName>
    <definedName function="false" hidden="false" name="gfwinddoor" vbProcedure="false">'[69]ground floor '!#ref!</definedName>
    <definedName function="false" hidden="false" name="GH" vbProcedure="false">[23]rates!#ref!</definedName>
    <definedName function="false" hidden="false" name="GHC" vbProcedure="false">'[70]Summary IT'!$I$2</definedName>
    <definedName function="false" hidden="false" name="GHJT" vbProcedure="false">#REF!</definedName>
    <definedName function="false" hidden="false" name="ghs" vbProcedure="false">#REF!</definedName>
    <definedName function="false" hidden="false" name="GI" vbProcedure="false">#REF!</definedName>
    <definedName function="false" hidden="false" name="GIN" vbProcedure="false">#REF!</definedName>
    <definedName function="false" hidden="false" name="gjfgjerkerklerp" vbProcedure="false">#REF!</definedName>
    <definedName function="false" hidden="false" name="GLASS" vbProcedure="false">'[32]ABSTRACT '!$Z$2</definedName>
    <definedName function="false" hidden="false" name="Glazedwindows" vbProcedure="false">#REF!</definedName>
    <definedName function="false" hidden="false" name="Glazing" vbProcedure="false">'[27]build up'!#ref!</definedName>
    <definedName function="false" hidden="false" name="globe" vbProcedure="false">#REF!</definedName>
    <definedName function="false" hidden="false" name="Grassing" vbProcedure="false">#REF!</definedName>
    <definedName function="false" hidden="false" name="GRGETWEJ" vbProcedure="false">#REF!</definedName>
    <definedName function="false" hidden="false" name="Group1" vbProcedure="false">#REF!</definedName>
    <definedName function="false" hidden="false" name="Group2" vbProcedure="false">#REF!</definedName>
    <definedName function="false" hidden="false" name="Group3" vbProcedure="false">#REF!</definedName>
    <definedName function="false" hidden="false" name="Group4" vbProcedure="false">#REF!</definedName>
    <definedName function="false" hidden="false" name="grteuen" vbProcedure="false">#REF!</definedName>
    <definedName function="false" hidden="false" name="GR_tax" vbProcedure="false">#REF!</definedName>
    <definedName function="false" hidden="false" name="gs" vbProcedure="false">#REF!</definedName>
    <definedName function="false" hidden="false" name="GT" vbProcedure="false">#REF!</definedName>
    <definedName function="false" hidden="false" name="GTval_Value" vbProcedure="false">#REF!</definedName>
    <definedName function="false" hidden="false" name="GTvar_Value" vbProcedure="false">#REF!</definedName>
    <definedName function="false" hidden="false" name="GT_Value" vbProcedure="false">#REF!</definedName>
    <definedName function="false" hidden="false" name="Gvalue" vbProcedure="false">#REF!</definedName>
    <definedName function="false" hidden="false" name="H" vbProcedure="false">#REF!</definedName>
    <definedName function="false" hidden="false" name="H0___0" vbProcedure="false">#REF!</definedName>
    <definedName function="false" hidden="false" name="H0___13" vbProcedure="false">#REF!</definedName>
    <definedName function="false" hidden="false" name="HARI" vbProcedure="false">#REF!</definedName>
    <definedName function="false" hidden="false" name="haul" vbProcedure="false">#REF!</definedName>
    <definedName function="false" hidden="false" name="hdddffrt" vbProcedure="false">#REF!</definedName>
    <definedName function="false" hidden="false" name="HENRY" vbProcedure="false">#REF!</definedName>
    <definedName function="false" hidden="false" name="hf" vbProcedure="false">#REF!</definedName>
    <definedName function="false" hidden="false" name="hgtyrr" vbProcedure="false">#REF!</definedName>
    <definedName function="false" hidden="false" name="hgtyuio" vbProcedure="false">#REF!</definedName>
    <definedName function="false" hidden="false" name="hh" vbProcedure="false">#REF!</definedName>
    <definedName function="false" hidden="false" name="hh___0" vbProcedure="false">#REF!</definedName>
    <definedName function="false" hidden="false" name="hh___13" vbProcedure="false">#REF!</definedName>
    <definedName function="false" hidden="false" name="hi" vbProcedure="false">#REF!</definedName>
    <definedName function="false" hidden="false" name="High" vbProcedure="false">[14]ALLOWANCES!$C$8</definedName>
    <definedName function="false" hidden="false" name="HINDHUSTAN" vbProcedure="false">#REF!</definedName>
    <definedName function="false" hidden="false" name="HIns" vbProcedure="false">#REF!</definedName>
    <definedName function="false" hidden="false" name="HJ" vbProcedure="false">#REF!</definedName>
    <definedName function="false" hidden="false" name="hjuyiht" vbProcedure="false">#REF!</definedName>
    <definedName function="false" hidden="false" name="ho" vbProcedure="false">#REF!</definedName>
    <definedName function="false" hidden="false" name="Hoarding" vbProcedure="false">#REF!</definedName>
    <definedName function="false" hidden="false" name="hoi" vbProcedure="false">#REF!</definedName>
    <definedName function="false" hidden="false" name="Horas" vbProcedure="false">[19]Labour!$J$5</definedName>
    <definedName function="false" hidden="false" name="Hospitals" vbProcedure="false">#REF!</definedName>
    <definedName function="false" hidden="false" name="ho___0" vbProcedure="false">#REF!</definedName>
    <definedName function="false" hidden="false" name="ho___13" vbProcedure="false">#REF!</definedName>
    <definedName function="false" hidden="false" name="hS" vbProcedure="false">#REF!</definedName>
    <definedName function="false" hidden="false" name="hS___0" vbProcedure="false">#REF!</definedName>
    <definedName function="false" hidden="false" name="hS___13" vbProcedure="false">#REF!</definedName>
    <definedName function="false" hidden="false" name="Hu" vbProcedure="false">#REF!</definedName>
    <definedName function="false" hidden="false" name="Hu___0" vbProcedure="false">#REF!</definedName>
    <definedName function="false" hidden="false" name="Hu___13" vbProcedure="false">#REF!</definedName>
    <definedName function="false" hidden="false" name="HV" vbProcedure="false">#REF!</definedName>
    <definedName function="false" hidden="false" name="hvacrates" vbProcedure="false">#REF!</definedName>
    <definedName function="false" hidden="false" name="hxb" vbProcedure="false">#REF!</definedName>
    <definedName function="false" hidden="false" name="hxi" vbProcedure="false">#REF!</definedName>
    <definedName function="false" hidden="false" name="hysd" vbProcedure="false">#REF!</definedName>
    <definedName function="false" hidden="false" name="H___0" vbProcedure="false">#REF!</definedName>
    <definedName function="false" hidden="false" name="H___13" vbProcedure="false">#REF!</definedName>
    <definedName function="false" hidden="false" name="i" vbProcedure="false">#REF!</definedName>
    <definedName function="false" hidden="false" name="If" vbProcedure="false">#REF!</definedName>
    <definedName function="false" hidden="false" name="Ig" vbProcedure="false">#REF!</definedName>
    <definedName function="false" hidden="false" name="Ig___0" vbProcedure="false">#REF!</definedName>
    <definedName function="false" hidden="false" name="Ig___13" vbProcedure="false">#REF!</definedName>
    <definedName function="false" hidden="false" name="iiiiiii" vbProcedure="false">#REF!</definedName>
    <definedName function="false" hidden="false" name="IK" vbProcedure="false">[23]rates!#ref!</definedName>
    <definedName function="false" hidden="false" name="income" vbProcedure="false">#REF!</definedName>
    <definedName function="false" hidden="false" name="incr" vbProcedure="false">'[71]CHICKEN HOUSE .BOQ  '!$M$1</definedName>
    <definedName function="false" hidden="false" name="indf" vbProcedure="false">#REF!</definedName>
    <definedName function="false" hidden="false" name="INDIRECT_COST" vbProcedure="false">[48]DATA!$G$1</definedName>
    <definedName function="false" hidden="false" name="INPUT" vbProcedure="false">[72]CALCULATION!$A$3:$K$13</definedName>
    <definedName function="false" hidden="false" name="InputData" vbProcedure="false">[73]Testing!$E$8:$E$12,[73]Testing!$E$15:$E$18,[73]Testing!$E$21:$E$23,[73]Testing!$E$26:$E$27,[73]Testing!$E$30:$E$33,[73]Testing!$E$35:$E$37,[73]Testing!$D$43:$F$47</definedName>
    <definedName function="false" hidden="false" name="inputpounds" vbProcedure="false">[74]input!#ref!</definedName>
    <definedName function="false" hidden="false" name="inputval" vbProcedure="false">#REF!</definedName>
    <definedName function="false" hidden="false" name="insertplate_and_exp_joint" vbProcedure="false">#REF!</definedName>
    <definedName function="false" hidden="false" name="insert_rows_1" vbProcedure="false">#REF!</definedName>
    <definedName function="false" hidden="false" name="inter" vbProcedure="false">#REF!</definedName>
    <definedName function="false" hidden="false" name="investment" vbProcedure="false">#REF!</definedName>
    <definedName function="false" hidden="false" name="ipu" vbProcedure="false">#REF!</definedName>
    <definedName function="false" hidden="false" name="ipu___0" vbProcedure="false">#REF!</definedName>
    <definedName function="false" hidden="false" name="ipu___13" vbProcedure="false">#REF!</definedName>
    <definedName function="false" hidden="false" name="IREN" vbProcedure="false">'[75]schedule carrier spa'!#ref!</definedName>
    <definedName function="false" hidden="false" name="Is" vbProcedure="false">#REF!</definedName>
    <definedName function="false" hidden="false" name="IT" vbProcedure="false">#REF!</definedName>
    <definedName function="false" hidden="false" name="ITALY" vbProcedure="false">'[2]graphic bill of quantities'!#ref!</definedName>
    <definedName function="false" hidden="false" name="iteration" vbProcedure="false">#REF!</definedName>
    <definedName function="false" hidden="false" name="I___0" vbProcedure="false">#REF!</definedName>
    <definedName function="false" hidden="false" name="I___13" vbProcedure="false">#REF!</definedName>
    <definedName function="false" hidden="false" name="j" vbProcedure="false">#REF!</definedName>
    <definedName function="false" hidden="false" name="JAPAN" vbProcedure="false">'[2]graphic bill of quantities'!#ref!</definedName>
    <definedName function="false" hidden="false" name="JEJS" vbProcedure="false">#REF!</definedName>
    <definedName function="false" hidden="false" name="JEJS___0" vbProcedure="false">#REF!</definedName>
    <definedName function="false" hidden="false" name="JEJS___11" vbProcedure="false">#REF!</definedName>
    <definedName function="false" hidden="false" name="JEJS___12" vbProcedure="false">#REF!</definedName>
    <definedName function="false" hidden="false" name="JEJS___13" vbProcedure="false">#REF!</definedName>
    <definedName function="false" hidden="false" name="JEJS___4" vbProcedure="false">#REF!</definedName>
    <definedName function="false" hidden="false" name="jess" vbProcedure="false">#REF!</definedName>
    <definedName function="false" hidden="false" name="JESS01" vbProcedure="false">#REF!</definedName>
    <definedName function="false" hidden="false" name="jjj" vbProcedure="false">#REF!</definedName>
    <definedName function="false" hidden="false" name="jkfjfjf" vbProcedure="false">#REF!</definedName>
    <definedName function="false" hidden="false" name="JKH" vbProcedure="false">[23]rates!#ref!</definedName>
    <definedName function="false" hidden="false" name="jkjkjkj" vbProcedure="false">#REF!</definedName>
    <definedName function="false" hidden="false" name="jkoip1547" vbProcedure="false">#REF!</definedName>
    <definedName function="false" hidden="false" name="job" vbProcedure="false">#REF!</definedName>
    <definedName function="false" hidden="false" name="JobID" vbProcedure="false">#REF!</definedName>
    <definedName function="false" hidden="false" name="job___0" vbProcedure="false">#REF!</definedName>
    <definedName function="false" hidden="false" name="job___11" vbProcedure="false">#REF!</definedName>
    <definedName function="false" hidden="false" name="job___12" vbProcedure="false">#REF!</definedName>
    <definedName function="false" hidden="false" name="johnson1" vbProcedure="false">#REF!</definedName>
    <definedName function="false" hidden="false" name="Joinery" vbProcedure="false">'[27]build up'!#ref!</definedName>
    <definedName function="false" hidden="false" name="joy" vbProcedure="false">#REF!</definedName>
    <definedName function="false" hidden="false" name="jul03rate" vbProcedure="false">#REF!</definedName>
    <definedName function="false" hidden="false" name="jun03rate" vbProcedure="false">#REF!</definedName>
    <definedName function="false" hidden="false" name="june" vbProcedure="false">#REF!</definedName>
    <definedName function="false" hidden="false" name="JUTF" vbProcedure="false">'[76]power-s'!scaffolding</definedName>
    <definedName function="false" hidden="false" name="K" vbProcedure="false">#REF!</definedName>
    <definedName function="false" hidden="false" name="k1x" vbProcedure="false">#REF!</definedName>
    <definedName function="false" hidden="false" name="k1y" vbProcedure="false">#REF!</definedName>
    <definedName function="false" hidden="false" name="k1_table" vbProcedure="false">#REF!</definedName>
    <definedName function="false" hidden="false" name="k2x" vbProcedure="false">#REF!</definedName>
    <definedName function="false" hidden="false" name="k2y" vbProcedure="false">#REF!</definedName>
    <definedName function="false" hidden="false" name="ka" vbProcedure="false">#REF!</definedName>
    <definedName function="false" hidden="false" name="kal" vbProcedure="false">#REF!</definedName>
    <definedName function="false" hidden="false" name="KARNA" vbProcedure="false">#REF!</definedName>
    <definedName function="false" hidden="false" name="kb" vbProcedure="false">#REF!</definedName>
    <definedName function="false" hidden="false" name="kc" vbProcedure="false">#REF!</definedName>
    <definedName function="false" hidden="false" name="key" vbProcedure="false">#REF!</definedName>
    <definedName function="false" hidden="true" name="key33rtgf" vbProcedure="false">'[65]wt-list'!#ref!</definedName>
    <definedName function="false" hidden="false" name="kfgkglog" vbProcedure="false">#REF!</definedName>
    <definedName function="false" hidden="false" name="kfjkfkfgp" vbProcedure="false">#REF!</definedName>
    <definedName function="false" hidden="false" name="Kh" vbProcedure="false">#REF!</definedName>
    <definedName function="false" hidden="false" name="khd" vbProcedure="false">#REF!</definedName>
    <definedName function="false" hidden="false" name="khf" vbProcedure="false">#REF!</definedName>
    <definedName function="false" hidden="false" name="khlkhjj" vbProcedure="false">[67]rates!#ref!</definedName>
    <definedName function="false" hidden="false" name="Kh___0" vbProcedure="false">#REF!</definedName>
    <definedName function="false" hidden="false" name="Kh___13" vbProcedure="false">#REF!</definedName>
    <definedName function="false" hidden="false" name="Ki" vbProcedure="false">#REF!</definedName>
    <definedName function="false" hidden="false" name="Ki1___0" vbProcedure="false">#REF!</definedName>
    <definedName function="false" hidden="false" name="Ki1___13" vbProcedure="false">#REF!</definedName>
    <definedName function="false" hidden="false" name="Ki2___0" vbProcedure="false">#REF!</definedName>
    <definedName function="false" hidden="false" name="Ki2___13" vbProcedure="false">#REF!</definedName>
    <definedName function="false" hidden="false" name="Kii" vbProcedure="false">#REF!</definedName>
    <definedName function="false" hidden="false" name="Kii___0" vbProcedure="false">#REF!</definedName>
    <definedName function="false" hidden="false" name="Kii___13" vbProcedure="false">#REF!</definedName>
    <definedName function="false" hidden="false" name="KING" vbProcedure="false">#REF!</definedName>
    <definedName function="false" hidden="false" name="Ki___0" vbProcedure="false">#REF!</definedName>
    <definedName function="false" hidden="false" name="Ki___13" vbProcedure="false">#REF!</definedName>
    <definedName function="false" hidden="false" name="kjhgrt" vbProcedure="false">#REF!</definedName>
    <definedName function="false" hidden="false" name="kjhgytrd" vbProcedure="false">#REF!</definedName>
    <definedName function="false" hidden="false" name="KK" vbProcedure="false">[23]rates!#ref!</definedName>
    <definedName function="false" hidden="false" name="KL" vbProcedure="false">[23]rates!#ref!</definedName>
    <definedName function="false" hidden="false" name="kliuo" vbProcedure="false">#REF!</definedName>
    <definedName function="false" hidden="false" name="Km" vbProcedure="false">#REF!</definedName>
    <definedName function="false" hidden="false" name="Km___0" vbProcedure="false">#REF!</definedName>
    <definedName function="false" hidden="false" name="Km___13" vbProcedure="false">#REF!</definedName>
    <definedName function="false" hidden="false" name="korkor" vbProcedure="false">#REF!</definedName>
    <definedName function="false" hidden="false" name="kp" vbProcedure="false">#REF!</definedName>
    <definedName function="false" hidden="false" name="Ks" vbProcedure="false">#REF!</definedName>
    <definedName function="false" hidden="false" name="ksd" vbProcedure="false">#REF!</definedName>
    <definedName function="false" hidden="false" name="ksf" vbProcedure="false">#REF!</definedName>
    <definedName function="false" hidden="false" name="Ks___0" vbProcedure="false">#REF!</definedName>
    <definedName function="false" hidden="false" name="Ks___13" vbProcedure="false">#REF!</definedName>
    <definedName function="false" hidden="false" name="KWAKU" vbProcedure="false">#REF!</definedName>
    <definedName function="false" hidden="false" name="K___0" vbProcedure="false">#REF!</definedName>
    <definedName function="false" hidden="false" name="K___13" vbProcedure="false">#REF!</definedName>
    <definedName function="false" hidden="false" name="L" vbProcedure="false">#REF!</definedName>
    <definedName function="false" hidden="false" name="l3input" vbProcedure="false">#REF!</definedName>
    <definedName function="false" hidden="false" name="l3input2" vbProcedure="false">#REF!</definedName>
    <definedName function="false" hidden="false" name="l3inputD" vbProcedure="false">#REF!</definedName>
    <definedName function="false" hidden="false" name="Lab" vbProcedure="false">[23]rates!#ref!</definedName>
    <definedName function="false" hidden="false" name="LABORATE" vbProcedure="false">#REF!</definedName>
    <definedName function="false" hidden="false" name="LaborRate" vbProcedure="false">#REF!</definedName>
    <definedName function="false" hidden="false" name="laborRate22" vbProcedure="false">#REF!</definedName>
    <definedName function="false" hidden="false" name="labour" vbProcedure="false">'[77]Sheet1 (2)'!$O$1</definedName>
    <definedName function="false" hidden="false" name="LABOURATE" vbProcedure="false">#REF!</definedName>
    <definedName function="false" hidden="false" name="LABOURLIST" vbProcedure="false">'[56]LABRDB-Not APPLICABLE'!$A$1:$A$65536</definedName>
    <definedName function="false" hidden="false" name="LABOURMONTH" vbProcedure="false">[35]lab!$B$290</definedName>
    <definedName function="false" hidden="false" name="LABOUR_RATE" vbProcedure="false">[14]LABOUR!$B$5:$C$47</definedName>
    <definedName function="false" hidden="false" name="LABOUR_RATES" vbProcedure="false">'[14]DAILY BASIC WAGE'!$B$6:$D$48</definedName>
    <definedName function="false" hidden="false" name="LAMP" vbProcedure="false">#REF!</definedName>
    <definedName function="false" hidden="false" name="LAMP___0" vbProcedure="false">#REF!</definedName>
    <definedName function="false" hidden="false" name="LAMP___13" vbProcedure="false">#REF!</definedName>
    <definedName function="false" hidden="false" name="landacqcost" vbProcedure="false">#REF!</definedName>
    <definedName function="false" hidden="false" name="LANDED" vbProcedure="false">'[2]graphic bill of quantities'!#ref!</definedName>
    <definedName function="false" hidden="false" name="Land_adv" vbProcedure="false">#REF!</definedName>
    <definedName function="false" hidden="false" name="LAUNDRY" vbProcedure="false">[55]LAUNDRY!$F$1489</definedName>
    <definedName function="false" hidden="false" name="LC" vbProcedure="false">#REF!</definedName>
    <definedName function="false" hidden="false" name="LCAR100" vbProcedure="false">#REF!</definedName>
    <definedName function="false" hidden="false" name="Lc___0" vbProcedure="false">#REF!</definedName>
    <definedName function="false" hidden="false" name="Lc___13" vbProcedure="false">#REF!</definedName>
    <definedName function="false" hidden="false" name="Lead" vbProcedure="false">#REF!</definedName>
    <definedName function="false" hidden="false" name="lef" vbProcedure="false">#REF!</definedName>
    <definedName function="false" hidden="false" name="lel" vbProcedure="false">#REF!</definedName>
    <definedName function="false" hidden="false" name="len" vbProcedure="false">#REF!</definedName>
    <definedName function="false" hidden="false" name="LENNOXPRICING" vbProcedure="false">'[7]INPUT DATA SHEET'!$A$14:$E$16</definedName>
    <definedName function="false" hidden="false" name="LENNOXSELL" vbProcedure="false">#REF!</definedName>
    <definedName function="false" hidden="false" name="level" vbProcedure="false">#REF!</definedName>
    <definedName function="false" hidden="false" name="levelling" vbProcedure="false">#REF!</definedName>
    <definedName function="false" hidden="false" name="lightselec" vbProcedure="false">#REF!</definedName>
    <definedName function="false" hidden="false" name="LINE1" vbProcedure="false">#REF!</definedName>
    <definedName function="false" hidden="false" name="line3" vbProcedure="false">#REF!</definedName>
    <definedName function="false" hidden="false" name="line4" vbProcedure="false">#REF!</definedName>
    <definedName function="false" hidden="false" name="lisa" vbProcedure="false">[5]당초!#REF!</definedName>
    <definedName function="false" hidden="false" name="LIT" vbProcedure="false">'[2]graphic bill of quantities'!#ref!</definedName>
    <definedName function="false" hidden="false" name="ljgttyu" vbProcedure="false">#REF!</definedName>
    <definedName function="false" hidden="false" name="lkjkhf" vbProcedure="false">#REF!</definedName>
    <definedName function="false" hidden="false" name="lkjlkj" vbProcedure="false">#REF!</definedName>
    <definedName function="false" hidden="false" name="lkloiuyh" vbProcedure="false">#REF!</definedName>
    <definedName function="false" hidden="false" name="LOAD" vbProcedure="false">[78]CABLERET!$D$15:$D$60</definedName>
    <definedName function="false" hidden="false" name="loans_adv" vbProcedure="false">#REF!</definedName>
    <definedName function="false" hidden="false" name="LOCAL" vbProcedure="false">'[2]graphic bill of quantities'!#ref!</definedName>
    <definedName function="false" hidden="false" name="look" vbProcedure="false">#REF!</definedName>
    <definedName function="false" hidden="false" name="Low" vbProcedure="false">[14]ALLOWANCES!$E$8</definedName>
    <definedName function="false" hidden="false" name="Lr" vbProcedure="false">#REF!</definedName>
    <definedName function="false" hidden="false" name="Lr___0" vbProcedure="false">#REF!</definedName>
    <definedName function="false" hidden="false" name="Lr___13" vbProcedure="false">#REF!</definedName>
    <definedName function="false" hidden="false" name="LSNO12" vbProcedure="false">#REF!</definedName>
    <definedName function="false" hidden="false" name="LSNO15" vbProcedure="false">#REF!</definedName>
    <definedName function="false" hidden="false" name="LSNO17" vbProcedure="false">#REF!</definedName>
    <definedName function="false" hidden="false" name="LSNO21" vbProcedure="false">#REF!</definedName>
    <definedName function="false" hidden="false" name="LSNO24" vbProcedure="false">#REF!</definedName>
    <definedName function="false" hidden="false" name="LSNO26" vbProcedure="false">#REF!</definedName>
    <definedName function="false" hidden="false" name="LSNO27" vbProcedure="false">#REF!</definedName>
    <definedName function="false" hidden="false" name="LSNO28" vbProcedure="false">#REF!</definedName>
    <definedName function="false" hidden="false" name="LSNO29" vbProcedure="false">#REF!</definedName>
    <definedName function="false" hidden="false" name="LSNO30" vbProcedure="false">#REF!</definedName>
    <definedName function="false" hidden="false" name="LSNO31" vbProcedure="false">#REF!</definedName>
    <definedName function="false" hidden="false" name="LSNO32" vbProcedure="false">#REF!</definedName>
    <definedName function="false" hidden="false" name="LSNO33" vbProcedure="false">#REF!</definedName>
    <definedName function="false" hidden="false" name="LSNO34" vbProcedure="false">#REF!</definedName>
    <definedName function="false" hidden="false" name="LSNO35" vbProcedure="false">#REF!</definedName>
    <definedName function="false" hidden="false" name="LSNO36" vbProcedure="false">#REF!</definedName>
    <definedName function="false" hidden="false" name="LSNO7" vbProcedure="false">#REF!</definedName>
    <definedName function="false" hidden="false" name="LSNO9" vbProcedure="false">#REF!</definedName>
    <definedName function="false" hidden="false" name="ltf" vbProcedure="false">#REF!</definedName>
    <definedName function="false" hidden="false" name="LUMEN" vbProcedure="false">#REF!</definedName>
    <definedName function="false" hidden="false" name="LUMEN___0" vbProcedure="false">#REF!</definedName>
    <definedName function="false" hidden="false" name="LUMEN___13" vbProcedure="false">#REF!</definedName>
    <definedName function="false" hidden="false" name="LUX" vbProcedure="false">#REF!</definedName>
    <definedName function="false" hidden="false" name="LUX___0" vbProcedure="false">#REF!</definedName>
    <definedName function="false" hidden="false" name="LUX___13" vbProcedure="false">#REF!</definedName>
    <definedName function="false" hidden="false" name="Lx" vbProcedure="false">#REF!</definedName>
    <definedName function="false" hidden="false" name="Lx___0" vbProcedure="false">#REF!</definedName>
    <definedName function="false" hidden="false" name="Lx___13" vbProcedure="false">#REF!</definedName>
    <definedName function="false" hidden="false" name="L___0" vbProcedure="false">#REF!</definedName>
    <definedName function="false" hidden="false" name="L___13" vbProcedure="false">#REF!</definedName>
    <definedName function="false" hidden="false" name="M" vbProcedure="false">[23]rates!#ref!</definedName>
    <definedName function="false" hidden="false" name="m15flooring" vbProcedure="false">#REF!</definedName>
    <definedName function="false" hidden="false" name="M1x" vbProcedure="false">#REF!</definedName>
    <definedName function="false" hidden="false" name="M1y" vbProcedure="false">#REF!</definedName>
    <definedName function="false" hidden="false" name="M2x" vbProcedure="false">#REF!</definedName>
    <definedName function="false" hidden="false" name="M2y" vbProcedure="false">#REF!</definedName>
    <definedName function="false" hidden="false" name="MainBuilding" vbProcedure="false">#REF!</definedName>
    <definedName function="false" hidden="false" name="MAINTENANCE" vbProcedure="false">'[55]MAINTENANCE ETC'!$F$1667</definedName>
    <definedName function="false" hidden="false" name="mak" vbProcedure="false">#REF!</definedName>
    <definedName function="false" hidden="false" name="MALE" vbProcedure="false">#REF!</definedName>
    <definedName function="false" hidden="false" name="man" vbProcedure="false">#REF!</definedName>
    <definedName function="false" hidden="false" name="manday1" vbProcedure="false">#REF!</definedName>
    <definedName function="false" hidden="false" name="manday1___0" vbProcedure="false">#REF!</definedName>
    <definedName function="false" hidden="false" name="manday1___11" vbProcedure="false">#REF!</definedName>
    <definedName function="false" hidden="false" name="manday1___12" vbProcedure="false">#REF!</definedName>
    <definedName function="false" hidden="false" name="manpower_details" vbProcedure="false">#REF!</definedName>
    <definedName function="false" hidden="false" name="man___0" vbProcedure="false">#REF!</definedName>
    <definedName function="false" hidden="false" name="man___11" vbProcedure="false">#REF!</definedName>
    <definedName function="false" hidden="false" name="man___12" vbProcedure="false">#REF!</definedName>
    <definedName function="false" hidden="false" name="mar03rate" vbProcedure="false">#REF!</definedName>
    <definedName function="false" hidden="false" name="march_qty" vbProcedure="false">#REF!</definedName>
    <definedName function="false" hidden="false" name="MARG" vbProcedure="false">'[79]MAIN BILL 1'!$E$3</definedName>
    <definedName function="false" hidden="false" name="MARGIN" vbProcedure="false">[78]CABLERET!$D$9</definedName>
    <definedName function="false" hidden="false" name="marjin" vbProcedure="false">#NAME?</definedName>
    <definedName function="false" hidden="false" name="markup" vbProcedure="false">'[50]plumbing (b)'!#ref!</definedName>
    <definedName function="false" hidden="false" name="Material" vbProcedure="false">[19]Materials!$A$7:$L$506</definedName>
    <definedName function="false" hidden="false" name="MATERIAL_PRICES" vbProcedure="false">[14]MATLS!$A$2:$K$6024</definedName>
    <definedName function="false" hidden="false" name="MATERNITY" vbProcedure="false">#REF!</definedName>
    <definedName function="false" hidden="false" name="mathandling" vbProcedure="false">'[80]plumbing discard'!#ref!</definedName>
    <definedName function="false" hidden="false" name="may03rate" vbProcedure="false">#REF!</definedName>
    <definedName function="false" hidden="false" name="MAZI" vbProcedure="false">#REF!</definedName>
    <definedName function="false" hidden="false" name="mb" vbProcedure="false">#REF!</definedName>
    <definedName function="false" hidden="true" name="MCBDB" vbProcedure="false">{#N/A,#N/A,FALSE,"mpph1";#N/A,#N/A,FALSE,"mpmseb";#N/A,#N/A,FALSE,"mpph2"}</definedName>
    <definedName function="false" hidden="false" name="MECHANICAL" vbProcedure="false">#REF!</definedName>
    <definedName function="false" hidden="false" name="MECMARK" vbProcedure="false">'[16]MECH BOQ'!$AL$2</definedName>
    <definedName function="false" hidden="false" name="MEDICALAIRdiversity" vbProcedure="false">'[81]MEDICAL AIR'!$C$70</definedName>
    <definedName function="false" hidden="false" name="medicalvacuumdiversity" vbProcedure="false">'[81]MEDICAL VACUUM'!$C$70</definedName>
    <definedName function="false" hidden="false" name="medvacuum" vbProcedure="false">'[81]medical vacuum'!#ref!</definedName>
    <definedName function="false" hidden="false" name="mepgin" vbProcedure="false">#REF!</definedName>
    <definedName function="false" hidden="false" name="MetalWork" vbProcedure="false">'[27]build up'!#ref!</definedName>
    <definedName function="false" hidden="false" name="MF" vbProcedure="false">#REF!</definedName>
    <definedName function="false" hidden="false" name="MF___0" vbProcedure="false">#REF!</definedName>
    <definedName function="false" hidden="false" name="MF___13" vbProcedure="false">#REF!</definedName>
    <definedName function="false" hidden="false" name="mgf" vbProcedure="false">#REF!</definedName>
    <definedName function="false" hidden="false" name="MINOR" vbProcedure="false">#REF!</definedName>
    <definedName function="false" hidden="false" name="miscD" vbProcedure="false">[74]l2misc!#ref!</definedName>
    <definedName function="false" hidden="false" name="MK" vbProcedure="false">#REF!</definedName>
    <definedName function="false" hidden="false" name="MKP" vbProcedure="false">#REF!</definedName>
    <definedName function="false" hidden="false" name="mkup" vbProcedure="false">'[70]IT BILL'!$F$3</definedName>
    <definedName function="false" hidden="false" name="mmm" vbProcedure="false">[82]dayworks!mmm</definedName>
    <definedName function="false" hidden="false" name="mng" vbProcedure="false">#REF!</definedName>
    <definedName function="false" hidden="false" name="MOEDA" vbProcedure="false">[19]CDB!$C$30</definedName>
    <definedName function="false" hidden="false" name="MONTH_CONDITION" vbProcedure="false">#REF!</definedName>
    <definedName function="false" hidden="false" name="MONTH_DETAILS" vbProcedure="false">#REF!</definedName>
    <definedName function="false" hidden="false" name="MORTUARY" vbProcedure="false">#REF!</definedName>
    <definedName function="false" hidden="false" name="MOSamount" vbProcedure="false">#REF!</definedName>
    <definedName function="false" hidden="false" name="mrate" vbProcedure="false">#REF!</definedName>
    <definedName function="false" hidden="false" name="MRCRLPW" vbProcedure="false">#REF!</definedName>
    <definedName function="false" hidden="false" name="Mrkup" vbProcedure="false">#REF!</definedName>
    <definedName function="false" hidden="false" name="MS200202rev2" vbProcedure="false">#REF!</definedName>
    <definedName function="false" hidden="false" name="ms2002may1706" vbProcedure="false">#REF!</definedName>
    <definedName function="false" hidden="false" name="msjune1807" vbProcedure="false">#REF!</definedName>
    <definedName function="false" hidden="false" name="Msmnt_Units" vbProcedure="false">'[83]D bse 1 - All Details'!$B$3:$B$14</definedName>
    <definedName function="false" hidden="false" name="MULT" vbProcedure="false">'[1]schedule carrier spa'!#ref!</definedName>
    <definedName function="false" hidden="false" name="MULT1" vbProcedure="false">#REF!</definedName>
    <definedName function="false" hidden="false" name="MULTA" vbProcedure="false">#REF!</definedName>
    <definedName function="false" hidden="false" name="MULTB" vbProcedure="false">#REF!</definedName>
    <definedName function="false" hidden="false" name="MULTC" vbProcedure="false">#REF!</definedName>
    <definedName function="false" hidden="false" name="MULTD" vbProcedure="false">#REF!</definedName>
    <definedName function="false" hidden="false" name="MULTE" vbProcedure="false">#REF!</definedName>
    <definedName function="false" hidden="false" name="MULTF" vbProcedure="false">#REF!</definedName>
    <definedName function="false" hidden="false" name="MULTG" vbProcedure="false">#REF!</definedName>
    <definedName function="false" hidden="false" name="MULTH" vbProcedure="false">#REF!</definedName>
    <definedName function="false" hidden="false" name="M_25_box_Culvert" vbProcedure="false">#REF!</definedName>
    <definedName function="false" hidden="false" name="m___0" vbProcedure="false">#REF!</definedName>
    <definedName function="false" hidden="false" name="m___13" vbProcedure="false">#REF!</definedName>
    <definedName function="false" hidden="false" name="n" vbProcedure="false">#REF!</definedName>
    <definedName function="false" hidden="false" name="n.nl" vbProcedure="false">[67]rates!#ref!</definedName>
    <definedName function="false" hidden="false" name="naaa" vbProcedure="false">#REF!</definedName>
    <definedName function="false" hidden="false" name="NAMT" vbProcedure="false">#REF!</definedName>
    <definedName function="false" hidden="false" name="nananko" vbProcedure="false">#REF!</definedName>
    <definedName function="false" hidden="false" name="needle" vbProcedure="false">#REF!</definedName>
    <definedName function="false" hidden="false" name="nelsom" vbProcedure="false">#REF!</definedName>
    <definedName function="false" hidden="false" name="Nessie" vbProcedure="false">[19]Materials!$AB$3</definedName>
    <definedName function="false" hidden="false" name="net_cost_list" vbProcedure="false">#REF!</definedName>
    <definedName function="false" hidden="false" name="NET_TAX" vbProcedure="false">[10]CABLERET!$D$6</definedName>
    <definedName function="false" hidden="false" name="new" vbProcedure="false">#REF!</definedName>
    <definedName function="false" hidden="false" name="newdate" vbProcedure="false">[25]datatable!$B$107</definedName>
    <definedName function="false" hidden="false" name="NILL" vbProcedure="false">[22]rates!#ref!</definedName>
    <definedName function="false" hidden="false" name="NIPP" vbProcedure="false">#REF!</definedName>
    <definedName function="false" hidden="false" name="nitreousoxideflow" vbProcedure="false">'[81]nitrous oxide'!#ref!</definedName>
    <definedName function="false" hidden="false" name="nitrogendiversity" vbProcedure="false">[81]NITROGEN!$C$69</definedName>
    <definedName function="false" hidden="false" name="NITROGENFLOW" vbProcedure="false">[81]NITROGEN!$C$4</definedName>
    <definedName function="false" hidden="false" name="nitrousoxidediversity" vbProcedure="false">'[81]NITROUS OXIDE'!$C$69</definedName>
    <definedName function="false" hidden="false" name="nitrousoxideflow" vbProcedure="false">'[81]NITROUS OXIDE'!$C$4</definedName>
    <definedName function="false" hidden="false" name="NN" vbProcedure="false">#REF!</definedName>
    <definedName function="false" hidden="false" name="nnn" vbProcedure="false">#REF!</definedName>
    <definedName function="false" hidden="false" name="nnnnm" vbProcedure="false">#REF!</definedName>
    <definedName function="false" hidden="false" name="NN___0" vbProcedure="false">#REF!</definedName>
    <definedName function="false" hidden="false" name="NN___13" vbProcedure="false">#REF!</definedName>
    <definedName function="false" hidden="false" name="NomsVillages" vbProcedure="false">#REF!</definedName>
    <definedName function="false" hidden="false" name="nov03rate" vbProcedure="false">#REF!</definedName>
    <definedName function="false" hidden="false" name="NSSR1" vbProcedure="false">#REF!</definedName>
    <definedName function="false" hidden="false" name="NSSR10" vbProcedure="false">#REF!</definedName>
    <definedName function="false" hidden="false" name="NSSR100" vbProcedure="false">#REF!</definedName>
    <definedName function="false" hidden="false" name="NSSR101" vbProcedure="false">#REF!</definedName>
    <definedName function="false" hidden="false" name="NSSR102" vbProcedure="false">#REF!</definedName>
    <definedName function="false" hidden="false" name="NSSR103" vbProcedure="false">#REF!</definedName>
    <definedName function="false" hidden="false" name="NSSR104" vbProcedure="false">#REF!</definedName>
    <definedName function="false" hidden="false" name="NSSR105" vbProcedure="false">#REF!</definedName>
    <definedName function="false" hidden="false" name="NSSR106" vbProcedure="false">#REF!</definedName>
    <definedName function="false" hidden="false" name="NSSR107" vbProcedure="false">#REF!</definedName>
    <definedName function="false" hidden="false" name="NSSR108" vbProcedure="false">#REF!</definedName>
    <definedName function="false" hidden="false" name="NSSR109" vbProcedure="false">#REF!</definedName>
    <definedName function="false" hidden="false" name="NSSR11" vbProcedure="false">#REF!</definedName>
    <definedName function="false" hidden="false" name="NSSR110" vbProcedure="false">#REF!</definedName>
    <definedName function="false" hidden="false" name="NSSR111" vbProcedure="false">#REF!</definedName>
    <definedName function="false" hidden="false" name="NSSR112" vbProcedure="false">#REF!</definedName>
    <definedName function="false" hidden="false" name="NSSR113" vbProcedure="false">#REF!</definedName>
    <definedName function="false" hidden="false" name="NSSR114" vbProcedure="false">#REF!</definedName>
    <definedName function="false" hidden="false" name="NSSR115" vbProcedure="false">#REF!</definedName>
    <definedName function="false" hidden="false" name="NSSR116" vbProcedure="false">#REF!</definedName>
    <definedName function="false" hidden="false" name="NSSR117" vbProcedure="false">#REF!</definedName>
    <definedName function="false" hidden="false" name="NSSR118" vbProcedure="false">#REF!</definedName>
    <definedName function="false" hidden="false" name="NSSR119" vbProcedure="false">#REF!</definedName>
    <definedName function="false" hidden="false" name="NSSR12" vbProcedure="false">#REF!</definedName>
    <definedName function="false" hidden="false" name="NSSR120" vbProcedure="false">#REF!</definedName>
    <definedName function="false" hidden="false" name="NSSR121" vbProcedure="false">#REF!</definedName>
    <definedName function="false" hidden="false" name="NSSR122" vbProcedure="false">#REF!</definedName>
    <definedName function="false" hidden="false" name="NSSR123" vbProcedure="false">#REF!</definedName>
    <definedName function="false" hidden="false" name="NSSR124" vbProcedure="false">#REF!</definedName>
    <definedName function="false" hidden="false" name="NSSR125" vbProcedure="false">#REF!</definedName>
    <definedName function="false" hidden="false" name="NSSR126" vbProcedure="false">#REF!</definedName>
    <definedName function="false" hidden="false" name="NSSR127" vbProcedure="false">#REF!</definedName>
    <definedName function="false" hidden="false" name="NSSR128" vbProcedure="false">#REF!</definedName>
    <definedName function="false" hidden="false" name="NSSR129" vbProcedure="false">#REF!</definedName>
    <definedName function="false" hidden="false" name="NSSR13" vbProcedure="false">#REF!</definedName>
    <definedName function="false" hidden="false" name="NSSR130" vbProcedure="false">#REF!</definedName>
    <definedName function="false" hidden="false" name="NSSR131" vbProcedure="false">#REF!</definedName>
    <definedName function="false" hidden="false" name="NSSR132" vbProcedure="false">#REF!</definedName>
    <definedName function="false" hidden="false" name="NSSR133" vbProcedure="false">#REF!</definedName>
    <definedName function="false" hidden="false" name="NSSR134" vbProcedure="false">#REF!</definedName>
    <definedName function="false" hidden="false" name="NSSR135" vbProcedure="false">#REF!</definedName>
    <definedName function="false" hidden="false" name="NSSR136" vbProcedure="false">#REF!</definedName>
    <definedName function="false" hidden="false" name="NSSR137" vbProcedure="false">#REF!</definedName>
    <definedName function="false" hidden="false" name="NSSR138" vbProcedure="false">#REF!</definedName>
    <definedName function="false" hidden="false" name="NSSR139" vbProcedure="false">#REF!</definedName>
    <definedName function="false" hidden="false" name="NSSR14" vbProcedure="false">#REF!</definedName>
    <definedName function="false" hidden="false" name="NSSR140" vbProcedure="false">#REF!</definedName>
    <definedName function="false" hidden="false" name="NSSR141" vbProcedure="false">#REF!</definedName>
    <definedName function="false" hidden="false" name="NSSR142" vbProcedure="false">#REF!</definedName>
    <definedName function="false" hidden="false" name="NSSR143" vbProcedure="false">#REF!</definedName>
    <definedName function="false" hidden="false" name="NSSR144" vbProcedure="false">#REF!</definedName>
    <definedName function="false" hidden="false" name="NSSR145" vbProcedure="false">#REF!</definedName>
    <definedName function="false" hidden="false" name="NSSR146" vbProcedure="false">#REF!</definedName>
    <definedName function="false" hidden="false" name="NSSR147" vbProcedure="false">#REF!</definedName>
    <definedName function="false" hidden="false" name="NSSR148" vbProcedure="false">#REF!</definedName>
    <definedName function="false" hidden="false" name="NSSR149" vbProcedure="false">#REF!</definedName>
    <definedName function="false" hidden="false" name="NSSR15" vbProcedure="false">#REF!</definedName>
    <definedName function="false" hidden="false" name="NSSR150" vbProcedure="false">#REF!</definedName>
    <definedName function="false" hidden="false" name="NSSR151" vbProcedure="false">#REF!</definedName>
    <definedName function="false" hidden="false" name="NSSR152" vbProcedure="false">#REF!</definedName>
    <definedName function="false" hidden="false" name="NSSR153" vbProcedure="false">#REF!</definedName>
    <definedName function="false" hidden="false" name="NSSR154" vbProcedure="false">#REF!</definedName>
    <definedName function="false" hidden="false" name="NSSR155" vbProcedure="false">#REF!</definedName>
    <definedName function="false" hidden="false" name="NSSR156" vbProcedure="false">#REF!</definedName>
    <definedName function="false" hidden="false" name="NSSR157" vbProcedure="false">#REF!</definedName>
    <definedName function="false" hidden="false" name="NSSR158" vbProcedure="false">#REF!</definedName>
    <definedName function="false" hidden="false" name="NSSR159" vbProcedure="false">#REF!</definedName>
    <definedName function="false" hidden="false" name="NSSR16" vbProcedure="false">#REF!</definedName>
    <definedName function="false" hidden="false" name="NSSR160" vbProcedure="false">#REF!</definedName>
    <definedName function="false" hidden="false" name="NSSR161" vbProcedure="false">#REF!</definedName>
    <definedName function="false" hidden="false" name="NSSR162" vbProcedure="false">#REF!</definedName>
    <definedName function="false" hidden="false" name="NSSR163" vbProcedure="false">#REF!</definedName>
    <definedName function="false" hidden="false" name="NSSR164" vbProcedure="false">#REF!</definedName>
    <definedName function="false" hidden="false" name="NSSR165" vbProcedure="false">#REF!</definedName>
    <definedName function="false" hidden="false" name="NSSR166" vbProcedure="false">#REF!</definedName>
    <definedName function="false" hidden="false" name="NSSR167" vbProcedure="false">#REF!</definedName>
    <definedName function="false" hidden="false" name="NSSR168" vbProcedure="false">#REF!</definedName>
    <definedName function="false" hidden="false" name="NSSR169" vbProcedure="false">#REF!</definedName>
    <definedName function="false" hidden="false" name="NSSR17" vbProcedure="false">#REF!</definedName>
    <definedName function="false" hidden="false" name="NSSR170" vbProcedure="false">#REF!</definedName>
    <definedName function="false" hidden="false" name="NSSR171" vbProcedure="false">#REF!</definedName>
    <definedName function="false" hidden="false" name="NSSR172" vbProcedure="false">#REF!</definedName>
    <definedName function="false" hidden="false" name="NSSR173" vbProcedure="false">#REF!</definedName>
    <definedName function="false" hidden="false" name="NSSR174" vbProcedure="false">#REF!</definedName>
    <definedName function="false" hidden="false" name="NSSR18" vbProcedure="false">#REF!</definedName>
    <definedName function="false" hidden="false" name="NSSR19" vbProcedure="false">#REF!</definedName>
    <definedName function="false" hidden="false" name="NSSR2" vbProcedure="false">#REF!</definedName>
    <definedName function="false" hidden="false" name="NSSR20" vbProcedure="false">#REF!</definedName>
    <definedName function="false" hidden="false" name="NSSR21" vbProcedure="false">#REF!</definedName>
    <definedName function="false" hidden="false" name="NSSR22" vbProcedure="false">#REF!</definedName>
    <definedName function="false" hidden="false" name="NSSR23" vbProcedure="false">#REF!</definedName>
    <definedName function="false" hidden="false" name="NSSR24" vbProcedure="false">#REF!</definedName>
    <definedName function="false" hidden="false" name="NSSR25" vbProcedure="false">#REF!</definedName>
    <definedName function="false" hidden="false" name="NSSR26" vbProcedure="false">#REF!</definedName>
    <definedName function="false" hidden="false" name="NSSR27" vbProcedure="false">#REF!</definedName>
    <definedName function="false" hidden="false" name="NSSR28" vbProcedure="false">#REF!</definedName>
    <definedName function="false" hidden="false" name="NSSR29" vbProcedure="false">#REF!</definedName>
    <definedName function="false" hidden="false" name="NSSR3" vbProcedure="false">#REF!</definedName>
    <definedName function="false" hidden="false" name="NSSR30" vbProcedure="false">#REF!</definedName>
    <definedName function="false" hidden="false" name="NSSR31" vbProcedure="false">#REF!</definedName>
    <definedName function="false" hidden="false" name="NSSR32" vbProcedure="false">#REF!</definedName>
    <definedName function="false" hidden="false" name="NSSR33" vbProcedure="false">#REF!</definedName>
    <definedName function="false" hidden="false" name="NSSR34" vbProcedure="false">#REF!</definedName>
    <definedName function="false" hidden="false" name="NSSR35" vbProcedure="false">#REF!</definedName>
    <definedName function="false" hidden="false" name="NSSR36" vbProcedure="false">#REF!</definedName>
    <definedName function="false" hidden="false" name="NSSR37" vbProcedure="false">#REF!</definedName>
    <definedName function="false" hidden="false" name="NSSR38" vbProcedure="false">#REF!</definedName>
    <definedName function="false" hidden="false" name="NSSR39" vbProcedure="false">#REF!</definedName>
    <definedName function="false" hidden="false" name="NSSR4" vbProcedure="false">#REF!</definedName>
    <definedName function="false" hidden="false" name="NSSR40" vbProcedure="false">#REF!</definedName>
    <definedName function="false" hidden="false" name="NSSR41" vbProcedure="false">#REF!</definedName>
    <definedName function="false" hidden="false" name="NSSR42" vbProcedure="false">#REF!</definedName>
    <definedName function="false" hidden="false" name="NSSR43" vbProcedure="false">#REF!</definedName>
    <definedName function="false" hidden="false" name="NSSR44" vbProcedure="false">#REF!</definedName>
    <definedName function="false" hidden="false" name="NSSR45" vbProcedure="false">#REF!</definedName>
    <definedName function="false" hidden="false" name="NSSR46" vbProcedure="false">#REF!</definedName>
    <definedName function="false" hidden="false" name="NSSR47" vbProcedure="false">#REF!</definedName>
    <definedName function="false" hidden="false" name="NSSR48" vbProcedure="false">#REF!</definedName>
    <definedName function="false" hidden="false" name="NSSR49" vbProcedure="false">#REF!</definedName>
    <definedName function="false" hidden="false" name="NSSR5" vbProcedure="false">#REF!</definedName>
    <definedName function="false" hidden="false" name="NSSR50" vbProcedure="false">#REF!</definedName>
    <definedName function="false" hidden="false" name="NSSR51" vbProcedure="false">#REF!</definedName>
    <definedName function="false" hidden="false" name="NSSR52" vbProcedure="false">#REF!</definedName>
    <definedName function="false" hidden="false" name="NSSR53" vbProcedure="false">#REF!</definedName>
    <definedName function="false" hidden="false" name="NSSR54" vbProcedure="false">#REF!</definedName>
    <definedName function="false" hidden="false" name="NSSR55" vbProcedure="false">#REF!</definedName>
    <definedName function="false" hidden="false" name="NSSR56" vbProcedure="false">#REF!</definedName>
    <definedName function="false" hidden="false" name="NSSR57" vbProcedure="false">#REF!</definedName>
    <definedName function="false" hidden="false" name="NSSR58" vbProcedure="false">#REF!</definedName>
    <definedName function="false" hidden="false" name="NSSR59" vbProcedure="false">#REF!</definedName>
    <definedName function="false" hidden="false" name="NSSR6" vbProcedure="false">#REF!</definedName>
    <definedName function="false" hidden="false" name="NSSR60" vbProcedure="false">#REF!</definedName>
    <definedName function="false" hidden="false" name="NSSR61" vbProcedure="false">#REF!</definedName>
    <definedName function="false" hidden="false" name="NSSR62" vbProcedure="false">#REF!</definedName>
    <definedName function="false" hidden="false" name="NSSR63" vbProcedure="false">#REF!</definedName>
    <definedName function="false" hidden="false" name="NSSR64" vbProcedure="false">#REF!</definedName>
    <definedName function="false" hidden="false" name="NSSR65" vbProcedure="false">#REF!</definedName>
    <definedName function="false" hidden="false" name="NSSR66" vbProcedure="false">#REF!</definedName>
    <definedName function="false" hidden="false" name="NSSR67" vbProcedure="false">#REF!</definedName>
    <definedName function="false" hidden="false" name="NSSR68" vbProcedure="false">#REF!</definedName>
    <definedName function="false" hidden="false" name="NSSR69" vbProcedure="false">#REF!</definedName>
    <definedName function="false" hidden="false" name="NSSR7" vbProcedure="false">#REF!</definedName>
    <definedName function="false" hidden="false" name="NSSR70" vbProcedure="false">#REF!</definedName>
    <definedName function="false" hidden="false" name="NSSR71" vbProcedure="false">#REF!</definedName>
    <definedName function="false" hidden="false" name="NSSR72" vbProcedure="false">#REF!</definedName>
    <definedName function="false" hidden="false" name="NSSR73" vbProcedure="false">#REF!</definedName>
    <definedName function="false" hidden="false" name="NSSR74" vbProcedure="false">#REF!</definedName>
    <definedName function="false" hidden="false" name="NSSR75" vbProcedure="false">#REF!</definedName>
    <definedName function="false" hidden="false" name="NSSR76" vbProcedure="false">#REF!</definedName>
    <definedName function="false" hidden="false" name="NSSR77" vbProcedure="false">#REF!</definedName>
    <definedName function="false" hidden="false" name="NSSR78" vbProcedure="false">#REF!</definedName>
    <definedName function="false" hidden="false" name="NSSR79" vbProcedure="false">#REF!</definedName>
    <definedName function="false" hidden="false" name="NSSR8" vbProcedure="false">#REF!</definedName>
    <definedName function="false" hidden="false" name="NSSR80" vbProcedure="false">#REF!</definedName>
    <definedName function="false" hidden="false" name="NSSR81" vbProcedure="false">#REF!</definedName>
    <definedName function="false" hidden="false" name="NSSR82" vbProcedure="false">#REF!</definedName>
    <definedName function="false" hidden="false" name="NSSR83" vbProcedure="false">#REF!</definedName>
    <definedName function="false" hidden="false" name="NSSR84" vbProcedure="false">#REF!</definedName>
    <definedName function="false" hidden="false" name="NSSR85" vbProcedure="false">#REF!</definedName>
    <definedName function="false" hidden="false" name="NSSR86" vbProcedure="false">#REF!</definedName>
    <definedName function="false" hidden="false" name="NSSR87" vbProcedure="false">#REF!</definedName>
    <definedName function="false" hidden="false" name="NSSR88" vbProcedure="false">#REF!</definedName>
    <definedName function="false" hidden="false" name="NSSR89" vbProcedure="false">#REF!</definedName>
    <definedName function="false" hidden="false" name="NSSR9" vbProcedure="false">#REF!</definedName>
    <definedName function="false" hidden="false" name="NSSR90" vbProcedure="false">#REF!</definedName>
    <definedName function="false" hidden="false" name="NSSR91" vbProcedure="false">#REF!</definedName>
    <definedName function="false" hidden="false" name="NSSR92" vbProcedure="false">#REF!</definedName>
    <definedName function="false" hidden="false" name="NSSR93" vbProcedure="false">#REF!</definedName>
    <definedName function="false" hidden="false" name="NSSR94" vbProcedure="false">#REF!</definedName>
    <definedName function="false" hidden="false" name="NSSR95" vbProcedure="false">#REF!</definedName>
    <definedName function="false" hidden="false" name="NSSR96" vbProcedure="false">#REF!</definedName>
    <definedName function="false" hidden="false" name="NSSR97" vbProcedure="false">#REF!</definedName>
    <definedName function="false" hidden="false" name="NSSR98" vbProcedure="false">#REF!</definedName>
    <definedName function="false" hidden="false" name="NSSR99" vbProcedure="false">#REF!</definedName>
    <definedName function="false" hidden="false" name="numf" vbProcedure="false">#REF!</definedName>
    <definedName function="false" hidden="true" name="NWC" vbProcedure="false">{#N/A,#N/A,FALSE,"AFR-ELC"}</definedName>
    <definedName function="false" hidden="false" name="Nx" vbProcedure="false">#REF!</definedName>
    <definedName function="false" hidden="false" name="Nx___0" vbProcedure="false">#REF!</definedName>
    <definedName function="false" hidden="false" name="Nx___13" vbProcedure="false">#REF!</definedName>
    <definedName function="false" hidden="false" name="Ny" vbProcedure="false">#REF!</definedName>
    <definedName function="false" hidden="false" name="Ny___0" vbProcedure="false">#REF!</definedName>
    <definedName function="false" hidden="false" name="Ny___13" vbProcedure="false">#REF!</definedName>
    <definedName function="false" hidden="false" name="N___0" vbProcedure="false">#REF!</definedName>
    <definedName function="false" hidden="false" name="N___13" vbProcedure="false">#REF!</definedName>
    <definedName function="false" hidden="false" name="o" vbProcedure="false">#REF!</definedName>
    <definedName function="false" hidden="false" name="OBamount" vbProcedure="false">'[52]Orig bill'!$D$5:$D$130</definedName>
    <definedName function="false" hidden="false" name="OBcode" vbProcedure="false">'[52]Orig bill'!$A$5:$A$130</definedName>
    <definedName function="false" hidden="false" name="obpl" vbProcedure="false">#REF!</definedName>
    <definedName function="false" hidden="false" name="OBRPAamount" vbProcedure="false">[84]OBRPA!$E$1:$E$278</definedName>
    <definedName function="false" hidden="false" name="OBRPAcode" vbProcedure="false">[84]OBRPA!$B$1:$B$278</definedName>
    <definedName function="false" hidden="false" name="oct03rate" vbProcedure="false">#REF!</definedName>
    <definedName function="false" hidden="false" name="OCTRI" vbProcedure="false">[10]CABLERET!$D$5</definedName>
    <definedName function="false" hidden="false" name="ofcablescost" vbProcedure="false">#REF!</definedName>
    <definedName function="false" hidden="false" name="OFFDIFF1" vbProcedure="false">'[2]graphic bill of quantities'!#ref!</definedName>
    <definedName function="false" hidden="false" name="OFFDUCT1" vbProcedure="false">'[2]graphic bill of quantities'!#ref!</definedName>
    <definedName function="false" hidden="false" name="OFFELEC1" vbProcedure="false">'[2]graphic bill of quantities'!#ref!</definedName>
    <definedName function="false" hidden="false" name="office" vbProcedure="false">#REF!</definedName>
    <definedName function="false" hidden="false" name="OFFMAN1" vbProcedure="false">'[2]graphic bill of quantities'!#ref!</definedName>
    <definedName function="false" hidden="false" name="OFFMAN2" vbProcedure="false">'[2]graphic bill of quantities'!#ref!</definedName>
    <definedName function="false" hidden="false" name="OFFMON1" vbProcedure="false">'[2]graphic bill of quantities'!#ref!</definedName>
    <definedName function="false" hidden="false" name="OFFPIPE1" vbProcedure="false">'[2]graphic bill of quantities'!#ref!</definedName>
    <definedName function="false" hidden="false" name="OFFPIPE2" vbProcedure="false">'[85]june 99 bill of quantities'!#ref!</definedName>
    <definedName function="false" hidden="false" name="OFFSPAR1" vbProcedure="false">'[2]graphic bill of quantities'!#ref!</definedName>
    <definedName function="false" hidden="false" name="OH" vbProcedure="false">[86]IValueMW!$G$3</definedName>
    <definedName function="false" hidden="false" name="ohrate" vbProcedure="false">#REF!</definedName>
    <definedName function="false" hidden="false" name="oioiuyt" vbProcedure="false">#REF!</definedName>
    <definedName function="false" hidden="false" name="oiyoy" vbProcedure="false">[67]rates!#ref!</definedName>
    <definedName function="false" hidden="false" name="OPD" vbProcedure="false">[47]opd!#ref!</definedName>
    <definedName function="false" hidden="false" name="oper" vbProcedure="false">#REF!</definedName>
    <definedName function="false" hidden="false" name="oper." vbProcedure="false">#REF!</definedName>
    <definedName function="false" hidden="false" name="OPMONTH" vbProcedure="false">[35]lab!$B$217</definedName>
    <definedName function="false" hidden="false" name="OPT" vbProcedure="false">'[77]Sheet1 (2)'!$P$1</definedName>
    <definedName function="false" hidden="false" name="otherelec" vbProcedure="false">#REF!</definedName>
    <definedName function="false" hidden="false" name="ouyitufydtursyezdnfb" vbProcedure="false">'[87]FIRST FLOOR'!$AD$3</definedName>
    <definedName function="false" hidden="false" name="Overall_Summary_Title" vbProcedure="false">#REF!</definedName>
    <definedName function="false" hidden="false" name="overheads" vbProcedure="false">#REF!</definedName>
    <definedName function="false" hidden="false" name="OWBamount" vbProcedure="false">'[52]Orig Water bill'!$D$5:$D$84</definedName>
    <definedName function="false" hidden="false" name="OWBcode" vbProcedure="false">'[52]Orig Water bill'!$A$5:$A$128</definedName>
    <definedName function="false" hidden="false" name="OWBRPAamount" vbProcedure="false">[84]OWBRPA!$E$2:$E$137</definedName>
    <definedName function="false" hidden="false" name="OWBRPACode" vbProcedure="false">[84]OWBRPA!$B$2:$B$139</definedName>
    <definedName function="false" hidden="false" name="Owner" vbProcedure="false">#REF!</definedName>
    <definedName function="false" hidden="false" name="oxygendiversity" vbProcedure="false">[81]OXYGEN!$C$69</definedName>
    <definedName function="false" hidden="false" name="oxygenflow" vbProcedure="false">[81]OXYGEN!$C$4</definedName>
    <definedName function="false" hidden="false" name="OYI" vbProcedure="false">#REF!</definedName>
    <definedName function="false" hidden="false" name="P" vbProcedure="false">[88]배관품!p</definedName>
    <definedName function="false" hidden="false" name="PA" vbProcedure="false">'[2]graphic bill of quantities'!#ref!</definedName>
    <definedName function="false" hidden="false" name="PAF" vbProcedure="false">#REF!</definedName>
    <definedName function="false" hidden="false" name="Painting" vbProcedure="false">#REF!</definedName>
    <definedName function="false" hidden="false" name="Pane2" vbProcedure="false">#REF!</definedName>
    <definedName function="false" hidden="false" name="Pane2___0" vbProcedure="false">#REF!</definedName>
    <definedName function="false" hidden="false" name="Pane2___13" vbProcedure="false">#REF!</definedName>
    <definedName function="false" hidden="false" name="Panel_Radyatör_PKKP_600___600" vbProcedure="false">'[89]13.06.'!#ref!</definedName>
    <definedName function="false" hidden="false" name="PART" vbProcedure="false">'[16]BASEMENT '!$F$3</definedName>
    <definedName function="false" hidden="false" name="PAVILLION" vbProcedure="false">[47]pavillion!#ref!</definedName>
    <definedName function="false" hidden="false" name="pa___0" vbProcedure="false">#REF!</definedName>
    <definedName function="false" hidden="false" name="pa___13" vbProcedure="false">#REF!</definedName>
    <definedName function="false" hidden="false" name="pb" vbProcedure="false">#REF!</definedName>
    <definedName function="false" hidden="false" name="Pbx" vbProcedure="false">#REF!</definedName>
    <definedName function="false" hidden="false" name="Pby" vbProcedure="false">#REF!</definedName>
    <definedName function="false" hidden="false" name="pb___0" vbProcedure="false">#REF!</definedName>
    <definedName function="false" hidden="false" name="pb___11" vbProcedure="false">#REF!</definedName>
    <definedName function="false" hidden="false" name="pb___12" vbProcedure="false">#REF!</definedName>
    <definedName function="false" hidden="false" name="PCC" vbProcedure="false">#REF!</definedName>
    <definedName function="false" hidden="false" name="pccut" vbProcedure="false">#REF!</definedName>
    <definedName function="false" hidden="false" name="PConc" vbProcedure="false">#REF!</definedName>
    <definedName function="false" hidden="false" name="Pcost" vbProcedure="false">#REF!</definedName>
    <definedName function="false" hidden="false" name="PEDIATRIC" vbProcedure="false">'[47]pediatric a'!#ref!</definedName>
    <definedName function="false" hidden="false" name="perc" vbProcedure="false">'[77]BILL SUMMARY'!$D$43</definedName>
    <definedName function="false" hidden="false" name="perc1" vbProcedure="false">'[77]BILL SUMMARY'!$D$47</definedName>
    <definedName function="false" hidden="false" name="Period" vbProcedure="false">#NAME?</definedName>
    <definedName function="false" hidden="false" name="PEstPL" vbProcedure="false">#REF!</definedName>
    <definedName function="false" hidden="false" name="Peças" vbProcedure="false">[19]Equipments!$E$70</definedName>
    <definedName function="false" hidden="false" name="PGValue" vbProcedure="false">#REF!</definedName>
    <definedName function="false" hidden="false" name="pH" vbProcedure="false">#REF!</definedName>
    <definedName function="false" hidden="false" name="PHARMACY" vbProcedure="false">[47]pharmacy!#ref!</definedName>
    <definedName function="false" hidden="false" name="PhaseCode" vbProcedure="false">#REF!</definedName>
    <definedName function="false" hidden="false" name="PhonesQty" vbProcedure="false">#REF!</definedName>
    <definedName function="false" hidden="false" name="pH___0" vbProcedure="false">#REF!</definedName>
    <definedName function="false" hidden="false" name="pH___13" vbProcedure="false">#REF!</definedName>
    <definedName function="false" hidden="false" name="PIPE" vbProcedure="false">#REF!</definedName>
    <definedName function="false" hidden="false" name="PIPESTEEL" vbProcedure="false">'[2]graphic bill of quantities'!#ref!</definedName>
    <definedName function="false" hidden="false" name="pitching" vbProcedure="false">#REF!</definedName>
    <definedName function="false" hidden="false" name="plan" vbProcedure="false">#REF!</definedName>
    <definedName function="false" hidden="false" name="plantD" vbProcedure="false">[74]l2plant!#ref!</definedName>
    <definedName function="false" hidden="false" name="PLANT_RATE" vbProcedure="false">[14]EQUIPT!$A$2:$K$1121</definedName>
    <definedName function="false" hidden="false" name="Plasterwork" vbProcedure="false">'[90]AKOSOMBO CONFERENCE FACILITY'!$F$449</definedName>
    <definedName function="false" hidden="false" name="plbeams" vbProcedure="false">#REF!</definedName>
    <definedName function="false" hidden="false" name="plgin" vbProcedure="false">#REF!</definedName>
    <definedName function="false" hidden="false" name="PLUG" vbProcedure="false">#REF!</definedName>
    <definedName function="false" hidden="false" name="plumbud" vbProcedure="false">'[54]MEP BUDGET'!$J$567</definedName>
    <definedName function="false" hidden="false" name="po" vbProcedure="false">#REF!</definedName>
    <definedName function="false" hidden="false" name="poiuyt" vbProcedure="false">#REF!</definedName>
    <definedName function="false" hidden="false" name="poles" vbProcedure="false">[91]main!$B$11:$U$11</definedName>
    <definedName function="false" hidden="false" name="poltyrthrn" vbProcedure="false">#REF!</definedName>
    <definedName function="false" hidden="false" name="pound" vbProcedure="false">#REF!</definedName>
    <definedName function="false" hidden="false" name="poundcost" vbProcedure="false">#REF!</definedName>
    <definedName function="false" hidden="false" name="poundinput" vbProcedure="false">#REF!</definedName>
    <definedName function="false" hidden="false" name="POUNDRATE" vbProcedure="false">#REF!</definedName>
    <definedName function="false" hidden="false" name="Powerroom" vbProcedure="false">#REF!</definedName>
    <definedName function="false" hidden="false" name="PQSRes" vbProcedure="false">#REF!</definedName>
    <definedName function="false" hidden="false" name="PR" vbProcedure="false">[86]IValueMW!$H$3</definedName>
    <definedName function="false" hidden="false" name="PRELI" vbProcedure="false">[23]rates!#ref!</definedName>
    <definedName function="false" hidden="false" name="PRELIMRED" vbProcedure="false">[32]Prelims!$I$1764</definedName>
    <definedName function="false" hidden="false" name="Prelm_Exp" vbProcedure="false">#REF!</definedName>
    <definedName function="false" hidden="false" name="price" vbProcedure="false">#REF!</definedName>
    <definedName function="false" hidden="false" name="PRICEFLUCT" vbProcedure="false">'[92]ELEC BOQ'!$K$2</definedName>
    <definedName function="false" hidden="false" name="Principal" vbProcedure="false">#REF!</definedName>
    <definedName function="false" hidden="false" name="PRINT_AREA_MI" vbProcedure="false">#REF!</definedName>
    <definedName function="false" hidden="false" name="Print_Area_MI_17" vbProcedure="false">#REF!</definedName>
    <definedName function="false" hidden="false" name="PRINT_AREA_MI___0" vbProcedure="false">#REF!</definedName>
    <definedName function="false" hidden="false" name="Print_Range" vbProcedure="false">#REF!</definedName>
    <definedName function="false" hidden="false" name="PRINT_TITLES_MI" vbProcedure="false">#REF!</definedName>
    <definedName function="false" hidden="false" name="Product" vbProcedure="false">#REF!</definedName>
    <definedName function="false" hidden="false" name="PROFF" vbProcedure="false">'[93]SUBSTRUCTUR-ABLUTION'!$N$1</definedName>
    <definedName function="false" hidden="false" name="profit" vbProcedure="false">#REF!</definedName>
    <definedName function="false" hidden="false" name="project" vbProcedure="false">#REF!</definedName>
    <definedName function="false" hidden="false" name="ProjectLocation" vbProcedure="false">#REF!</definedName>
    <definedName function="false" hidden="false" name="ProjectName" vbProcedure="false">#NAME?</definedName>
    <definedName function="false" hidden="false" name="ProjectNumber" vbProcedure="false">#REF!</definedName>
    <definedName function="false" hidden="false" name="PROJECTS" vbProcedure="false">#REF!</definedName>
    <definedName function="false" hidden="false" name="ProjectSubtitle" vbProcedure="false">#REF!</definedName>
    <definedName function="false" hidden="false" name="ProjectTitle" vbProcedure="false">#REF!</definedName>
    <definedName function="false" hidden="false" name="PROPS" vbProcedure="false">#REF!</definedName>
    <definedName function="false" hidden="false" name="provsumtot" vbProcedure="false">'[84]Prov Sums'!$F$22</definedName>
    <definedName function="false" hidden="false" name="PS" vbProcedure="false">#REF!</definedName>
    <definedName function="false" hidden="false" name="ps0amount" vbProcedure="false">'[52]PS+nil'!$D$5:$D$96</definedName>
    <definedName function="false" hidden="false" name="ps0code" vbProcedure="false">'[52]PS+nil'!$A$5:$A$96</definedName>
    <definedName function="false" hidden="false" name="ps15amount" vbProcedure="false">'[52]PS+15%'!$D$5:$D$128</definedName>
    <definedName function="false" hidden="false" name="ps15code" vbProcedure="false">'[52]PS+15%'!$A$5:$A$128</definedName>
    <definedName function="false" hidden="false" name="psplit" vbProcedure="false">#REF!</definedName>
    <definedName function="false" hidden="false" name="PS___0" vbProcedure="false">#REF!</definedName>
    <definedName function="false" hidden="false" name="PS___13" vbProcedure="false">#REF!</definedName>
    <definedName function="false" hidden="false" name="PUBLIC_H" vbProcedure="false">#REF!</definedName>
    <definedName function="false" hidden="false" name="Puz" vbProcedure="false">#REF!</definedName>
    <definedName function="false" hidden="false" name="PYHSIO" vbProcedure="false">[47]physiotherapy!#ref!</definedName>
    <definedName function="false" hidden="false" name="P_or_L" vbProcedure="false">#REF!</definedName>
    <definedName function="false" hidden="false" name="p_RateAnalysis" vbProcedure="false">#REF!</definedName>
    <definedName function="false" hidden="false" name="p___0" vbProcedure="false">#REF!</definedName>
    <definedName function="false" hidden="false" name="p___13" vbProcedure="false">#REF!</definedName>
    <definedName function="false" hidden="false" name="q" vbProcedure="false">#REF!</definedName>
    <definedName function="false" hidden="false" name="Qc" vbProcedure="false">#REF!</definedName>
    <definedName function="false" hidden="false" name="Qc___0" vbProcedure="false">#REF!</definedName>
    <definedName function="false" hidden="false" name="Qc___13" vbProcedure="false">#REF!</definedName>
    <definedName function="false" hidden="false" name="Qf" vbProcedure="false">#REF!</definedName>
    <definedName function="false" hidden="false" name="Qf___0" vbProcedure="false">#REF!</definedName>
    <definedName function="false" hidden="false" name="Qf___13" vbProcedure="false">#REF!</definedName>
    <definedName function="false" hidden="false" name="Qi" vbProcedure="false">#REF!</definedName>
    <definedName function="false" hidden="false" name="Qi___0" vbProcedure="false">#REF!</definedName>
    <definedName function="false" hidden="false" name="Qi___13" vbProcedure="false">#REF!</definedName>
    <definedName function="false" hidden="false" name="Ql" vbProcedure="false">#REF!</definedName>
    <definedName function="false" hidden="false" name="Ql___0" vbProcedure="false">#REF!</definedName>
    <definedName function="false" hidden="false" name="Ql___13" vbProcedure="false">#REF!</definedName>
    <definedName function="false" hidden="false" name="QQQQQQQQQQQQQ" vbProcedure="false">#REF!</definedName>
    <definedName function="false" hidden="false" name="Qspan" vbProcedure="false">#REF!</definedName>
    <definedName function="false" hidden="false" name="Qsres" vbProcedure="false">#REF!</definedName>
    <definedName function="false" hidden="false" name="qty" vbProcedure="false">#REF!</definedName>
    <definedName function="false" hidden="false" name="qtyunitsum" vbProcedure="false">#REF!</definedName>
    <definedName function="false" hidden="false" name="Qty_as_on_apr" vbProcedure="false">#REF!</definedName>
    <definedName function="false" hidden="false" name="Quantity" vbProcedure="false">#REF!</definedName>
    <definedName function="false" hidden="false" name="qwrete" vbProcedure="false">#REF!</definedName>
    <definedName function="false" hidden="false" name="raertare" vbProcedure="false">#REF!</definedName>
    <definedName function="false" hidden="false" name="railing" vbProcedure="false">#REF!</definedName>
    <definedName function="false" hidden="false" name="RANGE_VALUE" vbProcedure="false">#REF!</definedName>
    <definedName function="false" hidden="false" name="rarar" vbProcedure="false">#REF!</definedName>
    <definedName function="false" hidden="false" name="rate" vbProcedure="false">[10]CABLERET!$M$13:$M$128</definedName>
    <definedName function="false" hidden="false" name="Rate2" vbProcedure="false">#REF!</definedName>
    <definedName function="false" hidden="false" name="rate22" vbProcedure="false">#REF!</definedName>
    <definedName function="false" hidden="false" name="rcwbgl" vbProcedure="false">#REF!</definedName>
    <definedName function="false" hidden="false" name="rcwbgl2" vbProcedure="false">#REF!</definedName>
    <definedName function="false" hidden="false" name="rdtd" vbProcedure="false">#REF!</definedName>
    <definedName function="false" hidden="false" name="Re" vbProcedure="false">#REF!</definedName>
    <definedName function="false" hidden="false" name="REBAR_110_kg_m3" vbProcedure="false">[94]DATA!$I$4</definedName>
    <definedName function="false" hidden="false" name="REBAR_120_kg_m3" vbProcedure="false">[48]data!#ref!</definedName>
    <definedName function="false" hidden="false" name="rect_4_415" vbProcedure="false">#REF!</definedName>
    <definedName function="false" hidden="false" name="RED" vbProcedure="false">#REF!</definedName>
    <definedName function="false" hidden="false" name="redjhghjk" vbProcedure="false">#REF!</definedName>
    <definedName function="false" hidden="false" name="REEL" vbProcedure="false">[22]rates!#ref!</definedName>
    <definedName function="false" hidden="false" name="Ref" vbProcedure="false">#REF!</definedName>
    <definedName function="false" hidden="false" name="REFPIPE" vbProcedure="false">'[7]INPUT DATA SHEET'!$A$28:$B$29</definedName>
    <definedName function="false" hidden="false" name="Reinforcement" vbProcedure="false">'[27]build up'!#ref!</definedName>
    <definedName function="false" hidden="false" name="rel" vbProcedure="false">#REF!</definedName>
    <definedName function="false" hidden="false" name="REQUESTC" vbProcedure="false">[34]INPUT!$B$53:$B$188</definedName>
    <definedName function="false" hidden="false" name="RequestType" vbProcedure="false">#NAME?</definedName>
    <definedName function="false" hidden="false" name="rertsergs" vbProcedure="false">#REF!</definedName>
    <definedName function="false" hidden="false" name="Reserves" vbProcedure="false">#REF!</definedName>
    <definedName function="false" hidden="false" name="result" vbProcedure="false">#REF!</definedName>
    <definedName function="false" hidden="false" name="result2" vbProcedure="false">#REF!</definedName>
    <definedName function="false" hidden="false" name="results" vbProcedure="false">#REF!</definedName>
    <definedName function="false" hidden="false" name="results12" vbProcedure="false">#REF!</definedName>
    <definedName function="false" hidden="false" name="results2" vbProcedure="false">#REF!</definedName>
    <definedName function="false" hidden="false" name="Rev" vbProcedure="false">#REF!</definedName>
    <definedName function="false" hidden="false" name="Revision" vbProcedure="false">#REF!</definedName>
    <definedName function="false" hidden="false" name="REW" vbProcedure="false">#REF!</definedName>
    <definedName function="false" hidden="false" name="RE_SIZE" vbProcedure="false">#REF!</definedName>
    <definedName function="false" hidden="false" name="Re___0" vbProcedure="false">#REF!</definedName>
    <definedName function="false" hidden="false" name="Re___13" vbProcedure="false">#REF!</definedName>
    <definedName function="false" hidden="false" name="rig" vbProcedure="false">#REF!</definedName>
    <definedName function="false" hidden="false" name="RIYTG" vbProcedure="false">'[57]graphic bill of quantities'!#ref!</definedName>
    <definedName function="false" hidden="false" name="Rl" vbProcedure="false">#REF!</definedName>
    <definedName function="false" hidden="false" name="Rl___0" vbProcedure="false">#REF!</definedName>
    <definedName function="false" hidden="false" name="Rl___13" vbProcedure="false">#REF!</definedName>
    <definedName function="false" hidden="false" name="rm4e" vbProcedure="false">#REF!</definedName>
    <definedName function="false" hidden="false" name="robot" vbProcedure="false">#REF!</definedName>
    <definedName function="false" hidden="false" name="Role" vbProcedure="false">#REF!</definedName>
    <definedName function="false" hidden="false" name="Roofing" vbProcedure="false">'[27]build up'!#ref!</definedName>
    <definedName function="false" hidden="false" name="RoomList" vbProcedure="false">#REF!</definedName>
    <definedName function="false" hidden="false" name="rosid" vbProcedure="false">#REF!</definedName>
    <definedName function="false" hidden="false" name="rrcost" vbProcedure="false">#REF!</definedName>
    <definedName function="false" hidden="false" name="Rs" vbProcedure="false">#REF!</definedName>
    <definedName function="false" hidden="false" name="Rse" vbProcedure="false">#REF!</definedName>
    <definedName function="false" hidden="false" name="Rse___0" vbProcedure="false">#REF!</definedName>
    <definedName function="false" hidden="false" name="Rse___13" vbProcedure="false">#REF!</definedName>
    <definedName function="false" hidden="false" name="Rs___0" vbProcedure="false">#REF!</definedName>
    <definedName function="false" hidden="false" name="Rs___13" vbProcedure="false">#REF!</definedName>
    <definedName function="false" hidden="false" name="RT" vbProcedure="false">#REF!</definedName>
    <definedName function="false" hidden="false" name="rtert" vbProcedure="false">[5]당초!#REF!</definedName>
    <definedName function="false" hidden="false" name="rterthb" vbProcedure="false">#REF!</definedName>
    <definedName function="false" hidden="false" name="rtewrtg" vbProcedure="false">#REF!</definedName>
    <definedName function="false" hidden="false" name="rtfgrtyuy" vbProcedure="false">#REF!</definedName>
    <definedName function="false" hidden="false" name="rtr" vbProcedure="false">#REF!</definedName>
    <definedName function="false" hidden="false" name="RTRE" vbProcedure="false">[23]rates!#ref!</definedName>
    <definedName function="false" hidden="false" name="R_" vbProcedure="false">#REF!</definedName>
    <definedName function="false" hidden="false" name="s" vbProcedure="false">'[95]bresk-civil2'!s</definedName>
    <definedName function="false" hidden="false" name="Sa" vbProcedure="false">#REF!</definedName>
    <definedName function="false" hidden="false" name="sadasd" vbProcedure="false">[67]rates!#ref!</definedName>
    <definedName function="false" hidden="false" name="sai" vbProcedure="false">#REF!</definedName>
    <definedName function="false" hidden="false" name="SALARY" vbProcedure="false">#REF!</definedName>
    <definedName function="false" hidden="false" name="SAM" vbProcedure="false">#REF!</definedName>
    <definedName function="false" hidden="false" name="SAMSON" vbProcedure="false">#REF!</definedName>
    <definedName function="false" hidden="false" name="Sanitary" vbProcedure="false">#REF!</definedName>
    <definedName function="false" hidden="false" name="saucomd" vbProcedure="false">#REF!</definedName>
    <definedName function="false" hidden="false" name="saud" vbProcedure="false">#REF!</definedName>
    <definedName function="false" hidden="false" name="sauf" vbProcedure="false">#REF!</definedName>
    <definedName function="false" hidden="false" name="sauspad" vbProcedure="false">#REF!</definedName>
    <definedName function="false" hidden="false" name="sausysd" vbProcedure="false">#REF!</definedName>
    <definedName function="false" hidden="false" name="SC" vbProcedure="false">#REF!</definedName>
    <definedName function="false" hidden="false" name="scaffolding" vbProcedure="false">'[76]power-s'!scaffolding</definedName>
    <definedName function="false" hidden="false" name="schools" vbProcedure="false">#REF!</definedName>
    <definedName function="false" hidden="false" name="SD" vbProcedure="false">'[50]FIRST FLOOR'!$AD$1</definedName>
    <definedName function="false" hidden="false" name="SDaefserg" vbProcedure="false">#REF!</definedName>
    <definedName function="false" hidden="false" name="Sdate" vbProcedure="false">#REF!</definedName>
    <definedName function="false" hidden="false" name="SDF" vbProcedure="false">#REF!</definedName>
    <definedName function="false" hidden="false" name="SDMLPW" vbProcedure="false">#REF!</definedName>
    <definedName function="false" hidden="false" name="sdpl" vbProcedure="false">#REF!</definedName>
    <definedName function="false" hidden="false" name="SDPLBS" vbProcedure="false">#REF!</definedName>
    <definedName function="false" hidden="false" name="SDPLFA" vbProcedure="false">#REF!</definedName>
    <definedName function="false" hidden="false" name="SDPLPL" vbProcedure="false">#REF!</definedName>
    <definedName function="false" hidden="false" name="sdsd" vbProcedure="false">#REF!</definedName>
    <definedName function="false" hidden="false" name="se" vbProcedure="false">#REF!</definedName>
    <definedName function="false" hidden="false" name="sect" vbProcedure="false">#REF!</definedName>
    <definedName function="false" hidden="false" name="Section_1_Title" vbProcedure="false">#REF!</definedName>
    <definedName function="false" hidden="false" name="Section_2_Title" vbProcedure="false">#REF!</definedName>
    <definedName function="false" hidden="false" name="Section_3_Title" vbProcedure="false">#REF!</definedName>
    <definedName function="false" hidden="false" name="Section_4_Title" vbProcedure="false">#REF!</definedName>
    <definedName function="false" hidden="false" name="Section_5_Title" vbProcedure="false">#REF!</definedName>
    <definedName function="false" hidden="false" name="Section_6_Title" vbProcedure="false">#REF!</definedName>
    <definedName function="false" hidden="false" name="Section_7_Title" vbProcedure="false">#REF!</definedName>
    <definedName function="false" hidden="false" name="Section_8_Title" vbProcedure="false">#REF!</definedName>
    <definedName function="false" hidden="false" name="secured" vbProcedure="false">#REF!</definedName>
    <definedName function="false" hidden="false" name="SECURITY" vbProcedure="false">'[47]security commerce'!#ref!</definedName>
    <definedName function="false" hidden="false" name="Securitydoor" vbProcedure="false">#REF!</definedName>
    <definedName function="false" hidden="false" name="sec_deposit" vbProcedure="false">#REF!</definedName>
    <definedName function="false" hidden="false" name="sep03rate" vbProcedure="false">#REF!</definedName>
    <definedName function="false" hidden="false" name="serf" vbProcedure="false">#REF!</definedName>
    <definedName function="false" hidden="false" name="servf" vbProcedure="false">#REF!</definedName>
    <definedName function="false" hidden="false" name="SF" vbProcedure="false">#REF!</definedName>
    <definedName function="false" hidden="false" name="sgh" vbProcedure="false">#REF!</definedName>
    <definedName function="false" hidden="false" name="shd" vbProcedure="false">#REF!</definedName>
    <definedName function="false" hidden="false" name="SHEDULES" vbProcedure="false">#REF!</definedName>
    <definedName function="false" hidden="false" name="sheet1" vbProcedure="false">#REF!</definedName>
    <definedName function="false" hidden="false" name="sheet1___0" vbProcedure="false">#REF!</definedName>
    <definedName function="false" hidden="false" name="sheet1___13" vbProcedure="false">#REF!</definedName>
    <definedName function="false" hidden="false" name="shf" vbProcedure="false">#REF!</definedName>
    <definedName function="false" hidden="false" name="SHOPDIFF2" vbProcedure="false">'[2]graphic bill of quantities'!#ref!</definedName>
    <definedName function="false" hidden="false" name="SHOPDUCT1" vbProcedure="false">'[2]graphic bill of quantities'!#ref!</definedName>
    <definedName function="false" hidden="false" name="SHOPELEC1" vbProcedure="false">'[2]graphic bill of quantities'!#ref!</definedName>
    <definedName function="false" hidden="false" name="SHOPMAN1" vbProcedure="false">'[2]graphic bill of quantities'!#ref!</definedName>
    <definedName function="false" hidden="false" name="SHOPMAN2" vbProcedure="false">'[2]graphic bill of quantities'!#ref!</definedName>
    <definedName function="false" hidden="false" name="SHOPMON1" vbProcedure="false">'[2]graphic bill of quantities'!#ref!</definedName>
    <definedName function="false" hidden="false" name="SHOPPIPE1" vbProcedure="false">'[2]graphic bill of quantities'!#ref!</definedName>
    <definedName function="false" hidden="false" name="SHOPPIPE2" vbProcedure="false">'[85]june 99 bill of quantities'!#ref!</definedName>
    <definedName function="false" hidden="false" name="SHOPSPAR1" vbProcedure="false">'[2]graphic bill of quantities'!#ref!</definedName>
    <definedName function="false" hidden="false" name="SHOW_TO_CUSTOME" vbProcedure="false">#REF!</definedName>
    <definedName function="false" hidden="false" name="si" vbProcedure="false">#REF!</definedName>
    <definedName function="false" hidden="false" name="side1" vbProcedure="false">#REF!</definedName>
    <definedName function="false" hidden="false" name="side2" vbProcedure="false">#REF!</definedName>
    <definedName function="false" hidden="false" name="sigma0.2" vbProcedure="false">#REF!</definedName>
    <definedName function="false" hidden="false" name="sigma0_2" vbProcedure="false">#REF!</definedName>
    <definedName function="false" hidden="false" name="sigmab" vbProcedure="false">#REF!</definedName>
    <definedName function="false" hidden="false" name="sigmah" vbProcedure="false">#REF!</definedName>
    <definedName function="false" hidden="false" name="sigmat" vbProcedure="false">#REF!</definedName>
    <definedName function="false" hidden="false" name="SITE1" vbProcedure="false">#REF!</definedName>
    <definedName function="false" hidden="false" name="SITEWORKS" vbProcedure="false">#REF!</definedName>
    <definedName function="false" hidden="false" name="SIZE" vbProcedure="false">#REF!</definedName>
    <definedName function="false" hidden="false" name="SIZEC" vbProcedure="false">#REF!</definedName>
    <definedName function="false" hidden="false" name="Skimming" vbProcedure="false">#REF!</definedName>
    <definedName function="false" hidden="false" name="slab_joint" vbProcedure="false">[94]DATA!$I$7</definedName>
    <definedName function="false" hidden="false" name="Slicer_Category" vbProcedure="false">#REF!</definedName>
    <definedName function="false" hidden="false" name="Slicer_Country" vbProcedure="false">#REF!</definedName>
    <definedName function="false" hidden="false" name="Slicer_Products" vbProcedure="false">#REF!</definedName>
    <definedName function="false" hidden="false" name="Slicer_Rating" vbProcedure="false">#REF!</definedName>
    <definedName function="false" hidden="false" name="Slicer_Speciality" vbProcedure="false">#REF!</definedName>
    <definedName function="false" hidden="false" name="SLOPE" vbProcedure="false">#REF!</definedName>
    <definedName function="false" hidden="false" name="SOL" vbProcedure="false">#REF!</definedName>
    <definedName function="false" hidden="false" name="solignum1" vbProcedure="false">[14]CARPENTRY!$G$90</definedName>
    <definedName function="false" hidden="false" name="solignum2" vbProcedure="false">[14]CARPENTRY!$H$90</definedName>
    <definedName function="false" hidden="false" name="solignum3" vbProcedure="false">[14]CARPENTRY!$I$90</definedName>
    <definedName function="false" hidden="false" name="sond" vbProcedure="false">#REF!</definedName>
    <definedName function="false" hidden="false" name="sondf" vbProcedure="false">#REF!</definedName>
    <definedName function="false" hidden="false" name="SONTF" vbProcedure="false">#REF!</definedName>
    <definedName function="false" hidden="false" name="sort1" vbProcedure="false">#REF!</definedName>
    <definedName function="false" hidden="false" name="sort2" vbProcedure="false">'[96]TOPLAM KESIF SORTED'!$B$5:$K$3833</definedName>
    <definedName function="false" hidden="false" name="SPAIN" vbProcedure="false">'[2]graphic bill of quantities'!#ref!</definedName>
    <definedName function="false" hidden="false" name="Speciality" vbProcedure="false">#REF!</definedName>
    <definedName function="false" hidden="false" name="SpintexRoad" vbProcedure="false">#REF!</definedName>
    <definedName function="false" hidden="false" name="SPMRKUP" vbProcedure="false">'[97]Schedule prices'!$G$1</definedName>
    <definedName function="false" hidden="false" name="SPOT1" vbProcedure="false">#REF!</definedName>
    <definedName function="false" hidden="false" name="spread" vbProcedure="false">#REF!</definedName>
    <definedName function="false" hidden="false" name="SQRT__1___0.6___1.0" vbProcedure="false">#REF!</definedName>
    <definedName function="false" hidden="false" name="SQRT__1___0_6___1_0" vbProcedure="false">#REF!</definedName>
    <definedName function="false" hidden="false" name="SQRT__1___0_6___1_0___0" vbProcedure="false">#REF!</definedName>
    <definedName function="false" hidden="false" name="SQRT__1___0_6___1_0___13" vbProcedure="false">#REF!</definedName>
    <definedName function="false" hidden="false" name="srvf" vbProcedure="false">#REF!</definedName>
    <definedName function="false" hidden="false" name="ss" vbProcedure="false">'[98]SUPERSTR.BOQ'!$U$2</definedName>
    <definedName function="false" hidden="false" name="ssd" vbProcedure="false">#REF!</definedName>
    <definedName function="false" hidden="false" name="ssf" vbProcedure="false">#REF!</definedName>
    <definedName function="false" hidden="false" name="sss" vbProcedure="false">#REF!</definedName>
    <definedName function="false" hidden="true" name="SSSS" vbProcedure="false">{#N/A,#N/A,FALSE,"mpph1";#N/A,#N/A,FALSE,"mpmseb";#N/A,#N/A,FALSE,"mpph2"}</definedName>
    <definedName function="false" hidden="true" name="SSSSS" vbProcedure="false">{#N/A,#N/A,FALSE,"mpph1";#N/A,#N/A,FALSE,"mpmseb";#N/A,#N/A,FALSE,"mpph2"}</definedName>
    <definedName function="false" hidden="false" name="sta229.2" vbProcedure="false">#REF!</definedName>
    <definedName function="false" hidden="false" name="Stage" vbProcedure="false">#REF!</definedName>
    <definedName function="false" hidden="false" name="Stagging" vbProcedure="false">#REF!</definedName>
    <definedName function="false" hidden="false" name="Staircase" vbProcedure="false">#REF!</definedName>
    <definedName function="false" hidden="false" name="Staircase2" vbProcedure="false">#REF!</definedName>
    <definedName function="false" hidden="false" name="Start_Date" vbProcedure="false">#REF!</definedName>
    <definedName function="false" hidden="false" name="statement" vbProcedure="false">#REF!</definedName>
    <definedName function="false" hidden="false" name="statements" vbProcedure="false">#REF!</definedName>
    <definedName function="false" hidden="false" name="steam_trap" vbProcedure="false">#REF!</definedName>
    <definedName function="false" hidden="false" name="steel" vbProcedure="false">#REF!</definedName>
    <definedName function="false" hidden="false" name="store" vbProcedure="false">#REF!</definedName>
    <definedName function="false" hidden="false" name="STORE1" vbProcedure="false">#REF!</definedName>
    <definedName function="false" hidden="false" name="StrID" vbProcedure="false">#REF!</definedName>
    <definedName function="false" hidden="false" name="STRUCTURAL" vbProcedure="false">#REF!</definedName>
    <definedName function="false" hidden="false" name="structure" vbProcedure="false">#REF!</definedName>
    <definedName function="false" hidden="false" name="st_factor" vbProcedure="false">#REF!</definedName>
    <definedName function="false" hidden="false" name="Subject" vbProcedure="false">#REF!</definedName>
    <definedName function="false" hidden="false" name="substructure" vbProcedure="false">#REF!</definedName>
    <definedName function="false" hidden="false" name="SUMA" vbProcedure="false">#REF!</definedName>
    <definedName function="false" hidden="false" name="SUMB" vbProcedure="false">#REF!</definedName>
    <definedName function="false" hidden="false" name="SUMC" vbProcedure="false">#REF!</definedName>
    <definedName function="false" hidden="false" name="SUMD" vbProcedure="false">#REF!</definedName>
    <definedName function="false" hidden="false" name="SUME" vbProcedure="false">#REF!</definedName>
    <definedName function="false" hidden="false" name="SUMF" vbProcedure="false">#REF!</definedName>
    <definedName function="false" hidden="false" name="SUMG" vbProcedure="false">#REF!</definedName>
    <definedName function="false" hidden="false" name="SUMH" vbProcedure="false">#REF!</definedName>
    <definedName function="false" hidden="false" name="SUMI" vbProcedure="false">#REF!</definedName>
    <definedName function="false" hidden="false" name="SUMJ" vbProcedure="false">#REF!</definedName>
    <definedName function="false" hidden="false" name="SUMK" vbProcedure="false">#REF!</definedName>
    <definedName function="false" hidden="false" name="SUML" vbProcedure="false">#REF!</definedName>
    <definedName function="false" hidden="false" name="SUMM" vbProcedure="false">#REF!</definedName>
    <definedName function="false" hidden="false" name="SUMM_1" vbProcedure="false">#REF!</definedName>
    <definedName function="false" hidden="false" name="SUMM_5" vbProcedure="false">#REF!</definedName>
    <definedName function="false" hidden="false" name="SUMN" vbProcedure="false">#REF!</definedName>
    <definedName function="false" hidden="false" name="SUMP" vbProcedure="false">#REF!</definedName>
    <definedName function="false" hidden="false" name="superstructure" vbProcedure="false">#REF!</definedName>
    <definedName function="false" hidden="false" name="supervision" vbProcedure="false">'[80]plumbing discard'!#ref!</definedName>
    <definedName function="false" hidden="false" name="SUPPL" vbProcedure="false">'[46]PLUMBING INSTALLATION WORKS'!$Q$6</definedName>
    <definedName function="false" hidden="false" name="supplyr" vbProcedure="false">'[80]plumbing discard'!#ref!</definedName>
    <definedName function="false" hidden="false" name="SUPRV" vbProcedure="false">'[45]electrical works'!#ref!</definedName>
    <definedName function="false" hidden="false" name="SUPRVSN" vbProcedure="false">'[46]PLUMBING INSTALLATION WORKS'!$N$6</definedName>
    <definedName function="false" hidden="false" name="SURGERY" vbProcedure="false">[47]surgery!#ref!</definedName>
    <definedName function="false" hidden="false" name="SURYA" vbProcedure="false">#REF!</definedName>
    <definedName function="false" hidden="false" name="swf" vbProcedure="false">#REF!</definedName>
    <definedName function="false" hidden="false" name="switch" vbProcedure="false">[99]switch!$A$1:$A$24</definedName>
    <definedName function="false" hidden="false" name="switchload" vbProcedure="false">[99]switch!$B$3:$B$27</definedName>
    <definedName function="false" hidden="false" name="swload" vbProcedure="false">[99]switch!$B$1:$B$24</definedName>
    <definedName function="false" hidden="false" name="SX" vbProcedure="false">'[68]Reinf taking off'!$AA$4</definedName>
    <definedName function="false" hidden="false" name="SXX" vbProcedure="false">'[68]Reinf taking off'!$E$1</definedName>
    <definedName function="false" hidden="false" name="SY_insurance" vbProcedure="false">#REF!</definedName>
    <definedName function="false" hidden="false" name="T" vbProcedure="false">#REF!</definedName>
    <definedName function="false" hidden="false" name="Table" vbProcedure="false">#REF!</definedName>
    <definedName function="false" hidden="false" name="table1" vbProcedure="false">#REF!</definedName>
    <definedName function="false" hidden="false" name="TABLE2" vbProcedure="false">#REF!</definedName>
    <definedName function="false" hidden="false" name="TableRange" vbProcedure="false">#REF!</definedName>
    <definedName function="false" hidden="false" name="TAMT" vbProcedure="false">#REF!</definedName>
    <definedName function="false" hidden="false" name="TARIFFS" vbProcedure="false">#REF!</definedName>
    <definedName function="false" hidden="false" name="TAXES" vbProcedure="false">'[100]WATERPROOFING BILL'!$O$3</definedName>
    <definedName function="false" hidden="false" name="TaxesMateriel" vbProcedure="false">[19]Equipments!$B$68</definedName>
    <definedName function="false" hidden="false" name="TaxesPeças" vbProcedure="false">[19]Equipments!$B$70</definedName>
    <definedName function="false" hidden="false" name="TCFA" vbProcedure="false">'[77]Detailed Budget Summary  '!$S$8</definedName>
    <definedName function="false" hidden="false" name="TDAY" vbProcedure="false">'[16]MECH BOQ'!$S$2</definedName>
    <definedName function="false" hidden="false" name="TECHI" vbProcedure="false">#REF!</definedName>
    <definedName function="false" hidden="false" name="TEE" vbProcedure="false">#REF!</definedName>
    <definedName function="false" hidden="false" name="telephonepoles" vbProcedure="false">#REF!</definedName>
    <definedName function="false" hidden="false" name="Tema" vbProcedure="false">#REF!</definedName>
    <definedName function="false" hidden="false" name="Temaaa" vbProcedure="false">#REF!</definedName>
    <definedName function="false" hidden="false" name="temp_strainer" vbProcedure="false">#REF!</definedName>
    <definedName function="false" hidden="false" name="TEs" vbProcedure="false">#REF!</definedName>
    <definedName function="false" hidden="false" name="TEs___0" vbProcedure="false">#REF!</definedName>
    <definedName function="false" hidden="false" name="TEs___13" vbProcedure="false">#REF!</definedName>
    <definedName function="false" hidden="false" name="TEt" vbProcedure="false">#REF!</definedName>
    <definedName function="false" hidden="false" name="TEt___0" vbProcedure="false">#REF!</definedName>
    <definedName function="false" hidden="false" name="TEt___13" vbProcedure="false">#REF!</definedName>
    <definedName function="false" hidden="false" name="TF" vbProcedure="false">#REF!</definedName>
    <definedName function="false" hidden="false" name="TH" vbProcedure="false">'[68]Reinf taking off'!$AA$7</definedName>
    <definedName function="false" hidden="false" name="THH" vbProcedure="false">[22]rates!#ref!</definedName>
    <definedName function="false" hidden="false" name="THK" vbProcedure="false">#REF!</definedName>
    <definedName function="false" hidden="false" name="Tilebacking" vbProcedure="false">#REF!</definedName>
    <definedName function="false" hidden="false" name="Tilegrout" vbProcedure="false">#REF!</definedName>
    <definedName function="false" hidden="false" name="Tiling" vbProcedure="false">#REF!</definedName>
    <definedName function="false" hidden="false" name="TITLE" vbProcedure="false">#REF!</definedName>
    <definedName function="false" hidden="false" name="Title1" vbProcedure="false">#REF!</definedName>
    <definedName function="false" hidden="false" name="Title2" vbProcedure="false">#REF!</definedName>
    <definedName function="false" hidden="false" name="titt" vbProcedure="false">[13]rates!#ref!</definedName>
    <definedName function="false" hidden="false" name="TLLPW" vbProcedure="false">#REF!</definedName>
    <definedName function="false" hidden="false" name="TMBPLA" vbProcedure="false">#REF!</definedName>
    <definedName function="false" hidden="false" name="TMBSCA" vbProcedure="false">#REF!</definedName>
    <definedName function="false" hidden="false" name="tn" vbProcedure="false">'[68]Reinf taking off'!$AA$2</definedName>
    <definedName function="false" hidden="false" name="TOL" vbProcedure="false">#REF!</definedName>
    <definedName function="false" hidden="false" name="tooling" vbProcedure="false">'[80]plumbing discard'!#ref!</definedName>
    <definedName function="false" hidden="false" name="top" vbProcedure="false">#REF!</definedName>
    <definedName function="false" hidden="false" name="topl" vbProcedure="false">#REF!</definedName>
    <definedName function="false" hidden="false" name="topn" vbProcedure="false">#REF!</definedName>
    <definedName function="false" hidden="false" name="TOTAL" vbProcedure="false">#NAME?</definedName>
    <definedName function="false" hidden="false" name="totalqtyfinal" vbProcedure="false">#REF!</definedName>
    <definedName function="false" hidden="false" name="TRADEMONTH" vbProcedure="false">[35]lab!$B$71</definedName>
    <definedName function="false" hidden="false" name="tredrer" vbProcedure="false">#REF!</definedName>
    <definedName function="false" hidden="false" name="trtygf" vbProcedure="false">[5]당초!#REF!</definedName>
    <definedName function="false" hidden="false" name="tryeioeuytyt" vbProcedure="false">#REF!</definedName>
    <definedName function="false" hidden="false" name="tS" vbProcedure="false">#REF!</definedName>
    <definedName function="false" hidden="false" name="tS___0" vbProcedure="false">#REF!</definedName>
    <definedName function="false" hidden="false" name="tS___13" vbProcedure="false">#REF!</definedName>
    <definedName function="false" hidden="false" name="tt" vbProcedure="false">#REF!</definedName>
    <definedName function="false" hidden="false" name="TUES1" vbProcedure="false">#REF!</definedName>
    <definedName function="false" hidden="false" name="TW" vbProcedure="false">'[68]Reinf taking off'!$AA$5</definedName>
    <definedName function="false" hidden="false" name="TWE" vbProcedure="false">'[68]Reinf taking off'!$AA$3</definedName>
    <definedName function="false" hidden="false" name="txtCustom1" vbProcedure="false">[39]Finishes!$H$3</definedName>
    <definedName function="false" hidden="false" name="txtCustom2" vbProcedure="false">[39]Finishes!$I$3</definedName>
    <definedName function="false" hidden="false" name="type" vbProcedure="false">#REF!</definedName>
    <definedName function="false" hidden="false" name="Type1" vbProcedure="false">#REF!</definedName>
    <definedName function="false" hidden="false" name="Type2" vbProcedure="false">#REF!</definedName>
    <definedName function="false" hidden="false" name="Type3" vbProcedure="false">#REF!</definedName>
    <definedName function="false" hidden="false" name="Type_Village" vbProcedure="false">#REF!</definedName>
    <definedName function="false" hidden="false" name="t___0" vbProcedure="false">#REF!</definedName>
    <definedName function="false" hidden="false" name="t___13" vbProcedure="false">#REF!</definedName>
    <definedName function="false" hidden="false" name="U.K." vbProcedure="false">'[2]graphic bill of quantities'!#ref!</definedName>
    <definedName function="false" hidden="false" name="U.S.A." vbProcedure="false">'[2]graphic bill of quantities'!#ref!</definedName>
    <definedName function="false" hidden="false" name="uh" vbProcedure="false">#REF!</definedName>
    <definedName function="false" hidden="false" name="UNICOD" vbProcedure="false">#REF!</definedName>
    <definedName function="false" hidden="false" name="UNION" vbProcedure="false">#REF!</definedName>
    <definedName function="false" hidden="false" name="Unit" vbProcedure="false">#REF!</definedName>
    <definedName function="false" hidden="false" name="UNITOVERLOAD" vbProcedure="false">'[101]Sheet1 (2)'!$I$5</definedName>
    <definedName function="false" hidden="false" name="UNITS" vbProcedure="false">#REF!</definedName>
    <definedName function="false" hidden="false" name="unsecured" vbProcedure="false">#REF!</definedName>
    <definedName function="false" hidden="false" name="updatedcfa" vbProcedure="false">'[44]G.Summary'!$G$1</definedName>
    <definedName function="false" hidden="false" name="updatedeuro" vbProcedure="false">'[44]G.Summary'!$H$1</definedName>
    <definedName function="false" hidden="false" name="UPLIFT" vbProcedure="false">'[2]graphic bill of quantities'!#ref!</definedName>
    <definedName function="false" hidden="false" name="UPVC" vbProcedure="false">'[31]FIRST FLOOR'!$V$5</definedName>
    <definedName function="false" hidden="false" name="Upvc1" vbProcedure="false">#REF!</definedName>
    <definedName function="false" hidden="false" name="USD" vbProcedure="false">'[102]SUPERSTR.BOQ'!$Y$1</definedName>
    <definedName function="false" hidden="false" name="USDC" vbProcedure="false">'[28]FIRST FLOOR'!$K$4</definedName>
    <definedName function="false" hidden="false" name="USDD" vbProcedure="false">[104]BUDGET!$AB$1</definedName>
    <definedName function="false" hidden="false" name="USDDD" vbProcedure="false">'[60]SUBSTR.BOQ (A) '!$M$5</definedName>
    <definedName function="false" hidden="false" name="USDT" vbProcedure="false">'[61]GEN. SUMMARY'!$X$2</definedName>
    <definedName function="false" hidden="false" name="USDTOEURO" vbProcedure="false">'[11]WAREHOUSE STRUCT. ONLY'!$AF$2</definedName>
    <definedName function="false" hidden="false" name="USDTOGH" vbProcedure="false">'[11]WAREHOUSE STRUCT. ONLY'!$AE$2</definedName>
    <definedName function="false" hidden="false" name="USD_CONTRACT_RATE" vbProcedure="false">'[103]POKUASE VILLA'!$F$3:$F$4</definedName>
    <definedName function="false" hidden="false" name="usd_exchange_rate" vbProcedure="false">#REF!</definedName>
    <definedName function="false" hidden="false" name="Use_Alternates" vbProcedure="false">#REF!</definedName>
    <definedName function="false" hidden="false" name="US_" vbProcedure="false">'[2]graphic bill of quantities'!#ref!</definedName>
    <definedName function="false" hidden="false" name="va" vbProcedure="false">#REF!</definedName>
    <definedName function="false" hidden="false" name="valprevious" vbProcedure="false">#REF!</definedName>
    <definedName function="false" hidden="false" name="Value" vbProcedure="false">#REF!</definedName>
    <definedName function="false" hidden="false" name="VANDEMATARAM" vbProcedure="false">#REF!</definedName>
    <definedName function="false" hidden="false" name="VARBRPAamount" vbProcedure="false">[84]VARBRPA!$C$1:$C$124</definedName>
    <definedName function="false" hidden="false" name="VARBRPACode" vbProcedure="false">[84]VARBRPA!$B$1:$B$124</definedName>
    <definedName function="false" hidden="false" name="variastion22" vbProcedure="false">#REF!</definedName>
    <definedName function="false" hidden="false" name="variation" vbProcedure="false">[105]rates!#ref!</definedName>
    <definedName function="false" hidden="false" name="variation2" vbProcedure="false">#REF!</definedName>
    <definedName function="false" hidden="false" name="variation22" vbProcedure="false">#REF!</definedName>
    <definedName function="false" hidden="false" name="VARWBRPAamount" vbProcedure="false">[84]VARWBRPA!$F$1:$F$50</definedName>
    <definedName function="false" hidden="false" name="VARWBRPAcode" vbProcedure="false">[84]VARWBRPA!$C$1:$C$50</definedName>
    <definedName function="false" hidden="false" name="vasu" vbProcedure="false">#REF!</definedName>
    <definedName function="false" hidden="false" name="vat" vbProcedure="false">#REF!</definedName>
    <definedName function="false" hidden="false" name="vatf" vbProcedure="false">#REF!</definedName>
    <definedName function="false" hidden="false" name="VAVMODUBOX" vbProcedure="false">'[2]graphic bill of quantities'!#ref!</definedName>
    <definedName function="false" hidden="false" name="va___0" vbProcedure="false">#REF!</definedName>
    <definedName function="false" hidden="false" name="va___13" vbProcedure="false">#REF!</definedName>
    <definedName function="false" hidden="false" name="VB" vbProcedure="false">#REF!</definedName>
    <definedName function="false" hidden="false" name="VBamount" vbProcedure="false">'[52]Var bill'!$D$5:$D$128</definedName>
    <definedName function="false" hidden="false" name="VBcode" vbProcedure="false">'[52]Var bill'!$A$5:$A$128</definedName>
    <definedName function="false" hidden="false" name="VD" vbProcedure="false">#REF!</definedName>
    <definedName function="false" hidden="false" name="Vend" vbProcedure="false">#REF!</definedName>
    <definedName function="false" hidden="false" name="vender_1500KVA" vbProcedure="false">#REF!</definedName>
    <definedName function="false" hidden="false" name="VENDOR" vbProcedure="false">#REF!</definedName>
    <definedName function="false" hidden="false" name="vendor_500KVA" vbProcedure="false">#REF!</definedName>
    <definedName function="false" hidden="false" name="vertical_col_and_corner_walls" vbProcedure="false">#REF!</definedName>
    <definedName function="false" hidden="false" name="Very_High" vbProcedure="false">'[106]SPEKTRALL (2)'!$B$9</definedName>
    <definedName function="false" hidden="false" name="Very_Low" vbProcedure="false">[14]ALLOWANCES!$F$8</definedName>
    <definedName function="false" hidden="false" name="Vf" vbProcedure="false">#REF!</definedName>
    <definedName function="false" hidden="false" name="VIVEKANANDA" vbProcedure="false">#REF!</definedName>
    <definedName function="false" hidden="false" name="VOLTS" vbProcedure="false">#REF!</definedName>
    <definedName function="false" hidden="false" name="volume" vbProcedure="false">[107]rates!#ref!</definedName>
    <definedName function="false" hidden="false" name="VRVINDOORDATA" vbProcedure="false">'[7]INPUT DATA SHEET'!$A$2:$F$10</definedName>
    <definedName function="false" hidden="false" name="Vsigma" vbProcedure="false">#REF!</definedName>
    <definedName function="false" hidden="false" name="vvs" vbProcedure="false">#REF!</definedName>
    <definedName function="false" hidden="false" name="vvv" vbProcedure="false">#REF!</definedName>
    <definedName function="false" hidden="false" name="Vz" vbProcedure="false">#REF!</definedName>
    <definedName function="false" hidden="false" name="W" vbProcedure="false">#REF!</definedName>
    <definedName function="false" hidden="false" name="WAGE" vbProcedure="false">[19]Labour!$A$9:$F$53</definedName>
    <definedName function="false" hidden="false" name="Wardrobes" vbProcedure="false">#REF!</definedName>
    <definedName function="false" hidden="false" name="WASTAGE" vbProcedure="false">#REF!</definedName>
    <definedName function="false" hidden="false" name="WASTE" vbProcedure="false">'[55]WASTE DISPOSAL'!$F$1491</definedName>
    <definedName function="false" hidden="false" name="WASTE_REBARS" vbProcedure="false">[94]DATA!$I$6</definedName>
    <definedName function="false" hidden="false" name="WATCHMONTH" vbProcedure="false">[35]lab!$B$363</definedName>
    <definedName function="false" hidden="false" name="watertank" vbProcedure="false">#REF!</definedName>
    <definedName function="false" hidden="false" name="wdf" vbProcedure="false">#REF!</definedName>
    <definedName function="false" hidden="false" name="WERERERERERE" vbProcedure="false">#REF!</definedName>
    <definedName function="false" hidden="false" name="weretdfd" vbProcedure="false">#REF!</definedName>
    <definedName function="false" hidden="false" name="wertfgr" vbProcedure="false">#REF!</definedName>
    <definedName function="false" hidden="false" name="wh" vbProcedure="false">#REF!</definedName>
    <definedName function="false" hidden="false" name="wid" vbProcedure="false">#REF!</definedName>
    <definedName function="false" hidden="false" name="wiin" vbProcedure="false">'[108]GROUND FLOOR  BOQ '!$D$70</definedName>
    <definedName function="false" hidden="false" name="WIN" vbProcedure="false">'[29]GROUND FLOOR '!$U$5</definedName>
    <definedName function="false" hidden="false" name="wina" vbProcedure="false">'[32]Window price'!$F$9</definedName>
    <definedName function="false" hidden="false" name="winb" vbProcedure="false">'[32]Window price'!$F$11</definedName>
    <definedName function="false" hidden="false" name="winc" vbProcedure="false">'[32]Window price'!$F$13</definedName>
    <definedName function="false" hidden="false" name="wind" vbProcedure="false">'[32]Window price'!$F$15</definedName>
    <definedName function="false" hidden="false" name="WINDOW" vbProcedure="false">'[44]GROUND FLOOR'!$E$58</definedName>
    <definedName function="false" hidden="false" name="wine" vbProcedure="false">'[32]Window price'!$F$17</definedName>
    <definedName function="false" hidden="false" name="winf" vbProcedure="false">'[32]Window price'!$F$19</definedName>
    <definedName function="false" hidden="false" name="wip" vbProcedure="false">#REF!</definedName>
    <definedName function="false" hidden="false" name="Wkshopblk" vbProcedure="false">#REF!</definedName>
    <definedName function="false" hidden="false" name="WLP" vbProcedure="false">#REF!</definedName>
    <definedName function="false" hidden="false" name="WOL" vbProcedure="false">#REF!</definedName>
    <definedName function="false" hidden="false" name="work" vbProcedure="false">#REF!</definedName>
    <definedName function="false" hidden="false" name="WP" vbProcedure="false">#REF!</definedName>
    <definedName function="false" hidden="false" name="wqe" vbProcedure="false">#REF!</definedName>
    <definedName function="false" hidden="true" name="wrn.AFRIBANK._.ELECTRICAL._.BILL._.by._.Effiong._.A.._.Uko." vbProcedure="false">{#N/A,#N/A,FALSE,"AFR-ELC"}</definedName>
    <definedName function="false" hidden="true" name="wrn.trial." vbProcedure="false">{#N/A,#N/A,FALSE,"mpph1";#N/A,#N/A,FALSE,"mpmseb";#N/A,#N/A,FALSE,"mpph2"}</definedName>
    <definedName function="false" hidden="false" name="WVBamount" vbProcedure="false">'[52]Water Var bill'!$D$5:$D$128</definedName>
    <definedName function="false" hidden="false" name="WVBcode" vbProcedure="false">'[52]Water Var bill'!$A$5:$A$128</definedName>
    <definedName function="false" hidden="false" name="www" vbProcedure="false">#REF!</definedName>
    <definedName function="false" hidden="false" name="WWWWWWWW" vbProcedure="false">#REF!</definedName>
    <definedName function="false" hidden="false" name="x" vbProcedure="false">#REF!</definedName>
    <definedName function="false" hidden="false" name="X01_246TPU_SİPARİŞ_Y___7__List" vbProcedure="false">#REF!</definedName>
    <definedName function="false" hidden="false" name="X980210_payment_printing_List" vbProcedure="false">#REF!</definedName>
    <definedName function="false" hidden="false" name="Xl" vbProcedure="false">#REF!</definedName>
    <definedName function="false" hidden="false" name="Xl___0" vbProcedure="false">#REF!</definedName>
    <definedName function="false" hidden="false" name="Xl___13" vbProcedure="false">#REF!</definedName>
    <definedName function="false" hidden="false" name="XR" vbProcedure="false">'[109]G.Summary'!$F$2</definedName>
    <definedName function="false" hidden="false" name="XXR" vbProcedure="false">'[29]GROUND FLOOR '!$Z$2</definedName>
    <definedName function="false" hidden="false" name="xxx" vbProcedure="false">#REF!</definedName>
    <definedName function="false" hidden="false" name="xxxxx" vbProcedure="false">#REF!</definedName>
    <definedName function="false" hidden="false" name="Y" vbProcedure="false">#REF!</definedName>
    <definedName function="false" hidden="false" name="yty" vbProcedure="false">#REF!</definedName>
    <definedName function="false" hidden="false" name="yuiopt" vbProcedure="false">#REF!</definedName>
    <definedName function="false" hidden="false" name="y_strainer" vbProcedure="false">#REF!</definedName>
    <definedName function="false" hidden="false" name="zitd" vbProcedure="false">#REF!</definedName>
    <definedName function="false" hidden="false" name="zl" vbProcedure="false">#REF!</definedName>
    <definedName function="false" hidden="false" name="zlpu" vbProcedure="false">#REF!</definedName>
    <definedName function="false" hidden="false" name="zlpu___0" vbProcedure="false">#REF!</definedName>
    <definedName function="false" hidden="false" name="zlpu___13" vbProcedure="false">#REF!</definedName>
    <definedName function="false" hidden="false" name="zl___0" vbProcedure="false">#REF!</definedName>
    <definedName function="false" hidden="false" name="zl___13" vbProcedure="false">#REF!</definedName>
    <definedName function="false" hidden="false" name="zs" vbProcedure="false">#REF!</definedName>
    <definedName function="false" hidden="false" name="zspu" vbProcedure="false">#REF!</definedName>
    <definedName function="false" hidden="false" name="zspu___0" vbProcedure="false">#REF!</definedName>
    <definedName function="false" hidden="false" name="zspu___13" vbProcedure="false">#REF!</definedName>
    <definedName function="false" hidden="false" name="ZSS" vbProcedure="false">#REF!</definedName>
    <definedName function="false" hidden="false" name="ZSS___0" vbProcedure="false">#REF!</definedName>
    <definedName function="false" hidden="false" name="ZSS___13" vbProcedure="false">#REF!</definedName>
    <definedName function="false" hidden="false" name="zs___0" vbProcedure="false">#REF!</definedName>
    <definedName function="false" hidden="false" name="zs___13" vbProcedure="false">#REF!</definedName>
    <definedName function="false" hidden="false" name="ztpu" vbProcedure="false">#REF!</definedName>
    <definedName function="false" hidden="false" name="ztpu___0" vbProcedure="false">#REF!</definedName>
    <definedName function="false" hidden="false" name="ztpu___13" vbProcedure="false">#REF!</definedName>
    <definedName function="false" hidden="false" name="ZY" vbProcedure="false">#REF!</definedName>
    <definedName function="false" hidden="false" name="ZY___0" vbProcedure="false">#REF!</definedName>
    <definedName function="false" hidden="false" name="ZY___13" vbProcedure="false">#REF!</definedName>
    <definedName function="false" hidden="false" name="zzz" vbProcedure="false">#REF!</definedName>
    <definedName function="false" hidden="false" name="\a" vbProcedure="false">#N/A</definedName>
    <definedName function="false" hidden="false" name="\m" vbProcedure="false">#N/A</definedName>
    <definedName function="false" hidden="false" name="\S" vbProcedure="false">'[1]schedule carrier spa'!#ref!</definedName>
    <definedName function="false" hidden="false" name="_" vbProcedure="false">'[2]graphic bill of quantities'!#ref!</definedName>
    <definedName function="false" hidden="false" name="_0" vbProcedure="false">#REF!</definedName>
    <definedName function="false" hidden="false" name="_0___0" vbProcedure="false">#REF!</definedName>
    <definedName function="false" hidden="false" name="_1" vbProcedure="false">[5]당초!#REF!</definedName>
    <definedName function="false" hidden="false" name="_10_Excel_BuiltIn_Print_Area_1_1_1_1" vbProcedure="false">#REF!</definedName>
    <definedName function="false" hidden="false" name="_11" vbProcedure="false">#REF!</definedName>
    <definedName function="false" hidden="false" name="_11Excel_BuiltIn_Print_Area_1_1_1" vbProcedure="false">#REF!</definedName>
    <definedName function="false" hidden="false" name="_12Excel_BuiltIn_Print_Area_1_1_1_1" vbProcedure="false">#REF!</definedName>
    <definedName function="false" hidden="false" name="_1_____Excel_BuiltIn_Print_Area_1_1_1" vbProcedure="false">#REF!</definedName>
    <definedName function="false" hidden="false" name="_2" vbProcedure="false">[5]당초!#REF!</definedName>
    <definedName function="false" hidden="false" name="_22" vbProcedure="false">#REF!</definedName>
    <definedName function="false" hidden="false" name="_27Certificate_Printout" vbProcedure="false">#REF!</definedName>
    <definedName function="false" hidden="false" name="_2_____Excel_BuiltIn_Print_Area_1_1_1_1" vbProcedure="false">#REF!</definedName>
    <definedName function="false" hidden="false" name="_3" vbProcedure="false">#REF!</definedName>
    <definedName function="false" hidden="false" name="_3____Excel_BuiltIn_Print_Area_1_1_1" vbProcedure="false">#REF!</definedName>
    <definedName function="false" hidden="false" name="_4" vbProcedure="false">#REF!</definedName>
    <definedName function="false" hidden="false" name="_44" vbProcedure="false">#REF!</definedName>
    <definedName function="false" hidden="false" name="_4____Excel_BuiltIn_Print_Area_1_1_1_1" vbProcedure="false">#REF!</definedName>
    <definedName function="false" hidden="false" name="_5.0_Hire_and_running_charges_of_winch___grab" vbProcedure="false">#REF!</definedName>
    <definedName function="false" hidden="false" name="_54Certificate_Turnaround" vbProcedure="false">#REF!</definedName>
    <definedName function="false" hidden="false" name="_55" vbProcedure="false">#REF!</definedName>
    <definedName function="false" hidden="false" name="_555" vbProcedure="false">#REF!</definedName>
    <definedName function="false" hidden="false" name="_5___Excel_BuiltIn_Print_Area_1_1_1" vbProcedure="false">#REF!</definedName>
    <definedName function="false" hidden="false" name="_6___Excel_BuiltIn_Print_Area_1_1_1_1" vbProcedure="false">#REF!</definedName>
    <definedName function="false" hidden="false" name="_7__Excel_BuiltIn_Print_Area_1_1_1" vbProcedure="false">#REF!</definedName>
    <definedName function="false" hidden="false" name="_8__Excel_BuiltIn_Print_Area_1_1_1_1" vbProcedure="false">#REF!</definedName>
    <definedName function="false" hidden="false" name="_96.12.30" vbProcedure="false">#REF!</definedName>
    <definedName function="false" hidden="false" name="_9_Excel_BuiltIn_Print_Area_1_1_1" vbProcedure="false">#REF!</definedName>
    <definedName function="false" hidden="false" name="_A655600" vbProcedure="false">#REF!</definedName>
    <definedName function="false" hidden="false" name="_aaa5" vbProcedure="false">#REF!</definedName>
    <definedName function="false" hidden="false" name="_aoc1" vbProcedure="false">#REF!</definedName>
    <definedName function="false" hidden="false" name="_aoc10" vbProcedure="false">#REF!</definedName>
    <definedName function="false" hidden="false" name="_aoc11" vbProcedure="false">#REF!</definedName>
    <definedName function="false" hidden="false" name="_aoc2" vbProcedure="false">#REF!</definedName>
    <definedName function="false" hidden="false" name="_aoc3" vbProcedure="false">#REF!</definedName>
    <definedName function="false" hidden="false" name="_aoc4" vbProcedure="false">#REF!</definedName>
    <definedName function="false" hidden="false" name="_aoc7" vbProcedure="false">#REF!</definedName>
    <definedName function="false" hidden="false" name="_aoc8" vbProcedure="false">#REF!</definedName>
    <definedName function="false" hidden="false" name="_aoc9" vbProcedure="false">#REF!</definedName>
    <definedName function="false" hidden="false" name="_b111121" vbProcedure="false">#REF!</definedName>
    <definedName function="false" hidden="false" name="_bol1" vbProcedure="false">#REF!</definedName>
    <definedName function="false" hidden="true" name="_BOQ3" vbProcedure="false">{#N/A,#N/A,FALSE,"mpph1";#N/A,#N/A,FALSE,"mpmseb";#N/A,#N/A,FALSE,"mpph2"}</definedName>
    <definedName function="false" hidden="false" name="_C" vbProcedure="false">#REF!</definedName>
    <definedName function="false" hidden="false" name="_can430" vbProcedure="false">40.73</definedName>
    <definedName function="false" hidden="false" name="_can435" vbProcedure="false">43.3</definedName>
    <definedName function="false" hidden="false" name="_CY53__" vbProcedure="false">#REF!</definedName>
    <definedName function="false" hidden="false" name="_C___0" vbProcedure="false">#REF!</definedName>
    <definedName function="false" hidden="false" name="_C___13" vbProcedure="false">#REF!</definedName>
    <definedName function="false" hidden="false" name="_dim4" vbProcedure="false">#REF!</definedName>
    <definedName function="false" hidden="false" name="_ELL45" vbProcedure="false">#REF!</definedName>
    <definedName function="false" hidden="false" name="_ELL90" vbProcedure="false">#REF!</definedName>
    <definedName function="false" hidden="false" name="_exc1" vbProcedure="false">#REF!</definedName>
    <definedName function="false" hidden="false" name="_exc11" vbProcedure="false">#REF!</definedName>
    <definedName function="false" hidden="false" name="_exc2" vbProcedure="false">#REF!</definedName>
    <definedName function="false" hidden="false" name="_EXC3" vbProcedure="false">#REF!</definedName>
    <definedName function="false" hidden="false" name="_EXC4" vbProcedure="false">#REF!</definedName>
    <definedName function="false" hidden="true" name="_Fill" vbProcedure="false">'[6]wt-list'!#ref!</definedName>
    <definedName function="false" hidden="false" name="_foo1" vbProcedure="false">#REF!</definedName>
    <definedName function="false" hidden="false" name="_foo2" vbProcedure="false">#REF!</definedName>
    <definedName function="false" hidden="false" name="_foo3" vbProcedure="false">#REF!</definedName>
    <definedName function="false" hidden="false" name="_FOO4" vbProcedure="false">#REF!</definedName>
    <definedName function="false" hidden="false" name="_GOTO_I10_" vbProcedure="false">#REF!</definedName>
    <definedName function="false" hidden="true" name="_Key1" vbProcedure="false">'[6]wt-list'!#ref!</definedName>
    <definedName function="false" hidden="false" name="_Ki1" vbProcedure="false">#REF!</definedName>
    <definedName function="false" hidden="false" name="_Ki2" vbProcedure="false">#REF!</definedName>
    <definedName function="false" hidden="false" name="_lb1" vbProcedure="false">#REF!</definedName>
    <definedName function="false" hidden="false" name="_lb2" vbProcedure="false">#REF!</definedName>
    <definedName function="false" hidden="false" name="_LM3" vbProcedure="false">'[2]INPUT DATA'!$B$160</definedName>
    <definedName function="false" hidden="false" name="_LM4" vbProcedure="false">'[2]INPUT DATA'!$B$161</definedName>
    <definedName function="false" hidden="false" name="_LM5" vbProcedure="false">'[2]INPUT DATA'!$B$200</definedName>
    <definedName function="false" hidden="false" name="_MAN1" vbProcedure="false">#REF!</definedName>
    <definedName function="false" hidden="false" name="_mm1" vbProcedure="false">#REF!</definedName>
    <definedName function="false" hidden="false" name="_mm2" vbProcedure="false">#REF!</definedName>
    <definedName function="false" hidden="false" name="_mm3" vbProcedure="false">#REF!</definedName>
    <definedName function="false" hidden="true" name="_Order1" vbProcedure="false">255</definedName>
    <definedName function="false" hidden="true" name="_Order2" vbProcedure="false">255</definedName>
    <definedName function="false" hidden="false" name="_PB1" vbProcedure="false">#REF!</definedName>
    <definedName function="false" hidden="false" name="_pcc1" vbProcedure="false">#REF!</definedName>
    <definedName function="false" hidden="false" name="_pcc2" vbProcedure="false">#REF!</definedName>
    <definedName function="false" hidden="false" name="_pcc3" vbProcedure="false">#REF!</definedName>
    <definedName function="false" hidden="false" name="_PCC4" vbProcedure="false">#REF!</definedName>
    <definedName function="false" hidden="false" name="_plb1" vbProcedure="false">#REF!</definedName>
    <definedName function="false" hidden="false" name="_plb2" vbProcedure="false">#REF!</definedName>
    <definedName function="false" hidden="false" name="_plb3" vbProcedure="false">#REF!</definedName>
    <definedName function="false" hidden="false" name="_plb4" vbProcedure="false">#REF!</definedName>
    <definedName function="false" hidden="false" name="_PPRN3..AF242" vbProcedure="false">#REF!</definedName>
    <definedName function="false" hidden="false" name="_RE100" vbProcedure="false">#REF!</definedName>
    <definedName function="false" hidden="false" name="_RE104" vbProcedure="false">#REF!</definedName>
    <definedName function="false" hidden="false" name="_RE112" vbProcedure="false">#REF!</definedName>
    <definedName function="false" hidden="false" name="_RE26" vbProcedure="false">#REF!</definedName>
    <definedName function="false" hidden="false" name="_RE28" vbProcedure="false">#REF!</definedName>
    <definedName function="false" hidden="false" name="_RE30" vbProcedure="false">#REF!</definedName>
    <definedName function="false" hidden="false" name="_RE32" vbProcedure="false">#REF!</definedName>
    <definedName function="false" hidden="false" name="_RE34" vbProcedure="false">#REF!</definedName>
    <definedName function="false" hidden="false" name="_RE36" vbProcedure="false">#REF!</definedName>
    <definedName function="false" hidden="false" name="_RE38" vbProcedure="false">#REF!</definedName>
    <definedName function="false" hidden="false" name="_RE40" vbProcedure="false">#REF!</definedName>
    <definedName function="false" hidden="false" name="_RE42" vbProcedure="false">#REF!</definedName>
    <definedName function="false" hidden="false" name="_RE44" vbProcedure="false">#REF!</definedName>
    <definedName function="false" hidden="false" name="_RE48" vbProcedure="false">#REF!</definedName>
    <definedName function="false" hidden="false" name="_RE52" vbProcedure="false">#REF!</definedName>
    <definedName function="false" hidden="false" name="_RE56" vbProcedure="false">#REF!</definedName>
    <definedName function="false" hidden="false" name="_RE60" vbProcedure="false">#REF!</definedName>
    <definedName function="false" hidden="false" name="_RE64" vbProcedure="false">#REF!</definedName>
    <definedName function="false" hidden="false" name="_RE68" vbProcedure="false">#REF!</definedName>
    <definedName function="false" hidden="false" name="_RE72" vbProcedure="false">#REF!</definedName>
    <definedName function="false" hidden="false" name="_RE76" vbProcedure="false">#REF!</definedName>
    <definedName function="false" hidden="false" name="_RE80" vbProcedure="false">#REF!</definedName>
    <definedName function="false" hidden="false" name="_RE88" vbProcedure="false">#REF!</definedName>
    <definedName function="false" hidden="false" name="_RE92" vbProcedure="false">#REF!</definedName>
    <definedName function="false" hidden="false" name="_RE96" vbProcedure="false">#REF!</definedName>
    <definedName function="false" hidden="false" name="_rim4" vbProcedure="false">#REF!</definedName>
    <definedName function="false" hidden="false" name="_rm4" vbProcedure="false">#REF!</definedName>
    <definedName function="false" hidden="false" name="_RVAE306___DOWN" vbProcedure="false">#REF!</definedName>
    <definedName function="false" hidden="false" name="_RVAE358___DOWN" vbProcedure="false">#REF!</definedName>
    <definedName function="false" hidden="false" name="_RVAE395___DOWN" vbProcedure="false">#REF!</definedName>
    <definedName function="false" hidden="false" name="_RVY53..AE53__" vbProcedure="false">#REF!</definedName>
    <definedName function="false" hidden="false" name="_SH1" vbProcedure="false">#REF!</definedName>
    <definedName function="false" hidden="false" name="_SH2" vbProcedure="false">#REF!</definedName>
    <definedName function="false" hidden="false" name="_SH3" vbProcedure="false">#REF!</definedName>
    <definedName function="false" hidden="false" name="_SH4" vbProcedure="false">#REF!</definedName>
    <definedName function="false" hidden="false" name="_SH5" vbProcedure="false">#REF!</definedName>
    <definedName function="false" hidden="false" name="_SM1" vbProcedure="false">'[7]INPUT DATA SHEET'!$B$19</definedName>
    <definedName function="false" hidden="false" name="_SM2" vbProcedure="false">'[7]INPUT DATA SHEET'!$B$20</definedName>
    <definedName function="false" hidden="false" name="_SM3" vbProcedure="false">'[7]INPUT DATA SHEET'!$B$21</definedName>
    <definedName function="false" hidden="false" name="_SM4" vbProcedure="false">'[7]INPUT DATA SHEET'!$B$22</definedName>
    <definedName function="false" hidden="false" name="_SM6" vbProcedure="false">'[7]INPUT DATA SHEET'!$B$23</definedName>
    <definedName function="false" hidden="false" name="_SM7" vbProcedure="false">'[7]INPUT DATA SHEET'!$B$25</definedName>
    <definedName function="false" hidden="false" name="_Sort" vbProcedure="false">#REF!</definedName>
    <definedName function="false" hidden="false" name="_TB2" vbProcedure="false">#REF!</definedName>
    <definedName function="false" hidden="false" name="_tot1" vbProcedure="false">#REF!</definedName>
    <definedName function="false" hidden="false" name="_tot10" vbProcedure="false">#REF!</definedName>
    <definedName function="false" hidden="false" name="_tot11" vbProcedure="false">#REF!</definedName>
    <definedName function="false" hidden="false" name="_tot12" vbProcedure="false">#REF!</definedName>
    <definedName function="false" hidden="false" name="_tot2" vbProcedure="false">#REF!</definedName>
    <definedName function="false" hidden="false" name="_tot3" vbProcedure="false">#REF!</definedName>
    <definedName function="false" hidden="false" name="_tot4" vbProcedure="false">#REF!</definedName>
    <definedName function="false" hidden="false" name="_tot5" vbProcedure="false">#REF!</definedName>
    <definedName function="false" hidden="false" name="_tot6" vbProcedure="false">#REF!</definedName>
    <definedName function="false" hidden="false" name="_tot7" vbProcedure="false">#REF!</definedName>
    <definedName function="false" hidden="false" name="_tot70" vbProcedure="false">#REF!</definedName>
    <definedName function="false" hidden="false" name="_tot8" vbProcedure="false">#REF!</definedName>
    <definedName function="false" hidden="false" name="_tot9" vbProcedure="false">#REF!</definedName>
    <definedName function="false" hidden="false" name="_TTL1" vbProcedure="false">#REF!</definedName>
    <definedName function="false" hidden="false" name="_TTL2" vbProcedure="false">#REF!</definedName>
    <definedName function="false" hidden="false" name="_TTL3" vbProcedure="false">#REF!</definedName>
    <definedName function="false" hidden="false" name="_TTL4" vbProcedure="false">#REF!</definedName>
    <definedName function="false" hidden="false" name="_TTL5" vbProcedure="false">#REF!</definedName>
    <definedName function="false" hidden="false" name="_TTL6" vbProcedure="false">#REF!</definedName>
    <definedName function="false" hidden="false" name="_WGZY_" vbProcedure="false">#REF!</definedName>
    <definedName function="false" hidden="false" name="_xlnm.Database" vbProcedure="false">#REF!</definedName>
    <definedName function="false" hidden="false" name="__aaa5" vbProcedure="false">#REF!</definedName>
    <definedName function="false" hidden="false" name="__aoc10" vbProcedure="false">#REF!</definedName>
    <definedName function="false" hidden="false" name="__aoc11" vbProcedure="false">#REF!</definedName>
    <definedName function="false" hidden="false" name="__aoc2" vbProcedure="false">#REF!</definedName>
    <definedName function="false" hidden="false" name="__aoc3" vbProcedure="false">#REF!</definedName>
    <definedName function="false" hidden="false" name="__aoc4" vbProcedure="false">#REF!</definedName>
    <definedName function="false" hidden="false" name="__aoc7" vbProcedure="false">#REF!</definedName>
    <definedName function="false" hidden="false" name="__aoc8" vbProcedure="false">#REF!</definedName>
    <definedName function="false" hidden="false" name="__aoc9" vbProcedure="false">#REF!</definedName>
    <definedName function="false" hidden="false" name="__b111121" vbProcedure="false">#REF!</definedName>
    <definedName function="false" hidden="true" name="__BOQ3" vbProcedure="false">{#N/A,#N/A,FALSE,"mpph1";#N/A,#N/A,FALSE,"mpmseb";#N/A,#N/A,FALSE,"mpph2"}</definedName>
    <definedName function="false" hidden="false" name="__dim4" vbProcedure="false">#REF!</definedName>
    <definedName function="false" hidden="false" name="__exc1" vbProcedure="false">#REF!</definedName>
    <definedName function="false" hidden="false" name="__exc11" vbProcedure="false">#REF!</definedName>
    <definedName function="false" hidden="false" name="__exc2" vbProcedure="false">#REF!</definedName>
    <definedName function="false" hidden="false" name="__EXC3" vbProcedure="false">#REF!</definedName>
    <definedName function="false" hidden="false" name="__EXC4" vbProcedure="false">#REF!</definedName>
    <definedName function="false" hidden="false" name="__foo1" vbProcedure="false">#REF!</definedName>
    <definedName function="false" hidden="false" name="__foo2" vbProcedure="false">#REF!</definedName>
    <definedName function="false" hidden="false" name="__foo3" vbProcedure="false">#REF!</definedName>
    <definedName function="false" hidden="false" name="__FOO4" vbProcedure="false">#REF!</definedName>
    <definedName function="false" hidden="true" name="__IntlFixup" vbProcedure="false">TRUE()</definedName>
    <definedName function="false" hidden="false" name="__Ki1" vbProcedure="false">#REF!</definedName>
    <definedName function="false" hidden="false" name="__Ki2" vbProcedure="false">#REF!</definedName>
    <definedName function="false" hidden="false" name="__MAN1" vbProcedure="false">#REF!</definedName>
    <definedName function="false" hidden="false" name="__PB1" vbProcedure="false">#REF!</definedName>
    <definedName function="false" hidden="false" name="__pcc1" vbProcedure="false">#REF!</definedName>
    <definedName function="false" hidden="false" name="__pcc2" vbProcedure="false">#REF!</definedName>
    <definedName function="false" hidden="false" name="__pcc3" vbProcedure="false">#REF!</definedName>
    <definedName function="false" hidden="false" name="__PCC4" vbProcedure="false">#REF!</definedName>
    <definedName function="false" hidden="false" name="__plb1" vbProcedure="false">#REF!</definedName>
    <definedName function="false" hidden="false" name="__plb2" vbProcedure="false">#REF!</definedName>
    <definedName function="false" hidden="false" name="__plb3" vbProcedure="false">#REF!</definedName>
    <definedName function="false" hidden="false" name="__plb4" vbProcedure="false">#REF!</definedName>
    <definedName function="false" hidden="false" name="__rm4" vbProcedure="false">#REF!</definedName>
    <definedName function="false" hidden="false" name="__SM1" vbProcedure="false">'[3]INPUT DATA SHEET'!$B$19</definedName>
    <definedName function="false" hidden="false" name="__SM2" vbProcedure="false">'[3]INPUT DATA SHEET'!$B$20</definedName>
    <definedName function="false" hidden="false" name="__SM3" vbProcedure="false">'[3]INPUT DATA SHEET'!$B$21</definedName>
    <definedName function="false" hidden="false" name="__SM4" vbProcedure="false">'[3]INPUT DATA SHEET'!$B$22</definedName>
    <definedName function="false" hidden="false" name="__SM6" vbProcedure="false">'[3]INPUT DATA SHEET'!$B$23</definedName>
    <definedName function="false" hidden="false" name="__SM7" vbProcedure="false">'[3]INPUT DATA SHEET'!$B$25</definedName>
    <definedName function="false" hidden="false" name="__TB2" vbProcedure="false">#REF!</definedName>
    <definedName function="false" hidden="false" name="__tot12" vbProcedure="false">'[4]bill no. 6'!#ref!</definedName>
    <definedName function="false" hidden="false" name="__tot2" vbProcedure="false">#REF!</definedName>
    <definedName function="false" hidden="false" name="__TTL1" vbProcedure="false">#REF!</definedName>
    <definedName function="false" hidden="false" name="__TTL2" vbProcedure="false">#REF!</definedName>
    <definedName function="false" hidden="false" name="__TTL3" vbProcedure="false">#REF!</definedName>
    <definedName function="false" hidden="false" name="__TTL4" vbProcedure="false">#REF!</definedName>
    <definedName function="false" hidden="false" name="__TTL5" vbProcedure="false">#REF!</definedName>
    <definedName function="false" hidden="false" name="__TTL6" vbProcedure="false">#REF!</definedName>
    <definedName function="false" hidden="false" name="___aaa5" vbProcedure="false">#REF!</definedName>
    <definedName function="false" hidden="false" name="___b111121" vbProcedure="false">#REF!</definedName>
    <definedName function="false" hidden="false" name="___dim4" vbProcedure="false">#REF!</definedName>
    <definedName function="false" hidden="false" name="___exc1" vbProcedure="false">#REF!</definedName>
    <definedName function="false" hidden="false" name="___exc11" vbProcedure="false">#REF!</definedName>
    <definedName function="false" hidden="false" name="___exc2" vbProcedure="false">#REF!</definedName>
    <definedName function="false" hidden="false" name="___EXC3" vbProcedure="false">#REF!</definedName>
    <definedName function="false" hidden="false" name="___EXC4" vbProcedure="false">#REF!</definedName>
    <definedName function="false" hidden="false" name="___foo1" vbProcedure="false">#REF!</definedName>
    <definedName function="false" hidden="false" name="___foo2" vbProcedure="false">#REF!</definedName>
    <definedName function="false" hidden="false" name="___foo3" vbProcedure="false">#REF!</definedName>
    <definedName function="false" hidden="false" name="___FOO4" vbProcedure="false">#REF!</definedName>
    <definedName function="false" hidden="false" name="___Ki1" vbProcedure="false">#REF!</definedName>
    <definedName function="false" hidden="false" name="___Ki2" vbProcedure="false">#REF!</definedName>
    <definedName function="false" hidden="false" name="___MAN1" vbProcedure="false">#REF!</definedName>
    <definedName function="false" hidden="false" name="___PB1" vbProcedure="false">#REF!</definedName>
    <definedName function="false" hidden="false" name="___pcc1" vbProcedure="false">#REF!</definedName>
    <definedName function="false" hidden="false" name="___pcc2" vbProcedure="false">#REF!</definedName>
    <definedName function="false" hidden="false" name="___pcc3" vbProcedure="false">#REF!</definedName>
    <definedName function="false" hidden="false" name="___PCC4" vbProcedure="false">#REF!</definedName>
    <definedName function="false" hidden="false" name="___plb1" vbProcedure="false">#REF!</definedName>
    <definedName function="false" hidden="false" name="___plb2" vbProcedure="false">#REF!</definedName>
    <definedName function="false" hidden="false" name="___plb3" vbProcedure="false">#REF!</definedName>
    <definedName function="false" hidden="false" name="___plb4" vbProcedure="false">#REF!</definedName>
    <definedName function="false" hidden="false" name="___rm4" vbProcedure="false">#REF!</definedName>
    <definedName function="false" hidden="false" name="___SM1" vbProcedure="false">'[3]INPUT DATA SHEET'!$B$19</definedName>
    <definedName function="false" hidden="false" name="___SM2" vbProcedure="false">'[3]INPUT DATA SHEET'!$B$20</definedName>
    <definedName function="false" hidden="false" name="___SM3" vbProcedure="false">'[3]INPUT DATA SHEET'!$B$21</definedName>
    <definedName function="false" hidden="false" name="___SM4" vbProcedure="false">'[3]INPUT DATA SHEET'!$B$22</definedName>
    <definedName function="false" hidden="false" name="___SM6" vbProcedure="false">'[3]INPUT DATA SHEET'!$B$23</definedName>
    <definedName function="false" hidden="false" name="___SM7" vbProcedure="false">'[3]INPUT DATA SHEET'!$B$25</definedName>
    <definedName function="false" hidden="false" name="___TB2" vbProcedure="false">#REF!</definedName>
    <definedName function="false" hidden="false" name="___tot2" vbProcedure="false">#REF!</definedName>
    <definedName function="false" hidden="false" name="___TTL1" vbProcedure="false">#REF!</definedName>
    <definedName function="false" hidden="false" name="___TTL2" vbProcedure="false">#REF!</definedName>
    <definedName function="false" hidden="false" name="___TTL3" vbProcedure="false">#REF!</definedName>
    <definedName function="false" hidden="false" name="___TTL4" vbProcedure="false">#REF!</definedName>
    <definedName function="false" hidden="false" name="___TTL5" vbProcedure="false">#REF!</definedName>
    <definedName function="false" hidden="false" name="___TTL6" vbProcedure="false">#REF!</definedName>
    <definedName function="false" hidden="false" name="____b111121" vbProcedure="false">#REF!</definedName>
    <definedName function="false" hidden="true" name="____BOQ3" vbProcedure="false">{#N/A,#N/A,FALSE,"mpph1";#N/A,#N/A,FALSE,"mpmseb";#N/A,#N/A,FALSE,"mpph2"}</definedName>
    <definedName function="false" hidden="false" name="____dim4" vbProcedure="false">#REF!</definedName>
    <definedName function="false" hidden="false" name="____exc1" vbProcedure="false">#REF!</definedName>
    <definedName function="false" hidden="false" name="____exc11" vbProcedure="false">#REF!</definedName>
    <definedName function="false" hidden="false" name="____exc2" vbProcedure="false">#REF!</definedName>
    <definedName function="false" hidden="false" name="____EXC3" vbProcedure="false">#REF!</definedName>
    <definedName function="false" hidden="false" name="____EXC4" vbProcedure="false">#REF!</definedName>
    <definedName function="false" hidden="false" name="____foo1" vbProcedure="false">#REF!</definedName>
    <definedName function="false" hidden="false" name="____foo2" vbProcedure="false">#REF!</definedName>
    <definedName function="false" hidden="false" name="____foo3" vbProcedure="false">#REF!</definedName>
    <definedName function="false" hidden="false" name="____FOO4" vbProcedure="false">#REF!</definedName>
    <definedName function="false" hidden="false" name="____Ki1" vbProcedure="false">#REF!</definedName>
    <definedName function="false" hidden="false" name="____Ki2" vbProcedure="false">#REF!</definedName>
    <definedName function="false" hidden="false" name="____MAN1" vbProcedure="false">#REF!</definedName>
    <definedName function="false" hidden="false" name="____PB1" vbProcedure="false">#REF!</definedName>
    <definedName function="false" hidden="false" name="____pcc1" vbProcedure="false">#REF!</definedName>
    <definedName function="false" hidden="false" name="____pcc2" vbProcedure="false">#REF!</definedName>
    <definedName function="false" hidden="false" name="____pcc3" vbProcedure="false">#REF!</definedName>
    <definedName function="false" hidden="false" name="____PCC4" vbProcedure="false">#REF!</definedName>
    <definedName function="false" hidden="false" name="____plb1" vbProcedure="false">#REF!</definedName>
    <definedName function="false" hidden="false" name="____plb2" vbProcedure="false">#REF!</definedName>
    <definedName function="false" hidden="false" name="____plb3" vbProcedure="false">#REF!</definedName>
    <definedName function="false" hidden="false" name="____plb4" vbProcedure="false">#REF!</definedName>
    <definedName function="false" hidden="false" name="____rm4" vbProcedure="false">#REF!</definedName>
    <definedName function="false" hidden="false" name="____SM1" vbProcedure="false">'[3]INPUT DATA SHEET'!$B$19</definedName>
    <definedName function="false" hidden="false" name="____SM2" vbProcedure="false">'[3]INPUT DATA SHEET'!$B$20</definedName>
    <definedName function="false" hidden="false" name="____SM3" vbProcedure="false">'[3]INPUT DATA SHEET'!$B$21</definedName>
    <definedName function="false" hidden="false" name="____SM4" vbProcedure="false">'[3]INPUT DATA SHEET'!$B$22</definedName>
    <definedName function="false" hidden="false" name="____SM6" vbProcedure="false">'[3]INPUT DATA SHEET'!$B$23</definedName>
    <definedName function="false" hidden="false" name="____SM7" vbProcedure="false">'[3]INPUT DATA SHEET'!$B$25</definedName>
    <definedName function="false" hidden="false" name="____TB2" vbProcedure="false">#REF!</definedName>
    <definedName function="false" hidden="false" name="____tot2" vbProcedure="false">#REF!</definedName>
    <definedName function="false" hidden="false" name="_____b111121" vbProcedure="false">#REF!</definedName>
    <definedName function="false" hidden="true" name="_____BOQ3" vbProcedure="false">{#N/A,#N/A,FALSE,"mpph1";#N/A,#N/A,FALSE,"mpmseb";#N/A,#N/A,FALSE,"mpph2"}</definedName>
    <definedName function="false" hidden="false" name="_____dim4" vbProcedure="false">#REF!</definedName>
    <definedName function="false" hidden="false" name="_____exc1" vbProcedure="false">#REF!</definedName>
    <definedName function="false" hidden="false" name="_____exc11" vbProcedure="false">#REF!</definedName>
    <definedName function="false" hidden="false" name="_____exc2" vbProcedure="false">#REF!</definedName>
    <definedName function="false" hidden="false" name="_____EXC3" vbProcedure="false">#REF!</definedName>
    <definedName function="false" hidden="false" name="_____EXC4" vbProcedure="false">#REF!</definedName>
    <definedName function="false" hidden="false" name="_____foo1" vbProcedure="false">#REF!</definedName>
    <definedName function="false" hidden="false" name="_____foo2" vbProcedure="false">#REF!</definedName>
    <definedName function="false" hidden="false" name="_____foo3" vbProcedure="false">#REF!</definedName>
    <definedName function="false" hidden="false" name="_____FOO4" vbProcedure="false">#REF!</definedName>
    <definedName function="false" hidden="false" name="_____Ki1" vbProcedure="false">#REF!</definedName>
    <definedName function="false" hidden="false" name="_____Ki2" vbProcedure="false">#REF!</definedName>
    <definedName function="false" hidden="false" name="_____MAN1" vbProcedure="false">#REF!</definedName>
    <definedName function="false" hidden="false" name="_____PB1" vbProcedure="false">#REF!</definedName>
    <definedName function="false" hidden="false" name="_____pcc1" vbProcedure="false">#REF!</definedName>
    <definedName function="false" hidden="false" name="_____pcc2" vbProcedure="false">#REF!</definedName>
    <definedName function="false" hidden="false" name="_____pcc3" vbProcedure="false">#REF!</definedName>
    <definedName function="false" hidden="false" name="_____PCC4" vbProcedure="false">#REF!</definedName>
    <definedName function="false" hidden="false" name="_____plb1" vbProcedure="false">#REF!</definedName>
    <definedName function="false" hidden="false" name="_____plb2" vbProcedure="false">#REF!</definedName>
    <definedName function="false" hidden="false" name="_____plb3" vbProcedure="false">#REF!</definedName>
    <definedName function="false" hidden="false" name="_____plb4" vbProcedure="false">#REF!</definedName>
    <definedName function="false" hidden="false" name="_____rm4" vbProcedure="false">#REF!</definedName>
    <definedName function="false" hidden="false" name="_____SM1" vbProcedure="false">'[3]INPUT DATA SHEET'!$B$19</definedName>
    <definedName function="false" hidden="false" name="_____SM2" vbProcedure="false">'[3]INPUT DATA SHEET'!$B$20</definedName>
    <definedName function="false" hidden="false" name="_____SM3" vbProcedure="false">'[3]INPUT DATA SHEET'!$B$21</definedName>
    <definedName function="false" hidden="false" name="_____SM4" vbProcedure="false">'[3]INPUT DATA SHEET'!$B$22</definedName>
    <definedName function="false" hidden="false" name="_____SM6" vbProcedure="false">'[3]INPUT DATA SHEET'!$B$23</definedName>
    <definedName function="false" hidden="false" name="_____SM7" vbProcedure="false">'[3]INPUT DATA SHEET'!$B$25</definedName>
    <definedName function="false" hidden="false" name="_____TB2" vbProcedure="false">#REF!</definedName>
    <definedName function="false" hidden="false" name="_____tot2" vbProcedure="false">#REF!</definedName>
    <definedName function="false" hidden="false" name="______b111121" vbProcedure="false">#REF!</definedName>
    <definedName function="false" hidden="true" name="______BOQ3" vbProcedure="false">{#N/A,#N/A,FALSE,"mpph1";#N/A,#N/A,FALSE,"mpmseb";#N/A,#N/A,FALSE,"mpph2"}</definedName>
    <definedName function="false" hidden="false" name="______dim4" vbProcedure="false">#REF!</definedName>
    <definedName function="false" hidden="false" name="______exc1" vbProcedure="false">#REF!</definedName>
    <definedName function="false" hidden="false" name="______exc11" vbProcedure="false">#REF!</definedName>
    <definedName function="false" hidden="false" name="______exc2" vbProcedure="false">#REF!</definedName>
    <definedName function="false" hidden="false" name="______EXC3" vbProcedure="false">#REF!</definedName>
    <definedName function="false" hidden="false" name="______EXC4" vbProcedure="false">#REF!</definedName>
    <definedName function="false" hidden="false" name="______foo1" vbProcedure="false">#REF!</definedName>
    <definedName function="false" hidden="false" name="______foo2" vbProcedure="false">#REF!</definedName>
    <definedName function="false" hidden="false" name="______foo3" vbProcedure="false">#REF!</definedName>
    <definedName function="false" hidden="false" name="______FOO4" vbProcedure="false">#REF!</definedName>
    <definedName function="false" hidden="false" name="______Ki1" vbProcedure="false">#REF!</definedName>
    <definedName function="false" hidden="false" name="______Ki2" vbProcedure="false">#REF!</definedName>
    <definedName function="false" hidden="false" name="______MAN1" vbProcedure="false">#REF!</definedName>
    <definedName function="false" hidden="false" name="______PB1" vbProcedure="false">#REF!</definedName>
    <definedName function="false" hidden="false" name="______pcc1" vbProcedure="false">#REF!</definedName>
    <definedName function="false" hidden="false" name="______pcc2" vbProcedure="false">#REF!</definedName>
    <definedName function="false" hidden="false" name="______pcc3" vbProcedure="false">#REF!</definedName>
    <definedName function="false" hidden="false" name="______PCC4" vbProcedure="false">#REF!</definedName>
    <definedName function="false" hidden="false" name="______plb1" vbProcedure="false">#REF!</definedName>
    <definedName function="false" hidden="false" name="______plb2" vbProcedure="false">#REF!</definedName>
    <definedName function="false" hidden="false" name="______plb3" vbProcedure="false">#REF!</definedName>
    <definedName function="false" hidden="false" name="______plb4" vbProcedure="false">#REF!</definedName>
    <definedName function="false" hidden="false" name="______rm4" vbProcedure="false">#REF!</definedName>
    <definedName function="false" hidden="false" name="______SM1" vbProcedure="false">'[3]INPUT DATA SHEET'!$B$19</definedName>
    <definedName function="false" hidden="false" name="______SM2" vbProcedure="false">'[3]INPUT DATA SHEET'!$B$20</definedName>
    <definedName function="false" hidden="false" name="______SM3" vbProcedure="false">'[3]INPUT DATA SHEET'!$B$21</definedName>
    <definedName function="false" hidden="false" name="______SM4" vbProcedure="false">'[3]INPUT DATA SHEET'!$B$22</definedName>
    <definedName function="false" hidden="false" name="______SM6" vbProcedure="false">'[3]INPUT DATA SHEET'!$B$23</definedName>
    <definedName function="false" hidden="false" name="______SM7" vbProcedure="false">'[3]INPUT DATA SHEET'!$B$25</definedName>
    <definedName function="false" hidden="false" name="______TB2" vbProcedure="false">#REF!</definedName>
    <definedName function="false" hidden="false" name="______tot2" vbProcedure="false">#REF!</definedName>
    <definedName function="false" hidden="false" name="_______b111121" vbProcedure="false">#REF!</definedName>
    <definedName function="false" hidden="true" name="_______BOQ3" vbProcedure="false">{#N/A,#N/A,FALSE,"mpph1";#N/A,#N/A,FALSE,"mpmseb";#N/A,#N/A,FALSE,"mpph2"}</definedName>
    <definedName function="false" hidden="false" name="_______dim4" vbProcedure="false">#REF!</definedName>
    <definedName function="false" hidden="false" name="_______exc1" vbProcedure="false">#REF!</definedName>
    <definedName function="false" hidden="false" name="_______exc11" vbProcedure="false">#REF!</definedName>
    <definedName function="false" hidden="false" name="_______exc2" vbProcedure="false">#REF!</definedName>
    <definedName function="false" hidden="false" name="_______EXC3" vbProcedure="false">#REF!</definedName>
    <definedName function="false" hidden="false" name="_______EXC4" vbProcedure="false">#REF!</definedName>
    <definedName function="false" hidden="false" name="_______foo1" vbProcedure="false">#REF!</definedName>
    <definedName function="false" hidden="false" name="_______foo2" vbProcedure="false">#REF!</definedName>
    <definedName function="false" hidden="false" name="_______foo3" vbProcedure="false">#REF!</definedName>
    <definedName function="false" hidden="false" name="_______FOO4" vbProcedure="false">#REF!</definedName>
    <definedName function="false" hidden="false" name="_______Ki1" vbProcedure="false">#REF!</definedName>
    <definedName function="false" hidden="false" name="_______Ki2" vbProcedure="false">#REF!</definedName>
    <definedName function="false" hidden="false" name="_______MAN1" vbProcedure="false">#REF!</definedName>
    <definedName function="false" hidden="false" name="_______PB1" vbProcedure="false">#REF!</definedName>
    <definedName function="false" hidden="false" name="_______pcc1" vbProcedure="false">#REF!</definedName>
    <definedName function="false" hidden="false" name="_______pcc2" vbProcedure="false">#REF!</definedName>
    <definedName function="false" hidden="false" name="_______pcc3" vbProcedure="false">#REF!</definedName>
    <definedName function="false" hidden="false" name="_______PCC4" vbProcedure="false">#REF!</definedName>
    <definedName function="false" hidden="false" name="_______plb1" vbProcedure="false">#REF!</definedName>
    <definedName function="false" hidden="false" name="_______plb2" vbProcedure="false">#REF!</definedName>
    <definedName function="false" hidden="false" name="_______plb3" vbProcedure="false">#REF!</definedName>
    <definedName function="false" hidden="false" name="_______plb4" vbProcedure="false">#REF!</definedName>
    <definedName function="false" hidden="false" name="_______rm4" vbProcedure="false">#REF!</definedName>
    <definedName function="false" hidden="false" name="_______TB2" vbProcedure="false">#REF!</definedName>
    <definedName function="false" hidden="false" name="_______tot2" vbProcedure="false">#REF!</definedName>
    <definedName function="false" hidden="false" name="________b111121" vbProcedure="false">#REF!</definedName>
    <definedName function="false" hidden="false" name="________dim4" vbProcedure="false">#REF!</definedName>
    <definedName function="false" hidden="false" name="________exc1" vbProcedure="false">#REF!</definedName>
    <definedName function="false" hidden="false" name="________exc11" vbProcedure="false">#REF!</definedName>
    <definedName function="false" hidden="false" name="________exc2" vbProcedure="false">#REF!</definedName>
    <definedName function="false" hidden="false" name="________EXC3" vbProcedure="false">#REF!</definedName>
    <definedName function="false" hidden="false" name="________EXC4" vbProcedure="false">#REF!</definedName>
    <definedName function="false" hidden="false" name="________foo1" vbProcedure="false">#REF!</definedName>
    <definedName function="false" hidden="false" name="________foo2" vbProcedure="false">#REF!</definedName>
    <definedName function="false" hidden="false" name="________foo3" vbProcedure="false">#REF!</definedName>
    <definedName function="false" hidden="false" name="________FOO4" vbProcedure="false">#REF!</definedName>
    <definedName function="false" hidden="false" name="________Ki1" vbProcedure="false">#REF!</definedName>
    <definedName function="false" hidden="false" name="________Ki2" vbProcedure="false">#REF!</definedName>
    <definedName function="false" hidden="false" name="________MAN1" vbProcedure="false">#REF!</definedName>
    <definedName function="false" hidden="false" name="________PB1" vbProcedure="false">#REF!</definedName>
    <definedName function="false" hidden="false" name="________pcc1" vbProcedure="false">#REF!</definedName>
    <definedName function="false" hidden="false" name="________pcc2" vbProcedure="false">#REF!</definedName>
    <definedName function="false" hidden="false" name="________pcc3" vbProcedure="false">#REF!</definedName>
    <definedName function="false" hidden="false" name="________PCC4" vbProcedure="false">#REF!</definedName>
    <definedName function="false" hidden="false" name="________plb1" vbProcedure="false">#REF!</definedName>
    <definedName function="false" hidden="false" name="________plb2" vbProcedure="false">#REF!</definedName>
    <definedName function="false" hidden="false" name="________plb3" vbProcedure="false">#REF!</definedName>
    <definedName function="false" hidden="false" name="________plb4" vbProcedure="false">#REF!</definedName>
    <definedName function="false" hidden="false" name="________rm4" vbProcedure="false">#REF!</definedName>
    <definedName function="false" hidden="false" name="________TB2" vbProcedure="false">#REF!</definedName>
    <definedName function="false" hidden="false" name="________tot2" vbProcedure="false">#REF!</definedName>
    <definedName function="false" hidden="false" name="_________b111121" vbProcedure="false">#REF!</definedName>
    <definedName function="false" hidden="false" name="_________dim4" vbProcedure="false">#REF!</definedName>
    <definedName function="false" hidden="false" name="_________exc1" vbProcedure="false">#REF!</definedName>
    <definedName function="false" hidden="false" name="_________exc11" vbProcedure="false">#REF!</definedName>
    <definedName function="false" hidden="false" name="_________exc2" vbProcedure="false">#REF!</definedName>
    <definedName function="false" hidden="false" name="_________EXC3" vbProcedure="false">#REF!</definedName>
    <definedName function="false" hidden="false" name="_________EXC4" vbProcedure="false">#REF!</definedName>
    <definedName function="false" hidden="false" name="_________foo1" vbProcedure="false">#REF!</definedName>
    <definedName function="false" hidden="false" name="_________foo2" vbProcedure="false">#REF!</definedName>
    <definedName function="false" hidden="false" name="_________foo3" vbProcedure="false">#REF!</definedName>
    <definedName function="false" hidden="false" name="_________FOO4" vbProcedure="false">#REF!</definedName>
    <definedName function="false" hidden="false" name="_________Ki1" vbProcedure="false">#REF!</definedName>
    <definedName function="false" hidden="false" name="_________Ki2" vbProcedure="false">#REF!</definedName>
    <definedName function="false" hidden="false" name="_________MAN1" vbProcedure="false">#REF!</definedName>
    <definedName function="false" hidden="false" name="_________PB1" vbProcedure="false">#REF!</definedName>
    <definedName function="false" hidden="false" name="_________pcc1" vbProcedure="false">#REF!</definedName>
    <definedName function="false" hidden="false" name="_________pcc2" vbProcedure="false">#REF!</definedName>
    <definedName function="false" hidden="false" name="_________pcc3" vbProcedure="false">#REF!</definedName>
    <definedName function="false" hidden="false" name="_________PCC4" vbProcedure="false">#REF!</definedName>
    <definedName function="false" hidden="false" name="_________plb1" vbProcedure="false">#REF!</definedName>
    <definedName function="false" hidden="false" name="_________plb2" vbProcedure="false">#REF!</definedName>
    <definedName function="false" hidden="false" name="_________plb3" vbProcedure="false">#REF!</definedName>
    <definedName function="false" hidden="false" name="_________plb4" vbProcedure="false">#REF!</definedName>
    <definedName function="false" hidden="false" name="_________rm4" vbProcedure="false">#REF!</definedName>
    <definedName function="false" hidden="false" name="_________TB2" vbProcedure="false">#REF!</definedName>
    <definedName function="false" hidden="false" name="_________tot2" vbProcedure="false">#REF!</definedName>
    <definedName function="false" hidden="false" name="__________tot2" vbProcedure="false">#REF!</definedName>
    <definedName function="false" hidden="false" name="___________Ki1" vbProcedure="false">#REF!</definedName>
    <definedName function="false" hidden="false" name="___________Ki2" vbProcedure="false">#REF!</definedName>
    <definedName function="false" hidden="false" name="___________MAN1" vbProcedure="false">#REF!</definedName>
    <definedName function="false" hidden="false" name="___________PB1" vbProcedure="false">#REF!</definedName>
    <definedName function="false" hidden="false" name="___________tot2" vbProcedure="false">#REF!</definedName>
    <definedName function="false" hidden="false" name="____________tot2" vbProcedure="false">#REF!</definedName>
    <definedName function="false" hidden="false" name="ㄷ1" vbProcedure="false">#REF!</definedName>
    <definedName function="false" hidden="false" name="구분" vbProcedure="false">#REF!</definedName>
    <definedName function="false" hidden="false" name="단가비교" vbProcedure="false">#N/A</definedName>
    <definedName function="false" hidden="false" name="소모비" vbProcedure="false">#REF!</definedName>
    <definedName function="false" hidden="false" name="집계SHEET" vbProcedure="false">[110]당초!#REF!</definedName>
    <definedName function="false" hidden="false" name="환산" vbProcedure="false">[111]환산표!$A$1:$B$3</definedName>
    <definedName function="false" hidden="false" localSheetId="0" name="JUTF" vbProcedure="false">'[76]power-s'!scaffolding</definedName>
    <definedName function="false" hidden="false" localSheetId="0" name="mmm" vbProcedure="false">[82]dayworks!mmm</definedName>
    <definedName function="false" hidden="false" localSheetId="0" name="s" vbProcedure="false">'[95]bresk-civil2'!s</definedName>
    <definedName function="false" hidden="false" localSheetId="0" name="scaffolding" vbProcedure="false">'[76]power-s'!scaffolding</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L99" authorId="0">
      <text>
        <r>
          <rPr>
            <sz val="10"/>
            <rFont val="Arial"/>
            <family val="2"/>
          </rPr>
          <t xml:space="preserve">Adjusted so the new check rows are not added into this total (original value unchanged).</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G69" authorId="0">
      <text>
        <r>
          <rPr>
            <sz val="10"/>
            <rFont val="Arial"/>
            <family val="2"/>
          </rPr>
          <t xml:space="preserve">Basement external plastering (149.8 m x 4.45 m) needs querying: the basement perimeter is below-ground concrete retaining wall.</t>
        </r>
      </text>
    </comment>
  </commentList>
</comments>
</file>

<file path=xl/sharedStrings.xml><?xml version="1.0" encoding="utf-8"?>
<sst xmlns="http://schemas.openxmlformats.org/spreadsheetml/2006/main" count="2170" uniqueCount="361">
  <si>
    <t xml:space="preserve">DESCRIPTION</t>
  </si>
  <si>
    <t xml:space="preserve">SUBT. </t>
  </si>
  <si>
    <t xml:space="preserve">BASE.</t>
  </si>
  <si>
    <t xml:space="preserve">GRND FLR</t>
  </si>
  <si>
    <t xml:space="preserve">1st FLR</t>
  </si>
  <si>
    <t xml:space="preserve">2nd FLR</t>
  </si>
  <si>
    <t xml:space="preserve">3rd FLR</t>
  </si>
  <si>
    <t xml:space="preserve">4th FLR</t>
  </si>
  <si>
    <t xml:space="preserve">5th FLR</t>
  </si>
  <si>
    <t xml:space="preserve">6th FLR</t>
  </si>
  <si>
    <t xml:space="preserve">UPPR RF FLR</t>
  </si>
  <si>
    <t xml:space="preserve">TOTAL</t>
  </si>
  <si>
    <t xml:space="preserve">UNITS</t>
  </si>
  <si>
    <t xml:space="preserve">CHECKED (DRAWINGS)</t>
  </si>
  <si>
    <t xml:space="preserve">VARIANCE (TAKE-OFF − CHECK)</t>
  </si>
  <si>
    <t xml:space="preserve">VAR %</t>
  </si>
  <si>
    <t xml:space="preserve">ARCHICTURAL WORKS </t>
  </si>
  <si>
    <t xml:space="preserve">BLOCK WALL </t>
  </si>
  <si>
    <t xml:space="preserve">m2</t>
  </si>
  <si>
    <t xml:space="preserve">   Check – drawings</t>
  </si>
  <si>
    <t xml:space="preserve">INTERNAL PLASTERING</t>
  </si>
  <si>
    <t xml:space="preserve">EXTERNAL PLASTERING</t>
  </si>
  <si>
    <t xml:space="preserve">   Check – NOT VERIFIED</t>
  </si>
  <si>
    <t xml:space="preserve">PLASTERBOARD  PARTITION</t>
  </si>
  <si>
    <t xml:space="preserve">CEMENT BOARD  PARTITION</t>
  </si>
  <si>
    <t xml:space="preserve">RC  SLAB RENDERED AND PAINTED</t>
  </si>
  <si>
    <t xml:space="preserve">PLASTEDOARD CEILING</t>
  </si>
  <si>
    <t xml:space="preserve">WAFFLE CEILING</t>
  </si>
  <si>
    <t xml:space="preserve">CEMENT BOARD CEILING</t>
  </si>
  <si>
    <t xml:space="preserve">BAFFLE CEILING</t>
  </si>
  <si>
    <t xml:space="preserve">600 X 600mm acoustic ceiling </t>
  </si>
  <si>
    <t xml:space="preserve">ALUMINUM PANEL CEILING</t>
  </si>
  <si>
    <t xml:space="preserve">Check rows (shaded) link to the CHECK blocks in each trade sheet. Sources and findings: see DRAWING CHECK sheet.</t>
  </si>
  <si>
    <t xml:space="preserve">CONCRETE WORKS</t>
  </si>
  <si>
    <t xml:space="preserve">BLINDING</t>
  </si>
  <si>
    <t xml:space="preserve">FOUNDATION</t>
  </si>
  <si>
    <t xml:space="preserve">COLUMN BASE</t>
  </si>
  <si>
    <t xml:space="preserve">SLAB</t>
  </si>
  <si>
    <t xml:space="preserve">BEAMS</t>
  </si>
  <si>
    <t xml:space="preserve">COLUMNS</t>
  </si>
  <si>
    <t xml:space="preserve">WATER TANK</t>
  </si>
  <si>
    <t xml:space="preserve">SHEAR WALL</t>
  </si>
  <si>
    <t xml:space="preserve">LIFT WALL</t>
  </si>
  <si>
    <t xml:space="preserve">RETAINING WALL</t>
  </si>
  <si>
    <t xml:space="preserve">STAIRCASE</t>
  </si>
  <si>
    <t xml:space="preserve">FORMWORK</t>
  </si>
  <si>
    <t xml:space="preserve">STAIRCASE(Soffit)</t>
  </si>
  <si>
    <t xml:space="preserve">REINFORCEMENT</t>
  </si>
  <si>
    <t xml:space="preserve">Columns</t>
  </si>
  <si>
    <t xml:space="preserve">25mm</t>
  </si>
  <si>
    <t xml:space="preserve">10mm</t>
  </si>
  <si>
    <t xml:space="preserve">Beams</t>
  </si>
  <si>
    <t xml:space="preserve">20mm</t>
  </si>
  <si>
    <t xml:space="preserve">16mm</t>
  </si>
  <si>
    <t xml:space="preserve">12mm</t>
  </si>
  <si>
    <t xml:space="preserve">Raft</t>
  </si>
  <si>
    <t xml:space="preserve">Slab</t>
  </si>
  <si>
    <t xml:space="preserve">Staircases</t>
  </si>
  <si>
    <t xml:space="preserve">Retaining walls</t>
  </si>
  <si>
    <t xml:space="preserve">Shear walls</t>
  </si>
  <si>
    <t xml:space="preserve">MASONRY</t>
  </si>
  <si>
    <t xml:space="preserve">DRAWING CHECK — INDEPENDENT TAKE-OFF FROM ARCHITECTURAL DRAWINGS (Spektra Global WD, Rev 02, Aug 2026)</t>
  </si>
  <si>
    <t xml:space="preserve">Measured from the vector geometry of the issued PDF (60 sheets). Scale verified from gridlines: 8,100 mm bay = 110.3 pt on every sheet (73.44 mm per PDF point). Blue figures are measured inputs; everything else is a formula.</t>
  </si>
  <si>
    <t xml:space="preserve">A. WALL LENGTHS (m)</t>
  </si>
  <si>
    <t xml:space="preserve">BASEMENT</t>
  </si>
  <si>
    <t xml:space="preserve">GROUND FLR</t>
  </si>
  <si>
    <t xml:space="preserve">ROOFTOP</t>
  </si>
  <si>
    <t xml:space="preserve">SOURCE / METHOD</t>
  </si>
  <si>
    <t xml:space="preserve">BLK</t>
  </si>
  <si>
    <t xml:space="preserve">150mm block wall — gross length measured through door/window openings</t>
  </si>
  <si>
    <t xml:space="preserve">Plans A008–A015. Wall = pair of black lines 150 mm apart carrying the block hatch; door/window gaps between collinear wall ends bridged; column (concrete) gaps not bridged. Tolerance about ±5%.</t>
  </si>
  <si>
    <t xml:space="preserve">BLKNET</t>
  </si>
  <si>
    <t xml:space="preserve">150mm block wall — net length (solid wall only, for information)</t>
  </si>
  <si>
    <t xml:space="preserve">As above, without bridging openings.</t>
  </si>
  <si>
    <t xml:space="preserve">PB</t>
  </si>
  <si>
    <t xml:space="preserve">Plasterboard partition (red) — length</t>
  </si>
  <si>
    <t xml:space="preserve">Half the red wall linework (both faces) on A011–A013, excluding the dashed red section-marker lines and hatch ticks.</t>
  </si>
  <si>
    <t xml:space="preserve">CB</t>
  </si>
  <si>
    <t xml:space="preserve">Cement board partition (green) — length</t>
  </si>
  <si>
    <t xml:space="preserve">Half the green linework (both faces); these are mainly the WC cubicle partitions.</t>
  </si>
  <si>
    <t xml:space="preserve">B. CEILING AREAS (m²)</t>
  </si>
  <si>
    <t xml:space="preserve">CF1</t>
  </si>
  <si>
    <t xml:space="preserve">RC slab rendered and painted</t>
  </si>
  <si>
    <t xml:space="preserve">Speckle hatch, light density. Basement = car park soffit (A067). Stair soffits are NOT hatched on the RCPs, so they are not included.</t>
  </si>
  <si>
    <t xml:space="preserve">CF2</t>
  </si>
  <si>
    <t xml:space="preserve">Plasterboard ceiling</t>
  </si>
  <si>
    <t xml:space="preserve">Dense speckle hatch. On 1st–4th floors this includes the perimeter bulkhead band around the CF7 grid. 5th floor excludes 22.6 m² of waffle cells.</t>
  </si>
  <si>
    <t xml:space="preserve">CF3</t>
  </si>
  <si>
    <t xml:space="preserve">Waffle ceiling</t>
  </si>
  <si>
    <t xml:space="preserve">5th floor (A073): 4 waffle zones measured as rectangles: 17.1 + 12.9 + 8.65 + 8.65.</t>
  </si>
  <si>
    <t xml:space="preserve">CF5</t>
  </si>
  <si>
    <t xml:space="preserve">Cement board ceiling</t>
  </si>
  <si>
    <t xml:space="preserve">Red diagonal hatch: WCs, lobbies, PWD.</t>
  </si>
  <si>
    <t xml:space="preserve">CF6</t>
  </si>
  <si>
    <t xml:space="preserve">Baffle ceiling</t>
  </si>
  <si>
    <t xml:space="preserve">Ground floor (A068): triangular baffle zone at the reception/stair void.</t>
  </si>
  <si>
    <t xml:space="preserve">CF7</t>
  </si>
  <si>
    <t xml:space="preserve">600 x 600mm acoustic ceiling</t>
  </si>
  <si>
    <t xml:space="preserve">Magenta 600 grid, measured inside the CF2 perimeter band.</t>
  </si>
  <si>
    <t xml:space="preserve">CF8</t>
  </si>
  <si>
    <t xml:space="preserve">CnC dark bronze aluminium panel ceiling</t>
  </si>
  <si>
    <t xml:space="preserve">Ground floor (A068): blue-hatched soffit band 125.0 + X-pattern panel zone over the drop-off 192.5 (labelled CF8).</t>
  </si>
  <si>
    <t xml:space="preserve">C. FINDINGS ON THE TAKE-OFF</t>
  </si>
  <si>
    <t xml:space="preserve">CEILINGS — the BASEMENT and GROUND FLOOR ceiling sheets are swapped. "BASEMENT CEILING LAYOUT" holds the ground-floor rooms (A068: lettable office 173, reception, entrance terrace), and "GROUND FLOOR CEILING LAYOUT" holds the basement car park (A067). Every ceiling row in QTY SUMM therefore has columns C and D reversed. The check below is mapped correctly.</t>
  </si>
  <si>
    <t xml:space="preserve">CEILINGS, ground floor — CF8 aluminium panel measures 317.5 m² against 230 in the take-off. The X-pattern CF8 zone over the drop-off (192.5 m²) appears to be missing. CF6 baffle ceiling (11.6 m²) is shown on A068 but taken as zero.</t>
  </si>
  <si>
    <t xml:space="preserve">CEILINGS — basement CF1 measures 1,373.7 m² against 1,470.7 in the take-off (−97 m²). The take-off figure looks like a gross area that includes the cores, lifts and stairs.</t>
  </si>
  <si>
    <t xml:space="preserve">CEILINGS — the 1st–4th floor CF1 "Staircase" items (33.8–38.9 m² per floor) are not hatched on any RCP. Keep them only if the stair soffits are to be rendered and painted.</t>
  </si>
  <si>
    <t xml:space="preserve">CEILINGS — the 3rd floor CF2 perimeter band (40.5 m²) is taken as only 8.4. On the 5th floor, CF2 measures 419.1 against 480.1, and the CF1 balcony/terrace edge strips (32.9 m²) are missing.</t>
  </si>
  <si>
    <t xml:space="preserve">BLOCKWORK — gross lengths agree to within about ±6% on six floors. The 2nd floor is 9% higher on drawing (161.2 vs 147.3 m) and the basement 6% lower (121.8 vs 129.2 m). Re-measure those two floors.</t>
  </si>
  <si>
    <t xml:space="preserve">BLOCKWORK — every door on each floor is deducted from blockwork, including doors that sit in plasterboard partitions (2nd–4th floor offices), while no openings are deducted from plasterboard. This understates blockwork and overstates plasterboard.</t>
  </si>
  <si>
    <t xml:space="preserve">HEIGHTS — floor-to-floor heights are used (3.30 typical, 4.50 GF, 4.45 basement). Section A-A (A016) shows a 250 mm slab, so the clear height to soffit is 3.05 m typical. Blockwork, plastering and partitions are overstated by about 7–8% (more where walls run under beams). The check keeps the take-off heights so that only the lengths are compared.</t>
  </si>
  <si>
    <t xml:space="preserve">PLASTERBOARD — 2nd and 3rd floors agree (94.6 vs 95.6 m; 108.5 vs 109.0 m). The 4th floor is 72.7 m on drawing against 94.5 m in the take-off (+21.8 m).</t>
  </si>
  <si>
    <t xml:space="preserve">CEMENT BOARD — about 5–9 m too long per floor on GF–4th (for example the 1st floor is 9.8 m on drawing against 15.0). These are WC cubicle partitions measured at full storey height; confirm the specified height.</t>
  </si>
  <si>
    <t xml:space="preserve">EXTERNAL PLASTERING — the external girth is not independently measured, because the laser-cut mesh and curtain wall surround the block envelope in plan. The check carries the take-off figure and is marked NOT VERIFIED. The basement external plaster (149.8 m × 4.45 m) needs querying: the basement perimeter is below-ground concrete retaining wall (waterproofing, not render).</t>
  </si>
  <si>
    <t xml:space="preserve">INTERNAL PLASTERING — the check adjusts the take-off girth by twice the block length variance (both faces). The concrete wall and column faces included in the take-off girth are carried unchanged.</t>
  </si>
  <si>
    <t xml:space="preserve">WORKBOOK — QTY SUMM!L99 sums unlike items (m² of all trades). N16 is hard-coded (757.9). Column J "6th FLR" is unused: the building is basement + GF + 5 floors + rooftop. The CEMENT PARTITION sheet headings read "PLASTERBOARD PARTITION".</t>
  </si>
  <si>
    <t xml:space="preserve">CEILING FINISHES SCHEDULE — AREAS BY FLOOR (m²)</t>
  </si>
  <si>
    <t xml:space="preserve">CODE</t>
  </si>
  <si>
    <t xml:space="preserve">CEILING FINISH</t>
  </si>
  <si>
    <t xml:space="preserve">UNIT</t>
  </si>
  <si>
    <t xml:space="preserve">CnC dark bronze metallic powder-coated aluminium panel ceiling</t>
  </si>
  <si>
    <t xml:space="preserve">CHECK — CEILING AREAS FROM REFLECTED CEILING PLANS A067–A074 (m²)</t>
  </si>
  <si>
    <t xml:space="preserve">VARIANCE — TAKE-OFF (rows 4–10, as linked) minus CHECK (rows 15–21). Note: the take-off BASEMENT/GROUND columns are swapped (see DRAWING CHECK finding 1).</t>
  </si>
  <si>
    <t xml:space="preserve">BASEMENT BLOCK WALL</t>
  </si>
  <si>
    <t xml:space="preserve">GROUND FLOOR  BLOCKWORK</t>
  </si>
  <si>
    <t xml:space="preserve">FIRST FLOOR  BLOCKWORK</t>
  </si>
  <si>
    <t xml:space="preserve">SECOND FLOOR  BLOCKWORK</t>
  </si>
  <si>
    <t xml:space="preserve">THIRD FLOOR  BLOCKWORK</t>
  </si>
  <si>
    <t xml:space="preserve">FOURTH FLOOR  BLOCKWORK</t>
  </si>
  <si>
    <t xml:space="preserve">FIFTH FLOOR  BLOCKWORK</t>
  </si>
  <si>
    <t xml:space="preserve">ROOFTOP FLOOR  BLOCKWORK</t>
  </si>
  <si>
    <t xml:space="preserve">ITEM</t>
  </si>
  <si>
    <t xml:space="preserve">DESCRIPTION </t>
  </si>
  <si>
    <t xml:space="preserve">NO.</t>
  </si>
  <si>
    <t xml:space="preserve">LENG.</t>
  </si>
  <si>
    <t xml:space="preserve">HEIGHT</t>
  </si>
  <si>
    <t xml:space="preserve">PERIMETER OF OPENING</t>
  </si>
  <si>
    <t xml:space="preserve">AREA</t>
  </si>
  <si>
    <t xml:space="preserve">A</t>
  </si>
  <si>
    <t xml:space="preserve">150mm block wall</t>
  </si>
  <si>
    <t xml:space="preserve">Ddt window</t>
  </si>
  <si>
    <t xml:space="preserve">B</t>
  </si>
  <si>
    <t xml:space="preserve">W1</t>
  </si>
  <si>
    <t xml:space="preserve">W2</t>
  </si>
  <si>
    <t xml:space="preserve">W3</t>
  </si>
  <si>
    <t xml:space="preserve">W4</t>
  </si>
  <si>
    <t xml:space="preserve">W5</t>
  </si>
  <si>
    <t xml:space="preserve">W7</t>
  </si>
  <si>
    <t xml:space="preserve">W8</t>
  </si>
  <si>
    <t xml:space="preserve">Total window</t>
  </si>
  <si>
    <t xml:space="preserve">Ddt door</t>
  </si>
  <si>
    <t xml:space="preserve">C</t>
  </si>
  <si>
    <t xml:space="preserve">D2</t>
  </si>
  <si>
    <t xml:space="preserve">D1</t>
  </si>
  <si>
    <t xml:space="preserve">D8</t>
  </si>
  <si>
    <t xml:space="preserve">D</t>
  </si>
  <si>
    <t xml:space="preserve">D3</t>
  </si>
  <si>
    <t xml:space="preserve">E</t>
  </si>
  <si>
    <t xml:space="preserve">D4</t>
  </si>
  <si>
    <t xml:space="preserve">F</t>
  </si>
  <si>
    <t xml:space="preserve">G</t>
  </si>
  <si>
    <t xml:space="preserve">D7</t>
  </si>
  <si>
    <t xml:space="preserve">D6</t>
  </si>
  <si>
    <t xml:space="preserve">D5</t>
  </si>
  <si>
    <t xml:space="preserve">H</t>
  </si>
  <si>
    <t xml:space="preserve">Toal Doors</t>
  </si>
  <si>
    <t xml:space="preserve">CHECK</t>
  </si>
  <si>
    <t xml:space="preserve">DRAWING CHECK</t>
  </si>
  <si>
    <t xml:space="preserve">150mm block wall (drawing, gross)</t>
  </si>
  <si>
    <t xml:space="preserve">Ddt openings (as above)</t>
  </si>
  <si>
    <t xml:space="preserve">Checked net area</t>
  </si>
  <si>
    <t xml:space="preserve">Take-off net area (row 29)</t>
  </si>
  <si>
    <t xml:space="preserve">Variance (take-off − check)</t>
  </si>
  <si>
    <t xml:space="preserve">Variance %</t>
  </si>
  <si>
    <t xml:space="preserve">BASEMENT PLASTERING</t>
  </si>
  <si>
    <t xml:space="preserve">GROUND FLOOR  PLASTERING</t>
  </si>
  <si>
    <t xml:space="preserve">FIRST FLOOR  PLASTERING</t>
  </si>
  <si>
    <t xml:space="preserve">SECOND FLOOR  PLASTERING</t>
  </si>
  <si>
    <t xml:space="preserve">THIRD FLOOR  PLASTERING</t>
  </si>
  <si>
    <t xml:space="preserve">FOURTH FLOOR  PLASTERING</t>
  </si>
  <si>
    <t xml:space="preserve">FIFTH FLOOR  PLASTERING</t>
  </si>
  <si>
    <t xml:space="preserve">ROOFTOP FLOOR  PLASTERING</t>
  </si>
  <si>
    <t xml:space="preserve">Internal Plastering</t>
  </si>
  <si>
    <t xml:space="preserve">External Plastering</t>
  </si>
  <si>
    <t xml:space="preserve">Total External Plastering</t>
  </si>
  <si>
    <t xml:space="preserve">CHECK — INTERNAL PLASTERING</t>
  </si>
  <si>
    <t xml:space="preserve">Internal girth adj. for block variance</t>
  </si>
  <si>
    <t xml:space="preserve">Checked net internal plaster</t>
  </si>
  <si>
    <t xml:space="preserve">CHECK — EXTERNAL PLASTERING</t>
  </si>
  <si>
    <t xml:space="preserve">NOT VERIFIED — carried from take-off</t>
  </si>
  <si>
    <t xml:space="preserve">See DRAWING CHECK finding 11</t>
  </si>
  <si>
    <t xml:space="preserve">BASEMENT PLASTERBOARD PARTITION</t>
  </si>
  <si>
    <t xml:space="preserve">GROUND FLOOR  PLASTERBOARD PARTITION</t>
  </si>
  <si>
    <t xml:space="preserve">FIRST FLOOR  PLASTERBOARD PARTITION</t>
  </si>
  <si>
    <t xml:space="preserve">SECOND FLOOR  PLASTERBOARD PARTITION</t>
  </si>
  <si>
    <t xml:space="preserve">THIRD FLOOR  PLASTERBOARD PARTITION</t>
  </si>
  <si>
    <t xml:space="preserve">FOURTH FLOOR  PLASTERBOARD PARTITION</t>
  </si>
  <si>
    <t xml:space="preserve">FIFTH FLOOR  PLASTERBOARD PARTITION</t>
  </si>
  <si>
    <t xml:space="preserve">ROOFTOP FLOOR  PLASTERBOARD PARTITION</t>
  </si>
  <si>
    <t xml:space="preserve">CHECK — PLASTERBOARD PARTITION</t>
  </si>
  <si>
    <t xml:space="preserve">Plasterboard partition (drawing)</t>
  </si>
  <si>
    <t xml:space="preserve">Take-off area (row 8)</t>
  </si>
  <si>
    <t xml:space="preserve">CHECK — CEMENT BOARD PARTITION</t>
  </si>
  <si>
    <t xml:space="preserve">Cement Board partition (drawing)</t>
  </si>
  <si>
    <t xml:space="preserve">BASEMENT GLASS PARTITION</t>
  </si>
  <si>
    <t xml:space="preserve">GROUND FLOOR  GLASS PARTITION</t>
  </si>
  <si>
    <t xml:space="preserve">FIRST FLOOR  GLASS PARTITION</t>
  </si>
  <si>
    <t xml:space="preserve">SECOND FLOOR  GLASS PARTITION</t>
  </si>
  <si>
    <t xml:space="preserve">THIRD FLOOR  GLASS PARTITION</t>
  </si>
  <si>
    <t xml:space="preserve">FOURTH FLOOR  GLASS PARTITION</t>
  </si>
  <si>
    <t xml:space="preserve">FIFTH FLOOR  GLASS PARTITION</t>
  </si>
  <si>
    <t xml:space="preserve">ROOFTOP FLOOR  GLASS PARTITION</t>
  </si>
  <si>
    <t xml:space="preserve">10mm clear glass partition</t>
  </si>
  <si>
    <t xml:space="preserve">CW1</t>
  </si>
  <si>
    <t xml:space="preserve">CW2</t>
  </si>
  <si>
    <t xml:space="preserve">GP1</t>
  </si>
  <si>
    <t xml:space="preserve">GP16</t>
  </si>
  <si>
    <t xml:space="preserve">GP20</t>
  </si>
  <si>
    <t xml:space="preserve">GP39</t>
  </si>
  <si>
    <t xml:space="preserve">GP49</t>
  </si>
  <si>
    <t xml:space="preserve">CW14</t>
  </si>
  <si>
    <t xml:space="preserve">CW3</t>
  </si>
  <si>
    <t xml:space="preserve">GP2</t>
  </si>
  <si>
    <t xml:space="preserve">GP17</t>
  </si>
  <si>
    <t xml:space="preserve">GP21</t>
  </si>
  <si>
    <t xml:space="preserve">GP40</t>
  </si>
  <si>
    <t xml:space="preserve">GP48</t>
  </si>
  <si>
    <t xml:space="preserve">CW4</t>
  </si>
  <si>
    <t xml:space="preserve">GP3</t>
  </si>
  <si>
    <t xml:space="preserve">GP10</t>
  </si>
  <si>
    <t xml:space="preserve">GP22</t>
  </si>
  <si>
    <t xml:space="preserve">GP41</t>
  </si>
  <si>
    <t xml:space="preserve">GP47</t>
  </si>
  <si>
    <t xml:space="preserve">CW5</t>
  </si>
  <si>
    <t xml:space="preserve">CW6</t>
  </si>
  <si>
    <t xml:space="preserve">GP11</t>
  </si>
  <si>
    <t xml:space="preserve">GP23</t>
  </si>
  <si>
    <t xml:space="preserve">GP42</t>
  </si>
  <si>
    <t xml:space="preserve">GP50</t>
  </si>
  <si>
    <t xml:space="preserve">CW7</t>
  </si>
  <si>
    <t xml:space="preserve">GP15</t>
  </si>
  <si>
    <t xml:space="preserve">GP24</t>
  </si>
  <si>
    <t xml:space="preserve">GP43</t>
  </si>
  <si>
    <t xml:space="preserve">CW8</t>
  </si>
  <si>
    <t xml:space="preserve">CW15</t>
  </si>
  <si>
    <t xml:space="preserve">GP12</t>
  </si>
  <si>
    <t xml:space="preserve">GP25</t>
  </si>
  <si>
    <t xml:space="preserve">GP44</t>
  </si>
  <si>
    <t xml:space="preserve">CW13</t>
  </si>
  <si>
    <t xml:space="preserve">GP13</t>
  </si>
  <si>
    <t xml:space="preserve">GP26</t>
  </si>
  <si>
    <t xml:space="preserve">GP45</t>
  </si>
  <si>
    <t xml:space="preserve">CW12</t>
  </si>
  <si>
    <t xml:space="preserve">GP18</t>
  </si>
  <si>
    <t xml:space="preserve">GP27</t>
  </si>
  <si>
    <t xml:space="preserve">GP46</t>
  </si>
  <si>
    <t xml:space="preserve">CW10</t>
  </si>
  <si>
    <t xml:space="preserve">GP4</t>
  </si>
  <si>
    <t xml:space="preserve">GP28</t>
  </si>
  <si>
    <t xml:space="preserve">CW11</t>
  </si>
  <si>
    <t xml:space="preserve">GP5</t>
  </si>
  <si>
    <t xml:space="preserve">GP29</t>
  </si>
  <si>
    <t xml:space="preserve">CW9</t>
  </si>
  <si>
    <t xml:space="preserve">GP14</t>
  </si>
  <si>
    <t xml:space="preserve">GP30</t>
  </si>
  <si>
    <t xml:space="preserve">GP8</t>
  </si>
  <si>
    <t xml:space="preserve">GP31</t>
  </si>
  <si>
    <t xml:space="preserve">GP6</t>
  </si>
  <si>
    <t xml:space="preserve">GP32</t>
  </si>
  <si>
    <t xml:space="preserve">GP7</t>
  </si>
  <si>
    <t xml:space="preserve">GP33</t>
  </si>
  <si>
    <t xml:space="preserve">GP9</t>
  </si>
  <si>
    <t xml:space="preserve">GP34</t>
  </si>
  <si>
    <t xml:space="preserve">GP19</t>
  </si>
  <si>
    <t xml:space="preserve">GP35</t>
  </si>
  <si>
    <t xml:space="preserve">GP36</t>
  </si>
  <si>
    <t xml:space="preserve">GP37</t>
  </si>
  <si>
    <t xml:space="preserve">GP38</t>
  </si>
  <si>
    <t xml:space="preserve">GENERAL WINDOWS AND DOORS SCHEDULE</t>
  </si>
  <si>
    <t xml:space="preserve">WINDOWS</t>
  </si>
  <si>
    <t xml:space="preserve">DOORS</t>
  </si>
  <si>
    <t xml:space="preserve">TOTAL AREA</t>
  </si>
  <si>
    <t xml:space="preserve">W6</t>
  </si>
  <si>
    <t xml:space="preserve">BASEMENT WINDOWS AND DOORS SCHEDULES</t>
  </si>
  <si>
    <t xml:space="preserve">GROUND FLOOR  WINDOWS AND DOORS SCHEDULES</t>
  </si>
  <si>
    <t xml:space="preserve">FIRST FLOOR  WINDOWS AND DOORS SCHEDULES</t>
  </si>
  <si>
    <t xml:space="preserve">SECOND FLOOR  WINDOWS AND DOORS SCHEDULES</t>
  </si>
  <si>
    <t xml:space="preserve">THIRD FLOOR  WINDOWS AND DOORS SCHEDULES</t>
  </si>
  <si>
    <t xml:space="preserve">FOURTH FLOOR  WINDOWS AND DOORS SCHEDULES</t>
  </si>
  <si>
    <t xml:space="preserve">FIFTH FLOOR  WINDOWS AND DOORS SCHEDULES</t>
  </si>
  <si>
    <t xml:space="preserve">ROOFTOP FLOOR  WINDOWS AND DOORS SCHEDULES</t>
  </si>
  <si>
    <t xml:space="preserve">WINDOWS SHEDULE</t>
  </si>
  <si>
    <t xml:space="preserve">DOORS SCHEDULE</t>
  </si>
  <si>
    <t xml:space="preserve">RC SLAB RENDERED AND PAINTED (CF1)</t>
  </si>
  <si>
    <t xml:space="preserve">PLASTERBOARD CEILING (CF2)</t>
  </si>
  <si>
    <t xml:space="preserve">WAFFLE CEILING (CF3)</t>
  </si>
  <si>
    <t xml:space="preserve">CEMENT BOARD CEILING (CF5)</t>
  </si>
  <si>
    <t xml:space="preserve">BAFFLE CEILING (CF6)</t>
  </si>
  <si>
    <t xml:space="preserve">600 X 600mm ACOUSTIC CEILING (CF7)</t>
  </si>
  <si>
    <t xml:space="preserve">CnC DARK BRONZE METALIC POWDER COATED ALUMINUM PANEL CEILING (CF8)</t>
  </si>
  <si>
    <t xml:space="preserve">LENGTH</t>
  </si>
  <si>
    <t xml:space="preserve">WIDTH</t>
  </si>
  <si>
    <t xml:space="preserve">Staicase</t>
  </si>
  <si>
    <t xml:space="preserve">Lettable office space</t>
  </si>
  <si>
    <t xml:space="preserve">WCs</t>
  </si>
  <si>
    <t xml:space="preserve">Kitchen</t>
  </si>
  <si>
    <t xml:space="preserve">Entrance Terrace and it's extensions</t>
  </si>
  <si>
    <t xml:space="preserve">Stairs lift lobby Area</t>
  </si>
  <si>
    <t xml:space="preserve">Male</t>
  </si>
  <si>
    <t xml:space="preserve">Corridor</t>
  </si>
  <si>
    <t xml:space="preserve">Reception/ Waiting Area</t>
  </si>
  <si>
    <t xml:space="preserve">PWD</t>
  </si>
  <si>
    <t xml:space="preserve">Power Room</t>
  </si>
  <si>
    <t xml:space="preserve">Balcony</t>
  </si>
  <si>
    <t xml:space="preserve">FEMALE</t>
  </si>
  <si>
    <t xml:space="preserve">IT Room</t>
  </si>
  <si>
    <t xml:space="preserve">Lobby</t>
  </si>
  <si>
    <t xml:space="preserve">Lettable Office</t>
  </si>
  <si>
    <t xml:space="preserve">Open Space</t>
  </si>
  <si>
    <t xml:space="preserve">Staircase</t>
  </si>
  <si>
    <t xml:space="preserve">Lettable Office and it's extensions</t>
  </si>
  <si>
    <t xml:space="preserve">WC</t>
  </si>
  <si>
    <t xml:space="preserve">Storage</t>
  </si>
  <si>
    <t xml:space="preserve">Female</t>
  </si>
  <si>
    <t xml:space="preserve">Kitchen </t>
  </si>
  <si>
    <t xml:space="preserve">Stairs/Lift/Lobby</t>
  </si>
  <si>
    <t xml:space="preserve">Open Office Extension</t>
  </si>
  <si>
    <t xml:space="preserve">Open Office</t>
  </si>
  <si>
    <t xml:space="preserve">Jan</t>
  </si>
  <si>
    <t xml:space="preserve">External</t>
  </si>
  <si>
    <t xml:space="preserve">Storage </t>
  </si>
  <si>
    <t xml:space="preserve">Staicase </t>
  </si>
  <si>
    <t xml:space="preserve">Open space extension</t>
  </si>
  <si>
    <t xml:space="preserve">Staircase/Lift/Lobby</t>
  </si>
  <si>
    <t xml:space="preserve">Nursery</t>
  </si>
  <si>
    <t xml:space="preserve">Open Terrace</t>
  </si>
  <si>
    <t xml:space="preserve">Chairman Secretariat</t>
  </si>
  <si>
    <t xml:space="preserve">Master's Nath</t>
  </si>
  <si>
    <t xml:space="preserve">Gym CF2</t>
  </si>
  <si>
    <t xml:space="preserve">Living Area/Dining </t>
  </si>
  <si>
    <t xml:space="preserve">Executive Office</t>
  </si>
  <si>
    <t xml:space="preserve">Masters Bedroom 1</t>
  </si>
  <si>
    <t xml:space="preserve">Walk in closet 1</t>
  </si>
  <si>
    <t xml:space="preserve">Masters Bedroom 2</t>
  </si>
  <si>
    <t xml:space="preserve">Walk in closet 2</t>
  </si>
  <si>
    <t xml:space="preserve">J</t>
  </si>
  <si>
    <t xml:space="preserve">Staircase/Lobby</t>
  </si>
  <si>
    <t xml:space="preserve">K</t>
  </si>
  <si>
    <t xml:space="preserve">L</t>
  </si>
  <si>
    <t xml:space="preserve">Stairs/ Lift/Lobby/ Staircase</t>
  </si>
  <si>
    <t xml:space="preserve">M</t>
  </si>
  <si>
    <t xml:space="preserve">N</t>
  </si>
  <si>
    <t xml:space="preserve">Meeting Room</t>
  </si>
  <si>
    <t xml:space="preserve">P</t>
  </si>
  <si>
    <t xml:space="preserve">Executive of office</t>
  </si>
  <si>
    <t xml:space="preserve">Q</t>
  </si>
  <si>
    <t xml:space="preserve">Prayer Room</t>
  </si>
  <si>
    <t xml:space="preserve">R</t>
  </si>
  <si>
    <t xml:space="preserve">S</t>
  </si>
  <si>
    <t xml:space="preserve">T</t>
  </si>
  <si>
    <t xml:space="preserve">Living Area/Dining</t>
  </si>
</sst>
</file>

<file path=xl/styles.xml><?xml version="1.0" encoding="utf-8"?>
<styleSheet xmlns="http://schemas.openxmlformats.org/spreadsheetml/2006/main">
  <numFmts count="12">
    <numFmt numFmtId="164" formatCode="General"/>
    <numFmt numFmtId="165" formatCode="_(* #,##0.00_);_(* \(#,##0.00\);_(* \-??_);_(@_)"/>
    <numFmt numFmtId="166" formatCode="_-* #,##0.00_-;\-* #,##0.00_-;_-* \-??_-;_-@_-"/>
    <numFmt numFmtId="167" formatCode="0.00"/>
    <numFmt numFmtId="168" formatCode="#,##0.00;\(#,##0.00\);\-"/>
    <numFmt numFmtId="169" formatCode="0.0%;\-0.0%;\-"/>
    <numFmt numFmtId="170" formatCode="#,##0.0"/>
    <numFmt numFmtId="171" formatCode="#,##0.0;\(#,##0.0\);\-"/>
    <numFmt numFmtId="172" formatCode="General"/>
    <numFmt numFmtId="173" formatCode="0"/>
    <numFmt numFmtId="174" formatCode="#,##0.00"/>
    <numFmt numFmtId="175" formatCode="0.0%"/>
  </numFmts>
  <fonts count="40">
    <font>
      <sz val="11"/>
      <color theme="1"/>
      <name val="Aptos Narrow"/>
      <family val="2"/>
      <charset val="1"/>
    </font>
    <font>
      <sz val="10"/>
      <name val="Arial"/>
      <family val="0"/>
    </font>
    <font>
      <sz val="10"/>
      <name val="Arial"/>
      <family val="0"/>
    </font>
    <font>
      <sz val="10"/>
      <name val="Arial"/>
      <family val="0"/>
    </font>
    <font>
      <sz val="12"/>
      <color theme="1"/>
      <name val="Calibri"/>
      <family val="2"/>
      <charset val="1"/>
    </font>
    <font>
      <b val="true"/>
      <sz val="12"/>
      <color theme="1"/>
      <name val="Calibri"/>
      <family val="2"/>
      <charset val="1"/>
    </font>
    <font>
      <b val="true"/>
      <sz val="12"/>
      <color rgb="FFC00000"/>
      <name val="Calibri"/>
      <family val="0"/>
      <charset val="1"/>
    </font>
    <font>
      <b val="true"/>
      <u val="single"/>
      <sz val="12"/>
      <color theme="1"/>
      <name val="Calibri"/>
      <family val="2"/>
      <charset val="1"/>
    </font>
    <font>
      <sz val="12"/>
      <name val="Calibri"/>
      <family val="2"/>
      <charset val="1"/>
    </font>
    <font>
      <b val="true"/>
      <sz val="12"/>
      <name val="Calibri"/>
      <family val="2"/>
      <charset val="1"/>
    </font>
    <font>
      <b val="true"/>
      <sz val="12"/>
      <name val="Calibri"/>
      <family val="0"/>
      <charset val="1"/>
    </font>
    <font>
      <sz val="12"/>
      <name val="Calibri"/>
      <family val="0"/>
      <charset val="1"/>
    </font>
    <font>
      <i val="true"/>
      <sz val="12"/>
      <color rgb="FFC00000"/>
      <name val="Calibri"/>
      <family val="0"/>
      <charset val="1"/>
    </font>
    <font>
      <sz val="12"/>
      <color rgb="FF008000"/>
      <name val="Calibri"/>
      <family val="0"/>
      <charset val="1"/>
    </font>
    <font>
      <sz val="10"/>
      <name val="Arial"/>
      <family val="2"/>
    </font>
    <font>
      <b val="true"/>
      <sz val="14"/>
      <name val="Aptos Narrow"/>
      <family val="0"/>
      <charset val="1"/>
    </font>
    <font>
      <sz val="11"/>
      <color theme="1"/>
      <name val="Aptos Narrow"/>
      <family val="0"/>
      <charset val="1"/>
    </font>
    <font>
      <i val="true"/>
      <sz val="11"/>
      <name val="Aptos Narrow"/>
      <family val="0"/>
      <charset val="1"/>
    </font>
    <font>
      <b val="true"/>
      <sz val="11"/>
      <color rgb="FFFFFFFF"/>
      <name val="Aptos Narrow"/>
      <family val="0"/>
      <charset val="1"/>
    </font>
    <font>
      <sz val="11"/>
      <color rgb="FF0000FF"/>
      <name val="Aptos Narrow"/>
      <family val="0"/>
      <charset val="1"/>
    </font>
    <font>
      <b val="true"/>
      <sz val="11"/>
      <name val="Aptos Narrow"/>
      <family val="0"/>
      <charset val="1"/>
    </font>
    <font>
      <b val="true"/>
      <sz val="14"/>
      <color theme="1"/>
      <name val="Aptos Narrow"/>
      <family val="2"/>
      <charset val="1"/>
    </font>
    <font>
      <b val="true"/>
      <sz val="11"/>
      <color rgb="FFFFFFFF"/>
      <name val="Aptos Narrow"/>
      <family val="2"/>
      <charset val="1"/>
    </font>
    <font>
      <sz val="11"/>
      <color rgb="FF008000"/>
      <name val="Aptos Narrow"/>
      <family val="2"/>
      <charset val="1"/>
    </font>
    <font>
      <b val="true"/>
      <sz val="11"/>
      <color rgb="FF008000"/>
      <name val="Aptos Narrow"/>
      <family val="2"/>
      <charset val="1"/>
    </font>
    <font>
      <sz val="11"/>
      <color rgb="FF000000"/>
      <name val="Aptos Narrow"/>
      <family val="2"/>
      <charset val="1"/>
    </font>
    <font>
      <b val="true"/>
      <sz val="11"/>
      <color theme="1"/>
      <name val="Aptos Narrow"/>
      <family val="2"/>
      <charset val="1"/>
    </font>
    <font>
      <b val="true"/>
      <sz val="11"/>
      <color rgb="FF000000"/>
      <name val="Aptos Narrow"/>
      <family val="2"/>
      <charset val="1"/>
    </font>
    <font>
      <b val="true"/>
      <sz val="12"/>
      <color rgb="FFC00000"/>
      <name val="Aptos Narrow"/>
      <family val="0"/>
      <charset val="1"/>
    </font>
    <font>
      <sz val="11"/>
      <color rgb="FF008000"/>
      <name val="Aptos Narrow"/>
      <family val="0"/>
      <charset val="1"/>
    </font>
    <font>
      <b val="true"/>
      <sz val="11"/>
      <color rgb="FFC00000"/>
      <name val="Aptos Narrow"/>
      <family val="0"/>
      <charset val="1"/>
    </font>
    <font>
      <sz val="11"/>
      <color rgb="FFFF0000"/>
      <name val="Aptos Narrow"/>
      <family val="2"/>
      <charset val="1"/>
    </font>
    <font>
      <sz val="11"/>
      <color theme="5" tint="-0.25"/>
      <name val="Aptos Narrow"/>
      <family val="2"/>
      <charset val="1"/>
    </font>
    <font>
      <sz val="11"/>
      <color theme="8"/>
      <name val="Aptos Narrow"/>
      <family val="2"/>
      <charset val="1"/>
    </font>
    <font>
      <sz val="11"/>
      <name val="Aptos Narrow"/>
      <family val="0"/>
      <charset val="1"/>
    </font>
    <font>
      <b val="true"/>
      <sz val="11"/>
      <color theme="8" tint="-0.25"/>
      <name val="Aptos Narrow"/>
      <family val="2"/>
      <charset val="1"/>
    </font>
    <font>
      <b val="true"/>
      <sz val="11"/>
      <color theme="5"/>
      <name val="Aptos Narrow"/>
      <family val="2"/>
      <charset val="1"/>
    </font>
    <font>
      <sz val="11"/>
      <color theme="5"/>
      <name val="Aptos Narrow"/>
      <family val="2"/>
      <charset val="1"/>
    </font>
    <font>
      <sz val="11"/>
      <name val="Aptos Narrow"/>
      <family val="2"/>
      <charset val="1"/>
    </font>
    <font>
      <b val="true"/>
      <sz val="11"/>
      <color theme="8"/>
      <name val="Aptos Narrow"/>
      <family val="2"/>
      <charset val="1"/>
    </font>
  </fonts>
  <fills count="8">
    <fill>
      <patternFill patternType="none"/>
    </fill>
    <fill>
      <patternFill patternType="gray125"/>
    </fill>
    <fill>
      <patternFill patternType="solid">
        <fgColor theme="0"/>
        <bgColor rgb="FFFFF2CC"/>
      </patternFill>
    </fill>
    <fill>
      <patternFill patternType="solid">
        <fgColor rgb="FFFFF2CC"/>
        <bgColor rgb="FFFBE3D6"/>
      </patternFill>
    </fill>
    <fill>
      <patternFill patternType="solid">
        <fgColor rgb="FF1F4E78"/>
        <bgColor rgb="FF003366"/>
      </patternFill>
    </fill>
    <fill>
      <patternFill patternType="solid">
        <fgColor rgb="FFDDEBF7"/>
        <bgColor rgb="FFCCFFFF"/>
      </patternFill>
    </fill>
    <fill>
      <patternFill patternType="solid">
        <fgColor theme="5" tint="0.7999"/>
        <bgColor rgb="FFFFF2CC"/>
      </patternFill>
    </fill>
    <fill>
      <patternFill patternType="solid">
        <fgColor rgb="FFFFFF00"/>
        <bgColor rgb="FFFFFF00"/>
      </patternFill>
    </fill>
  </fills>
  <borders count="38">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medium"/>
      <right style="medium"/>
      <top style="medium"/>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style="medium"/>
      <right style="thin"/>
      <top/>
      <bottom/>
      <diagonal/>
    </border>
    <border diagonalUp="false" diagonalDown="false">
      <left style="thin"/>
      <right/>
      <top/>
      <bottom/>
      <diagonal/>
    </border>
    <border diagonalUp="false" diagonalDown="false">
      <left style="thin"/>
      <right style="medium"/>
      <top/>
      <bottom/>
      <diagonal/>
    </border>
    <border diagonalUp="false" diagonalDown="false">
      <left/>
      <right style="thin"/>
      <top/>
      <bottom/>
      <diagonal/>
    </border>
    <border diagonalUp="false" diagonalDown="false">
      <left style="thin"/>
      <right style="thin"/>
      <top style="thin"/>
      <bottom style="double"/>
      <diagonal/>
    </border>
    <border diagonalUp="false" diagonalDown="false">
      <left style="thin"/>
      <right/>
      <top style="thin"/>
      <bottom style="double"/>
      <diagonal/>
    </border>
    <border diagonalUp="false" diagonalDown="false">
      <left style="thin"/>
      <right style="medium"/>
      <top style="thin"/>
      <bottom style="double"/>
      <diagonal/>
    </border>
    <border diagonalUp="false" diagonalDown="false">
      <left style="medium"/>
      <right style="thin"/>
      <top style="thin"/>
      <bottom style="double"/>
      <diagonal/>
    </border>
    <border diagonalUp="false" diagonalDown="false">
      <left style="medium"/>
      <right style="thin"/>
      <top style="medium"/>
      <bottom style="double"/>
      <diagonal/>
    </border>
    <border diagonalUp="false" diagonalDown="false">
      <left style="thin"/>
      <right style="thin"/>
      <top style="medium"/>
      <bottom style="double"/>
      <diagonal/>
    </border>
    <border diagonalUp="false" diagonalDown="false">
      <left style="thin"/>
      <right/>
      <top style="medium"/>
      <bottom style="double"/>
      <diagonal/>
    </border>
    <border diagonalUp="false" diagonalDown="false">
      <left style="thin"/>
      <right style="medium"/>
      <top style="medium"/>
      <bottom style="double"/>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style="thin"/>
      <top style="double"/>
      <bottom/>
      <diagonal/>
    </border>
    <border diagonalUp="false" diagonalDown="false">
      <left style="thin"/>
      <right style="thin"/>
      <top style="double"/>
      <bottom/>
      <diagonal/>
    </border>
    <border diagonalUp="false" diagonalDown="false">
      <left style="thin"/>
      <right style="medium"/>
      <top style="double"/>
      <bottom/>
      <diagonal/>
    </border>
    <border diagonalUp="false" diagonalDown="false">
      <left/>
      <right style="medium"/>
      <top/>
      <bottom/>
      <diagonal/>
    </border>
    <border diagonalUp="false" diagonalDown="false">
      <left/>
      <right style="medium"/>
      <top style="thin"/>
      <bottom style="double"/>
      <diagonal/>
    </border>
    <border diagonalUp="false" diagonalDown="false">
      <left/>
      <right style="medium"/>
      <top style="double"/>
      <bottom/>
      <diagonal/>
    </border>
    <border diagonalUp="false" diagonalDown="false">
      <left style="medium"/>
      <right style="medium"/>
      <top/>
      <bottom style="medium"/>
      <diagonal/>
    </border>
    <border diagonalUp="false" diagonalDown="false">
      <left style="medium"/>
      <right style="thin"/>
      <top style="double"/>
      <bottom style="medium"/>
      <diagonal/>
    </border>
    <border diagonalUp="false" diagonalDown="false">
      <left style="thin"/>
      <right style="thin"/>
      <top style="double"/>
      <bottom style="medium"/>
      <diagonal/>
    </border>
    <border diagonalUp="false" diagonalDown="false">
      <left style="thin"/>
      <right/>
      <top style="double"/>
      <bottom style="medium"/>
      <diagonal/>
    </border>
    <border diagonalUp="false" diagonalDown="false">
      <left style="thin"/>
      <right style="medium"/>
      <top style="double"/>
      <bottom style="medium"/>
      <diagonal/>
    </border>
    <border diagonalUp="false" diagonalDown="false">
      <left style="medium"/>
      <right style="medium"/>
      <top/>
      <bottom/>
      <diagonal/>
    </border>
    <border diagonalUp="false" diagonalDown="false">
      <left style="medium"/>
      <right style="thin"/>
      <top style="thin"/>
      <bottom/>
      <diagonal/>
    </border>
    <border diagonalUp="false" diagonalDown="false">
      <left style="thin"/>
      <right style="medium"/>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cellStyleXfs>
  <cellXfs count="1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right" vertical="bottom" textRotation="0" wrapText="tru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false" applyProtection="false">
      <alignment horizontal="general" vertical="bottom" textRotation="0" wrapText="false" indent="0" shrinkToFit="false"/>
      <protection locked="true" hidden="false"/>
    </xf>
    <xf numFmtId="167" fontId="9" fillId="0" borderId="1" xfId="2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5" fontId="9" fillId="0" borderId="1" xfId="15" applyFont="true" applyBorder="tru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right"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7" fontId="13" fillId="3" borderId="1" xfId="0" applyFont="true" applyBorder="true" applyAlignment="false" applyProtection="false">
      <alignment horizontal="general" vertical="bottom" textRotation="0" wrapText="false" indent="0" shrinkToFit="false"/>
      <protection locked="true" hidden="false"/>
    </xf>
    <xf numFmtId="165" fontId="6" fillId="3" borderId="1" xfId="2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tru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right" vertical="bottom" textRotation="0" wrapText="true" indent="0" shrinkToFit="false"/>
      <protection locked="true" hidden="false"/>
    </xf>
    <xf numFmtId="164" fontId="8" fillId="0" borderId="2" xfId="0" applyFont="true" applyBorder="true" applyAlignment="true" applyProtection="false">
      <alignment horizontal="right" vertical="bottom" textRotation="0" wrapText="tru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2" borderId="3"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12" fillId="0" borderId="2" xfId="0" applyFont="true" applyBorder="true" applyAlignment="true" applyProtection="false">
      <alignment horizontal="right"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4" fontId="5" fillId="0" borderId="3" xfId="0" applyFont="true" applyBorder="true" applyAlignment="true" applyProtection="false">
      <alignment horizontal="right"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7" fontId="5" fillId="0" borderId="1" xfId="2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4" borderId="1" xfId="0" applyFont="true" applyBorder="true" applyAlignment="false" applyProtection="false">
      <alignment horizontal="general" vertical="bottom" textRotation="0" wrapText="false" indent="0" shrinkToFit="false"/>
      <protection locked="true" hidden="false"/>
    </xf>
    <xf numFmtId="164" fontId="16" fillId="4" borderId="1" xfId="0" applyFont="true" applyBorder="true" applyAlignment="false" applyProtection="false">
      <alignment horizontal="general" vertical="bottom" textRotation="0" wrapText="false" indent="0" shrinkToFit="false"/>
      <protection locked="true" hidden="false"/>
    </xf>
    <xf numFmtId="164" fontId="18" fillId="4" borderId="1" xfId="0" applyFont="true" applyBorder="true" applyAlignment="true" applyProtection="false">
      <alignment horizontal="center" vertical="bottom" textRotation="0" wrapText="tru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70" fontId="19" fillId="0" borderId="1" xfId="0" applyFont="true" applyBorder="true" applyAlignment="false" applyProtection="false">
      <alignment horizontal="general" vertical="bottom" textRotation="0" wrapText="false" indent="0" shrinkToFit="false"/>
      <protection locked="true" hidden="false"/>
    </xf>
    <xf numFmtId="170" fontId="20"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21" fillId="0" borderId="0" xfId="0" applyFont="true" applyBorder="true" applyAlignment="true" applyProtection="false">
      <alignment horizontal="center" vertical="bottom" textRotation="0" wrapText="false" indent="0" shrinkToFit="false"/>
      <protection locked="true" hidden="false"/>
    </xf>
    <xf numFmtId="164" fontId="22"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71" fontId="23" fillId="0" borderId="1" xfId="0" applyFont="true" applyBorder="true" applyAlignment="false" applyProtection="false">
      <alignment horizontal="general" vertical="bottom" textRotation="0" wrapText="false" indent="0" shrinkToFit="false"/>
      <protection locked="true" hidden="false"/>
    </xf>
    <xf numFmtId="171" fontId="24" fillId="0" borderId="1"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true" applyProtection="false">
      <alignment horizontal="center" vertical="bottom" textRotation="0" wrapText="false" indent="0" shrinkToFit="false"/>
      <protection locked="true" hidden="false"/>
    </xf>
    <xf numFmtId="164" fontId="26" fillId="5" borderId="1" xfId="0" applyFont="true" applyBorder="true" applyAlignment="true" applyProtection="false">
      <alignment horizontal="center" vertical="bottom" textRotation="0" wrapText="false" indent="0" shrinkToFit="false"/>
      <protection locked="true" hidden="false"/>
    </xf>
    <xf numFmtId="164" fontId="26" fillId="5" borderId="1" xfId="0" applyFont="true" applyBorder="true" applyAlignment="false" applyProtection="false">
      <alignment horizontal="general" vertical="bottom" textRotation="0" wrapText="false" indent="0" shrinkToFit="false"/>
      <protection locked="true" hidden="false"/>
    </xf>
    <xf numFmtId="171" fontId="24" fillId="5" borderId="1" xfId="0" applyFont="true" applyBorder="true" applyAlignment="false" applyProtection="false">
      <alignment horizontal="general" vertical="bottom" textRotation="0" wrapText="false" indent="0" shrinkToFit="false"/>
      <protection locked="true" hidden="false"/>
    </xf>
    <xf numFmtId="164" fontId="27" fillId="5" borderId="1"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18" fillId="4"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71" fontId="29" fillId="3" borderId="1" xfId="0" applyFont="true" applyBorder="true" applyAlignment="false" applyProtection="false">
      <alignment horizontal="general" vertical="bottom" textRotation="0" wrapText="false" indent="0" shrinkToFit="false"/>
      <protection locked="true" hidden="false"/>
    </xf>
    <xf numFmtId="171" fontId="20" fillId="3" borderId="1" xfId="0" applyFont="true" applyBorder="true" applyAlignment="false" applyProtection="false">
      <alignment horizontal="general" vertical="bottom" textRotation="0" wrapText="false" indent="0" shrinkToFit="false"/>
      <protection locked="true" hidden="false"/>
    </xf>
    <xf numFmtId="164" fontId="20"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71" fontId="20" fillId="5" borderId="1"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71" fontId="0" fillId="0" borderId="1" xfId="0" applyFont="true" applyBorder="true" applyAlignment="false" applyProtection="false">
      <alignment horizontal="general" vertical="bottom" textRotation="0" wrapText="false" indent="0" shrinkToFit="false"/>
      <protection locked="true" hidden="false"/>
    </xf>
    <xf numFmtId="171" fontId="20" fillId="0" borderId="1"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64" fontId="26" fillId="0" borderId="4" xfId="0" applyFont="true" applyBorder="true" applyAlignment="true" applyProtection="false">
      <alignment horizontal="center" vertical="bottom" textRotation="0" wrapText="false" indent="0" shrinkToFit="false"/>
      <protection locked="true" hidden="false"/>
    </xf>
    <xf numFmtId="164" fontId="26" fillId="0" borderId="5" xfId="0" applyFont="true" applyBorder="true" applyAlignment="true" applyProtection="false">
      <alignment horizontal="center" vertical="bottom" textRotation="0" wrapText="false" indent="0" shrinkToFit="false"/>
      <protection locked="true" hidden="false"/>
    </xf>
    <xf numFmtId="164" fontId="26" fillId="0" borderId="6" xfId="0" applyFont="true" applyBorder="true" applyAlignment="true" applyProtection="false">
      <alignment horizontal="center" vertical="bottom" textRotation="0" wrapText="false" indent="0" shrinkToFit="false"/>
      <protection locked="true" hidden="false"/>
    </xf>
    <xf numFmtId="164" fontId="26" fillId="0" borderId="7" xfId="0" applyFont="true" applyBorder="true" applyAlignment="true" applyProtection="false">
      <alignment horizontal="center" vertical="bottom" textRotation="0" wrapText="true" indent="0" shrinkToFit="false"/>
      <protection locked="true" hidden="false"/>
    </xf>
    <xf numFmtId="164" fontId="26" fillId="0" borderId="8"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general" vertical="bottom" textRotation="0" wrapText="tru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72" fontId="26" fillId="0" borderId="15" xfId="0" applyFont="true" applyBorder="true" applyAlignment="false" applyProtection="false">
      <alignment horizontal="general" vertical="bottom" textRotation="0" wrapText="fals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31" fillId="0" borderId="3" xfId="0" applyFont="true" applyBorder="true" applyAlignment="true" applyProtection="false">
      <alignment horizontal="left" vertical="bottom" textRotation="0" wrapText="false" indent="0" shrinkToFit="false"/>
      <protection locked="true" hidden="false"/>
    </xf>
    <xf numFmtId="164" fontId="32" fillId="0" borderId="3" xfId="0" applyFont="true" applyBorder="true" applyAlignment="true" applyProtection="false">
      <alignment horizontal="right" vertical="bottom" textRotation="0" wrapText="false" indent="0" shrinkToFit="false"/>
      <protection locked="true" hidden="false"/>
    </xf>
    <xf numFmtId="164" fontId="0" fillId="0" borderId="3" xfId="0" applyFont="true" applyBorder="true" applyAlignment="true" applyProtection="false">
      <alignment horizontal="right" vertical="bottom" textRotation="0" wrapText="false" indent="0" shrinkToFit="false"/>
      <protection locked="true" hidden="false"/>
    </xf>
    <xf numFmtId="172" fontId="0" fillId="0" borderId="15" xfId="0" applyFont="true" applyBorder="true" applyAlignment="true" applyProtection="false">
      <alignment horizontal="general" vertical="bottom" textRotation="0" wrapText="true" indent="0" shrinkToFit="false"/>
      <protection locked="true" hidden="false"/>
    </xf>
    <xf numFmtId="172" fontId="0" fillId="0" borderId="15" xfId="0" applyFont="true" applyBorder="true" applyAlignment="false" applyProtection="false">
      <alignment horizontal="general" vertical="bottom" textRotation="0" wrapText="false" indent="0" shrinkToFit="false"/>
      <protection locked="true" hidden="false"/>
    </xf>
    <xf numFmtId="164" fontId="33" fillId="0" borderId="3" xfId="0" applyFont="true" applyBorder="true" applyAlignment="true" applyProtection="false">
      <alignment horizontal="right" vertical="bottom" textRotation="0" wrapText="fals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64" fontId="0" fillId="0" borderId="18" xfId="0" applyFont="true" applyBorder="true" applyAlignment="false" applyProtection="false">
      <alignment horizontal="general" vertical="bottom" textRotation="0" wrapText="false" indent="0" shrinkToFit="false"/>
      <protection locked="true" hidden="false"/>
    </xf>
    <xf numFmtId="164" fontId="0" fillId="0" borderId="19" xfId="0" applyFont="true" applyBorder="true" applyAlignment="true" applyProtection="false">
      <alignment horizontal="general" vertical="bottom" textRotation="0" wrapText="true" indent="0" shrinkToFit="false"/>
      <protection locked="true" hidden="false"/>
    </xf>
    <xf numFmtId="172" fontId="26" fillId="0" borderId="20" xfId="0" applyFont="true" applyBorder="true" applyAlignment="false" applyProtection="false">
      <alignment horizontal="general" vertical="bottom" textRotation="0" wrapText="false" indent="0" shrinkToFit="false"/>
      <protection locked="true" hidden="false"/>
    </xf>
    <xf numFmtId="167" fontId="26" fillId="0" borderId="20" xfId="0" applyFont="true" applyBorder="true" applyAlignment="false" applyProtection="false">
      <alignment horizontal="general" vertical="bottom" textRotation="0" wrapText="false" indent="0" shrinkToFit="false"/>
      <protection locked="true" hidden="false"/>
    </xf>
    <xf numFmtId="164" fontId="34" fillId="3" borderId="1" xfId="0" applyFont="true" applyBorder="true" applyAlignment="false" applyProtection="false">
      <alignment horizontal="general" vertical="bottom" textRotation="0" wrapText="false" indent="0" shrinkToFit="false"/>
      <protection locked="true" hidden="false"/>
    </xf>
    <xf numFmtId="173" fontId="34" fillId="3" borderId="1" xfId="0" applyFont="true" applyBorder="true" applyAlignment="false" applyProtection="false">
      <alignment horizontal="general" vertical="bottom" textRotation="0" wrapText="false" indent="0" shrinkToFit="false"/>
      <protection locked="true" hidden="false"/>
    </xf>
    <xf numFmtId="174" fontId="29" fillId="3" borderId="1" xfId="0" applyFont="true" applyBorder="true" applyAlignment="false" applyProtection="false">
      <alignment horizontal="general" vertical="bottom" textRotation="0" wrapText="false" indent="0" shrinkToFit="false"/>
      <protection locked="true" hidden="false"/>
    </xf>
    <xf numFmtId="174" fontId="34" fillId="3" borderId="1" xfId="0" applyFont="true" applyBorder="true" applyAlignment="false" applyProtection="false">
      <alignment horizontal="general" vertical="bottom" textRotation="0" wrapText="false" indent="0" shrinkToFit="false"/>
      <protection locked="true" hidden="false"/>
    </xf>
    <xf numFmtId="174" fontId="20" fillId="3" borderId="1" xfId="0" applyFont="true" applyBorder="true" applyAlignment="false" applyProtection="false">
      <alignment horizontal="general" vertical="bottom" textRotation="0" wrapText="false" indent="0" shrinkToFit="false"/>
      <protection locked="true" hidden="false"/>
    </xf>
    <xf numFmtId="175" fontId="34" fillId="3" borderId="1" xfId="0" applyFont="true" applyBorder="true" applyAlignment="false" applyProtection="false">
      <alignment horizontal="general" vertical="bottom" textRotation="0" wrapText="false" indent="0" shrinkToFit="false"/>
      <protection locked="true" hidden="false"/>
    </xf>
    <xf numFmtId="164" fontId="35" fillId="6" borderId="4" xfId="0" applyFont="true" applyBorder="true" applyAlignment="true" applyProtection="false">
      <alignment horizontal="center" vertical="bottom" textRotation="0" wrapText="false" indent="0" shrinkToFit="false"/>
      <protection locked="true" hidden="false"/>
    </xf>
    <xf numFmtId="164" fontId="26" fillId="0" borderId="21" xfId="0" applyFont="true" applyBorder="true" applyAlignment="false" applyProtection="false">
      <alignment horizontal="general" vertical="bottom" textRotation="0" wrapText="false" indent="0" shrinkToFit="false"/>
      <protection locked="true" hidden="false"/>
    </xf>
    <xf numFmtId="164" fontId="26" fillId="0" borderId="22" xfId="0" applyFont="true" applyBorder="true" applyAlignment="false" applyProtection="false">
      <alignment horizontal="general" vertical="bottom" textRotation="0" wrapText="false" indent="0" shrinkToFit="false"/>
      <protection locked="true" hidden="false"/>
    </xf>
    <xf numFmtId="164" fontId="26" fillId="0" borderId="22" xfId="0" applyFont="true" applyBorder="true" applyAlignment="true" applyProtection="false">
      <alignment horizontal="general" vertical="bottom" textRotation="0" wrapText="true" indent="0" shrinkToFit="false"/>
      <protection locked="true" hidden="false"/>
    </xf>
    <xf numFmtId="164" fontId="26" fillId="0" borderId="23" xfId="0" applyFont="true" applyBorder="true" applyAlignment="false" applyProtection="false">
      <alignment horizontal="general" vertical="bottom" textRotation="0" wrapText="false" indent="0" shrinkToFit="false"/>
      <protection locked="true" hidden="false"/>
    </xf>
    <xf numFmtId="164" fontId="26" fillId="0" borderId="9" xfId="0" applyFont="true" applyBorder="true" applyAlignment="false" applyProtection="false">
      <alignment horizontal="general" vertical="bottom" textRotation="0" wrapText="false" indent="0" shrinkToFit="false"/>
      <protection locked="true" hidden="false"/>
    </xf>
    <xf numFmtId="164" fontId="26" fillId="0" borderId="3" xfId="0" applyFont="true" applyBorder="true" applyAlignment="false" applyProtection="false">
      <alignment horizontal="general" vertical="bottom" textRotation="0" wrapText="false" indent="0" shrinkToFit="false"/>
      <protection locked="true" hidden="false"/>
    </xf>
    <xf numFmtId="164" fontId="26" fillId="0" borderId="3" xfId="0" applyFont="tru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26" fillId="0" borderId="16" xfId="0" applyFont="true" applyBorder="true" applyAlignment="false" applyProtection="false">
      <alignment horizontal="general" vertical="bottom" textRotation="0" wrapText="false" indent="0" shrinkToFit="false"/>
      <protection locked="true" hidden="false"/>
    </xf>
    <xf numFmtId="164" fontId="26" fillId="0" borderId="13" xfId="0" applyFont="true" applyBorder="true" applyAlignment="false" applyProtection="false">
      <alignment horizontal="general" vertical="bottom" textRotation="0" wrapText="false" indent="0" shrinkToFit="false"/>
      <protection locked="true" hidden="false"/>
    </xf>
    <xf numFmtId="164" fontId="26" fillId="0" borderId="13" xfId="0" applyFont="true" applyBorder="true" applyAlignment="true" applyProtection="false">
      <alignment horizontal="general" vertical="bottom" textRotation="0" wrapText="true" indent="0" shrinkToFit="false"/>
      <protection locked="true" hidden="false"/>
    </xf>
    <xf numFmtId="164" fontId="0" fillId="0" borderId="13" xfId="0" applyFont="true" applyBorder="true" applyAlignment="true" applyProtection="false">
      <alignment horizontal="general" vertical="bottom" textRotation="0" wrapText="true" indent="0" shrinkToFit="false"/>
      <protection locked="true" hidden="false"/>
    </xf>
    <xf numFmtId="164" fontId="26" fillId="0" borderId="24" xfId="0" applyFont="true" applyBorder="true" applyAlignment="false" applyProtection="false">
      <alignment horizontal="general" vertical="bottom" textRotation="0" wrapText="false" indent="0" shrinkToFit="false"/>
      <protection locked="true" hidden="false"/>
    </xf>
    <xf numFmtId="164" fontId="26" fillId="0" borderId="25" xfId="0" applyFont="true" applyBorder="true" applyAlignment="false" applyProtection="false">
      <alignment horizontal="general" vertical="bottom" textRotation="0" wrapText="false" indent="0" shrinkToFit="false"/>
      <protection locked="true" hidden="false"/>
    </xf>
    <xf numFmtId="164" fontId="26" fillId="0" borderId="25" xfId="0" applyFont="true" applyBorder="true" applyAlignment="true" applyProtection="false">
      <alignment horizontal="general" vertical="bottom" textRotation="0" wrapText="true" indent="0" shrinkToFit="false"/>
      <protection locked="true" hidden="false"/>
    </xf>
    <xf numFmtId="164" fontId="26" fillId="0" borderId="26" xfId="0" applyFont="true" applyBorder="true" applyAlignment="false" applyProtection="false">
      <alignment horizontal="general" vertical="bottom" textRotation="0" wrapText="false" indent="0" shrinkToFit="false"/>
      <protection locked="true" hidden="false"/>
    </xf>
    <xf numFmtId="164" fontId="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true" applyBorder="true" applyAlignment="true" applyProtection="false">
      <alignment horizontal="general" vertical="bottom" textRotation="0" wrapText="true" indent="0" shrinkToFit="false"/>
      <protection locked="true" hidden="false"/>
    </xf>
    <xf numFmtId="164" fontId="26" fillId="0" borderId="11" xfId="0" applyFont="true" applyBorder="true" applyAlignment="false" applyProtection="false">
      <alignment horizontal="general" vertical="bottom" textRotation="0" wrapText="false" indent="0" shrinkToFit="false"/>
      <protection locked="true" hidden="false"/>
    </xf>
    <xf numFmtId="164" fontId="31" fillId="0" borderId="3" xfId="0" applyFont="true" applyBorder="true" applyAlignment="true" applyProtection="false">
      <alignment horizontal="right" vertical="bottom" textRotation="0" wrapText="false" indent="0" shrinkToFit="false"/>
      <protection locked="true" hidden="false"/>
    </xf>
    <xf numFmtId="164" fontId="26" fillId="0" borderId="27" xfId="0" applyFont="true" applyBorder="true" applyAlignment="false" applyProtection="false">
      <alignment horizontal="general" vertical="bottom" textRotation="0" wrapText="false" indent="0" shrinkToFit="false"/>
      <protection locked="true" hidden="false"/>
    </xf>
    <xf numFmtId="172" fontId="0" fillId="0" borderId="28" xfId="0" applyFont="true" applyBorder="true" applyAlignment="false" applyProtection="false">
      <alignment horizontal="general" vertical="bottom" textRotation="0" wrapText="false" indent="0" shrinkToFit="false"/>
      <protection locked="true" hidden="false"/>
    </xf>
    <xf numFmtId="164" fontId="26" fillId="0" borderId="29" xfId="0" applyFont="true" applyBorder="true" applyAlignment="false" applyProtection="false">
      <alignment horizontal="general" vertical="bottom" textRotation="0" wrapText="false" indent="0" shrinkToFit="false"/>
      <protection locked="true" hidden="false"/>
    </xf>
    <xf numFmtId="164" fontId="26" fillId="0" borderId="17" xfId="0" applyFont="true" applyBorder="true" applyAlignment="false" applyProtection="false">
      <alignment horizontal="general" vertical="bottom" textRotation="0" wrapText="false" indent="0" shrinkToFit="false"/>
      <protection locked="true" hidden="false"/>
    </xf>
    <xf numFmtId="164" fontId="26" fillId="0" borderId="18" xfId="0" applyFont="true" applyBorder="true" applyAlignment="false" applyProtection="false">
      <alignment horizontal="general" vertical="bottom" textRotation="0" wrapText="false" indent="0" shrinkToFit="false"/>
      <protection locked="true" hidden="false"/>
    </xf>
    <xf numFmtId="164" fontId="26" fillId="0" borderId="18" xfId="0" applyFont="true" applyBorder="true" applyAlignment="true" applyProtection="false">
      <alignment horizontal="general" vertical="bottom" textRotation="0" wrapText="true" indent="0" shrinkToFit="false"/>
      <protection locked="true" hidden="false"/>
    </xf>
    <xf numFmtId="164" fontId="0" fillId="0" borderId="18" xfId="0" applyFont="true" applyBorder="true" applyAlignment="true" applyProtection="false">
      <alignment horizontal="general" vertical="bottom" textRotation="0" wrapText="tru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xf numFmtId="164" fontId="30" fillId="3"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36" fillId="0" borderId="4" xfId="0" applyFont="true" applyBorder="true" applyAlignment="true" applyProtection="false">
      <alignment horizontal="center"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3" xfId="0" applyFont="true" applyBorder="true" applyAlignment="true" applyProtection="false">
      <alignment horizontal="right" vertical="bottom" textRotation="0" wrapText="false" indent="0" shrinkToFit="false"/>
      <protection locked="true" hidden="false"/>
    </xf>
    <xf numFmtId="164" fontId="26" fillId="0" borderId="30" xfId="0" applyFont="true" applyBorder="true" applyAlignment="true" applyProtection="false">
      <alignment horizontal="center" vertical="bottom" textRotation="0" wrapText="false" indent="0" shrinkToFit="false"/>
      <protection locked="true" hidden="false"/>
    </xf>
    <xf numFmtId="164" fontId="26" fillId="0" borderId="7" xfId="0" applyFont="tru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0" fillId="0" borderId="3" xfId="0" applyFont="true" applyBorder="true" applyAlignment="true" applyProtection="false">
      <alignment horizontal="left" vertical="bottom" textRotation="0" wrapText="false" indent="0" shrinkToFit="false"/>
      <protection locked="true" hidden="false"/>
    </xf>
    <xf numFmtId="164" fontId="38" fillId="0" borderId="9" xfId="0" applyFont="true" applyBorder="true" applyAlignment="true" applyProtection="false">
      <alignment horizontal="center" vertical="bottom" textRotation="0" wrapText="false" indent="0" shrinkToFit="false"/>
      <protection locked="true" hidden="false"/>
    </xf>
    <xf numFmtId="164" fontId="38" fillId="0" borderId="3" xfId="0" applyFont="true" applyBorder="true" applyAlignment="true" applyProtection="false">
      <alignment horizontal="center" vertical="bottom" textRotation="0" wrapText="false" indent="0" shrinkToFit="false"/>
      <protection locked="true" hidden="false"/>
    </xf>
    <xf numFmtId="164" fontId="38" fillId="0" borderId="3" xfId="0" applyFont="true" applyBorder="true" applyAlignment="false" applyProtection="false">
      <alignment horizontal="general" vertical="bottom" textRotation="0" wrapText="false" indent="0" shrinkToFit="false"/>
      <protection locked="true" hidden="false"/>
    </xf>
    <xf numFmtId="172" fontId="38" fillId="0" borderId="10" xfId="0" applyFont="true" applyBorder="true" applyAlignment="false" applyProtection="false">
      <alignment horizontal="general" vertical="bottom" textRotation="0" wrapText="false" indent="0" shrinkToFit="false"/>
      <protection locked="true" hidden="false"/>
    </xf>
    <xf numFmtId="172" fontId="38" fillId="0" borderId="1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8" fillId="0" borderId="3" xfId="0" applyFont="true" applyBorder="true" applyAlignment="true" applyProtection="false">
      <alignment horizontal="left" vertical="bottom" textRotation="0" wrapText="false" indent="0" shrinkToFit="false"/>
      <protection locked="true" hidden="false"/>
    </xf>
    <xf numFmtId="164" fontId="26" fillId="0" borderId="31" xfId="0" applyFont="true" applyBorder="true" applyAlignment="false" applyProtection="false">
      <alignment horizontal="general" vertical="bottom" textRotation="0" wrapText="false" indent="0" shrinkToFit="false"/>
      <protection locked="true" hidden="false"/>
    </xf>
    <xf numFmtId="164" fontId="26" fillId="0" borderId="32" xfId="0" applyFont="true" applyBorder="true" applyAlignment="false" applyProtection="false">
      <alignment horizontal="general" vertical="bottom" textRotation="0" wrapText="false" indent="0" shrinkToFit="false"/>
      <protection locked="true" hidden="false"/>
    </xf>
    <xf numFmtId="164" fontId="26" fillId="0" borderId="33" xfId="0" applyFont="true" applyBorder="true" applyAlignment="false" applyProtection="false">
      <alignment horizontal="general" vertical="bottom" textRotation="0" wrapText="false" indent="0" shrinkToFit="false"/>
      <protection locked="true" hidden="false"/>
    </xf>
    <xf numFmtId="164" fontId="26" fillId="0" borderId="34"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0" fillId="0" borderId="21" xfId="0" applyFont="true" applyBorder="true" applyAlignment="false" applyProtection="false">
      <alignment horizontal="general" vertical="bottom" textRotation="0" wrapText="false" indent="0" shrinkToFit="false"/>
      <protection locked="true" hidden="false"/>
    </xf>
    <xf numFmtId="164" fontId="0" fillId="0" borderId="22" xfId="0" applyFont="true" applyBorder="true" applyAlignment="true" applyProtection="false">
      <alignment horizontal="left" vertical="bottom" textRotation="0" wrapText="false" indent="0" shrinkToFit="false"/>
      <protection locked="true" hidden="false"/>
    </xf>
    <xf numFmtId="164" fontId="0" fillId="0" borderId="22" xfId="0" applyFont="true" applyBorder="true" applyAlignment="false" applyProtection="false">
      <alignment horizontal="general" vertical="bottom" textRotation="0" wrapText="false" indent="0" shrinkToFit="false"/>
      <protection locked="true" hidden="false"/>
    </xf>
    <xf numFmtId="164" fontId="0" fillId="0" borderId="23" xfId="0" applyFont="true" applyBorder="true" applyAlignment="false" applyProtection="false">
      <alignment horizontal="general" vertical="bottom" textRotation="0" wrapText="false" indent="0" shrinkToFit="false"/>
      <protection locked="true" hidden="false"/>
    </xf>
    <xf numFmtId="164" fontId="26" fillId="0" borderId="13" xfId="0" applyFont="true" applyBorder="true" applyAlignment="true" applyProtection="false">
      <alignment horizontal="left" vertical="bottom" textRotation="0" wrapText="false" indent="0" shrinkToFit="false"/>
      <protection locked="true" hidden="false"/>
    </xf>
    <xf numFmtId="164" fontId="26" fillId="0" borderId="35" xfId="0" applyFont="true" applyBorder="true" applyAlignment="false" applyProtection="false">
      <alignment horizontal="general" vertical="bottom" textRotation="0" wrapText="false" indent="0" shrinkToFit="false"/>
      <protection locked="true" hidden="false"/>
    </xf>
    <xf numFmtId="164" fontId="39" fillId="0" borderId="4" xfId="0" applyFont="true" applyBorder="true" applyAlignment="true" applyProtection="false">
      <alignment horizontal="center"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3" fillId="0" borderId="3" xfId="0" applyFont="true" applyBorder="true" applyAlignment="true" applyProtection="false">
      <alignment horizontal="left" vertical="bottom" textRotation="0" wrapText="false" indent="0" shrinkToFit="false"/>
      <protection locked="true" hidden="false"/>
    </xf>
    <xf numFmtId="164" fontId="0" fillId="0" borderId="35" xfId="0" applyFont="true" applyBorder="true" applyAlignment="false" applyProtection="false">
      <alignment horizontal="general" vertical="bottom" textRotation="0" wrapText="false" indent="0" shrinkToFit="false"/>
      <protection locked="true" hidden="false"/>
    </xf>
    <xf numFmtId="164" fontId="26" fillId="0" borderId="5"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6" fillId="0" borderId="5" xfId="0" applyFont="true" applyBorder="true" applyAlignment="true" applyProtection="false">
      <alignment horizontal="center" vertical="center" textRotation="0" wrapText="true" indent="0" shrinkToFit="false"/>
      <protection locked="true" hidden="false"/>
    </xf>
    <xf numFmtId="164" fontId="0" fillId="0" borderId="36"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false" applyProtection="false">
      <alignment horizontal="general" vertical="bottom" textRotation="0" wrapText="false" indent="0" shrinkToFit="false"/>
      <protection locked="true" hidden="false"/>
    </xf>
    <xf numFmtId="164" fontId="26" fillId="0" borderId="5" xfId="0" applyFont="true" applyBorder="true" applyAlignment="false" applyProtection="false">
      <alignment horizontal="general" vertical="bottom" textRotation="0" wrapText="false" indent="0" shrinkToFit="false"/>
      <protection locked="true" hidden="false"/>
    </xf>
    <xf numFmtId="164" fontId="26" fillId="0" borderId="6" xfId="0" applyFont="true" applyBorder="true" applyAlignment="false" applyProtection="false">
      <alignment horizontal="general" vertical="bottom" textRotation="0" wrapText="false" indent="0" shrinkToFit="false"/>
      <protection locked="true" hidden="false"/>
    </xf>
    <xf numFmtId="172" fontId="26" fillId="0" borderId="8" xfId="0" applyFont="true" applyBorder="tru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omma 3" xfId="21"/>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B77A0"/>
      <rgbColor rgb="FFB4E5A2"/>
      <rgbColor rgb="FF808080"/>
      <rgbColor rgb="FF9999FF"/>
      <rgbColor rgb="FFA02B93"/>
      <rgbColor rgb="FFFFF2CC"/>
      <rgbColor rgb="FFDDEBF7"/>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C2F1C8"/>
      <rgbColor rgb="FFFFFF99"/>
      <rgbColor rgb="FF99CCFF"/>
      <rgbColor rgb="FFFF99CC"/>
      <rgbColor rgb="FFCC99FF"/>
      <rgbColor rgb="FFFBE3D6"/>
      <rgbColor rgb="FF3366FF"/>
      <rgbColor rgb="FF33CCCC"/>
      <rgbColor rgb="FF99CC00"/>
      <rgbColor rgb="FFFFC000"/>
      <rgbColor rgb="FFFF9900"/>
      <rgbColor rgb="FFE97132"/>
      <rgbColor rgb="FF666699"/>
      <rgbColor rgb="FF969696"/>
      <rgbColor rgb="FF003366"/>
      <rgbColor rgb="FF339966"/>
      <rgbColor rgb="FF003300"/>
      <rgbColor rgb="FF333300"/>
      <rgbColor rgb="FFC04F15"/>
      <rgbColor rgb="FF78206E"/>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externalLink" Target="externalLinks/externalLink1.xml"/><Relationship Id="rId20" Type="http://schemas.openxmlformats.org/officeDocument/2006/relationships/externalLink" Target="externalLinks/externalLink2.xml"/><Relationship Id="rId21" Type="http://schemas.openxmlformats.org/officeDocument/2006/relationships/externalLink" Target="externalLinks/externalLink3.xml"/><Relationship Id="rId22" Type="http://schemas.openxmlformats.org/officeDocument/2006/relationships/externalLink" Target="externalLinks/externalLink4.xml"/><Relationship Id="rId23" Type="http://schemas.openxmlformats.org/officeDocument/2006/relationships/externalLink" Target="externalLinks/externalLink5.xml"/><Relationship Id="rId24" Type="http://schemas.openxmlformats.org/officeDocument/2006/relationships/externalLink" Target="externalLinks/externalLink6.xml"/><Relationship Id="rId25" Type="http://schemas.openxmlformats.org/officeDocument/2006/relationships/externalLink" Target="externalLinks/externalLink7.xml"/><Relationship Id="rId26" Type="http://schemas.openxmlformats.org/officeDocument/2006/relationships/externalLink" Target="externalLinks/externalLink8.xml"/><Relationship Id="rId27" Type="http://schemas.openxmlformats.org/officeDocument/2006/relationships/externalLink" Target="externalLinks/externalLink9.xml"/><Relationship Id="rId28" Type="http://schemas.openxmlformats.org/officeDocument/2006/relationships/externalLink" Target="externalLinks/externalLink10.xml"/><Relationship Id="rId29" Type="http://schemas.openxmlformats.org/officeDocument/2006/relationships/externalLink" Target="externalLinks/externalLink11.xml"/><Relationship Id="rId30" Type="http://schemas.openxmlformats.org/officeDocument/2006/relationships/externalLink" Target="externalLinks/externalLink12.xml"/><Relationship Id="rId31" Type="http://schemas.openxmlformats.org/officeDocument/2006/relationships/externalLink" Target="externalLinks/externalLink13.xml"/><Relationship Id="rId32" Type="http://schemas.openxmlformats.org/officeDocument/2006/relationships/externalLink" Target="externalLinks/externalLink14.xml"/><Relationship Id="rId33" Type="http://schemas.openxmlformats.org/officeDocument/2006/relationships/externalLink" Target="externalLinks/externalLink15.xml"/><Relationship Id="rId34" Type="http://schemas.openxmlformats.org/officeDocument/2006/relationships/externalLink" Target="externalLinks/externalLink16.xml"/><Relationship Id="rId35" Type="http://schemas.openxmlformats.org/officeDocument/2006/relationships/externalLink" Target="externalLinks/externalLink17.xml"/><Relationship Id="rId36" Type="http://schemas.openxmlformats.org/officeDocument/2006/relationships/externalLink" Target="externalLinks/externalLink18.xml"/><Relationship Id="rId37" Type="http://schemas.openxmlformats.org/officeDocument/2006/relationships/externalLink" Target="externalLinks/externalLink19.xml"/><Relationship Id="rId38" Type="http://schemas.openxmlformats.org/officeDocument/2006/relationships/externalLink" Target="externalLinks/externalLink20.xml"/><Relationship Id="rId39" Type="http://schemas.openxmlformats.org/officeDocument/2006/relationships/externalLink" Target="externalLinks/externalLink21.xml"/><Relationship Id="rId40" Type="http://schemas.openxmlformats.org/officeDocument/2006/relationships/externalLink" Target="externalLinks/externalLink22.xml"/><Relationship Id="rId41" Type="http://schemas.openxmlformats.org/officeDocument/2006/relationships/externalLink" Target="externalLinks/externalLink23.xml"/><Relationship Id="rId42" Type="http://schemas.openxmlformats.org/officeDocument/2006/relationships/externalLink" Target="externalLinks/externalLink24.xml"/><Relationship Id="rId43" Type="http://schemas.openxmlformats.org/officeDocument/2006/relationships/externalLink" Target="externalLinks/externalLink25.xml"/><Relationship Id="rId44" Type="http://schemas.openxmlformats.org/officeDocument/2006/relationships/externalLink" Target="externalLinks/externalLink26.xml"/><Relationship Id="rId45" Type="http://schemas.openxmlformats.org/officeDocument/2006/relationships/externalLink" Target="externalLinks/externalLink27.xml"/><Relationship Id="rId46" Type="http://schemas.openxmlformats.org/officeDocument/2006/relationships/externalLink" Target="externalLinks/externalLink28.xml"/><Relationship Id="rId47" Type="http://schemas.openxmlformats.org/officeDocument/2006/relationships/externalLink" Target="externalLinks/externalLink29.xml"/><Relationship Id="rId48" Type="http://schemas.openxmlformats.org/officeDocument/2006/relationships/externalLink" Target="externalLinks/externalLink30.xml"/><Relationship Id="rId49" Type="http://schemas.openxmlformats.org/officeDocument/2006/relationships/externalLink" Target="externalLinks/externalLink31.xml"/><Relationship Id="rId50" Type="http://schemas.openxmlformats.org/officeDocument/2006/relationships/externalLink" Target="externalLinks/externalLink32.xml"/><Relationship Id="rId51" Type="http://schemas.openxmlformats.org/officeDocument/2006/relationships/externalLink" Target="externalLinks/externalLink33.xml"/><Relationship Id="rId52" Type="http://schemas.openxmlformats.org/officeDocument/2006/relationships/externalLink" Target="externalLinks/externalLink34.xml"/><Relationship Id="rId53" Type="http://schemas.openxmlformats.org/officeDocument/2006/relationships/externalLink" Target="externalLinks/externalLink35.xml"/><Relationship Id="rId54" Type="http://schemas.openxmlformats.org/officeDocument/2006/relationships/externalLink" Target="externalLinks/externalLink36.xml"/><Relationship Id="rId55" Type="http://schemas.openxmlformats.org/officeDocument/2006/relationships/externalLink" Target="externalLinks/externalLink37.xml"/><Relationship Id="rId56" Type="http://schemas.openxmlformats.org/officeDocument/2006/relationships/externalLink" Target="externalLinks/externalLink38.xml"/><Relationship Id="rId57" Type="http://schemas.openxmlformats.org/officeDocument/2006/relationships/externalLink" Target="externalLinks/externalLink39.xml"/><Relationship Id="rId58" Type="http://schemas.openxmlformats.org/officeDocument/2006/relationships/externalLink" Target="externalLinks/externalLink40.xml"/><Relationship Id="rId59" Type="http://schemas.openxmlformats.org/officeDocument/2006/relationships/externalLink" Target="externalLinks/externalLink41.xml"/><Relationship Id="rId60" Type="http://schemas.openxmlformats.org/officeDocument/2006/relationships/externalLink" Target="externalLinks/externalLink42.xml"/><Relationship Id="rId61" Type="http://schemas.openxmlformats.org/officeDocument/2006/relationships/externalLink" Target="externalLinks/externalLink43.xml"/><Relationship Id="rId62" Type="http://schemas.openxmlformats.org/officeDocument/2006/relationships/externalLink" Target="externalLinks/externalLink44.xml"/><Relationship Id="rId63" Type="http://schemas.openxmlformats.org/officeDocument/2006/relationships/externalLink" Target="externalLinks/externalLink45.xml"/><Relationship Id="rId64" Type="http://schemas.openxmlformats.org/officeDocument/2006/relationships/externalLink" Target="externalLinks/externalLink46.xml"/><Relationship Id="rId65" Type="http://schemas.openxmlformats.org/officeDocument/2006/relationships/externalLink" Target="externalLinks/externalLink47.xml"/><Relationship Id="rId66" Type="http://schemas.openxmlformats.org/officeDocument/2006/relationships/externalLink" Target="externalLinks/externalLink48.xml"/><Relationship Id="rId67" Type="http://schemas.openxmlformats.org/officeDocument/2006/relationships/externalLink" Target="externalLinks/externalLink49.xml"/><Relationship Id="rId68" Type="http://schemas.openxmlformats.org/officeDocument/2006/relationships/externalLink" Target="externalLinks/externalLink50.xml"/><Relationship Id="rId69" Type="http://schemas.openxmlformats.org/officeDocument/2006/relationships/externalLink" Target="externalLinks/externalLink51.xml"/><Relationship Id="rId70" Type="http://schemas.openxmlformats.org/officeDocument/2006/relationships/externalLink" Target="externalLinks/externalLink52.xml"/><Relationship Id="rId71" Type="http://schemas.openxmlformats.org/officeDocument/2006/relationships/externalLink" Target="externalLinks/externalLink53.xml"/><Relationship Id="rId72" Type="http://schemas.openxmlformats.org/officeDocument/2006/relationships/externalLink" Target="externalLinks/externalLink54.xml"/><Relationship Id="rId73" Type="http://schemas.openxmlformats.org/officeDocument/2006/relationships/externalLink" Target="externalLinks/externalLink55.xml"/><Relationship Id="rId74" Type="http://schemas.openxmlformats.org/officeDocument/2006/relationships/externalLink" Target="externalLinks/externalLink56.xml"/><Relationship Id="rId75" Type="http://schemas.openxmlformats.org/officeDocument/2006/relationships/externalLink" Target="externalLinks/externalLink57.xml"/><Relationship Id="rId76" Type="http://schemas.openxmlformats.org/officeDocument/2006/relationships/externalLink" Target="externalLinks/externalLink58.xml"/><Relationship Id="rId77" Type="http://schemas.openxmlformats.org/officeDocument/2006/relationships/externalLink" Target="externalLinks/externalLink59.xml"/><Relationship Id="rId78" Type="http://schemas.openxmlformats.org/officeDocument/2006/relationships/externalLink" Target="externalLinks/externalLink60.xml"/><Relationship Id="rId79" Type="http://schemas.openxmlformats.org/officeDocument/2006/relationships/externalLink" Target="externalLinks/externalLink61.xml"/><Relationship Id="rId80" Type="http://schemas.openxmlformats.org/officeDocument/2006/relationships/externalLink" Target="externalLinks/externalLink62.xml"/><Relationship Id="rId81" Type="http://schemas.openxmlformats.org/officeDocument/2006/relationships/externalLink" Target="externalLinks/externalLink63.xml"/><Relationship Id="rId82" Type="http://schemas.openxmlformats.org/officeDocument/2006/relationships/externalLink" Target="externalLinks/externalLink64.xml"/><Relationship Id="rId83" Type="http://schemas.openxmlformats.org/officeDocument/2006/relationships/externalLink" Target="externalLinks/externalLink65.xml"/><Relationship Id="rId84" Type="http://schemas.openxmlformats.org/officeDocument/2006/relationships/externalLink" Target="externalLinks/externalLink66.xml"/><Relationship Id="rId85" Type="http://schemas.openxmlformats.org/officeDocument/2006/relationships/externalLink" Target="externalLinks/externalLink67.xml"/><Relationship Id="rId86" Type="http://schemas.openxmlformats.org/officeDocument/2006/relationships/externalLink" Target="externalLinks/externalLink68.xml"/><Relationship Id="rId87" Type="http://schemas.openxmlformats.org/officeDocument/2006/relationships/externalLink" Target="externalLinks/externalLink69.xml"/><Relationship Id="rId88" Type="http://schemas.openxmlformats.org/officeDocument/2006/relationships/externalLink" Target="externalLinks/externalLink70.xml"/><Relationship Id="rId89" Type="http://schemas.openxmlformats.org/officeDocument/2006/relationships/externalLink" Target="externalLinks/externalLink71.xml"/><Relationship Id="rId90" Type="http://schemas.openxmlformats.org/officeDocument/2006/relationships/externalLink" Target="externalLinks/externalLink72.xml"/><Relationship Id="rId91" Type="http://schemas.openxmlformats.org/officeDocument/2006/relationships/externalLink" Target="externalLinks/externalLink73.xml"/><Relationship Id="rId92" Type="http://schemas.openxmlformats.org/officeDocument/2006/relationships/externalLink" Target="externalLinks/externalLink74.xml"/><Relationship Id="rId93" Type="http://schemas.openxmlformats.org/officeDocument/2006/relationships/externalLink" Target="externalLinks/externalLink75.xml"/><Relationship Id="rId94" Type="http://schemas.openxmlformats.org/officeDocument/2006/relationships/externalLink" Target="externalLinks/externalLink76.xml"/><Relationship Id="rId95" Type="http://schemas.openxmlformats.org/officeDocument/2006/relationships/externalLink" Target="externalLinks/externalLink77.xml"/><Relationship Id="rId96" Type="http://schemas.openxmlformats.org/officeDocument/2006/relationships/externalLink" Target="externalLinks/externalLink78.xml"/><Relationship Id="rId97" Type="http://schemas.openxmlformats.org/officeDocument/2006/relationships/externalLink" Target="externalLinks/externalLink79.xml"/><Relationship Id="rId98"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Z:/ELEMKA/D/ARXEIO/Power%20Plants/DEIR%20ALI%20II/05.BUDGET-COST/BOQ/Rev%206/6b_120606/10001_BOQ_rev6a_120606_actual.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Users/michael.anane/OneDrive/Desktop/ICGC%20-HGT/BOQ/BAPTISTRY/valuations/ICGC-HGT-%20Baptistry%20Revised%20BOQ%20-%20valuation-%20August%20-%202024-08-06.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Laptop/laptop%20(e)/Jobs%20in%20Hand/new%20projects/cables/cableselect.xls"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https://d.docs.live.net/Users/PC/RAS%20RATE%20ANALYSIS%201.xlsm" TargetMode="External"/>
</Relationships>
</file>

<file path=xl/externalLinks/_rels/externalLink5.xml.rels><?xml version="1.0" encoding="UTF-8"?>
<Relationships xmlns="http://schemas.openxmlformats.org/package/2006/relationships"><Relationship Id="rId1" Type="http://schemas.openxmlformats.org/officeDocument/2006/relationships/externalLinkPath" Target="../../../../Users/michael.anane/OneDrive/Desktop/CEDI%20HOUSE/Cedi%20House%20BOQ%20-%202024-02-29-SG-Submiited.xlsx" TargetMode="External"/>
</Relationships>
</file>

<file path=xl/externalLinks/_rels/externalLink6.xml.rels><?xml version="1.0" encoding="UTF-8"?>
<Relationships xmlns="http://schemas.openxmlformats.org/package/2006/relationships"><Relationship Id="rId1" Type="http://schemas.openxmlformats.org/officeDocument/2006/relationships/externalLinkPath" Target="../../../../Users/sedem.tay/Desktop/Thoroughbred/Updated%20BOQ%20and%20Drawing/BOQ/Thoroughbred%20Place%20-Contract%20Bills%20of%20Quantities%20-%20Spektra%20Global%20-%202025-08-07%20rev%201.xlsx" TargetMode="External"/>
</Relationships>
</file>

<file path=xl/externalLinks/_rels/externalLink7.xml.rels><?xml version="1.0" encoding="UTF-8"?>
<Relationships xmlns="http://schemas.openxmlformats.org/package/2006/relationships"><Relationship Id="rId1" Type="http://schemas.openxmlformats.org/officeDocument/2006/relationships/externalLinkPath" Target="../../../../@/Comp2/D/Jobs%20in%20Hand/new%20projects/pointwiring/pointrate.xls" TargetMode="External"/>
</Relationships>
</file>

<file path=xl/externalLinks/_rels/externalLink8.xml.rels><?xml version="1.0" encoding="UTF-8"?>
<Relationships xmlns="http://schemas.openxmlformats.org/package/2006/relationships"><Relationship Id="rId1" Type="http://schemas.openxmlformats.org/officeDocument/2006/relationships/externalLinkPath" Target="../../../../SERVER/Users/George/AppData/Local/Temp/Users/George/Downloads/Documents%20and%20Settings/JB%20Wellington/My%20Documents/K.%20K.%20R.%20Project/June%20&apos;06%20~%20April%20&apos;07/Statement%20No.%2022%20-%20IPC%20No.%2022.xls" TargetMode="External"/>
</Relationships>
</file>

<file path=xl/externalLinks/_rels/externalLink9.xml.rels><?xml version="1.0" encoding="UTF-8"?>
<Relationships xmlns="http://schemas.openxmlformats.org/package/2006/relationships"><Relationship Id="rId1" Type="http://schemas.openxmlformats.org/officeDocument/2006/relationships/externalLinkPath" Target="../../../../SERVER/Users/George/AppData/Local/Temp/Users/George/Downloads/Documents%20and%20Settings/JB%20Wellington/My%20Documents/MSF%20Doc/N1%20Lot%202/Tender%20Document/3245%20MIDA%20N1_MSF%20US$%20FINAL.xls" TargetMode="External"/>
</Relationships>
</file>

<file path=xl/externalLinks/_rels/externalLink10.xml.rels><?xml version="1.0" encoding="UTF-8"?>
<Relationships xmlns="http://schemas.openxmlformats.org/package/2006/relationships"><Relationship Id="rId1" Type="http://schemas.openxmlformats.org/officeDocument/2006/relationships/externalLinkPath" Target="../../../../H:/New%20Folder%2001-01-13/IGIP%20WR%20Project/Docs%20for%20Project%20Execution/Draft%20Tender%20Documents-Civil%20Works/Final%20Draft%20Tender%20Documents/Blank%2011934%20BOQ%20-%20EBi%20130507%20final%20update.xlsx" TargetMode="External"/>
</Relationships>
</file>

<file path=xl/externalLinks/_rels/externalLink11.xml.rels><?xml version="1.0" encoding="UTF-8"?>
<Relationships xmlns="http://schemas.openxmlformats.org/package/2006/relationships"><Relationship Id="rId1" Type="http://schemas.openxmlformats.org/officeDocument/2006/relationships/externalLinkPath" Target="https://d.docs.live.net/678f6be95bf1c535/Desktop/Bouake/BOUAKE%20VILLA%20PROPOSED%20BOQ%5EJ%20REV%206%5EJ%202023-05-26.xlsx" TargetMode="External"/>
</Relationships>
</file>

<file path=xl/externalLinks/_rels/externalLink12.xml.rels><?xml version="1.0" encoding="UTF-8"?>
<Relationships xmlns="http://schemas.openxmlformats.org/package/2006/relationships"><Relationship Id="rId1" Type="http://schemas.openxmlformats.org/officeDocument/2006/relationships/externalLinkPath" Target="../../../../Users/bones/Desktop/EXCEL/FMP%200001.xls" TargetMode="External"/>
</Relationships>
</file>

<file path=xl/externalLinks/_rels/externalLink13.xml.rels><?xml version="1.0" encoding="UTF-8"?>
<Relationships xmlns="http://schemas.openxmlformats.org/package/2006/relationships"><Relationship Id="rId1" Type="http://schemas.openxmlformats.org/officeDocument/2006/relationships/externalLinkPath" Target="../../../../Users/eunice.sablah/Downloads/Maame%20Pokuaa%20Residence-BOQ-2024-05-28.%20Rev%205.xlsx" TargetMode="External"/>
</Relationships>
</file>

<file path=xl/externalLinks/_rels/externalLink14.xml.rels><?xml version="1.0" encoding="UTF-8"?>
<Relationships xmlns="http://schemas.openxmlformats.org/package/2006/relationships"><Relationship Id="rId1" Type="http://schemas.openxmlformats.org/officeDocument/2006/relationships/externalLinkPath" Target="../../../../Users/michael.anane/OneDrive/Desktop/Coulibaly/BOQ%20%20for%20Coulibaly%20Residence%20-%202023-09-04.xlsx" TargetMode="External"/>
</Relationships>
</file>

<file path=xl/externalLinks/_rels/externalLink15.xml.rels><?xml version="1.0" encoding="UTF-8"?>
<Relationships xmlns="http://schemas.openxmlformats.org/package/2006/relationships"><Relationship Id="rId1" Type="http://schemas.openxmlformats.org/officeDocument/2006/relationships/externalLinkPath" Target="../../../../SERVER/Users/George/AppData/Local/Temp/Users/George/Downloads/Users/User/AppData/Local/Temp/Documents%20and%20Settings/belchee1/My%20Documents/Kumasi-Techiman%20Contract/CVA&apos;s/CVA%20227-12-04.xls" TargetMode="External"/>
</Relationships>
</file>

<file path=xl/externalLinks/_rels/externalLink16.xml.rels><?xml version="1.0" encoding="UTF-8"?>
<Relationships xmlns="http://schemas.openxmlformats.org/package/2006/relationships"><Relationship Id="rId1" Type="http://schemas.openxmlformats.org/officeDocument/2006/relationships/externalLinkPath" Target="../../../../Users/sedem.tay/Downloads/Lakota%20Apartments%20-%202023-07-12.xlsx" TargetMode="External"/>
</Relationships>
</file>

<file path=xl/externalLinks/_rels/externalLink17.xml.rels><?xml version="1.0" encoding="UTF-8"?>
<Relationships xmlns="http://schemas.openxmlformats.org/package/2006/relationships"><Relationship Id="rId1" Type="http://schemas.openxmlformats.org/officeDocument/2006/relationships/externalLinkPath" Target="../../../../Users/sedem.tay/Desktop/Thoroughbred/SUBMITTED/comparison/Thoroughbred%20Place%20-%20SHELL%20&amp;%20CORE%20BILL-%202025-05-15%20initial%20bill.xlsx" TargetMode="External"/>
</Relationships>
</file>

<file path=xl/externalLinks/_rels/externalLink18.xml.rels><?xml version="1.0" encoding="UTF-8"?>
<Relationships xmlns="http://schemas.openxmlformats.org/package/2006/relationships"><Relationship Id="rId1" Type="http://schemas.openxmlformats.org/officeDocument/2006/relationships/externalLinkPath" Target="../../../../TEMA%20THERMAL%201%20POWER%20PLANT/SAMPLE%20TENDER%20PRICING%20INCLUDING%20OFFSHORE%20MATERIALS%2029FEB08.xls" TargetMode="External"/>
</Relationships>
</file>

<file path=xl/externalLinks/_rels/externalLink19.xml.rels><?xml version="1.0" encoding="UTF-8"?>
<Relationships xmlns="http://schemas.openxmlformats.org/package/2006/relationships"><Relationship Id="rId1" Type="http://schemas.openxmlformats.org/officeDocument/2006/relationships/externalLinkPath" Target="../../../../D:/OneDrive/Spektra%20Global/Burkina/Others/Kwaku/Burkina%20shippers%20project-%20Labour%20and%20Materials%20Tracker%20Feb%2017,%202020.xlsx" TargetMode="External"/>
</Relationships>
</file>

<file path=xl/externalLinks/_rels/externalLink20.xml.rels><?xml version="1.0" encoding="UTF-8"?>
<Relationships xmlns="http://schemas.openxmlformats.org/package/2006/relationships"><Relationship Id="rId1" Type="http://schemas.openxmlformats.org/officeDocument/2006/relationships/externalLinkPath" Target="../../../../SERVER/Users/George/AppData/Local/Temp/Users/George/Downloads/Users/User/AppData/Local/Temp/Documents%20and%20Settings/dancej1/My%20Documents/Axim%20Road/A-T%20prels%20amended%20for%20submission.xls" TargetMode="External"/>
</Relationships>
</file>

<file path=xl/externalLinks/_rels/externalLink21.xml.rels><?xml version="1.0" encoding="UTF-8"?>
<Relationships xmlns="http://schemas.openxmlformats.org/package/2006/relationships"><Relationship Id="rId1" Type="http://schemas.openxmlformats.org/officeDocument/2006/relationships/externalLinkPath" Target="../../../../Users/tommy.haadi/Desktop/ASA%20VARIATION%202/ASA%20Savings%20and%20Loans%20-%20Variation%20BOQ%20No.%202%20-%202025-02-19.xlsx" TargetMode="External"/>
</Relationships>
</file>

<file path=xl/externalLinks/_rels/externalLink22.xml.rels><?xml version="1.0" encoding="UTF-8"?>
<Relationships xmlns="http://schemas.openxmlformats.org/package/2006/relationships"><Relationship Id="rId1" Type="http://schemas.openxmlformats.org/officeDocument/2006/relationships/externalLinkPath" Target="../../../../Users/michael.anane/Downloads/Proposed%203%20storey%203%20bedroom%20residence%20for%20Eden-BOQ-2024-10-07%20(1).xlsx" TargetMode="External"/>
</Relationships>
</file>

<file path=xl/externalLinks/_rels/externalLink23.xml.rels><?xml version="1.0" encoding="UTF-8"?>
<Relationships xmlns="http://schemas.openxmlformats.org/package/2006/relationships"><Relationship Id="rId1" Type="http://schemas.openxmlformats.org/officeDocument/2006/relationships/externalLinkPath" Target="https://d.docs.live.net/Users/NUZRAT/Desktop/Procurement%20List.xlsx" TargetMode="External"/>
</Relationships>
</file>

<file path=xl/externalLinks/_rels/externalLink24.xml.rels><?xml version="1.0" encoding="UTF-8"?>
<Relationships xmlns="http://schemas.openxmlformats.org/package/2006/relationships"><Relationship Id="rId1" Type="http://schemas.openxmlformats.org/officeDocument/2006/relationships/externalLinkPath" Target="../../../../SERVER/Users/George/AppData/Local/Temp/Users/George/Downloads/Users/User/AppData/Local/Temp/Documents%20and%20Settings/ABEDNEGO/Desktop/reference%20folder/New%20Folder/TCG210%20Fluct%20calcs%20MS%2049%20incl%20claim%20main%20road%20CVA.xls" TargetMode="External"/>
</Relationships>
</file>

<file path=xl/externalLinks/_rels/externalLink25.xml.rels><?xml version="1.0" encoding="UTF-8"?>
<Relationships xmlns="http://schemas.openxmlformats.org/package/2006/relationships"><Relationship Id="rId1" Type="http://schemas.openxmlformats.org/officeDocument/2006/relationships/externalLinkPath" Target="../../../../SERVER/office/SEIP/OneDrive/SEIP/SEIP%20Var%20&amp;%20Cert%20link/Antartic/LOT%20A%20ANTARTIC/TAKE-OFFS/REVISED%20DRAWING/TAKE-OFF%20FOR%20Gate%20House.xlsm" TargetMode="External"/>
</Relationships>
</file>

<file path=xl/externalLinks/_rels/externalLink26.xml.rels><?xml version="1.0" encoding="UTF-8"?>
<Relationships xmlns="http://schemas.openxmlformats.org/package/2006/relationships"><Relationship Id="rId1" Type="http://schemas.openxmlformats.org/officeDocument/2006/relationships/externalLinkPath" Target="../../../../Users/tracy.appiah/Desktop/IBM%20PETROLEUM/PROPOSED%20IBM%20HOUSE%20-%20BOQ%20-%202025-04-04-final.xlsx" TargetMode="External"/>
</Relationships>
</file>

<file path=xl/externalLinks/_rels/externalLink27.xml.rels><?xml version="1.0" encoding="UTF-8"?>
<Relationships xmlns="http://schemas.openxmlformats.org/package/2006/relationships"><Relationship Id="rId1" Type="http://schemas.openxmlformats.org/officeDocument/2006/relationships/externalLinkPath" Target="../../../../Users/michael.anane/OneDrive/Desktop/SDMA/BUDGET/SDMA%20Container%20terminal%20BOQ%20&amp;%20BUDGET-%202024-05-21.xlsx" TargetMode="External"/>
</Relationships>
</file>

<file path=xl/externalLinks/_rels/externalLink28.xml.rels><?xml version="1.0" encoding="UTF-8"?>
<Relationships xmlns="http://schemas.openxmlformats.org/package/2006/relationships"><Relationship Id="rId1" Type="http://schemas.openxmlformats.org/officeDocument/2006/relationships/externalLinkPath" Target="file://SERVER/Users/George/AppData/Local/Temp/Users/George/Downloads/Documents%20and%20Settings/JB%20Wellington/My%20Documents/K.%20K.%20R.%20Project/June%20&apos;06%20~%20April%20&apos;07/Statement%20No.%2022%20-%20IPC%20No.%2022.xls" TargetMode="External"/>
</Relationships>
</file>

<file path=xl/externalLinks/_rels/externalLink29.xml.rels><?xml version="1.0" encoding="UTF-8"?>
<Relationships xmlns="http://schemas.openxmlformats.org/package/2006/relationships"><Relationship Id="rId1" Type="http://schemas.openxmlformats.org/officeDocument/2006/relationships/externalLinkPath" Target="../../../../Users/michael.anane/Downloads/Sinte%20Apartments%20-%20BOQ%20-2024-07-08.xlsx" TargetMode="External"/>
</Relationships>
</file>

<file path=xl/externalLinks/_rels/externalLink30.xml.rels><?xml version="1.0" encoding="UTF-8"?>
<Relationships xmlns="http://schemas.openxmlformats.org/package/2006/relationships"><Relationship Id="rId1" Type="http://schemas.openxmlformats.org/officeDocument/2006/relationships/externalLinkPath" Target="../../../../Users/Stranger/Documents/PROJECTS/GKL/METHODIST%20CHURCH/BOQ%20-%20ELECTRICAL%20AND%20MECHANICAL%20-%20UNDERGROUND.xlsx" TargetMode="External"/>
</Relationships>
</file>

<file path=xl/externalLinks/_rels/externalLink31.xml.rels><?xml version="1.0" encoding="UTF-8"?>
<Relationships xmlns="http://schemas.openxmlformats.org/package/2006/relationships"><Relationship Id="rId1" Type="http://schemas.openxmlformats.org/officeDocument/2006/relationships/externalLinkPath" Target="../../../../Z:/ELEMKA/D/ARXEIO/Power%20Plants/JORDAN%20-%20SAMRA%20ADD-ON/05.BUDGET-COST/BOQ_rev0/Samra%20AddOn.%20BOQ_rev0_130118.xlsx" TargetMode="External"/>
</Relationships>
</file>

<file path=xl/externalLinks/_rels/externalLink32.xml.rels><?xml version="1.0" encoding="UTF-8"?>
<Relationships xmlns="http://schemas.openxmlformats.org/package/2006/relationships"><Relationship Id="rId1" Type="http://schemas.openxmlformats.org/officeDocument/2006/relationships/externalLinkPath" Target="../../../../Users/michael.anane/OneDrive/Desktop/NEW%20PROJECTS/VAN%20VLIET%20AUTOMOBILE/BOQ/Draft%20BOQ%20For%20Van%20Vliet%20Man%20trucks%20-%202023-06-16.xlsx" TargetMode="External"/>
</Relationships>
</file>

<file path=xl/externalLinks/_rels/externalLink33.xml.rels><?xml version="1.0" encoding="UTF-8"?>
<Relationships xmlns="http://schemas.openxmlformats.org/package/2006/relationships"><Relationship Id="rId1" Type="http://schemas.openxmlformats.org/officeDocument/2006/relationships/externalLinkPath" Target="../../../../Users/michael.anane/OneDrive/Desktop/NEW%20PROJECTS/WILLIAM%20APARTMENTS/William%20Apartments%20Block%20A&amp;B,%20Rev,%202-%202023-08-10.xlsx" TargetMode="External"/>
</Relationships>
</file>

<file path=xl/externalLinks/_rels/externalLink34.xml.rels><?xml version="1.0" encoding="UTF-8"?>
<Relationships xmlns="http://schemas.openxmlformats.org/package/2006/relationships"><Relationship Id="rId1" Type="http://schemas.openxmlformats.org/officeDocument/2006/relationships/externalLinkPath" Target="../../../../Users/sedem.tay/OneDrive/Desktop/Budget%20for%20Nketiah%20with%20Agreed%20BOQ.%202023-07-18.xlsx" TargetMode="External"/>
</Relationships>
</file>

<file path=xl/externalLinks/_rels/externalLink35.xml.rels><?xml version="1.0" encoding="UTF-8"?>
<Relationships xmlns="http://schemas.openxmlformats.org/package/2006/relationships"><Relationship Id="rId1" Type="http://schemas.openxmlformats.org/officeDocument/2006/relationships/externalLinkPath" Target="../../../../SERVER/Users/George/AppData/Local/Temp/Users/George/Downloads/Users/User/AppData/Local/Temp/Documents%20and%20Settings/belchee1/Local%20Settings/Temporary%20Internet%20Files/OLKA/0411%20Input%20Cedis.xls" TargetMode="External"/>
</Relationships>
</file>

<file path=xl/externalLinks/_rels/externalLink36.xml.rels><?xml version="1.0" encoding="UTF-8"?>
<Relationships xmlns="http://schemas.openxmlformats.org/package/2006/relationships"><Relationship Id="rId1" Type="http://schemas.openxmlformats.org/officeDocument/2006/relationships/externalLinkPath" Target="../../../../Z:/ELEMKA/D/ARXEIO/Power%20Plants/DEIR%20ALI%20II/05.BUDGET-COST/BOQ/Rev%206/6a_111128/10001_BOQ_rev6a_111128_presentation.xlsx" TargetMode="External"/>
</Relationships>
</file>

<file path=xl/externalLinks/_rels/externalLink37.xml.rels><?xml version="1.0" encoding="UTF-8"?>
<Relationships xmlns="http://schemas.openxmlformats.org/package/2006/relationships"><Relationship Id="rId1" Type="http://schemas.openxmlformats.org/officeDocument/2006/relationships/externalLinkPath" Target="../../../../Users/anastasia.appiah/Desktop/ADVANS%20Ghana%20Savings%20and%20Loans/Budget/ADVANS%20GHANA%20%20-%20BUDGET%20-2025-06-17%20-draft-%20REV%203%20A.xlsx" TargetMode="External"/>
</Relationships>
</file>

<file path=xl/externalLinks/_rels/externalLink38.xml.rels><?xml version="1.0" encoding="UTF-8"?>
<Relationships xmlns="http://schemas.openxmlformats.org/package/2006/relationships"><Relationship Id="rId1" Type="http://schemas.openxmlformats.org/officeDocument/2006/relationships/externalLinkPath" Target="../../../../E:/Q.S%20Works/Clients/Agenda%20A%20111%20DH/BILL/A%20111%20DH%20LOT%203.2B%20SB.xlsx" TargetMode="External"/>
</Relationships>
</file>

<file path=xl/externalLinks/_rels/externalLink39.xml.rels><?xml version="1.0" encoding="UTF-8"?>
<Relationships xmlns="http://schemas.openxmlformats.org/package/2006/relationships"><Relationship Id="rId1" Type="http://schemas.openxmlformats.org/officeDocument/2006/relationships/externalLinkPath" Target="../../../../D:/Documents%20and%20Settings/Administrator/Desktop/Estimating/UG%20,RATES%20BUILDUP-%20RESPONSE%202.xls" TargetMode="External"/>
</Relationships>
</file>

<file path=xl/externalLinks/_rels/externalLink40.xml.rels><?xml version="1.0" encoding="UTF-8"?>
<Relationships xmlns="http://schemas.openxmlformats.org/package/2006/relationships"><Relationship Id="rId1" Type="http://schemas.openxmlformats.org/officeDocument/2006/relationships/externalLinkPath" Target="../../../../Users/sedem.tay/Downloads/Mbote%20Cafeteria%20DRAFT%20BOQ%202023-11-28%20-%20REV.1.xlsx" TargetMode="External"/>
</Relationships>
</file>

<file path=xl/externalLinks/_rels/externalLink41.xml.rels><?xml version="1.0" encoding="UTF-8"?>
<Relationships xmlns="http://schemas.openxmlformats.org/package/2006/relationships"><Relationship Id="rId1" Type="http://schemas.openxmlformats.org/officeDocument/2006/relationships/externalLinkPath" Target="../../../../Users/sedem.tay/OneDrive/Desktop/MBOTE/MBOTE%20BUDGET.xlsx" TargetMode="External"/>
</Relationships>
</file>

<file path=xl/externalLinks/_rels/externalLink42.xml.rels><?xml version="1.0" encoding="UTF-8"?>
<Relationships xmlns="http://schemas.openxmlformats.org/package/2006/relationships"><Relationship Id="rId1" Type="http://schemas.openxmlformats.org/officeDocument/2006/relationships/externalLinkPath" Target="../../../../Users/eunice.sablah/Desktop/Eden%20Apartments/BOQ/NEW/Eden%20Homes%20-%20Proposed%203-storey%203-bedroom%20Residence%20-%20BOQ%20-DRAFT-%202024-11-07%20rev%203.xlsx" TargetMode="External"/>
</Relationships>
</file>

<file path=xl/externalLinks/_rels/externalLink43.xml.rels><?xml version="1.0" encoding="UTF-8"?>
<Relationships xmlns="http://schemas.openxmlformats.org/package/2006/relationships"><Relationship Id="rId1" Type="http://schemas.openxmlformats.org/officeDocument/2006/relationships/externalLinkPath" Target="../../../../Users/user/Documents/PPSS/GOODWYLL/BOQ%20AND%20MATERIAL%20SCHEDULE%20FOR%20ADJEI%20WADDY%20GODWYLL%20RESIDENCE-2024-06-02%20REV.xlsx" TargetMode="External"/>
</Relationships>
</file>

<file path=xl/externalLinks/_rels/externalLink44.xml.rels><?xml version="1.0" encoding="UTF-8"?>
<Relationships xmlns="http://schemas.openxmlformats.org/package/2006/relationships"><Relationship Id="rId1" Type="http://schemas.openxmlformats.org/officeDocument/2006/relationships/externalLinkPath" Target="../../../../Z:/Documents%20and%20Settings/knti/Local%20Settings/Temporary%20Internet%20Files/Content.Outlook/L33BI8SD/Final%20new%20offer%20Fast-Track%20%20(15-11-2012)%20(2).xlsx" TargetMode="External"/>
</Relationships>
</file>

<file path=xl/externalLinks/_rels/externalLink45.xml.rels><?xml version="1.0" encoding="UTF-8"?>
<Relationships xmlns="http://schemas.openxmlformats.org/package/2006/relationships"><Relationship Id="rId1" Type="http://schemas.openxmlformats.org/officeDocument/2006/relationships/externalLinkPath" Target="../../../../Users/michael.anane/OneDrive/Desktop/Coulibaly/Budget/Coulibaly%20Residence%20Bill%20and%20BUDGET%20%20-%202023-10-09.xlsx" TargetMode="External"/>
</Relationships>
</file>

<file path=xl/externalLinks/_rels/externalLink46.xml.rels><?xml version="1.0" encoding="UTF-8"?>
<Relationships xmlns="http://schemas.openxmlformats.org/package/2006/relationships"><Relationship Id="rId1" Type="http://schemas.openxmlformats.org/officeDocument/2006/relationships/externalLinkPath" Target="../../../../Users/michael.anane/OneDrive/Desktop/RECEIVED/ABISSA%20RESIDENCE%20BUDGET-%202024-04-09.xlsx" TargetMode="External"/>
</Relationships>
</file>

<file path=xl/externalLinks/_rels/externalLink47.xml.rels><?xml version="1.0" encoding="UTF-8"?>
<Relationships xmlns="http://schemas.openxmlformats.org/package/2006/relationships"><Relationship Id="rId1" Type="http://schemas.openxmlformats.org/officeDocument/2006/relationships/externalLinkPath" Target="../../../../Users/michael.anane/OneDrive/Desktop/ASA%20savings%20and%20loans/VALUATION/REV/ASA%20Savings%20and%20Loans%20-%20Valuation%20-%20FEBRUARY%20-%202025-03-10-REV.xlsx" TargetMode="External"/>
</Relationships>
</file>

<file path=xl/externalLinks/_rels/externalLink48.xml.rels><?xml version="1.0" encoding="UTF-8"?>
<Relationships xmlns="http://schemas.openxmlformats.org/package/2006/relationships"><Relationship Id="rId1" Type="http://schemas.openxmlformats.org/officeDocument/2006/relationships/externalLinkPath" Target="../../../../Users/USER/AppData/Local/Temp/99ca6612-4187-469e-8630-75fff80d8b2a_PP.zip.b2a/PP/TRENCHMAN%20VENTURES_PREMIER%20POULTRY-rev%201.xlsx" TargetMode="External"/>
</Relationships>
</file>

<file path=xl/externalLinks/_rels/externalLink49.xml.rels><?xml version="1.0" encoding="UTF-8"?>
<Relationships xmlns="http://schemas.openxmlformats.org/package/2006/relationships"><Relationship Id="rId1" Type="http://schemas.openxmlformats.org/officeDocument/2006/relationships/externalLinkPath" Target="../../../../Documents%20and%20Settings/abs/My%20Documents/GT%20HEAD%20OFFICE/DUCTWORK%20CALC/DUCTMATE%20ESTIMATES%20FLANGED%20VCD%20FD.xls" TargetMode="External"/>
</Relationships>
</file>

<file path=xl/externalLinks/_rels/externalLink50.xml.rels><?xml version="1.0" encoding="UTF-8"?>
<Relationships xmlns="http://schemas.openxmlformats.org/package/2006/relationships"><Relationship Id="rId1" Type="http://schemas.openxmlformats.org/officeDocument/2006/relationships/externalLinkPath" Target="../../../../N:/MECH/3157/SPLHTLS.XLS" TargetMode="External"/>
</Relationships>
</file>

<file path=xl/externalLinks/_rels/externalLink51.xml.rels><?xml version="1.0" encoding="UTF-8"?>
<Relationships xmlns="http://schemas.openxmlformats.org/package/2006/relationships"><Relationship Id="rId1" Type="http://schemas.openxmlformats.org/officeDocument/2006/relationships/externalLinkPath" Target="../../../../Users/tracy.appiah/Downloads/LAKOTA%20RESIDENCE-BUDGET-2024-02-01.xlsx" TargetMode="External"/>
</Relationships>
</file>

<file path=xl/externalLinks/_rels/externalLink52.xml.rels><?xml version="1.0" encoding="UTF-8"?>
<Relationships xmlns="http://schemas.openxmlformats.org/package/2006/relationships"><Relationship Id="rId1" Type="http://schemas.openxmlformats.org/officeDocument/2006/relationships/externalLinkPath" Target="../../../../Users/ecotechmate/AppData/Local/Microsoft/Windows/Temporary%20Internet%20Files/Content.Outlook/7DH4MYU6/TOP%20INT%20ENG%20POST%20TENDER%20SUBMITTION%2007SEP07.xls" TargetMode="External"/>
</Relationships>
</file>

<file path=xl/externalLinks/_rels/externalLink53.xml.rels><?xml version="1.0" encoding="UTF-8"?>
<Relationships xmlns="http://schemas.openxmlformats.org/package/2006/relationships"><Relationship Id="rId1" Type="http://schemas.openxmlformats.org/officeDocument/2006/relationships/externalLinkPath" Target="../../../../@/Indusrial/data%20(d)/INDUSTRIAL%20PROJECTS/kirloskar%20chillers/EXECUTION/KIR%20CHILL%20LOAD%20LIST%20ON%20LAP.xls" TargetMode="External"/>
</Relationships>
</file>

<file path=xl/externalLinks/_rels/externalLink54.xml.rels><?xml version="1.0" encoding="UTF-8"?>
<Relationships xmlns="http://schemas.openxmlformats.org/package/2006/relationships"><Relationship Id="rId1" Type="http://schemas.openxmlformats.org/officeDocument/2006/relationships/externalLinkPath" Target="../../../../Users/michael.anane/OneDrive/Desktop/ASA%20savings%20and%20loans/VARIATION/ASA%20Renovation%20of%20five%20storey%20office%20building%20-%20IT%20bill-%202024%20-08%20-%2015%20-%20SPEKTRA%20GLOBAL.xlsx" TargetMode="External"/>
</Relationships>
</file>

<file path=xl/externalLinks/_rels/externalLink55.xml.rels><?xml version="1.0" encoding="UTF-8"?>
<Relationships xmlns="http://schemas.openxmlformats.org/package/2006/relationships"><Relationship Id="rId1" Type="http://schemas.openxmlformats.org/officeDocument/2006/relationships/externalLinkPath" Target="../../../../Users/Doalom/Documents/PROBARE/PROJECTS/Virtual%20Space/Solar%20Medical%20Centre/STUFF/M%20+%20E%20SIZING%20-%200.2.xlsx" TargetMode="External"/>
</Relationships>
</file>

<file path=xl/externalLinks/_rels/externalLink56.xml.rels><?xml version="1.0" encoding="UTF-8"?>
<Relationships xmlns="http://schemas.openxmlformats.org/package/2006/relationships"><Relationship Id="rId1" Type="http://schemas.openxmlformats.org/officeDocument/2006/relationships/externalLinkPath" Target="../../../../Users/GEORGETA/Desktop/whse/Proposed%20Ware%20Hse%20.xlsx" TargetMode="External"/>
</Relationships>
</file>

<file path=xl/externalLinks/_rels/externalLink57.xml.rels><?xml version="1.0" encoding="UTF-8"?>
<Relationships xmlns="http://schemas.openxmlformats.org/package/2006/relationships"><Relationship Id="rId1" Type="http://schemas.openxmlformats.org/officeDocument/2006/relationships/externalLinkPath" Target="../../../../SERVER/Users/George/AppData/Local/Temp/Users/George/Downloads/Users/User/AppData/Local/Temp/End%20Cost%20Prediction/Sept%2004/End%20Cost%20from%20Sept%2004%20actual%20cost.xls" TargetMode="External"/>
</Relationships>
</file>

<file path=xl/externalLinks/_rels/externalLink58.xml.rels><?xml version="1.0" encoding="UTF-8"?>
<Relationships xmlns="http://schemas.openxmlformats.org/package/2006/relationships"><Relationship Id="rId1" Type="http://schemas.openxmlformats.org/officeDocument/2006/relationships/externalLinkPath" Target="../../../../SERVER/Users/George/AppData/Local/Temp/Users/George/Downloads/Users/User/AppData/Local/Temp/Documents%20and%20Settings/evansb2/Local%20Settings/Temporary%20Internet%20Files/OLK3D5/053%20May%2003%20TCG210%20Valuation2.xls" TargetMode="External"/>
</Relationships>
</file>

<file path=xl/externalLinks/_rels/externalLink59.xml.rels><?xml version="1.0" encoding="UTF-8"?>
<Relationships xmlns="http://schemas.openxmlformats.org/package/2006/relationships"><Relationship Id="rId1" Type="http://schemas.openxmlformats.org/officeDocument/2006/relationships/externalLinkPath" Target="https://d.docs.live.net/8ced21d771ad699a/Desktop/ANA/Coulibaly%20Residence%20Bill%20and%20BUDGET%20%20-%202023-09-25.xlsx" TargetMode="External"/>
</Relationships>
</file>

<file path=xl/externalLinks/_rels/externalLink60.xml.rels><?xml version="1.0" encoding="UTF-8"?>
<Relationships xmlns="http://schemas.openxmlformats.org/package/2006/relationships"><Relationship Id="rId1" Type="http://schemas.openxmlformats.org/officeDocument/2006/relationships/externalLinkPath" Target="../../../../G:/F/Emma%20Doc/Documents/Desktop%20Documents-%20Emma/VRA/VRA%20Bidding%20Documents/Aboadze%20School%20Block/Tender%20Document/VRA/VRA%20Bidding%20Documents/Hydro%20Generation-%20Photos/Akosombo%20Conference%20Facility-Old.xls" TargetMode="External"/>
</Relationships>
</file>

<file path=xl/externalLinks/_rels/externalLink61.xml.rels><?xml version="1.0" encoding="UTF-8"?>
<Relationships xmlns="http://schemas.openxmlformats.org/package/2006/relationships"><Relationship Id="rId1" Type="http://schemas.openxmlformats.org/officeDocument/2006/relationships/externalLinkPath" Target="../../../../@/Comp2/40gb2%20(d)/MY/Y2K/Mmf2/QUOTAT~1/DESIGN.XLS" TargetMode="External"/>
</Relationships>
</file>

<file path=xl/externalLinks/_rels/externalLink62.xml.rels><?xml version="1.0" encoding="UTF-8"?>
<Relationships xmlns="http://schemas.openxmlformats.org/package/2006/relationships"><Relationship Id="rId1" Type="http://schemas.openxmlformats.org/officeDocument/2006/relationships/externalLinkPath" Target="../../../../Users/Stranger/Documents/PROJECTS/STX/MEP%20-%20STX%20-%201%20BEDROOM%20FLAT%20-%20DATA.xlsx" TargetMode="External"/>
</Relationships>
</file>

<file path=xl/externalLinks/_rels/externalLink63.xml.rels><?xml version="1.0" encoding="UTF-8"?>
<Relationships xmlns="http://schemas.openxmlformats.org/package/2006/relationships"><Relationship Id="rId1" Type="http://schemas.openxmlformats.org/officeDocument/2006/relationships/externalLinkPath" Target="../../../../Users/user/Documents/PPSS/BURMA/PAY%20OFFICE%20AT%20BURMA%20CAMP%202024-05-09.xlsx" TargetMode="External"/>
</Relationships>
</file>

<file path=xl/externalLinks/_rels/externalLink64.xml.rels><?xml version="1.0" encoding="UTF-8"?>
<Relationships xmlns="http://schemas.openxmlformats.org/package/2006/relationships"><Relationship Id="rId1" Type="http://schemas.openxmlformats.org/officeDocument/2006/relationships/externalLinkPath" Target="../../../../Z:/ELEMKA/D/ARXEIO/Power%20Plants/DEIR%20ALI%20II/05.BUDGET-COST/BOQ/Rev%206/6a_update_120314/10001_BOQ_rev6a_120315_actual%20(Main%20-%20Substation%20separate).xlsx" TargetMode="External"/>
</Relationships>
</file>

<file path=xl/externalLinks/_rels/externalLink65.xml.rels><?xml version="1.0" encoding="UTF-8"?>
<Relationships xmlns="http://schemas.openxmlformats.org/package/2006/relationships"><Relationship Id="rId1" Type="http://schemas.openxmlformats.org/officeDocument/2006/relationships/externalLinkPath" Target="../../../../Deniz/c/Belgelerim/TED%20KES&#304;F%20SORTED.xls" TargetMode="External"/>
</Relationships>
</file>

<file path=xl/externalLinks/_rels/externalLink66.xml.rels><?xml version="1.0" encoding="UTF-8"?>
<Relationships xmlns="http://schemas.openxmlformats.org/package/2006/relationships"><Relationship Id="rId1" Type="http://schemas.openxmlformats.org/officeDocument/2006/relationships/externalLinkPath" Target="../../../../Users/tracy.appiah/Downloads/ADVANS%20GHANA%20BUDGET,2025-04-29%20DRAFT%20(1).xlsx" TargetMode="External"/>
</Relationships>
</file>

<file path=xl/externalLinks/_rels/externalLink67.xml.rels><?xml version="1.0" encoding="UTF-8"?>
<Relationships xmlns="http://schemas.openxmlformats.org/package/2006/relationships"><Relationship Id="rId1" Type="http://schemas.openxmlformats.org/officeDocument/2006/relationships/externalLinkPath" Target="../../../../Users/sedem.tay/OneDrive/Desktop/Bouake/BOUAKE%20VILLA%20PROPOSED%20BOQ,%20REV%206,%202023-05-26.xlsx" TargetMode="External"/>
</Relationships>
</file>

<file path=xl/externalLinks/_rels/externalLink68.xml.rels><?xml version="1.0" encoding="UTF-8"?>
<Relationships xmlns="http://schemas.openxmlformats.org/package/2006/relationships"><Relationship Id="rId1" Type="http://schemas.openxmlformats.org/officeDocument/2006/relationships/externalLinkPath" Target="../../../../@/Laptop/laptop%20(e)/JOBS%20IN%20HAND/new%20projects/SWITCH/MCCB.xls" TargetMode="External"/>
</Relationships>
</file>

<file path=xl/externalLinks/_rels/externalLink69.xml.rels><?xml version="1.0" encoding="UTF-8"?>
<Relationships xmlns="http://schemas.openxmlformats.org/package/2006/relationships"><Relationship Id="rId1" Type="http://schemas.openxmlformats.org/officeDocument/2006/relationships/externalLinkPath" Target="https://d.docs.live.net/678f6be95bf1c535/Desktop/Nketiah/Balustrades%20and%20Waterproofing%20for%20Nketia%20Residence-%202023-06-27.xlsx" TargetMode="External"/>
</Relationships>
</file>

<file path=xl/externalLinks/_rels/externalLink70.xml.rels><?xml version="1.0" encoding="UTF-8"?>
<Relationships xmlns="http://schemas.openxmlformats.org/package/2006/relationships"><Relationship Id="rId1" Type="http://schemas.openxmlformats.org/officeDocument/2006/relationships/externalLinkPath" Target="../../../../Users/Doalom/Documents/PROBARE/PROJECTS/FREDA%20DARKU/MECHANICAL%20SERVICES%20SIZING%20-%20FREDA%20DARKU.xlsx" TargetMode="External"/>
</Relationships>
</file>

<file path=xl/externalLinks/_rels/externalLink71.xml.rels><?xml version="1.0" encoding="UTF-8"?>
<Relationships xmlns="http://schemas.openxmlformats.org/package/2006/relationships"><Relationship Id="rId1" Type="http://schemas.openxmlformats.org/officeDocument/2006/relationships/externalLinkPath" Target="../../../../Users/michael.anane/OneDrive/Desktop/Leglise%20catholique%20BOQ%20-2023-09-01%20-%20Copy.xlsx" TargetMode="External"/>
</Relationships>
</file>

<file path=xl/externalLinks/_rels/externalLink72.xml.rels><?xml version="1.0" encoding="UTF-8"?>
<Relationships xmlns="http://schemas.openxmlformats.org/package/2006/relationships"><Relationship Id="rId1" Type="http://schemas.openxmlformats.org/officeDocument/2006/relationships/externalLinkPath" Target="../../../../Users/michael.anane/OneDrive/Documents/mines/FELI%20HOUSE/FELI%20FAMILY%20HOUSE%20-%20%20-%20BOQ%20-%202025-05-08-DRAFT.xlsx" TargetMode="External"/>
</Relationships>
</file>

<file path=xl/externalLinks/_rels/externalLink73.xml.rels><?xml version="1.0" encoding="UTF-8"?>
<Relationships xmlns="http://schemas.openxmlformats.org/package/2006/relationships"><Relationship Id="rId1" Type="http://schemas.openxmlformats.org/officeDocument/2006/relationships/externalLinkPath" Target="../../../../Users/tracy.appiah/Desktop/SPEKTRA/QS/PURPLE%20PARK-BUDGET-2024-02-12.xlsx" TargetMode="External"/>
</Relationships>
</file>

<file path=xl/externalLinks/_rels/externalLink74.xml.rels><?xml version="1.0" encoding="UTF-8"?>
<Relationships xmlns="http://schemas.openxmlformats.org/package/2006/relationships"><Relationship Id="rId1" Type="http://schemas.openxmlformats.org/officeDocument/2006/relationships/externalLinkPath" Target="../../../../Users/eunice.sablah/Desktop/Edited-%25TAGE%20CONTRIBUTION.xlsx" TargetMode="External"/>
</Relationships>
</file>

<file path=xl/externalLinks/_rels/externalLink75.xml.rels><?xml version="1.0" encoding="UTF-8"?>
<Relationships xmlns="http://schemas.openxmlformats.org/package/2006/relationships"><Relationship Id="rId1" Type="http://schemas.openxmlformats.org/officeDocument/2006/relationships/externalLinkPath" Target="https://d.docs.live.net/a9a69956a327cbb1/Desktop/COMMERCIAL%20DEPARTMENT/NEW/MODULE/module/SPEKTRA%20RATES%20EDITED%202019-08-19(AutoRecovered).xlsm" TargetMode="External"/>
</Relationships>
</file>

<file path=xl/externalLinks/_rels/externalLink76.xml.rels><?xml version="1.0" encoding="UTF-8"?>
<Relationships xmlns="http://schemas.openxmlformats.org/package/2006/relationships"><Relationship Id="rId1" Type="http://schemas.openxmlformats.org/officeDocument/2006/relationships/externalLinkPath" Target="../../../../Users/eunice.sablah/Downloads/TOWNHOUSE-5%20BEDROOM%20-2024-04-22.xlsx" TargetMode="External"/>
</Relationships>
</file>

<file path=xl/externalLinks/_rels/externalLink77.xml.rels><?xml version="1.0" encoding="UTF-8"?>
<Relationships xmlns="http://schemas.openxmlformats.org/package/2006/relationships"><Relationship Id="rId1" Type="http://schemas.openxmlformats.org/officeDocument/2006/relationships/externalLinkPath" Target="../../../../Users/michael.anane/OneDrive/Desktop/Advantage%20place/BILL/BOQ%20for%20ENTERPRISE%20GROUP%20CHAIRMAN&apos;S%20OFFICE%20%20AT%20ADVANTAGE%20PLACE%20REV.3%20-%202023-08-18.xlsx" TargetMode="External"/>
</Relationships>
</file>

<file path=xl/externalLinks/_rels/externalLink78.xml.rels><?xml version="1.0" encoding="UTF-8"?>
<Relationships xmlns="http://schemas.openxmlformats.org/package/2006/relationships"><Relationship Id="rId1" Type="http://schemas.openxmlformats.org/officeDocument/2006/relationships/externalLinkPath" Target="https://d.docs.live.net/Users/ecotechmate/AppData/Local/Microsoft/Windows/Temporary%20Internet%20Files/Content.Outlook/7DH4MYU6/TOP%20INT%20ENG%20POST%20TENDER%20SUBMITTION%2007SEP07.xls" TargetMode="External"/>
</Relationships>
</file>

<file path=xl/externalLinks/_rels/externalLink79.xml.rels><?xml version="1.0" encoding="UTF-8"?>
<Relationships xmlns="http://schemas.openxmlformats.org/package/2006/relationships"><Relationship Id="rId1" Type="http://schemas.openxmlformats.org/officeDocument/2006/relationships/externalLinkPath" Target="../../../../J1476/&#45812;&#49688;PSM%20TFT/&#45812;&#49688;%20PSM/&#54408;&#47785;&#48324;%20&#44277;&#44553;&#50629;&#52404;%20&#54217;&#44032;%20SHEET-&#50896;&#48376;.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Krokos Cost_120314"/>
      <sheetName val="20001 Cost per m3 analysis (2)"/>
      <sheetName val="10001_Cost per m3 (2)"/>
      <sheetName val="10001_Cost per m3"/>
      <sheetName val="DERI ALI II  EXTRAS DESIGN revb"/>
      <sheetName val="METKA budget"/>
      <sheetName val="ELEMKA budget 120606"/>
      <sheetName val="METKA budget 120606 (2)"/>
      <sheetName val="Steel Supervision"/>
      <sheetName val="Basket_120606"/>
      <sheetName val="20001 Cost per m3 analysis"/>
      <sheetName val="Sheet3"/>
      <sheetName val="20001_Rebar Cost analysis"/>
      <sheetName val="ELEMKA extra works"/>
      <sheetName val="10001_Comparative 1"/>
      <sheetName val="9110 UPDATE"/>
      <sheetName val="9110 Cumulative"/>
      <sheetName val="Concrete-Rebars"/>
      <sheetName val="20001 Comparative_230"/>
      <sheetName val="20001 Comparative Comments"/>
      <sheetName val="x-list"/>
      <sheetName val="Comparative"/>
      <sheetName val="BLDG COMPARISON"/>
      <sheetName val="10001 Concrete per m3"/>
      <sheetName val="20001 CUMULAT BRKDN rev3 1012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ver Page"/>
      <sheetName val="MAT. ON SITE"/>
      <sheetName val="JULY IPC  "/>
      <sheetName val="JUNE IPC  "/>
      <sheetName val="GENERAL SUMMARY"/>
      <sheetName val="Prelims "/>
      <sheetName val="SUB"/>
      <sheetName val="VARIATION - 1"/>
      <sheetName val="VARIATION - 2"/>
      <sheetName val="VARIATION SUMMARY "/>
      <sheetName val="DAYWORKS SCH"/>
      <sheetName val="DAYWORKS SCH (2)"/>
      <sheetName val="POOL REINF Calc"/>
      <sheetName val="Nominated Sub-Contractor"/>
      <sheetName val="MAIN GROUND FLOOR "/>
      <sheetName val="EXTERNAL WORKS "/>
      <sheetName val="Cover Page (2)"/>
      <sheetName val="V.O 1 "/>
      <sheetName val="Reinf."/>
      <sheetName val="Calc."/>
      <sheetName val="Conc."/>
      <sheetName val="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ht"/>
      <sheetName val="hitention"/>
      <sheetName val="frlshalfree"/>
      <sheetName val="CABLERET"/>
      <sheetName val="xlpe"/>
      <sheetName val="pvcxlpe2"/>
      <sheetName val="pvcxlpe"/>
      <sheetName val="cableselect"/>
      <sheetName val="switch (2)"/>
      <sheetName val="CABLERET (2)"/>
      <sheetName val="switch (1)"/>
      <sheetName val="CABLERET (1)"/>
      <sheetName val="LOAD SHEET"/>
      <sheetName val="CABLERET _2_"/>
      <sheetName val="rates"/>
      <sheetName val="intro"/>
      <sheetName val="l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heet1"/>
      <sheetName val="BasicWage (BUILD UP)"/>
      <sheetName val="SALARIES"/>
      <sheetName val="DAILY BASIC WAGE"/>
      <sheetName val="LABOUR"/>
      <sheetName val="EQUIPT"/>
      <sheetName val="MATLS"/>
      <sheetName val="RATE SUMMARY"/>
      <sheetName val="ALLOWANCES"/>
      <sheetName val="SPEKTRALL"/>
      <sheetName val="PAINTG &amp; DEC"/>
      <sheetName val="EXCAVN &amp; EARTHWORKS"/>
      <sheetName val="INTERIOR WORKS"/>
      <sheetName val="FINISHINGS"/>
      <sheetName val="BLOCKWORK"/>
      <sheetName val="FORMWORK"/>
      <sheetName val="CONCRETE WKS"/>
      <sheetName val="CARPENTRY"/>
      <sheetName val="ROOFING"/>
      <sheetName val="REINF'T"/>
      <sheetName val="JOINERY"/>
      <sheetName val="EXTERNAL WORKS"/>
      <sheetName val="DRAINAGE"/>
      <sheetName val="PLUMBING"/>
      <sheetName val="METALWORK"/>
      <sheetName val="GLAZING"/>
      <sheetName val="IRONMONGERY"/>
      <sheetName val="CIVIL WORKS"/>
      <sheetName val="BOQ SUMMARY"/>
      <sheetName val="SPEKTRALL (2)"/>
      <sheetName val="bill no. 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TAKE OFF"/>
      <sheetName val="Cover Page"/>
      <sheetName val="GRAND SUMMARY"/>
      <sheetName val="TAKE-OFF"/>
      <sheetName val="Gen.Summary"/>
      <sheetName val="BOQ"/>
      <sheetName val="LOOSE FURNITURE -IGNORE"/>
      <sheetName val="ELECTRICAL BILL"/>
      <sheetName val="HVAC SUMMARY "/>
      <sheetName val="PRELIMINARIES"/>
      <sheetName val="AC-EQUIPMENT"/>
      <sheetName val="AC-REF+COND+INS"/>
      <sheetName val="AC-ELECTRICAL CONNECTION"/>
      <sheetName val="AC-DUCTING"/>
      <sheetName val="PLUMBING SANITARY"/>
      <sheetName val="FURN. SUMMARY"/>
      <sheetName val="RECEPTION"/>
      <sheetName val="GOVERNOR'S OFFICE"/>
      <sheetName val="Gov. SECRETARIAT"/>
      <sheetName val="1ST &amp; 2ND DEPUTY"/>
      <sheetName val="2ND-DEPUTY "/>
      <sheetName val="SECRETARIAT (1st &amp; 2nd DEPUTY )"/>
      <sheetName val="SPECIAL ASSISTANT'S OFFICE"/>
      <sheetName val="CONFERENCE ROOM"/>
      <sheetName val="KITCHENETTE"/>
      <sheetName val="WOODWORKS"/>
      <sheetName val="SCOPE OF WORKS "/>
      <sheetName val="MDF REVISED"/>
      <sheetName val="(SPACE) SCOPE OF WORKS"/>
      <sheetName val="SITE INSTRU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ver Page "/>
      <sheetName val="DETAILS  (FIN)"/>
      <sheetName val="GEN SUMMARY"/>
      <sheetName val="PRELIMS &amp; GEN. ITEMS"/>
      <sheetName val="DEMOLITIONS "/>
      <sheetName val="Sheet4"/>
      <sheetName val="SUBSTRUCTURE"/>
      <sheetName val="BASEMENT "/>
      <sheetName val="GROUND FLR "/>
      <sheetName val="1ST FLR "/>
      <sheetName val="2ND FLR"/>
      <sheetName val="3RD FLR"/>
      <sheetName val="4TH FLR"/>
      <sheetName val="5TH FLR"/>
      <sheetName val="6TH FLR"/>
      <sheetName val="TERRACE FLR"/>
      <sheetName val="SERVICE FLR"/>
      <sheetName val="WALL FINISHES (ex. wall plaster"/>
      <sheetName val="FURNITURE"/>
      <sheetName val="FLR AND CEILING FNSHG SCH 1 (2)"/>
      <sheetName val="Summary"/>
      <sheetName val="Plumbing Installation 1st Fix"/>
      <sheetName val="MECH BOQ"/>
      <sheetName val="MECH BOQ REV.3"/>
      <sheetName val="MECH BOQ REV 2"/>
      <sheetName val="REVISED LIFT BILL"/>
      <sheetName val="ELECTRICAL WORKS-2"/>
      <sheetName val="ELECTRICAL WORKS"/>
      <sheetName val="EXT FACADE &amp; GEN WORKS"/>
      <sheetName val="EXTERNAL WORKS"/>
      <sheetName val="FireFighting Installation"/>
      <sheetName val="AC Installation"/>
      <sheetName val="CFS "/>
      <sheetName val="Comparison"/>
      <sheetName val="QTY SUMM"/>
      <sheetName val="Sheet3"/>
      <sheetName val="calculations"/>
      <sheetName val="Shell and Core Sums "/>
      <sheetName val="RETAINING WALL"/>
      <sheetName val="SHEAR WALL"/>
      <sheetName val="LIFT WALL"/>
      <sheetName val="Columns &amp; Water Tank"/>
      <sheetName val="Slab &amp; Stair Fmwk"/>
      <sheetName val="Slab &amp; Stair Conc."/>
      <sheetName val="T'BRED BEAMS"/>
      <sheetName val="REINF DET"/>
      <sheetName val="SLAB reinf (New)"/>
      <sheetName val="Sheet1"/>
      <sheetName val="FLOOR FINISHING SCH 1"/>
      <sheetName val="DRYWALL &amp; GLASS Calc. (new)"/>
      <sheetName val="REV. WALLS &amp; WALL FINISHES"/>
      <sheetName val="Window price"/>
      <sheetName val="Cost Breakdown"/>
      <sheetName val="Sheet2"/>
      <sheetName val="Exclusions and Inclusions"/>
      <sheetName val="Blkwk O. BOQ Are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ipecost"/>
      <sheetName val="all"/>
      <sheetName val="Sheet1"/>
      <sheetName val="RPG"/>
      <sheetName val="FINNOR"/>
      <sheetName val="FINOLEX"/>
      <sheetName val="POLYNOR"/>
      <sheetName val="POLYCAB"/>
      <sheetName val="Sheet3"/>
      <sheetName val="pointrate"/>
      <sheetName val="CABLERE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change Rate"/>
      <sheetName val="Summary"/>
    </sheetNames>
    <sheetDataSet>
      <sheetData sheetId="0"/>
      <sheetData sheetId="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DB"/>
      <sheetName val="Labour"/>
      <sheetName val="Materials"/>
      <sheetName val="Equipments"/>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BOQ estim"/>
      <sheetName val="DB"/>
      <sheetName val="Total"/>
      <sheetName val="Principal Qty"/>
      <sheetName val="Cost Summary"/>
      <sheetName val="Sheet2"/>
      <sheetName val="AGREED BOQ"/>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ill-Electricals"/>
      <sheetName val="Cover Page"/>
      <sheetName val="GRAND SUMMARY EST"/>
      <sheetName val="GRAND SUMMARY"/>
      <sheetName val="MAIN BLD SUMMARY"/>
      <sheetName val="SUBSTR.BOQ"/>
      <sheetName val="SUPERSTR.BOQ"/>
      <sheetName val="Sheet1"/>
      <sheetName val="FENCEWALL"/>
      <sheetName val="Staff quarters Bill"/>
      <sheetName val="Bill-Guest lounge"/>
      <sheetName val="Bill-Reception "/>
      <sheetName val="BILL-SUBSTRUCTURE (2)"/>
      <sheetName val="substructure Taking off"/>
      <sheetName val="EXTL WRKS SUMMARY"/>
      <sheetName val="TURFING"/>
      <sheetName val="DRAINAGE SYSTEM"/>
      <sheetName val="HVAC "/>
      <sheetName val="CABINETRY"/>
      <sheetName val="CCTV &amp; Fence"/>
      <sheetName val="superstructure Taking off"/>
      <sheetName val="staff quarters"/>
      <sheetName val="Reception"/>
      <sheetName val="GROUND FLOOR"/>
      <sheetName val="substr.boq  "/>
      <sheetName val="GROUND FLOOR  BOQ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HOME"/>
      <sheetName val="estimate"/>
      <sheetName val="PaymentRequest"/>
      <sheetName val="scheduleofvalues"/>
      <sheetName val="ChangeOrders"/>
      <sheetName val="CO#1"/>
      <sheetName val="CO#2"/>
      <sheetName val="CO#3"/>
      <sheetName val="CO#4"/>
      <sheetName val="CO#5"/>
      <sheetName val="CO#6"/>
      <sheetName val="CO#7"/>
      <sheetName val="CO#8"/>
      <sheetName val="CO#9"/>
      <sheetName val="CO#10"/>
      <sheetName val="CO#11"/>
      <sheetName val="CO#12"/>
      <sheetName val="CO#13"/>
      <sheetName val="CO#14"/>
      <sheetName val="CO#15"/>
      <sheetName val="CO#16"/>
      <sheetName val="COForms"/>
      <sheetName val="datatable"/>
      <sheetName val="Contract Amounts"/>
      <sheetName val="FinalCosts"/>
      <sheetName val="Contract_Amounts"/>
      <sheetName val="Contract_Amounts1"/>
      <sheetName val="PLUMBING INSTALLATION WO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ver Page"/>
      <sheetName val="SCOPE OF WORKS"/>
      <sheetName val="GEN. SUMMARY"/>
      <sheetName val="SUBSTR.BOQ  "/>
      <sheetName val="SUB-Taking off"/>
      <sheetName val="GROUND FLOOR "/>
      <sheetName val="GF-TAKE OFF"/>
      <sheetName val="FF Taking Off"/>
      <sheetName val="FIRST FLOOR"/>
      <sheetName val="PLUMBING"/>
      <sheetName val="FENCEWALL TAKE OFF "/>
      <sheetName val="EXTERNAL WORKS BOQ"/>
      <sheetName val="SP-Taking off"/>
      <sheetName val="SECURITY POST BOQ"/>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ubstructure B"/>
      <sheetName val="Cover Page"/>
      <sheetName val="GROUND FLR"/>
      <sheetName val="scoping (3)"/>
      <sheetName val="FIRST FLR"/>
      <sheetName val="Scope details"/>
      <sheetName val="Material Sch."/>
      <sheetName val="GROUND FLOOR"/>
      <sheetName val="FIRST FLOOR"/>
      <sheetName val="THIRD FLOOR (2)"/>
      <sheetName val="SUBSTR.BOQ"/>
      <sheetName val="Calc."/>
      <sheetName val="GEN. SUMMARY"/>
      <sheetName val="Page005"/>
      <sheetName val="Page004"/>
      <sheetName val="Page003"/>
      <sheetName val="Page002"/>
      <sheetName val="Table021 (Page 6)"/>
      <sheetName val="Page001"/>
      <sheetName val="Table022 (Page 6)"/>
      <sheetName val="Table019 (Page 6)"/>
      <sheetName val="Table020 (Page 6)"/>
      <sheetName val="Table018 (Page 5)"/>
      <sheetName val="Table016 (Page 5)"/>
      <sheetName val="Table017 (Page 5)"/>
      <sheetName val="Table015 (Page 5)"/>
      <sheetName val="Table014 (Page 4)"/>
      <sheetName val="Table013 (Page 4)"/>
      <sheetName val="Table012 (Page 4)"/>
      <sheetName val="Table011 (Page 3)"/>
      <sheetName val="Table010 (Page 3)"/>
      <sheetName val="Table009 (Page 3)"/>
      <sheetName val="Table008 (Page 3)"/>
      <sheetName val="Table007 (Page 2)"/>
      <sheetName val="Table005 (Page 2)"/>
      <sheetName val="Table006 (Page 2)"/>
      <sheetName val="Table004 (Page 2)"/>
      <sheetName val="Table003 (Page 1)"/>
      <sheetName val="Table002 (Page 1)"/>
      <sheetName val="SUBSTR.BOQ (A) "/>
      <sheetName val="Reinf."/>
      <sheetName val="GROUND FLOOR "/>
      <sheetName val="FIRST FLOOR (A)"/>
      <sheetName val="Conc."/>
      <sheetName val="SECURITY POST (A)"/>
      <sheetName val="FENCEWALL (A)"/>
      <sheetName val="COMPOUND WRKS (A)"/>
      <sheetName val="DRAINAGE SYSTEM"/>
      <sheetName val="PLUMBING (A)"/>
      <sheetName val="HVAC (A)"/>
      <sheetName val="ELECTRICAL FENCE (A)"/>
      <sheetName val="ELECTRICAL"/>
      <sheetName val="Page006"/>
      <sheetName val="ELECTRICALS (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Input"/>
    </sheetNames>
    <sheetDataSet>
      <sheetData sheetId="0"/>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REiNFORCEMENT TAKINGOFF"/>
      <sheetName val="T.O.LIST"/>
      <sheetName val="Cover Page"/>
      <sheetName val="GEN. SUMMARY"/>
      <sheetName val="PRELIMS"/>
      <sheetName val="SECOND FLOOR"/>
      <sheetName val="FIRST FLOOR"/>
      <sheetName val="subs"/>
      <sheetName val="Structural"/>
      <sheetName val="external works"/>
      <sheetName val="THIRD FLOOR (2)"/>
      <sheetName val="SUBSTR.BOQ "/>
      <sheetName val="GROUND FLOOR"/>
      <sheetName val="THIRD FLOOR "/>
      <sheetName val="SEC. POST"/>
      <sheetName val="FENCEWALL"/>
      <sheetName val="TURFING"/>
      <sheetName val="DRAINAGE SYSTEM"/>
      <sheetName val="HVAC "/>
      <sheetName val="CABINETRY"/>
      <sheetName val="CCTV &amp; Fence"/>
      <sheetName val="SUPERSTR.BOQ"/>
      <sheetName val="GROUND FLOOR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ALC. SHEET"/>
      <sheetName val="Basement"/>
      <sheetName val="Ground Floor"/>
      <sheetName val="First Floor"/>
      <sheetName val="Second Floor"/>
      <sheetName val="Third Floor"/>
      <sheetName val="Fourth Floor"/>
      <sheetName val="Fifth Floor"/>
      <sheetName val="sixth Floor"/>
      <sheetName val="Seventh floor"/>
      <sheetName val="Roof "/>
      <sheetName val="External"/>
      <sheetName val="ABSTRACT "/>
      <sheetName val="FLOOR FINISHES"/>
      <sheetName val="Cover Page "/>
      <sheetName val="OPT.1"/>
      <sheetName val="DRYWALL &amp; GLASS Calc. (new)"/>
      <sheetName val="DETAILS  (77%)"/>
      <sheetName val="COLUMN REINF"/>
      <sheetName val="REV. BEAM"/>
      <sheetName val=" TANK &amp; RETG. &amp; LIFT WALLS "/>
      <sheetName val=" STAIRCASE"/>
      <sheetName val="upd slab"/>
      <sheetName val="Prelims"/>
      <sheetName val="INV. SNBRKER"/>
      <sheetName val="GEN SUMMARY"/>
      <sheetName val="PRELIMS &amp; GEN. ITEMS"/>
      <sheetName val="Concrete Works "/>
      <sheetName val="DETAILS  (FIN)"/>
      <sheetName val="TBRED SHELL AND CORE"/>
      <sheetName val="DEMOLITIONS "/>
      <sheetName val="SUBSTRUCTURE"/>
      <sheetName val="BASEMENT "/>
      <sheetName val="GROUND FLR "/>
      <sheetName val="1ST FLR "/>
      <sheetName val="2ND FLR"/>
      <sheetName val="3RD FLR"/>
      <sheetName val="4TH FLR"/>
      <sheetName val="5TH FLR"/>
      <sheetName val="6TH FLR"/>
      <sheetName val="TERRACE FLR"/>
      <sheetName val="SERVICE FLR (2)"/>
      <sheetName val="FURNITURE (2)"/>
      <sheetName val="GENERAL WORKS (2)"/>
      <sheetName val="EXTERNAL WORKS (2)"/>
      <sheetName val="EXTERNAL WORKS-ign"/>
      <sheetName val="GENERAL WORKS-ign"/>
      <sheetName val="ELECTRICAL WORKS (2)"/>
      <sheetName val="Summary (2)"/>
      <sheetName val="Ground Floor (2)"/>
      <sheetName val="First Floor (2)"/>
      <sheetName val="Second Floor (2)"/>
      <sheetName val="Third Floor (2)"/>
      <sheetName val="Fourth Floor (2)"/>
      <sheetName val="Fifth Floor (2)"/>
      <sheetName val="sixth Floor (2)"/>
      <sheetName val="WALL FINISHES"/>
      <sheetName val="SCHEDULE"/>
      <sheetName val="Option 2 EX.WORKS "/>
      <sheetName val="Window price"/>
      <sheetName val="fwall calc"/>
      <sheetName val="Copy of Reinf taking off (2)"/>
      <sheetName val="DESKS"/>
      <sheetName val="WASHROOMS"/>
      <sheetName val="Seventh floor (2)"/>
      <sheetName val="Roof  (2)"/>
      <sheetName val="External (2)"/>
      <sheetName val="Cover Page"/>
      <sheetName val="ABSTRACT  (FIN)"/>
      <sheetName val="Summary"/>
      <sheetName val="MECHANICAL Summary"/>
      <sheetName val="GLASS"/>
      <sheetName val="DEMO"/>
      <sheetName val="REINFORCEMENT DETAILS"/>
      <sheetName val="FURN"/>
      <sheetName val="SERVICE FLR"/>
      <sheetName val="Sheet1"/>
      <sheetName val="FURNITURE"/>
      <sheetName val="GENERAL WORKS"/>
      <sheetName val="EXTERNAL WORKS"/>
      <sheetName val="WALLS &amp; WALL FINISHES"/>
      <sheetName val="FLOOR FINISHING SCH 1"/>
      <sheetName val="CFS "/>
      <sheetName val="SLAB reinf"/>
      <sheetName val="CONC &amp; FWK"/>
      <sheetName val="Taking off"/>
      <sheetName val="Main Bill ign"/>
      <sheetName val="WATERPROOFING AND TILING"/>
      <sheetName val="KITCHEN CABI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GRAPHIC TENDER SUMMARY"/>
      <sheetName val="GRAPHIC PRELIMINARIES"/>
      <sheetName val="GRAPHIC BILL OF QUANTITIES"/>
      <sheetName val="STEEL PIPES FITTINGS VALVES "/>
      <sheetName val="DUCT THERMAL INSULATION"/>
      <sheetName val="PIPE THERMAL INSULATION"/>
      <sheetName val="DUCT ACC CCL"/>
      <sheetName val="DAIKIN VRV SPLIT SYSTEM AIRCON"/>
      <sheetName val="LENNOX CHILLER+HYDRONIC MODULE"/>
      <sheetName val="HVAC CONTROL PANELS"/>
      <sheetName val="LOCAL PVC CONDENSATE PIPING"/>
      <sheetName val="LOCAL REF COPPER PIPES &amp; FITTIN"/>
      <sheetName val="TROX AIR DIFFUSION EQUIPMENT"/>
      <sheetName val="LOCAL DUCTWORK TALLY #1"/>
      <sheetName val="LENNOX SPLIT SYSTEM AIRCON"/>
      <sheetName val="LENNOX AIR HANDLING UNITS"/>
      <sheetName val="NUAIRE &amp; XPELAIR EXTRACT FANS"/>
      <sheetName val="LOCAL STEEL PIPES B OF Q"/>
      <sheetName val="LOCAL DUCTWORK TALLY #2"/>
      <sheetName val="ELECTRICAL CABLE DATABASE"/>
      <sheetName val="INSTALLATION CHARGES"/>
      <sheetName val="ELECTRICAL UNMOD SUMMARY ADJ"/>
      <sheetName val="ELECTRICAL UNMOD SUMMARY ORIG"/>
      <sheetName val="ELECTRICAL UNMOD SCHEDULE"/>
      <sheetName val="ELECTRICAL FACTORS BLOCK"/>
      <sheetName val="PRELIMINARIES"/>
      <sheetName val="DUCTMATE  DATABASE"/>
      <sheetName val="DUCTMATE CALCULATION #1"/>
      <sheetName val="DUCTMATE CALCULATION #2"/>
      <sheetName val="INS RECT GALV DUCT BOQ #1"/>
      <sheetName val="INS ROUND GALV DUCT BOQ #1"/>
      <sheetName val="UN-INS RECT GALV DUCT BOQ #1"/>
      <sheetName val="UN-INS ROUND GALV DUCT BOQ #1"/>
      <sheetName val="INS RECT GALV DUCT IN #1"/>
      <sheetName val="UN-INS RECT GALV DUCT IN #1"/>
      <sheetName val="INS ROUND GALV DUCT IN #1"/>
      <sheetName val="UN-INS ROUND GALV DUCT IN #1"/>
      <sheetName val="INS RECT GALV DUCT OUT #1"/>
      <sheetName val="UN-INS RECT GALV DUCT OUT #1"/>
      <sheetName val="INS ROUND GALV DUCT OUT #1"/>
      <sheetName val="UN-INS ROUND GALV DUCT OUT #1"/>
      <sheetName val="ROUND FACTORS"/>
      <sheetName val="INS RECT GALV DUCT IN #2"/>
      <sheetName val="UN-INS RECT GALV DUCT IN #2"/>
      <sheetName val="INS ROUND GALV DUCT IN #2"/>
      <sheetName val="UN-INS ROUND GALV DUCT IN #2"/>
      <sheetName val="INS RECT GALV DUCT OUT #2"/>
      <sheetName val="UN-INS RECT GALV DUCT OUT #2"/>
      <sheetName val="INS ROUND GALV DUCT OUT #2"/>
      <sheetName val="UN-INS ROUND GALV DUCT OUT  #2"/>
      <sheetName val="INPUT DATA"/>
      <sheetName val="RECT FACTORS"/>
      <sheetName val="GRAPHIC_TENDER_SUMMARY"/>
      <sheetName val="GRAPHIC_PRELIMINARIES"/>
      <sheetName val="GRAPHIC_BILL_OF_QUANTITIES"/>
      <sheetName val="STEEL_PIPES_FITTINGS_VALVES_"/>
      <sheetName val="DUCT_THERMAL_INSULATION"/>
      <sheetName val="PIPE_THERMAL_INSULATION"/>
      <sheetName val="DUCT_ACC_CCL"/>
      <sheetName val="DAIKIN_VRV_SPLIT_SYSTEM_AIRCON"/>
      <sheetName val="LENNOX_CHILLER+HYDRONIC_MODULE"/>
      <sheetName val="HVAC_CONTROL_PANELS"/>
      <sheetName val="LOCAL_PVC_CONDENSATE_PIPING"/>
      <sheetName val="LOCAL_REF_COPPER_PIPES_&amp;_FITTIN"/>
      <sheetName val="TROX_AIR_DIFFUSION_EQUIPMENT"/>
      <sheetName val="LOCAL_DUCTWORK_TALLY_#1"/>
      <sheetName val="LENNOX_SPLIT_SYSTEM_AIRCON"/>
      <sheetName val="LENNOX_AIR_HANDLING_UNITS"/>
      <sheetName val="NUAIRE_&amp;_XPELAIR_EXTRACT_FANS"/>
      <sheetName val="LOCAL_STEEL_PIPES_B_OF_Q"/>
      <sheetName val="LOCAL_DUCTWORK_TALLY_#2"/>
      <sheetName val="ELECTRICAL_CABLE_DATABASE"/>
      <sheetName val="INSTALLATION_CHARGES"/>
      <sheetName val="ELECTRICAL_UNMOD_SUMMARY_ADJ"/>
      <sheetName val="ELECTRICAL_UNMOD_SUMMARY_ORIG"/>
      <sheetName val="ELECTRICAL_UNMOD_SCHEDULE"/>
      <sheetName val="ELECTRICAL_FACTORS_BLOCK"/>
      <sheetName val="DUCTMATE__DATABASE"/>
      <sheetName val="DUCTMATE_CALCULATION_#1"/>
      <sheetName val="DUCTMATE_CALCULATION_#2"/>
      <sheetName val="INS_RECT_GALV_DUCT_BOQ_#1"/>
      <sheetName val="INS_ROUND_GALV_DUCT_BOQ_#1"/>
      <sheetName val="UN-INS_RECT_GALV_DUCT_BOQ_#1"/>
      <sheetName val="UN-INS_ROUND_GALV_DUCT_BOQ_#1"/>
      <sheetName val="INS_RECT_GALV_DUCT_IN_#1"/>
      <sheetName val="UN-INS_RECT_GALV_DUCT_IN_#1"/>
      <sheetName val="INS_ROUND_GALV_DUCT_IN_#1"/>
      <sheetName val="UN-INS_ROUND_GALV_DUCT_IN_#1"/>
      <sheetName val="INS_RECT_GALV_DUCT_OUT_#1"/>
      <sheetName val="UN-INS_RECT_GALV_DUCT_OUT_#1"/>
      <sheetName val="INS_ROUND_GALV_DUCT_OUT_#1"/>
      <sheetName val="UN-INS_ROUND_GALV_DUCT_OUT_#1"/>
      <sheetName val="ROUND_FACTORS"/>
      <sheetName val="INS_RECT_GALV_DUCT_IN_#2"/>
      <sheetName val="UN-INS_RECT_GALV_DUCT_IN_#2"/>
      <sheetName val="INS_ROUND_GALV_DUCT_IN_#2"/>
      <sheetName val="UN-INS_ROUND_GALV_DUCT_IN_#2"/>
      <sheetName val="INS_RECT_GALV_DUCT_OUT_#2"/>
      <sheetName val="UN-INS_RECT_GALV_DUCT_OUT_#2"/>
      <sheetName val="INS_ROUND_GALV_DUCT_OUT_#2"/>
      <sheetName val="UN-INS_ROUND_GALV_DUCT_OUT__#2"/>
      <sheetName val="INPUT_DATA"/>
      <sheetName val="RECT_FACTORS"/>
      <sheetName val="GRAPHIC_TENDER_SUMMARY1"/>
      <sheetName val="GRAPHIC_PRELIMINARIES1"/>
      <sheetName val="GRAPHIC_BILL_OF_QUANTITIES1"/>
      <sheetName val="STEEL_PIPES_FITTINGS_VALVES_1"/>
      <sheetName val="DUCT_THERMAL_INSULATION1"/>
      <sheetName val="PIPE_THERMAL_INSULATION1"/>
      <sheetName val="DUCT_ACC_CCL1"/>
      <sheetName val="DAIKIN_VRV_SPLIT_SYSTEM_AIRCON1"/>
      <sheetName val="LENNOX_CHILLER+HYDRONIC_MODULE1"/>
      <sheetName val="HVAC_CONTROL_PANELS1"/>
      <sheetName val="LOCAL_PVC_CONDENSATE_PIPING1"/>
      <sheetName val="LOCAL_REF_COPPER_PIPES_&amp;_FITTI1"/>
      <sheetName val="TROX_AIR_DIFFUSION_EQUIPMENT1"/>
      <sheetName val="LOCAL_DUCTWORK_TALLY_#11"/>
      <sheetName val="LENNOX_SPLIT_SYSTEM_AIRCON1"/>
      <sheetName val="LENNOX_AIR_HANDLING_UNITS1"/>
      <sheetName val="NUAIRE_&amp;_XPELAIR_EXTRACT_FANS1"/>
      <sheetName val="LOCAL_STEEL_PIPES_B_OF_Q1"/>
      <sheetName val="LOCAL_DUCTWORK_TALLY_#21"/>
      <sheetName val="ELECTRICAL_CABLE_DATABASE1"/>
      <sheetName val="INSTALLATION_CHARGES1"/>
      <sheetName val="ELECTRICAL_UNMOD_SUMMARY_ADJ1"/>
      <sheetName val="ELECTRICAL_UNMOD_SUMMARY_ORIG1"/>
      <sheetName val="ELECTRICAL_UNMOD_SCHEDULE1"/>
      <sheetName val="ELECTRICAL_FACTORS_BLOCK1"/>
      <sheetName val="DUCTMATE__DATABASE1"/>
      <sheetName val="DUCTMATE_CALCULATION_#11"/>
      <sheetName val="DUCTMATE_CALCULATION_#21"/>
      <sheetName val="INS_RECT_GALV_DUCT_BOQ_#11"/>
      <sheetName val="INS_ROUND_GALV_DUCT_BOQ_#11"/>
      <sheetName val="UN-INS_RECT_GALV_DUCT_BOQ_#11"/>
      <sheetName val="UN-INS_ROUND_GALV_DUCT_BOQ_#11"/>
      <sheetName val="INS_RECT_GALV_DUCT_IN_#11"/>
      <sheetName val="UN-INS_RECT_GALV_DUCT_IN_#11"/>
      <sheetName val="INS_ROUND_GALV_DUCT_IN_#11"/>
      <sheetName val="UN-INS_ROUND_GALV_DUCT_IN_#11"/>
      <sheetName val="INS_RECT_GALV_DUCT_OUT_#11"/>
      <sheetName val="UN-INS_RECT_GALV_DUCT_OUT_#11"/>
      <sheetName val="INS_ROUND_GALV_DUCT_OUT_#11"/>
      <sheetName val="UN-INS_ROUND_GALV_DUCT_OUT_#11"/>
      <sheetName val="ROUND_FACTORS1"/>
      <sheetName val="INS_RECT_GALV_DUCT_IN_#21"/>
      <sheetName val="UN-INS_RECT_GALV_DUCT_IN_#21"/>
      <sheetName val="INS_ROUND_GALV_DUCT_IN_#21"/>
      <sheetName val="UN-INS_ROUND_GALV_DUCT_IN_#21"/>
      <sheetName val="INS_RECT_GALV_DUCT_OUT_#21"/>
      <sheetName val="UN-INS_RECT_GALV_DUCT_OUT_#21"/>
      <sheetName val="INS_ROUND_GALV_DUCT_OUT_#21"/>
      <sheetName val="UN-INS_ROUND_GALV_DUCT_OUT__#21"/>
      <sheetName val="INPUT_DATA1"/>
      <sheetName val="RECT_FACTORS1"/>
      <sheetName val="GRAPHIC_TENDER_SUMMARY2"/>
      <sheetName val="GRAPHIC_PRELIMINARIES2"/>
      <sheetName val="GRAPHIC_BILL_OF_QUANTITIES2"/>
      <sheetName val="STEEL_PIPES_FITTINGS_VALVES_2"/>
      <sheetName val="DUCT_THERMAL_INSULATION2"/>
      <sheetName val="PIPE_THERMAL_INSULATION2"/>
      <sheetName val="DUCT_ACC_CCL2"/>
      <sheetName val="DAIKIN_VRV_SPLIT_SYSTEM_AIRCON2"/>
      <sheetName val="LENNOX_CHILLER+HYDRONIC_MODULE2"/>
      <sheetName val="HVAC_CONTROL_PANELS2"/>
      <sheetName val="LOCAL_PVC_CONDENSATE_PIPING2"/>
      <sheetName val="LOCAL_REF_COPPER_PIPES_&amp;_FITTI2"/>
      <sheetName val="TROX_AIR_DIFFUSION_EQUIPMENT2"/>
      <sheetName val="LOCAL_DUCTWORK_TALLY_#12"/>
      <sheetName val="LENNOX_SPLIT_SYSTEM_AIRCON2"/>
      <sheetName val="LENNOX_AIR_HANDLING_UNITS2"/>
      <sheetName val="NUAIRE_&amp;_XPELAIR_EXTRACT_FANS2"/>
      <sheetName val="LOCAL_STEEL_PIPES_B_OF_Q2"/>
      <sheetName val="LOCAL_DUCTWORK_TALLY_#22"/>
      <sheetName val="ELECTRICAL_CABLE_DATABASE2"/>
      <sheetName val="INSTALLATION_CHARGES2"/>
      <sheetName val="ELECTRICAL_UNMOD_SUMMARY_ADJ2"/>
      <sheetName val="ELECTRICAL_UNMOD_SUMMARY_ORIG2"/>
      <sheetName val="ELECTRICAL_UNMOD_SCHEDULE2"/>
      <sheetName val="ELECTRICAL_FACTORS_BLOCK2"/>
      <sheetName val="DUCTMATE__DATABASE2"/>
      <sheetName val="DUCTMATE_CALCULATION_#12"/>
      <sheetName val="DUCTMATE_CALCULATION_#22"/>
      <sheetName val="INS_RECT_GALV_DUCT_BOQ_#12"/>
      <sheetName val="INS_ROUND_GALV_DUCT_BOQ_#12"/>
      <sheetName val="UN-INS_RECT_GALV_DUCT_BOQ_#12"/>
      <sheetName val="UN-INS_ROUND_GALV_DUCT_BOQ_#12"/>
      <sheetName val="INS_RECT_GALV_DUCT_IN_#12"/>
      <sheetName val="UN-INS_RECT_GALV_DUCT_IN_#12"/>
      <sheetName val="INS_ROUND_GALV_DUCT_IN_#12"/>
      <sheetName val="UN-INS_ROUND_GALV_DUCT_IN_#12"/>
      <sheetName val="INS_RECT_GALV_DUCT_OUT_#12"/>
      <sheetName val="UN-INS_RECT_GALV_DUCT_OUT_#12"/>
      <sheetName val="INS_ROUND_GALV_DUCT_OUT_#12"/>
      <sheetName val="UN-INS_ROUND_GALV_DUCT_OUT_#12"/>
      <sheetName val="ROUND_FACTORS2"/>
      <sheetName val="INS_RECT_GALV_DUCT_IN_#22"/>
      <sheetName val="UN-INS_RECT_GALV_DUCT_IN_#22"/>
      <sheetName val="INS_ROUND_GALV_DUCT_IN_#22"/>
      <sheetName val="UN-INS_ROUND_GALV_DUCT_IN_#22"/>
      <sheetName val="INS_RECT_GALV_DUCT_OUT_#22"/>
      <sheetName val="UN-INS_RECT_GALV_DUCT_OUT_#22"/>
      <sheetName val="INS_ROUND_GALV_DUCT_OUT_#22"/>
      <sheetName val="UN-INS_ROUND_GALV_DUCT_OUT__#22"/>
      <sheetName val="INPUT_DATA2"/>
      <sheetName val="RECT_FACTORS2"/>
      <sheetName val="Reference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SUMMARY SHEET"/>
      <sheetName val="DATA"/>
      <sheetName val="INPUT"/>
      <sheetName val="Sheet1"/>
      <sheetName val="Sheet3"/>
      <sheetName val="ACT- INPUT"/>
      <sheetName val="CAT- INPUT"/>
    </sheetNames>
    <sheetDataSet>
      <sheetData sheetId="0"/>
      <sheetData sheetId="1"/>
      <sheetData sheetId="2"/>
      <sheetData sheetId="3"/>
      <sheetData sheetId="4"/>
      <sheetData sheetId="5"/>
      <sheetData sheetId="6"/>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intro"/>
      <sheetName val="lab"/>
    </sheetNames>
    <sheetDataSet>
      <sheetData sheetId="0"/>
      <sheetData sheetId="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COMPARISON"/>
      <sheetName val="Cover Page"/>
      <sheetName val="SCOPING"/>
      <sheetName val=" SUMMARY "/>
      <sheetName val="Variation No. 2 Main Bill"/>
      <sheetName val="tiling boq (2)"/>
      <sheetName val="windows bill"/>
      <sheetName val="IT WORKS"/>
      <sheetName val="page 1"/>
      <sheetName val="CEO WR"/>
      <sheetName val="QUOTE"/>
      <sheetName val="WINDOWS CAL. (ignore)"/>
      <sheetName val="CCTV QUOTE"/>
      <sheetName val="WINDOWS CAL."/>
      <sheetName val="Instruc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Cover Page"/>
      <sheetName val="scoping "/>
      <sheetName val="GEN. SUMMARY"/>
      <sheetName val="SUB-Taking off"/>
      <sheetName val="SUBSTR.BOQ (A) "/>
      <sheetName val="GF TAKE-OFF"/>
      <sheetName val="GROUND FLOOR "/>
      <sheetName val="FF TAKE-OFF"/>
      <sheetName val="FIRST FLOOR "/>
      <sheetName val="SF Taking Off"/>
      <sheetName val="SECOND FLOOR"/>
      <sheetName val="EXTERNAL WORKS-TAKE-OFF"/>
      <sheetName val="EXTERNAL WORKS "/>
      <sheetName val="PLUMBING"/>
      <sheetName val="ELECTRICALS"/>
      <sheetName val="ACS"/>
      <sheetName val="AC PIPE WO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List Data"/>
      <sheetName val="Finishes"/>
      <sheetName val="Basement"/>
      <sheetName val="Ground FLoor"/>
      <sheetName val="1st Floor"/>
      <sheetName val="2nd Floor"/>
      <sheetName val="3rd Floor"/>
      <sheetName val="Roof Floor"/>
      <sheetName val="Procurement List"/>
      <sheetName val="ALLOWANCES"/>
      <sheetName val="LABOUR"/>
      <sheetName val="DAILY BASIC WAGE"/>
      <sheetName val="MATLS"/>
      <sheetName val="EQUIPT"/>
      <sheetName val="CARPENTRY"/>
      <sheetName val="wt-list"/>
      <sheetName val="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Criteria"/>
    </sheetNames>
    <sheetDataSet>
      <sheetData sheetId="0"/>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TAKE-OFF FOR Gate House"/>
      <sheetName val="sub LISTS"/>
    </sheetNames>
    <sheetDataSet>
      <sheetData sheetId="0"/>
      <sheetData sheetId="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COVER PAGE"/>
      <sheetName val="SCOPING"/>
      <sheetName val="Query Scoping"/>
      <sheetName val="IT WORKS"/>
      <sheetName val="GEN. SUMMARY"/>
      <sheetName val="SUBSTRUCTURE BOQ."/>
      <sheetName val="GROUND FLOOR"/>
      <sheetName val="FIRST FLOOR"/>
      <sheetName val="Cal. Sheet T"/>
      <sheetName val="SECOND FLOOR"/>
      <sheetName val="THIRD FLOOR "/>
      <sheetName val="FOURTH FLOOR  "/>
      <sheetName val="SERVICES FLOOR   "/>
      <sheetName val="UPPER ROOF FLOOR  "/>
      <sheetName val="EXTERNAL WORKS BOQ"/>
      <sheetName val="EXTERNAL FACADE"/>
      <sheetName val="EMEP"/>
      <sheetName val="SIGNAGES"/>
      <sheetName val="Calc. Sheet"/>
      <sheetName val="Calculation. Sheet "/>
      <sheetName val="Calc"/>
      <sheetName val="fencewall TAKE OFF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ignore"/>
      <sheetName val="Cover Page"/>
      <sheetName val="MAT. SUMMARY"/>
      <sheetName val="EXTERNAL WORKS -IGNORE)"/>
      <sheetName val="BUDGET GRAND  SUMMARY"/>
      <sheetName val="Budget Summary "/>
      <sheetName val="WAREHOUSE -(REMOVED)"/>
      <sheetName val="WAREHOUSE STRUCT. ONLY"/>
      <sheetName val="SDMA CONTAINER TERMINAL BUDGET"/>
      <sheetName val="GEN. SUMMARY"/>
      <sheetName val="EXTERNAL WORKS"/>
      <sheetName val="WEIGHBRIDGE (QUOTE)"/>
      <sheetName val="WEIGHBRIDGE"/>
      <sheetName val="WASHROOM "/>
      <sheetName val="OFFICES"/>
      <sheetName val="FENCE WALL BOQ "/>
      <sheetName val="SECURITY POST 1"/>
      <sheetName val="Reinf."/>
      <sheetName val="Calc."/>
      <sheetName val="Conc."/>
      <sheetName val="LOCATION scope"/>
      <sheetName val="fencewall TAKE OFF "/>
      <sheetName val="GEN SCOPE"/>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Summary"/>
      <sheetName val="Contract Value"/>
      <sheetName val="Variation Orders"/>
      <sheetName val="VO Priced Sheet"/>
      <sheetName val="Add Box Culv. 253+150"/>
      <sheetName val="Add Ret. Wall 249+000"/>
      <sheetName val="Ret. Wall 249+000 Dayworks"/>
      <sheetName val="Sum Schedules"/>
      <sheetName val="B.o.Q."/>
      <sheetName val="Price Adjustment"/>
      <sheetName val="Price Adjust. Details - Diesel"/>
      <sheetName val="Price Adjust. Details - Steel"/>
      <sheetName val="Price Adjust. Details - Cement"/>
      <sheetName val="Price Adjust. Details - Lime"/>
      <sheetName val="Price Adjust. Details - Primer"/>
      <sheetName val="Price Adjust. Details -Tack"/>
      <sheetName val="Price Adjust. - Bit. PG 76-10"/>
      <sheetName val="MOS"/>
      <sheetName val="Claim Revenue"/>
      <sheetName val="Others"/>
      <sheetName val="Exchange Rate"/>
      <sheetName val="Monthly Averages"/>
      <sheetName val="Sheet1"/>
      <sheetName val="bill no. 6"/>
      <sheetName val="INPUT DATA SHEET"/>
      <sheetName val="schedule carrier spa"/>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coping (3)"/>
      <sheetName val="Calc.-IGN"/>
      <sheetName val="exist"/>
      <sheetName val="Cover Page"/>
      <sheetName val="LOCATION SCOPE"/>
      <sheetName val="SCOPE  AND SPECS"/>
      <sheetName val="NEW tkoff"/>
      <sheetName val="Calc."/>
      <sheetName val="prelims"/>
      <sheetName val="FLR AREA"/>
      <sheetName val="G.Summary"/>
      <sheetName val="GROUND FLOOR"/>
      <sheetName val="FIRST FLOOR"/>
      <sheetName val="SECOND FLOOR"/>
      <sheetName val="THIRD FLOOR"/>
      <sheetName val="FOURTH FLOOR "/>
      <sheetName val="FIFTH FLOOR "/>
      <sheetName val="GENERAL &amp; EXTERNAL WORKS"/>
      <sheetName val="Sheet2"/>
      <sheetName val="Reinf taking off (2)"/>
      <sheetName val="QUERY LIST"/>
      <sheetName val="Reinf."/>
      <sheetName val="Conc."/>
      <sheetName val="SU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ELECTRICAL INSTALLATION WORKS"/>
      <sheetName val="PLUMBING INSTALLATION WORKS"/>
      <sheetName val="Sheet1"/>
      <sheetName val="Input"/>
      <sheetName val="Rates"/>
      <sheetName val="CABLERET"/>
    </sheetNames>
    <sheetDataSet>
      <sheetData sheetId="0"/>
      <sheetData sheetId="1"/>
      <sheetData sheetId="2"/>
      <sheetData sheetId="3"/>
      <sheetData sheetId="4"/>
      <sheetData sheetId="5"/>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METKA Cost Analysis_130118  (3)"/>
      <sheetName val="METKA Cost Analysis_130118  (2)"/>
      <sheetName val="Krokos Cost acc to FT"/>
      <sheetName val="METKA Cost Analysis_130118 curr"/>
      <sheetName val="METKA Cost Analysis_130118"/>
      <sheetName val="METKA Cost Analysis_130118 MK "/>
      <sheetName val="111205_III Add On (4-2-13)"/>
      <sheetName val="111205_III Add On old"/>
      <sheetName val="Concrete Cost"/>
      <sheetName val="Add-On Budget"/>
      <sheetName val="Add On BOQ"/>
      <sheetName val="DATA"/>
      <sheetName val="ADD ON RC Qties (2)"/>
      <sheetName val="Soft"/>
      <sheetName val="overhead"/>
      <sheetName val="Buildings Cost Analysis"/>
      <sheetName val="Misc"/>
      <sheetName val="Material"/>
      <sheetName val="METKA Sales"/>
      <sheetName val="RC Comparative"/>
      <sheetName val="Comparative"/>
      <sheetName val="ADD ON-Comparative List 121204"/>
      <sheetName val="X-LIST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ver Page"/>
      <sheetName val="GENERAL SUMMARY"/>
      <sheetName val="SUPERSTR.BOQ"/>
      <sheetName val="SUBSTR.BOQ"/>
      <sheetName val="STRUCTURE"/>
      <sheetName val="EXTERNAL WORKS"/>
    </sheetNames>
    <sheetDataSet>
      <sheetData sheetId="0"/>
      <sheetData sheetId="1"/>
      <sheetData sheetId="2"/>
      <sheetData sheetId="3"/>
      <sheetData sheetId="4"/>
      <sheetData sheetId="5"/>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Substructure B"/>
      <sheetName val="Cover Page"/>
      <sheetName val="scoping"/>
      <sheetName val="GEN. SUMMARY"/>
      <sheetName val="Taking off"/>
      <sheetName val="Substructure l (2)"/>
      <sheetName val="Ground Floor l (2)"/>
      <sheetName val="First Floor l (2)"/>
      <sheetName val="Roof Beam"/>
      <sheetName val="SUBSTR.BOQ (A) "/>
      <sheetName val="GROUND FLOOR"/>
      <sheetName val="FIRST FLOOR"/>
      <sheetName val="THIRD FLOOR (2)"/>
      <sheetName val="SUBSTR.BOQ"/>
      <sheetName val="GROUND FLOOR (A)"/>
      <sheetName val="FIRST FLOOR (A)"/>
      <sheetName val="SECURITY POST (A)"/>
      <sheetName val="FENCEWALL (A)"/>
      <sheetName val="COMPOUND WRKS (A)"/>
      <sheetName val="DRAINAGE SYSTEM (A)"/>
      <sheetName val="PLUMBING (A)"/>
      <sheetName val="HVAC (A)"/>
      <sheetName val="ELECTRICAL FENCE (A)"/>
      <sheetName val="ELECTRICALS (A)"/>
      <sheetName val="ELECTRICALS (B)"/>
      <sheetName val="SUBSTR.BOQ  (B)"/>
      <sheetName val="GROUND FLOOR (BLOCK B)"/>
      <sheetName val="FIRST FLOOR (BLOCK B)"/>
      <sheetName val="SECURITY POST (B)"/>
      <sheetName val="FENCEWALL (B)"/>
      <sheetName val="COMPOUND WRKS (B)"/>
      <sheetName val="DRAINAGE SYSTEM (B)"/>
      <sheetName val="PLUMBING (B)"/>
      <sheetName val="HVAC  (B)"/>
      <sheetName val="ELECTRICAL FENCE (B)"/>
      <sheetName val="Staff quarters B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COVER PAGE"/>
      <sheetName val="SUMMARY"/>
      <sheetName val="BUDGET (COMPLETE)"/>
      <sheetName val="BUDGET (LABOUR)"/>
      <sheetName val="BUDGET (MATERIAL)"/>
      <sheetName val="AGREED BOQ"/>
      <sheetName val="diagnostic"/>
      <sheetName val="female ward"/>
      <sheetName val="opd"/>
      <sheetName val="pavillion"/>
      <sheetName val="pediatric a"/>
      <sheetName val="pharmacy"/>
      <sheetName val="physiotherapy"/>
      <sheetName val="security commerce"/>
      <sheetName val="surg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DWKS+15%"/>
      <sheetName val="Orig bill"/>
      <sheetName val="Orig Water bill"/>
      <sheetName val="PS+nil"/>
      <sheetName val="PS+15%"/>
      <sheetName val="Var bill"/>
      <sheetName val="Water Var bill"/>
    </sheetNames>
    <sheetDataSet>
      <sheetData sheetId="0"/>
      <sheetData sheetId="1"/>
      <sheetData sheetId="2"/>
      <sheetData sheetId="3"/>
      <sheetData sheetId="4"/>
      <sheetData sheetId="5"/>
      <sheetData sheetId="6"/>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DATA"/>
      <sheetName val="BLDG COMPARISON"/>
      <sheetName val="x-list"/>
      <sheetName val="Comparative"/>
      <sheetName val="Krokos Cost_111101"/>
      <sheetName val="20001 Cost per m3 analysis"/>
      <sheetName val="10001_Cost per m3"/>
      <sheetName val="20001 Comparative_230"/>
      <sheetName val="20001 Comparative Comments"/>
      <sheetName val="10001 Comparative"/>
      <sheetName val="10001 CUMULATIVE"/>
      <sheetName val="9110 CUMULATIVE"/>
      <sheetName val="Concrete-Rebars"/>
      <sheetName val="GiD-GiP"/>
      <sheetName val="GiS"/>
      <sheetName val="NiM"/>
      <sheetName val="NiE"/>
      <sheetName val="GiM"/>
      <sheetName val="00"/>
      <sheetName val="01a"/>
      <sheetName val="01b"/>
      <sheetName val="02a"/>
      <sheetName val="02b"/>
      <sheetName val="03"/>
      <sheetName val="04"/>
      <sheetName val="05"/>
      <sheetName val="06"/>
      <sheetName val="07"/>
      <sheetName val="08"/>
      <sheetName val="09"/>
      <sheetName val="10"/>
      <sheetName val="11"/>
      <sheetName val="12"/>
      <sheetName val="13"/>
      <sheetName val="14"/>
      <sheetName val="15"/>
      <sheetName val="16"/>
      <sheetName val="17"/>
      <sheetName val="18a"/>
      <sheetName val="18b"/>
      <sheetName val="19a"/>
      <sheetName val="19b"/>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a"/>
      <sheetName val="38b"/>
      <sheetName val="39"/>
      <sheetName val="XX"/>
      <sheetName val="10001 Concrete per m3"/>
      <sheetName val="Concrete Qties_110509"/>
      <sheetName val="KROKOS"/>
      <sheetName val="9110 BY BLDG"/>
      <sheetName val="OLD kg-m3 Analysis"/>
      <sheetName val="20001 CUMULAT BRKDN rev3 101207"/>
      <sheetName val="CW Steel"/>
      <sheetName val="CW Main List"/>
      <sheetName val="FINOL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Budget Summary"/>
      <sheetName val="work section summary"/>
      <sheetName val="ADVANS BUDGET"/>
      <sheetName val="Sheet6"/>
      <sheetName val="MEP BUDGET"/>
      <sheetName val="SUMMARY"/>
      <sheetName val="GLAZIER"/>
      <sheetName val="Prelims"/>
      <sheetName val="Sheet1"/>
      <sheetName val="HELPER"/>
      <sheetName val="CARPENTER"/>
      <sheetName val="Mason"/>
      <sheetName val="ROOF INSTALLER"/>
      <sheetName val="PLUMBER"/>
      <sheetName val="PLASTERBOARD"/>
      <sheetName val="GF"/>
      <sheetName val="FF"/>
      <sheetName val="ROOF"/>
      <sheetName val="Ext Finish"/>
      <sheetName val="Ext Works"/>
      <sheetName val="Prov. Sums"/>
      <sheetName val="Elect"/>
      <sheetName val="Plumbing"/>
      <sheetName val="HVAC (Budget amt)"/>
      <sheetName val="HVAC (BOQ am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TOC"/>
      <sheetName val="PRELIMINARIES"/>
      <sheetName val="WASTE DISPOSAL"/>
      <sheetName val="LAUNDRY"/>
      <sheetName val="ENERGY CENTRE"/>
      <sheetName val="MAINTENANCE ETC"/>
      <sheetName val="PROFIT AND ATTENDANCE"/>
      <sheetName val="GENERAL SUMMARY"/>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MENU"/>
      <sheetName val="CONCRETE WORKS"/>
      <sheetName val="REINFORCEMENT"/>
      <sheetName val="BLOCK WORKS"/>
      <sheetName val="ROOFING WORKS"/>
      <sheetName val="C'PENTRY &amp;JOINERY;GLAZ'G;METLWK"/>
      <sheetName val="MATDB-Not applicable"/>
      <sheetName val="LABRDB-Not APPLICABLE"/>
      <sheetName val="EQTPDB-NOT APPLICABLE"/>
    </sheetNames>
    <sheetDataSet>
      <sheetData sheetId="0"/>
      <sheetData sheetId="1"/>
      <sheetData sheetId="2"/>
      <sheetData sheetId="3"/>
      <sheetData sheetId="4"/>
      <sheetData sheetId="5"/>
      <sheetData sheetId="6"/>
      <sheetData sheetId="7"/>
      <sheetData sheetId="8"/>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Cover Page"/>
      <sheetName val="GEN SUMM. "/>
      <sheetName val="MAIN BOQ"/>
      <sheetName val="INTERIOR SUMM."/>
      <sheetName val="INTERIOR BOQ"/>
      <sheetName val="MDF BILL"/>
      <sheetName val="Taking offs"/>
      <sheetName val="Shell and Core Scoping "/>
      <sheetName val="Interior Fit-out Scoping"/>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MAIN BOQ"/>
      <sheetName val="MAIN BOQ REV 3 "/>
      <sheetName val="INTERIOR BOQ"/>
      <sheetName val="INTERIOR SUMM."/>
      <sheetName val="MAT. SUMMARY"/>
      <sheetName val="SUBSTR.BOQ "/>
      <sheetName val="SUPERSTRUCTURE"/>
      <sheetName val="Budget Summary"/>
      <sheetName val="Mbote BUDGET"/>
    </sheetNames>
    <sheetDataSet>
      <sheetData sheetId="0"/>
      <sheetData sheetId="1"/>
      <sheetData sheetId="2"/>
      <sheetData sheetId="3"/>
      <sheetData sheetId="4"/>
      <sheetData sheetId="5"/>
      <sheetData sheetId="6"/>
      <sheetData sheetId="7"/>
      <sheetData sheetId="8"/>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Cover Page"/>
      <sheetName val="scoping "/>
      <sheetName val="GEN. SUMMARY"/>
      <sheetName val="SUB-Taking off"/>
      <sheetName val="SUBSTR.BOQ (A) "/>
      <sheetName val="GF TAKE-OFF"/>
      <sheetName val="GROUND FLOOR "/>
      <sheetName val="FF TAKE-OFF"/>
      <sheetName val="FIRST FLOOR "/>
      <sheetName val="SF Taking Off"/>
      <sheetName val="SECOND FLOOR"/>
      <sheetName val="EXTERNAL WORKS-TAKE-OFF"/>
      <sheetName val="EXTERNAL WORKS "/>
      <sheetName val="CURTAIN WALL"/>
      <sheetName val="ELECTRICALS"/>
      <sheetName val="PLUMBING"/>
      <sheetName val="A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over Page"/>
      <sheetName val="sub. mat SUMMARY"/>
      <sheetName val="G.Summary "/>
      <sheetName val="SUBSTR. (2)"/>
      <sheetName val="GROUND"/>
      <sheetName val="FIRST"/>
      <sheetName val="EXTERNAL WORKS"/>
      <sheetName val="MATE. SUMMARY"/>
      <sheetName val="Reinf taking off (2)"/>
      <sheetName val="BUDGET"/>
      <sheetName val="sub  Conc. (2)"/>
      <sheetName val="subb - Reinf."/>
      <sheetName val="Calc."/>
      <sheetName val="GROUNDFLOOR TO LINTEL LEVEL"/>
      <sheetName val="SUPERSTRUCTURE"/>
      <sheetName val="SUBSTR.BOQ "/>
      <sheetName val="SUPSTR.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List of Works"/>
      <sheetName val="overhead"/>
      <sheetName val="Factor"/>
      <sheetName val="Exchange Rate"/>
      <sheetName val="Summary"/>
    </sheetNames>
    <sheetDataSet>
      <sheetData sheetId="0"/>
      <sheetData sheetId="1"/>
      <sheetData sheetId="2"/>
      <sheetData sheetId="3"/>
      <sheetData sheetId="4"/>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Substructure B"/>
      <sheetName val="GRAND Summary  (3)"/>
      <sheetName val="Budget Summary "/>
      <sheetName val="OLD BUDGET"/>
      <sheetName val="Cover Page"/>
      <sheetName val="GROUND FLR"/>
      <sheetName val="scoping (3)"/>
      <sheetName val="FIRST FLR"/>
      <sheetName val="Scope details"/>
      <sheetName val="Material Sch."/>
      <sheetName val="GROUND FLOOR"/>
      <sheetName val="FIRST FLOOR"/>
      <sheetName val="THIRD FLOOR (2)"/>
      <sheetName val="SUBSTR.BOQ"/>
      <sheetName val="Calc."/>
      <sheetName val="Page005"/>
      <sheetName val="Page004"/>
      <sheetName val="Page003"/>
      <sheetName val="Page002"/>
      <sheetName val="Table021 (Page 6)"/>
      <sheetName val="Page001"/>
      <sheetName val="Table022 (Page 6)"/>
      <sheetName val="Table019 (Page 6)"/>
      <sheetName val="Table020 (Page 6)"/>
      <sheetName val="Table018 (Page 5)"/>
      <sheetName val="Table016 (Page 5)"/>
      <sheetName val="Table017 (Page 5)"/>
      <sheetName val="Table015 (Page 5)"/>
      <sheetName val="Table014 (Page 4)"/>
      <sheetName val="Table013 (Page 4)"/>
      <sheetName val="Table012 (Page 4)"/>
      <sheetName val="Table011 (Page 3)"/>
      <sheetName val="Table010 (Page 3)"/>
      <sheetName val="Table009 (Page 3)"/>
      <sheetName val="Table008 (Page 3)"/>
      <sheetName val="Table007 (Page 2)"/>
      <sheetName val="Table005 (Page 2)"/>
      <sheetName val="Table006 (Page 2)"/>
      <sheetName val="Table004 (Page 2)"/>
      <sheetName val="Table003 (Page 1)"/>
      <sheetName val="Table002 (Page 1)"/>
      <sheetName val="GEN. SUMMARY"/>
      <sheetName val="SUBSTR.BOQ (A) "/>
      <sheetName val="Reinf."/>
      <sheetName val="GROUND FLOOR "/>
      <sheetName val="FIRST FLOOR "/>
      <sheetName val="Conc."/>
      <sheetName val="SECURITY POST"/>
      <sheetName val="FENCEWALL"/>
      <sheetName val="COMPOUND WRKS"/>
      <sheetName val="DRAINAGE SYSTEM"/>
      <sheetName val="PLUMBING "/>
      <sheetName val="HVAC (A)"/>
      <sheetName val="ELECTRICAL FENCE "/>
      <sheetName val="ELECTRICAL"/>
      <sheetName val="MAT. SUMMARY"/>
      <sheetName val="SUBSTR.BOQ "/>
      <sheetName val="GROUND FLOOR  (2)"/>
      <sheetName val="FIRST FLOOR  (2)"/>
      <sheetName val="SECURITY POST "/>
      <sheetName val="FENCEWALL "/>
      <sheetName val="COMPOUND WRKS "/>
      <sheetName val="summary"/>
      <sheetName val="LAB. SUMMARY"/>
      <sheetName val="SUBSTR.BOQ (A)  (2)"/>
      <sheetName val="GROUND FLOOR  (3)"/>
      <sheetName val="FIRST FLOOR (A)"/>
      <sheetName val="SECURITY POST (A)"/>
      <sheetName val="FENCEWALL (A)"/>
      <sheetName val="COMPOUND WRKS (A)"/>
      <sheetName val="concrete"/>
      <sheetName val="formwork"/>
      <sheetName val="Sheet2"/>
      <sheetName val="ELECTRICALS (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GRAND Summary  (3)"/>
      <sheetName val="Cover Page"/>
      <sheetName val="LOCATION SCOPE"/>
      <sheetName val="SCOPE OF WORKS"/>
      <sheetName val="GROUND FLR-IGNORE"/>
      <sheetName val="FIRST FLR"/>
      <sheetName val="Scope details"/>
      <sheetName val="GROUND FLOOR-IGNORE"/>
      <sheetName val="THIRD FLOOR (2)"/>
      <sheetName val="SUBSTR.BOQ"/>
      <sheetName val="Sec Pos Taking Off"/>
      <sheetName val="BUDGET GRAND  SUMMARY"/>
      <sheetName val="Budget Summary "/>
      <sheetName val="BUDGET"/>
      <sheetName val="GEN. SUMMARY"/>
      <sheetName val="SUBSTR.BOQ  "/>
      <sheetName val="Reinf."/>
      <sheetName val="GROUND FLOOR "/>
      <sheetName val="FIRST FLOOR "/>
      <sheetName val="SECOND FLOOR"/>
      <sheetName val="PLUMB QUOTE"/>
      <sheetName val="COMPOUND WRKS"/>
      <sheetName val="FENCEWALL"/>
      <sheetName val="SECURITY POST"/>
      <sheetName val="ELECTRICAL WORKS"/>
      <sheetName val="PLUMBING "/>
      <sheetName val="HVAC "/>
      <sheetName val="ELECTRIC FENCE "/>
      <sheetName val="Calc."/>
      <sheetName val="Taking Off Substr"/>
      <sheetName val="Conc."/>
      <sheetName val="Reinf taking off"/>
      <sheetName val="GROUND FLOOR  (2)"/>
      <sheetName val="FIRST FLOOR  (2)"/>
      <sheetName val="FENCEWALL "/>
      <sheetName val="COMPOUND WRKS "/>
      <sheetName val="summary"/>
      <sheetName val="LAB. SUMMARY"/>
      <sheetName val="SUBSTR.BOQ (A)  (2)"/>
      <sheetName val="GROUND FLOOR  (3)-IGNORE"/>
      <sheetName val="FIRST FLOOR (A)"/>
      <sheetName val="FENCEWALL (A)"/>
      <sheetName val="COMPOUND WRKS (A)"/>
      <sheetName val="Sheet2"/>
      <sheetName val="ELECTRICALS (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GRAND SUMMARY (2)"/>
      <sheetName val="V.O 1 SUMMARY   (2)"/>
      <sheetName val="FEB,2025 (IT) IPC 1"/>
      <sheetName val="V.O 1 SUMMARY  (2)"/>
      <sheetName val="IT BILL (2)"/>
      <sheetName val="SUMMARY (FIRE) (3)"/>
      <sheetName val="FIRE BILL-full (3)"/>
      <sheetName val="FEB,2025 MAIN IPC (7)"/>
      <sheetName val="budg. rep.Summary  (4)"/>
      <sheetName val="VAL.Summary (7)"/>
      <sheetName val="GROUND FLOOR (7)"/>
      <sheetName val="FIRST FLOOR (7)"/>
      <sheetName val="SECOND FLOOR (7)"/>
      <sheetName val="THIRD FLOOR (7)"/>
      <sheetName val="FOURTH FLOOR  (7)"/>
      <sheetName val="FACADE AND EXTERNAL WORKS (7)"/>
      <sheetName val="SITE MSRMT (7)"/>
      <sheetName val="SCOPING (7)"/>
      <sheetName val="ASA material on-site (7)"/>
      <sheetName val="JAN,2025 IPC (6)"/>
      <sheetName val="GRAND SUMMARY"/>
      <sheetName val="V.O 1 SUMMARY "/>
      <sheetName val="Summary IT"/>
      <sheetName val="IT BILL"/>
      <sheetName val="Cover Page (2)"/>
      <sheetName val="SUMMARY (FIRE) (2)"/>
      <sheetName val="FIRE BILL-full (2)"/>
      <sheetName val="VAL.Summary (6)"/>
      <sheetName val="GROUND FLOOR (6)"/>
      <sheetName val="FIRST FLOOR (6)"/>
      <sheetName val="SECOND FLOOR (6)"/>
      <sheetName val="THIRD FLOOR (6)"/>
      <sheetName val="FOURTH FLOOR  (6)"/>
      <sheetName val="FACADE AND EXTERNAL WORKS (6)"/>
      <sheetName val="SITE MSRMT (6)"/>
      <sheetName val="SCOPING (6)"/>
      <sheetName val="ASA material on-site (6)"/>
      <sheetName val="budg. rep.Summary  (3)"/>
      <sheetName val="DEC,2024 IPC (5)"/>
      <sheetName val="budg. rep.Summary  (2)"/>
      <sheetName val="VAL.Summary (5)"/>
      <sheetName val="GROUND FLOOR (5)"/>
      <sheetName val="FIRST FLOOR (5)"/>
      <sheetName val="SECOND FLOOR (5)"/>
      <sheetName val="THIRD FLOOR (5)"/>
      <sheetName val="FOURTH FLOOR  (5)"/>
      <sheetName val="FACADE AND EXTERNAL WORKS (5)"/>
      <sheetName val="SITE MSRMT (5)"/>
      <sheetName val="SCOPING (5)"/>
      <sheetName val="ASA material on-site (5)"/>
      <sheetName val="NOV,2024 IPC (4)"/>
      <sheetName val="budg. rep.Summary "/>
      <sheetName val="VAL.Summary (4)"/>
      <sheetName val="GROUND FLOOR (4)"/>
      <sheetName val="FIRST FLOOR (4)"/>
      <sheetName val="SECOND FLOOR (4)"/>
      <sheetName val="THIRD FLOOR (4)"/>
      <sheetName val="FOURTH FLOOR  (4)"/>
      <sheetName val="FACADE AND EXTERNAL WORKS (4)"/>
      <sheetName val="SITE MSRMT (4)"/>
      <sheetName val="SCOPING (4)"/>
      <sheetName val="ASA material on-site (4)"/>
      <sheetName val="OCT,2024 IPC (3)"/>
      <sheetName val="VAL.Summary (3)"/>
      <sheetName val="GROUND FLOOR (3)"/>
      <sheetName val="FIRST FLOOR (3)"/>
      <sheetName val="SECOND FLOOR (3)"/>
      <sheetName val="THIRD FLOOR (3)"/>
      <sheetName val="FOURTH FLOOR  (3)"/>
      <sheetName val="FACADE AND EXTERNAL WORKS (3)"/>
      <sheetName val="SITE MSRMT (3)"/>
      <sheetName val="SCOPING (3)"/>
      <sheetName val="ASA material on-site (3)"/>
      <sheetName val="SEPT,2024 IPC (2)"/>
      <sheetName val="VAL.Summary (2)"/>
      <sheetName val="GROUND FLOOR (2)"/>
      <sheetName val="FIRST FLOOR (2)"/>
      <sheetName val="SECOND FLOOR (2)"/>
      <sheetName val="FOURTH FLOOR  (2)"/>
      <sheetName val="THIRD FLOOR (2)"/>
      <sheetName val="SITE MSRMT (2)"/>
      <sheetName val="FACADE AND EXTERNAL WORKS (2)"/>
      <sheetName val="SCOPING (2)"/>
      <sheetName val="ASA material on-site (2)"/>
      <sheetName val="AUG,2024 IPC  "/>
      <sheetName val="VAL.Summary"/>
      <sheetName val="GROUND FLOOR"/>
      <sheetName val="FIRST FLOOR"/>
      <sheetName val="SECOND FLOOR"/>
      <sheetName val="THIRD FLOOR"/>
      <sheetName val="FOURTH FLOOR "/>
      <sheetName val="FACADE AND EXTERNAL WORKS"/>
      <sheetName val="PLUMBING"/>
      <sheetName val="ELECTRICAL"/>
      <sheetName val="SCOPING"/>
      <sheetName val="SITE MSRMT"/>
      <sheetName val="ASA material on-site"/>
      <sheetName val="Cover P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GRAND Summary  (3)"/>
      <sheetName val="Budget Summary "/>
      <sheetName val="OLD BUDGET"/>
      <sheetName val="Reinf taking off (2)"/>
      <sheetName val="OFF AND STORE - NO"/>
      <sheetName val="SUBSTR.BOQ ABLUTION  (4)"/>
      <sheetName val="Cover Page"/>
      <sheetName val="LOCATION SCOPE"/>
      <sheetName val="SCOPE OF WORKS"/>
      <sheetName val="scoping (3)"/>
      <sheetName val="Scope details"/>
      <sheetName val="Material Sch."/>
      <sheetName val="Sec Pos Taking Off"/>
      <sheetName val="Sec Post Taking Off Substr"/>
      <sheetName val="SEC POST - Superstructure"/>
      <sheetName val="Taking Off Substr"/>
      <sheetName val="Conc."/>
      <sheetName val="Calc."/>
      <sheetName val="Reinf."/>
      <sheetName val="Reinf taking off"/>
      <sheetName val="Bon. Reinf taking off"/>
      <sheetName val="GRAND. SUMMARY"/>
      <sheetName val="CHICKEN HOUSE .BOQ  "/>
      <sheetName val="OFFICE AND STORE "/>
      <sheetName val="RESIDENCE"/>
      <sheetName val=" ABLUTION "/>
      <sheetName val="SUBSTR.BOQ RES  (2)"/>
      <sheetName val="SUBSTR.BOQ ABLUTION  (3)"/>
      <sheetName val="CHICKEN SUPER. "/>
      <sheetName val="CHICKEN ELECT. (2) - NO"/>
      <sheetName val="SECURITY POST "/>
      <sheetName val="EXTERNAL WORKS"/>
      <sheetName val="SECURITY POST - NO"/>
      <sheetName val="ELECTRICAL WORKS"/>
      <sheetName val="PLUMBING "/>
      <sheetName val="ELECTRICAL FENCE (B)"/>
      <sheetName val="plumbing (b)"/>
      <sheetName val="FIRST FLO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CALCULATION"/>
      <sheetName val="INPUT DATA"/>
      <sheetName val="SUMMARY"/>
      <sheetName val="INPUT_DATA"/>
      <sheetName val="INPUT_DATA1"/>
      <sheetName val="INPUT_DATA2"/>
      <sheetName val="schedule carrier spa"/>
      <sheetName val="Rates"/>
      <sheetName val="Build up"/>
      <sheetName val="Rebars Take-Off by AAL"/>
      <sheetName val="electrical factors block"/>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Testing"/>
      <sheetName val="정부노임단가"/>
      <sheetName val="TBAL9697 -group wise  sdpl"/>
      <sheetName val="主要经济指标表"/>
      <sheetName val="Data"/>
      <sheetName val="Lead"/>
      <sheetName val="Sheet3"/>
      <sheetName val="建筑安装工程单位估价表"/>
      <sheetName val="Rates"/>
      <sheetName val="Wembley "/>
      <sheetName val="CALCULATION"/>
      <sheetName val="ELECTRICAL WORKS"/>
      <sheetName val="PLUMBING INSTALLATION WORKS"/>
      <sheetName val="Index"/>
      <sheetName val="系数表"/>
      <sheetName val="b2"/>
      <sheetName val="total原始"/>
      <sheetName val="バルブ材質選定データ"/>
      <sheetName val="당초"/>
      <sheetName val="설산1.나"/>
      <sheetName val="본사S"/>
      <sheetName val="예산서"/>
      <sheetName val="BM"/>
      <sheetName val="WORK"/>
      <sheetName val="piping"/>
      <sheetName val="ﾄﾞﾊﾞｲFUEL GAS追見"/>
      <sheetName val="2F 회의실견적(5_14 일대)"/>
      <sheetName val="공사비 내역 (가)"/>
      <sheetName val="OCT_FDN"/>
      <sheetName val="OCT.FDN"/>
      <sheetName val="COVER"/>
      <sheetName val="INDIRECT COST-PART l"/>
      <sheetName val="BQ"/>
      <sheetName val="ITB COST"/>
      <sheetName val="SPLHTLS"/>
      <sheetName val="투입실적"/>
      <sheetName val="Equipment"/>
      <sheetName val="Sheet4"/>
      <sheetName val="산근"/>
      <sheetName val="SOHAR(2nd)"/>
      <sheetName val="1. Piping Final BOQ List"/>
      <sheetName val="PipWT"/>
      <sheetName val="eq_data"/>
      <sheetName val="NEWDRAW"/>
      <sheetName val="예산"/>
      <sheetName val="설산1_나"/>
      <sheetName val="ITB_COST"/>
      <sheetName val="OCT_FDN1"/>
      <sheetName val="2F_회의실견적(5_14_일대)"/>
      <sheetName val="공사비_내역_(가)"/>
      <sheetName val="INDIRECT_COST-PART_l"/>
      <sheetName val="1__Piping_Final_BOQ_List"/>
      <sheetName val="HDECGTY"/>
      <sheetName val="환율표"/>
      <sheetName val="AABS내역"/>
      <sheetName val="fitting"/>
      <sheetName val="도급양식"/>
      <sheetName val="공사비내역서"/>
      <sheetName val="Reloc &amp; Living Cost"/>
      <sheetName val="Sal"/>
      <sheetName val="7.6.3(B) UG Piping"/>
      <sheetName val="Overall"/>
      <sheetName val="热力系统"/>
      <sheetName val="定额"/>
      <sheetName val="方案1表二"/>
      <sheetName val="2010电气概算 价目表"/>
      <sheetName val="单位库"/>
      <sheetName val="Elect (3)"/>
      <sheetName val="Main"/>
      <sheetName val="Lot 7-Revêtements"/>
      <sheetName val="2001概算定额"/>
      <sheetName val="2013电气概算 价目表 (营改增调整)"/>
      <sheetName val="gsde01"/>
      <sheetName val="Bill 6 Curtain walls"/>
      <sheetName val="Factors"/>
      <sheetName val="L2Misc"/>
      <sheetName val="Input"/>
      <sheetName val="Name Lists"/>
      <sheetName val="intro"/>
      <sheetName val="lab"/>
      <sheetName val="P1012001"/>
      <sheetName val="FIRST  Floor"/>
      <sheetName val="Basement Budget"/>
      <sheetName val="IO LIST"/>
      <sheetName val="Criteria"/>
      <sheetName val="Validations"/>
      <sheetName val="VOP"/>
      <sheetName val="Change Orders"/>
      <sheetName val="Payment Request"/>
      <sheetName val="HOME"/>
      <sheetName val="PR SOV"/>
      <sheetName val="SOV"/>
      <sheetName val="BQ External"/>
      <sheetName val="Sch. Areas"/>
      <sheetName val="CPA33-34"/>
      <sheetName val="breakdown"/>
      <sheetName val="SubmitCal"/>
      <sheetName val="Hotel Summary"/>
      <sheetName val="NPV"/>
      <sheetName val="Master Data Sheet"/>
      <sheetName val="Cash2"/>
      <sheetName val="Z"/>
      <sheetName val="Sensitivities"/>
      <sheetName val="HQ-TO"/>
      <sheetName val="1 Summary"/>
      <sheetName val="D-3503"/>
      <sheetName val="beam-reinf "/>
      <sheetName val="Mp-team 1"/>
      <sheetName val="estimate"/>
      <sheetName val="SECT-LIST"/>
      <sheetName val="cable"/>
      <sheetName val="기계내역서"/>
      <sheetName val="Vehicles"/>
      <sheetName val="SLABREINF-SCH"/>
      <sheetName val="Struct_Earth"/>
      <sheetName val="Base_Data"/>
      <sheetName val="Section 2-SCHEDULE OF DAYWORK"/>
      <sheetName val="Ground Covers Schedule"/>
      <sheetName val="Add2-om-mep"/>
      <sheetName val="General Summary"/>
      <sheetName val="MASTER_RATE ANALYSIS"/>
      <sheetName val="final abstract"/>
      <sheetName val="GS BOQ Contract"/>
      <sheetName val="h-013211-2"/>
      <sheetName val="dg-VTu"/>
      <sheetName val="Tke"/>
      <sheetName val="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Cover Page "/>
      <sheetName val="scoping "/>
      <sheetName val="COVER PAGE"/>
      <sheetName val="SUMMARY "/>
      <sheetName val="SUBSTRUCTURE"/>
      <sheetName val="MAT SUMMARY - MAIN BUILDING"/>
      <sheetName val="TAKEOFF_SUBSTRUCTURE"/>
      <sheetName val="SUBSTR.BOQ"/>
      <sheetName val="GROUND FLOOR "/>
      <sheetName val="FIRST FLOOR BOQ"/>
      <sheetName val="PLUMBING AND MECHANICAL BOQ"/>
      <sheetName val="ELECTRICAL BOQ"/>
      <sheetName val="EXTERNAL WORKS"/>
      <sheetName val="Budget Summary "/>
      <sheetName val="GROUND FLOOR  (2)"/>
      <sheetName val="OLD BUDGET"/>
      <sheetName val="BILL SUMMARY"/>
      <sheetName val="  Grand Budget Summary"/>
      <sheetName val="General Summary   "/>
      <sheetName val="Detailed Budget Summary  "/>
      <sheetName val="Lakota budget "/>
      <sheetName val="SUBSTRUCTURE (2)"/>
      <sheetName val="GROUND FLOOR  (3)"/>
      <sheetName val="FIRST FLOOR BOQ (2)"/>
      <sheetName val="PLUMBING AND MECHANICAL BOQ_"/>
      <sheetName val="ELECTRICAL BOQ (2)"/>
      <sheetName val="EXTERNAL WORKS (2)"/>
      <sheetName val="Sheet9"/>
      <sheetName val="build-up GF"/>
      <sheetName val="TAKEOFF_ GROUND FLOOR"/>
      <sheetName val="TAKEOFF_ FIRST FLOOR"/>
      <sheetName val="Sheet1 (3)"/>
      <sheetName val="Sheet1 (2)"/>
      <sheetName val="1 (2)"/>
      <sheetName val="1"/>
      <sheetName val="Sheet1 (4)"/>
      <sheetName val="Sheet4"/>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INPUT DATA SHEET"/>
      <sheetName val="SUMMARY OF ESTIMATED COST"/>
      <sheetName val="PROVISIONAL SUMS"/>
      <sheetName val="PRELIMINARIES"/>
      <sheetName val="FINAL TENDER BOQ 18K &amp; 24K BTUH"/>
      <sheetName val="SUMMARY HI WALL SRAC"/>
      <sheetName val="TENDER BOQ ANALYSIS 18K &amp; 24K"/>
      <sheetName val="TENDER SUMMARY"/>
      <sheetName val="ATLANTIC QUOTATION - XPELAIR"/>
      <sheetName val="AIR CONDITIONING MACHINERY"/>
      <sheetName val="VENTILATION FANS"/>
      <sheetName val="XPELAIR ENQUIRY"/>
      <sheetName val="Sheet3"/>
      <sheetName val="INPUT_DATA_SHEET"/>
      <sheetName val="SUMMARY_OF_ESTIMATED_COST"/>
      <sheetName val="PROVISIONAL_SUMS"/>
      <sheetName val="FINAL_TENDER_BOQ_18K_&amp;_24K_BTUH"/>
      <sheetName val="SUMMARY_HI_WALL_SRAC"/>
      <sheetName val="TENDER_BOQ_ANALYSIS_18K_&amp;_24K"/>
      <sheetName val="TENDER_SUMMARY"/>
      <sheetName val="ATLANTIC_QUOTATION_-_XPELAIR"/>
      <sheetName val="AIR_CONDITIONING_MACHINERY"/>
      <sheetName val="VENTILATION_FANS"/>
      <sheetName val="XPELAIR_ENQUIRY"/>
      <sheetName val="INPUT_DATA_SHEET1"/>
      <sheetName val="SUMMARY_OF_ESTIMATED_COST1"/>
      <sheetName val="PROVISIONAL_SUMS1"/>
      <sheetName val="FINAL_TENDER_BOQ_18K_&amp;_24K_BTU1"/>
      <sheetName val="SUMMARY_HI_WALL_SRAC1"/>
      <sheetName val="TENDER_BOQ_ANALYSIS_18K_&amp;_24K1"/>
      <sheetName val="TENDER_SUMMARY1"/>
      <sheetName val="ATLANTIC_QUOTATION_-_XPELAIR1"/>
      <sheetName val="AIR_CONDITIONING_MACHINERY1"/>
      <sheetName val="VENTILATION_FANS1"/>
      <sheetName val="XPELAIR_ENQUIRY1"/>
      <sheetName val="INPUT_DATA_SHEET2"/>
      <sheetName val="SUMMARY_OF_ESTIMATED_COST2"/>
      <sheetName val="PROVISIONAL_SUMS2"/>
      <sheetName val="FINAL_TENDER_BOQ_18K_&amp;_24K_BTU2"/>
      <sheetName val="SUMMARY_HI_WALL_SRAC2"/>
      <sheetName val="TENDER_BOQ_ANALYSIS_18K_&amp;_24K2"/>
      <sheetName val="TENDER_SUMMARY2"/>
      <sheetName val="ATLANTIC_QUOTATION_-_XPELAIR2"/>
      <sheetName val="AIR_CONDITIONING_MACHINERY2"/>
      <sheetName val="VENTILATION_FANS2"/>
      <sheetName val="XPELAIR_ENQUIRY2"/>
      <sheetName val="Reference Data"/>
      <sheetName val="ELECTRICAL FACTORS BLOCK"/>
      <sheetName val="Rates"/>
      <sheetName val="GRAPHIC BILL OF QUANTITIES"/>
      <sheetName val="INPUT DATA"/>
      <sheetName val="ELECTRICAL CABLE DATABASE"/>
      <sheetName val="DUCTMATE CALCULATION #1"/>
      <sheetName val="DUCTMATE  DATABASE"/>
      <sheetName val="DUCTMATE CALCULATION #2"/>
      <sheetName val="Build up"/>
      <sheetName val="2017.6"/>
      <sheetName val="CALCULATION"/>
      <sheetName val="planner"/>
      <sheetName val="Amortization Plan"/>
      <sheetName val="RECAP"/>
      <sheetName val="ALLOWANCES"/>
      <sheetName val="LABOUR"/>
      <sheetName val="DAILY BASIC WAGE"/>
      <sheetName val="MATLS"/>
      <sheetName val="EQUIPT"/>
      <sheetName val="CARPENT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switch"/>
      <sheetName val="CABLERET"/>
      <sheetName val="loadlist"/>
      <sheetName val="loadcurve"/>
      <sheetName val="offer"/>
      <sheetName val="loaddistribution"/>
      <sheetName val="loaddistribution rev"/>
      <sheetName val="BOQ CONTRACT (REV)"/>
      <sheetName val="BOQ PANEL REV"/>
      <sheetName val="LOAD LIST MSEDCL"/>
      <sheetName val="BOQ CONTRACT"/>
      <sheetName val="PANEL DVB"/>
      <sheetName val="BOQ PANEL"/>
      <sheetName val="BOQ LIGHT"/>
      <sheetName val="Light Fittings"/>
      <sheetName val="HOME"/>
      <sheetName val="datatable"/>
      <sheetName val="GRAND SUMMARY"/>
      <sheetName val="BO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Cover Page"/>
      <sheetName val="OPT. 1 SUMMARY"/>
      <sheetName val="MAIN BILL 1"/>
      <sheetName val="Cover Page "/>
      <sheetName val="OPT. 2  SUMMARY "/>
      <sheetName val="MAIN BILL. 2"/>
    </sheetNames>
    <sheetDataSet>
      <sheetData sheetId="0"/>
      <sheetData sheetId="1"/>
      <sheetData sheetId="2"/>
      <sheetData sheetId="3"/>
      <sheetData sheetId="4"/>
      <sheetData sheetId="5"/>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DUCT MATERIAL"/>
      <sheetName val="PLUMBING - HOT WATER STORAGE"/>
      <sheetName val="ELECTRICAL"/>
      <sheetName val="PLUMBING - WATER CONSUMPTION"/>
      <sheetName val="PLUMBING - SEPTIC TANK"/>
      <sheetName val="PLUMBING"/>
      <sheetName val="OXYGEN"/>
      <sheetName val="MEDICAL AIR"/>
      <sheetName val="NITROGEN"/>
      <sheetName val="NITROUS OXIDE"/>
      <sheetName val="MEDICAL VACUUM"/>
      <sheetName val="SUMMARY"/>
      <sheetName val="Factors"/>
      <sheetName val="Testing"/>
      <sheetName val="FINOL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BOQ (2)"/>
      <sheetName val="Retaining wall"/>
      <sheetName val="D bse 1 - All Details"/>
      <sheetName val="0.01 Dbse 2 - Dr &amp; win Sch"/>
      <sheetName val="1. Take-off list"/>
      <sheetName val="Cover"/>
      <sheetName val="flyer Bill nr 2"/>
      <sheetName val="1.01 Queries"/>
      <sheetName val="flyer Sch Mjr Mat"/>
      <sheetName val="flyer trademen"/>
      <sheetName val="tradesmen"/>
      <sheetName val="Gate Hse BOQ"/>
      <sheetName val="FENCE BOQ  (2)"/>
      <sheetName val="FENCE BOQ "/>
      <sheetName val="Kubease BOQ"/>
      <sheetName val="Flyer 4"/>
      <sheetName val="EXT Wks incldng FENCE WALL"/>
      <sheetName val="Flyer 3"/>
      <sheetName val="Kubease Gate Hse "/>
      <sheetName val="FACTORY 2 BOQ REVSD"/>
      <sheetName val="FACTORY 2 BOQ"/>
      <sheetName val="FACTORY BOQ"/>
      <sheetName val="flyer gen sum"/>
      <sheetName val="Gen Summary"/>
      <sheetName val="2 Storey Semidetached Apt BOQ"/>
      <sheetName val="flyer Bill nr 3"/>
      <sheetName val="2.0.0 - Subst Site Clearance"/>
      <sheetName val="2.01.0 - Subst Red Lev Excv"/>
      <sheetName val="2.02.0 - Subst Fdn Trench"/>
      <sheetName val="2.02.1-Subst ColBse ExcvConcWks"/>
      <sheetName val="2.02.2 - Subst ColnBse Rebars"/>
      <sheetName val="2.02.3-Subst LftBse ExcvConwks"/>
      <sheetName val="2.02.3.6 - Supst Lftwll Con"/>
      <sheetName val="Lift  Wall"/>
      <sheetName val="2.02.3.4 - Subst Lftwll Concwks"/>
      <sheetName val="2.02.3.7 - Supst Lftwll Reb"/>
      <sheetName val="2.02.3.5 - Subst Lftwll Rebars"/>
      <sheetName val="2.02.3.1 - Subst LftBse Rebars"/>
      <sheetName val="2.03.0-Subst Coln in Fdn ConWks"/>
      <sheetName val="Main Bldng Mat Schedule"/>
      <sheetName val="2.03.1 - Subst Coln Rebars "/>
      <sheetName val="2.04.0- Subst GrdBm ConcWks"/>
      <sheetName val="2.04.1 - Subst GrdBm Rebars"/>
      <sheetName val="2.04.1 - Subst GrdBm Rebars (2)"/>
      <sheetName val="2.05.0 - Subst HardCore Fill"/>
      <sheetName val="2.06.0- Subst FlrBd ConcWks"/>
      <sheetName val="2.06.1 - Subst Mesh Rebars"/>
      <sheetName val="2.07 - Subst Rfs-Bkfl"/>
      <sheetName val="Coping Rfmnt "/>
      <sheetName val="Bill 1 Prelims"/>
      <sheetName val="Preliminary Est with basement"/>
      <sheetName val="Preliminary Est"/>
      <sheetName val="2.4 - Subst Steps"/>
      <sheetName val="BENDG SCH EXTRACT"/>
      <sheetName val="3.1 - Colns Conc &amp; Fmwk"/>
      <sheetName val="3.1.1 - Colns Reinfmnt"/>
      <sheetName val="4.1 - Bms Revsd Conc &amp; Fmwk"/>
      <sheetName val="4.1 - Beams Conc &amp; Fmwk"/>
      <sheetName val="4.1.1 - Beams Reinfmnt"/>
      <sheetName val="4.1.1 - Beams Rebar revised"/>
      <sheetName val="4.2 - Rf Bms Conc &amp; Fmwk Revsd"/>
      <sheetName val="4.2 - Roof Bms Conc &amp; Fmwk"/>
      <sheetName val="4.2.1 - Roof Bm Rebars Revsd"/>
      <sheetName val="4.2.1 - Roof Bm Reinfmnt"/>
      <sheetName val="5.1 - Sspndd slb Conc &amp; FmwkREV"/>
      <sheetName val="5.1 - Sspnded slab Conc &amp; Fmwk"/>
      <sheetName val="5.1.1 - Sspded slab Rebar Rev"/>
      <sheetName val="5.1.1 - Sspded slab Reinfmnt"/>
      <sheetName val="5.2 - Rf slb Conc &amp; Frmwk Revsd"/>
      <sheetName val="5.2 - Roof slab Conc &amp; Frmwk"/>
      <sheetName val="5.2.1 - Roof Slab Reinfmnt"/>
      <sheetName val="5.2.1 - Roof Slab Rebars rev"/>
      <sheetName val="Upstand"/>
      <sheetName val="6.1 - Staircase Conc &amp; Fmwk"/>
      <sheetName val="6.1.1 - Staircase Reinfmnt"/>
      <sheetName val="7.1 - Blockwork"/>
      <sheetName val="Lintel Conc &amp; Frmwk"/>
      <sheetName val="9.2.1 - Windows SILLS"/>
      <sheetName val="8.1-Rf Cvrng Rftr Purlns Battns"/>
      <sheetName val="8.2 - Rf Ridge Pce Caps"/>
      <sheetName val="8.3 - Rf Hip Rafts"/>
      <sheetName val="8.4 - Rf Valley Guttrs"/>
      <sheetName val="8.1.1 - Roof - Shingle"/>
      <sheetName val="8.5-Rf- Fascia"/>
      <sheetName val="8.6-Rf-Gable Closng"/>
      <sheetName val="8.7-Rf-TRUSSES"/>
      <sheetName val="8.8-Rf-Alum Flashng"/>
      <sheetName val="8.9-Rf-Wall Plate"/>
      <sheetName val="9.1 - Doors"/>
      <sheetName val="9.2 - Windows"/>
      <sheetName val="10.1 - Floors"/>
      <sheetName val="10.1.1 - Skirting"/>
      <sheetName val="10.3 - Ceiling"/>
      <sheetName val="10.2 - Wall TILES"/>
      <sheetName val="Drying Area BOQ"/>
      <sheetName val="lintel Rinfmnt on Opngs"/>
      <sheetName val="Proposed Ware Hse "/>
      <sheetName val="sub 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OBRPA"/>
      <sheetName val="OWBRPA"/>
      <sheetName val="Prov Sums"/>
      <sheetName val="VARBRPA"/>
      <sheetName val="VARWBRPA"/>
    </sheetNames>
    <sheetDataSet>
      <sheetData sheetId="0"/>
      <sheetData sheetId="1"/>
      <sheetData sheetId="2"/>
      <sheetData sheetId="3"/>
      <sheetData sheetId="4"/>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IValueMW"/>
    </sheetNames>
    <sheetDataSet>
      <sheetData sheetId="0"/>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Substructure B"/>
      <sheetName val="Budget Summary "/>
      <sheetName val="OLD BUDGET"/>
      <sheetName val="Cover Page"/>
      <sheetName val="GROUND FLR"/>
      <sheetName val="scoping (3)"/>
      <sheetName val="FIRST FLR"/>
      <sheetName val="Scope details"/>
      <sheetName val="Material Sch."/>
      <sheetName val="GROUND FLOOR"/>
      <sheetName val="FIRST FLOOR"/>
      <sheetName val="THIRD FLOOR (2)"/>
      <sheetName val="SUBSTR.BOQ"/>
      <sheetName val="Calc."/>
      <sheetName val="Page005"/>
      <sheetName val="Page004"/>
      <sheetName val="Page003"/>
      <sheetName val="Page002"/>
      <sheetName val="Table021 (Page 6)"/>
      <sheetName val="Page001"/>
      <sheetName val="Table022 (Page 6)"/>
      <sheetName val="Table019 (Page 6)"/>
      <sheetName val="Table020 (Page 6)"/>
      <sheetName val="Table018 (Page 5)"/>
      <sheetName val="Table016 (Page 5)"/>
      <sheetName val="Table017 (Page 5)"/>
      <sheetName val="Table015 (Page 5)"/>
      <sheetName val="Table014 (Page 4)"/>
      <sheetName val="Table013 (Page 4)"/>
      <sheetName val="Table012 (Page 4)"/>
      <sheetName val="Table011 (Page 3)"/>
      <sheetName val="Table010 (Page 3)"/>
      <sheetName val="Table009 (Page 3)"/>
      <sheetName val="Table008 (Page 3)"/>
      <sheetName val="Table007 (Page 2)"/>
      <sheetName val="Table005 (Page 2)"/>
      <sheetName val="Table006 (Page 2)"/>
      <sheetName val="Table004 (Page 2)"/>
      <sheetName val="Table003 (Page 1)"/>
      <sheetName val="Table002 (Page 1)"/>
      <sheetName val="GEN. SUMMARY"/>
      <sheetName val="SUBSTR.BOQ (A) "/>
      <sheetName val="Reinf."/>
      <sheetName val="GROUND FLOOR "/>
      <sheetName val="FIRST FLOOR "/>
      <sheetName val="Conc."/>
      <sheetName val="SECURITY POST"/>
      <sheetName val="FENCEWALL"/>
      <sheetName val="COMPOUND WRKS"/>
      <sheetName val="DRAINAGE SYSTEM"/>
      <sheetName val="PLUMBING "/>
      <sheetName val="HVAC (A)"/>
      <sheetName val="ELECTRICAL FENCE "/>
      <sheetName val="ELECTRICAL"/>
      <sheetName val="MAT. SUMMARY"/>
      <sheetName val="SUBSTR.BOQ "/>
      <sheetName val="GROUND FLOOR  (2)"/>
      <sheetName val="FIRST FLOOR  (2)"/>
      <sheetName val="SECURITY POST "/>
      <sheetName val="FENCEWALL "/>
      <sheetName val="COMPOUND WRKS "/>
      <sheetName val="GEN. SUMMARY (2)"/>
      <sheetName val="SUBSTR.BOQ (A)  (2)"/>
      <sheetName val="GROUND FLOOR  (3)"/>
      <sheetName val="FIRST FLOOR (A)"/>
      <sheetName val="SECURITY POST (A)"/>
      <sheetName val="FENCEWALL (A)"/>
      <sheetName val="COMPOUND WRKS (A)"/>
      <sheetName val="concrete"/>
      <sheetName val="formwork"/>
      <sheetName val="Sheet2"/>
      <sheetName val="ELECTRICALS (A)"/>
      <sheetName val="Input"/>
      <sheetName val="DWKS+15%"/>
      <sheetName val="Orig bill"/>
      <sheetName val="Orig Water bill"/>
      <sheetName val="PS+nil"/>
      <sheetName val="PS+15%"/>
      <sheetName val="Var bill"/>
      <sheetName val="Water Var bill"/>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AKOSOMBO CONFERENCE FACILITY"/>
      <sheetName val="AKOSOMBO_CONFERENCE_FACILITY1"/>
      <sheetName val="AKOSOMBO_CONFERENCE_FACILITY"/>
      <sheetName val="intro"/>
      <sheetName val="lab"/>
    </sheetNames>
    <sheetDataSet>
      <sheetData sheetId="0"/>
      <sheetData sheetId="1"/>
      <sheetData sheetId="2"/>
      <sheetData sheetId="3"/>
      <sheetData sheetId="4"/>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main"/>
      <sheetName val="CSCH2"/>
      <sheetName val="Sheet1"/>
      <sheetName val="REG"/>
      <sheetName val="EMG"/>
      <sheetName val="EL"/>
      <sheetName val="EP"/>
      <sheetName val="RP"/>
      <sheetName val="ELSG"/>
      <sheetName val="EPSG"/>
      <sheetName val="RPSG"/>
      <sheetName val="ELNG"/>
      <sheetName val="EPNG"/>
      <sheetName val="RPNG"/>
      <sheetName val="ELS1"/>
      <sheetName val="EPS1"/>
      <sheetName val="RPS1"/>
      <sheetName val="ELN1"/>
      <sheetName val="EPN1"/>
      <sheetName val="RPN1"/>
      <sheetName val="ELS2"/>
      <sheetName val="ELN2"/>
      <sheetName val="EPS2"/>
      <sheetName val="EPN2"/>
      <sheetName val="RPS2"/>
      <sheetName val="RPN2"/>
      <sheetName val="ELS3"/>
      <sheetName val="LOAD TABLE"/>
      <sheetName val="EPS3"/>
      <sheetName val="RPS3"/>
      <sheetName val="CABLERET"/>
      <sheetName val="cable"/>
      <sheetName val="switch"/>
      <sheetName val="busbar"/>
      <sheetName val="DESIGN"/>
      <sheetName val="EQTPDB-NOT APPLICABLE"/>
      <sheetName val="LABRDB-Not APPLIC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LOAD PER APARTMENT - 1 BEDROOM"/>
      <sheetName val="ELEC BOQ"/>
      <sheetName val="PLU BOQ"/>
      <sheetName val="FIRE FIGHTING BOQ"/>
      <sheetName val="Sheet1"/>
      <sheetName val="MEDICAL AIR"/>
      <sheetName val="MEDICAL VACUUM"/>
      <sheetName val="NITROUS OXIDE"/>
      <sheetName val="NITROGEN"/>
      <sheetName val="OXYGEN"/>
      <sheetName val="IValueMW"/>
      <sheetName val="superstr.boq"/>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Cover Page"/>
      <sheetName val="GF taking off"/>
      <sheetName val="GRAND SUMMARY "/>
      <sheetName val="ABLUTION. SUMMARY"/>
      <sheetName val="SUBSTRUCTUR-ABLUTION"/>
      <sheetName val="FF taking off"/>
      <sheetName val="Taking Off Substr"/>
      <sheetName val="SUBSTR. BOQ-IGNORE"/>
      <sheetName val="ABLUTION SUPER"/>
      <sheetName val="KITCHEN"/>
      <sheetName val="sub  Conc. (2)"/>
      <sheetName val="subb - Reinf."/>
      <sheetName val="Calc."/>
      <sheetName val="DRAINAGE SYSTEM-IGNORE"/>
      <sheetName val="SUBSTRUCTURE"/>
      <sheetName val="LABOUR ANALYSIS SUBSTRUCTURE"/>
      <sheetName val="SUBSTRUCTUR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DATA"/>
      <sheetName val="Krokos Cost_120224"/>
      <sheetName val="Krokos Cost_120314"/>
      <sheetName val="10001_Cost per m3"/>
      <sheetName val="METKA budget"/>
      <sheetName val="Soft costs"/>
      <sheetName val="Basket"/>
      <sheetName val="Basket (2)"/>
      <sheetName val="20001 Cost per m3 analysis"/>
      <sheetName val="20001_Rebar Cost analysis"/>
      <sheetName val="ELEMKA extra works"/>
      <sheetName val="10001_Comparative 1"/>
      <sheetName val="9110_Comparative 1"/>
      <sheetName val="9110 Cumulative"/>
      <sheetName val="9110 Main"/>
      <sheetName val="9110 Substation"/>
      <sheetName val="Concrete-Rebars"/>
      <sheetName val="NiM"/>
      <sheetName val="NiE"/>
      <sheetName val="GiM"/>
      <sheetName val="00"/>
      <sheetName val="01a"/>
      <sheetName val="01b"/>
      <sheetName val="02a"/>
      <sheetName val="02b"/>
      <sheetName val="03"/>
      <sheetName val="04"/>
      <sheetName val="05"/>
      <sheetName val="06"/>
      <sheetName val="07"/>
      <sheetName val="08"/>
      <sheetName val="09"/>
      <sheetName val="10"/>
      <sheetName val="11"/>
      <sheetName val="12"/>
      <sheetName val="13"/>
      <sheetName val="14"/>
      <sheetName val="15"/>
      <sheetName val="16"/>
      <sheetName val="17"/>
      <sheetName val="18a"/>
      <sheetName val="18b"/>
      <sheetName val="19a"/>
      <sheetName val="19b"/>
      <sheetName val="20"/>
      <sheetName val="21"/>
      <sheetName val="22"/>
      <sheetName val="23"/>
      <sheetName val="24"/>
      <sheetName val="25"/>
      <sheetName val="26"/>
      <sheetName val="27"/>
      <sheetName val="28"/>
      <sheetName val="29"/>
      <sheetName val="30"/>
      <sheetName val="31"/>
      <sheetName val="32"/>
      <sheetName val="33a"/>
      <sheetName val="33b"/>
      <sheetName val="34"/>
      <sheetName val="35"/>
      <sheetName val="36"/>
      <sheetName val="37"/>
      <sheetName val="38a"/>
      <sheetName val="38b"/>
      <sheetName val="39"/>
      <sheetName val="XX"/>
      <sheetName val="GiD-GiP"/>
      <sheetName val="GiS"/>
      <sheetName val="20001 Comparative_230"/>
      <sheetName val="20001 Comparative Comments"/>
      <sheetName val="x-list"/>
      <sheetName val="Comparative"/>
      <sheetName val="BLDG COMPARISON"/>
      <sheetName val="10001 Concrete per m3"/>
      <sheetName val="Concrete Qties_110509"/>
      <sheetName val="KROKOS"/>
      <sheetName val="20001 CUMULAT BRKDN rev3 101207"/>
      <sheetName val="CW Main List"/>
      <sheetName val="BPU"/>
      <sheetName val="IT WORKS"/>
      <sheetName val="SUBSTRUCTURE BO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TOPLAM KESIF SORTED"/>
    </sheetNames>
    <sheetDataSet>
      <sheetData sheetId="0"/>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MATERIAL SCHEDULE"/>
      <sheetName val="Budget Summary"/>
      <sheetName val="ADVANS BUDGET"/>
      <sheetName val="MEP BUDGET"/>
      <sheetName val="Prelims"/>
      <sheetName val="GF"/>
      <sheetName val="FF"/>
      <sheetName val="Roof"/>
      <sheetName val="Ext Finish"/>
      <sheetName val="Ext Works"/>
      <sheetName val="Elect"/>
      <sheetName val="Plumbing"/>
      <sheetName val="HVAC"/>
      <sheetName val="Prov Sum"/>
      <sheetName val="GS"/>
      <sheetName val="Schedule pri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Bill-Electricals"/>
      <sheetName val="Cover Page"/>
      <sheetName val="GRAND SUMMARY EST"/>
      <sheetName val="GRAND SUMMARY"/>
      <sheetName val="MAIN BLD SUMMARY"/>
      <sheetName val="SUBSTR.BOQ"/>
      <sheetName val="SUPERSTR.BOQ"/>
      <sheetName val="Sheet1"/>
      <sheetName val="FENCEWALL"/>
      <sheetName val="Staff quarters Bill"/>
      <sheetName val="Bill-Guest lounge"/>
      <sheetName val="Bill-Reception "/>
      <sheetName val="BILL-SUBSTRUCTURE (2)"/>
      <sheetName val="substructure Taking off"/>
      <sheetName val="EXTL WRKS SUMMARY"/>
      <sheetName val="TURFING"/>
      <sheetName val="DRAINAGE SYSTEM"/>
      <sheetName val="HVAC "/>
      <sheetName val="CABINETRY"/>
      <sheetName val="CCTV &amp; Fence"/>
      <sheetName val="superstructure Taking off"/>
      <sheetName val="staff quarters"/>
      <sheetName val="Reception"/>
      <sheetName val="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switch"/>
      <sheetName val="MCCB"/>
      <sheetName val="rates"/>
    </sheetNames>
    <sheetDataSet>
      <sheetData sheetId="0"/>
      <sheetData sheetId="1"/>
      <sheetData sheetId="2"/>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Cover Page"/>
      <sheetName val="WATERPROOFING BILL"/>
      <sheetName val="WATERPROOFING SCHEDULE"/>
      <sheetName val="BALUSTRADE  BILL"/>
      <sheetName val="BALUSTRADES SCHEDULE "/>
      <sheetName val="TILING SCHEDULE "/>
      <sheetName val="COMPARISON"/>
      <sheetName val="SHOWER CUBICLES AND BALUSTRADES"/>
      <sheetName val="Balustrades and Waterproofing f"/>
      <sheetName val="Factor"/>
      <sheetName val="rates"/>
      <sheetName val="g.summa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Sheet1 (2)"/>
      <sheetName val="LOAD CALCULATION"/>
      <sheetName val="WATER CONSUMPTION"/>
      <sheetName val="SEPTIC TANK"/>
      <sheetName val="SOAK AWAY PER HOUSE"/>
      <sheetName val="BOOSTER PUMP"/>
      <sheetName val="MECHANICAL SERVICES SIZING - FR"/>
      <sheetName val="환산표"/>
      <sheetName val="Collection"/>
      <sheetName val="HOME"/>
      <sheetName val="datatabl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Bill-Electricals"/>
      <sheetName val="GRAND SUMMARY EST"/>
      <sheetName val="Cover Page"/>
      <sheetName val="NOTES"/>
      <sheetName val="Taking off"/>
      <sheetName val="substructure Taking off"/>
      <sheetName val="GRAND SUMMARY"/>
      <sheetName val="SUBSTR.BOQ"/>
      <sheetName val="superstructure Taking off"/>
      <sheetName val="MAIN BLD SUMMARY"/>
      <sheetName val="SUPERSTR.BOQ"/>
      <sheetName val="Sheet1"/>
      <sheetName val="Calcns"/>
      <sheetName val="FENCEWALL"/>
      <sheetName val="Bill-Guest lounge"/>
      <sheetName val="BILL-SUBSTRUCTURE (2)"/>
      <sheetName val="TURFING"/>
      <sheetName val="EXTL WRKS"/>
      <sheetName val="OTHER FACILITIES"/>
      <sheetName val="Washroom "/>
      <sheetName val="Sheet2"/>
      <sheetName val="Washroom Superstructure"/>
      <sheetName val="Office"/>
      <sheetName val="Security Post"/>
      <sheetName val="ELECTRICAL"/>
      <sheetName val="GROTTO"/>
      <sheetName val="DRAINAGE SYSTEM"/>
      <sheetName val="staff quarters"/>
      <sheetName val="Recep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MATE. SUMMARY (2)"/>
      <sheetName val="BUDGET"/>
      <sheetName val="Cover Page"/>
      <sheetName val="SCOPING (3)"/>
      <sheetName val="PREL. EST. (2)"/>
      <sheetName val="G.Summary "/>
      <sheetName val="SUBSTR.(s)"/>
      <sheetName val="calculations"/>
      <sheetName val="SUBSTR. (2)"/>
      <sheetName val="GROUND"/>
      <sheetName val="FIRST"/>
      <sheetName val="SECOND"/>
      <sheetName val="EXTERNAL WORKS (2)"/>
      <sheetName val="DRAINAGE SYSTEM (2)"/>
      <sheetName val="MATERIAL SCHEDULE  S&amp;C"/>
      <sheetName val="MATERIAL SCHEDULE - FIN"/>
      <sheetName val="LABOUR SCHEDULE (2)"/>
      <sheetName val="MATERIAL SCHEDULE  "/>
      <sheetName val="BUDGET. (2)"/>
      <sheetName val="FENCE WALL BOQ  (2)"/>
      <sheetName val="SECURITY POST BOQ"/>
      <sheetName val="FENCE WALL BOQ "/>
      <sheetName val="TAKEOFF"/>
      <sheetName val="Cover Page (2)"/>
      <sheetName val=" CASH FLow (F)"/>
      <sheetName val="CASH SUM"/>
      <sheetName val="fencewall TAKE OFF "/>
      <sheetName val="sub  Conc. (2)"/>
      <sheetName val="subb - Reinf."/>
      <sheetName val="Calc."/>
      <sheetName val="sub. mat SUMMARY"/>
      <sheetName val="GROUNDFLOOR TO LINTEL LEVEL"/>
      <sheetName val="SUPERSTRUCTURE"/>
      <sheetName val="Reinf taking off (2)"/>
      <sheetName val="SUBSTR.BOQ "/>
      <sheetName val="SUPSTR.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Cover Page"/>
      <sheetName val="GEN SCOPE"/>
      <sheetName val="GEN. SUMMARY"/>
      <sheetName val="Budget Summary"/>
      <sheetName val="BUDGET SHELL AND CORE"/>
      <sheetName val="GRAND  SUMMARY"/>
      <sheetName val="General Budget Summary   "/>
      <sheetName val="Detailed Budget Summary  "/>
      <sheetName val="GROUND FLOOR "/>
      <sheetName val="PLUMBING "/>
      <sheetName val="Sheet1 (2)"/>
      <sheetName val="PLUMBING FF"/>
      <sheetName val="PURPLE PARK BUDGET"/>
      <sheetName val="ELECTRICALS "/>
      <sheetName val="ELECTRICALS FF"/>
      <sheetName val="GROUND FLOOR  BOQ"/>
      <sheetName val="FIRST FLOOR  BOQ"/>
      <sheetName val="GF BOQ finishes"/>
      <sheetName val="FF BOQ finishes"/>
      <sheetName val="GROUND FLOOR  (3)"/>
      <sheetName val="GF Taking Off"/>
      <sheetName val="FF Taking Off"/>
      <sheetName val="MATERIAL SCHEDULE"/>
      <sheetName val="Sheet1"/>
      <sheetName val="Scoping"/>
      <sheetName val="Query Scoping"/>
      <sheetName val="calculations (2)"/>
      <sheetName val="PLUM. G.F"/>
      <sheetName val="PLUM.FF"/>
      <sheetName val="Cal"/>
      <sheetName val="Cal. Sheet"/>
      <sheetName val="SUBSTRUCTURE BOQ."/>
      <sheetName val="GROUND"/>
      <sheetName val="FIRST FLOOR"/>
      <sheetName val="SECOND FLOOR"/>
      <sheetName val="EXTERNAL WORKS TAKE-OFF"/>
      <sheetName val="EXTERNAL WORKS BOQ"/>
      <sheetName val="EXTERNAL WORKS."/>
      <sheetName val="SUMMARY (FIRE)"/>
      <sheetName val="FIRE BILL-full (2)"/>
      <sheetName val="DRAINAGE SYSTEM"/>
      <sheetName val="FENCE WALL BOQ "/>
      <sheetName val="fencewall TAKE OFF "/>
      <sheetName val="ELECTRICAL WORKS"/>
      <sheetName val="PLUMBING PIPE WORKS "/>
      <sheetName val="MAT. SUMMARY"/>
      <sheetName val="BUDGET GRAND  SUMMARY"/>
      <sheetName val="Budget Summary "/>
      <sheetName val="TAKEOFF"/>
      <sheetName val="LABOUR SCHEDULE"/>
      <sheetName val="BUDGET."/>
      <sheetName val="BUDGET"/>
      <sheetName val="POOL REINF Calc"/>
      <sheetName val="EXTERNAL WORKS"/>
      <sheetName val="G.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COULIBALY"/>
      <sheetName val="COULIBALY (2)"/>
      <sheetName val="GOLDFIELDS TARKWA"/>
      <sheetName val="RESIDENCE BSC"/>
      <sheetName val="KFC"/>
      <sheetName val="ASA SAVINGS AND LOANS"/>
      <sheetName val="ASA"/>
      <sheetName val="NKETIA"/>
      <sheetName val="POKUASE VILLA"/>
      <sheetName val="SIC"/>
      <sheetName val="ENTERPRISE GROUP CHAIRMAN'S OFF"/>
      <sheetName val="ENTERPRISE TRANSITIONS"/>
      <sheetName val="GIA"/>
      <sheetName val="GIA (2)"/>
      <sheetName val="GIDEC"/>
      <sheetName val="GIDEC (2)"/>
      <sheetName val="VAN VLIET"/>
      <sheetName val="VAN VLIET (2)"/>
      <sheetName val="ACACIA"/>
      <sheetName val="ALPHA BETA"/>
      <sheetName val="APROMASE"/>
      <sheetName val="NYAHO-AIRPORT"/>
      <sheetName val="BRIDGE CAPITAL"/>
      <sheetName val="BARRY CALEBAUT"/>
      <sheetName val="MBOTE"/>
      <sheetName val="HOME"/>
      <sheetName val="data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Sheet1"/>
      <sheetName val="BasicWage (BUILD UP)"/>
      <sheetName val="SALARIES"/>
      <sheetName val="DAILY BASIC WAGE"/>
      <sheetName val="LABOUR"/>
      <sheetName val="EQUIPT"/>
      <sheetName val="MATLS"/>
      <sheetName val="RATE SUMMARY"/>
      <sheetName val="ALLOWANCES"/>
      <sheetName val="SPEKTRALL"/>
      <sheetName val="PAINTG &amp; DEC"/>
      <sheetName val="EXCAVN &amp; EARTHWORKS"/>
      <sheetName val="CONCRETE WKS"/>
      <sheetName val="FINISHINGS"/>
      <sheetName val="BLOCKWORK"/>
      <sheetName val="SPEKTRALL (2)"/>
      <sheetName val="FORMWORK"/>
      <sheetName val="REINF'T"/>
      <sheetName val="CARPENTRY"/>
      <sheetName val="ROOFING"/>
      <sheetName val="ROOFING (2)"/>
      <sheetName val="JOINERY"/>
      <sheetName val="EXTERNAL WORKS"/>
      <sheetName val="DRAINAGE"/>
      <sheetName val="PLUMBING"/>
      <sheetName val="METALWORK"/>
      <sheetName val="GLAZING"/>
      <sheetName val="IRONMONGERY"/>
      <sheetName val="CIVIL WORKS"/>
      <sheetName val="BOQ SUMMARY"/>
      <sheetName val="diagnostic"/>
      <sheetName val="female ward"/>
      <sheetName val="opd"/>
      <sheetName val="pavillion"/>
      <sheetName val="pediatric a"/>
      <sheetName val="pharmacy"/>
      <sheetName val="physiotherapy"/>
      <sheetName val="security commerce"/>
      <sheetName val="surgery"/>
      <sheetName val="Finishes"/>
      <sheetName val="build up"/>
      <sheetName val="SUPERSTR.BOQ"/>
      <sheetName val="wt-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SCOPING "/>
      <sheetName val="Cover Page"/>
      <sheetName val="GEN. SUMMARY"/>
      <sheetName val="SUBSTR. TAKING OFF"/>
      <sheetName val="SUBSTR.BOQ  "/>
      <sheetName val="GF Taking Off"/>
      <sheetName val="GROUND FLOOR  BOQ "/>
      <sheetName val="FF Taking Off"/>
      <sheetName val="FIRST FLOOR  BOQ"/>
      <sheetName val="SECOND FLOOR TAKING OFF"/>
      <sheetName val="SECOND FLOOR BOQ "/>
      <sheetName val="EXTERNAL WORKS TAKE-OFF"/>
      <sheetName val="EXTERNAL WORKS BOQ"/>
      <sheetName val="PLUMBING"/>
      <sheetName val="PLUMBING (A) (2)"/>
      <sheetName val="ELECTRIC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Cover Page"/>
      <sheetName val="G.Summary"/>
      <sheetName val="BOQ"/>
      <sheetName val="GEN. SUMMARY"/>
      <sheetName val="purple park budget"/>
    </sheetNames>
    <sheetDataSet>
      <sheetData sheetId="0"/>
      <sheetData sheetId="1"/>
      <sheetData sheetId="2"/>
      <sheetData sheetId="3"/>
      <sheetData sheetId="4"/>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INPUT DATA SHEET"/>
      <sheetName val="SUMMARY OF ESTIMATED COST"/>
      <sheetName val="PROVISIONAL SUMS"/>
      <sheetName val="PRELIMINARIES"/>
      <sheetName val="FINAL TENDER BOQ 18K &amp; 24K BTUH"/>
      <sheetName val="SUMMARY HI WALL SRAC"/>
      <sheetName val="TENDER BOQ ANALYSIS 18K &amp; 24K"/>
      <sheetName val="TENDER SUMMARY"/>
      <sheetName val="ATLANTIC QUOTATION - XPELAIR"/>
      <sheetName val="AIR CONDITIONING MACHINERY"/>
      <sheetName val="VENTILATION FANS"/>
      <sheetName val="XPELAIR ENQUIRY"/>
      <sheetName val="Sheet3"/>
      <sheetName val="INPUT_DATA_SHEET"/>
      <sheetName val="SUMMARY_OF_ESTIMATED_COST"/>
      <sheetName val="PROVISIONAL_SUMS"/>
      <sheetName val="FINAL_TENDER_BOQ_18K_&amp;_24K_BTUH"/>
      <sheetName val="SUMMARY_HI_WALL_SRAC"/>
      <sheetName val="TENDER_BOQ_ANALYSIS_18K_&amp;_24K"/>
      <sheetName val="TENDER_SUMMARY"/>
      <sheetName val="ATLANTIC_QUOTATION_-_XPELAIR"/>
      <sheetName val="AIR_CONDITIONING_MACHINERY"/>
      <sheetName val="VENTILATION_FANS"/>
      <sheetName val="XPELAIR_ENQUIRY"/>
      <sheetName val="INPUT_DATA_SHEET1"/>
      <sheetName val="SUMMARY_OF_ESTIMATED_COST1"/>
      <sheetName val="PROVISIONAL_SUMS1"/>
      <sheetName val="FINAL_TENDER_BOQ_18K_&amp;_24K_BTU1"/>
      <sheetName val="SUMMARY_HI_WALL_SRAC1"/>
      <sheetName val="TENDER_BOQ_ANALYSIS_18K_&amp;_24K1"/>
      <sheetName val="TENDER_SUMMARY1"/>
      <sheetName val="ATLANTIC_QUOTATION_-_XPELAIR1"/>
      <sheetName val="AIR_CONDITIONING_MACHINERY1"/>
      <sheetName val="VENTILATION_FANS1"/>
      <sheetName val="XPELAIR_ENQUIRY1"/>
      <sheetName val="INPUT_DATA_SHEET2"/>
      <sheetName val="SUMMARY_OF_ESTIMATED_COST2"/>
      <sheetName val="PROVISIONAL_SUMS2"/>
      <sheetName val="FINAL_TENDER_BOQ_18K_&amp;_24K_BTU2"/>
      <sheetName val="SUMMARY_HI_WALL_SRAC2"/>
      <sheetName val="TENDER_BOQ_ANALYSIS_18K_&amp;_24K2"/>
      <sheetName val="TENDER_SUMMARY2"/>
      <sheetName val="ATLANTIC_QUOTATION_-_XPELAIR2"/>
      <sheetName val="AIR_CONDITIONING_MACHINERY2"/>
      <sheetName val="VENTILATION_FANS2"/>
      <sheetName val="XPELAIR_ENQUIRY2"/>
      <sheetName val="ELECTRICAL FACTORS BLOCK"/>
      <sheetName val="Rates"/>
      <sheetName val="GRAPHIC BILL OF QUANTITIES"/>
      <sheetName val="INPUT DATA"/>
      <sheetName val="ELECTRICAL CABLE DATABASE"/>
      <sheetName val="DUCTMATE CALCULATION #1"/>
      <sheetName val="DUCTMATE  DATABASE"/>
      <sheetName val="DUCTMATE CALCULATION #2"/>
      <sheetName val="Build up"/>
      <sheetName val="2017.6"/>
      <sheetName val="CALCULATION"/>
      <sheetName val="planner"/>
      <sheetName val="Amortization Plan"/>
      <sheetName val="RECAP"/>
      <sheetName val="Reference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환산표"/>
    </sheetNames>
    <sheetDataSet>
      <sheetData sheetId="0"/>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A0"/>
    <pageSetUpPr fitToPage="false"/>
  </sheetPr>
  <dimension ref="A1:R99"/>
  <sheetViews>
    <sheetView showFormulas="false" showGridLines="true" showRowColHeaders="true" showZeros="true" rightToLeft="false" tabSelected="true" showOutlineSymbols="true" defaultGridColor="true" view="normal" topLeftCell="A1" colorId="64" zoomScale="84" zoomScaleNormal="84" zoomScalePageLayoutView="100" workbookViewId="0">
      <selection pane="topLeft" activeCell="C10" activeCellId="0" sqref="C10"/>
    </sheetView>
  </sheetViews>
  <sheetFormatPr defaultColWidth="13" defaultRowHeight="15" zeroHeight="false" outlineLevelRow="0" outlineLevelCol="0"/>
  <cols>
    <col collapsed="false" customWidth="true" hidden="false" outlineLevel="0" max="1" min="1" style="1" width="20.5"/>
    <col collapsed="false" customWidth="true" hidden="false" outlineLevel="0" max="2" min="2" style="1" width="8.7"/>
    <col collapsed="false" customWidth="true" hidden="false" outlineLevel="0" max="3" min="3" style="2" width="7.9"/>
    <col collapsed="false" customWidth="true" hidden="false" outlineLevel="0" max="4" min="4" style="1" width="8.7"/>
    <col collapsed="false" customWidth="true" hidden="false" outlineLevel="0" max="5" min="5" style="1" width="6.9"/>
    <col collapsed="false" customWidth="true" hidden="false" outlineLevel="0" max="6" min="6" style="1" width="7.7"/>
    <col collapsed="false" customWidth="true" hidden="false" outlineLevel="0" max="7" min="7" style="1" width="6.9"/>
    <col collapsed="false" customWidth="true" hidden="false" outlineLevel="0" max="8" min="8" style="1" width="6.8"/>
    <col collapsed="false" customWidth="true" hidden="false" outlineLevel="0" max="9" min="9" style="1" width="8"/>
    <col collapsed="false" customWidth="true" hidden="false" outlineLevel="0" max="10" min="10" style="1" width="6.9"/>
    <col collapsed="false" customWidth="true" hidden="false" outlineLevel="0" max="11" min="11" style="1" width="11.3"/>
    <col collapsed="false" customWidth="true" hidden="false" outlineLevel="0" max="12" min="12" style="3" width="10.7"/>
    <col collapsed="false" customWidth="true" hidden="false" outlineLevel="0" max="13" min="13" style="4" width="6.2"/>
    <col collapsed="false" customWidth="true" hidden="false" outlineLevel="0" max="14" min="14" style="1" width="10.1"/>
    <col collapsed="false" customWidth="true" hidden="false" outlineLevel="0" max="15" min="15" style="1" width="9.1"/>
    <col collapsed="false" customWidth="false" hidden="false" outlineLevel="0" max="16384" min="16" style="1" width="13"/>
  </cols>
  <sheetData>
    <row r="1" customFormat="false" ht="48" hidden="false" customHeight="true" outlineLevel="0" collapsed="false">
      <c r="A1" s="5" t="s">
        <v>0</v>
      </c>
      <c r="B1" s="6" t="s">
        <v>1</v>
      </c>
      <c r="C1" s="7" t="s">
        <v>2</v>
      </c>
      <c r="D1" s="6" t="s">
        <v>3</v>
      </c>
      <c r="E1" s="6" t="s">
        <v>4</v>
      </c>
      <c r="F1" s="6" t="s">
        <v>5</v>
      </c>
      <c r="G1" s="6" t="s">
        <v>6</v>
      </c>
      <c r="H1" s="6" t="s">
        <v>7</v>
      </c>
      <c r="I1" s="6" t="s">
        <v>8</v>
      </c>
      <c r="J1" s="6" t="s">
        <v>9</v>
      </c>
      <c r="K1" s="6" t="s">
        <v>10</v>
      </c>
      <c r="L1" s="8" t="s">
        <v>11</v>
      </c>
      <c r="M1" s="8" t="s">
        <v>12</v>
      </c>
      <c r="P1" s="9" t="s">
        <v>13</v>
      </c>
      <c r="Q1" s="9" t="s">
        <v>14</v>
      </c>
      <c r="R1" s="9" t="s">
        <v>15</v>
      </c>
    </row>
    <row r="2" customFormat="false" ht="29.85" hidden="false" customHeight="false" outlineLevel="0" collapsed="false">
      <c r="A2" s="10" t="s">
        <v>16</v>
      </c>
      <c r="B2" s="11"/>
      <c r="C2" s="12"/>
      <c r="D2" s="11"/>
      <c r="E2" s="11"/>
      <c r="F2" s="11"/>
      <c r="G2" s="11"/>
      <c r="H2" s="11"/>
      <c r="I2" s="11"/>
      <c r="J2" s="11"/>
      <c r="K2" s="11"/>
      <c r="L2" s="13"/>
      <c r="M2" s="14"/>
    </row>
    <row r="3" customFormat="false" ht="15" hidden="false" customHeight="false" outlineLevel="0" collapsed="false">
      <c r="A3" s="10"/>
      <c r="B3" s="11"/>
      <c r="C3" s="12"/>
      <c r="D3" s="11"/>
      <c r="E3" s="11"/>
      <c r="F3" s="11"/>
      <c r="G3" s="11"/>
      <c r="H3" s="11"/>
      <c r="I3" s="11"/>
      <c r="J3" s="11"/>
      <c r="K3" s="11"/>
      <c r="L3" s="13"/>
      <c r="M3" s="14"/>
    </row>
    <row r="4" customFormat="false" ht="15" hidden="false" customHeight="false" outlineLevel="0" collapsed="false">
      <c r="A4" s="15" t="s">
        <v>17</v>
      </c>
      <c r="B4" s="11"/>
      <c r="C4" s="12" t="n">
        <f aca="false">'BLOCK WORK'!G29</f>
        <v>548.93</v>
      </c>
      <c r="D4" s="11" t="n">
        <f aca="false">'BLOCK WORK'!O29</f>
        <v>606.945</v>
      </c>
      <c r="E4" s="11" t="n">
        <f aca="false">'BLOCK WORK'!W29</f>
        <v>437.025</v>
      </c>
      <c r="F4" s="11" t="n">
        <f aca="false">'BLOCK WORK'!AE29</f>
        <v>414.195</v>
      </c>
      <c r="G4" s="11" t="n">
        <f aca="false">'BLOCK WORK'!AM29</f>
        <v>401.565</v>
      </c>
      <c r="H4" s="11" t="n">
        <f aca="false">'BLOCK WORK'!AU29</f>
        <v>405.66</v>
      </c>
      <c r="I4" s="11" t="n">
        <f aca="false">'BLOCK WORK'!BC29</f>
        <v>637.845</v>
      </c>
      <c r="J4" s="11"/>
      <c r="K4" s="11" t="n">
        <f aca="false">'BLOCK WORK'!BK29</f>
        <v>212.52</v>
      </c>
      <c r="L4" s="16" t="n">
        <f aca="false">SUM(B4:K4)</f>
        <v>3664.685</v>
      </c>
      <c r="M4" s="14" t="s">
        <v>18</v>
      </c>
      <c r="N4" s="17" t="n">
        <f aca="false">L4*2</f>
        <v>7329.37</v>
      </c>
      <c r="P4" s="18" t="n">
        <f aca="false">L5</f>
        <v>3772.695</v>
      </c>
      <c r="Q4" s="19" t="n">
        <f aca="false">L4-P4</f>
        <v>-108.01</v>
      </c>
      <c r="R4" s="20" t="n">
        <f aca="false">IF(P4=0,0,Q4/P4)</f>
        <v>-0.0286294015286154</v>
      </c>
    </row>
    <row r="5" customFormat="false" ht="15" hidden="false" customHeight="false" outlineLevel="0" collapsed="false">
      <c r="A5" s="21" t="s">
        <v>19</v>
      </c>
      <c r="B5" s="22"/>
      <c r="C5" s="23" t="n">
        <f aca="false">'BLOCK WORK'!G36</f>
        <v>516</v>
      </c>
      <c r="D5" s="23" t="n">
        <f aca="false">'BLOCK WORK'!O36</f>
        <v>639.345</v>
      </c>
      <c r="E5" s="23" t="n">
        <f aca="false">'BLOCK WORK'!W36</f>
        <v>456.495</v>
      </c>
      <c r="F5" s="23" t="n">
        <f aca="false">'BLOCK WORK'!AE36</f>
        <v>460.065</v>
      </c>
      <c r="G5" s="23" t="n">
        <f aca="false">'BLOCK WORK'!AM36</f>
        <v>411.135</v>
      </c>
      <c r="H5" s="23" t="n">
        <f aca="false">'BLOCK WORK'!AU36</f>
        <v>417.54</v>
      </c>
      <c r="I5" s="23" t="n">
        <f aca="false">'BLOCK WORK'!BC36</f>
        <v>657.645</v>
      </c>
      <c r="J5" s="22"/>
      <c r="K5" s="23" t="n">
        <f aca="false">'BLOCK WORK'!BK36</f>
        <v>214.47</v>
      </c>
      <c r="L5" s="24" t="n">
        <f aca="false">SUM(B5:K5)</f>
        <v>3772.695</v>
      </c>
      <c r="M5" s="25" t="s">
        <v>18</v>
      </c>
    </row>
    <row r="6" customFormat="false" ht="29.85" hidden="false" customHeight="false" outlineLevel="0" collapsed="false">
      <c r="A6" s="26" t="s">
        <v>20</v>
      </c>
      <c r="B6" s="11"/>
      <c r="C6" s="12" t="n">
        <f aca="false">PLASTERING!G30</f>
        <v>2066.825</v>
      </c>
      <c r="D6" s="11" t="n">
        <f aca="false">PLASTERING!O30</f>
        <v>1006.92</v>
      </c>
      <c r="E6" s="11" t="n">
        <f aca="false">PLASTERING!W30</f>
        <v>867.45</v>
      </c>
      <c r="F6" s="11" t="n">
        <f aca="false">PLASTERING!AE30</f>
        <v>784.665</v>
      </c>
      <c r="G6" s="11" t="n">
        <f aca="false">PLASTERING!AM30</f>
        <v>765</v>
      </c>
      <c r="H6" s="11" t="n">
        <f aca="false">PLASTERING!AU30</f>
        <v>773.385</v>
      </c>
      <c r="I6" s="11" t="n">
        <f aca="false">PLASTERING!BC30</f>
        <v>1148.355</v>
      </c>
      <c r="J6" s="11"/>
      <c r="K6" s="11" t="n">
        <f aca="false">PLASTERING!BK30</f>
        <v>291.72</v>
      </c>
      <c r="L6" s="16" t="n">
        <f aca="false">SUM(B6:K6)</f>
        <v>7704.32</v>
      </c>
      <c r="M6" s="14" t="s">
        <v>18</v>
      </c>
      <c r="P6" s="18" t="n">
        <f aca="false">L7</f>
        <v>7920.34</v>
      </c>
      <c r="Q6" s="19" t="n">
        <f aca="false">L6-P6</f>
        <v>-216.02</v>
      </c>
      <c r="R6" s="20" t="n">
        <f aca="false">IF(P6=0,0,Q6/P6)</f>
        <v>-0.0272740816682113</v>
      </c>
    </row>
    <row r="7" customFormat="false" ht="15" hidden="false" customHeight="false" outlineLevel="0" collapsed="false">
      <c r="A7" s="21" t="s">
        <v>19</v>
      </c>
      <c r="B7" s="22"/>
      <c r="C7" s="23" t="n">
        <f aca="false">PLASTERING!G64</f>
        <v>2000.965</v>
      </c>
      <c r="D7" s="23" t="n">
        <f aca="false">PLASTERING!O64</f>
        <v>1071.72</v>
      </c>
      <c r="E7" s="23" t="n">
        <f aca="false">PLASTERING!W64</f>
        <v>906.39</v>
      </c>
      <c r="F7" s="23" t="n">
        <f aca="false">PLASTERING!AE64</f>
        <v>876.405</v>
      </c>
      <c r="G7" s="23" t="n">
        <f aca="false">PLASTERING!AM64</f>
        <v>784.14</v>
      </c>
      <c r="H7" s="23" t="n">
        <f aca="false">PLASTERING!AU64</f>
        <v>797.145</v>
      </c>
      <c r="I7" s="23" t="n">
        <f aca="false">PLASTERING!BC64</f>
        <v>1187.955</v>
      </c>
      <c r="J7" s="22"/>
      <c r="K7" s="23" t="n">
        <f aca="false">PLASTERING!BK64</f>
        <v>295.62</v>
      </c>
      <c r="L7" s="24" t="n">
        <f aca="false">SUM(B7:K7)</f>
        <v>7920.34</v>
      </c>
      <c r="M7" s="25" t="s">
        <v>18</v>
      </c>
    </row>
    <row r="8" customFormat="false" ht="29.85" hidden="false" customHeight="false" outlineLevel="0" collapsed="false">
      <c r="A8" s="26" t="s">
        <v>21</v>
      </c>
      <c r="B8" s="11"/>
      <c r="C8" s="12" t="n">
        <f aca="false">PLASTERING!G58</f>
        <v>666.61</v>
      </c>
      <c r="D8" s="11" t="n">
        <f aca="false">PLASTERING!O58</f>
        <v>338.835</v>
      </c>
      <c r="E8" s="11" t="n">
        <f aca="false">PLASTERING!W58</f>
        <v>189.855</v>
      </c>
      <c r="F8" s="11" t="n">
        <f aca="false">PLASTERING!AE58</f>
        <v>182.58</v>
      </c>
      <c r="G8" s="11" t="n">
        <f aca="false">PLASTERING!AM58</f>
        <v>225.045</v>
      </c>
      <c r="H8" s="11" t="n">
        <f aca="false">PLASTERING!AU58</f>
        <v>289.485</v>
      </c>
      <c r="I8" s="11" t="n">
        <f aca="false">PLASTERING!BC58</f>
        <v>294.06</v>
      </c>
      <c r="J8" s="11"/>
      <c r="K8" s="11" t="n">
        <f aca="false">PLASTERING!BK58</f>
        <v>162.72</v>
      </c>
      <c r="L8" s="16" t="n">
        <f aca="false">SUM(B8:K8)</f>
        <v>2349.19</v>
      </c>
      <c r="M8" s="14" t="s">
        <v>18</v>
      </c>
      <c r="N8" s="17" t="n">
        <f aca="false">SUM(L6+L8)</f>
        <v>10053.51</v>
      </c>
      <c r="O8" s="17" t="n">
        <f aca="false">N8-N4</f>
        <v>2724.14</v>
      </c>
      <c r="P8" s="18" t="n">
        <f aca="false">L9</f>
        <v>2349.19</v>
      </c>
      <c r="Q8" s="19" t="n">
        <f aca="false">L8-P8</f>
        <v>0</v>
      </c>
      <c r="R8" s="20" t="n">
        <f aca="false">IF(P8=0,0,Q8/P8)</f>
        <v>0</v>
      </c>
    </row>
    <row r="9" customFormat="false" ht="15" hidden="false" customHeight="false" outlineLevel="0" collapsed="false">
      <c r="A9" s="21" t="s">
        <v>22</v>
      </c>
      <c r="B9" s="22"/>
      <c r="C9" s="23" t="n">
        <f aca="false">PLASTERING!G69</f>
        <v>666.61</v>
      </c>
      <c r="D9" s="23" t="n">
        <f aca="false">PLASTERING!O69</f>
        <v>338.835</v>
      </c>
      <c r="E9" s="23" t="n">
        <f aca="false">PLASTERING!W69</f>
        <v>189.855</v>
      </c>
      <c r="F9" s="23" t="n">
        <f aca="false">PLASTERING!AE69</f>
        <v>182.58</v>
      </c>
      <c r="G9" s="23" t="n">
        <f aca="false">PLASTERING!AM69</f>
        <v>225.045</v>
      </c>
      <c r="H9" s="23" t="n">
        <f aca="false">PLASTERING!AU69</f>
        <v>289.485</v>
      </c>
      <c r="I9" s="23" t="n">
        <f aca="false">PLASTERING!BC69</f>
        <v>294.06</v>
      </c>
      <c r="J9" s="22"/>
      <c r="K9" s="23" t="n">
        <f aca="false">PLASTERING!BK69</f>
        <v>162.72</v>
      </c>
      <c r="L9" s="27" t="n">
        <f aca="false">SUM(B9:K9)</f>
        <v>2349.19</v>
      </c>
      <c r="M9" s="25" t="s">
        <v>18</v>
      </c>
    </row>
    <row r="10" customFormat="false" ht="30.75" hidden="false" customHeight="true" outlineLevel="0" collapsed="false">
      <c r="A10" s="26" t="s">
        <v>23</v>
      </c>
      <c r="B10" s="11"/>
      <c r="C10" s="12"/>
      <c r="D10" s="11"/>
      <c r="E10" s="11"/>
      <c r="F10" s="11" t="n">
        <f aca="false">'PLASTERBOARD PARTITION '!AE8</f>
        <v>315.48</v>
      </c>
      <c r="G10" s="11" t="n">
        <f aca="false">'PLASTERBOARD PARTITION '!AM8</f>
        <v>359.7</v>
      </c>
      <c r="H10" s="11" t="n">
        <f aca="false">'PLASTERBOARD PARTITION '!AU8</f>
        <v>311.85</v>
      </c>
      <c r="I10" s="11"/>
      <c r="J10" s="11"/>
      <c r="K10" s="11"/>
      <c r="L10" s="16" t="n">
        <f aca="false">SUM(B10:K10)</f>
        <v>987.03</v>
      </c>
      <c r="M10" s="14" t="s">
        <v>18</v>
      </c>
      <c r="P10" s="18" t="n">
        <f aca="false">L11</f>
        <v>910.14</v>
      </c>
      <c r="Q10" s="19" t="n">
        <f aca="false">L10-P10</f>
        <v>76.8900000000001</v>
      </c>
      <c r="R10" s="20" t="n">
        <f aca="false">IF(P10=0,0,Q10/P10)</f>
        <v>0.0844815083393765</v>
      </c>
    </row>
    <row r="11" customFormat="false" ht="15" hidden="false" customHeight="false" outlineLevel="0" collapsed="false">
      <c r="A11" s="21" t="s">
        <v>19</v>
      </c>
      <c r="B11" s="22"/>
      <c r="C11" s="23" t="n">
        <f aca="false">'PLASTERBOARD PARTITION '!G12</f>
        <v>0</v>
      </c>
      <c r="D11" s="23" t="n">
        <f aca="false">'PLASTERBOARD PARTITION '!O12</f>
        <v>0</v>
      </c>
      <c r="E11" s="23" t="n">
        <f aca="false">'PLASTERBOARD PARTITION '!W12</f>
        <v>0</v>
      </c>
      <c r="F11" s="23" t="n">
        <f aca="false">'PLASTERBOARD PARTITION '!AE12</f>
        <v>312.18</v>
      </c>
      <c r="G11" s="23" t="n">
        <f aca="false">'PLASTERBOARD PARTITION '!AM12</f>
        <v>358.05</v>
      </c>
      <c r="H11" s="23" t="n">
        <f aca="false">'PLASTERBOARD PARTITION '!AU12</f>
        <v>239.91</v>
      </c>
      <c r="I11" s="23" t="n">
        <f aca="false">'PLASTERBOARD PARTITION '!BC12</f>
        <v>0</v>
      </c>
      <c r="J11" s="22"/>
      <c r="K11" s="23" t="n">
        <f aca="false">'PLASTERBOARD PARTITION '!BK12</f>
        <v>0</v>
      </c>
      <c r="L11" s="24" t="n">
        <f aca="false">SUM(B11:K11)</f>
        <v>910.14</v>
      </c>
      <c r="M11" s="25" t="s">
        <v>18</v>
      </c>
    </row>
    <row r="12" customFormat="false" ht="30.75" hidden="false" customHeight="true" outlineLevel="0" collapsed="false">
      <c r="A12" s="26" t="s">
        <v>24</v>
      </c>
      <c r="B12" s="11"/>
      <c r="C12" s="12"/>
      <c r="D12" s="11" t="n">
        <f aca="false">'CEMENT PARTITION  '!O8</f>
        <v>63.9</v>
      </c>
      <c r="E12" s="11" t="n">
        <f aca="false">'CEMENT PARTITION  '!W8</f>
        <v>49.5</v>
      </c>
      <c r="F12" s="11" t="n">
        <f aca="false">'CEMENT PARTITION  '!AE8</f>
        <v>49.5</v>
      </c>
      <c r="G12" s="11" t="n">
        <f aca="false">'CEMENT PARTITION  '!AM8</f>
        <v>52.14</v>
      </c>
      <c r="H12" s="11" t="n">
        <f aca="false">'CEMENT PARTITION  '!AU8</f>
        <v>123.09</v>
      </c>
      <c r="I12" s="11" t="n">
        <f aca="false">'CEMENT PARTITION  '!BC8</f>
        <v>20.46</v>
      </c>
      <c r="J12" s="11"/>
      <c r="K12" s="11"/>
      <c r="L12" s="16" t="n">
        <f aca="false">SUM(B12:K12)</f>
        <v>358.59</v>
      </c>
      <c r="M12" s="14" t="s">
        <v>18</v>
      </c>
      <c r="P12" s="18" t="n">
        <f aca="false">L13</f>
        <v>236.25</v>
      </c>
      <c r="Q12" s="19" t="n">
        <f aca="false">L12-P12</f>
        <v>122.34</v>
      </c>
      <c r="R12" s="20" t="n">
        <f aca="false">IF(P12=0,0,Q12/P12)</f>
        <v>0.51784126984127</v>
      </c>
    </row>
    <row r="13" customFormat="false" ht="15" hidden="false" customHeight="false" outlineLevel="0" collapsed="false">
      <c r="A13" s="21" t="s">
        <v>19</v>
      </c>
      <c r="B13" s="22"/>
      <c r="C13" s="23" t="n">
        <f aca="false">'CEMENT PARTITION  '!G12</f>
        <v>0</v>
      </c>
      <c r="D13" s="23" t="n">
        <f aca="false">'CEMENT PARTITION  '!O12</f>
        <v>38.25</v>
      </c>
      <c r="E13" s="23" t="n">
        <f aca="false">'CEMENT PARTITION  '!W12</f>
        <v>32.34</v>
      </c>
      <c r="F13" s="23" t="n">
        <f aca="false">'CEMENT PARTITION  '!AE12</f>
        <v>18.48</v>
      </c>
      <c r="G13" s="23" t="n">
        <f aca="false">'CEMENT PARTITION  '!AM12</f>
        <v>32.34</v>
      </c>
      <c r="H13" s="23" t="n">
        <f aca="false">'CEMENT PARTITION  '!AU12</f>
        <v>93.72</v>
      </c>
      <c r="I13" s="23" t="n">
        <f aca="false">'CEMENT PARTITION  '!BC12</f>
        <v>21.12</v>
      </c>
      <c r="J13" s="22"/>
      <c r="K13" s="23" t="n">
        <f aca="false">'CEMENT PARTITION  '!BK12</f>
        <v>0</v>
      </c>
      <c r="L13" s="24" t="n">
        <f aca="false">SUM(B13:K13)</f>
        <v>236.25</v>
      </c>
      <c r="M13" s="25" t="s">
        <v>18</v>
      </c>
    </row>
    <row r="14" customFormat="false" ht="30.75" hidden="false" customHeight="true" outlineLevel="0" collapsed="false">
      <c r="A14" s="26" t="s">
        <v>25</v>
      </c>
      <c r="B14" s="11"/>
      <c r="C14" s="12" t="n">
        <f aca="false">'CEILING FINISHES SCHEDULE'!C4</f>
        <v>36.4</v>
      </c>
      <c r="D14" s="11" t="n">
        <f aca="false">'CEILING FINISHES SCHEDULE'!D4</f>
        <v>1470.7</v>
      </c>
      <c r="E14" s="11" t="n">
        <f aca="false">'CEILING FINISHES SCHEDULE'!E4</f>
        <v>33.8</v>
      </c>
      <c r="F14" s="11" t="n">
        <f aca="false">'CEILING FINISHES SCHEDULE'!F4</f>
        <v>38.5</v>
      </c>
      <c r="G14" s="11" t="n">
        <f aca="false">'CEILING FINISHES SCHEDULE'!G4</f>
        <v>36.4</v>
      </c>
      <c r="H14" s="11" t="n">
        <f aca="false">'CEILING FINISHES SCHEDULE'!H4</f>
        <v>38.9</v>
      </c>
      <c r="I14" s="11" t="n">
        <f aca="false">'CEILING FINISHES SCHEDULE'!I4</f>
        <v>0</v>
      </c>
      <c r="J14" s="11"/>
      <c r="K14" s="11"/>
      <c r="L14" s="13" t="n">
        <f aca="false">SUM(B14:K14)</f>
        <v>1654.7</v>
      </c>
      <c r="M14" s="14" t="s">
        <v>18</v>
      </c>
      <c r="P14" s="18" t="n">
        <f aca="false">L15</f>
        <v>1436.4</v>
      </c>
      <c r="Q14" s="19" t="n">
        <f aca="false">L14-P14</f>
        <v>218.3</v>
      </c>
      <c r="R14" s="20" t="n">
        <f aca="false">IF(P14=0,0,Q14/P14)</f>
        <v>0.15197716513506</v>
      </c>
    </row>
    <row r="15" customFormat="false" ht="15" hidden="false" customHeight="false" outlineLevel="0" collapsed="false">
      <c r="A15" s="21" t="s">
        <v>19</v>
      </c>
      <c r="B15" s="22"/>
      <c r="C15" s="23" t="n">
        <f aca="false">'CEILING FINISHES SCHEDULE'!C15</f>
        <v>1373.7</v>
      </c>
      <c r="D15" s="23" t="n">
        <f aca="false">'CEILING FINISHES SCHEDULE'!D15</f>
        <v>0</v>
      </c>
      <c r="E15" s="23" t="n">
        <f aca="false">'CEILING FINISHES SCHEDULE'!E15</f>
        <v>2.2</v>
      </c>
      <c r="F15" s="23" t="n">
        <f aca="false">'CEILING FINISHES SCHEDULE'!F15</f>
        <v>1.2</v>
      </c>
      <c r="G15" s="23" t="n">
        <f aca="false">'CEILING FINISHES SCHEDULE'!G15</f>
        <v>0</v>
      </c>
      <c r="H15" s="23" t="n">
        <f aca="false">'CEILING FINISHES SCHEDULE'!H15</f>
        <v>8.7</v>
      </c>
      <c r="I15" s="23" t="n">
        <f aca="false">'CEILING FINISHES SCHEDULE'!I15</f>
        <v>32.9</v>
      </c>
      <c r="J15" s="22"/>
      <c r="K15" s="23" t="n">
        <f aca="false">'CEILING FINISHES SCHEDULE'!J15</f>
        <v>17.7</v>
      </c>
      <c r="L15" s="24" t="n">
        <f aca="false">SUM(B15:K15)</f>
        <v>1436.4</v>
      </c>
      <c r="M15" s="25" t="s">
        <v>18</v>
      </c>
    </row>
    <row r="16" customFormat="false" ht="29.85" hidden="false" customHeight="false" outlineLevel="0" collapsed="false">
      <c r="A16" s="26" t="s">
        <v>26</v>
      </c>
      <c r="B16" s="11"/>
      <c r="C16" s="12" t="n">
        <f aca="false">'CEILING FINISHES SCHEDULE'!C5</f>
        <v>126</v>
      </c>
      <c r="D16" s="11" t="n">
        <f aca="false">'CEILING FINISHES SCHEDULE'!D5</f>
        <v>0</v>
      </c>
      <c r="E16" s="11" t="n">
        <f aca="false">'CEILING FINISHES SCHEDULE'!E5</f>
        <v>41.5</v>
      </c>
      <c r="F16" s="11" t="n">
        <f aca="false">'CEILING FINISHES SCHEDULE'!F5</f>
        <v>53.4</v>
      </c>
      <c r="G16" s="11" t="n">
        <f aca="false">'CEILING FINISHES SCHEDULE'!G5</f>
        <v>8.4</v>
      </c>
      <c r="H16" s="11" t="n">
        <f aca="false">'CEILING FINISHES SCHEDULE'!H5</f>
        <v>48.5</v>
      </c>
      <c r="I16" s="11" t="n">
        <f aca="false">'CEILING FINISHES SCHEDULE'!I5</f>
        <v>480.1</v>
      </c>
      <c r="J16" s="11"/>
      <c r="K16" s="11"/>
      <c r="L16" s="13" t="n">
        <f aca="false">SUM(B16:K16)</f>
        <v>757.9</v>
      </c>
      <c r="M16" s="14" t="s">
        <v>18</v>
      </c>
      <c r="N16" s="1" t="n">
        <v>757.9</v>
      </c>
      <c r="P16" s="18" t="n">
        <f aca="false">L17</f>
        <v>720</v>
      </c>
      <c r="Q16" s="19" t="n">
        <f aca="false">L16-P16</f>
        <v>37.9000000000001</v>
      </c>
      <c r="R16" s="20" t="n">
        <f aca="false">IF(P16=0,0,Q16/P16)</f>
        <v>0.052638888888889</v>
      </c>
    </row>
    <row r="17" customFormat="false" ht="15" hidden="false" customHeight="false" outlineLevel="0" collapsed="false">
      <c r="A17" s="21" t="s">
        <v>19</v>
      </c>
      <c r="B17" s="22"/>
      <c r="C17" s="23" t="n">
        <f aca="false">'CEILING FINISHES SCHEDULE'!C16</f>
        <v>0</v>
      </c>
      <c r="D17" s="23" t="n">
        <f aca="false">'CEILING FINISHES SCHEDULE'!D16</f>
        <v>109.4</v>
      </c>
      <c r="E17" s="23" t="n">
        <f aca="false">'CEILING FINISHES SCHEDULE'!E16</f>
        <v>40.3</v>
      </c>
      <c r="F17" s="23" t="n">
        <f aca="false">'CEILING FINISHES SCHEDULE'!F16</f>
        <v>57.3</v>
      </c>
      <c r="G17" s="23" t="n">
        <f aca="false">'CEILING FINISHES SCHEDULE'!G16</f>
        <v>40.5</v>
      </c>
      <c r="H17" s="23" t="n">
        <f aca="false">'CEILING FINISHES SCHEDULE'!H16</f>
        <v>53.4</v>
      </c>
      <c r="I17" s="23" t="n">
        <f aca="false">'CEILING FINISHES SCHEDULE'!I16</f>
        <v>419.1</v>
      </c>
      <c r="J17" s="22"/>
      <c r="K17" s="23" t="n">
        <f aca="false">'CEILING FINISHES SCHEDULE'!J16</f>
        <v>0</v>
      </c>
      <c r="L17" s="24" t="n">
        <f aca="false">SUM(B17:K17)</f>
        <v>720</v>
      </c>
      <c r="M17" s="25" t="s">
        <v>18</v>
      </c>
    </row>
    <row r="18" customFormat="false" ht="15" hidden="false" customHeight="false" outlineLevel="0" collapsed="false">
      <c r="A18" s="26" t="s">
        <v>27</v>
      </c>
      <c r="B18" s="11"/>
      <c r="C18" s="12" t="n">
        <f aca="false">'CEILING FINISHES SCHEDULE'!C6</f>
        <v>0</v>
      </c>
      <c r="D18" s="11" t="n">
        <f aca="false">'CEILING FINISHES SCHEDULE'!D6</f>
        <v>0</v>
      </c>
      <c r="E18" s="11" t="n">
        <f aca="false">'CEILING FINISHES SCHEDULE'!E6</f>
        <v>0</v>
      </c>
      <c r="F18" s="11" t="n">
        <f aca="false">'CEILING FINISHES SCHEDULE'!F6</f>
        <v>0</v>
      </c>
      <c r="G18" s="11" t="n">
        <f aca="false">'CEILING FINISHES SCHEDULE'!G6</f>
        <v>0</v>
      </c>
      <c r="H18" s="11" t="n">
        <f aca="false">'CEILING FINISHES SCHEDULE'!H6</f>
        <v>0</v>
      </c>
      <c r="I18" s="11" t="n">
        <f aca="false">'CEILING FINISHES SCHEDULE'!I6</f>
        <v>48.2</v>
      </c>
      <c r="J18" s="11"/>
      <c r="K18" s="11"/>
      <c r="L18" s="13" t="n">
        <f aca="false">SUM(B18:K18)</f>
        <v>48.2</v>
      </c>
      <c r="M18" s="14" t="s">
        <v>18</v>
      </c>
      <c r="P18" s="18" t="n">
        <f aca="false">L19</f>
        <v>47.3</v>
      </c>
      <c r="Q18" s="19" t="n">
        <f aca="false">L18-P18</f>
        <v>0.900000000000006</v>
      </c>
      <c r="R18" s="20" t="n">
        <f aca="false">IF(P18=0,0,Q18/P18)</f>
        <v>0.0190274841437633</v>
      </c>
    </row>
    <row r="19" customFormat="false" ht="15" hidden="false" customHeight="false" outlineLevel="0" collapsed="false">
      <c r="A19" s="28" t="s">
        <v>19</v>
      </c>
      <c r="B19" s="22"/>
      <c r="C19" s="23" t="n">
        <f aca="false">'CEILING FINISHES SCHEDULE'!C17</f>
        <v>0</v>
      </c>
      <c r="D19" s="23" t="n">
        <f aca="false">'CEILING FINISHES SCHEDULE'!D17</f>
        <v>0</v>
      </c>
      <c r="E19" s="23" t="n">
        <f aca="false">'CEILING FINISHES SCHEDULE'!E17</f>
        <v>0</v>
      </c>
      <c r="F19" s="23" t="n">
        <f aca="false">'CEILING FINISHES SCHEDULE'!F17</f>
        <v>0</v>
      </c>
      <c r="G19" s="23" t="n">
        <f aca="false">'CEILING FINISHES SCHEDULE'!G17</f>
        <v>0</v>
      </c>
      <c r="H19" s="23" t="n">
        <f aca="false">'CEILING FINISHES SCHEDULE'!H17</f>
        <v>0</v>
      </c>
      <c r="I19" s="23" t="n">
        <f aca="false">'CEILING FINISHES SCHEDULE'!I17</f>
        <v>47.3</v>
      </c>
      <c r="J19" s="22"/>
      <c r="K19" s="23" t="n">
        <f aca="false">'CEILING FINISHES SCHEDULE'!J17</f>
        <v>0</v>
      </c>
      <c r="L19" s="24" t="n">
        <f aca="false">SUM(B19:K19)</f>
        <v>47.3</v>
      </c>
      <c r="M19" s="25" t="s">
        <v>18</v>
      </c>
    </row>
    <row r="20" customFormat="false" ht="30.75" hidden="false" customHeight="true" outlineLevel="0" collapsed="false">
      <c r="A20" s="29" t="s">
        <v>28</v>
      </c>
      <c r="B20" s="11"/>
      <c r="C20" s="12" t="n">
        <f aca="false">'CEILING FINISHES SCHEDULE'!C7</f>
        <v>32.8</v>
      </c>
      <c r="D20" s="11" t="n">
        <f aca="false">'CEILING FINISHES SCHEDULE'!D7</f>
        <v>16.2</v>
      </c>
      <c r="E20" s="11" t="n">
        <f aca="false">'CEILING FINISHES SCHEDULE'!E7</f>
        <v>31.6</v>
      </c>
      <c r="F20" s="11" t="n">
        <f aca="false">'CEILING FINISHES SCHEDULE'!F7</f>
        <v>32.4</v>
      </c>
      <c r="G20" s="11" t="n">
        <f aca="false">'CEILING FINISHES SCHEDULE'!G7</f>
        <v>32.9</v>
      </c>
      <c r="H20" s="11" t="n">
        <f aca="false">'CEILING FINISHES SCHEDULE'!H7</f>
        <v>32.7</v>
      </c>
      <c r="I20" s="11" t="n">
        <f aca="false">'CEILING FINISHES SCHEDULE'!I7</f>
        <v>46.2</v>
      </c>
      <c r="J20" s="11"/>
      <c r="K20" s="11"/>
      <c r="L20" s="13" t="n">
        <f aca="false">SUM(B20:K20)</f>
        <v>224.8</v>
      </c>
      <c r="M20" s="14" t="s">
        <v>18</v>
      </c>
      <c r="P20" s="18" t="n">
        <f aca="false">L21</f>
        <v>224.9</v>
      </c>
      <c r="Q20" s="19" t="n">
        <f aca="false">L20-P20</f>
        <v>-0.0999999999999943</v>
      </c>
      <c r="R20" s="20" t="n">
        <f aca="false">IF(P20=0,0,Q20/P20)</f>
        <v>-0.000444642063139148</v>
      </c>
    </row>
    <row r="21" customFormat="false" ht="15" hidden="false" customHeight="false" outlineLevel="0" collapsed="false">
      <c r="A21" s="28" t="s">
        <v>19</v>
      </c>
      <c r="B21" s="22"/>
      <c r="C21" s="23" t="n">
        <f aca="false">'CEILING FINISHES SCHEDULE'!C18</f>
        <v>15.7</v>
      </c>
      <c r="D21" s="23" t="n">
        <f aca="false">'CEILING FINISHES SCHEDULE'!D18</f>
        <v>32.8</v>
      </c>
      <c r="E21" s="23" t="n">
        <f aca="false">'CEILING FINISHES SCHEDULE'!E18</f>
        <v>32.7</v>
      </c>
      <c r="F21" s="23" t="n">
        <f aca="false">'CEILING FINISHES SCHEDULE'!F18</f>
        <v>32.7</v>
      </c>
      <c r="G21" s="23" t="n">
        <f aca="false">'CEILING FINISHES SCHEDULE'!G18</f>
        <v>32.7</v>
      </c>
      <c r="H21" s="23" t="n">
        <f aca="false">'CEILING FINISHES SCHEDULE'!H18</f>
        <v>32.8</v>
      </c>
      <c r="I21" s="23" t="n">
        <f aca="false">'CEILING FINISHES SCHEDULE'!I18</f>
        <v>45.5</v>
      </c>
      <c r="J21" s="22"/>
      <c r="K21" s="23" t="n">
        <f aca="false">'CEILING FINISHES SCHEDULE'!J18</f>
        <v>0</v>
      </c>
      <c r="L21" s="24" t="n">
        <f aca="false">SUM(B21:K21)</f>
        <v>224.9</v>
      </c>
      <c r="M21" s="25" t="s">
        <v>18</v>
      </c>
    </row>
    <row r="22" customFormat="false" ht="15" hidden="false" customHeight="false" outlineLevel="0" collapsed="false">
      <c r="A22" s="29" t="s">
        <v>29</v>
      </c>
      <c r="B22" s="11"/>
      <c r="C22" s="12" t="n">
        <f aca="false">'CEILING FINISHES SCHEDULE'!C8</f>
        <v>0</v>
      </c>
      <c r="D22" s="11" t="n">
        <f aca="false">'CEILING FINISHES SCHEDULE'!D8</f>
        <v>0</v>
      </c>
      <c r="E22" s="11" t="n">
        <f aca="false">'CEILING FINISHES SCHEDULE'!E8</f>
        <v>0</v>
      </c>
      <c r="F22" s="11" t="n">
        <f aca="false">'CEILING FINISHES SCHEDULE'!F8</f>
        <v>0</v>
      </c>
      <c r="G22" s="11" t="n">
        <f aca="false">'CEILING FINISHES SCHEDULE'!G8</f>
        <v>0</v>
      </c>
      <c r="H22" s="11" t="n">
        <f aca="false">'CEILING FINISHES SCHEDULE'!H8</f>
        <v>0</v>
      </c>
      <c r="I22" s="11" t="n">
        <f aca="false">'CEILING FINISHES SCHEDULE'!I8</f>
        <v>0</v>
      </c>
      <c r="J22" s="11"/>
      <c r="K22" s="11"/>
      <c r="L22" s="13" t="n">
        <f aca="false">SUM(B22:K22)</f>
        <v>0</v>
      </c>
      <c r="M22" s="14" t="s">
        <v>18</v>
      </c>
      <c r="P22" s="18" t="n">
        <f aca="false">L23</f>
        <v>11.6</v>
      </c>
      <c r="Q22" s="19" t="n">
        <f aca="false">L22-P22</f>
        <v>-11.6</v>
      </c>
      <c r="R22" s="20" t="n">
        <f aca="false">IF(P22=0,0,Q22/P22)</f>
        <v>-1</v>
      </c>
    </row>
    <row r="23" customFormat="false" ht="15" hidden="false" customHeight="false" outlineLevel="0" collapsed="false">
      <c r="A23" s="28" t="s">
        <v>19</v>
      </c>
      <c r="B23" s="22"/>
      <c r="C23" s="23" t="n">
        <f aca="false">'CEILING FINISHES SCHEDULE'!C19</f>
        <v>0</v>
      </c>
      <c r="D23" s="23" t="n">
        <f aca="false">'CEILING FINISHES SCHEDULE'!D19</f>
        <v>11.6</v>
      </c>
      <c r="E23" s="23" t="n">
        <f aca="false">'CEILING FINISHES SCHEDULE'!E19</f>
        <v>0</v>
      </c>
      <c r="F23" s="23" t="n">
        <f aca="false">'CEILING FINISHES SCHEDULE'!F19</f>
        <v>0</v>
      </c>
      <c r="G23" s="23" t="n">
        <f aca="false">'CEILING FINISHES SCHEDULE'!G19</f>
        <v>0</v>
      </c>
      <c r="H23" s="23" t="n">
        <f aca="false">'CEILING FINISHES SCHEDULE'!H19</f>
        <v>0</v>
      </c>
      <c r="I23" s="23" t="n">
        <f aca="false">'CEILING FINISHES SCHEDULE'!I19</f>
        <v>0</v>
      </c>
      <c r="J23" s="22"/>
      <c r="K23" s="23" t="n">
        <f aca="false">'CEILING FINISHES SCHEDULE'!J19</f>
        <v>0</v>
      </c>
      <c r="L23" s="24" t="n">
        <f aca="false">SUM(B23:K23)</f>
        <v>11.6</v>
      </c>
      <c r="M23" s="25" t="s">
        <v>18</v>
      </c>
    </row>
    <row r="24" customFormat="false" ht="30.75" hidden="false" customHeight="true" outlineLevel="0" collapsed="false">
      <c r="A24" s="29" t="s">
        <v>30</v>
      </c>
      <c r="B24" s="11"/>
      <c r="C24" s="12" t="n">
        <f aca="false">'CEILING FINISHES SCHEDULE'!C9</f>
        <v>215</v>
      </c>
      <c r="D24" s="11" t="n">
        <f aca="false">'CEILING FINISHES SCHEDULE'!D9</f>
        <v>0</v>
      </c>
      <c r="E24" s="11" t="n">
        <f aca="false">'CEILING FINISHES SCHEDULE'!E9</f>
        <v>415.2</v>
      </c>
      <c r="F24" s="11" t="n">
        <f aca="false">'CEILING FINISHES SCHEDULE'!F9</f>
        <v>420.1</v>
      </c>
      <c r="G24" s="11" t="n">
        <f aca="false">'CEILING FINISHES SCHEDULE'!G9</f>
        <v>424</v>
      </c>
      <c r="H24" s="11" t="n">
        <f aca="false">'CEILING FINISHES SCHEDULE'!H9</f>
        <v>411.9</v>
      </c>
      <c r="I24" s="11" t="n">
        <f aca="false">'CEILING FINISHES SCHEDULE'!I9</f>
        <v>0</v>
      </c>
      <c r="J24" s="11"/>
      <c r="K24" s="11"/>
      <c r="L24" s="13" t="n">
        <f aca="false">SUM(B24:K24)</f>
        <v>1886.2</v>
      </c>
      <c r="M24" s="14" t="s">
        <v>18</v>
      </c>
      <c r="P24" s="18" t="n">
        <f aca="false">L25</f>
        <v>1849.6</v>
      </c>
      <c r="Q24" s="19" t="n">
        <f aca="false">L24-P24</f>
        <v>36.6000000000001</v>
      </c>
      <c r="R24" s="20" t="n">
        <f aca="false">IF(P24=0,0,Q24/P24)</f>
        <v>0.0197880622837371</v>
      </c>
    </row>
    <row r="25" customFormat="false" ht="15" hidden="false" customHeight="false" outlineLevel="0" collapsed="false">
      <c r="A25" s="28" t="s">
        <v>19</v>
      </c>
      <c r="B25" s="22"/>
      <c r="C25" s="23" t="n">
        <f aca="false">'CEILING FINISHES SCHEDULE'!C20</f>
        <v>0</v>
      </c>
      <c r="D25" s="23" t="n">
        <f aca="false">'CEILING FINISHES SCHEDULE'!D20</f>
        <v>179.6</v>
      </c>
      <c r="E25" s="23" t="n">
        <f aca="false">'CEILING FINISHES SCHEDULE'!E20</f>
        <v>417.5</v>
      </c>
      <c r="F25" s="23" t="n">
        <f aca="false">'CEILING FINISHES SCHEDULE'!F20</f>
        <v>418.6</v>
      </c>
      <c r="G25" s="23" t="n">
        <f aca="false">'CEILING FINISHES SCHEDULE'!G20</f>
        <v>418.5</v>
      </c>
      <c r="H25" s="23" t="n">
        <f aca="false">'CEILING FINISHES SCHEDULE'!H20</f>
        <v>415.4</v>
      </c>
      <c r="I25" s="23" t="n">
        <f aca="false">'CEILING FINISHES SCHEDULE'!I20</f>
        <v>0</v>
      </c>
      <c r="J25" s="22"/>
      <c r="K25" s="23" t="n">
        <f aca="false">'CEILING FINISHES SCHEDULE'!J20</f>
        <v>0</v>
      </c>
      <c r="L25" s="24" t="n">
        <f aca="false">SUM(B25:K25)</f>
        <v>1849.6</v>
      </c>
      <c r="M25" s="25" t="s">
        <v>18</v>
      </c>
    </row>
    <row r="26" customFormat="false" ht="30.75" hidden="false" customHeight="true" outlineLevel="0" collapsed="false">
      <c r="A26" s="29" t="s">
        <v>31</v>
      </c>
      <c r="B26" s="11"/>
      <c r="C26" s="12" t="n">
        <f aca="false">'CEILING FINISHES SCHEDULE'!C10</f>
        <v>230</v>
      </c>
      <c r="D26" s="11" t="n">
        <f aca="false">'CEILING FINISHES SCHEDULE'!D10</f>
        <v>0</v>
      </c>
      <c r="E26" s="11" t="n">
        <f aca="false">'CEILING FINISHES SCHEDULE'!E10</f>
        <v>0</v>
      </c>
      <c r="F26" s="11" t="n">
        <f aca="false">'CEILING FINISHES SCHEDULE'!F10</f>
        <v>0</v>
      </c>
      <c r="G26" s="11" t="n">
        <f aca="false">'CEILING FINISHES SCHEDULE'!G10</f>
        <v>0</v>
      </c>
      <c r="H26" s="11" t="n">
        <f aca="false">'CEILING FINISHES SCHEDULE'!H10</f>
        <v>0</v>
      </c>
      <c r="I26" s="11" t="n">
        <f aca="false">'CEILING FINISHES SCHEDULE'!I10</f>
        <v>0</v>
      </c>
      <c r="J26" s="11"/>
      <c r="K26" s="11"/>
      <c r="L26" s="13" t="n">
        <f aca="false">SUM(B26:K26)</f>
        <v>230</v>
      </c>
      <c r="M26" s="14" t="s">
        <v>18</v>
      </c>
      <c r="P26" s="18" t="n">
        <f aca="false">L27</f>
        <v>317.5</v>
      </c>
      <c r="Q26" s="19" t="n">
        <f aca="false">L26-P26</f>
        <v>-87.5</v>
      </c>
      <c r="R26" s="20" t="n">
        <f aca="false">IF(P26=0,0,Q26/P26)</f>
        <v>-0.275590551181102</v>
      </c>
    </row>
    <row r="27" customFormat="false" ht="15" hidden="false" customHeight="false" outlineLevel="0" collapsed="false">
      <c r="A27" s="21" t="s">
        <v>19</v>
      </c>
      <c r="B27" s="22"/>
      <c r="C27" s="23" t="n">
        <f aca="false">'CEILING FINISHES SCHEDULE'!C21</f>
        <v>0</v>
      </c>
      <c r="D27" s="23" t="n">
        <f aca="false">'CEILING FINISHES SCHEDULE'!D21</f>
        <v>317.5</v>
      </c>
      <c r="E27" s="23" t="n">
        <f aca="false">'CEILING FINISHES SCHEDULE'!E21</f>
        <v>0</v>
      </c>
      <c r="F27" s="23" t="n">
        <f aca="false">'CEILING FINISHES SCHEDULE'!F21</f>
        <v>0</v>
      </c>
      <c r="G27" s="23" t="n">
        <f aca="false">'CEILING FINISHES SCHEDULE'!G21</f>
        <v>0</v>
      </c>
      <c r="H27" s="23" t="n">
        <f aca="false">'CEILING FINISHES SCHEDULE'!H21</f>
        <v>0</v>
      </c>
      <c r="I27" s="23" t="n">
        <f aca="false">'CEILING FINISHES SCHEDULE'!I21</f>
        <v>0</v>
      </c>
      <c r="J27" s="22"/>
      <c r="K27" s="23" t="n">
        <f aca="false">'CEILING FINISHES SCHEDULE'!J21</f>
        <v>0</v>
      </c>
      <c r="L27" s="24" t="n">
        <f aca="false">SUM(B27:K27)</f>
        <v>317.5</v>
      </c>
      <c r="M27" s="25" t="s">
        <v>18</v>
      </c>
    </row>
    <row r="28" customFormat="false" ht="15" hidden="false" customHeight="false" outlineLevel="0" collapsed="false">
      <c r="A28" s="30"/>
      <c r="B28" s="31"/>
      <c r="C28" s="32"/>
      <c r="D28" s="31"/>
      <c r="E28" s="31"/>
      <c r="F28" s="31"/>
      <c r="G28" s="31"/>
      <c r="H28" s="31"/>
      <c r="I28" s="31"/>
      <c r="J28" s="31"/>
      <c r="K28" s="31"/>
      <c r="L28" s="33"/>
      <c r="M28" s="33"/>
    </row>
    <row r="29" customFormat="false" ht="15" hidden="false" customHeight="false" outlineLevel="0" collapsed="false">
      <c r="A29" s="34" t="s">
        <v>32</v>
      </c>
      <c r="B29" s="35"/>
      <c r="C29" s="36"/>
      <c r="D29" s="35"/>
      <c r="E29" s="35"/>
      <c r="F29" s="35"/>
      <c r="G29" s="35"/>
      <c r="H29" s="35"/>
      <c r="I29" s="35"/>
      <c r="J29" s="35"/>
      <c r="K29" s="35"/>
      <c r="L29" s="31"/>
      <c r="M29" s="37"/>
    </row>
    <row r="30" customFormat="false" ht="15" hidden="false" customHeight="false" outlineLevel="0" collapsed="false">
      <c r="A30" s="30" t="s">
        <v>33</v>
      </c>
      <c r="B30" s="35"/>
      <c r="C30" s="36"/>
      <c r="D30" s="35"/>
      <c r="E30" s="35"/>
      <c r="F30" s="35"/>
      <c r="G30" s="35"/>
      <c r="H30" s="35"/>
      <c r="I30" s="35"/>
      <c r="J30" s="35"/>
      <c r="K30" s="35"/>
      <c r="L30" s="31"/>
      <c r="M30" s="37"/>
    </row>
    <row r="31" s="38" customFormat="true" ht="15" hidden="false" customHeight="false" outlineLevel="0" collapsed="false">
      <c r="A31" s="15" t="s">
        <v>34</v>
      </c>
      <c r="B31" s="11"/>
      <c r="C31" s="12"/>
      <c r="D31" s="11"/>
      <c r="E31" s="11"/>
      <c r="F31" s="11"/>
      <c r="G31" s="11"/>
      <c r="H31" s="11"/>
      <c r="I31" s="11"/>
      <c r="J31" s="11"/>
      <c r="K31" s="11"/>
      <c r="L31" s="13"/>
      <c r="M31" s="14"/>
    </row>
    <row r="32" s="38" customFormat="true" ht="15" hidden="false" customHeight="false" outlineLevel="0" collapsed="false">
      <c r="A32" s="15" t="s">
        <v>35</v>
      </c>
      <c r="B32" s="11"/>
      <c r="C32" s="12"/>
      <c r="D32" s="11"/>
      <c r="E32" s="11"/>
      <c r="F32" s="11"/>
      <c r="G32" s="11"/>
      <c r="H32" s="11"/>
      <c r="I32" s="11"/>
      <c r="J32" s="11"/>
      <c r="K32" s="11"/>
      <c r="L32" s="13"/>
      <c r="M32" s="14"/>
    </row>
    <row r="33" s="38" customFormat="true" ht="15" hidden="false" customHeight="false" outlineLevel="0" collapsed="false">
      <c r="A33" s="15" t="s">
        <v>36</v>
      </c>
      <c r="B33" s="11"/>
      <c r="C33" s="12"/>
      <c r="D33" s="11"/>
      <c r="E33" s="11"/>
      <c r="F33" s="11"/>
      <c r="G33" s="11"/>
      <c r="H33" s="11"/>
      <c r="I33" s="11"/>
      <c r="J33" s="11"/>
      <c r="K33" s="11"/>
      <c r="L33" s="13"/>
      <c r="M33" s="14"/>
    </row>
    <row r="34" s="38" customFormat="true" ht="15" hidden="false" customHeight="false" outlineLevel="0" collapsed="false">
      <c r="A34" s="15" t="s">
        <v>37</v>
      </c>
      <c r="B34" s="11"/>
      <c r="C34" s="12"/>
      <c r="D34" s="11"/>
      <c r="E34" s="11"/>
      <c r="F34" s="11"/>
      <c r="G34" s="11"/>
      <c r="H34" s="11"/>
      <c r="I34" s="11"/>
      <c r="J34" s="11"/>
      <c r="K34" s="11"/>
      <c r="L34" s="13"/>
      <c r="M34" s="14"/>
    </row>
    <row r="35" s="38" customFormat="true" ht="15" hidden="false" customHeight="false" outlineLevel="0" collapsed="false">
      <c r="A35" s="15" t="s">
        <v>38</v>
      </c>
      <c r="B35" s="11"/>
      <c r="C35" s="12"/>
      <c r="D35" s="11"/>
      <c r="E35" s="11"/>
      <c r="F35" s="11"/>
      <c r="G35" s="11"/>
      <c r="H35" s="11"/>
      <c r="I35" s="11"/>
      <c r="J35" s="11"/>
      <c r="K35" s="11"/>
      <c r="L35" s="13"/>
      <c r="M35" s="14"/>
    </row>
    <row r="36" customFormat="false" ht="15" hidden="false" customHeight="false" outlineLevel="0" collapsed="false">
      <c r="A36" s="39" t="s">
        <v>39</v>
      </c>
      <c r="B36" s="11"/>
      <c r="C36" s="12"/>
      <c r="D36" s="11"/>
      <c r="E36" s="11"/>
      <c r="F36" s="11"/>
      <c r="G36" s="11"/>
      <c r="H36" s="11"/>
      <c r="I36" s="11"/>
      <c r="J36" s="11"/>
      <c r="K36" s="11"/>
      <c r="L36" s="13"/>
      <c r="M36" s="14"/>
    </row>
    <row r="37" customFormat="false" ht="15" hidden="false" customHeight="false" outlineLevel="0" collapsed="false">
      <c r="A37" s="39" t="s">
        <v>40</v>
      </c>
      <c r="B37" s="11"/>
      <c r="C37" s="12"/>
      <c r="D37" s="11"/>
      <c r="E37" s="11"/>
      <c r="F37" s="11"/>
      <c r="G37" s="11"/>
      <c r="H37" s="11"/>
      <c r="I37" s="11"/>
      <c r="J37" s="11"/>
      <c r="K37" s="11"/>
      <c r="L37" s="13"/>
      <c r="M37" s="14"/>
    </row>
    <row r="38" customFormat="false" ht="15" hidden="false" customHeight="false" outlineLevel="0" collapsed="false">
      <c r="A38" s="39" t="s">
        <v>41</v>
      </c>
      <c r="B38" s="11"/>
      <c r="C38" s="12"/>
      <c r="D38" s="11"/>
      <c r="E38" s="11"/>
      <c r="F38" s="11"/>
      <c r="G38" s="11"/>
      <c r="H38" s="11"/>
      <c r="I38" s="11"/>
      <c r="J38" s="11"/>
      <c r="K38" s="11"/>
      <c r="L38" s="13"/>
      <c r="M38" s="14"/>
    </row>
    <row r="39" customFormat="false" ht="15" hidden="false" customHeight="false" outlineLevel="0" collapsed="false">
      <c r="A39" s="39" t="s">
        <v>42</v>
      </c>
      <c r="B39" s="11"/>
      <c r="C39" s="12"/>
      <c r="D39" s="11"/>
      <c r="E39" s="11"/>
      <c r="F39" s="11"/>
      <c r="G39" s="11"/>
      <c r="H39" s="11"/>
      <c r="I39" s="11"/>
      <c r="J39" s="11"/>
      <c r="K39" s="11"/>
      <c r="L39" s="13"/>
      <c r="M39" s="14"/>
    </row>
    <row r="40" customFormat="false" ht="15" hidden="false" customHeight="false" outlineLevel="0" collapsed="false">
      <c r="A40" s="39" t="s">
        <v>43</v>
      </c>
      <c r="B40" s="11"/>
      <c r="C40" s="12"/>
      <c r="D40" s="11"/>
      <c r="E40" s="11"/>
      <c r="F40" s="11"/>
      <c r="G40" s="11"/>
      <c r="H40" s="11"/>
      <c r="I40" s="11"/>
      <c r="J40" s="11"/>
      <c r="K40" s="11"/>
      <c r="L40" s="13"/>
      <c r="M40" s="14"/>
    </row>
    <row r="41" customFormat="false" ht="15" hidden="false" customHeight="false" outlineLevel="0" collapsed="false">
      <c r="A41" s="39" t="s">
        <v>44</v>
      </c>
      <c r="B41" s="11"/>
      <c r="C41" s="12"/>
      <c r="D41" s="11"/>
      <c r="E41" s="11"/>
      <c r="F41" s="11"/>
      <c r="G41" s="11"/>
      <c r="H41" s="11"/>
      <c r="I41" s="11"/>
      <c r="J41" s="11"/>
      <c r="K41" s="11"/>
      <c r="L41" s="13"/>
      <c r="M41" s="14"/>
    </row>
    <row r="42" customFormat="false" ht="15" hidden="false" customHeight="false" outlineLevel="0" collapsed="false">
      <c r="A42" s="35"/>
      <c r="B42" s="11"/>
      <c r="C42" s="12"/>
      <c r="D42" s="11"/>
      <c r="E42" s="11"/>
      <c r="F42" s="11"/>
      <c r="G42" s="11"/>
      <c r="H42" s="11"/>
      <c r="I42" s="11"/>
      <c r="J42" s="11"/>
      <c r="K42" s="11"/>
      <c r="L42" s="13"/>
      <c r="M42" s="14"/>
    </row>
    <row r="43" customFormat="false" ht="15" hidden="false" customHeight="false" outlineLevel="0" collapsed="false">
      <c r="A43" s="40" t="s">
        <v>45</v>
      </c>
      <c r="B43" s="11"/>
      <c r="C43" s="12"/>
      <c r="D43" s="11"/>
      <c r="E43" s="11"/>
      <c r="F43" s="11"/>
      <c r="G43" s="11"/>
      <c r="H43" s="11"/>
      <c r="I43" s="11"/>
      <c r="J43" s="11"/>
      <c r="K43" s="11"/>
      <c r="L43" s="13"/>
      <c r="M43" s="14"/>
    </row>
    <row r="44" s="38" customFormat="true" ht="15" hidden="false" customHeight="false" outlineLevel="0" collapsed="false">
      <c r="A44" s="15" t="s">
        <v>37</v>
      </c>
      <c r="B44" s="11"/>
      <c r="C44" s="12"/>
      <c r="D44" s="11"/>
      <c r="E44" s="11"/>
      <c r="F44" s="11"/>
      <c r="G44" s="11"/>
      <c r="H44" s="11"/>
      <c r="I44" s="11"/>
      <c r="J44" s="11"/>
      <c r="K44" s="11"/>
      <c r="L44" s="13"/>
      <c r="M44" s="14"/>
    </row>
    <row r="45" s="38" customFormat="true" ht="15" hidden="false" customHeight="false" outlineLevel="0" collapsed="false">
      <c r="A45" s="15" t="s">
        <v>38</v>
      </c>
      <c r="B45" s="11"/>
      <c r="C45" s="12"/>
      <c r="D45" s="11"/>
      <c r="E45" s="11"/>
      <c r="F45" s="11"/>
      <c r="G45" s="11"/>
      <c r="H45" s="11"/>
      <c r="I45" s="11"/>
      <c r="J45" s="11"/>
      <c r="K45" s="11"/>
      <c r="L45" s="13"/>
      <c r="M45" s="14"/>
    </row>
    <row r="46" customFormat="false" ht="15" hidden="false" customHeight="false" outlineLevel="0" collapsed="false">
      <c r="A46" s="39" t="s">
        <v>39</v>
      </c>
      <c r="B46" s="11"/>
      <c r="C46" s="12"/>
      <c r="D46" s="11"/>
      <c r="E46" s="11"/>
      <c r="F46" s="11"/>
      <c r="G46" s="11"/>
      <c r="H46" s="11"/>
      <c r="I46" s="11"/>
      <c r="J46" s="11"/>
      <c r="K46" s="11"/>
      <c r="L46" s="13"/>
      <c r="M46" s="14"/>
    </row>
    <row r="47" customFormat="false" ht="15" hidden="false" customHeight="false" outlineLevel="0" collapsed="false">
      <c r="A47" s="39" t="s">
        <v>40</v>
      </c>
      <c r="B47" s="11"/>
      <c r="C47" s="12"/>
      <c r="D47" s="11"/>
      <c r="E47" s="11"/>
      <c r="F47" s="11"/>
      <c r="G47" s="11"/>
      <c r="H47" s="11"/>
      <c r="I47" s="11"/>
      <c r="J47" s="11"/>
      <c r="K47" s="11"/>
      <c r="L47" s="13"/>
      <c r="M47" s="14"/>
    </row>
    <row r="48" customFormat="false" ht="15" hidden="false" customHeight="false" outlineLevel="0" collapsed="false">
      <c r="A48" s="39" t="s">
        <v>41</v>
      </c>
      <c r="B48" s="11"/>
      <c r="C48" s="12"/>
      <c r="D48" s="11"/>
      <c r="E48" s="11"/>
      <c r="F48" s="11"/>
      <c r="G48" s="11"/>
      <c r="H48" s="11"/>
      <c r="I48" s="11"/>
      <c r="J48" s="11"/>
      <c r="K48" s="11"/>
      <c r="L48" s="13"/>
      <c r="M48" s="14"/>
    </row>
    <row r="49" customFormat="false" ht="15" hidden="false" customHeight="false" outlineLevel="0" collapsed="false">
      <c r="A49" s="39" t="s">
        <v>42</v>
      </c>
      <c r="B49" s="11"/>
      <c r="C49" s="12"/>
      <c r="D49" s="11"/>
      <c r="E49" s="11"/>
      <c r="F49" s="11"/>
      <c r="G49" s="11"/>
      <c r="H49" s="11"/>
      <c r="I49" s="11"/>
      <c r="J49" s="11"/>
      <c r="K49" s="11"/>
      <c r="L49" s="13"/>
      <c r="M49" s="14"/>
    </row>
    <row r="50" customFormat="false" ht="15" hidden="false" customHeight="false" outlineLevel="0" collapsed="false">
      <c r="A50" s="39" t="s">
        <v>43</v>
      </c>
      <c r="B50" s="11"/>
      <c r="C50" s="12"/>
      <c r="D50" s="11"/>
      <c r="E50" s="11"/>
      <c r="F50" s="11"/>
      <c r="G50" s="11"/>
      <c r="H50" s="11"/>
      <c r="I50" s="11"/>
      <c r="J50" s="11"/>
      <c r="K50" s="11"/>
      <c r="L50" s="13"/>
      <c r="M50" s="14"/>
    </row>
    <row r="51" customFormat="false" ht="15" hidden="false" customHeight="false" outlineLevel="0" collapsed="false">
      <c r="A51" s="39" t="s">
        <v>46</v>
      </c>
      <c r="B51" s="11"/>
      <c r="C51" s="12"/>
      <c r="D51" s="11"/>
      <c r="E51" s="11"/>
      <c r="F51" s="11"/>
      <c r="G51" s="11"/>
      <c r="H51" s="11"/>
      <c r="I51" s="11"/>
      <c r="J51" s="11"/>
      <c r="K51" s="11"/>
      <c r="L51" s="13"/>
      <c r="M51" s="14"/>
    </row>
    <row r="52" customFormat="false" ht="15" hidden="false" customHeight="false" outlineLevel="0" collapsed="false">
      <c r="A52" s="41"/>
      <c r="B52" s="11"/>
      <c r="C52" s="12"/>
      <c r="D52" s="11"/>
      <c r="E52" s="11"/>
      <c r="F52" s="11"/>
      <c r="G52" s="11"/>
      <c r="H52" s="11"/>
      <c r="I52" s="11"/>
      <c r="J52" s="11"/>
      <c r="K52" s="11"/>
      <c r="L52" s="13"/>
      <c r="M52" s="14"/>
    </row>
    <row r="53" customFormat="false" ht="15" hidden="false" customHeight="false" outlineLevel="0" collapsed="false">
      <c r="A53" s="40" t="s">
        <v>47</v>
      </c>
      <c r="B53" s="11"/>
      <c r="C53" s="12"/>
      <c r="D53" s="11"/>
      <c r="E53" s="11"/>
      <c r="F53" s="11"/>
      <c r="G53" s="11"/>
      <c r="H53" s="11"/>
      <c r="I53" s="11"/>
      <c r="J53" s="11"/>
      <c r="K53" s="11"/>
      <c r="L53" s="13"/>
      <c r="M53" s="14"/>
    </row>
    <row r="54" customFormat="false" ht="15" hidden="false" customHeight="false" outlineLevel="0" collapsed="false">
      <c r="A54" s="15" t="s">
        <v>48</v>
      </c>
      <c r="B54" s="11"/>
      <c r="C54" s="12"/>
      <c r="D54" s="11"/>
      <c r="E54" s="11"/>
      <c r="F54" s="11"/>
      <c r="G54" s="11"/>
      <c r="H54" s="11"/>
      <c r="I54" s="11"/>
      <c r="J54" s="11"/>
      <c r="K54" s="11"/>
      <c r="L54" s="13"/>
      <c r="M54" s="14"/>
    </row>
    <row r="55" s="38" customFormat="true" ht="15" hidden="false" customHeight="false" outlineLevel="0" collapsed="false">
      <c r="A55" s="15" t="s">
        <v>49</v>
      </c>
      <c r="B55" s="11"/>
      <c r="C55" s="12"/>
      <c r="D55" s="11"/>
      <c r="E55" s="11"/>
      <c r="F55" s="11"/>
      <c r="G55" s="11"/>
      <c r="H55" s="11"/>
      <c r="I55" s="11"/>
      <c r="J55" s="11"/>
      <c r="K55" s="11"/>
      <c r="L55" s="13"/>
      <c r="M55" s="14"/>
    </row>
    <row r="56" s="38" customFormat="true" ht="15" hidden="false" customHeight="false" outlineLevel="0" collapsed="false">
      <c r="A56" s="39" t="s">
        <v>50</v>
      </c>
      <c r="B56" s="11"/>
      <c r="C56" s="12"/>
      <c r="D56" s="11"/>
      <c r="E56" s="11"/>
      <c r="F56" s="11"/>
      <c r="G56" s="11"/>
      <c r="H56" s="11"/>
      <c r="I56" s="11"/>
      <c r="J56" s="11"/>
      <c r="K56" s="11"/>
      <c r="L56" s="13"/>
      <c r="M56" s="14"/>
    </row>
    <row r="57" s="38" customFormat="true" ht="15" hidden="false" customHeight="false" outlineLevel="0" collapsed="false">
      <c r="A57" s="39"/>
      <c r="B57" s="11"/>
      <c r="C57" s="12"/>
      <c r="D57" s="11"/>
      <c r="E57" s="11"/>
      <c r="F57" s="11"/>
      <c r="G57" s="11"/>
      <c r="H57" s="11"/>
      <c r="I57" s="11"/>
      <c r="J57" s="11"/>
      <c r="K57" s="11"/>
      <c r="L57" s="13"/>
      <c r="M57" s="14"/>
    </row>
    <row r="58" s="38" customFormat="true" ht="15" hidden="false" customHeight="false" outlineLevel="0" collapsed="false">
      <c r="A58" s="39" t="s">
        <v>51</v>
      </c>
      <c r="B58" s="11"/>
      <c r="C58" s="12"/>
      <c r="D58" s="11"/>
      <c r="E58" s="11"/>
      <c r="F58" s="11"/>
      <c r="G58" s="11"/>
      <c r="H58" s="11"/>
      <c r="I58" s="11"/>
      <c r="J58" s="11"/>
      <c r="K58" s="11"/>
      <c r="L58" s="13"/>
      <c r="M58" s="14"/>
    </row>
    <row r="59" s="38" customFormat="true" ht="15" hidden="false" customHeight="false" outlineLevel="0" collapsed="false">
      <c r="A59" s="39" t="s">
        <v>52</v>
      </c>
      <c r="B59" s="11"/>
      <c r="C59" s="12"/>
      <c r="D59" s="11"/>
      <c r="E59" s="11"/>
      <c r="F59" s="11"/>
      <c r="G59" s="11"/>
      <c r="H59" s="11"/>
      <c r="I59" s="11"/>
      <c r="J59" s="11"/>
      <c r="K59" s="11"/>
      <c r="L59" s="13"/>
      <c r="M59" s="14"/>
    </row>
    <row r="60" customFormat="false" ht="15" hidden="false" customHeight="false" outlineLevel="0" collapsed="false">
      <c r="A60" s="39" t="s">
        <v>53</v>
      </c>
      <c r="B60" s="11"/>
      <c r="C60" s="12"/>
      <c r="D60" s="11"/>
      <c r="E60" s="11"/>
      <c r="F60" s="11"/>
      <c r="G60" s="11"/>
      <c r="H60" s="11"/>
      <c r="I60" s="11"/>
      <c r="J60" s="11"/>
      <c r="K60" s="11"/>
      <c r="L60" s="13"/>
      <c r="M60" s="14"/>
    </row>
    <row r="61" customFormat="false" ht="15" hidden="false" customHeight="false" outlineLevel="0" collapsed="false">
      <c r="A61" s="39" t="s">
        <v>54</v>
      </c>
      <c r="B61" s="11"/>
      <c r="C61" s="12"/>
      <c r="D61" s="11"/>
      <c r="E61" s="11"/>
      <c r="F61" s="11"/>
      <c r="G61" s="11"/>
      <c r="H61" s="11"/>
      <c r="I61" s="11"/>
      <c r="J61" s="11"/>
      <c r="K61" s="11"/>
      <c r="L61" s="13"/>
      <c r="M61" s="14"/>
    </row>
    <row r="62" customFormat="false" ht="15" hidden="false" customHeight="false" outlineLevel="0" collapsed="false">
      <c r="A62" s="39" t="s">
        <v>50</v>
      </c>
      <c r="B62" s="11"/>
      <c r="C62" s="12"/>
      <c r="D62" s="11"/>
      <c r="E62" s="11"/>
      <c r="F62" s="11"/>
      <c r="G62" s="11"/>
      <c r="H62" s="11"/>
      <c r="I62" s="11"/>
      <c r="J62" s="11"/>
      <c r="K62" s="11"/>
      <c r="L62" s="13"/>
      <c r="M62" s="14"/>
    </row>
    <row r="63" customFormat="false" ht="15" hidden="false" customHeight="false" outlineLevel="0" collapsed="false">
      <c r="A63" s="39"/>
      <c r="B63" s="11"/>
      <c r="C63" s="12"/>
      <c r="D63" s="11"/>
      <c r="E63" s="11"/>
      <c r="F63" s="11"/>
      <c r="G63" s="11"/>
      <c r="H63" s="11"/>
      <c r="I63" s="11"/>
      <c r="J63" s="11"/>
      <c r="K63" s="11"/>
      <c r="L63" s="42"/>
      <c r="M63" s="14"/>
    </row>
    <row r="64" customFormat="false" ht="15" hidden="false" customHeight="false" outlineLevel="0" collapsed="false">
      <c r="A64" s="15" t="s">
        <v>55</v>
      </c>
      <c r="B64" s="11"/>
      <c r="C64" s="12"/>
      <c r="D64" s="11"/>
      <c r="E64" s="11"/>
      <c r="F64" s="11"/>
      <c r="G64" s="11"/>
      <c r="H64" s="11"/>
      <c r="I64" s="11"/>
      <c r="J64" s="11"/>
      <c r="K64" s="11"/>
      <c r="L64" s="42"/>
      <c r="M64" s="14"/>
    </row>
    <row r="65" customFormat="false" ht="15" hidden="false" customHeight="false" outlineLevel="0" collapsed="false">
      <c r="A65" s="39" t="s">
        <v>52</v>
      </c>
      <c r="B65" s="11"/>
      <c r="C65" s="12"/>
      <c r="D65" s="11"/>
      <c r="E65" s="11"/>
      <c r="F65" s="11"/>
      <c r="G65" s="11"/>
      <c r="H65" s="11"/>
      <c r="I65" s="11"/>
      <c r="J65" s="11"/>
      <c r="K65" s="11"/>
      <c r="L65" s="42"/>
      <c r="M65" s="14"/>
    </row>
    <row r="66" customFormat="false" ht="15" hidden="false" customHeight="false" outlineLevel="0" collapsed="false">
      <c r="A66" s="15"/>
      <c r="B66" s="11"/>
      <c r="C66" s="12"/>
      <c r="D66" s="11"/>
      <c r="E66" s="11"/>
      <c r="F66" s="11"/>
      <c r="G66" s="11"/>
      <c r="H66" s="11"/>
      <c r="I66" s="11"/>
      <c r="J66" s="11"/>
      <c r="K66" s="11"/>
      <c r="L66" s="42"/>
      <c r="M66" s="14"/>
    </row>
    <row r="67" customFormat="false" ht="15" hidden="false" customHeight="false" outlineLevel="0" collapsed="false">
      <c r="A67" s="39" t="s">
        <v>56</v>
      </c>
      <c r="B67" s="11"/>
      <c r="C67" s="12"/>
      <c r="D67" s="11"/>
      <c r="E67" s="11"/>
      <c r="F67" s="11"/>
      <c r="G67" s="11"/>
      <c r="H67" s="11"/>
      <c r="I67" s="11"/>
      <c r="J67" s="11"/>
      <c r="K67" s="11"/>
      <c r="L67" s="42"/>
      <c r="M67" s="14"/>
    </row>
    <row r="68" customFormat="false" ht="15" hidden="false" customHeight="false" outlineLevel="0" collapsed="false">
      <c r="A68" s="39" t="s">
        <v>52</v>
      </c>
      <c r="B68" s="11"/>
      <c r="C68" s="12"/>
      <c r="D68" s="11"/>
      <c r="E68" s="11"/>
      <c r="F68" s="11"/>
      <c r="G68" s="11"/>
      <c r="H68" s="11"/>
      <c r="I68" s="11"/>
      <c r="J68" s="11"/>
      <c r="K68" s="11"/>
      <c r="L68" s="42"/>
      <c r="M68" s="14"/>
    </row>
    <row r="69" customFormat="false" ht="15" hidden="false" customHeight="false" outlineLevel="0" collapsed="false">
      <c r="A69" s="39" t="s">
        <v>53</v>
      </c>
      <c r="B69" s="11"/>
      <c r="C69" s="12"/>
      <c r="D69" s="11"/>
      <c r="E69" s="11"/>
      <c r="F69" s="11"/>
      <c r="G69" s="11"/>
      <c r="H69" s="11"/>
      <c r="I69" s="11"/>
      <c r="J69" s="11"/>
      <c r="K69" s="11"/>
      <c r="L69" s="42"/>
      <c r="M69" s="14"/>
    </row>
    <row r="70" customFormat="false" ht="15" hidden="false" customHeight="false" outlineLevel="0" collapsed="false">
      <c r="A70" s="39" t="s">
        <v>54</v>
      </c>
      <c r="B70" s="11"/>
      <c r="C70" s="12"/>
      <c r="D70" s="11"/>
      <c r="E70" s="11"/>
      <c r="F70" s="11"/>
      <c r="G70" s="11"/>
      <c r="H70" s="11"/>
      <c r="I70" s="11"/>
      <c r="J70" s="11"/>
      <c r="K70" s="11"/>
      <c r="L70" s="42"/>
      <c r="M70" s="14"/>
    </row>
    <row r="71" customFormat="false" ht="15" hidden="false" customHeight="false" outlineLevel="0" collapsed="false">
      <c r="A71" s="39"/>
      <c r="B71" s="11"/>
      <c r="C71" s="12"/>
      <c r="D71" s="11"/>
      <c r="E71" s="11"/>
      <c r="F71" s="11"/>
      <c r="G71" s="11"/>
      <c r="H71" s="11"/>
      <c r="I71" s="11"/>
      <c r="J71" s="11"/>
      <c r="K71" s="11"/>
      <c r="L71" s="42"/>
      <c r="M71" s="14"/>
    </row>
    <row r="72" customFormat="false" ht="15" hidden="false" customHeight="false" outlineLevel="0" collapsed="false">
      <c r="A72" s="39" t="s">
        <v>57</v>
      </c>
      <c r="B72" s="11"/>
      <c r="C72" s="12"/>
      <c r="D72" s="11"/>
      <c r="E72" s="11"/>
      <c r="F72" s="11"/>
      <c r="G72" s="11"/>
      <c r="H72" s="11"/>
      <c r="I72" s="11"/>
      <c r="J72" s="11"/>
      <c r="K72" s="11"/>
      <c r="L72" s="42"/>
      <c r="M72" s="14"/>
    </row>
    <row r="73" customFormat="false" ht="15" hidden="false" customHeight="false" outlineLevel="0" collapsed="false">
      <c r="A73" s="39" t="s">
        <v>53</v>
      </c>
      <c r="B73" s="11"/>
      <c r="C73" s="12"/>
      <c r="D73" s="11"/>
      <c r="E73" s="11"/>
      <c r="F73" s="11"/>
      <c r="G73" s="11"/>
      <c r="H73" s="11"/>
      <c r="I73" s="11"/>
      <c r="J73" s="11"/>
      <c r="K73" s="11"/>
      <c r="L73" s="42"/>
      <c r="M73" s="14"/>
    </row>
    <row r="74" customFormat="false" ht="15" hidden="false" customHeight="false" outlineLevel="0" collapsed="false">
      <c r="A74" s="39"/>
      <c r="B74" s="11"/>
      <c r="C74" s="12"/>
      <c r="D74" s="11"/>
      <c r="E74" s="11"/>
      <c r="F74" s="11"/>
      <c r="G74" s="11"/>
      <c r="H74" s="11"/>
      <c r="I74" s="11"/>
      <c r="J74" s="11"/>
      <c r="K74" s="11"/>
      <c r="L74" s="42"/>
      <c r="M74" s="14"/>
    </row>
    <row r="75" customFormat="false" ht="15" hidden="false" customHeight="false" outlineLevel="0" collapsed="false">
      <c r="A75" s="39" t="s">
        <v>58</v>
      </c>
      <c r="B75" s="11"/>
      <c r="C75" s="12"/>
      <c r="D75" s="11"/>
      <c r="E75" s="11"/>
      <c r="F75" s="11"/>
      <c r="G75" s="11"/>
      <c r="H75" s="11"/>
      <c r="I75" s="11"/>
      <c r="J75" s="11"/>
      <c r="K75" s="11"/>
      <c r="L75" s="42"/>
      <c r="M75" s="14"/>
    </row>
    <row r="76" customFormat="false" ht="15" hidden="false" customHeight="false" outlineLevel="0" collapsed="false">
      <c r="A76" s="39" t="s">
        <v>53</v>
      </c>
      <c r="B76" s="11"/>
      <c r="C76" s="12"/>
      <c r="D76" s="11"/>
      <c r="E76" s="11"/>
      <c r="F76" s="11"/>
      <c r="G76" s="11"/>
      <c r="H76" s="11"/>
      <c r="I76" s="11"/>
      <c r="J76" s="11"/>
      <c r="K76" s="11"/>
      <c r="L76" s="42"/>
      <c r="M76" s="14"/>
    </row>
    <row r="77" customFormat="false" ht="15" hidden="false" customHeight="false" outlineLevel="0" collapsed="false">
      <c r="A77" s="39"/>
      <c r="B77" s="11"/>
      <c r="C77" s="12"/>
      <c r="D77" s="11"/>
      <c r="E77" s="11"/>
      <c r="F77" s="11"/>
      <c r="G77" s="11"/>
      <c r="H77" s="11"/>
      <c r="I77" s="11"/>
      <c r="J77" s="11"/>
      <c r="K77" s="11"/>
      <c r="L77" s="42"/>
      <c r="M77" s="14"/>
    </row>
    <row r="78" customFormat="false" ht="15" hidden="false" customHeight="false" outlineLevel="0" collapsed="false">
      <c r="A78" s="15" t="s">
        <v>59</v>
      </c>
      <c r="B78" s="11"/>
      <c r="C78" s="12"/>
      <c r="D78" s="11"/>
      <c r="E78" s="11"/>
      <c r="F78" s="11"/>
      <c r="G78" s="11"/>
      <c r="H78" s="11"/>
      <c r="I78" s="11"/>
      <c r="J78" s="11"/>
      <c r="K78" s="11"/>
      <c r="L78" s="42"/>
      <c r="M78" s="14"/>
    </row>
    <row r="79" customFormat="false" ht="15" hidden="false" customHeight="false" outlineLevel="0" collapsed="false">
      <c r="A79" s="15" t="s">
        <v>49</v>
      </c>
      <c r="B79" s="11"/>
      <c r="C79" s="12"/>
      <c r="D79" s="11"/>
      <c r="E79" s="11"/>
      <c r="F79" s="11"/>
      <c r="G79" s="11"/>
      <c r="H79" s="11"/>
      <c r="I79" s="11"/>
      <c r="J79" s="11"/>
      <c r="K79" s="11"/>
      <c r="L79" s="42"/>
      <c r="M79" s="14"/>
    </row>
    <row r="80" customFormat="false" ht="15" hidden="false" customHeight="false" outlineLevel="0" collapsed="false">
      <c r="A80" s="39" t="s">
        <v>52</v>
      </c>
      <c r="B80" s="11"/>
      <c r="C80" s="12"/>
      <c r="D80" s="11"/>
      <c r="E80" s="11"/>
      <c r="F80" s="11"/>
      <c r="G80" s="11"/>
      <c r="H80" s="11"/>
      <c r="I80" s="11"/>
      <c r="J80" s="11"/>
      <c r="K80" s="11"/>
      <c r="L80" s="42"/>
      <c r="M80" s="14"/>
    </row>
    <row r="81" customFormat="false" ht="15" hidden="false" customHeight="false" outlineLevel="0" collapsed="false">
      <c r="A81" s="39" t="s">
        <v>53</v>
      </c>
      <c r="B81" s="11"/>
      <c r="C81" s="12"/>
      <c r="D81" s="11"/>
      <c r="E81" s="11"/>
      <c r="F81" s="11"/>
      <c r="G81" s="11"/>
      <c r="H81" s="11"/>
      <c r="I81" s="11"/>
      <c r="J81" s="11"/>
      <c r="K81" s="11"/>
      <c r="L81" s="42"/>
      <c r="M81" s="14"/>
    </row>
    <row r="82" customFormat="false" ht="15" hidden="false" customHeight="false" outlineLevel="0" collapsed="false">
      <c r="A82" s="39" t="s">
        <v>50</v>
      </c>
      <c r="B82" s="11"/>
      <c r="C82" s="12"/>
      <c r="D82" s="11"/>
      <c r="E82" s="11"/>
      <c r="F82" s="11"/>
      <c r="G82" s="11"/>
      <c r="H82" s="11"/>
      <c r="I82" s="11"/>
      <c r="J82" s="11"/>
      <c r="K82" s="11"/>
      <c r="L82" s="42"/>
      <c r="M82" s="14"/>
    </row>
    <row r="83" customFormat="false" ht="15" hidden="false" customHeight="false" outlineLevel="0" collapsed="false">
      <c r="A83" s="39"/>
      <c r="B83" s="11"/>
      <c r="C83" s="12"/>
      <c r="D83" s="11"/>
      <c r="E83" s="11"/>
      <c r="F83" s="11"/>
      <c r="G83" s="11"/>
      <c r="H83" s="11"/>
      <c r="I83" s="11"/>
      <c r="J83" s="11"/>
      <c r="K83" s="11"/>
      <c r="L83" s="42"/>
      <c r="M83" s="14"/>
    </row>
    <row r="84" customFormat="false" ht="15" hidden="false" customHeight="false" outlineLevel="0" collapsed="false">
      <c r="A84" s="39"/>
      <c r="B84" s="11"/>
      <c r="C84" s="12"/>
      <c r="D84" s="11"/>
      <c r="E84" s="11"/>
      <c r="F84" s="11"/>
      <c r="G84" s="11"/>
      <c r="H84" s="11"/>
      <c r="I84" s="11"/>
      <c r="J84" s="11"/>
      <c r="K84" s="11"/>
      <c r="L84" s="42"/>
      <c r="M84" s="14"/>
    </row>
    <row r="85" customFormat="false" ht="15" hidden="false" customHeight="false" outlineLevel="0" collapsed="false">
      <c r="A85" s="43" t="s">
        <v>60</v>
      </c>
      <c r="B85" s="11"/>
      <c r="C85" s="12"/>
      <c r="D85" s="11"/>
      <c r="E85" s="11"/>
      <c r="F85" s="11"/>
      <c r="G85" s="11"/>
      <c r="H85" s="11"/>
      <c r="I85" s="11"/>
      <c r="J85" s="11"/>
      <c r="K85" s="11"/>
      <c r="L85" s="42"/>
      <c r="M85" s="14"/>
    </row>
    <row r="86" customFormat="false" ht="15" hidden="false" customHeight="false" outlineLevel="0" collapsed="false">
      <c r="A86" s="39"/>
      <c r="B86" s="11"/>
      <c r="C86" s="12"/>
      <c r="D86" s="11"/>
      <c r="E86" s="11"/>
      <c r="F86" s="11"/>
      <c r="G86" s="11"/>
      <c r="H86" s="11"/>
      <c r="I86" s="11"/>
      <c r="J86" s="11"/>
      <c r="K86" s="11"/>
      <c r="L86" s="42"/>
      <c r="M86" s="14"/>
    </row>
    <row r="87" customFormat="false" ht="15" hidden="false" customHeight="false" outlineLevel="0" collapsed="false">
      <c r="A87" s="39"/>
      <c r="B87" s="11"/>
      <c r="C87" s="12"/>
      <c r="D87" s="11"/>
      <c r="E87" s="11"/>
      <c r="F87" s="11"/>
      <c r="G87" s="11"/>
      <c r="H87" s="11"/>
      <c r="I87" s="11"/>
      <c r="J87" s="11"/>
      <c r="K87" s="11"/>
      <c r="L87" s="42"/>
      <c r="M87" s="14"/>
    </row>
    <row r="88" customFormat="false" ht="15" hidden="false" customHeight="false" outlineLevel="0" collapsed="false">
      <c r="A88" s="39"/>
      <c r="B88" s="11"/>
      <c r="C88" s="12"/>
      <c r="D88" s="11"/>
      <c r="E88" s="11"/>
      <c r="F88" s="11"/>
      <c r="G88" s="11"/>
      <c r="H88" s="11"/>
      <c r="I88" s="11"/>
      <c r="J88" s="11"/>
      <c r="K88" s="11"/>
      <c r="L88" s="42"/>
      <c r="M88" s="14"/>
    </row>
    <row r="89" customFormat="false" ht="15" hidden="false" customHeight="false" outlineLevel="0" collapsed="false">
      <c r="A89" s="39"/>
      <c r="B89" s="11"/>
      <c r="C89" s="12"/>
      <c r="D89" s="11"/>
      <c r="E89" s="11"/>
      <c r="F89" s="11"/>
      <c r="G89" s="11"/>
      <c r="H89" s="11"/>
      <c r="I89" s="11"/>
      <c r="J89" s="11"/>
      <c r="K89" s="11"/>
      <c r="L89" s="42"/>
      <c r="M89" s="14"/>
    </row>
    <row r="90" customFormat="false" ht="15" hidden="false" customHeight="false" outlineLevel="0" collapsed="false">
      <c r="A90" s="39"/>
      <c r="B90" s="11"/>
      <c r="C90" s="12"/>
      <c r="D90" s="11"/>
      <c r="E90" s="11"/>
      <c r="F90" s="11"/>
      <c r="G90" s="11"/>
      <c r="H90" s="11"/>
      <c r="I90" s="11"/>
      <c r="J90" s="11"/>
      <c r="K90" s="11"/>
      <c r="L90" s="42"/>
      <c r="M90" s="14"/>
    </row>
    <row r="91" customFormat="false" ht="15" hidden="false" customHeight="false" outlineLevel="0" collapsed="false">
      <c r="A91" s="39"/>
      <c r="B91" s="11"/>
      <c r="C91" s="12"/>
      <c r="D91" s="11"/>
      <c r="E91" s="11"/>
      <c r="F91" s="11"/>
      <c r="G91" s="11"/>
      <c r="H91" s="11"/>
      <c r="I91" s="11"/>
      <c r="J91" s="11"/>
      <c r="K91" s="11"/>
      <c r="L91" s="42"/>
      <c r="M91" s="14"/>
    </row>
    <row r="92" customFormat="false" ht="15" hidden="false" customHeight="false" outlineLevel="0" collapsed="false">
      <c r="A92" s="39"/>
      <c r="B92" s="11"/>
      <c r="C92" s="12"/>
      <c r="D92" s="11"/>
      <c r="E92" s="11"/>
      <c r="F92" s="11"/>
      <c r="G92" s="11"/>
      <c r="H92" s="11"/>
      <c r="I92" s="11"/>
      <c r="J92" s="11"/>
      <c r="K92" s="11"/>
      <c r="L92" s="42"/>
      <c r="M92" s="14"/>
    </row>
    <row r="93" customFormat="false" ht="15" hidden="false" customHeight="false" outlineLevel="0" collapsed="false">
      <c r="A93" s="39"/>
      <c r="B93" s="11"/>
      <c r="C93" s="12"/>
      <c r="D93" s="11"/>
      <c r="E93" s="11"/>
      <c r="F93" s="11"/>
      <c r="G93" s="11"/>
      <c r="H93" s="11"/>
      <c r="I93" s="11"/>
      <c r="J93" s="11"/>
      <c r="K93" s="11"/>
      <c r="L93" s="42"/>
      <c r="M93" s="14"/>
    </row>
    <row r="94" customFormat="false" ht="15" hidden="false" customHeight="false" outlineLevel="0" collapsed="false">
      <c r="A94" s="15"/>
      <c r="B94" s="11"/>
      <c r="C94" s="12"/>
      <c r="D94" s="11"/>
      <c r="E94" s="11"/>
      <c r="F94" s="11"/>
      <c r="G94" s="11"/>
      <c r="H94" s="11"/>
      <c r="I94" s="11"/>
      <c r="J94" s="11"/>
      <c r="K94" s="11"/>
      <c r="L94" s="42"/>
      <c r="M94" s="14"/>
    </row>
    <row r="95" customFormat="false" ht="15" hidden="false" customHeight="false" outlineLevel="0" collapsed="false">
      <c r="A95" s="15"/>
      <c r="B95" s="11"/>
      <c r="C95" s="12"/>
      <c r="D95" s="11"/>
      <c r="E95" s="11"/>
      <c r="F95" s="11"/>
      <c r="G95" s="11"/>
      <c r="H95" s="11"/>
      <c r="I95" s="11"/>
      <c r="J95" s="11"/>
      <c r="K95" s="11"/>
      <c r="L95" s="42"/>
      <c r="M95" s="14"/>
    </row>
    <row r="96" customFormat="false" ht="15" hidden="false" customHeight="false" outlineLevel="0" collapsed="false">
      <c r="A96" s="39"/>
      <c r="B96" s="11"/>
      <c r="C96" s="12"/>
      <c r="D96" s="11"/>
      <c r="E96" s="11"/>
      <c r="F96" s="11"/>
      <c r="G96" s="11"/>
      <c r="H96" s="11"/>
      <c r="I96" s="11"/>
      <c r="J96" s="11"/>
      <c r="K96" s="11"/>
      <c r="L96" s="42"/>
      <c r="M96" s="14"/>
    </row>
    <row r="97" customFormat="false" ht="15" hidden="false" customHeight="false" outlineLevel="0" collapsed="false">
      <c r="A97" s="39"/>
      <c r="B97" s="11"/>
      <c r="C97" s="12"/>
      <c r="D97" s="11"/>
      <c r="E97" s="11"/>
      <c r="F97" s="11"/>
      <c r="G97" s="11"/>
      <c r="H97" s="11"/>
      <c r="I97" s="11"/>
      <c r="J97" s="11"/>
      <c r="K97" s="11"/>
      <c r="L97" s="42"/>
      <c r="M97" s="14"/>
    </row>
    <row r="98" customFormat="false" ht="15" hidden="false" customHeight="false" outlineLevel="0" collapsed="false">
      <c r="A98" s="39"/>
      <c r="B98" s="11"/>
      <c r="C98" s="12"/>
      <c r="D98" s="11"/>
      <c r="E98" s="11"/>
      <c r="F98" s="11"/>
      <c r="G98" s="11"/>
      <c r="H98" s="11"/>
      <c r="I98" s="11"/>
      <c r="J98" s="11"/>
      <c r="K98" s="11"/>
      <c r="L98" s="42"/>
      <c r="M98" s="14"/>
    </row>
    <row r="99" customFormat="false" ht="15" hidden="false" customHeight="false" outlineLevel="0" collapsed="false">
      <c r="L99" s="3" t="n">
        <f aca="false">SUM(L1:L98)-SUM(L5,L7,L9,L11,L13,L15,L17,L19,L21,L23,L25,L27)</f>
        <v>19865.615</v>
      </c>
    </row>
  </sheetData>
  <conditionalFormatting sqref="B2:M27">
    <cfRule type="colorScale" priority="2">
      <colorScale>
        <cfvo type="min" val="0"/>
        <cfvo type="percentile" val="50"/>
        <cfvo type="max" val="0"/>
        <color rgb="FF63BE7B"/>
        <color rgb="FFFFEB84"/>
        <color rgb="FFF8696B"/>
      </colorScale>
    </cfRule>
  </conditionalFormatting>
  <conditionalFormatting sqref="B34:M62">
    <cfRule type="colorScale" priority="3">
      <colorScale>
        <cfvo type="min" val="0"/>
        <cfvo type="percentile" val="50"/>
        <cfvo type="max" val="0"/>
        <color rgb="FF63BE7B"/>
        <color rgb="FFFFEB84"/>
        <color rgb="FFF8696B"/>
      </colorScale>
    </cfRule>
  </conditionalFormatting>
  <conditionalFormatting sqref="L86">
    <cfRule type="colorScale" priority="4">
      <colorScale>
        <cfvo type="min" val="0"/>
        <cfvo type="percentile" val="50"/>
        <cfvo type="max" val="0"/>
        <color rgb="FF63BE7B"/>
        <color rgb="FFFFEB84"/>
        <color rgb="FFF8696B"/>
      </colorScale>
    </cfRule>
    <cfRule type="colorScale" priority="5">
      <colorScale>
        <cfvo type="min" val="0"/>
        <cfvo type="percentile" val="50"/>
        <cfvo type="max" val="0"/>
        <color rgb="FF63BE7B"/>
        <color rgb="FFFFEB84"/>
        <color rgb="FFF8696B"/>
      </colorScale>
    </cfRule>
  </conditionalFormatting>
  <conditionalFormatting sqref="L83:L85 L87:L98">
    <cfRule type="colorScale" priority="6">
      <colorScale>
        <cfvo type="min" val="0"/>
        <cfvo type="percentile" val="50"/>
        <cfvo type="max" val="0"/>
        <color rgb="FF63BE7B"/>
        <color rgb="FFFFEB84"/>
        <color rgb="FFF8696B"/>
      </colorScale>
    </cfRule>
    <cfRule type="colorScale" priority="7">
      <colorScale>
        <cfvo type="min" val="0"/>
        <cfvo type="percentile" val="50"/>
        <cfvo type="max" val="0"/>
        <color rgb="FF63BE7B"/>
        <color rgb="FFFFEB84"/>
        <color rgb="FFF8696B"/>
      </colorScale>
    </cfRule>
  </conditionalFormatting>
  <conditionalFormatting sqref="L63:L82">
    <cfRule type="colorScale" priority="8">
      <colorScale>
        <cfvo type="min" val="0"/>
        <cfvo type="percentile" val="50"/>
        <cfvo type="max" val="0"/>
        <color rgb="FF63BE7B"/>
        <color rgb="FFFFEB84"/>
        <color rgb="FFF8696B"/>
      </colorScale>
    </cfRule>
    <cfRule type="colorScale" priority="9">
      <colorScale>
        <cfvo type="min" val="0"/>
        <cfvo type="percentile" val="50"/>
        <cfvo type="max" val="0"/>
        <color rgb="FF63BE7B"/>
        <color rgb="FFFFEB84"/>
        <color rgb="FFF8696B"/>
      </colorScale>
    </cfRule>
  </conditionalFormatting>
  <conditionalFormatting sqref="B65:K65">
    <cfRule type="colorScale" priority="10">
      <colorScale>
        <cfvo type="min" val="0"/>
        <cfvo type="percentile" val="50"/>
        <cfvo type="max" val="0"/>
        <color rgb="FF63BE7B"/>
        <color rgb="FFFFEB84"/>
        <color rgb="FFF8696B"/>
      </colorScale>
    </cfRule>
  </conditionalFormatting>
  <conditionalFormatting sqref="B68:K68">
    <cfRule type="colorScale" priority="11">
      <colorScale>
        <cfvo type="min" val="0"/>
        <cfvo type="percentile" val="50"/>
        <cfvo type="max" val="0"/>
        <color rgb="FF63BE7B"/>
        <color rgb="FFFFEB84"/>
        <color rgb="FFF8696B"/>
      </colorScale>
    </cfRule>
  </conditionalFormatting>
  <conditionalFormatting sqref="B69:K69">
    <cfRule type="colorScale" priority="12">
      <colorScale>
        <cfvo type="min" val="0"/>
        <cfvo type="percentile" val="50"/>
        <cfvo type="max" val="0"/>
        <color rgb="FF63BE7B"/>
        <color rgb="FFFFEB84"/>
        <color rgb="FFF8696B"/>
      </colorScale>
    </cfRule>
  </conditionalFormatting>
  <conditionalFormatting sqref="B70:K70">
    <cfRule type="colorScale" priority="13">
      <colorScale>
        <cfvo type="min" val="0"/>
        <cfvo type="percentile" val="50"/>
        <cfvo type="max" val="0"/>
        <color rgb="FF63BE7B"/>
        <color rgb="FFFFEB84"/>
        <color rgb="FFF8696B"/>
      </colorScale>
    </cfRule>
  </conditionalFormatting>
  <conditionalFormatting sqref="B73:K73">
    <cfRule type="colorScale" priority="14">
      <colorScale>
        <cfvo type="min" val="0"/>
        <cfvo type="percentile" val="50"/>
        <cfvo type="max" val="0"/>
        <color rgb="FF63BE7B"/>
        <color rgb="FFFFEB84"/>
        <color rgb="FFF8696B"/>
      </colorScale>
    </cfRule>
  </conditionalFormatting>
  <conditionalFormatting sqref="B76:K76">
    <cfRule type="colorScale" priority="15">
      <colorScale>
        <cfvo type="min" val="0"/>
        <cfvo type="percentile" val="50"/>
        <cfvo type="max" val="0"/>
        <color rgb="FF63BE7B"/>
        <color rgb="FFFFEB84"/>
        <color rgb="FFF8696B"/>
      </colorScale>
    </cfRule>
  </conditionalFormatting>
  <conditionalFormatting sqref="B79:K79">
    <cfRule type="colorScale" priority="16">
      <colorScale>
        <cfvo type="min" val="0"/>
        <cfvo type="percentile" val="50"/>
        <cfvo type="max" val="0"/>
        <color rgb="FF63BE7B"/>
        <color rgb="FFFFEB84"/>
        <color rgb="FFF8696B"/>
      </colorScale>
    </cfRule>
  </conditionalFormatting>
  <conditionalFormatting sqref="B80:K80">
    <cfRule type="colorScale" priority="17">
      <colorScale>
        <cfvo type="min" val="0"/>
        <cfvo type="percentile" val="50"/>
        <cfvo type="max" val="0"/>
        <color rgb="FF63BE7B"/>
        <color rgb="FFFFEB84"/>
        <color rgb="FFF8696B"/>
      </colorScale>
    </cfRule>
  </conditionalFormatting>
  <conditionalFormatting sqref="B81:K81">
    <cfRule type="colorScale" priority="18">
      <colorScale>
        <cfvo type="min" val="0"/>
        <cfvo type="percentile" val="50"/>
        <cfvo type="max" val="0"/>
        <color rgb="FF63BE7B"/>
        <color rgb="FFFFEB84"/>
        <color rgb="FFF8696B"/>
      </colorScale>
    </cfRule>
  </conditionalFormatting>
  <conditionalFormatting sqref="B82:K82">
    <cfRule type="colorScale" priority="19">
      <colorScale>
        <cfvo type="min" val="0"/>
        <cfvo type="percentile" val="50"/>
        <cfvo type="max" val="0"/>
        <color rgb="FF63BE7B"/>
        <color rgb="FFFFEB84"/>
        <color rgb="FFF8696B"/>
      </colorScale>
    </cfRule>
  </conditionalFormatting>
  <conditionalFormatting sqref="B84:K84">
    <cfRule type="colorScale" priority="20">
      <colorScale>
        <cfvo type="min" val="0"/>
        <cfvo type="percentile" val="50"/>
        <cfvo type="max" val="0"/>
        <color rgb="FF63BE7B"/>
        <color rgb="FFFFEB84"/>
        <color rgb="FFF8696B"/>
      </colorScale>
    </cfRule>
  </conditionalFormatting>
  <conditionalFormatting sqref="B85:K85">
    <cfRule type="colorScale" priority="21">
      <colorScale>
        <cfvo type="min" val="0"/>
        <cfvo type="percentile" val="50"/>
        <cfvo type="max" val="0"/>
        <color rgb="FF63BE7B"/>
        <color rgb="FFFFEB84"/>
        <color rgb="FFF8696B"/>
      </colorScale>
    </cfRule>
  </conditionalFormatting>
  <conditionalFormatting sqref="B86:K86">
    <cfRule type="colorScale" priority="22">
      <colorScale>
        <cfvo type="min" val="0"/>
        <cfvo type="percentile" val="50"/>
        <cfvo type="max" val="0"/>
        <color rgb="FF63BE7B"/>
        <color rgb="FFFFEB84"/>
        <color rgb="FFF8696B"/>
      </colorScale>
    </cfRule>
  </conditionalFormatting>
  <conditionalFormatting sqref="B89:K89">
    <cfRule type="colorScale" priority="23">
      <colorScale>
        <cfvo type="min" val="0"/>
        <cfvo type="percentile" val="50"/>
        <cfvo type="max" val="0"/>
        <color rgb="FF63BE7B"/>
        <color rgb="FFFFEB84"/>
        <color rgb="FFF8696B"/>
      </colorScale>
    </cfRule>
  </conditionalFormatting>
  <conditionalFormatting sqref="B92:K92">
    <cfRule type="colorScale" priority="24">
      <colorScale>
        <cfvo type="min" val="0"/>
        <cfvo type="percentile" val="50"/>
        <cfvo type="max" val="0"/>
        <color rgb="FF63BE7B"/>
        <color rgb="FFFFEB84"/>
        <color rgb="FFF8696B"/>
      </colorScale>
    </cfRule>
  </conditionalFormatting>
  <conditionalFormatting sqref="B95:K95">
    <cfRule type="colorScale" priority="25">
      <colorScale>
        <cfvo type="min" val="0"/>
        <cfvo type="percentile" val="50"/>
        <cfvo type="max" val="0"/>
        <color rgb="FF63BE7B"/>
        <color rgb="FFFFEB84"/>
        <color rgb="FFF8696B"/>
      </colorScale>
    </cfRule>
  </conditionalFormatting>
  <conditionalFormatting sqref="B96:K96">
    <cfRule type="colorScale" priority="26">
      <colorScale>
        <cfvo type="min" val="0"/>
        <cfvo type="percentile" val="50"/>
        <cfvo type="max" val="0"/>
        <color rgb="FF63BE7B"/>
        <color rgb="FFFFEB84"/>
        <color rgb="FFF8696B"/>
      </colorScale>
    </cfRule>
  </conditionalFormatting>
  <conditionalFormatting sqref="B97:K97">
    <cfRule type="colorScale" priority="27">
      <colorScale>
        <cfvo type="min" val="0"/>
        <cfvo type="percentile" val="50"/>
        <cfvo type="max" val="0"/>
        <color rgb="FF63BE7B"/>
        <color rgb="FFFFEB84"/>
        <color rgb="FFF8696B"/>
      </colorScale>
    </cfRule>
  </conditionalFormatting>
  <conditionalFormatting sqref="B98:K98">
    <cfRule type="colorScale" priority="28">
      <colorScale>
        <cfvo type="min" val="0"/>
        <cfvo type="percentile" val="50"/>
        <cfvo type="max" val="0"/>
        <color rgb="FF63BE7B"/>
        <color rgb="FFFFEB84"/>
        <color rgb="FFF8696B"/>
      </colorScale>
    </cfRule>
  </conditionalFormatting>
  <conditionalFormatting sqref="B31:M33">
    <cfRule type="colorScale" priority="29">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44" width="6"/>
    <col collapsed="false" customWidth="true" hidden="false" outlineLevel="0" max="2" min="2" style="44" width="52"/>
    <col collapsed="false" customWidth="true" hidden="false" outlineLevel="0" max="11" min="3" style="44" width="11"/>
    <col collapsed="false" customWidth="true" hidden="false" outlineLevel="0" max="12" min="12" style="44" width="70"/>
  </cols>
  <sheetData>
    <row r="1" customFormat="false" ht="17.35" hidden="false" customHeight="false" outlineLevel="0" collapsed="false">
      <c r="A1" s="45" t="s">
        <v>61</v>
      </c>
      <c r="B1" s="46"/>
      <c r="C1" s="46"/>
      <c r="D1" s="46"/>
      <c r="E1" s="46"/>
      <c r="F1" s="46"/>
      <c r="G1" s="46"/>
      <c r="H1" s="46"/>
      <c r="I1" s="46"/>
      <c r="J1" s="46"/>
      <c r="K1" s="46"/>
      <c r="L1" s="46"/>
    </row>
    <row r="2" customFormat="false" ht="30" hidden="false" customHeight="true" outlineLevel="0" collapsed="false">
      <c r="A2" s="47" t="s">
        <v>62</v>
      </c>
      <c r="B2" s="47"/>
      <c r="C2" s="47"/>
      <c r="D2" s="47"/>
      <c r="E2" s="47"/>
      <c r="F2" s="47"/>
      <c r="G2" s="47"/>
      <c r="H2" s="47"/>
      <c r="I2" s="47"/>
      <c r="J2" s="47"/>
      <c r="K2" s="47"/>
      <c r="L2" s="47"/>
    </row>
    <row r="3" customFormat="false" ht="15" hidden="false" customHeight="false" outlineLevel="0" collapsed="false">
      <c r="A3" s="46"/>
      <c r="B3" s="46"/>
      <c r="C3" s="46"/>
      <c r="D3" s="46"/>
      <c r="E3" s="46"/>
      <c r="F3" s="46"/>
      <c r="G3" s="46"/>
      <c r="H3" s="46"/>
      <c r="I3" s="46"/>
      <c r="J3" s="46"/>
      <c r="K3" s="46"/>
      <c r="L3" s="46"/>
    </row>
    <row r="4" customFormat="false" ht="28.35" hidden="false" customHeight="false" outlineLevel="0" collapsed="false">
      <c r="A4" s="48" t="s">
        <v>63</v>
      </c>
      <c r="B4" s="49"/>
      <c r="C4" s="50" t="s">
        <v>64</v>
      </c>
      <c r="D4" s="50" t="s">
        <v>65</v>
      </c>
      <c r="E4" s="50" t="s">
        <v>4</v>
      </c>
      <c r="F4" s="50" t="s">
        <v>5</v>
      </c>
      <c r="G4" s="50" t="s">
        <v>6</v>
      </c>
      <c r="H4" s="50" t="s">
        <v>7</v>
      </c>
      <c r="I4" s="50" t="s">
        <v>8</v>
      </c>
      <c r="J4" s="50" t="s">
        <v>66</v>
      </c>
      <c r="K4" s="50" t="s">
        <v>11</v>
      </c>
      <c r="L4" s="50" t="s">
        <v>67</v>
      </c>
    </row>
    <row r="5" customFormat="false" ht="45" hidden="false" customHeight="true" outlineLevel="0" collapsed="false">
      <c r="A5" s="51" t="s">
        <v>68</v>
      </c>
      <c r="B5" s="51" t="s">
        <v>69</v>
      </c>
      <c r="C5" s="52" t="n">
        <v>121.8</v>
      </c>
      <c r="D5" s="52" t="n">
        <v>157.3</v>
      </c>
      <c r="E5" s="52" t="n">
        <v>154.1</v>
      </c>
      <c r="F5" s="52" t="n">
        <v>161.2</v>
      </c>
      <c r="G5" s="52" t="n">
        <v>143.9</v>
      </c>
      <c r="H5" s="52" t="n">
        <v>152.7</v>
      </c>
      <c r="I5" s="52" t="n">
        <v>219.9</v>
      </c>
      <c r="J5" s="52" t="n">
        <v>145.5</v>
      </c>
      <c r="K5" s="53" t="n">
        <f aca="false">SUM(C5:J5)</f>
        <v>1256.4</v>
      </c>
      <c r="L5" s="54" t="s">
        <v>70</v>
      </c>
    </row>
    <row r="6" customFormat="false" ht="45" hidden="false" customHeight="true" outlineLevel="0" collapsed="false">
      <c r="A6" s="51" t="s">
        <v>71</v>
      </c>
      <c r="B6" s="51" t="s">
        <v>72</v>
      </c>
      <c r="C6" s="52" t="n">
        <v>114.2</v>
      </c>
      <c r="D6" s="52" t="n">
        <v>118.1</v>
      </c>
      <c r="E6" s="52" t="n">
        <v>126</v>
      </c>
      <c r="F6" s="52" t="n">
        <v>128.8</v>
      </c>
      <c r="G6" s="52" t="n">
        <v>107</v>
      </c>
      <c r="H6" s="52" t="n">
        <v>123.6</v>
      </c>
      <c r="I6" s="52" t="n">
        <v>191.7</v>
      </c>
      <c r="J6" s="52" t="n">
        <v>142.8</v>
      </c>
      <c r="K6" s="53" t="n">
        <f aca="false">SUM(C6:J6)</f>
        <v>1052.2</v>
      </c>
      <c r="L6" s="54" t="s">
        <v>73</v>
      </c>
    </row>
    <row r="7" customFormat="false" ht="45" hidden="false" customHeight="true" outlineLevel="0" collapsed="false">
      <c r="A7" s="51" t="s">
        <v>74</v>
      </c>
      <c r="B7" s="51" t="s">
        <v>75</v>
      </c>
      <c r="C7" s="52" t="n">
        <v>0</v>
      </c>
      <c r="D7" s="52" t="n">
        <v>0</v>
      </c>
      <c r="E7" s="52" t="n">
        <v>0</v>
      </c>
      <c r="F7" s="52" t="n">
        <v>94.6</v>
      </c>
      <c r="G7" s="52" t="n">
        <v>108.5</v>
      </c>
      <c r="H7" s="52" t="n">
        <v>72.7</v>
      </c>
      <c r="I7" s="52" t="n">
        <v>0</v>
      </c>
      <c r="J7" s="52" t="n">
        <v>0</v>
      </c>
      <c r="K7" s="53" t="n">
        <f aca="false">SUM(C7:J7)</f>
        <v>275.8</v>
      </c>
      <c r="L7" s="54" t="s">
        <v>76</v>
      </c>
    </row>
    <row r="8" customFormat="false" ht="45" hidden="false" customHeight="true" outlineLevel="0" collapsed="false">
      <c r="A8" s="51" t="s">
        <v>77</v>
      </c>
      <c r="B8" s="51" t="s">
        <v>78</v>
      </c>
      <c r="C8" s="52" t="n">
        <v>0</v>
      </c>
      <c r="D8" s="52" t="n">
        <v>8.5</v>
      </c>
      <c r="E8" s="52" t="n">
        <v>9.8</v>
      </c>
      <c r="F8" s="52" t="n">
        <v>5.6</v>
      </c>
      <c r="G8" s="52" t="n">
        <v>9.8</v>
      </c>
      <c r="H8" s="52" t="n">
        <v>28.4</v>
      </c>
      <c r="I8" s="52" t="n">
        <v>6.4</v>
      </c>
      <c r="J8" s="52" t="n">
        <v>0</v>
      </c>
      <c r="K8" s="53" t="n">
        <f aca="false">SUM(C8:J8)</f>
        <v>68.5</v>
      </c>
      <c r="L8" s="54" t="s">
        <v>79</v>
      </c>
    </row>
    <row r="9" customFormat="false" ht="15" hidden="false" customHeight="false" outlineLevel="0" collapsed="false">
      <c r="A9" s="46"/>
      <c r="B9" s="46"/>
      <c r="C9" s="46"/>
      <c r="D9" s="46"/>
      <c r="E9" s="46"/>
      <c r="F9" s="46"/>
      <c r="G9" s="46"/>
      <c r="H9" s="46"/>
      <c r="I9" s="46"/>
      <c r="J9" s="46"/>
      <c r="K9" s="46"/>
      <c r="L9" s="46"/>
    </row>
    <row r="10" customFormat="false" ht="28.35" hidden="false" customHeight="false" outlineLevel="0" collapsed="false">
      <c r="A10" s="48" t="s">
        <v>80</v>
      </c>
      <c r="B10" s="49"/>
      <c r="C10" s="50" t="s">
        <v>64</v>
      </c>
      <c r="D10" s="50" t="s">
        <v>65</v>
      </c>
      <c r="E10" s="50" t="s">
        <v>4</v>
      </c>
      <c r="F10" s="50" t="s">
        <v>5</v>
      </c>
      <c r="G10" s="50" t="s">
        <v>6</v>
      </c>
      <c r="H10" s="50" t="s">
        <v>7</v>
      </c>
      <c r="I10" s="50" t="s">
        <v>8</v>
      </c>
      <c r="J10" s="50" t="s">
        <v>66</v>
      </c>
      <c r="K10" s="50" t="s">
        <v>11</v>
      </c>
      <c r="L10" s="50" t="s">
        <v>67</v>
      </c>
    </row>
    <row r="11" customFormat="false" ht="45" hidden="false" customHeight="true" outlineLevel="0" collapsed="false">
      <c r="A11" s="51" t="s">
        <v>81</v>
      </c>
      <c r="B11" s="51" t="s">
        <v>82</v>
      </c>
      <c r="C11" s="52" t="n">
        <v>1373.7</v>
      </c>
      <c r="D11" s="52" t="n">
        <v>0</v>
      </c>
      <c r="E11" s="52" t="n">
        <v>2.2</v>
      </c>
      <c r="F11" s="52" t="n">
        <v>1.2</v>
      </c>
      <c r="G11" s="52" t="n">
        <v>0</v>
      </c>
      <c r="H11" s="52" t="n">
        <v>8.7</v>
      </c>
      <c r="I11" s="52" t="n">
        <v>32.9</v>
      </c>
      <c r="J11" s="52" t="n">
        <v>17.7</v>
      </c>
      <c r="K11" s="53" t="n">
        <f aca="false">SUM(C11:J11)</f>
        <v>1436.4</v>
      </c>
      <c r="L11" s="54" t="s">
        <v>83</v>
      </c>
    </row>
    <row r="12" customFormat="false" ht="45" hidden="false" customHeight="true" outlineLevel="0" collapsed="false">
      <c r="A12" s="51" t="s">
        <v>84</v>
      </c>
      <c r="B12" s="51" t="s">
        <v>85</v>
      </c>
      <c r="C12" s="52" t="n">
        <v>0</v>
      </c>
      <c r="D12" s="52" t="n">
        <v>109.4</v>
      </c>
      <c r="E12" s="52" t="n">
        <v>40.3</v>
      </c>
      <c r="F12" s="52" t="n">
        <v>57.3</v>
      </c>
      <c r="G12" s="52" t="n">
        <v>40.5</v>
      </c>
      <c r="H12" s="52" t="n">
        <v>53.4</v>
      </c>
      <c r="I12" s="52" t="n">
        <v>419.1</v>
      </c>
      <c r="J12" s="52" t="n">
        <v>0</v>
      </c>
      <c r="K12" s="53" t="n">
        <f aca="false">SUM(C12:J12)</f>
        <v>720</v>
      </c>
      <c r="L12" s="54" t="s">
        <v>86</v>
      </c>
    </row>
    <row r="13" customFormat="false" ht="45" hidden="false" customHeight="true" outlineLevel="0" collapsed="false">
      <c r="A13" s="51" t="s">
        <v>87</v>
      </c>
      <c r="B13" s="51" t="s">
        <v>88</v>
      </c>
      <c r="C13" s="52" t="n">
        <v>0</v>
      </c>
      <c r="D13" s="52" t="n">
        <v>0</v>
      </c>
      <c r="E13" s="52" t="n">
        <v>0</v>
      </c>
      <c r="F13" s="52" t="n">
        <v>0</v>
      </c>
      <c r="G13" s="52" t="n">
        <v>0</v>
      </c>
      <c r="H13" s="52" t="n">
        <v>0</v>
      </c>
      <c r="I13" s="52" t="n">
        <v>47.3</v>
      </c>
      <c r="J13" s="52" t="n">
        <v>0</v>
      </c>
      <c r="K13" s="53" t="n">
        <f aca="false">SUM(C13:J13)</f>
        <v>47.3</v>
      </c>
      <c r="L13" s="54" t="s">
        <v>89</v>
      </c>
    </row>
    <row r="14" customFormat="false" ht="45" hidden="false" customHeight="true" outlineLevel="0" collapsed="false">
      <c r="A14" s="51" t="s">
        <v>90</v>
      </c>
      <c r="B14" s="51" t="s">
        <v>91</v>
      </c>
      <c r="C14" s="52" t="n">
        <v>15.7</v>
      </c>
      <c r="D14" s="52" t="n">
        <v>32.8</v>
      </c>
      <c r="E14" s="52" t="n">
        <v>32.7</v>
      </c>
      <c r="F14" s="52" t="n">
        <v>32.7</v>
      </c>
      <c r="G14" s="52" t="n">
        <v>32.7</v>
      </c>
      <c r="H14" s="52" t="n">
        <v>32.8</v>
      </c>
      <c r="I14" s="52" t="n">
        <v>45.5</v>
      </c>
      <c r="J14" s="52" t="n">
        <v>0</v>
      </c>
      <c r="K14" s="53" t="n">
        <f aca="false">SUM(C14:J14)</f>
        <v>224.9</v>
      </c>
      <c r="L14" s="54" t="s">
        <v>92</v>
      </c>
    </row>
    <row r="15" customFormat="false" ht="45" hidden="false" customHeight="true" outlineLevel="0" collapsed="false">
      <c r="A15" s="51" t="s">
        <v>93</v>
      </c>
      <c r="B15" s="51" t="s">
        <v>94</v>
      </c>
      <c r="C15" s="52" t="n">
        <v>0</v>
      </c>
      <c r="D15" s="52" t="n">
        <v>11.6</v>
      </c>
      <c r="E15" s="52" t="n">
        <v>0</v>
      </c>
      <c r="F15" s="52" t="n">
        <v>0</v>
      </c>
      <c r="G15" s="52" t="n">
        <v>0</v>
      </c>
      <c r="H15" s="52" t="n">
        <v>0</v>
      </c>
      <c r="I15" s="52" t="n">
        <v>0</v>
      </c>
      <c r="J15" s="52" t="n">
        <v>0</v>
      </c>
      <c r="K15" s="53" t="n">
        <f aca="false">SUM(C15:J15)</f>
        <v>11.6</v>
      </c>
      <c r="L15" s="54" t="s">
        <v>95</v>
      </c>
    </row>
    <row r="16" customFormat="false" ht="45" hidden="false" customHeight="true" outlineLevel="0" collapsed="false">
      <c r="A16" s="51" t="s">
        <v>96</v>
      </c>
      <c r="B16" s="51" t="s">
        <v>97</v>
      </c>
      <c r="C16" s="52" t="n">
        <v>0</v>
      </c>
      <c r="D16" s="52" t="n">
        <v>179.6</v>
      </c>
      <c r="E16" s="52" t="n">
        <v>417.5</v>
      </c>
      <c r="F16" s="52" t="n">
        <v>418.6</v>
      </c>
      <c r="G16" s="52" t="n">
        <v>418.5</v>
      </c>
      <c r="H16" s="52" t="n">
        <v>415.4</v>
      </c>
      <c r="I16" s="52" t="n">
        <v>0</v>
      </c>
      <c r="J16" s="52" t="n">
        <v>0</v>
      </c>
      <c r="K16" s="53" t="n">
        <f aca="false">SUM(C16:J16)</f>
        <v>1849.6</v>
      </c>
      <c r="L16" s="54" t="s">
        <v>98</v>
      </c>
    </row>
    <row r="17" customFormat="false" ht="45" hidden="false" customHeight="true" outlineLevel="0" collapsed="false">
      <c r="A17" s="51" t="s">
        <v>99</v>
      </c>
      <c r="B17" s="51" t="s">
        <v>100</v>
      </c>
      <c r="C17" s="52" t="n">
        <v>0</v>
      </c>
      <c r="D17" s="52" t="n">
        <v>317.5</v>
      </c>
      <c r="E17" s="52" t="n">
        <v>0</v>
      </c>
      <c r="F17" s="52" t="n">
        <v>0</v>
      </c>
      <c r="G17" s="52" t="n">
        <v>0</v>
      </c>
      <c r="H17" s="52" t="n">
        <v>0</v>
      </c>
      <c r="I17" s="52" t="n">
        <v>0</v>
      </c>
      <c r="J17" s="52" t="n">
        <v>0</v>
      </c>
      <c r="K17" s="53" t="n">
        <f aca="false">SUM(C17:J17)</f>
        <v>317.5</v>
      </c>
      <c r="L17" s="54" t="s">
        <v>101</v>
      </c>
    </row>
    <row r="18" customFormat="false" ht="15" hidden="false" customHeight="false" outlineLevel="0" collapsed="false">
      <c r="A18" s="51"/>
      <c r="B18" s="55" t="s">
        <v>11</v>
      </c>
      <c r="C18" s="53" t="n">
        <f aca="false">SUM(C11:C17)</f>
        <v>1389.4</v>
      </c>
      <c r="D18" s="53" t="n">
        <f aca="false">SUM(D11:D17)</f>
        <v>650.9</v>
      </c>
      <c r="E18" s="53" t="n">
        <f aca="false">SUM(E11:E17)</f>
        <v>492.7</v>
      </c>
      <c r="F18" s="53" t="n">
        <f aca="false">SUM(F11:F17)</f>
        <v>509.8</v>
      </c>
      <c r="G18" s="53" t="n">
        <f aca="false">SUM(G11:G17)</f>
        <v>491.7</v>
      </c>
      <c r="H18" s="53" t="n">
        <f aca="false">SUM(H11:H17)</f>
        <v>510.3</v>
      </c>
      <c r="I18" s="53" t="n">
        <f aca="false">SUM(I11:I17)</f>
        <v>544.8</v>
      </c>
      <c r="J18" s="53" t="n">
        <f aca="false">SUM(J11:J17)</f>
        <v>17.7</v>
      </c>
      <c r="K18" s="53" t="n">
        <f aca="false">SUM(K11:K17)</f>
        <v>4607.3</v>
      </c>
      <c r="L18" s="51"/>
    </row>
    <row r="19" customFormat="false" ht="15" hidden="false" customHeight="false" outlineLevel="0" collapsed="false">
      <c r="A19" s="46"/>
      <c r="B19" s="46"/>
      <c r="C19" s="46"/>
      <c r="D19" s="46"/>
      <c r="E19" s="46"/>
      <c r="F19" s="46"/>
      <c r="G19" s="46"/>
      <c r="H19" s="46"/>
      <c r="I19" s="46"/>
      <c r="J19" s="46"/>
      <c r="K19" s="46"/>
      <c r="L19" s="46"/>
    </row>
    <row r="20" customFormat="false" ht="15" hidden="false" customHeight="false" outlineLevel="0" collapsed="false">
      <c r="A20" s="48" t="s">
        <v>102</v>
      </c>
      <c r="B20" s="49"/>
      <c r="C20" s="49"/>
      <c r="D20" s="49"/>
      <c r="E20" s="49"/>
      <c r="F20" s="49"/>
      <c r="G20" s="49"/>
      <c r="H20" s="49"/>
      <c r="I20" s="49"/>
      <c r="J20" s="49"/>
      <c r="K20" s="49"/>
      <c r="L20" s="49"/>
    </row>
    <row r="21" customFormat="false" ht="48" hidden="false" customHeight="true" outlineLevel="0" collapsed="false">
      <c r="A21" s="56" t="n">
        <v>1</v>
      </c>
      <c r="B21" s="57" t="s">
        <v>103</v>
      </c>
      <c r="C21" s="57"/>
      <c r="D21" s="57"/>
      <c r="E21" s="57"/>
      <c r="F21" s="57"/>
      <c r="G21" s="57"/>
      <c r="H21" s="57"/>
      <c r="I21" s="57"/>
      <c r="J21" s="57"/>
      <c r="K21" s="57"/>
      <c r="L21" s="57"/>
    </row>
    <row r="22" customFormat="false" ht="48" hidden="false" customHeight="true" outlineLevel="0" collapsed="false">
      <c r="A22" s="56" t="n">
        <v>2</v>
      </c>
      <c r="B22" s="57" t="s">
        <v>104</v>
      </c>
      <c r="C22" s="57"/>
      <c r="D22" s="57"/>
      <c r="E22" s="57"/>
      <c r="F22" s="57"/>
      <c r="G22" s="57"/>
      <c r="H22" s="57"/>
      <c r="I22" s="57"/>
      <c r="J22" s="57"/>
      <c r="K22" s="57"/>
      <c r="L22" s="57"/>
    </row>
    <row r="23" customFormat="false" ht="48" hidden="false" customHeight="true" outlineLevel="0" collapsed="false">
      <c r="A23" s="56" t="n">
        <v>3</v>
      </c>
      <c r="B23" s="57" t="s">
        <v>105</v>
      </c>
      <c r="C23" s="57"/>
      <c r="D23" s="57"/>
      <c r="E23" s="57"/>
      <c r="F23" s="57"/>
      <c r="G23" s="57"/>
      <c r="H23" s="57"/>
      <c r="I23" s="57"/>
      <c r="J23" s="57"/>
      <c r="K23" s="57"/>
      <c r="L23" s="57"/>
    </row>
    <row r="24" customFormat="false" ht="48" hidden="false" customHeight="true" outlineLevel="0" collapsed="false">
      <c r="A24" s="56" t="n">
        <v>4</v>
      </c>
      <c r="B24" s="57" t="s">
        <v>106</v>
      </c>
      <c r="C24" s="57"/>
      <c r="D24" s="57"/>
      <c r="E24" s="57"/>
      <c r="F24" s="57"/>
      <c r="G24" s="57"/>
      <c r="H24" s="57"/>
      <c r="I24" s="57"/>
      <c r="J24" s="57"/>
      <c r="K24" s="57"/>
      <c r="L24" s="57"/>
    </row>
    <row r="25" customFormat="false" ht="48" hidden="false" customHeight="true" outlineLevel="0" collapsed="false">
      <c r="A25" s="56" t="n">
        <v>5</v>
      </c>
      <c r="B25" s="57" t="s">
        <v>107</v>
      </c>
      <c r="C25" s="57"/>
      <c r="D25" s="57"/>
      <c r="E25" s="57"/>
      <c r="F25" s="57"/>
      <c r="G25" s="57"/>
      <c r="H25" s="57"/>
      <c r="I25" s="57"/>
      <c r="J25" s="57"/>
      <c r="K25" s="57"/>
      <c r="L25" s="57"/>
    </row>
    <row r="26" customFormat="false" ht="48" hidden="false" customHeight="true" outlineLevel="0" collapsed="false">
      <c r="A26" s="56" t="n">
        <v>6</v>
      </c>
      <c r="B26" s="57" t="s">
        <v>108</v>
      </c>
      <c r="C26" s="57"/>
      <c r="D26" s="57"/>
      <c r="E26" s="57"/>
      <c r="F26" s="57"/>
      <c r="G26" s="57"/>
      <c r="H26" s="57"/>
      <c r="I26" s="57"/>
      <c r="J26" s="57"/>
      <c r="K26" s="57"/>
      <c r="L26" s="57"/>
    </row>
    <row r="27" customFormat="false" ht="48" hidden="false" customHeight="true" outlineLevel="0" collapsed="false">
      <c r="A27" s="56" t="n">
        <v>7</v>
      </c>
      <c r="B27" s="57" t="s">
        <v>109</v>
      </c>
      <c r="C27" s="57"/>
      <c r="D27" s="57"/>
      <c r="E27" s="57"/>
      <c r="F27" s="57"/>
      <c r="G27" s="57"/>
      <c r="H27" s="57"/>
      <c r="I27" s="57"/>
      <c r="J27" s="57"/>
      <c r="K27" s="57"/>
      <c r="L27" s="57"/>
    </row>
    <row r="28" customFormat="false" ht="48" hidden="false" customHeight="true" outlineLevel="0" collapsed="false">
      <c r="A28" s="56" t="n">
        <v>8</v>
      </c>
      <c r="B28" s="57" t="s">
        <v>110</v>
      </c>
      <c r="C28" s="57"/>
      <c r="D28" s="57"/>
      <c r="E28" s="57"/>
      <c r="F28" s="57"/>
      <c r="G28" s="57"/>
      <c r="H28" s="57"/>
      <c r="I28" s="57"/>
      <c r="J28" s="57"/>
      <c r="K28" s="57"/>
      <c r="L28" s="57"/>
    </row>
    <row r="29" customFormat="false" ht="48" hidden="false" customHeight="true" outlineLevel="0" collapsed="false">
      <c r="A29" s="56" t="n">
        <v>9</v>
      </c>
      <c r="B29" s="57" t="s">
        <v>111</v>
      </c>
      <c r="C29" s="57"/>
      <c r="D29" s="57"/>
      <c r="E29" s="57"/>
      <c r="F29" s="57"/>
      <c r="G29" s="57"/>
      <c r="H29" s="57"/>
      <c r="I29" s="57"/>
      <c r="J29" s="57"/>
      <c r="K29" s="57"/>
      <c r="L29" s="57"/>
    </row>
    <row r="30" customFormat="false" ht="48" hidden="false" customHeight="true" outlineLevel="0" collapsed="false">
      <c r="A30" s="56" t="n">
        <v>10</v>
      </c>
      <c r="B30" s="57" t="s">
        <v>112</v>
      </c>
      <c r="C30" s="57"/>
      <c r="D30" s="57"/>
      <c r="E30" s="57"/>
      <c r="F30" s="57"/>
      <c r="G30" s="57"/>
      <c r="H30" s="57"/>
      <c r="I30" s="57"/>
      <c r="J30" s="57"/>
      <c r="K30" s="57"/>
      <c r="L30" s="57"/>
    </row>
    <row r="31" customFormat="false" ht="48" hidden="false" customHeight="true" outlineLevel="0" collapsed="false">
      <c r="A31" s="56" t="n">
        <v>11</v>
      </c>
      <c r="B31" s="57" t="s">
        <v>113</v>
      </c>
      <c r="C31" s="57"/>
      <c r="D31" s="57"/>
      <c r="E31" s="57"/>
      <c r="F31" s="57"/>
      <c r="G31" s="57"/>
      <c r="H31" s="57"/>
      <c r="I31" s="57"/>
      <c r="J31" s="57"/>
      <c r="K31" s="57"/>
      <c r="L31" s="57"/>
    </row>
    <row r="32" customFormat="false" ht="48" hidden="false" customHeight="true" outlineLevel="0" collapsed="false">
      <c r="A32" s="56" t="n">
        <v>12</v>
      </c>
      <c r="B32" s="57" t="s">
        <v>114</v>
      </c>
      <c r="C32" s="57"/>
      <c r="D32" s="57"/>
      <c r="E32" s="57"/>
      <c r="F32" s="57"/>
      <c r="G32" s="57"/>
      <c r="H32" s="57"/>
      <c r="I32" s="57"/>
      <c r="J32" s="57"/>
      <c r="K32" s="57"/>
      <c r="L32" s="57"/>
    </row>
    <row r="33" customFormat="false" ht="48" hidden="false" customHeight="true" outlineLevel="0" collapsed="false">
      <c r="A33" s="56" t="n">
        <v>13</v>
      </c>
      <c r="B33" s="57" t="s">
        <v>115</v>
      </c>
      <c r="C33" s="57"/>
      <c r="D33" s="57"/>
      <c r="E33" s="57"/>
      <c r="F33" s="57"/>
      <c r="G33" s="57"/>
      <c r="H33" s="57"/>
      <c r="I33" s="57"/>
      <c r="J33" s="57"/>
      <c r="K33" s="57"/>
      <c r="L33" s="57"/>
    </row>
  </sheetData>
  <mergeCells count="14">
    <mergeCell ref="A2:L2"/>
    <mergeCell ref="B21:L21"/>
    <mergeCell ref="B22:L22"/>
    <mergeCell ref="B23:L23"/>
    <mergeCell ref="B24:L24"/>
    <mergeCell ref="B25:L25"/>
    <mergeCell ref="B26:L26"/>
    <mergeCell ref="B27:L27"/>
    <mergeCell ref="B28:L28"/>
    <mergeCell ref="B29:L29"/>
    <mergeCell ref="B30:L30"/>
    <mergeCell ref="B31:L31"/>
    <mergeCell ref="B32:L32"/>
    <mergeCell ref="B33:L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3.5" zeroHeight="false" outlineLevelRow="0" outlineLevelCol="0"/>
  <cols>
    <col collapsed="false" customWidth="true" hidden="false" outlineLevel="0" max="1" min="1" style="44" width="8.3"/>
    <col collapsed="false" customWidth="true" hidden="false" outlineLevel="0" max="2" min="2" style="44" width="40"/>
    <col collapsed="false" customWidth="true" hidden="false" outlineLevel="0" max="11" min="3" style="44" width="12"/>
    <col collapsed="false" customWidth="true" hidden="false" outlineLevel="0" max="12" min="12" style="44" width="7"/>
  </cols>
  <sheetData>
    <row r="1" customFormat="false" ht="21.75" hidden="false" customHeight="true" outlineLevel="0" collapsed="false">
      <c r="A1" s="58" t="s">
        <v>116</v>
      </c>
      <c r="B1" s="58"/>
      <c r="C1" s="58"/>
      <c r="D1" s="58"/>
      <c r="E1" s="58"/>
      <c r="F1" s="58"/>
      <c r="G1" s="58"/>
      <c r="H1" s="58"/>
      <c r="I1" s="58"/>
      <c r="J1" s="58"/>
      <c r="K1" s="58"/>
    </row>
    <row r="3" customFormat="false" ht="31.5" hidden="false" customHeight="true" outlineLevel="0" collapsed="false">
      <c r="A3" s="59" t="s">
        <v>117</v>
      </c>
      <c r="B3" s="59" t="s">
        <v>118</v>
      </c>
      <c r="C3" s="59" t="s">
        <v>64</v>
      </c>
      <c r="D3" s="59" t="s">
        <v>65</v>
      </c>
      <c r="E3" s="59" t="s">
        <v>4</v>
      </c>
      <c r="F3" s="59" t="s">
        <v>5</v>
      </c>
      <c r="G3" s="59" t="s">
        <v>6</v>
      </c>
      <c r="H3" s="59" t="s">
        <v>7</v>
      </c>
      <c r="I3" s="59" t="s">
        <v>8</v>
      </c>
      <c r="J3" s="59" t="s">
        <v>11</v>
      </c>
      <c r="K3" s="59" t="s">
        <v>119</v>
      </c>
    </row>
    <row r="4" customFormat="false" ht="13.5" hidden="false" customHeight="false" outlineLevel="0" collapsed="false">
      <c r="A4" s="60" t="s">
        <v>81</v>
      </c>
      <c r="B4" s="61" t="s">
        <v>82</v>
      </c>
      <c r="C4" s="62" t="n">
        <f aca="false">'BASEMENT CEILING LAYOUT'!E16</f>
        <v>36.4</v>
      </c>
      <c r="D4" s="62" t="n">
        <f aca="false">'GROUND FLOOR CEILING LAYOUT'!E16</f>
        <v>1470.7</v>
      </c>
      <c r="E4" s="62" t="n">
        <f aca="false">'FIRST FLOOR CEILING LAYOUT '!E21</f>
        <v>33.8</v>
      </c>
      <c r="F4" s="62" t="n">
        <f aca="false">'SECOND FLOOR CEILING LAYOUT '!E21</f>
        <v>38.5</v>
      </c>
      <c r="G4" s="62" t="n">
        <f aca="false">'THIRD FLOOR CEILING LAYOUT '!E21</f>
        <v>36.4</v>
      </c>
      <c r="H4" s="62" t="n">
        <f aca="false">'FOURTH FLOOR CEILING LAYOUT  '!E21</f>
        <v>38.9</v>
      </c>
      <c r="I4" s="62" t="n">
        <f aca="false">'FIFTH FLOOR CEILING LAYOUT'!E40</f>
        <v>0</v>
      </c>
      <c r="J4" s="63" t="n">
        <f aca="false">SUM(C4:I4)</f>
        <v>1654.7</v>
      </c>
      <c r="K4" s="64" t="s">
        <v>18</v>
      </c>
    </row>
    <row r="5" customFormat="false" ht="13.5" hidden="false" customHeight="false" outlineLevel="0" collapsed="false">
      <c r="A5" s="60" t="s">
        <v>84</v>
      </c>
      <c r="B5" s="61" t="s">
        <v>85</v>
      </c>
      <c r="C5" s="62" t="n">
        <f aca="false">'BASEMENT CEILING LAYOUT'!K16</f>
        <v>126</v>
      </c>
      <c r="D5" s="62" t="n">
        <f aca="false">'GROUND FLOOR CEILING LAYOUT'!K16</f>
        <v>0</v>
      </c>
      <c r="E5" s="62" t="n">
        <f aca="false">'FIRST FLOOR CEILING LAYOUT '!K21</f>
        <v>41.5</v>
      </c>
      <c r="F5" s="62" t="n">
        <f aca="false">'SECOND FLOOR CEILING LAYOUT '!K21</f>
        <v>53.4</v>
      </c>
      <c r="G5" s="62" t="n">
        <f aca="false">'THIRD FLOOR CEILING LAYOUT '!K21</f>
        <v>8.4</v>
      </c>
      <c r="H5" s="62" t="n">
        <f aca="false">'FOURTH FLOOR CEILING LAYOUT  '!K21</f>
        <v>48.5</v>
      </c>
      <c r="I5" s="62" t="n">
        <f aca="false">'FIFTH FLOOR CEILING LAYOUT'!K40</f>
        <v>480.1</v>
      </c>
      <c r="J5" s="63" t="n">
        <f aca="false">SUM(C5:I5)</f>
        <v>757.9</v>
      </c>
      <c r="K5" s="64" t="s">
        <v>18</v>
      </c>
    </row>
    <row r="6" customFormat="false" ht="13.5" hidden="false" customHeight="false" outlineLevel="0" collapsed="false">
      <c r="A6" s="60" t="s">
        <v>87</v>
      </c>
      <c r="B6" s="61" t="s">
        <v>88</v>
      </c>
      <c r="C6" s="62" t="n">
        <f aca="false">'BASEMENT CEILING LAYOUT'!Q16</f>
        <v>0</v>
      </c>
      <c r="D6" s="62" t="n">
        <f aca="false">'GROUND FLOOR CEILING LAYOUT'!Q16</f>
        <v>0</v>
      </c>
      <c r="E6" s="62" t="n">
        <f aca="false">'FIRST FLOOR CEILING LAYOUT '!Q21</f>
        <v>0</v>
      </c>
      <c r="F6" s="62" t="n">
        <f aca="false">'SECOND FLOOR CEILING LAYOUT '!Q21</f>
        <v>0</v>
      </c>
      <c r="G6" s="62" t="n">
        <f aca="false">'THIRD FLOOR CEILING LAYOUT '!Q21</f>
        <v>0</v>
      </c>
      <c r="H6" s="62" t="n">
        <f aca="false">'FOURTH FLOOR CEILING LAYOUT  '!Q21</f>
        <v>0</v>
      </c>
      <c r="I6" s="62" t="n">
        <f aca="false">'FIFTH FLOOR CEILING LAYOUT'!Q40</f>
        <v>48.2</v>
      </c>
      <c r="J6" s="63" t="n">
        <f aca="false">SUM(C6:I6)</f>
        <v>48.2</v>
      </c>
      <c r="K6" s="64" t="s">
        <v>18</v>
      </c>
    </row>
    <row r="7" customFormat="false" ht="13.5" hidden="false" customHeight="false" outlineLevel="0" collapsed="false">
      <c r="A7" s="60" t="s">
        <v>90</v>
      </c>
      <c r="B7" s="61" t="s">
        <v>91</v>
      </c>
      <c r="C7" s="62" t="n">
        <f aca="false">'BASEMENT CEILING LAYOUT'!W16</f>
        <v>32.8</v>
      </c>
      <c r="D7" s="62" t="n">
        <f aca="false">'GROUND FLOOR CEILING LAYOUT'!W16</f>
        <v>16.2</v>
      </c>
      <c r="E7" s="62" t="n">
        <f aca="false">'FIRST FLOOR CEILING LAYOUT '!W21</f>
        <v>31.6</v>
      </c>
      <c r="F7" s="62" t="n">
        <f aca="false">'SECOND FLOOR CEILING LAYOUT '!W21</f>
        <v>32.4</v>
      </c>
      <c r="G7" s="62" t="n">
        <f aca="false">'THIRD FLOOR CEILING LAYOUT '!W21</f>
        <v>32.9</v>
      </c>
      <c r="H7" s="62" t="n">
        <f aca="false">'FOURTH FLOOR CEILING LAYOUT  '!W21</f>
        <v>32.7</v>
      </c>
      <c r="I7" s="62" t="n">
        <f aca="false">'FIFTH FLOOR CEILING LAYOUT'!W40</f>
        <v>46.2</v>
      </c>
      <c r="J7" s="63" t="n">
        <f aca="false">SUM(C7:I7)</f>
        <v>224.8</v>
      </c>
      <c r="K7" s="64" t="s">
        <v>18</v>
      </c>
    </row>
    <row r="8" customFormat="false" ht="13.5" hidden="false" customHeight="false" outlineLevel="0" collapsed="false">
      <c r="A8" s="60" t="s">
        <v>93</v>
      </c>
      <c r="B8" s="61" t="s">
        <v>94</v>
      </c>
      <c r="C8" s="62" t="n">
        <f aca="false">'BASEMENT CEILING LAYOUT'!AC16</f>
        <v>0</v>
      </c>
      <c r="D8" s="62" t="n">
        <f aca="false">'GROUND FLOOR CEILING LAYOUT'!AC16</f>
        <v>0</v>
      </c>
      <c r="E8" s="62" t="n">
        <f aca="false">'FIRST FLOOR CEILING LAYOUT '!AC21</f>
        <v>0</v>
      </c>
      <c r="F8" s="62" t="n">
        <f aca="false">'SECOND FLOOR CEILING LAYOUT '!AC21</f>
        <v>0</v>
      </c>
      <c r="G8" s="62" t="n">
        <f aca="false">'THIRD FLOOR CEILING LAYOUT '!AC21</f>
        <v>0</v>
      </c>
      <c r="H8" s="62" t="n">
        <f aca="false">'FOURTH FLOOR CEILING LAYOUT  '!AC21</f>
        <v>0</v>
      </c>
      <c r="I8" s="62" t="n">
        <f aca="false">'FIFTH FLOOR CEILING LAYOUT'!AC40</f>
        <v>0</v>
      </c>
      <c r="J8" s="63" t="n">
        <f aca="false">SUM(C8:I8)</f>
        <v>0</v>
      </c>
      <c r="K8" s="64" t="s">
        <v>18</v>
      </c>
    </row>
    <row r="9" customFormat="false" ht="13.5" hidden="false" customHeight="false" outlineLevel="0" collapsed="false">
      <c r="A9" s="60" t="s">
        <v>96</v>
      </c>
      <c r="B9" s="61" t="s">
        <v>97</v>
      </c>
      <c r="C9" s="62" t="n">
        <f aca="false">'BASEMENT CEILING LAYOUT'!AI16</f>
        <v>215</v>
      </c>
      <c r="D9" s="62" t="n">
        <f aca="false">'GROUND FLOOR CEILING LAYOUT'!AI16</f>
        <v>0</v>
      </c>
      <c r="E9" s="62" t="n">
        <f aca="false">'FIRST FLOOR CEILING LAYOUT '!AI21</f>
        <v>415.2</v>
      </c>
      <c r="F9" s="62" t="n">
        <f aca="false">'SECOND FLOOR CEILING LAYOUT '!AI21</f>
        <v>420.1</v>
      </c>
      <c r="G9" s="62" t="n">
        <f aca="false">'THIRD FLOOR CEILING LAYOUT '!AI21</f>
        <v>424</v>
      </c>
      <c r="H9" s="62" t="n">
        <f aca="false">'FOURTH FLOOR CEILING LAYOUT  '!AI21</f>
        <v>411.9</v>
      </c>
      <c r="I9" s="62" t="n">
        <f aca="false">'FIFTH FLOOR CEILING LAYOUT'!AI40</f>
        <v>0</v>
      </c>
      <c r="J9" s="63" t="n">
        <f aca="false">SUM(C9:I9)</f>
        <v>1886.2</v>
      </c>
      <c r="K9" s="64" t="s">
        <v>18</v>
      </c>
    </row>
    <row r="10" customFormat="false" ht="13.5" hidden="false" customHeight="false" outlineLevel="0" collapsed="false">
      <c r="A10" s="60" t="s">
        <v>99</v>
      </c>
      <c r="B10" s="61" t="s">
        <v>120</v>
      </c>
      <c r="C10" s="62" t="n">
        <f aca="false">'BASEMENT CEILING LAYOUT'!AO16</f>
        <v>230</v>
      </c>
      <c r="D10" s="62" t="n">
        <f aca="false">'GROUND FLOOR CEILING LAYOUT'!AO16</f>
        <v>0</v>
      </c>
      <c r="E10" s="62" t="n">
        <f aca="false">'FIRST FLOOR CEILING LAYOUT '!AO21</f>
        <v>0</v>
      </c>
      <c r="F10" s="62" t="n">
        <f aca="false">'SECOND FLOOR CEILING LAYOUT '!AO21</f>
        <v>0</v>
      </c>
      <c r="G10" s="62" t="n">
        <f aca="false">'THIRD FLOOR CEILING LAYOUT '!AO21</f>
        <v>0</v>
      </c>
      <c r="H10" s="62" t="n">
        <f aca="false">'FOURTH FLOOR CEILING LAYOUT  '!AO21</f>
        <v>0</v>
      </c>
      <c r="I10" s="62" t="n">
        <f aca="false">'FIFTH FLOOR CEILING LAYOUT'!AO40</f>
        <v>0</v>
      </c>
      <c r="J10" s="63" t="n">
        <f aca="false">SUM(C10:I10)</f>
        <v>230</v>
      </c>
      <c r="K10" s="64" t="s">
        <v>18</v>
      </c>
    </row>
    <row r="11" customFormat="false" ht="13.5" hidden="false" customHeight="false" outlineLevel="0" collapsed="false">
      <c r="A11" s="65" t="s">
        <v>11</v>
      </c>
      <c r="B11" s="66"/>
      <c r="C11" s="67" t="n">
        <f aca="false">SUM(C4:C10)</f>
        <v>640.2</v>
      </c>
      <c r="D11" s="67" t="n">
        <f aca="false">SUM(D4:D10)</f>
        <v>1486.9</v>
      </c>
      <c r="E11" s="67" t="n">
        <f aca="false">SUM(E4:E10)</f>
        <v>522.1</v>
      </c>
      <c r="F11" s="67" t="n">
        <f aca="false">SUM(F4:F10)</f>
        <v>544.4</v>
      </c>
      <c r="G11" s="67" t="n">
        <f aca="false">SUM(G4:G10)</f>
        <v>501.7</v>
      </c>
      <c r="H11" s="67" t="n">
        <f aca="false">SUM(H4:H10)</f>
        <v>532</v>
      </c>
      <c r="I11" s="67" t="n">
        <f aca="false">SUM(I4:I10)</f>
        <v>574.5</v>
      </c>
      <c r="J11" s="67" t="n">
        <f aca="false">SUM(C11:I11)</f>
        <v>4801.8</v>
      </c>
      <c r="K11" s="68" t="s">
        <v>18</v>
      </c>
    </row>
    <row r="13" customFormat="false" ht="15" hidden="false" customHeight="false" outlineLevel="0" collapsed="false">
      <c r="A13" s="69" t="s">
        <v>121</v>
      </c>
    </row>
    <row r="14" customFormat="false" ht="13.5" hidden="false" customHeight="false" outlineLevel="0" collapsed="false">
      <c r="A14" s="70" t="s">
        <v>117</v>
      </c>
      <c r="B14" s="70" t="s">
        <v>118</v>
      </c>
      <c r="C14" s="70" t="s">
        <v>64</v>
      </c>
      <c r="D14" s="70" t="s">
        <v>65</v>
      </c>
      <c r="E14" s="70" t="s">
        <v>4</v>
      </c>
      <c r="F14" s="70" t="s">
        <v>5</v>
      </c>
      <c r="G14" s="70" t="s">
        <v>6</v>
      </c>
      <c r="H14" s="70" t="s">
        <v>7</v>
      </c>
      <c r="I14" s="70" t="s">
        <v>8</v>
      </c>
      <c r="J14" s="70" t="s">
        <v>66</v>
      </c>
      <c r="K14" s="70" t="s">
        <v>11</v>
      </c>
      <c r="L14" s="70" t="s">
        <v>119</v>
      </c>
    </row>
    <row r="15" customFormat="false" ht="13.5" hidden="false" customHeight="false" outlineLevel="0" collapsed="false">
      <c r="A15" s="71" t="str">
        <f aca="false">A4</f>
        <v>CF1</v>
      </c>
      <c r="B15" s="71" t="str">
        <f aca="false">B4</f>
        <v>RC slab rendered and painted</v>
      </c>
      <c r="C15" s="72" t="n">
        <f aca="false">'DRAWING CHECK'!C11</f>
        <v>1373.7</v>
      </c>
      <c r="D15" s="72" t="n">
        <f aca="false">'DRAWING CHECK'!D11</f>
        <v>0</v>
      </c>
      <c r="E15" s="72" t="n">
        <f aca="false">'DRAWING CHECK'!E11</f>
        <v>2.2</v>
      </c>
      <c r="F15" s="72" t="n">
        <f aca="false">'DRAWING CHECK'!F11</f>
        <v>1.2</v>
      </c>
      <c r="G15" s="72" t="n">
        <f aca="false">'DRAWING CHECK'!G11</f>
        <v>0</v>
      </c>
      <c r="H15" s="72" t="n">
        <f aca="false">'DRAWING CHECK'!H11</f>
        <v>8.7</v>
      </c>
      <c r="I15" s="72" t="n">
        <f aca="false">'DRAWING CHECK'!I11</f>
        <v>32.9</v>
      </c>
      <c r="J15" s="72" t="n">
        <f aca="false">'DRAWING CHECK'!J11</f>
        <v>17.7</v>
      </c>
      <c r="K15" s="73" t="n">
        <f aca="false">SUM(C15:J15)</f>
        <v>1436.4</v>
      </c>
      <c r="L15" s="71" t="s">
        <v>18</v>
      </c>
    </row>
    <row r="16" customFormat="false" ht="13.5" hidden="false" customHeight="false" outlineLevel="0" collapsed="false">
      <c r="A16" s="71" t="str">
        <f aca="false">A5</f>
        <v>CF2</v>
      </c>
      <c r="B16" s="71" t="str">
        <f aca="false">B5</f>
        <v>Plasterboard ceiling</v>
      </c>
      <c r="C16" s="72" t="n">
        <f aca="false">'DRAWING CHECK'!C12</f>
        <v>0</v>
      </c>
      <c r="D16" s="72" t="n">
        <f aca="false">'DRAWING CHECK'!D12</f>
        <v>109.4</v>
      </c>
      <c r="E16" s="72" t="n">
        <f aca="false">'DRAWING CHECK'!E12</f>
        <v>40.3</v>
      </c>
      <c r="F16" s="72" t="n">
        <f aca="false">'DRAWING CHECK'!F12</f>
        <v>57.3</v>
      </c>
      <c r="G16" s="72" t="n">
        <f aca="false">'DRAWING CHECK'!G12</f>
        <v>40.5</v>
      </c>
      <c r="H16" s="72" t="n">
        <f aca="false">'DRAWING CHECK'!H12</f>
        <v>53.4</v>
      </c>
      <c r="I16" s="72" t="n">
        <f aca="false">'DRAWING CHECK'!I12</f>
        <v>419.1</v>
      </c>
      <c r="J16" s="72" t="n">
        <f aca="false">'DRAWING CHECK'!J12</f>
        <v>0</v>
      </c>
      <c r="K16" s="73" t="n">
        <f aca="false">SUM(C16:J16)</f>
        <v>720</v>
      </c>
      <c r="L16" s="71" t="s">
        <v>18</v>
      </c>
    </row>
    <row r="17" customFormat="false" ht="13.5" hidden="false" customHeight="false" outlineLevel="0" collapsed="false">
      <c r="A17" s="71" t="str">
        <f aca="false">A6</f>
        <v>CF3</v>
      </c>
      <c r="B17" s="71" t="str">
        <f aca="false">B6</f>
        <v>Waffle ceiling</v>
      </c>
      <c r="C17" s="72" t="n">
        <f aca="false">'DRAWING CHECK'!C13</f>
        <v>0</v>
      </c>
      <c r="D17" s="72" t="n">
        <f aca="false">'DRAWING CHECK'!D13</f>
        <v>0</v>
      </c>
      <c r="E17" s="72" t="n">
        <f aca="false">'DRAWING CHECK'!E13</f>
        <v>0</v>
      </c>
      <c r="F17" s="72" t="n">
        <f aca="false">'DRAWING CHECK'!F13</f>
        <v>0</v>
      </c>
      <c r="G17" s="72" t="n">
        <f aca="false">'DRAWING CHECK'!G13</f>
        <v>0</v>
      </c>
      <c r="H17" s="72" t="n">
        <f aca="false">'DRAWING CHECK'!H13</f>
        <v>0</v>
      </c>
      <c r="I17" s="72" t="n">
        <f aca="false">'DRAWING CHECK'!I13</f>
        <v>47.3</v>
      </c>
      <c r="J17" s="72" t="n">
        <f aca="false">'DRAWING CHECK'!J13</f>
        <v>0</v>
      </c>
      <c r="K17" s="73" t="n">
        <f aca="false">SUM(C17:J17)</f>
        <v>47.3</v>
      </c>
      <c r="L17" s="71" t="s">
        <v>18</v>
      </c>
    </row>
    <row r="18" customFormat="false" ht="13.5" hidden="false" customHeight="false" outlineLevel="0" collapsed="false">
      <c r="A18" s="71" t="str">
        <f aca="false">A7</f>
        <v>CF5</v>
      </c>
      <c r="B18" s="71" t="str">
        <f aca="false">B7</f>
        <v>Cement board ceiling</v>
      </c>
      <c r="C18" s="72" t="n">
        <f aca="false">'DRAWING CHECK'!C14</f>
        <v>15.7</v>
      </c>
      <c r="D18" s="72" t="n">
        <f aca="false">'DRAWING CHECK'!D14</f>
        <v>32.8</v>
      </c>
      <c r="E18" s="72" t="n">
        <f aca="false">'DRAWING CHECK'!E14</f>
        <v>32.7</v>
      </c>
      <c r="F18" s="72" t="n">
        <f aca="false">'DRAWING CHECK'!F14</f>
        <v>32.7</v>
      </c>
      <c r="G18" s="72" t="n">
        <f aca="false">'DRAWING CHECK'!G14</f>
        <v>32.7</v>
      </c>
      <c r="H18" s="72" t="n">
        <f aca="false">'DRAWING CHECK'!H14</f>
        <v>32.8</v>
      </c>
      <c r="I18" s="72" t="n">
        <f aca="false">'DRAWING CHECK'!I14</f>
        <v>45.5</v>
      </c>
      <c r="J18" s="72" t="n">
        <f aca="false">'DRAWING CHECK'!J14</f>
        <v>0</v>
      </c>
      <c r="K18" s="73" t="n">
        <f aca="false">SUM(C18:J18)</f>
        <v>224.9</v>
      </c>
      <c r="L18" s="71" t="s">
        <v>18</v>
      </c>
    </row>
    <row r="19" customFormat="false" ht="13.5" hidden="false" customHeight="false" outlineLevel="0" collapsed="false">
      <c r="A19" s="71" t="str">
        <f aca="false">A8</f>
        <v>CF6</v>
      </c>
      <c r="B19" s="71" t="str">
        <f aca="false">B8</f>
        <v>Baffle ceiling</v>
      </c>
      <c r="C19" s="72" t="n">
        <f aca="false">'DRAWING CHECK'!C15</f>
        <v>0</v>
      </c>
      <c r="D19" s="72" t="n">
        <f aca="false">'DRAWING CHECK'!D15</f>
        <v>11.6</v>
      </c>
      <c r="E19" s="72" t="n">
        <f aca="false">'DRAWING CHECK'!E15</f>
        <v>0</v>
      </c>
      <c r="F19" s="72" t="n">
        <f aca="false">'DRAWING CHECK'!F15</f>
        <v>0</v>
      </c>
      <c r="G19" s="72" t="n">
        <f aca="false">'DRAWING CHECK'!G15</f>
        <v>0</v>
      </c>
      <c r="H19" s="72" t="n">
        <f aca="false">'DRAWING CHECK'!H15</f>
        <v>0</v>
      </c>
      <c r="I19" s="72" t="n">
        <f aca="false">'DRAWING CHECK'!I15</f>
        <v>0</v>
      </c>
      <c r="J19" s="72" t="n">
        <f aca="false">'DRAWING CHECK'!J15</f>
        <v>0</v>
      </c>
      <c r="K19" s="73" t="n">
        <f aca="false">SUM(C19:J19)</f>
        <v>11.6</v>
      </c>
      <c r="L19" s="71" t="s">
        <v>18</v>
      </c>
    </row>
    <row r="20" customFormat="false" ht="13.5" hidden="false" customHeight="false" outlineLevel="0" collapsed="false">
      <c r="A20" s="71" t="str">
        <f aca="false">A9</f>
        <v>CF7</v>
      </c>
      <c r="B20" s="71" t="str">
        <f aca="false">B9</f>
        <v>600 x 600mm acoustic ceiling</v>
      </c>
      <c r="C20" s="72" t="n">
        <f aca="false">'DRAWING CHECK'!C16</f>
        <v>0</v>
      </c>
      <c r="D20" s="72" t="n">
        <f aca="false">'DRAWING CHECK'!D16</f>
        <v>179.6</v>
      </c>
      <c r="E20" s="72" t="n">
        <f aca="false">'DRAWING CHECK'!E16</f>
        <v>417.5</v>
      </c>
      <c r="F20" s="72" t="n">
        <f aca="false">'DRAWING CHECK'!F16</f>
        <v>418.6</v>
      </c>
      <c r="G20" s="72" t="n">
        <f aca="false">'DRAWING CHECK'!G16</f>
        <v>418.5</v>
      </c>
      <c r="H20" s="72" t="n">
        <f aca="false">'DRAWING CHECK'!H16</f>
        <v>415.4</v>
      </c>
      <c r="I20" s="72" t="n">
        <f aca="false">'DRAWING CHECK'!I16</f>
        <v>0</v>
      </c>
      <c r="J20" s="72" t="n">
        <f aca="false">'DRAWING CHECK'!J16</f>
        <v>0</v>
      </c>
      <c r="K20" s="73" t="n">
        <f aca="false">SUM(C20:J20)</f>
        <v>1849.6</v>
      </c>
      <c r="L20" s="71" t="s">
        <v>18</v>
      </c>
    </row>
    <row r="21" customFormat="false" ht="13.5" hidden="false" customHeight="false" outlineLevel="0" collapsed="false">
      <c r="A21" s="71" t="str">
        <f aca="false">A10</f>
        <v>CF8</v>
      </c>
      <c r="B21" s="71" t="str">
        <f aca="false">B10</f>
        <v>CnC dark bronze metallic powder-coated aluminium panel ceiling</v>
      </c>
      <c r="C21" s="72" t="n">
        <f aca="false">'DRAWING CHECK'!C17</f>
        <v>0</v>
      </c>
      <c r="D21" s="72" t="n">
        <f aca="false">'DRAWING CHECK'!D17</f>
        <v>317.5</v>
      </c>
      <c r="E21" s="72" t="n">
        <f aca="false">'DRAWING CHECK'!E17</f>
        <v>0</v>
      </c>
      <c r="F21" s="72" t="n">
        <f aca="false">'DRAWING CHECK'!F17</f>
        <v>0</v>
      </c>
      <c r="G21" s="72" t="n">
        <f aca="false">'DRAWING CHECK'!G17</f>
        <v>0</v>
      </c>
      <c r="H21" s="72" t="n">
        <f aca="false">'DRAWING CHECK'!H17</f>
        <v>0</v>
      </c>
      <c r="I21" s="72" t="n">
        <f aca="false">'DRAWING CHECK'!I17</f>
        <v>0</v>
      </c>
      <c r="J21" s="72" t="n">
        <f aca="false">'DRAWING CHECK'!J17</f>
        <v>0</v>
      </c>
      <c r="K21" s="73" t="n">
        <f aca="false">SUM(C21:J21)</f>
        <v>317.5</v>
      </c>
      <c r="L21" s="71" t="s">
        <v>18</v>
      </c>
    </row>
    <row r="22" customFormat="false" ht="13.5" hidden="false" customHeight="false" outlineLevel="0" collapsed="false">
      <c r="A22" s="74" t="s">
        <v>11</v>
      </c>
      <c r="B22" s="75"/>
      <c r="C22" s="76" t="n">
        <f aca="false">SUM(C15:C21)</f>
        <v>1389.4</v>
      </c>
      <c r="D22" s="76" t="n">
        <f aca="false">SUM(D15:D21)</f>
        <v>650.9</v>
      </c>
      <c r="E22" s="76" t="n">
        <f aca="false">SUM(E15:E21)</f>
        <v>492.7</v>
      </c>
      <c r="F22" s="76" t="n">
        <f aca="false">SUM(F15:F21)</f>
        <v>509.8</v>
      </c>
      <c r="G22" s="76" t="n">
        <f aca="false">SUM(G15:G21)</f>
        <v>491.7</v>
      </c>
      <c r="H22" s="76" t="n">
        <f aca="false">SUM(H15:H21)</f>
        <v>510.3</v>
      </c>
      <c r="I22" s="76" t="n">
        <f aca="false">SUM(I15:I21)</f>
        <v>544.8</v>
      </c>
      <c r="J22" s="76" t="n">
        <f aca="false">SUM(J15:J21)</f>
        <v>17.7</v>
      </c>
      <c r="K22" s="76" t="n">
        <f aca="false">SUM(K15:K21)</f>
        <v>4607.3</v>
      </c>
      <c r="L22" s="75"/>
    </row>
    <row r="24" customFormat="false" ht="13.5" hidden="false" customHeight="false" outlineLevel="0" collapsed="false">
      <c r="A24" s="77" t="s">
        <v>122</v>
      </c>
    </row>
    <row r="25" customFormat="false" ht="13.5" hidden="false" customHeight="false" outlineLevel="0" collapsed="false">
      <c r="A25" s="70" t="s">
        <v>117</v>
      </c>
      <c r="B25" s="70" t="s">
        <v>118</v>
      </c>
      <c r="C25" s="70" t="s">
        <v>64</v>
      </c>
      <c r="D25" s="70" t="s">
        <v>65</v>
      </c>
      <c r="E25" s="70" t="s">
        <v>4</v>
      </c>
      <c r="F25" s="70" t="s">
        <v>5</v>
      </c>
      <c r="G25" s="70" t="s">
        <v>6</v>
      </c>
      <c r="H25" s="70" t="s">
        <v>7</v>
      </c>
      <c r="I25" s="70" t="s">
        <v>8</v>
      </c>
      <c r="J25" s="70" t="s">
        <v>66</v>
      </c>
      <c r="K25" s="70" t="s">
        <v>11</v>
      </c>
      <c r="L25" s="70" t="s">
        <v>119</v>
      </c>
    </row>
    <row r="26" customFormat="false" ht="13.5" hidden="false" customHeight="false" outlineLevel="0" collapsed="false">
      <c r="A26" s="78" t="str">
        <f aca="false">A4</f>
        <v>CF1</v>
      </c>
      <c r="B26" s="78" t="str">
        <f aca="false">B4</f>
        <v>RC slab rendered and painted</v>
      </c>
      <c r="C26" s="78" t="n">
        <f aca="false">C4-C15</f>
        <v>-1337.3</v>
      </c>
      <c r="D26" s="78" t="n">
        <f aca="false">D4-D15</f>
        <v>1470.7</v>
      </c>
      <c r="E26" s="78" t="n">
        <f aca="false">E4-E15</f>
        <v>31.6</v>
      </c>
      <c r="F26" s="78" t="n">
        <f aca="false">F4-F15</f>
        <v>37.3</v>
      </c>
      <c r="G26" s="78" t="n">
        <f aca="false">G4-G15</f>
        <v>36.4</v>
      </c>
      <c r="H26" s="78" t="n">
        <f aca="false">H4-H15</f>
        <v>30.2</v>
      </c>
      <c r="I26" s="78" t="n">
        <f aca="false">I4-I15</f>
        <v>-32.9</v>
      </c>
      <c r="J26" s="78" t="n">
        <f aca="false">0-J15</f>
        <v>-17.7</v>
      </c>
      <c r="K26" s="79" t="n">
        <f aca="false">J4-K15</f>
        <v>218.3</v>
      </c>
      <c r="L26" s="78" t="s">
        <v>18</v>
      </c>
    </row>
    <row r="27" customFormat="false" ht="13.5" hidden="false" customHeight="false" outlineLevel="0" collapsed="false">
      <c r="A27" s="78" t="str">
        <f aca="false">A5</f>
        <v>CF2</v>
      </c>
      <c r="B27" s="78" t="str">
        <f aca="false">B5</f>
        <v>Plasterboard ceiling</v>
      </c>
      <c r="C27" s="78" t="n">
        <f aca="false">C5-C16</f>
        <v>126</v>
      </c>
      <c r="D27" s="78" t="n">
        <f aca="false">D5-D16</f>
        <v>-109.4</v>
      </c>
      <c r="E27" s="78" t="n">
        <f aca="false">E5-E16</f>
        <v>1.2</v>
      </c>
      <c r="F27" s="78" t="n">
        <f aca="false">F5-F16</f>
        <v>-3.89999999999999</v>
      </c>
      <c r="G27" s="78" t="n">
        <f aca="false">G5-G16</f>
        <v>-32.1</v>
      </c>
      <c r="H27" s="78" t="n">
        <f aca="false">H5-H16</f>
        <v>-4.9</v>
      </c>
      <c r="I27" s="78" t="n">
        <f aca="false">I5-I16</f>
        <v>61</v>
      </c>
      <c r="J27" s="78" t="n">
        <f aca="false">0-J16</f>
        <v>0</v>
      </c>
      <c r="K27" s="79" t="n">
        <f aca="false">J5-K16</f>
        <v>37.9000000000001</v>
      </c>
      <c r="L27" s="78" t="s">
        <v>18</v>
      </c>
    </row>
    <row r="28" customFormat="false" ht="13.5" hidden="false" customHeight="false" outlineLevel="0" collapsed="false">
      <c r="A28" s="78" t="str">
        <f aca="false">A6</f>
        <v>CF3</v>
      </c>
      <c r="B28" s="78" t="str">
        <f aca="false">B6</f>
        <v>Waffle ceiling</v>
      </c>
      <c r="C28" s="78" t="n">
        <f aca="false">C6-C17</f>
        <v>0</v>
      </c>
      <c r="D28" s="78" t="n">
        <f aca="false">D6-D17</f>
        <v>0</v>
      </c>
      <c r="E28" s="78" t="n">
        <f aca="false">E6-E17</f>
        <v>0</v>
      </c>
      <c r="F28" s="78" t="n">
        <f aca="false">F6-F17</f>
        <v>0</v>
      </c>
      <c r="G28" s="78" t="n">
        <f aca="false">G6-G17</f>
        <v>0</v>
      </c>
      <c r="H28" s="78" t="n">
        <f aca="false">H6-H17</f>
        <v>0</v>
      </c>
      <c r="I28" s="78" t="n">
        <f aca="false">I6-I17</f>
        <v>0.900000000000006</v>
      </c>
      <c r="J28" s="78" t="n">
        <f aca="false">0-J17</f>
        <v>0</v>
      </c>
      <c r="K28" s="79" t="n">
        <f aca="false">J6-K17</f>
        <v>0.900000000000006</v>
      </c>
      <c r="L28" s="78" t="s">
        <v>18</v>
      </c>
    </row>
    <row r="29" customFormat="false" ht="13.5" hidden="false" customHeight="false" outlineLevel="0" collapsed="false">
      <c r="A29" s="78" t="str">
        <f aca="false">A7</f>
        <v>CF5</v>
      </c>
      <c r="B29" s="78" t="str">
        <f aca="false">B7</f>
        <v>Cement board ceiling</v>
      </c>
      <c r="C29" s="78" t="n">
        <f aca="false">C7-C18</f>
        <v>17.1</v>
      </c>
      <c r="D29" s="78" t="n">
        <f aca="false">D7-D18</f>
        <v>-16.6</v>
      </c>
      <c r="E29" s="78" t="n">
        <f aca="false">E7-E18</f>
        <v>-1.10000000000001</v>
      </c>
      <c r="F29" s="78" t="n">
        <f aca="false">F7-F18</f>
        <v>-0.300000000000004</v>
      </c>
      <c r="G29" s="78" t="n">
        <f aca="false">G7-G18</f>
        <v>0.199999999999996</v>
      </c>
      <c r="H29" s="78" t="n">
        <f aca="false">H7-H18</f>
        <v>-0.0999999999999943</v>
      </c>
      <c r="I29" s="78" t="n">
        <f aca="false">I7-I18</f>
        <v>0.700000000000003</v>
      </c>
      <c r="J29" s="78" t="n">
        <f aca="false">0-J18</f>
        <v>0</v>
      </c>
      <c r="K29" s="79" t="n">
        <f aca="false">J7-K18</f>
        <v>-0.0999999999999943</v>
      </c>
      <c r="L29" s="78" t="s">
        <v>18</v>
      </c>
    </row>
    <row r="30" customFormat="false" ht="13.5" hidden="false" customHeight="false" outlineLevel="0" collapsed="false">
      <c r="A30" s="78" t="str">
        <f aca="false">A8</f>
        <v>CF6</v>
      </c>
      <c r="B30" s="78" t="str">
        <f aca="false">B8</f>
        <v>Baffle ceiling</v>
      </c>
      <c r="C30" s="78" t="n">
        <f aca="false">C8-C19</f>
        <v>0</v>
      </c>
      <c r="D30" s="78" t="n">
        <f aca="false">D8-D19</f>
        <v>-11.6</v>
      </c>
      <c r="E30" s="78" t="n">
        <f aca="false">E8-E19</f>
        <v>0</v>
      </c>
      <c r="F30" s="78" t="n">
        <f aca="false">F8-F19</f>
        <v>0</v>
      </c>
      <c r="G30" s="78" t="n">
        <f aca="false">G8-G19</f>
        <v>0</v>
      </c>
      <c r="H30" s="78" t="n">
        <f aca="false">H8-H19</f>
        <v>0</v>
      </c>
      <c r="I30" s="78" t="n">
        <f aca="false">I8-I19</f>
        <v>0</v>
      </c>
      <c r="J30" s="78" t="n">
        <f aca="false">0-J19</f>
        <v>0</v>
      </c>
      <c r="K30" s="79" t="n">
        <f aca="false">J8-K19</f>
        <v>-11.6</v>
      </c>
      <c r="L30" s="78" t="s">
        <v>18</v>
      </c>
    </row>
    <row r="31" customFormat="false" ht="13.5" hidden="false" customHeight="false" outlineLevel="0" collapsed="false">
      <c r="A31" s="78" t="str">
        <f aca="false">A9</f>
        <v>CF7</v>
      </c>
      <c r="B31" s="78" t="str">
        <f aca="false">B9</f>
        <v>600 x 600mm acoustic ceiling</v>
      </c>
      <c r="C31" s="78" t="n">
        <f aca="false">C9-C20</f>
        <v>215</v>
      </c>
      <c r="D31" s="78" t="n">
        <f aca="false">D9-D20</f>
        <v>-179.6</v>
      </c>
      <c r="E31" s="78" t="n">
        <f aca="false">E9-E20</f>
        <v>-2.30000000000001</v>
      </c>
      <c r="F31" s="78" t="n">
        <f aca="false">F9-F20</f>
        <v>1.49999999999994</v>
      </c>
      <c r="G31" s="78" t="n">
        <f aca="false">G9-G20</f>
        <v>5.5</v>
      </c>
      <c r="H31" s="78" t="n">
        <f aca="false">H9-H20</f>
        <v>-3.49999999999994</v>
      </c>
      <c r="I31" s="78" t="n">
        <f aca="false">I9-I20</f>
        <v>0</v>
      </c>
      <c r="J31" s="78" t="n">
        <f aca="false">0-J20</f>
        <v>0</v>
      </c>
      <c r="K31" s="79" t="n">
        <f aca="false">J9-K20</f>
        <v>36.6000000000001</v>
      </c>
      <c r="L31" s="78" t="s">
        <v>18</v>
      </c>
    </row>
    <row r="32" customFormat="false" ht="13.5" hidden="false" customHeight="false" outlineLevel="0" collapsed="false">
      <c r="A32" s="78" t="str">
        <f aca="false">A10</f>
        <v>CF8</v>
      </c>
      <c r="B32" s="78" t="str">
        <f aca="false">B10</f>
        <v>CnC dark bronze metallic powder-coated aluminium panel ceiling</v>
      </c>
      <c r="C32" s="78" t="n">
        <f aca="false">C10-C21</f>
        <v>230</v>
      </c>
      <c r="D32" s="78" t="n">
        <f aca="false">D10-D21</f>
        <v>-317.5</v>
      </c>
      <c r="E32" s="78" t="n">
        <f aca="false">E10-E21</f>
        <v>0</v>
      </c>
      <c r="F32" s="78" t="n">
        <f aca="false">F10-F21</f>
        <v>0</v>
      </c>
      <c r="G32" s="78" t="n">
        <f aca="false">G10-G21</f>
        <v>0</v>
      </c>
      <c r="H32" s="78" t="n">
        <f aca="false">H10-H21</f>
        <v>0</v>
      </c>
      <c r="I32" s="78" t="n">
        <f aca="false">I10-I21</f>
        <v>0</v>
      </c>
      <c r="J32" s="78" t="n">
        <f aca="false">0-J21</f>
        <v>0</v>
      </c>
      <c r="K32" s="79" t="n">
        <f aca="false">J10-K21</f>
        <v>-87.5</v>
      </c>
      <c r="L32" s="78" t="s">
        <v>18</v>
      </c>
    </row>
  </sheetData>
  <mergeCells count="1">
    <mergeCell ref="A1:K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B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0234375" defaultRowHeight="13.5" zeroHeight="false" outlineLevelRow="0" outlineLevelCol="0"/>
  <cols>
    <col collapsed="false" customWidth="false" hidden="false" outlineLevel="0" max="1" min="1" style="80" width="8.9"/>
    <col collapsed="false" customWidth="true" hidden="false" outlineLevel="0" max="2" min="2" style="80" width="15.4"/>
    <col collapsed="false" customWidth="false" hidden="false" outlineLevel="0" max="5" min="3" style="80" width="8.9"/>
    <col collapsed="false" customWidth="true" hidden="false" outlineLevel="0" max="6" min="6" style="81" width="12.8"/>
    <col collapsed="false" customWidth="false" hidden="false" outlineLevel="0" max="9" min="7" style="80" width="8.9"/>
    <col collapsed="false" customWidth="true" hidden="false" outlineLevel="0" max="10" min="10" style="80" width="15.4"/>
    <col collapsed="false" customWidth="false" hidden="false" outlineLevel="0" max="13" min="11" style="80" width="8.9"/>
    <col collapsed="false" customWidth="true" hidden="false" outlineLevel="0" max="14" min="14" style="81" width="14.8"/>
    <col collapsed="false" customWidth="false" hidden="false" outlineLevel="0" max="17" min="15" style="80" width="8.9"/>
    <col collapsed="false" customWidth="true" hidden="false" outlineLevel="0" max="18" min="18" style="80" width="15.4"/>
    <col collapsed="false" customWidth="false" hidden="false" outlineLevel="0" max="21" min="19" style="80" width="8.9"/>
    <col collapsed="false" customWidth="true" hidden="false" outlineLevel="0" max="22" min="22" style="81" width="11.7"/>
    <col collapsed="false" customWidth="false" hidden="false" outlineLevel="0" max="25" min="23" style="80" width="8.9"/>
    <col collapsed="false" customWidth="true" hidden="false" outlineLevel="0" max="26" min="26" style="80" width="15.4"/>
    <col collapsed="false" customWidth="false" hidden="false" outlineLevel="0" max="29" min="27" style="80" width="8.9"/>
    <col collapsed="false" customWidth="true" hidden="false" outlineLevel="0" max="30" min="30" style="81" width="10.4"/>
    <col collapsed="false" customWidth="false" hidden="false" outlineLevel="0" max="33" min="31" style="80" width="8.9"/>
    <col collapsed="false" customWidth="true" hidden="false" outlineLevel="0" max="34" min="34" style="80" width="15.4"/>
    <col collapsed="false" customWidth="false" hidden="false" outlineLevel="0" max="37" min="35" style="80" width="8.9"/>
    <col collapsed="false" customWidth="true" hidden="false" outlineLevel="0" max="38" min="38" style="81" width="12.4"/>
    <col collapsed="false" customWidth="false" hidden="false" outlineLevel="0" max="41" min="39" style="80" width="8.9"/>
    <col collapsed="false" customWidth="true" hidden="false" outlineLevel="0" max="42" min="42" style="80" width="15.4"/>
    <col collapsed="false" customWidth="false" hidden="false" outlineLevel="0" max="45" min="43" style="80" width="8.9"/>
    <col collapsed="false" customWidth="true" hidden="false" outlineLevel="0" max="46" min="46" style="81" width="9.7"/>
    <col collapsed="false" customWidth="false" hidden="false" outlineLevel="0" max="49" min="47" style="80" width="8.9"/>
    <col collapsed="false" customWidth="true" hidden="false" outlineLevel="0" max="50" min="50" style="80" width="15.4"/>
    <col collapsed="false" customWidth="false" hidden="false" outlineLevel="0" max="53" min="51" style="80" width="8.9"/>
    <col collapsed="false" customWidth="true" hidden="false" outlineLevel="0" max="54" min="54" style="81" width="11.9"/>
    <col collapsed="false" customWidth="false" hidden="false" outlineLevel="0" max="57" min="55" style="80" width="8.9"/>
    <col collapsed="false" customWidth="true" hidden="false" outlineLevel="0" max="58" min="58" style="80" width="15.4"/>
    <col collapsed="false" customWidth="false" hidden="false" outlineLevel="0" max="61" min="59" style="80" width="8.9"/>
    <col collapsed="false" customWidth="true" hidden="false" outlineLevel="0" max="62" min="62" style="81" width="12.4"/>
    <col collapsed="false" customWidth="false" hidden="false" outlineLevel="0" max="16384" min="63" style="80" width="8.9"/>
  </cols>
  <sheetData>
    <row r="1" customFormat="false" ht="14.25" hidden="false" customHeight="true" outlineLevel="0" collapsed="false">
      <c r="A1" s="82" t="s">
        <v>123</v>
      </c>
      <c r="B1" s="82"/>
      <c r="C1" s="82"/>
      <c r="D1" s="82"/>
      <c r="E1" s="82"/>
      <c r="F1" s="82"/>
      <c r="G1" s="82"/>
      <c r="I1" s="82" t="s">
        <v>124</v>
      </c>
      <c r="J1" s="82"/>
      <c r="K1" s="82"/>
      <c r="L1" s="82"/>
      <c r="M1" s="82"/>
      <c r="N1" s="82"/>
      <c r="O1" s="82"/>
      <c r="Q1" s="82" t="s">
        <v>125</v>
      </c>
      <c r="R1" s="82"/>
      <c r="S1" s="82"/>
      <c r="T1" s="82"/>
      <c r="U1" s="82"/>
      <c r="V1" s="82"/>
      <c r="W1" s="82"/>
      <c r="Y1" s="82" t="s">
        <v>126</v>
      </c>
      <c r="Z1" s="82"/>
      <c r="AA1" s="82"/>
      <c r="AB1" s="82"/>
      <c r="AC1" s="82"/>
      <c r="AD1" s="82"/>
      <c r="AE1" s="82"/>
      <c r="AG1" s="82" t="s">
        <v>127</v>
      </c>
      <c r="AH1" s="82"/>
      <c r="AI1" s="82"/>
      <c r="AJ1" s="82"/>
      <c r="AK1" s="82"/>
      <c r="AL1" s="82"/>
      <c r="AM1" s="82"/>
      <c r="AO1" s="82" t="s">
        <v>128</v>
      </c>
      <c r="AP1" s="82"/>
      <c r="AQ1" s="82"/>
      <c r="AR1" s="82"/>
      <c r="AS1" s="82"/>
      <c r="AT1" s="82"/>
      <c r="AU1" s="82"/>
      <c r="AW1" s="82" t="s">
        <v>129</v>
      </c>
      <c r="AX1" s="82"/>
      <c r="AY1" s="82"/>
      <c r="AZ1" s="82"/>
      <c r="BA1" s="82"/>
      <c r="BB1" s="82"/>
      <c r="BC1" s="82"/>
      <c r="BE1" s="82" t="s">
        <v>130</v>
      </c>
      <c r="BF1" s="82"/>
      <c r="BG1" s="82"/>
      <c r="BH1" s="82"/>
      <c r="BI1" s="82"/>
      <c r="BJ1" s="82"/>
      <c r="BK1" s="82"/>
    </row>
    <row r="2" s="87" customFormat="true" ht="43.5" hidden="false" customHeight="true" outlineLevel="0" collapsed="false">
      <c r="A2" s="83" t="s">
        <v>131</v>
      </c>
      <c r="B2" s="84" t="s">
        <v>132</v>
      </c>
      <c r="C2" s="84" t="s">
        <v>133</v>
      </c>
      <c r="D2" s="84" t="s">
        <v>134</v>
      </c>
      <c r="E2" s="84" t="s">
        <v>135</v>
      </c>
      <c r="F2" s="85" t="s">
        <v>136</v>
      </c>
      <c r="G2" s="86" t="s">
        <v>137</v>
      </c>
      <c r="I2" s="83" t="s">
        <v>131</v>
      </c>
      <c r="J2" s="84" t="s">
        <v>132</v>
      </c>
      <c r="K2" s="84" t="s">
        <v>133</v>
      </c>
      <c r="L2" s="84" t="s">
        <v>134</v>
      </c>
      <c r="M2" s="84" t="s">
        <v>135</v>
      </c>
      <c r="N2" s="85" t="s">
        <v>136</v>
      </c>
      <c r="O2" s="86" t="s">
        <v>137</v>
      </c>
      <c r="Q2" s="83" t="s">
        <v>131</v>
      </c>
      <c r="R2" s="84" t="s">
        <v>132</v>
      </c>
      <c r="S2" s="84" t="s">
        <v>133</v>
      </c>
      <c r="T2" s="84" t="s">
        <v>134</v>
      </c>
      <c r="U2" s="84" t="s">
        <v>135</v>
      </c>
      <c r="V2" s="85" t="s">
        <v>136</v>
      </c>
      <c r="W2" s="86" t="s">
        <v>137</v>
      </c>
      <c r="Y2" s="83" t="s">
        <v>131</v>
      </c>
      <c r="Z2" s="84" t="s">
        <v>132</v>
      </c>
      <c r="AA2" s="84" t="s">
        <v>133</v>
      </c>
      <c r="AB2" s="84" t="s">
        <v>134</v>
      </c>
      <c r="AC2" s="84" t="s">
        <v>135</v>
      </c>
      <c r="AD2" s="85" t="s">
        <v>136</v>
      </c>
      <c r="AE2" s="86" t="s">
        <v>137</v>
      </c>
      <c r="AG2" s="83" t="s">
        <v>131</v>
      </c>
      <c r="AH2" s="84" t="s">
        <v>132</v>
      </c>
      <c r="AI2" s="84" t="s">
        <v>133</v>
      </c>
      <c r="AJ2" s="84" t="s">
        <v>134</v>
      </c>
      <c r="AK2" s="84" t="s">
        <v>135</v>
      </c>
      <c r="AL2" s="85" t="s">
        <v>136</v>
      </c>
      <c r="AM2" s="86" t="s">
        <v>137</v>
      </c>
      <c r="AO2" s="83" t="s">
        <v>131</v>
      </c>
      <c r="AP2" s="84" t="s">
        <v>132</v>
      </c>
      <c r="AQ2" s="84" t="s">
        <v>133</v>
      </c>
      <c r="AR2" s="84" t="s">
        <v>134</v>
      </c>
      <c r="AS2" s="84" t="s">
        <v>135</v>
      </c>
      <c r="AT2" s="85" t="s">
        <v>136</v>
      </c>
      <c r="AU2" s="86" t="s">
        <v>137</v>
      </c>
      <c r="AW2" s="83" t="s">
        <v>131</v>
      </c>
      <c r="AX2" s="84" t="s">
        <v>132</v>
      </c>
      <c r="AY2" s="84" t="s">
        <v>133</v>
      </c>
      <c r="AZ2" s="84" t="s">
        <v>134</v>
      </c>
      <c r="BA2" s="84" t="s">
        <v>135</v>
      </c>
      <c r="BB2" s="85" t="s">
        <v>136</v>
      </c>
      <c r="BC2" s="86" t="s">
        <v>137</v>
      </c>
      <c r="BE2" s="83" t="s">
        <v>131</v>
      </c>
      <c r="BF2" s="84" t="s">
        <v>132</v>
      </c>
      <c r="BG2" s="84" t="s">
        <v>133</v>
      </c>
      <c r="BH2" s="84" t="s">
        <v>134</v>
      </c>
      <c r="BI2" s="84" t="s">
        <v>135</v>
      </c>
      <c r="BJ2" s="85" t="s">
        <v>136</v>
      </c>
      <c r="BK2" s="86" t="s">
        <v>137</v>
      </c>
    </row>
    <row r="3" customFormat="false" ht="13.5" hidden="false" customHeight="false" outlineLevel="0" collapsed="false">
      <c r="A3" s="88"/>
      <c r="B3" s="89"/>
      <c r="C3" s="89"/>
      <c r="D3" s="89"/>
      <c r="E3" s="89"/>
      <c r="F3" s="90"/>
      <c r="G3" s="91"/>
      <c r="I3" s="88"/>
      <c r="J3" s="89"/>
      <c r="K3" s="89"/>
      <c r="L3" s="89"/>
      <c r="M3" s="89"/>
      <c r="N3" s="90"/>
      <c r="O3" s="91"/>
      <c r="Q3" s="88"/>
      <c r="R3" s="89"/>
      <c r="S3" s="89"/>
      <c r="T3" s="89"/>
      <c r="U3" s="89"/>
      <c r="V3" s="90"/>
      <c r="W3" s="91"/>
      <c r="Y3" s="88"/>
      <c r="Z3" s="89"/>
      <c r="AA3" s="89"/>
      <c r="AB3" s="89"/>
      <c r="AC3" s="89"/>
      <c r="AD3" s="90"/>
      <c r="AE3" s="91"/>
      <c r="AG3" s="88"/>
      <c r="AH3" s="89"/>
      <c r="AI3" s="89"/>
      <c r="AJ3" s="89"/>
      <c r="AK3" s="89"/>
      <c r="AL3" s="90"/>
      <c r="AM3" s="91"/>
      <c r="AO3" s="88"/>
      <c r="AP3" s="89"/>
      <c r="AQ3" s="89"/>
      <c r="AR3" s="89"/>
      <c r="AS3" s="89"/>
      <c r="AT3" s="90"/>
      <c r="AU3" s="91"/>
      <c r="AW3" s="88"/>
      <c r="AX3" s="89"/>
      <c r="AY3" s="89"/>
      <c r="AZ3" s="89"/>
      <c r="BA3" s="89"/>
      <c r="BB3" s="90"/>
      <c r="BC3" s="91"/>
      <c r="BE3" s="88"/>
      <c r="BF3" s="89"/>
      <c r="BG3" s="89"/>
      <c r="BH3" s="89"/>
      <c r="BI3" s="89"/>
      <c r="BJ3" s="90"/>
      <c r="BK3" s="91"/>
    </row>
    <row r="4" customFormat="false" ht="13.5" hidden="false" customHeight="false" outlineLevel="0" collapsed="false">
      <c r="A4" s="88" t="s">
        <v>138</v>
      </c>
      <c r="B4" s="89" t="s">
        <v>139</v>
      </c>
      <c r="C4" s="89" t="n">
        <v>1</v>
      </c>
      <c r="D4" s="89" t="n">
        <v>129.2</v>
      </c>
      <c r="E4" s="89" t="n">
        <v>4.45</v>
      </c>
      <c r="F4" s="90"/>
      <c r="G4" s="91" t="n">
        <f aca="false">C4*D4*E4</f>
        <v>574.94</v>
      </c>
      <c r="I4" s="88" t="s">
        <v>138</v>
      </c>
      <c r="J4" s="89" t="s">
        <v>139</v>
      </c>
      <c r="K4" s="89" t="n">
        <v>1</v>
      </c>
      <c r="L4" s="89" t="n">
        <v>150.1</v>
      </c>
      <c r="M4" s="89" t="n">
        <v>4.5</v>
      </c>
      <c r="N4" s="90"/>
      <c r="O4" s="91" t="n">
        <f aca="false">K4*L4*M4</f>
        <v>675.45</v>
      </c>
      <c r="Q4" s="88" t="s">
        <v>138</v>
      </c>
      <c r="R4" s="89" t="s">
        <v>139</v>
      </c>
      <c r="S4" s="89" t="n">
        <v>1</v>
      </c>
      <c r="T4" s="89" t="n">
        <v>148.2</v>
      </c>
      <c r="U4" s="89" t="n">
        <v>3.3</v>
      </c>
      <c r="V4" s="90"/>
      <c r="W4" s="91" t="n">
        <f aca="false">S4*T4*U4</f>
        <v>489.06</v>
      </c>
      <c r="Y4" s="88" t="s">
        <v>138</v>
      </c>
      <c r="Z4" s="89" t="s">
        <v>139</v>
      </c>
      <c r="AA4" s="89" t="n">
        <v>1</v>
      </c>
      <c r="AB4" s="89" t="n">
        <v>147.3</v>
      </c>
      <c r="AC4" s="89" t="n">
        <v>3.3</v>
      </c>
      <c r="AD4" s="90"/>
      <c r="AE4" s="91" t="n">
        <f aca="false">AA4*AB4*AC4</f>
        <v>486.09</v>
      </c>
      <c r="AG4" s="88" t="s">
        <v>138</v>
      </c>
      <c r="AH4" s="89" t="s">
        <v>139</v>
      </c>
      <c r="AI4" s="89" t="n">
        <v>1</v>
      </c>
      <c r="AJ4" s="89" t="n">
        <v>141</v>
      </c>
      <c r="AK4" s="89" t="n">
        <v>3.3</v>
      </c>
      <c r="AL4" s="90"/>
      <c r="AM4" s="91" t="n">
        <f aca="false">AI4*AJ4*AK4</f>
        <v>465.3</v>
      </c>
      <c r="AO4" s="88" t="s">
        <v>138</v>
      </c>
      <c r="AP4" s="89" t="s">
        <v>139</v>
      </c>
      <c r="AQ4" s="89" t="n">
        <v>1</v>
      </c>
      <c r="AR4" s="89" t="n">
        <v>149.1</v>
      </c>
      <c r="AS4" s="89" t="n">
        <v>3.3</v>
      </c>
      <c r="AT4" s="90"/>
      <c r="AU4" s="91" t="n">
        <f aca="false">AQ4*AR4*AS4</f>
        <v>492.03</v>
      </c>
      <c r="AW4" s="88" t="s">
        <v>138</v>
      </c>
      <c r="AX4" s="89" t="s">
        <v>139</v>
      </c>
      <c r="AY4" s="89" t="n">
        <v>1</v>
      </c>
      <c r="AZ4" s="89" t="n">
        <v>213.9</v>
      </c>
      <c r="BA4" s="89" t="n">
        <v>3.3</v>
      </c>
      <c r="BB4" s="90"/>
      <c r="BC4" s="91" t="n">
        <f aca="false">AY4*AZ4*BA4</f>
        <v>705.87</v>
      </c>
      <c r="BE4" s="88" t="s">
        <v>138</v>
      </c>
      <c r="BF4" s="89" t="s">
        <v>139</v>
      </c>
      <c r="BG4" s="89" t="n">
        <v>1</v>
      </c>
      <c r="BH4" s="89" t="n">
        <v>144.2</v>
      </c>
      <c r="BI4" s="89" t="n">
        <v>1.5</v>
      </c>
      <c r="BJ4" s="90"/>
      <c r="BK4" s="91" t="n">
        <f aca="false">BG4*BH4*BI4</f>
        <v>216.3</v>
      </c>
    </row>
    <row r="5" customFormat="false" ht="13.5" hidden="false" customHeight="false" outlineLevel="0" collapsed="false">
      <c r="A5" s="92"/>
      <c r="B5" s="89"/>
      <c r="C5" s="89"/>
      <c r="D5" s="89"/>
      <c r="E5" s="89"/>
      <c r="F5" s="90"/>
      <c r="G5" s="91"/>
      <c r="I5" s="88"/>
      <c r="J5" s="89"/>
      <c r="K5" s="89"/>
      <c r="L5" s="89"/>
      <c r="M5" s="89"/>
      <c r="N5" s="90"/>
      <c r="O5" s="91"/>
      <c r="Q5" s="88"/>
      <c r="R5" s="89"/>
      <c r="S5" s="89"/>
      <c r="T5" s="89"/>
      <c r="U5" s="89"/>
      <c r="V5" s="90"/>
      <c r="W5" s="91"/>
      <c r="Y5" s="88"/>
      <c r="Z5" s="89"/>
      <c r="AA5" s="89"/>
      <c r="AB5" s="89"/>
      <c r="AC5" s="89"/>
      <c r="AD5" s="90"/>
      <c r="AE5" s="91"/>
      <c r="AG5" s="88"/>
      <c r="AH5" s="89"/>
      <c r="AI5" s="89"/>
      <c r="AJ5" s="89"/>
      <c r="AK5" s="89"/>
      <c r="AL5" s="90"/>
      <c r="AM5" s="91"/>
      <c r="AO5" s="88"/>
      <c r="AP5" s="89"/>
      <c r="AQ5" s="89"/>
      <c r="AR5" s="89"/>
      <c r="AS5" s="89"/>
      <c r="AT5" s="90"/>
      <c r="AU5" s="91"/>
      <c r="AW5" s="88"/>
      <c r="AX5" s="89"/>
      <c r="AY5" s="89"/>
      <c r="AZ5" s="89"/>
      <c r="BA5" s="89"/>
      <c r="BB5" s="90"/>
      <c r="BC5" s="91"/>
      <c r="BE5" s="88"/>
      <c r="BF5" s="89"/>
      <c r="BG5" s="89"/>
      <c r="BH5" s="89"/>
      <c r="BI5" s="89"/>
      <c r="BJ5" s="90"/>
      <c r="BK5" s="91"/>
    </row>
    <row r="6" customFormat="false" ht="14.25" hidden="false" customHeight="true" outlineLevel="0" collapsed="false">
      <c r="A6" s="93"/>
      <c r="B6" s="93"/>
      <c r="C6" s="93"/>
      <c r="D6" s="93"/>
      <c r="E6" s="93"/>
      <c r="F6" s="94"/>
      <c r="G6" s="95" t="n">
        <f aca="false">G4</f>
        <v>574.94</v>
      </c>
      <c r="I6" s="96"/>
      <c r="J6" s="93"/>
      <c r="K6" s="93"/>
      <c r="L6" s="93"/>
      <c r="M6" s="93"/>
      <c r="N6" s="94"/>
      <c r="O6" s="95" t="n">
        <f aca="false">O4</f>
        <v>675.45</v>
      </c>
      <c r="Q6" s="96"/>
      <c r="R6" s="93"/>
      <c r="S6" s="93"/>
      <c r="T6" s="93"/>
      <c r="U6" s="93"/>
      <c r="V6" s="94"/>
      <c r="W6" s="95" t="n">
        <f aca="false">W4</f>
        <v>489.06</v>
      </c>
      <c r="Y6" s="96"/>
      <c r="Z6" s="93"/>
      <c r="AA6" s="93"/>
      <c r="AB6" s="93"/>
      <c r="AC6" s="93"/>
      <c r="AD6" s="94"/>
      <c r="AE6" s="95" t="n">
        <f aca="false">AE4</f>
        <v>486.09</v>
      </c>
      <c r="AG6" s="96"/>
      <c r="AH6" s="93"/>
      <c r="AI6" s="93"/>
      <c r="AJ6" s="93"/>
      <c r="AK6" s="93"/>
      <c r="AL6" s="94"/>
      <c r="AM6" s="95" t="n">
        <f aca="false">AM4</f>
        <v>465.3</v>
      </c>
      <c r="AO6" s="96"/>
      <c r="AP6" s="93"/>
      <c r="AQ6" s="93"/>
      <c r="AR6" s="93"/>
      <c r="AS6" s="93"/>
      <c r="AT6" s="94"/>
      <c r="AU6" s="95" t="n">
        <f aca="false">AU4</f>
        <v>492.03</v>
      </c>
      <c r="AW6" s="96"/>
      <c r="AX6" s="93"/>
      <c r="AY6" s="93"/>
      <c r="AZ6" s="93"/>
      <c r="BA6" s="93"/>
      <c r="BB6" s="94"/>
      <c r="BC6" s="95" t="n">
        <f aca="false">BC4</f>
        <v>705.87</v>
      </c>
      <c r="BE6" s="96"/>
      <c r="BF6" s="93"/>
      <c r="BG6" s="93"/>
      <c r="BH6" s="93"/>
      <c r="BI6" s="93"/>
      <c r="BJ6" s="94"/>
      <c r="BK6" s="95" t="n">
        <f aca="false">BK4</f>
        <v>216.3</v>
      </c>
    </row>
    <row r="7" customFormat="false" ht="14.25" hidden="false" customHeight="true" outlineLevel="0" collapsed="false">
      <c r="A7" s="88"/>
      <c r="B7" s="89"/>
      <c r="C7" s="89"/>
      <c r="D7" s="89"/>
      <c r="E7" s="89"/>
      <c r="F7" s="90"/>
      <c r="G7" s="91"/>
      <c r="I7" s="88"/>
      <c r="J7" s="89"/>
      <c r="K7" s="89"/>
      <c r="L7" s="89"/>
      <c r="M7" s="89"/>
      <c r="N7" s="90"/>
      <c r="O7" s="91"/>
      <c r="Q7" s="88"/>
      <c r="R7" s="89"/>
      <c r="S7" s="89"/>
      <c r="T7" s="89"/>
      <c r="U7" s="89"/>
      <c r="V7" s="90"/>
      <c r="W7" s="91"/>
      <c r="Y7" s="88"/>
      <c r="Z7" s="89"/>
      <c r="AA7" s="89"/>
      <c r="AB7" s="89"/>
      <c r="AC7" s="89"/>
      <c r="AD7" s="90"/>
      <c r="AE7" s="91"/>
      <c r="AG7" s="88"/>
      <c r="AH7" s="89"/>
      <c r="AI7" s="89"/>
      <c r="AJ7" s="89"/>
      <c r="AK7" s="89"/>
      <c r="AL7" s="90"/>
      <c r="AM7" s="91"/>
      <c r="AO7" s="88"/>
      <c r="AP7" s="89"/>
      <c r="AQ7" s="89"/>
      <c r="AR7" s="89"/>
      <c r="AS7" s="89"/>
      <c r="AT7" s="90"/>
      <c r="AU7" s="91"/>
      <c r="AW7" s="88"/>
      <c r="AX7" s="89"/>
      <c r="AY7" s="89"/>
      <c r="AZ7" s="89"/>
      <c r="BA7" s="89"/>
      <c r="BB7" s="90"/>
      <c r="BC7" s="91"/>
      <c r="BE7" s="88"/>
      <c r="BF7" s="89"/>
      <c r="BG7" s="89"/>
      <c r="BH7" s="89"/>
      <c r="BI7" s="89"/>
      <c r="BJ7" s="90"/>
      <c r="BK7" s="91"/>
    </row>
    <row r="8" customFormat="false" ht="13.5" hidden="false" customHeight="false" outlineLevel="0" collapsed="false">
      <c r="A8" s="88"/>
      <c r="B8" s="97" t="s">
        <v>140</v>
      </c>
      <c r="C8" s="89"/>
      <c r="D8" s="89"/>
      <c r="E8" s="89"/>
      <c r="F8" s="90"/>
      <c r="G8" s="91"/>
      <c r="I8" s="88"/>
      <c r="J8" s="97" t="s">
        <v>140</v>
      </c>
      <c r="K8" s="89"/>
      <c r="L8" s="89"/>
      <c r="M8" s="89"/>
      <c r="N8" s="90"/>
      <c r="O8" s="91"/>
      <c r="Q8" s="88"/>
      <c r="R8" s="97" t="s">
        <v>140</v>
      </c>
      <c r="S8" s="89"/>
      <c r="T8" s="89"/>
      <c r="U8" s="89"/>
      <c r="V8" s="90"/>
      <c r="W8" s="91"/>
      <c r="Y8" s="88"/>
      <c r="Z8" s="97" t="s">
        <v>140</v>
      </c>
      <c r="AA8" s="89"/>
      <c r="AB8" s="89"/>
      <c r="AC8" s="89"/>
      <c r="AD8" s="90"/>
      <c r="AE8" s="91"/>
      <c r="AG8" s="88"/>
      <c r="AH8" s="97" t="s">
        <v>140</v>
      </c>
      <c r="AI8" s="89"/>
      <c r="AJ8" s="89"/>
      <c r="AK8" s="89"/>
      <c r="AL8" s="90"/>
      <c r="AM8" s="91"/>
      <c r="AO8" s="88"/>
      <c r="AP8" s="97" t="s">
        <v>140</v>
      </c>
      <c r="AQ8" s="89"/>
      <c r="AR8" s="89"/>
      <c r="AS8" s="89"/>
      <c r="AT8" s="90"/>
      <c r="AU8" s="91"/>
      <c r="AW8" s="88"/>
      <c r="AX8" s="97" t="s">
        <v>140</v>
      </c>
      <c r="AY8" s="89"/>
      <c r="AZ8" s="89"/>
      <c r="BA8" s="89"/>
      <c r="BB8" s="90"/>
      <c r="BC8" s="91"/>
      <c r="BE8" s="88"/>
      <c r="BF8" s="97" t="s">
        <v>140</v>
      </c>
      <c r="BG8" s="89"/>
      <c r="BH8" s="89"/>
      <c r="BI8" s="89"/>
      <c r="BJ8" s="90"/>
      <c r="BK8" s="91"/>
    </row>
    <row r="9" customFormat="false" ht="14.9" hidden="false" customHeight="false" outlineLevel="0" collapsed="false">
      <c r="A9" s="88" t="s">
        <v>141</v>
      </c>
      <c r="B9" s="98" t="s">
        <v>142</v>
      </c>
      <c r="C9" s="89" t="n">
        <v>3</v>
      </c>
      <c r="D9" s="89" t="n">
        <v>1.6</v>
      </c>
      <c r="E9" s="89" t="n">
        <v>1</v>
      </c>
      <c r="F9" s="90" t="n">
        <f aca="false">2*(D9+E9)*C9</f>
        <v>15.6</v>
      </c>
      <c r="G9" s="91" t="n">
        <f aca="false">C9*D9*E9</f>
        <v>4.8</v>
      </c>
      <c r="I9" s="88" t="s">
        <v>141</v>
      </c>
      <c r="J9" s="98" t="s">
        <v>143</v>
      </c>
      <c r="K9" s="89" t="n">
        <v>4</v>
      </c>
      <c r="L9" s="89" t="n">
        <f aca="false">'WINDOWS AND DOORS SCHEDULE'!D6</f>
        <v>2.5</v>
      </c>
      <c r="M9" s="89" t="n">
        <f aca="false">'WINDOWS AND DOORS SCHEDULE'!E6</f>
        <v>0.75</v>
      </c>
      <c r="N9" s="90" t="n">
        <f aca="false">2*(L9+M9)*K9</f>
        <v>26</v>
      </c>
      <c r="O9" s="91" t="n">
        <f aca="false">K9*L9*M9</f>
        <v>7.5</v>
      </c>
      <c r="Q9" s="88" t="s">
        <v>141</v>
      </c>
      <c r="R9" s="98" t="s">
        <v>143</v>
      </c>
      <c r="S9" s="89" t="n">
        <v>4</v>
      </c>
      <c r="T9" s="89" t="n">
        <f aca="false">'WINDOWS AND DOORS SCHEDULE'!D6</f>
        <v>2.5</v>
      </c>
      <c r="U9" s="89" t="n">
        <f aca="false">'WINDOWS AND DOORS SCHEDULE'!E6</f>
        <v>0.75</v>
      </c>
      <c r="V9" s="90" t="n">
        <f aca="false">2*(T9+U9)*S9</f>
        <v>26</v>
      </c>
      <c r="W9" s="91" t="n">
        <f aca="false">S9*T9*U9</f>
        <v>7.5</v>
      </c>
      <c r="Y9" s="88" t="s">
        <v>141</v>
      </c>
      <c r="Z9" s="98" t="s">
        <v>143</v>
      </c>
      <c r="AA9" s="89" t="n">
        <v>6</v>
      </c>
      <c r="AB9" s="89" t="n">
        <f aca="false">'WINDOWS AND DOORS SCHEDULE'!D6</f>
        <v>2.5</v>
      </c>
      <c r="AC9" s="89" t="n">
        <f aca="false">'WINDOWS AND DOORS SCHEDULE'!E6</f>
        <v>0.75</v>
      </c>
      <c r="AD9" s="90" t="n">
        <f aca="false">2*(AB9+AC9)*AA9</f>
        <v>39</v>
      </c>
      <c r="AE9" s="91" t="n">
        <f aca="false">AA9*AB9*AC9</f>
        <v>11.25</v>
      </c>
      <c r="AG9" s="88" t="s">
        <v>141</v>
      </c>
      <c r="AH9" s="98" t="s">
        <v>143</v>
      </c>
      <c r="AI9" s="89" t="n">
        <v>4</v>
      </c>
      <c r="AJ9" s="89" t="n">
        <f aca="false">'WINDOWS AND DOORS SCHEDULE'!D6</f>
        <v>2.5</v>
      </c>
      <c r="AK9" s="89" t="n">
        <f aca="false">'WINDOWS AND DOORS SCHEDULE'!E6</f>
        <v>0.75</v>
      </c>
      <c r="AL9" s="90" t="n">
        <f aca="false">2*(AJ9+AK9)*AI9</f>
        <v>26</v>
      </c>
      <c r="AM9" s="91" t="n">
        <f aca="false">AI9*AJ9*AK9</f>
        <v>7.5</v>
      </c>
      <c r="AO9" s="88" t="s">
        <v>141</v>
      </c>
      <c r="AP9" s="98" t="s">
        <v>143</v>
      </c>
      <c r="AQ9" s="89" t="n">
        <v>4</v>
      </c>
      <c r="AR9" s="89" t="n">
        <f aca="false">'WINDOWS AND DOORS SCHEDULE'!D6</f>
        <v>2.5</v>
      </c>
      <c r="AS9" s="89" t="n">
        <f aca="false">'WINDOWS AND DOORS SCHEDULE'!E6</f>
        <v>0.75</v>
      </c>
      <c r="AT9" s="90" t="n">
        <f aca="false">2*(AR9+AS9)*AQ9</f>
        <v>26</v>
      </c>
      <c r="AU9" s="91" t="n">
        <f aca="false">AQ9*AR9*AS9</f>
        <v>7.5</v>
      </c>
      <c r="AW9" s="88" t="s">
        <v>141</v>
      </c>
      <c r="AX9" s="98" t="s">
        <v>143</v>
      </c>
      <c r="AY9" s="89" t="n">
        <v>4</v>
      </c>
      <c r="AZ9" s="89" t="n">
        <f aca="false">'WINDOWS AND DOORS SCHEDULE'!D6</f>
        <v>2.5</v>
      </c>
      <c r="BA9" s="89" t="n">
        <f aca="false">'WINDOWS AND DOORS SCHEDULE'!E6</f>
        <v>0.75</v>
      </c>
      <c r="BB9" s="90" t="n">
        <f aca="false">2*(AZ9+BA9)*AY9</f>
        <v>26</v>
      </c>
      <c r="BC9" s="91" t="n">
        <f aca="false">AY9*AZ9*BA9</f>
        <v>7.5</v>
      </c>
      <c r="BE9" s="88"/>
      <c r="BF9" s="97"/>
      <c r="BG9" s="89"/>
      <c r="BH9" s="89"/>
      <c r="BI9" s="89"/>
      <c r="BJ9" s="90"/>
      <c r="BK9" s="91"/>
    </row>
    <row r="10" customFormat="false" ht="14.9" hidden="false" customHeight="false" outlineLevel="0" collapsed="false">
      <c r="A10" s="92"/>
      <c r="B10" s="98"/>
      <c r="C10" s="89"/>
      <c r="D10" s="89"/>
      <c r="E10" s="89"/>
      <c r="F10" s="90"/>
      <c r="G10" s="91"/>
      <c r="I10" s="88"/>
      <c r="J10" s="98" t="s">
        <v>144</v>
      </c>
      <c r="K10" s="89" t="n">
        <v>3</v>
      </c>
      <c r="L10" s="89" t="n">
        <f aca="false">'WINDOWS AND DOORS SCHEDULE'!D7</f>
        <v>1.6</v>
      </c>
      <c r="M10" s="89" t="n">
        <f aca="false">'WINDOWS AND DOORS SCHEDULE'!E7</f>
        <v>3</v>
      </c>
      <c r="N10" s="90" t="n">
        <f aca="false">2*(L10+M10)*K10</f>
        <v>27.6</v>
      </c>
      <c r="O10" s="91" t="n">
        <f aca="false">K10*L10*M10</f>
        <v>14.4</v>
      </c>
      <c r="Q10" s="88"/>
      <c r="R10" s="98" t="s">
        <v>145</v>
      </c>
      <c r="S10" s="89" t="n">
        <v>2</v>
      </c>
      <c r="T10" s="89" t="n">
        <f aca="false">'WINDOWS AND DOORS SCHEDULE'!D8</f>
        <v>1.5</v>
      </c>
      <c r="U10" s="89" t="n">
        <f aca="false">'WINDOWS AND DOORS SCHEDULE'!E8</f>
        <v>1.2</v>
      </c>
      <c r="V10" s="90" t="n">
        <f aca="false">2*(T10+U10)*S10</f>
        <v>10.8</v>
      </c>
      <c r="W10" s="91" t="n">
        <f aca="false">S10*T10*U10</f>
        <v>3.6</v>
      </c>
      <c r="Y10" s="88"/>
      <c r="Z10" s="98" t="s">
        <v>145</v>
      </c>
      <c r="AA10" s="89" t="n">
        <v>2</v>
      </c>
      <c r="AB10" s="89" t="n">
        <f aca="false">'WINDOWS AND DOORS SCHEDULE'!D8</f>
        <v>1.5</v>
      </c>
      <c r="AC10" s="89" t="n">
        <f aca="false">'WINDOWS AND DOORS SCHEDULE'!E8</f>
        <v>1.2</v>
      </c>
      <c r="AD10" s="90" t="n">
        <f aca="false">2*(AB10+AC10)*AA10</f>
        <v>10.8</v>
      </c>
      <c r="AE10" s="91" t="n">
        <f aca="false">AA10*AB10*AC10</f>
        <v>3.6</v>
      </c>
      <c r="AG10" s="88"/>
      <c r="AH10" s="98" t="s">
        <v>145</v>
      </c>
      <c r="AI10" s="89" t="n">
        <v>2</v>
      </c>
      <c r="AJ10" s="89" t="n">
        <f aca="false">'WINDOWS AND DOORS SCHEDULE'!D8</f>
        <v>1.5</v>
      </c>
      <c r="AK10" s="89" t="n">
        <f aca="false">'WINDOWS AND DOORS SCHEDULE'!E8</f>
        <v>1.2</v>
      </c>
      <c r="AL10" s="90" t="n">
        <f aca="false">2*(AJ10+AK10)*AI10</f>
        <v>10.8</v>
      </c>
      <c r="AM10" s="91" t="n">
        <f aca="false">AI10*AJ10*AK10</f>
        <v>3.6</v>
      </c>
      <c r="AO10" s="88"/>
      <c r="AP10" s="98" t="s">
        <v>145</v>
      </c>
      <c r="AQ10" s="89" t="n">
        <v>2</v>
      </c>
      <c r="AR10" s="89" t="n">
        <f aca="false">'WINDOWS AND DOORS SCHEDULE'!D8</f>
        <v>1.5</v>
      </c>
      <c r="AS10" s="89" t="n">
        <f aca="false">'WINDOWS AND DOORS SCHEDULE'!E8</f>
        <v>1.2</v>
      </c>
      <c r="AT10" s="90" t="n">
        <f aca="false">2*(AR10+AS10)*AQ10</f>
        <v>10.8</v>
      </c>
      <c r="AU10" s="91" t="n">
        <f aca="false">AQ10*AR10*AS10</f>
        <v>3.6</v>
      </c>
      <c r="AW10" s="88"/>
      <c r="AX10" s="98" t="s">
        <v>145</v>
      </c>
      <c r="AY10" s="89" t="n">
        <v>1</v>
      </c>
      <c r="AZ10" s="89" t="n">
        <f aca="false">'WINDOWS AND DOORS SCHEDULE'!D8</f>
        <v>1.5</v>
      </c>
      <c r="BA10" s="89" t="n">
        <f aca="false">'WINDOWS AND DOORS SCHEDULE'!E8</f>
        <v>1.2</v>
      </c>
      <c r="BB10" s="90" t="n">
        <f aca="false">2*(AZ10+BA10)*AY10</f>
        <v>5.4</v>
      </c>
      <c r="BC10" s="91" t="n">
        <f aca="false">AY10*AZ10*BA10</f>
        <v>1.8</v>
      </c>
      <c r="BE10" s="88"/>
      <c r="BF10" s="97"/>
      <c r="BG10" s="89"/>
      <c r="BH10" s="89"/>
      <c r="BI10" s="89"/>
      <c r="BJ10" s="90"/>
      <c r="BK10" s="91"/>
    </row>
    <row r="11" customFormat="false" ht="14.9" hidden="false" customHeight="false" outlineLevel="0" collapsed="false">
      <c r="A11" s="92"/>
      <c r="B11" s="98"/>
      <c r="C11" s="89"/>
      <c r="D11" s="89"/>
      <c r="E11" s="89"/>
      <c r="F11" s="90"/>
      <c r="G11" s="91"/>
      <c r="I11" s="88"/>
      <c r="J11" s="98" t="s">
        <v>145</v>
      </c>
      <c r="K11" s="89" t="n">
        <v>2</v>
      </c>
      <c r="L11" s="89" t="n">
        <f aca="false">'WINDOWS AND DOORS SCHEDULE'!D8</f>
        <v>1.5</v>
      </c>
      <c r="M11" s="89" t="n">
        <f aca="false">'WINDOWS AND DOORS SCHEDULE'!E8</f>
        <v>1.2</v>
      </c>
      <c r="N11" s="90" t="n">
        <f aca="false">2*(L11+M11)*K11</f>
        <v>10.8</v>
      </c>
      <c r="O11" s="91" t="n">
        <f aca="false">K11*L11*M11</f>
        <v>3.6</v>
      </c>
      <c r="Q11" s="88"/>
      <c r="R11" s="98" t="s">
        <v>146</v>
      </c>
      <c r="S11" s="89" t="n">
        <v>2</v>
      </c>
      <c r="T11" s="89" t="n">
        <f aca="false">'WINDOWS AND DOORS SCHEDULE'!D9</f>
        <v>0.9</v>
      </c>
      <c r="U11" s="89" t="n">
        <f aca="false">'WINDOWS AND DOORS SCHEDULE'!E9</f>
        <v>2</v>
      </c>
      <c r="V11" s="90" t="n">
        <f aca="false">2*(T11+U11)*S11</f>
        <v>11.6</v>
      </c>
      <c r="W11" s="91" t="n">
        <f aca="false">S11*T11*U11</f>
        <v>3.6</v>
      </c>
      <c r="Y11" s="88"/>
      <c r="Z11" s="98" t="s">
        <v>146</v>
      </c>
      <c r="AA11" s="89" t="n">
        <v>2</v>
      </c>
      <c r="AB11" s="89" t="n">
        <f aca="false">'WINDOWS AND DOORS SCHEDULE'!D9</f>
        <v>0.9</v>
      </c>
      <c r="AC11" s="89" t="n">
        <f aca="false">'WINDOWS AND DOORS SCHEDULE'!E9</f>
        <v>2</v>
      </c>
      <c r="AD11" s="90" t="n">
        <f aca="false">2*(AB11+AC11)*AA11</f>
        <v>11.6</v>
      </c>
      <c r="AE11" s="91" t="n">
        <f aca="false">AA11*AB11*AC11</f>
        <v>3.6</v>
      </c>
      <c r="AG11" s="88"/>
      <c r="AH11" s="98" t="s">
        <v>146</v>
      </c>
      <c r="AI11" s="89" t="n">
        <v>2</v>
      </c>
      <c r="AJ11" s="89" t="n">
        <f aca="false">'WINDOWS AND DOORS SCHEDULE'!D9</f>
        <v>0.9</v>
      </c>
      <c r="AK11" s="89" t="n">
        <f aca="false">'WINDOWS AND DOORS SCHEDULE'!E9</f>
        <v>2</v>
      </c>
      <c r="AL11" s="90" t="n">
        <f aca="false">2*(AJ11+AK11)*AI11</f>
        <v>11.6</v>
      </c>
      <c r="AM11" s="91" t="n">
        <f aca="false">AI11*AJ11*AK11</f>
        <v>3.6</v>
      </c>
      <c r="AO11" s="88"/>
      <c r="AP11" s="98" t="s">
        <v>146</v>
      </c>
      <c r="AQ11" s="89" t="n">
        <v>2</v>
      </c>
      <c r="AR11" s="89" t="n">
        <f aca="false">'WINDOWS AND DOORS SCHEDULE'!D9</f>
        <v>0.9</v>
      </c>
      <c r="AS11" s="89" t="n">
        <f aca="false">'WINDOWS AND DOORS SCHEDULE'!E9</f>
        <v>2</v>
      </c>
      <c r="AT11" s="90" t="n">
        <f aca="false">2*(AR11+AS11)*AQ11</f>
        <v>11.6</v>
      </c>
      <c r="AU11" s="91" t="n">
        <f aca="false">AQ11*AR11*AS11</f>
        <v>3.6</v>
      </c>
      <c r="AW11" s="88"/>
      <c r="AX11" s="98" t="s">
        <v>146</v>
      </c>
      <c r="AY11" s="89" t="n">
        <v>5</v>
      </c>
      <c r="AZ11" s="89" t="n">
        <f aca="false">'WINDOWS AND DOORS SCHEDULE'!D9</f>
        <v>0.9</v>
      </c>
      <c r="BA11" s="89" t="n">
        <f aca="false">'WINDOWS AND DOORS SCHEDULE'!E9</f>
        <v>2</v>
      </c>
      <c r="BB11" s="90" t="n">
        <f aca="false">2*(AZ11+BA11)*AY11</f>
        <v>29</v>
      </c>
      <c r="BC11" s="91" t="n">
        <f aca="false">AY11*AZ11*BA11</f>
        <v>9</v>
      </c>
      <c r="BE11" s="88"/>
      <c r="BF11" s="97"/>
      <c r="BG11" s="89"/>
      <c r="BH11" s="89"/>
      <c r="BI11" s="89"/>
      <c r="BJ11" s="90"/>
      <c r="BK11" s="91"/>
    </row>
    <row r="12" customFormat="false" ht="14.9" hidden="false" customHeight="false" outlineLevel="0" collapsed="false">
      <c r="A12" s="92"/>
      <c r="B12" s="98"/>
      <c r="C12" s="89"/>
      <c r="D12" s="89"/>
      <c r="E12" s="89"/>
      <c r="F12" s="90"/>
      <c r="G12" s="91"/>
      <c r="I12" s="88"/>
      <c r="J12" s="98" t="s">
        <v>147</v>
      </c>
      <c r="K12" s="89" t="n">
        <v>1</v>
      </c>
      <c r="L12" s="89" t="n">
        <f aca="false">'WINDOWS AND DOORS SCHEDULE'!D11</f>
        <v>1.2</v>
      </c>
      <c r="M12" s="89" t="n">
        <f aca="false">'WINDOWS AND DOORS SCHEDULE'!E11</f>
        <v>0.75</v>
      </c>
      <c r="N12" s="90" t="n">
        <f aca="false">2*(L12+M12)*K12</f>
        <v>3.9</v>
      </c>
      <c r="O12" s="91" t="n">
        <f aca="false">K12*L12*M12</f>
        <v>0.9</v>
      </c>
      <c r="Q12" s="88"/>
      <c r="R12" s="98" t="s">
        <v>147</v>
      </c>
      <c r="S12" s="89" t="n">
        <v>1</v>
      </c>
      <c r="T12" s="89" t="n">
        <f aca="false">'WINDOWS AND DOORS SCHEDULE'!D11</f>
        <v>1.2</v>
      </c>
      <c r="U12" s="89" t="n">
        <f aca="false">'WINDOWS AND DOORS SCHEDULE'!E11</f>
        <v>0.75</v>
      </c>
      <c r="V12" s="90" t="n">
        <f aca="false">2*(T12+U12)*S12</f>
        <v>3.9</v>
      </c>
      <c r="W12" s="91" t="n">
        <f aca="false">S12*T12*U12</f>
        <v>0.9</v>
      </c>
      <c r="Y12" s="88"/>
      <c r="Z12" s="98" t="s">
        <v>147</v>
      </c>
      <c r="AA12" s="89" t="n">
        <v>1</v>
      </c>
      <c r="AB12" s="89" t="n">
        <f aca="false">'WINDOWS AND DOORS SCHEDULE'!D11</f>
        <v>1.2</v>
      </c>
      <c r="AC12" s="89" t="n">
        <f aca="false">'WINDOWS AND DOORS SCHEDULE'!E11</f>
        <v>0.75</v>
      </c>
      <c r="AD12" s="90" t="n">
        <f aca="false">2*(AB12+AC12)*AA12</f>
        <v>3.9</v>
      </c>
      <c r="AE12" s="91" t="n">
        <f aca="false">AA12*AB12*AC12</f>
        <v>0.9</v>
      </c>
      <c r="AG12" s="88"/>
      <c r="AH12" s="98" t="s">
        <v>147</v>
      </c>
      <c r="AI12" s="89" t="n">
        <v>1</v>
      </c>
      <c r="AJ12" s="89" t="n">
        <f aca="false">'WINDOWS AND DOORS SCHEDULE'!D11</f>
        <v>1.2</v>
      </c>
      <c r="AK12" s="89" t="n">
        <f aca="false">'WINDOWS AND DOORS SCHEDULE'!E11</f>
        <v>0.75</v>
      </c>
      <c r="AL12" s="90" t="n">
        <f aca="false">2*(AJ12+AK12)*AI12</f>
        <v>3.9</v>
      </c>
      <c r="AM12" s="91" t="n">
        <f aca="false">AI12*AJ12*AK12</f>
        <v>0.9</v>
      </c>
      <c r="AO12" s="88"/>
      <c r="AP12" s="98" t="s">
        <v>148</v>
      </c>
      <c r="AQ12" s="89" t="n">
        <v>4</v>
      </c>
      <c r="AR12" s="89" t="n">
        <f aca="false">'WINDOWS AND DOORS SCHEDULE'!D12</f>
        <v>1.8</v>
      </c>
      <c r="AS12" s="89" t="n">
        <f aca="false">'WINDOWS AND DOORS SCHEDULE'!E12</f>
        <v>1</v>
      </c>
      <c r="AT12" s="90" t="n">
        <f aca="false">2*(AR12+AS12)*AQ12</f>
        <v>22.4</v>
      </c>
      <c r="AU12" s="91" t="n">
        <f aca="false">AQ12*AR12*AS12</f>
        <v>7.2</v>
      </c>
      <c r="AW12" s="88"/>
      <c r="AX12" s="98" t="s">
        <v>147</v>
      </c>
      <c r="AY12" s="89" t="n">
        <v>1</v>
      </c>
      <c r="AZ12" s="89" t="n">
        <f aca="false">'WINDOWS AND DOORS SCHEDULE'!D11</f>
        <v>1.2</v>
      </c>
      <c r="BA12" s="89" t="n">
        <f aca="false">'WINDOWS AND DOORS SCHEDULE'!E11</f>
        <v>0.75</v>
      </c>
      <c r="BB12" s="90" t="n">
        <f aca="false">2*(AZ12+BA12)*AY12</f>
        <v>3.9</v>
      </c>
      <c r="BC12" s="91" t="n">
        <f aca="false">AY12*AZ12*BA12</f>
        <v>0.9</v>
      </c>
      <c r="BE12" s="88"/>
      <c r="BF12" s="97"/>
      <c r="BG12" s="89"/>
      <c r="BH12" s="89"/>
      <c r="BI12" s="89"/>
      <c r="BJ12" s="90"/>
      <c r="BK12" s="91"/>
    </row>
    <row r="13" customFormat="false" ht="14.9" hidden="false" customHeight="false" outlineLevel="0" collapsed="false">
      <c r="A13" s="92"/>
      <c r="B13" s="98"/>
      <c r="C13" s="89"/>
      <c r="D13" s="89"/>
      <c r="E13" s="89"/>
      <c r="F13" s="90"/>
      <c r="G13" s="91"/>
      <c r="I13" s="88"/>
      <c r="J13" s="99"/>
      <c r="K13" s="89"/>
      <c r="L13" s="89"/>
      <c r="M13" s="89"/>
      <c r="N13" s="90"/>
      <c r="O13" s="91"/>
      <c r="Q13" s="88"/>
      <c r="R13" s="99"/>
      <c r="S13" s="89"/>
      <c r="T13" s="89"/>
      <c r="U13" s="89"/>
      <c r="V13" s="90"/>
      <c r="W13" s="91"/>
      <c r="Y13" s="88"/>
      <c r="Z13" s="98" t="s">
        <v>148</v>
      </c>
      <c r="AA13" s="89" t="n">
        <v>3</v>
      </c>
      <c r="AB13" s="89" t="n">
        <f aca="false">'WINDOWS AND DOORS SCHEDULE'!D12</f>
        <v>1.8</v>
      </c>
      <c r="AC13" s="89" t="n">
        <f aca="false">'WINDOWS AND DOORS SCHEDULE'!E12</f>
        <v>1</v>
      </c>
      <c r="AD13" s="90" t="n">
        <f aca="false">2*(AB13+AC13)*AA13</f>
        <v>16.8</v>
      </c>
      <c r="AE13" s="91" t="n">
        <f aca="false">AA13*AB13*AC13</f>
        <v>5.4</v>
      </c>
      <c r="AG13" s="88"/>
      <c r="AH13" s="98" t="s">
        <v>148</v>
      </c>
      <c r="AI13" s="89" t="n">
        <v>3</v>
      </c>
      <c r="AJ13" s="89" t="n">
        <f aca="false">'WINDOWS AND DOORS SCHEDULE'!D12</f>
        <v>1.8</v>
      </c>
      <c r="AK13" s="89" t="n">
        <f aca="false">'WINDOWS AND DOORS SCHEDULE'!E12</f>
        <v>1</v>
      </c>
      <c r="AL13" s="90" t="n">
        <f aca="false">2*(AJ13+AK13)*AI13</f>
        <v>16.8</v>
      </c>
      <c r="AM13" s="91" t="n">
        <f aca="false">AI13*AJ13*AK13</f>
        <v>5.4</v>
      </c>
      <c r="AO13" s="88"/>
      <c r="AP13" s="98"/>
      <c r="AQ13" s="89"/>
      <c r="AR13" s="89"/>
      <c r="AS13" s="89"/>
      <c r="AT13" s="90"/>
      <c r="AU13" s="91"/>
      <c r="AW13" s="88"/>
      <c r="AX13" s="98"/>
      <c r="AY13" s="89"/>
      <c r="AZ13" s="89"/>
      <c r="BA13" s="89"/>
      <c r="BB13" s="90"/>
      <c r="BC13" s="91"/>
      <c r="BE13" s="88"/>
      <c r="BF13" s="97"/>
      <c r="BG13" s="89"/>
      <c r="BH13" s="89"/>
      <c r="BI13" s="89"/>
      <c r="BJ13" s="90"/>
      <c r="BK13" s="91"/>
    </row>
    <row r="14" customFormat="false" ht="13.5" hidden="false" customHeight="false" outlineLevel="0" collapsed="false">
      <c r="A14" s="92"/>
      <c r="B14" s="98"/>
      <c r="C14" s="89"/>
      <c r="D14" s="89"/>
      <c r="E14" s="89"/>
      <c r="F14" s="90"/>
      <c r="G14" s="91"/>
      <c r="I14" s="88"/>
      <c r="J14" s="99"/>
      <c r="K14" s="89"/>
      <c r="L14" s="89"/>
      <c r="M14" s="89"/>
      <c r="N14" s="90"/>
      <c r="O14" s="91"/>
      <c r="Q14" s="88"/>
      <c r="R14" s="99"/>
      <c r="S14" s="89"/>
      <c r="T14" s="89"/>
      <c r="U14" s="89"/>
      <c r="V14" s="90"/>
      <c r="W14" s="91"/>
      <c r="Y14" s="88"/>
      <c r="Z14" s="99"/>
      <c r="AA14" s="89"/>
      <c r="AB14" s="89"/>
      <c r="AC14" s="89"/>
      <c r="AD14" s="90"/>
      <c r="AE14" s="91"/>
      <c r="AG14" s="88"/>
      <c r="AH14" s="99"/>
      <c r="AI14" s="89"/>
      <c r="AJ14" s="89"/>
      <c r="AK14" s="89"/>
      <c r="AL14" s="90"/>
      <c r="AM14" s="91"/>
      <c r="AO14" s="88"/>
      <c r="AP14" s="99"/>
      <c r="AQ14" s="89"/>
      <c r="AR14" s="89"/>
      <c r="AS14" s="89"/>
      <c r="AT14" s="90"/>
      <c r="AU14" s="91"/>
      <c r="AW14" s="88"/>
      <c r="AX14" s="99"/>
      <c r="AY14" s="89"/>
      <c r="AZ14" s="89"/>
      <c r="BA14" s="89"/>
      <c r="BB14" s="90"/>
      <c r="BC14" s="91"/>
      <c r="BE14" s="88"/>
      <c r="BF14" s="99"/>
      <c r="BG14" s="89"/>
      <c r="BH14" s="89"/>
      <c r="BI14" s="89"/>
      <c r="BJ14" s="90"/>
      <c r="BK14" s="91"/>
    </row>
    <row r="15" customFormat="false" ht="14.25" hidden="false" customHeight="true" outlineLevel="0" collapsed="false">
      <c r="A15" s="93"/>
      <c r="B15" s="93" t="s">
        <v>149</v>
      </c>
      <c r="C15" s="93"/>
      <c r="D15" s="93"/>
      <c r="E15" s="93"/>
      <c r="F15" s="100" t="n">
        <f aca="false">F9</f>
        <v>15.6</v>
      </c>
      <c r="G15" s="101" t="n">
        <f aca="false">G9</f>
        <v>4.8</v>
      </c>
      <c r="I15" s="96"/>
      <c r="J15" s="93" t="s">
        <v>149</v>
      </c>
      <c r="K15" s="93"/>
      <c r="L15" s="93"/>
      <c r="M15" s="93"/>
      <c r="N15" s="100" t="n">
        <f aca="false">SUM(N9:N14)</f>
        <v>68.3</v>
      </c>
      <c r="O15" s="101" t="n">
        <f aca="false">SUM(O9:O14)</f>
        <v>26.4</v>
      </c>
      <c r="Q15" s="96"/>
      <c r="R15" s="93" t="s">
        <v>149</v>
      </c>
      <c r="S15" s="93"/>
      <c r="T15" s="93"/>
      <c r="U15" s="93"/>
      <c r="V15" s="100" t="n">
        <f aca="false">SUM(V9:V14)</f>
        <v>52.3</v>
      </c>
      <c r="W15" s="101" t="n">
        <f aca="false">SUM(W9:W14)</f>
        <v>15.6</v>
      </c>
      <c r="Y15" s="96"/>
      <c r="Z15" s="93" t="s">
        <v>149</v>
      </c>
      <c r="AA15" s="93"/>
      <c r="AB15" s="93"/>
      <c r="AC15" s="93"/>
      <c r="AD15" s="100" t="n">
        <f aca="false">SUM(AD8:AD14)</f>
        <v>82.1</v>
      </c>
      <c r="AE15" s="101" t="n">
        <f aca="false">SUM(AE9:AE13)</f>
        <v>24.75</v>
      </c>
      <c r="AG15" s="96"/>
      <c r="AH15" s="93" t="s">
        <v>149</v>
      </c>
      <c r="AI15" s="93"/>
      <c r="AJ15" s="93"/>
      <c r="AK15" s="93"/>
      <c r="AL15" s="100" t="n">
        <f aca="false">SUM(AL9:AL13)</f>
        <v>69.1</v>
      </c>
      <c r="AM15" s="101" t="n">
        <f aca="false">SUM(AM9:AM13)</f>
        <v>21</v>
      </c>
      <c r="AO15" s="96"/>
      <c r="AP15" s="93" t="s">
        <v>149</v>
      </c>
      <c r="AQ15" s="93"/>
      <c r="AR15" s="93"/>
      <c r="AS15" s="93"/>
      <c r="AT15" s="100" t="n">
        <f aca="false">SUM(AT9:AT14)</f>
        <v>70.8</v>
      </c>
      <c r="AU15" s="101" t="n">
        <f aca="false">SUM(AU9:AU14)</f>
        <v>21.9</v>
      </c>
      <c r="AW15" s="96"/>
      <c r="AX15" s="93" t="s">
        <v>149</v>
      </c>
      <c r="AY15" s="93"/>
      <c r="AZ15" s="93"/>
      <c r="BA15" s="93"/>
      <c r="BB15" s="100" t="n">
        <f aca="false">SUM(BB9:BB14)</f>
        <v>64.3</v>
      </c>
      <c r="BC15" s="101" t="n">
        <f aca="false">SUM(BC9:BC14)</f>
        <v>19.2</v>
      </c>
      <c r="BE15" s="96"/>
      <c r="BF15" s="93" t="s">
        <v>149</v>
      </c>
      <c r="BG15" s="93"/>
      <c r="BH15" s="93"/>
      <c r="BI15" s="93"/>
      <c r="BJ15" s="94"/>
      <c r="BK15" s="101" t="n">
        <f aca="false">SUM(BK14:BK14)</f>
        <v>0</v>
      </c>
    </row>
    <row r="16" customFormat="false" ht="14.25" hidden="false" customHeight="true" outlineLevel="0" collapsed="false">
      <c r="A16" s="88"/>
      <c r="B16" s="97" t="s">
        <v>150</v>
      </c>
      <c r="C16" s="89"/>
      <c r="D16" s="89"/>
      <c r="E16" s="89"/>
      <c r="F16" s="90"/>
      <c r="G16" s="91"/>
      <c r="I16" s="88"/>
      <c r="J16" s="97" t="s">
        <v>150</v>
      </c>
      <c r="K16" s="89"/>
      <c r="L16" s="89"/>
      <c r="M16" s="89"/>
      <c r="N16" s="90"/>
      <c r="O16" s="91"/>
      <c r="Q16" s="88"/>
      <c r="R16" s="97" t="s">
        <v>150</v>
      </c>
      <c r="S16" s="89"/>
      <c r="T16" s="89"/>
      <c r="U16" s="89"/>
      <c r="V16" s="90"/>
      <c r="W16" s="91"/>
      <c r="Y16" s="88"/>
      <c r="Z16" s="97" t="s">
        <v>150</v>
      </c>
      <c r="AA16" s="89"/>
      <c r="AB16" s="89"/>
      <c r="AC16" s="89"/>
      <c r="AD16" s="90"/>
      <c r="AE16" s="91"/>
      <c r="AG16" s="88"/>
      <c r="AH16" s="97" t="s">
        <v>150</v>
      </c>
      <c r="AI16" s="89"/>
      <c r="AJ16" s="89"/>
      <c r="AK16" s="89"/>
      <c r="AL16" s="90"/>
      <c r="AM16" s="91"/>
      <c r="AO16" s="88"/>
      <c r="AP16" s="89"/>
      <c r="AQ16" s="89"/>
      <c r="AR16" s="89"/>
      <c r="AS16" s="89"/>
      <c r="AT16" s="90"/>
      <c r="AU16" s="91"/>
      <c r="AW16" s="88"/>
      <c r="AX16" s="97" t="s">
        <v>150</v>
      </c>
      <c r="AY16" s="89"/>
      <c r="AZ16" s="89"/>
      <c r="BA16" s="89"/>
      <c r="BC16" s="91"/>
      <c r="BE16" s="88"/>
      <c r="BF16" s="97" t="s">
        <v>150</v>
      </c>
      <c r="BG16" s="89"/>
      <c r="BH16" s="89"/>
      <c r="BI16" s="89"/>
      <c r="BK16" s="91"/>
    </row>
    <row r="17" customFormat="false" ht="14.9" hidden="false" customHeight="false" outlineLevel="0" collapsed="false">
      <c r="A17" s="88" t="s">
        <v>151</v>
      </c>
      <c r="B17" s="102" t="s">
        <v>152</v>
      </c>
      <c r="C17" s="89" t="n">
        <v>4</v>
      </c>
      <c r="D17" s="89" t="n">
        <f aca="false">'WINDOWS AND DOORS SCHEDULE'!L6</f>
        <v>0.9</v>
      </c>
      <c r="E17" s="89" t="n">
        <f aca="false">'WINDOWS AND DOORS SCHEDULE'!M6</f>
        <v>2.1</v>
      </c>
      <c r="F17" s="90" t="n">
        <f aca="false">2*(D17+E17)*C17</f>
        <v>24</v>
      </c>
      <c r="G17" s="91" t="n">
        <f aca="false">C17*D17*E17</f>
        <v>7.56</v>
      </c>
      <c r="I17" s="88" t="s">
        <v>151</v>
      </c>
      <c r="J17" s="102" t="s">
        <v>153</v>
      </c>
      <c r="K17" s="89" t="n">
        <v>3</v>
      </c>
      <c r="L17" s="89" t="n">
        <f aca="false">'WINDOWS AND DOORS SCHEDULE'!L5</f>
        <v>1.2</v>
      </c>
      <c r="M17" s="89" t="n">
        <f aca="false">'WINDOWS AND DOORS SCHEDULE'!M5</f>
        <v>2.1</v>
      </c>
      <c r="N17" s="90" t="n">
        <f aca="false">2*(L17+M17)*K17</f>
        <v>19.8</v>
      </c>
      <c r="O17" s="91" t="n">
        <f aca="false">K17*L17*M17</f>
        <v>7.56</v>
      </c>
      <c r="Q17" s="88" t="s">
        <v>151</v>
      </c>
      <c r="R17" s="102" t="s">
        <v>153</v>
      </c>
      <c r="S17" s="89" t="n">
        <v>3</v>
      </c>
      <c r="T17" s="89" t="n">
        <f aca="false">'WINDOWS AND DOORS SCHEDULE'!L5</f>
        <v>1.2</v>
      </c>
      <c r="U17" s="89" t="n">
        <f aca="false">'WINDOWS AND DOORS SCHEDULE'!M5</f>
        <v>2.1</v>
      </c>
      <c r="V17" s="90" t="n">
        <f aca="false">2*(T17+U17)*S17</f>
        <v>19.8</v>
      </c>
      <c r="W17" s="91" t="n">
        <f aca="false">S17*T17*U17</f>
        <v>7.56</v>
      </c>
      <c r="Y17" s="88" t="s">
        <v>151</v>
      </c>
      <c r="Z17" s="102" t="s">
        <v>153</v>
      </c>
      <c r="AA17" s="89" t="n">
        <v>3</v>
      </c>
      <c r="AB17" s="89" t="n">
        <f aca="false">'WINDOWS AND DOORS SCHEDULE'!L5</f>
        <v>1.2</v>
      </c>
      <c r="AC17" s="89" t="n">
        <f aca="false">'WINDOWS AND DOORS SCHEDULE'!M5</f>
        <v>2.1</v>
      </c>
      <c r="AD17" s="90" t="n">
        <f aca="false">2*(AB17+AC17)*AA17</f>
        <v>19.8</v>
      </c>
      <c r="AE17" s="91" t="n">
        <f aca="false">AA17*AB17*AC17</f>
        <v>7.56</v>
      </c>
      <c r="AG17" s="88" t="s">
        <v>151</v>
      </c>
      <c r="AH17" s="102" t="s">
        <v>153</v>
      </c>
      <c r="AI17" s="89" t="n">
        <v>2</v>
      </c>
      <c r="AJ17" s="89" t="n">
        <f aca="false">'WINDOWS AND DOORS SCHEDULE'!L5</f>
        <v>1.2</v>
      </c>
      <c r="AK17" s="89" t="n">
        <f aca="false">'WINDOWS AND DOORS SCHEDULE'!M5</f>
        <v>2.1</v>
      </c>
      <c r="AL17" s="90" t="n">
        <f aca="false">2*(AJ17+AK17)*AI17</f>
        <v>13.2</v>
      </c>
      <c r="AM17" s="91" t="n">
        <f aca="false">AI17*AJ17*AK17</f>
        <v>5.04</v>
      </c>
      <c r="AO17" s="88"/>
      <c r="AP17" s="97" t="s">
        <v>150</v>
      </c>
      <c r="AQ17" s="89"/>
      <c r="AR17" s="89"/>
      <c r="AS17" s="89"/>
      <c r="AU17" s="91"/>
      <c r="AW17" s="88" t="s">
        <v>151</v>
      </c>
      <c r="AX17" s="102" t="s">
        <v>153</v>
      </c>
      <c r="AY17" s="89" t="n">
        <v>2</v>
      </c>
      <c r="AZ17" s="89" t="n">
        <f aca="false">'WINDOWS AND DOORS SCHEDULE'!L5</f>
        <v>1.2</v>
      </c>
      <c r="BA17" s="89" t="n">
        <f aca="false">'WINDOWS AND DOORS SCHEDULE'!M5</f>
        <v>2.1</v>
      </c>
      <c r="BB17" s="90" t="n">
        <f aca="false">2*(AZ17+BA17)*AY17</f>
        <v>13.2</v>
      </c>
      <c r="BC17" s="91" t="n">
        <f aca="false">AY17*AZ17*BA17</f>
        <v>5.04</v>
      </c>
      <c r="BE17" s="88" t="s">
        <v>151</v>
      </c>
      <c r="BF17" s="102" t="s">
        <v>154</v>
      </c>
      <c r="BG17" s="89" t="n">
        <v>1</v>
      </c>
      <c r="BH17" s="89" t="n">
        <f aca="false">'WINDOWS AND DOORS SCHEDULE'!L12</f>
        <v>1.8</v>
      </c>
      <c r="BI17" s="89" t="n">
        <f aca="false">'WINDOWS AND DOORS SCHEDULE'!M12</f>
        <v>2.1</v>
      </c>
      <c r="BJ17" s="90" t="n">
        <f aca="false">2*(BH17+BI17)*BG17</f>
        <v>7.8</v>
      </c>
      <c r="BK17" s="91" t="n">
        <f aca="false">BG17*BH17*BI17</f>
        <v>3.78</v>
      </c>
    </row>
    <row r="18" customFormat="false" ht="14.9" hidden="false" customHeight="false" outlineLevel="0" collapsed="false">
      <c r="A18" s="88" t="s">
        <v>155</v>
      </c>
      <c r="B18" s="102" t="s">
        <v>156</v>
      </c>
      <c r="C18" s="89" t="n">
        <v>8</v>
      </c>
      <c r="D18" s="89" t="n">
        <f aca="false">'WINDOWS AND DOORS SCHEDULE'!L7</f>
        <v>0.75</v>
      </c>
      <c r="E18" s="89" t="n">
        <f aca="false">'WINDOWS AND DOORS SCHEDULE'!M7</f>
        <v>2.1</v>
      </c>
      <c r="F18" s="90" t="n">
        <f aca="false">2*(D18+E18)*C18</f>
        <v>45.6</v>
      </c>
      <c r="G18" s="91" t="n">
        <f aca="false">C18*D18*E18</f>
        <v>12.6</v>
      </c>
      <c r="I18" s="88" t="s">
        <v>155</v>
      </c>
      <c r="J18" s="102" t="s">
        <v>152</v>
      </c>
      <c r="K18" s="89" t="n">
        <v>3</v>
      </c>
      <c r="L18" s="89" t="n">
        <f aca="false">'WINDOWS AND DOORS SCHEDULE'!L6</f>
        <v>0.9</v>
      </c>
      <c r="M18" s="89" t="n">
        <f aca="false">'WINDOWS AND DOORS SCHEDULE'!M6</f>
        <v>2.1</v>
      </c>
      <c r="N18" s="90" t="n">
        <f aca="false">2*(L18+M18)*K18</f>
        <v>18</v>
      </c>
      <c r="O18" s="91" t="n">
        <f aca="false">K18*L18*M18</f>
        <v>5.67</v>
      </c>
      <c r="Q18" s="88" t="s">
        <v>155</v>
      </c>
      <c r="R18" s="102" t="s">
        <v>152</v>
      </c>
      <c r="S18" s="89" t="n">
        <v>4</v>
      </c>
      <c r="T18" s="89" t="n">
        <f aca="false">'WINDOWS AND DOORS SCHEDULE'!L6</f>
        <v>0.9</v>
      </c>
      <c r="U18" s="89" t="n">
        <f aca="false">'WINDOWS AND DOORS SCHEDULE'!M6</f>
        <v>2.1</v>
      </c>
      <c r="V18" s="90" t="n">
        <f aca="false">2*(T18+U18)*S18</f>
        <v>24</v>
      </c>
      <c r="W18" s="91" t="n">
        <f aca="false">S18*T18*U18</f>
        <v>7.56</v>
      </c>
      <c r="Y18" s="88" t="s">
        <v>155</v>
      </c>
      <c r="Z18" s="102" t="s">
        <v>152</v>
      </c>
      <c r="AA18" s="89" t="n">
        <v>8</v>
      </c>
      <c r="AB18" s="89" t="n">
        <f aca="false">'WINDOWS AND DOORS SCHEDULE'!L6</f>
        <v>0.9</v>
      </c>
      <c r="AC18" s="89" t="n">
        <f aca="false">'WINDOWS AND DOORS SCHEDULE'!M6</f>
        <v>2.1</v>
      </c>
      <c r="AD18" s="90" t="n">
        <f aca="false">2*(AB18+AC18)*AA18</f>
        <v>48</v>
      </c>
      <c r="AE18" s="91" t="n">
        <f aca="false">AA18*AB18*AC18</f>
        <v>15.12</v>
      </c>
      <c r="AG18" s="88" t="s">
        <v>155</v>
      </c>
      <c r="AH18" s="102" t="s">
        <v>152</v>
      </c>
      <c r="AI18" s="89" t="n">
        <v>3</v>
      </c>
      <c r="AJ18" s="89" t="n">
        <f aca="false">'WINDOWS AND DOORS SCHEDULE'!L6</f>
        <v>0.9</v>
      </c>
      <c r="AK18" s="89" t="n">
        <f aca="false">'WINDOWS AND DOORS SCHEDULE'!M6</f>
        <v>2.1</v>
      </c>
      <c r="AL18" s="90" t="n">
        <f aca="false">2*(AJ18+AK18)*AI18</f>
        <v>18</v>
      </c>
      <c r="AM18" s="91" t="n">
        <f aca="false">AI18*AJ18*AK18</f>
        <v>5.67</v>
      </c>
      <c r="AO18" s="88" t="s">
        <v>151</v>
      </c>
      <c r="AP18" s="102" t="s">
        <v>153</v>
      </c>
      <c r="AQ18" s="89" t="n">
        <v>2</v>
      </c>
      <c r="AR18" s="89" t="n">
        <f aca="false">'WINDOWS AND DOORS SCHEDULE'!L5</f>
        <v>1.2</v>
      </c>
      <c r="AS18" s="89" t="n">
        <f aca="false">'WINDOWS AND DOORS SCHEDULE'!M5</f>
        <v>2.1</v>
      </c>
      <c r="AT18" s="90" t="n">
        <f aca="false">2*(AR18+AS18)*AQ18</f>
        <v>13.2</v>
      </c>
      <c r="AU18" s="91" t="n">
        <f aca="false">AQ18*AR18*AS18</f>
        <v>5.04</v>
      </c>
      <c r="AW18" s="88" t="s">
        <v>155</v>
      </c>
      <c r="AX18" s="102" t="s">
        <v>152</v>
      </c>
      <c r="AY18" s="89" t="n">
        <v>13</v>
      </c>
      <c r="AZ18" s="89" t="n">
        <f aca="false">'WINDOWS AND DOORS SCHEDULE'!L6</f>
        <v>0.9</v>
      </c>
      <c r="BA18" s="89" t="n">
        <f aca="false">'WINDOWS AND DOORS SCHEDULE'!M6</f>
        <v>2.1</v>
      </c>
      <c r="BB18" s="90" t="n">
        <f aca="false">2*(AZ18+BA18)*AY18</f>
        <v>78</v>
      </c>
      <c r="BC18" s="91" t="n">
        <f aca="false">AY18*AZ18*BA18</f>
        <v>24.57</v>
      </c>
      <c r="BE18" s="88"/>
      <c r="BF18" s="99"/>
      <c r="BG18" s="89"/>
      <c r="BH18" s="89"/>
      <c r="BI18" s="89"/>
      <c r="BJ18" s="90"/>
      <c r="BK18" s="91"/>
    </row>
    <row r="19" customFormat="false" ht="14.9" hidden="false" customHeight="false" outlineLevel="0" collapsed="false">
      <c r="A19" s="88" t="s">
        <v>157</v>
      </c>
      <c r="B19" s="102" t="s">
        <v>158</v>
      </c>
      <c r="C19" s="89" t="n">
        <v>1</v>
      </c>
      <c r="D19" s="89" t="n">
        <f aca="false">'WINDOWS AND DOORS SCHEDULE'!L8</f>
        <v>0.5</v>
      </c>
      <c r="E19" s="89" t="n">
        <f aca="false">'WINDOWS AND DOORS SCHEDULE'!M8</f>
        <v>2.1</v>
      </c>
      <c r="F19" s="90" t="n">
        <f aca="false">2*(D19+E19)*C19</f>
        <v>5.2</v>
      </c>
      <c r="G19" s="91" t="n">
        <f aca="false">C19*D19*E19</f>
        <v>1.05</v>
      </c>
      <c r="I19" s="88" t="s">
        <v>157</v>
      </c>
      <c r="J19" s="102" t="s">
        <v>156</v>
      </c>
      <c r="K19" s="89" t="n">
        <v>11</v>
      </c>
      <c r="L19" s="89" t="n">
        <f aca="false">'WINDOWS AND DOORS SCHEDULE'!L7</f>
        <v>0.75</v>
      </c>
      <c r="M19" s="89" t="n">
        <f aca="false">'WINDOWS AND DOORS SCHEDULE'!M7</f>
        <v>2.1</v>
      </c>
      <c r="N19" s="90" t="n">
        <f aca="false">2*(L19+M19)*K19</f>
        <v>62.7</v>
      </c>
      <c r="O19" s="91" t="n">
        <f aca="false">K19*L19*M19</f>
        <v>17.325</v>
      </c>
      <c r="Q19" s="88" t="s">
        <v>157</v>
      </c>
      <c r="R19" s="102" t="s">
        <v>156</v>
      </c>
      <c r="S19" s="89" t="n">
        <v>11</v>
      </c>
      <c r="T19" s="89" t="n">
        <f aca="false">'WINDOWS AND DOORS SCHEDULE'!L7</f>
        <v>0.75</v>
      </c>
      <c r="U19" s="89" t="n">
        <f aca="false">'WINDOWS AND DOORS SCHEDULE'!M7</f>
        <v>2.1</v>
      </c>
      <c r="V19" s="90" t="n">
        <f aca="false">2*(T19+U19)*S19</f>
        <v>62.7</v>
      </c>
      <c r="W19" s="91" t="n">
        <f aca="false">S19*T19*U19</f>
        <v>17.325</v>
      </c>
      <c r="Y19" s="88" t="s">
        <v>157</v>
      </c>
      <c r="Z19" s="102" t="s">
        <v>156</v>
      </c>
      <c r="AA19" s="89" t="n">
        <v>13</v>
      </c>
      <c r="AB19" s="89" t="n">
        <f aca="false">'WINDOWS AND DOORS SCHEDULE'!L7</f>
        <v>0.75</v>
      </c>
      <c r="AC19" s="89" t="n">
        <f aca="false">'WINDOWS AND DOORS SCHEDULE'!M7</f>
        <v>2.1</v>
      </c>
      <c r="AD19" s="90" t="n">
        <f aca="false">2*(AB19+AC19)*AA19</f>
        <v>74.1</v>
      </c>
      <c r="AE19" s="91" t="n">
        <f aca="false">AA19*AB19*AC19</f>
        <v>20.475</v>
      </c>
      <c r="AG19" s="88" t="s">
        <v>157</v>
      </c>
      <c r="AH19" s="102" t="s">
        <v>156</v>
      </c>
      <c r="AI19" s="89" t="n">
        <v>13</v>
      </c>
      <c r="AJ19" s="89" t="n">
        <f aca="false">'WINDOWS AND DOORS SCHEDULE'!L7</f>
        <v>0.75</v>
      </c>
      <c r="AK19" s="89" t="n">
        <f aca="false">'WINDOWS AND DOORS SCHEDULE'!M7</f>
        <v>2.1</v>
      </c>
      <c r="AL19" s="90" t="n">
        <f aca="false">2*(AJ19+AK19)*AI19</f>
        <v>74.1</v>
      </c>
      <c r="AM19" s="91" t="n">
        <f aca="false">AI19*AJ19*AK19</f>
        <v>20.475</v>
      </c>
      <c r="AO19" s="88" t="s">
        <v>155</v>
      </c>
      <c r="AP19" s="102" t="s">
        <v>152</v>
      </c>
      <c r="AQ19" s="89" t="n">
        <v>14</v>
      </c>
      <c r="AR19" s="89" t="n">
        <f aca="false">'WINDOWS AND DOORS SCHEDULE'!L6</f>
        <v>0.9</v>
      </c>
      <c r="AS19" s="89" t="n">
        <f aca="false">'WINDOWS AND DOORS SCHEDULE'!M6</f>
        <v>2.1</v>
      </c>
      <c r="AT19" s="90" t="n">
        <f aca="false">2*(AR19+AS19)*AQ19</f>
        <v>84</v>
      </c>
      <c r="AU19" s="91" t="n">
        <f aca="false">AQ19*AR19*AS19</f>
        <v>26.46</v>
      </c>
      <c r="AW19" s="88" t="s">
        <v>157</v>
      </c>
      <c r="AX19" s="102" t="s">
        <v>156</v>
      </c>
      <c r="AY19" s="89" t="n">
        <v>5</v>
      </c>
      <c r="AZ19" s="89" t="n">
        <f aca="false">'WINDOWS AND DOORS SCHEDULE'!L7</f>
        <v>0.75</v>
      </c>
      <c r="BA19" s="89" t="n">
        <f aca="false">'WINDOWS AND DOORS SCHEDULE'!M7</f>
        <v>2.1</v>
      </c>
      <c r="BB19" s="90" t="n">
        <f aca="false">2*(AZ19+BA19)*AY19</f>
        <v>28.5</v>
      </c>
      <c r="BC19" s="91" t="n">
        <f aca="false">AY19*AZ19*BA19</f>
        <v>7.875</v>
      </c>
      <c r="BE19" s="88"/>
      <c r="BF19" s="99"/>
      <c r="BG19" s="89"/>
      <c r="BH19" s="89"/>
      <c r="BI19" s="89"/>
      <c r="BJ19" s="90"/>
      <c r="BK19" s="91"/>
    </row>
    <row r="20" customFormat="false" ht="14.9" hidden="false" customHeight="false" outlineLevel="0" collapsed="false">
      <c r="A20" s="92"/>
      <c r="B20" s="102"/>
      <c r="C20" s="89"/>
      <c r="D20" s="89"/>
      <c r="E20" s="89"/>
      <c r="F20" s="90"/>
      <c r="G20" s="91"/>
      <c r="I20" s="88" t="s">
        <v>159</v>
      </c>
      <c r="J20" s="102" t="s">
        <v>158</v>
      </c>
      <c r="K20" s="89" t="n">
        <v>3</v>
      </c>
      <c r="L20" s="89" t="n">
        <f aca="false">'WINDOWS AND DOORS SCHEDULE'!L8</f>
        <v>0.5</v>
      </c>
      <c r="M20" s="89" t="n">
        <f aca="false">'WINDOWS AND DOORS SCHEDULE'!M8</f>
        <v>2.1</v>
      </c>
      <c r="N20" s="90" t="n">
        <f aca="false">2*(L20+M20)*K20</f>
        <v>15.6</v>
      </c>
      <c r="O20" s="91" t="n">
        <f aca="false">K20*L20*M20</f>
        <v>3.15</v>
      </c>
      <c r="Q20" s="88" t="s">
        <v>159</v>
      </c>
      <c r="R20" s="102" t="s">
        <v>158</v>
      </c>
      <c r="S20" s="89" t="n">
        <v>2</v>
      </c>
      <c r="T20" s="89" t="n">
        <f aca="false">'WINDOWS AND DOORS SCHEDULE'!L8</f>
        <v>0.5</v>
      </c>
      <c r="U20" s="89" t="n">
        <f aca="false">'WINDOWS AND DOORS SCHEDULE'!M8</f>
        <v>2.1</v>
      </c>
      <c r="V20" s="90" t="n">
        <f aca="false">2*(T20+U20)*S20</f>
        <v>10.4</v>
      </c>
      <c r="W20" s="91" t="n">
        <f aca="false">S20*T20*U20</f>
        <v>2.1</v>
      </c>
      <c r="Y20" s="88" t="s">
        <v>159</v>
      </c>
      <c r="Z20" s="102" t="s">
        <v>158</v>
      </c>
      <c r="AA20" s="89" t="n">
        <v>2</v>
      </c>
      <c r="AB20" s="89" t="n">
        <f aca="false">'WINDOWS AND DOORS SCHEDULE'!L8</f>
        <v>0.5</v>
      </c>
      <c r="AC20" s="89" t="n">
        <f aca="false">'WINDOWS AND DOORS SCHEDULE'!M8</f>
        <v>2.1</v>
      </c>
      <c r="AD20" s="90" t="n">
        <f aca="false">2*(AB20+AC20)*AA20</f>
        <v>10.4</v>
      </c>
      <c r="AE20" s="91" t="n">
        <f aca="false">AA20*AB20*AC20</f>
        <v>2.1</v>
      </c>
      <c r="AG20" s="88" t="s">
        <v>159</v>
      </c>
      <c r="AH20" s="102" t="s">
        <v>158</v>
      </c>
      <c r="AI20" s="89" t="n">
        <v>2</v>
      </c>
      <c r="AJ20" s="89" t="n">
        <f aca="false">'WINDOWS AND DOORS SCHEDULE'!L8</f>
        <v>0.5</v>
      </c>
      <c r="AK20" s="89" t="n">
        <f aca="false">'WINDOWS AND DOORS SCHEDULE'!M8</f>
        <v>2.1</v>
      </c>
      <c r="AL20" s="90" t="n">
        <f aca="false">2*(AJ20+AK20)*AI20</f>
        <v>10.4</v>
      </c>
      <c r="AM20" s="91" t="n">
        <f aca="false">AI20*AJ20*AK20</f>
        <v>2.1</v>
      </c>
      <c r="AO20" s="88" t="s">
        <v>157</v>
      </c>
      <c r="AP20" s="102" t="s">
        <v>156</v>
      </c>
      <c r="AQ20" s="89" t="n">
        <v>16</v>
      </c>
      <c r="AR20" s="89" t="n">
        <f aca="false">'WINDOWS AND DOORS SCHEDULE'!L7</f>
        <v>0.75</v>
      </c>
      <c r="AS20" s="89" t="n">
        <f aca="false">'WINDOWS AND DOORS SCHEDULE'!M7</f>
        <v>2.1</v>
      </c>
      <c r="AT20" s="90" t="n">
        <f aca="false">2*(AR20+AS20)*AQ20</f>
        <v>91.2</v>
      </c>
      <c r="AU20" s="91" t="n">
        <f aca="false">AQ20*AR20*AS20</f>
        <v>25.2</v>
      </c>
      <c r="AW20" s="88" t="s">
        <v>159</v>
      </c>
      <c r="AX20" s="102" t="s">
        <v>158</v>
      </c>
      <c r="AY20" s="89" t="n">
        <v>1</v>
      </c>
      <c r="AZ20" s="89" t="n">
        <f aca="false">'WINDOWS AND DOORS SCHEDULE'!L8</f>
        <v>0.5</v>
      </c>
      <c r="BA20" s="89" t="n">
        <f aca="false">'WINDOWS AND DOORS SCHEDULE'!M8</f>
        <v>2.1</v>
      </c>
      <c r="BB20" s="90" t="n">
        <f aca="false">2*(AZ20+BA20)*AY20</f>
        <v>5.2</v>
      </c>
      <c r="BC20" s="91" t="n">
        <f aca="false">AY20*AZ20*BA20</f>
        <v>1.05</v>
      </c>
      <c r="BE20" s="88"/>
      <c r="BF20" s="99"/>
      <c r="BG20" s="89"/>
      <c r="BH20" s="89"/>
      <c r="BI20" s="89"/>
      <c r="BJ20" s="90"/>
      <c r="BK20" s="91"/>
    </row>
    <row r="21" customFormat="false" ht="14.9" hidden="false" customHeight="false" outlineLevel="0" collapsed="false">
      <c r="A21" s="92"/>
      <c r="B21" s="102"/>
      <c r="C21" s="89"/>
      <c r="D21" s="89"/>
      <c r="E21" s="89"/>
      <c r="F21" s="90"/>
      <c r="G21" s="91"/>
      <c r="I21" s="88" t="s">
        <v>160</v>
      </c>
      <c r="J21" s="102" t="s">
        <v>161</v>
      </c>
      <c r="K21" s="89" t="n">
        <v>2</v>
      </c>
      <c r="L21" s="89" t="n">
        <f aca="false">'WINDOWS AND DOORS SCHEDULE'!L11</f>
        <v>2</v>
      </c>
      <c r="M21" s="89" t="n">
        <f aca="false">'WINDOWS AND DOORS SCHEDULE'!M11</f>
        <v>2.1</v>
      </c>
      <c r="N21" s="90" t="n">
        <f aca="false">2*(L21+M21)*K21</f>
        <v>16.4</v>
      </c>
      <c r="O21" s="91" t="n">
        <f aca="false">K21*L21*M21</f>
        <v>8.4</v>
      </c>
      <c r="Q21" s="88" t="s">
        <v>160</v>
      </c>
      <c r="R21" s="102" t="s">
        <v>162</v>
      </c>
      <c r="S21" s="89" t="n">
        <v>1</v>
      </c>
      <c r="T21" s="89" t="n">
        <f aca="false">'WINDOWS AND DOORS SCHEDULE'!L10</f>
        <v>0.9</v>
      </c>
      <c r="U21" s="89" t="n">
        <f aca="false">'WINDOWS AND DOORS SCHEDULE'!M10</f>
        <v>2.1</v>
      </c>
      <c r="V21" s="90" t="n">
        <f aca="false">2*(T21+U21)*S21</f>
        <v>6</v>
      </c>
      <c r="W21" s="91" t="n">
        <f aca="false">S21*T21*U21</f>
        <v>1.89</v>
      </c>
      <c r="Y21" s="88" t="s">
        <v>160</v>
      </c>
      <c r="Z21" s="102" t="s">
        <v>162</v>
      </c>
      <c r="AA21" s="89" t="n">
        <v>1</v>
      </c>
      <c r="AB21" s="89" t="n">
        <f aca="false">'WINDOWS AND DOORS SCHEDULE'!L10</f>
        <v>0.9</v>
      </c>
      <c r="AC21" s="89" t="n">
        <f aca="false">'WINDOWS AND DOORS SCHEDULE'!M10</f>
        <v>2.1</v>
      </c>
      <c r="AD21" s="90" t="n">
        <f aca="false">2*(AB21+AC21)*AA21</f>
        <v>6</v>
      </c>
      <c r="AE21" s="91" t="n">
        <f aca="false">AA21*AB21*AC21</f>
        <v>1.89</v>
      </c>
      <c r="AG21" s="88" t="s">
        <v>160</v>
      </c>
      <c r="AH21" s="102" t="s">
        <v>162</v>
      </c>
      <c r="AI21" s="89" t="n">
        <v>1</v>
      </c>
      <c r="AJ21" s="89" t="n">
        <f aca="false">'WINDOWS AND DOORS SCHEDULE'!L10</f>
        <v>0.9</v>
      </c>
      <c r="AK21" s="89" t="n">
        <f aca="false">'WINDOWS AND DOORS SCHEDULE'!M10</f>
        <v>2.1</v>
      </c>
      <c r="AL21" s="90" t="n">
        <f aca="false">2*(AJ21+AK21)*AI21</f>
        <v>6</v>
      </c>
      <c r="AM21" s="91" t="n">
        <f aca="false">AI21*AJ21*AK21</f>
        <v>1.89</v>
      </c>
      <c r="AO21" s="88" t="s">
        <v>159</v>
      </c>
      <c r="AP21" s="102" t="s">
        <v>158</v>
      </c>
      <c r="AQ21" s="89" t="n">
        <v>2</v>
      </c>
      <c r="AR21" s="89" t="n">
        <f aca="false">'WINDOWS AND DOORS SCHEDULE'!L8</f>
        <v>0.5</v>
      </c>
      <c r="AS21" s="89" t="n">
        <f aca="false">'WINDOWS AND DOORS SCHEDULE'!M8</f>
        <v>2.1</v>
      </c>
      <c r="AT21" s="90" t="n">
        <f aca="false">2*(AR21+AS21)*AQ21</f>
        <v>10.4</v>
      </c>
      <c r="AU21" s="91" t="n">
        <f aca="false">AQ21*AR21*AS21</f>
        <v>2.1</v>
      </c>
      <c r="AW21" s="88" t="s">
        <v>160</v>
      </c>
      <c r="AX21" s="102" t="s">
        <v>163</v>
      </c>
      <c r="AY21" s="89" t="n">
        <v>1</v>
      </c>
      <c r="AZ21" s="89" t="n">
        <f aca="false">'WINDOWS AND DOORS SCHEDULE'!L9</f>
        <v>4</v>
      </c>
      <c r="BA21" s="89" t="n">
        <f aca="false">'WINDOWS AND DOORS SCHEDULE'!M9</f>
        <v>2.1</v>
      </c>
      <c r="BB21" s="90" t="n">
        <f aca="false">2*(AZ21+BA21)*AY21</f>
        <v>12.2</v>
      </c>
      <c r="BC21" s="91" t="n">
        <f aca="false">AY21*AZ21*BA21</f>
        <v>8.4</v>
      </c>
      <c r="BE21" s="88"/>
      <c r="BF21" s="99"/>
      <c r="BG21" s="89"/>
      <c r="BH21" s="89"/>
      <c r="BI21" s="89"/>
      <c r="BJ21" s="90"/>
      <c r="BK21" s="91"/>
    </row>
    <row r="22" customFormat="false" ht="14.9" hidden="false" customHeight="false" outlineLevel="0" collapsed="false">
      <c r="A22" s="92"/>
      <c r="B22" s="102"/>
      <c r="C22" s="89"/>
      <c r="D22" s="89"/>
      <c r="E22" s="89"/>
      <c r="F22" s="90"/>
      <c r="G22" s="91"/>
      <c r="I22" s="88"/>
      <c r="J22" s="102"/>
      <c r="K22" s="89"/>
      <c r="L22" s="89"/>
      <c r="M22" s="89"/>
      <c r="N22" s="90"/>
      <c r="O22" s="91"/>
      <c r="Q22" s="88"/>
      <c r="R22" s="102"/>
      <c r="S22" s="89"/>
      <c r="T22" s="89"/>
      <c r="U22" s="89"/>
      <c r="V22" s="90"/>
      <c r="W22" s="91"/>
      <c r="Y22" s="88"/>
      <c r="Z22" s="102"/>
      <c r="AA22" s="89"/>
      <c r="AB22" s="89"/>
      <c r="AC22" s="89"/>
      <c r="AD22" s="90"/>
      <c r="AE22" s="91"/>
      <c r="AG22" s="88" t="s">
        <v>164</v>
      </c>
      <c r="AH22" s="102" t="s">
        <v>154</v>
      </c>
      <c r="AI22" s="89" t="n">
        <v>2</v>
      </c>
      <c r="AJ22" s="89" t="n">
        <f aca="false">'WINDOWS AND DOORS SCHEDULE'!L12</f>
        <v>1.8</v>
      </c>
      <c r="AK22" s="89" t="n">
        <f aca="false">'WINDOWS AND DOORS SCHEDULE'!M12</f>
        <v>2.1</v>
      </c>
      <c r="AL22" s="90" t="n">
        <f aca="false">2*(AJ22+AK22)*AI22</f>
        <v>15.6</v>
      </c>
      <c r="AM22" s="91" t="n">
        <f aca="false">AI22*AJ22*AK22</f>
        <v>7.56</v>
      </c>
      <c r="AO22" s="88" t="s">
        <v>160</v>
      </c>
      <c r="AP22" s="102" t="s">
        <v>162</v>
      </c>
      <c r="AQ22" s="89" t="n">
        <v>1</v>
      </c>
      <c r="AR22" s="89" t="n">
        <f aca="false">'WINDOWS AND DOORS SCHEDULE'!L10</f>
        <v>0.9</v>
      </c>
      <c r="AS22" s="89" t="n">
        <f aca="false">'WINDOWS AND DOORS SCHEDULE'!M10</f>
        <v>2.1</v>
      </c>
      <c r="AT22" s="90" t="n">
        <f aca="false">2*(AR22+AS22)*AQ22</f>
        <v>6</v>
      </c>
      <c r="AU22" s="91" t="n">
        <f aca="false">AQ22*AR22*AS22</f>
        <v>1.89</v>
      </c>
      <c r="AW22" s="88" t="s">
        <v>164</v>
      </c>
      <c r="AX22" s="102" t="s">
        <v>162</v>
      </c>
      <c r="AY22" s="89" t="n">
        <v>1</v>
      </c>
      <c r="AZ22" s="89" t="n">
        <f aca="false">'WINDOWS AND DOORS SCHEDULE'!L10</f>
        <v>0.9</v>
      </c>
      <c r="BA22" s="89" t="n">
        <f aca="false">'WINDOWS AND DOORS SCHEDULE'!M10</f>
        <v>2.1</v>
      </c>
      <c r="BB22" s="90" t="n">
        <f aca="false">2*(AZ22+BA22)*AY22</f>
        <v>6</v>
      </c>
      <c r="BC22" s="91" t="n">
        <f aca="false">AY22*AZ22*BA22</f>
        <v>1.89</v>
      </c>
      <c r="BE22" s="88"/>
      <c r="BF22" s="99"/>
      <c r="BG22" s="89"/>
      <c r="BH22" s="89"/>
      <c r="BI22" s="89"/>
      <c r="BJ22" s="90"/>
      <c r="BK22" s="91"/>
    </row>
    <row r="23" customFormat="false" ht="14.9" hidden="false" customHeight="false" outlineLevel="0" collapsed="false">
      <c r="A23" s="92"/>
      <c r="B23" s="102"/>
      <c r="C23" s="89"/>
      <c r="D23" s="89"/>
      <c r="E23" s="89"/>
      <c r="F23" s="90"/>
      <c r="G23" s="91"/>
      <c r="I23" s="88"/>
      <c r="J23" s="102"/>
      <c r="K23" s="89"/>
      <c r="L23" s="89"/>
      <c r="M23" s="89"/>
      <c r="N23" s="90"/>
      <c r="O23" s="91"/>
      <c r="Q23" s="88"/>
      <c r="R23" s="102"/>
      <c r="S23" s="89"/>
      <c r="T23" s="89"/>
      <c r="U23" s="89"/>
      <c r="V23" s="90"/>
      <c r="W23" s="91"/>
      <c r="Y23" s="88"/>
      <c r="Z23" s="102"/>
      <c r="AA23" s="89"/>
      <c r="AB23" s="89"/>
      <c r="AC23" s="89"/>
      <c r="AD23" s="90"/>
      <c r="AE23" s="91"/>
      <c r="AG23" s="88"/>
      <c r="AH23" s="99"/>
      <c r="AI23" s="89"/>
      <c r="AJ23" s="89"/>
      <c r="AK23" s="89"/>
      <c r="AL23" s="90"/>
      <c r="AM23" s="91"/>
      <c r="AO23" s="88" t="s">
        <v>164</v>
      </c>
      <c r="AP23" s="102" t="s">
        <v>154</v>
      </c>
      <c r="AQ23" s="89" t="n">
        <v>1</v>
      </c>
      <c r="AR23" s="89" t="n">
        <f aca="false">'WINDOWS AND DOORS SCHEDULE'!L12</f>
        <v>1.8</v>
      </c>
      <c r="AS23" s="89" t="n">
        <f aca="false">'WINDOWS AND DOORS SCHEDULE'!M12</f>
        <v>2.1</v>
      </c>
      <c r="AT23" s="90" t="n">
        <f aca="false">2*(AR23+AS23)*AQ23</f>
        <v>7.8</v>
      </c>
      <c r="AU23" s="91" t="n">
        <f aca="false">AQ23*AR23*AS23</f>
        <v>3.78</v>
      </c>
      <c r="AW23" s="88"/>
      <c r="AX23" s="99"/>
      <c r="AY23" s="89"/>
      <c r="AZ23" s="89"/>
      <c r="BA23" s="89"/>
      <c r="BB23" s="90"/>
      <c r="BC23" s="91"/>
      <c r="BE23" s="88"/>
      <c r="BF23" s="99"/>
      <c r="BG23" s="89"/>
      <c r="BH23" s="89"/>
      <c r="BI23" s="89"/>
      <c r="BJ23" s="90"/>
      <c r="BK23" s="91"/>
    </row>
    <row r="24" customFormat="false" ht="14.25" hidden="false" customHeight="true" outlineLevel="0" collapsed="false">
      <c r="A24" s="93"/>
      <c r="B24" s="93" t="s">
        <v>165</v>
      </c>
      <c r="C24" s="93"/>
      <c r="D24" s="93"/>
      <c r="E24" s="93"/>
      <c r="F24" s="100" t="n">
        <f aca="false">SUM(F17:F23)</f>
        <v>74.8</v>
      </c>
      <c r="G24" s="101" t="n">
        <f aca="false">SUM(G17:G23)</f>
        <v>21.21</v>
      </c>
      <c r="I24" s="96"/>
      <c r="J24" s="93" t="s">
        <v>165</v>
      </c>
      <c r="K24" s="93"/>
      <c r="L24" s="93"/>
      <c r="M24" s="93"/>
      <c r="N24" s="100" t="n">
        <f aca="false">SUM(N17:N23)</f>
        <v>132.5</v>
      </c>
      <c r="O24" s="101" t="n">
        <f aca="false">SUM(O17:O23)</f>
        <v>42.105</v>
      </c>
      <c r="Q24" s="96"/>
      <c r="R24" s="93" t="s">
        <v>165</v>
      </c>
      <c r="S24" s="93"/>
      <c r="T24" s="93"/>
      <c r="U24" s="93"/>
      <c r="V24" s="100" t="n">
        <f aca="false">SUM(V17:V23)</f>
        <v>122.9</v>
      </c>
      <c r="W24" s="101" t="n">
        <f aca="false">SUM(W17:W23)</f>
        <v>36.435</v>
      </c>
      <c r="Y24" s="96"/>
      <c r="Z24" s="93" t="s">
        <v>165</v>
      </c>
      <c r="AA24" s="93"/>
      <c r="AB24" s="93"/>
      <c r="AC24" s="93"/>
      <c r="AD24" s="100" t="n">
        <f aca="false">SUM(AD17:AD23)</f>
        <v>158.3</v>
      </c>
      <c r="AE24" s="101" t="n">
        <f aca="false">SUM(AE17:AE23)</f>
        <v>47.145</v>
      </c>
      <c r="AG24" s="96"/>
      <c r="AH24" s="93" t="s">
        <v>165</v>
      </c>
      <c r="AI24" s="93"/>
      <c r="AJ24" s="93"/>
      <c r="AK24" s="93"/>
      <c r="AL24" s="100" t="n">
        <f aca="false">SUM(AL17:AL23)</f>
        <v>137.3</v>
      </c>
      <c r="AM24" s="101" t="n">
        <f aca="false">SUM(AM17:AM23)</f>
        <v>42.735</v>
      </c>
      <c r="AO24" s="96"/>
      <c r="AP24" s="93" t="s">
        <v>165</v>
      </c>
      <c r="AQ24" s="93"/>
      <c r="AR24" s="93"/>
      <c r="AS24" s="93"/>
      <c r="AT24" s="100" t="n">
        <f aca="false">SUM(AT18:AT23)</f>
        <v>212.6</v>
      </c>
      <c r="AU24" s="101" t="n">
        <f aca="false">SUM(AU18:AU23)</f>
        <v>64.47</v>
      </c>
      <c r="AW24" s="96"/>
      <c r="AX24" s="93" t="s">
        <v>165</v>
      </c>
      <c r="AY24" s="93"/>
      <c r="AZ24" s="93"/>
      <c r="BA24" s="93"/>
      <c r="BB24" s="100" t="n">
        <f aca="false">SUM(BB17:BB23)</f>
        <v>143.1</v>
      </c>
      <c r="BC24" s="101" t="n">
        <f aca="false">SUM(BC17:BC23)</f>
        <v>48.825</v>
      </c>
      <c r="BE24" s="96"/>
      <c r="BF24" s="93" t="s">
        <v>165</v>
      </c>
      <c r="BG24" s="93"/>
      <c r="BH24" s="93"/>
      <c r="BI24" s="93"/>
      <c r="BJ24" s="100" t="n">
        <f aca="false">SUM(BJ17:BJ23)</f>
        <v>7.8</v>
      </c>
      <c r="BK24" s="101" t="n">
        <f aca="false">SUM(BK17:BK23)</f>
        <v>3.78</v>
      </c>
    </row>
    <row r="25" customFormat="false" ht="14.25" hidden="false" customHeight="true" outlineLevel="0" collapsed="false">
      <c r="A25" s="88"/>
      <c r="B25" s="89"/>
      <c r="C25" s="89"/>
      <c r="D25" s="89"/>
      <c r="E25" s="89"/>
      <c r="F25" s="90"/>
      <c r="G25" s="91"/>
      <c r="I25" s="88"/>
      <c r="J25" s="89"/>
      <c r="K25" s="89"/>
      <c r="L25" s="89"/>
      <c r="M25" s="89"/>
      <c r="N25" s="90"/>
      <c r="O25" s="91"/>
      <c r="Q25" s="88"/>
      <c r="R25" s="89"/>
      <c r="S25" s="89"/>
      <c r="T25" s="89"/>
      <c r="U25" s="89"/>
      <c r="V25" s="90"/>
      <c r="W25" s="91"/>
      <c r="Y25" s="88"/>
      <c r="Z25" s="89"/>
      <c r="AA25" s="89"/>
      <c r="AB25" s="89"/>
      <c r="AC25" s="89"/>
      <c r="AD25" s="90"/>
      <c r="AE25" s="91"/>
      <c r="AG25" s="88"/>
      <c r="AH25" s="89"/>
      <c r="AI25" s="89"/>
      <c r="AJ25" s="89"/>
      <c r="AK25" s="89"/>
      <c r="AL25" s="90"/>
      <c r="AM25" s="91"/>
      <c r="AO25" s="88"/>
      <c r="AP25" s="89"/>
      <c r="AQ25" s="89"/>
      <c r="AR25" s="89"/>
      <c r="AS25" s="89"/>
      <c r="AT25" s="90"/>
      <c r="AU25" s="91"/>
      <c r="AW25" s="88"/>
      <c r="AX25" s="89"/>
      <c r="AY25" s="89"/>
      <c r="AZ25" s="89"/>
      <c r="BA25" s="89"/>
      <c r="BB25" s="90"/>
      <c r="BC25" s="91"/>
      <c r="BE25" s="88"/>
      <c r="BF25" s="89"/>
      <c r="BG25" s="89"/>
      <c r="BH25" s="89"/>
      <c r="BI25" s="89"/>
      <c r="BJ25" s="90"/>
      <c r="BK25" s="91"/>
    </row>
    <row r="26" customFormat="false" ht="13.5" hidden="false" customHeight="false" outlineLevel="0" collapsed="false">
      <c r="A26" s="88"/>
      <c r="B26" s="89"/>
      <c r="C26" s="89"/>
      <c r="D26" s="89"/>
      <c r="E26" s="89"/>
      <c r="F26" s="90"/>
      <c r="G26" s="91"/>
      <c r="I26" s="88"/>
      <c r="J26" s="89"/>
      <c r="K26" s="89"/>
      <c r="L26" s="89"/>
      <c r="M26" s="89"/>
      <c r="N26" s="90"/>
      <c r="O26" s="91"/>
      <c r="Q26" s="88"/>
      <c r="R26" s="89"/>
      <c r="S26" s="89"/>
      <c r="T26" s="89"/>
      <c r="U26" s="89"/>
      <c r="V26" s="90"/>
      <c r="W26" s="91"/>
      <c r="Y26" s="88"/>
      <c r="Z26" s="89"/>
      <c r="AA26" s="89"/>
      <c r="AB26" s="89"/>
      <c r="AC26" s="89"/>
      <c r="AD26" s="90"/>
      <c r="AE26" s="91"/>
      <c r="AG26" s="88"/>
      <c r="AH26" s="89"/>
      <c r="AI26" s="89"/>
      <c r="AJ26" s="89"/>
      <c r="AK26" s="89"/>
      <c r="AL26" s="90"/>
      <c r="AM26" s="91"/>
      <c r="AO26" s="88"/>
      <c r="AP26" s="89"/>
      <c r="AQ26" s="89"/>
      <c r="AR26" s="89"/>
      <c r="AS26" s="89"/>
      <c r="AT26" s="90"/>
      <c r="AU26" s="91"/>
      <c r="AW26" s="88"/>
      <c r="AX26" s="89"/>
      <c r="AY26" s="89"/>
      <c r="AZ26" s="89"/>
      <c r="BA26" s="89"/>
      <c r="BB26" s="90"/>
      <c r="BC26" s="91"/>
      <c r="BE26" s="88"/>
      <c r="BF26" s="89"/>
      <c r="BG26" s="89"/>
      <c r="BH26" s="89"/>
      <c r="BI26" s="89"/>
      <c r="BJ26" s="90"/>
      <c r="BK26" s="91"/>
    </row>
    <row r="27" customFormat="false" ht="13.5" hidden="false" customHeight="false" outlineLevel="0" collapsed="false">
      <c r="A27" s="88"/>
      <c r="B27" s="89"/>
      <c r="C27" s="89"/>
      <c r="D27" s="89"/>
      <c r="E27" s="89"/>
      <c r="F27" s="90"/>
      <c r="G27" s="91"/>
      <c r="I27" s="88"/>
      <c r="J27" s="89"/>
      <c r="K27" s="89"/>
      <c r="L27" s="89"/>
      <c r="M27" s="89"/>
      <c r="N27" s="90"/>
      <c r="O27" s="91"/>
      <c r="Q27" s="88"/>
      <c r="R27" s="89"/>
      <c r="S27" s="89"/>
      <c r="T27" s="89"/>
      <c r="U27" s="89"/>
      <c r="V27" s="90"/>
      <c r="W27" s="91"/>
      <c r="Y27" s="88"/>
      <c r="Z27" s="89"/>
      <c r="AA27" s="89"/>
      <c r="AB27" s="89"/>
      <c r="AC27" s="89"/>
      <c r="AD27" s="90"/>
      <c r="AE27" s="91"/>
      <c r="AG27" s="88"/>
      <c r="AH27" s="89"/>
      <c r="AI27" s="89"/>
      <c r="AJ27" s="89"/>
      <c r="AK27" s="89"/>
      <c r="AL27" s="90"/>
      <c r="AM27" s="91"/>
      <c r="AO27" s="88"/>
      <c r="AP27" s="89"/>
      <c r="AQ27" s="89"/>
      <c r="AR27" s="89"/>
      <c r="AS27" s="89"/>
      <c r="AT27" s="90"/>
      <c r="AU27" s="91"/>
      <c r="AW27" s="88"/>
      <c r="AX27" s="89"/>
      <c r="AY27" s="89"/>
      <c r="AZ27" s="89"/>
      <c r="BA27" s="89"/>
      <c r="BB27" s="90"/>
      <c r="BC27" s="91"/>
      <c r="BE27" s="88"/>
      <c r="BF27" s="89"/>
      <c r="BG27" s="89"/>
      <c r="BH27" s="89"/>
      <c r="BI27" s="89"/>
      <c r="BJ27" s="90"/>
      <c r="BK27" s="91"/>
    </row>
    <row r="28" customFormat="false" ht="14.25" hidden="false" customHeight="true" outlineLevel="0" collapsed="false">
      <c r="A28" s="88"/>
      <c r="B28" s="89"/>
      <c r="C28" s="89"/>
      <c r="D28" s="89"/>
      <c r="E28" s="89"/>
      <c r="F28" s="90"/>
      <c r="G28" s="91"/>
      <c r="I28" s="88"/>
      <c r="J28" s="89"/>
      <c r="K28" s="89"/>
      <c r="L28" s="89"/>
      <c r="M28" s="89"/>
      <c r="N28" s="90"/>
      <c r="O28" s="91"/>
      <c r="Q28" s="88"/>
      <c r="R28" s="89"/>
      <c r="S28" s="89"/>
      <c r="T28" s="89"/>
      <c r="U28" s="89"/>
      <c r="V28" s="90"/>
      <c r="W28" s="91"/>
      <c r="Y28" s="88"/>
      <c r="Z28" s="89"/>
      <c r="AA28" s="89"/>
      <c r="AB28" s="89"/>
      <c r="AC28" s="89"/>
      <c r="AD28" s="90"/>
      <c r="AE28" s="91"/>
      <c r="AG28" s="88"/>
      <c r="AH28" s="89"/>
      <c r="AI28" s="89"/>
      <c r="AJ28" s="89"/>
      <c r="AK28" s="89"/>
      <c r="AL28" s="90"/>
      <c r="AM28" s="91"/>
      <c r="AO28" s="88"/>
      <c r="AP28" s="89"/>
      <c r="AQ28" s="89"/>
      <c r="AR28" s="89"/>
      <c r="AS28" s="89"/>
      <c r="AT28" s="90"/>
      <c r="AU28" s="91"/>
      <c r="AW28" s="88"/>
      <c r="AX28" s="89"/>
      <c r="AY28" s="89"/>
      <c r="AZ28" s="89"/>
      <c r="BA28" s="89"/>
      <c r="BB28" s="90"/>
      <c r="BC28" s="91"/>
      <c r="BE28" s="88"/>
      <c r="BF28" s="89"/>
      <c r="BG28" s="89"/>
      <c r="BH28" s="89"/>
      <c r="BI28" s="89"/>
      <c r="BJ28" s="90"/>
      <c r="BK28" s="91"/>
    </row>
    <row r="29" customFormat="false" ht="14.25" hidden="false" customHeight="true" outlineLevel="0" collapsed="false">
      <c r="A29" s="103"/>
      <c r="B29" s="104"/>
      <c r="C29" s="104"/>
      <c r="D29" s="104"/>
      <c r="E29" s="104"/>
      <c r="F29" s="105"/>
      <c r="G29" s="106" t="n">
        <f aca="false">G6-(G15+G24)</f>
        <v>548.93</v>
      </c>
      <c r="I29" s="103"/>
      <c r="J29" s="104"/>
      <c r="K29" s="104"/>
      <c r="L29" s="104"/>
      <c r="M29" s="104"/>
      <c r="N29" s="105"/>
      <c r="O29" s="107" t="n">
        <f aca="false">O6-(O15+O24)</f>
        <v>606.945</v>
      </c>
      <c r="Q29" s="103"/>
      <c r="R29" s="104"/>
      <c r="S29" s="104"/>
      <c r="T29" s="104"/>
      <c r="U29" s="104"/>
      <c r="V29" s="105"/>
      <c r="W29" s="107" t="n">
        <f aca="false">W6-(W15+W24)</f>
        <v>437.025</v>
      </c>
      <c r="Y29" s="103"/>
      <c r="Z29" s="104"/>
      <c r="AA29" s="104"/>
      <c r="AB29" s="104"/>
      <c r="AC29" s="104"/>
      <c r="AD29" s="105"/>
      <c r="AE29" s="107" t="n">
        <f aca="false">AE6-(AE15+AE24)</f>
        <v>414.195</v>
      </c>
      <c r="AG29" s="103"/>
      <c r="AH29" s="104"/>
      <c r="AI29" s="104"/>
      <c r="AJ29" s="104"/>
      <c r="AK29" s="104"/>
      <c r="AL29" s="105"/>
      <c r="AM29" s="107" t="n">
        <f aca="false">AM6-(AM15+AM24)</f>
        <v>401.565</v>
      </c>
      <c r="AO29" s="103"/>
      <c r="AP29" s="104"/>
      <c r="AQ29" s="104"/>
      <c r="AR29" s="104"/>
      <c r="AS29" s="104"/>
      <c r="AT29" s="105"/>
      <c r="AU29" s="107" t="n">
        <f aca="false">AU6-(AU15+AU24)</f>
        <v>405.66</v>
      </c>
      <c r="AW29" s="103"/>
      <c r="AX29" s="104"/>
      <c r="AY29" s="104"/>
      <c r="AZ29" s="104"/>
      <c r="BA29" s="104"/>
      <c r="BB29" s="105"/>
      <c r="BC29" s="107" t="n">
        <f aca="false">BC6-(BC15+BC24)</f>
        <v>637.845</v>
      </c>
      <c r="BE29" s="103"/>
      <c r="BF29" s="104"/>
      <c r="BG29" s="104"/>
      <c r="BH29" s="104"/>
      <c r="BI29" s="104"/>
      <c r="BJ29" s="105"/>
      <c r="BK29" s="107" t="n">
        <f aca="false">BK6-(BK15+BK24)</f>
        <v>212.52</v>
      </c>
    </row>
    <row r="30" customFormat="false" ht="14.25" hidden="false" customHeight="true" outlineLevel="0" collapsed="false"/>
    <row r="31" customFormat="false" ht="13.5" hidden="false" customHeight="false" outlineLevel="0" collapsed="false">
      <c r="G31" s="80" t="n">
        <f aca="false">G29*2</f>
        <v>1097.86</v>
      </c>
      <c r="O31" s="80" t="n">
        <f aca="false">O29*2</f>
        <v>1213.89</v>
      </c>
    </row>
    <row r="33" customFormat="false" ht="13.5" hidden="false" customHeight="false" outlineLevel="0" collapsed="false">
      <c r="A33" s="77" t="s">
        <v>166</v>
      </c>
      <c r="B33" s="77" t="s">
        <v>167</v>
      </c>
      <c r="I33" s="77" t="s">
        <v>166</v>
      </c>
      <c r="J33" s="77" t="s">
        <v>167</v>
      </c>
      <c r="Q33" s="77" t="s">
        <v>166</v>
      </c>
      <c r="R33" s="77" t="s">
        <v>167</v>
      </c>
      <c r="Y33" s="77" t="s">
        <v>166</v>
      </c>
      <c r="Z33" s="77" t="s">
        <v>167</v>
      </c>
      <c r="AG33" s="77" t="s">
        <v>166</v>
      </c>
      <c r="AH33" s="77" t="s">
        <v>167</v>
      </c>
      <c r="AO33" s="77" t="s">
        <v>166</v>
      </c>
      <c r="AP33" s="77" t="s">
        <v>167</v>
      </c>
      <c r="AW33" s="77" t="s">
        <v>166</v>
      </c>
      <c r="AX33" s="77" t="s">
        <v>167</v>
      </c>
      <c r="BE33" s="77" t="s">
        <v>166</v>
      </c>
      <c r="BF33" s="77" t="s">
        <v>167</v>
      </c>
    </row>
    <row r="34" customFormat="false" ht="13.5" hidden="false" customHeight="false" outlineLevel="0" collapsed="false">
      <c r="B34" s="108" t="s">
        <v>168</v>
      </c>
      <c r="C34" s="109" t="n">
        <v>1</v>
      </c>
      <c r="D34" s="110" t="n">
        <f aca="false">'DRAWING CHECK'!C5</f>
        <v>121.8</v>
      </c>
      <c r="E34" s="111" t="n">
        <f aca="false">E4</f>
        <v>4.45</v>
      </c>
      <c r="G34" s="111" t="n">
        <f aca="false">C34*D34*E34</f>
        <v>542.01</v>
      </c>
      <c r="J34" s="108" t="s">
        <v>168</v>
      </c>
      <c r="K34" s="109" t="n">
        <v>1</v>
      </c>
      <c r="L34" s="110" t="n">
        <f aca="false">'DRAWING CHECK'!D5</f>
        <v>157.3</v>
      </c>
      <c r="M34" s="111" t="n">
        <f aca="false">M4</f>
        <v>4.5</v>
      </c>
      <c r="O34" s="111" t="n">
        <f aca="false">K34*L34*M34</f>
        <v>707.85</v>
      </c>
      <c r="R34" s="108" t="s">
        <v>168</v>
      </c>
      <c r="S34" s="109" t="n">
        <v>1</v>
      </c>
      <c r="T34" s="110" t="n">
        <f aca="false">'DRAWING CHECK'!E5</f>
        <v>154.1</v>
      </c>
      <c r="U34" s="111" t="n">
        <f aca="false">U4</f>
        <v>3.3</v>
      </c>
      <c r="W34" s="111" t="n">
        <f aca="false">S34*T34*U34</f>
        <v>508.53</v>
      </c>
      <c r="Z34" s="108" t="s">
        <v>168</v>
      </c>
      <c r="AA34" s="109" t="n">
        <v>1</v>
      </c>
      <c r="AB34" s="110" t="n">
        <f aca="false">'DRAWING CHECK'!F5</f>
        <v>161.2</v>
      </c>
      <c r="AC34" s="111" t="n">
        <f aca="false">AC4</f>
        <v>3.3</v>
      </c>
      <c r="AE34" s="111" t="n">
        <f aca="false">AA34*AB34*AC34</f>
        <v>531.96</v>
      </c>
      <c r="AH34" s="108" t="s">
        <v>168</v>
      </c>
      <c r="AI34" s="109" t="n">
        <v>1</v>
      </c>
      <c r="AJ34" s="110" t="n">
        <f aca="false">'DRAWING CHECK'!G5</f>
        <v>143.9</v>
      </c>
      <c r="AK34" s="111" t="n">
        <f aca="false">AK4</f>
        <v>3.3</v>
      </c>
      <c r="AM34" s="111" t="n">
        <f aca="false">AI34*AJ34*AK34</f>
        <v>474.87</v>
      </c>
      <c r="AP34" s="108" t="s">
        <v>168</v>
      </c>
      <c r="AQ34" s="109" t="n">
        <v>1</v>
      </c>
      <c r="AR34" s="110" t="n">
        <f aca="false">'DRAWING CHECK'!H5</f>
        <v>152.7</v>
      </c>
      <c r="AS34" s="111" t="n">
        <f aca="false">AS4</f>
        <v>3.3</v>
      </c>
      <c r="AU34" s="111" t="n">
        <f aca="false">AQ34*AR34*AS34</f>
        <v>503.91</v>
      </c>
      <c r="AX34" s="108" t="s">
        <v>168</v>
      </c>
      <c r="AY34" s="109" t="n">
        <v>1</v>
      </c>
      <c r="AZ34" s="110" t="n">
        <f aca="false">'DRAWING CHECK'!I5</f>
        <v>219.9</v>
      </c>
      <c r="BA34" s="111" t="n">
        <f aca="false">BA4</f>
        <v>3.3</v>
      </c>
      <c r="BC34" s="111" t="n">
        <f aca="false">AY34*AZ34*BA34</f>
        <v>725.67</v>
      </c>
      <c r="BF34" s="108" t="s">
        <v>168</v>
      </c>
      <c r="BG34" s="109" t="n">
        <v>1</v>
      </c>
      <c r="BH34" s="110" t="n">
        <f aca="false">'DRAWING CHECK'!J5</f>
        <v>145.5</v>
      </c>
      <c r="BI34" s="111" t="n">
        <f aca="false">BI4</f>
        <v>1.5</v>
      </c>
      <c r="BK34" s="111" t="n">
        <f aca="false">BG34*BH34*BI34</f>
        <v>218.25</v>
      </c>
    </row>
    <row r="35" customFormat="false" ht="13.5" hidden="false" customHeight="false" outlineLevel="0" collapsed="false">
      <c r="B35" s="108" t="s">
        <v>169</v>
      </c>
      <c r="C35" s="111"/>
      <c r="D35" s="111"/>
      <c r="E35" s="111"/>
      <c r="G35" s="111" t="n">
        <f aca="false">G15+G24</f>
        <v>26.01</v>
      </c>
      <c r="J35" s="108" t="s">
        <v>169</v>
      </c>
      <c r="K35" s="111"/>
      <c r="L35" s="111"/>
      <c r="M35" s="111"/>
      <c r="O35" s="111" t="n">
        <f aca="false">O15+O24</f>
        <v>68.505</v>
      </c>
      <c r="R35" s="108" t="s">
        <v>169</v>
      </c>
      <c r="S35" s="111"/>
      <c r="T35" s="111"/>
      <c r="U35" s="111"/>
      <c r="W35" s="111" t="n">
        <f aca="false">W15+W24</f>
        <v>52.035</v>
      </c>
      <c r="Z35" s="108" t="s">
        <v>169</v>
      </c>
      <c r="AA35" s="111"/>
      <c r="AB35" s="111"/>
      <c r="AC35" s="111"/>
      <c r="AE35" s="111" t="n">
        <f aca="false">AE15+AE24</f>
        <v>71.895</v>
      </c>
      <c r="AH35" s="108" t="s">
        <v>169</v>
      </c>
      <c r="AI35" s="111"/>
      <c r="AJ35" s="111"/>
      <c r="AK35" s="111"/>
      <c r="AM35" s="111" t="n">
        <f aca="false">AM15+AM24</f>
        <v>63.735</v>
      </c>
      <c r="AP35" s="108" t="s">
        <v>169</v>
      </c>
      <c r="AQ35" s="111"/>
      <c r="AR35" s="111"/>
      <c r="AS35" s="111"/>
      <c r="AU35" s="111" t="n">
        <f aca="false">AU15+AU24</f>
        <v>86.37</v>
      </c>
      <c r="AX35" s="108" t="s">
        <v>169</v>
      </c>
      <c r="AY35" s="111"/>
      <c r="AZ35" s="111"/>
      <c r="BA35" s="111"/>
      <c r="BC35" s="111" t="n">
        <f aca="false">BC15+BC24</f>
        <v>68.025</v>
      </c>
      <c r="BF35" s="108" t="s">
        <v>169</v>
      </c>
      <c r="BG35" s="111"/>
      <c r="BH35" s="111"/>
      <c r="BI35" s="111"/>
      <c r="BK35" s="111" t="n">
        <f aca="false">BK15+BK24</f>
        <v>3.78</v>
      </c>
    </row>
    <row r="36" customFormat="false" ht="13.5" hidden="false" customHeight="false" outlineLevel="0" collapsed="false">
      <c r="B36" s="108" t="s">
        <v>170</v>
      </c>
      <c r="C36" s="111"/>
      <c r="D36" s="111"/>
      <c r="E36" s="111"/>
      <c r="G36" s="112" t="n">
        <f aca="false">G34-G35</f>
        <v>516</v>
      </c>
      <c r="J36" s="108" t="s">
        <v>170</v>
      </c>
      <c r="K36" s="111"/>
      <c r="L36" s="111"/>
      <c r="M36" s="111"/>
      <c r="O36" s="112" t="n">
        <f aca="false">O34-O35</f>
        <v>639.345</v>
      </c>
      <c r="R36" s="108" t="s">
        <v>170</v>
      </c>
      <c r="S36" s="111"/>
      <c r="T36" s="111"/>
      <c r="U36" s="111"/>
      <c r="W36" s="112" t="n">
        <f aca="false">W34-W35</f>
        <v>456.495</v>
      </c>
      <c r="Z36" s="108" t="s">
        <v>170</v>
      </c>
      <c r="AA36" s="111"/>
      <c r="AB36" s="111"/>
      <c r="AC36" s="111"/>
      <c r="AE36" s="112" t="n">
        <f aca="false">AE34-AE35</f>
        <v>460.065</v>
      </c>
      <c r="AH36" s="108" t="s">
        <v>170</v>
      </c>
      <c r="AI36" s="111"/>
      <c r="AJ36" s="111"/>
      <c r="AK36" s="111"/>
      <c r="AM36" s="112" t="n">
        <f aca="false">AM34-AM35</f>
        <v>411.135</v>
      </c>
      <c r="AP36" s="108" t="s">
        <v>170</v>
      </c>
      <c r="AQ36" s="111"/>
      <c r="AR36" s="111"/>
      <c r="AS36" s="111"/>
      <c r="AU36" s="112" t="n">
        <f aca="false">AU34-AU35</f>
        <v>417.54</v>
      </c>
      <c r="AX36" s="108" t="s">
        <v>170</v>
      </c>
      <c r="AY36" s="111"/>
      <c r="AZ36" s="111"/>
      <c r="BA36" s="111"/>
      <c r="BC36" s="112" t="n">
        <f aca="false">BC34-BC35</f>
        <v>657.645</v>
      </c>
      <c r="BF36" s="108" t="s">
        <v>170</v>
      </c>
      <c r="BG36" s="111"/>
      <c r="BH36" s="111"/>
      <c r="BI36" s="111"/>
      <c r="BK36" s="112" t="n">
        <f aca="false">BK34-BK35</f>
        <v>214.47</v>
      </c>
    </row>
    <row r="37" customFormat="false" ht="13.5" hidden="false" customHeight="false" outlineLevel="0" collapsed="false">
      <c r="B37" s="108" t="s">
        <v>171</v>
      </c>
      <c r="C37" s="111"/>
      <c r="D37" s="111"/>
      <c r="E37" s="111"/>
      <c r="G37" s="111" t="n">
        <f aca="false">G29</f>
        <v>548.93</v>
      </c>
      <c r="J37" s="108" t="s">
        <v>171</v>
      </c>
      <c r="K37" s="111"/>
      <c r="L37" s="111"/>
      <c r="M37" s="111"/>
      <c r="O37" s="111" t="n">
        <f aca="false">O29</f>
        <v>606.945</v>
      </c>
      <c r="R37" s="108" t="s">
        <v>171</v>
      </c>
      <c r="S37" s="111"/>
      <c r="T37" s="111"/>
      <c r="U37" s="111"/>
      <c r="W37" s="111" t="n">
        <f aca="false">W29</f>
        <v>437.025</v>
      </c>
      <c r="Z37" s="108" t="s">
        <v>171</v>
      </c>
      <c r="AA37" s="111"/>
      <c r="AB37" s="111"/>
      <c r="AC37" s="111"/>
      <c r="AE37" s="111" t="n">
        <f aca="false">AE29</f>
        <v>414.195</v>
      </c>
      <c r="AH37" s="108" t="s">
        <v>171</v>
      </c>
      <c r="AI37" s="111"/>
      <c r="AJ37" s="111"/>
      <c r="AK37" s="111"/>
      <c r="AM37" s="111" t="n">
        <f aca="false">AM29</f>
        <v>401.565</v>
      </c>
      <c r="AP37" s="108" t="s">
        <v>171</v>
      </c>
      <c r="AQ37" s="111"/>
      <c r="AR37" s="111"/>
      <c r="AS37" s="111"/>
      <c r="AU37" s="111" t="n">
        <f aca="false">AU29</f>
        <v>405.66</v>
      </c>
      <c r="AX37" s="108" t="s">
        <v>171</v>
      </c>
      <c r="AY37" s="111"/>
      <c r="AZ37" s="111"/>
      <c r="BA37" s="111"/>
      <c r="BC37" s="111" t="n">
        <f aca="false">BC29</f>
        <v>637.845</v>
      </c>
      <c r="BF37" s="108" t="s">
        <v>171</v>
      </c>
      <c r="BG37" s="111"/>
      <c r="BH37" s="111"/>
      <c r="BI37" s="111"/>
      <c r="BK37" s="111" t="n">
        <f aca="false">BK29</f>
        <v>212.52</v>
      </c>
    </row>
    <row r="38" customFormat="false" ht="13.5" hidden="false" customHeight="false" outlineLevel="0" collapsed="false">
      <c r="B38" s="108" t="s">
        <v>172</v>
      </c>
      <c r="C38" s="111"/>
      <c r="D38" s="111"/>
      <c r="E38" s="111"/>
      <c r="G38" s="111" t="n">
        <f aca="false">G37-G36</f>
        <v>32.93</v>
      </c>
      <c r="J38" s="108" t="s">
        <v>172</v>
      </c>
      <c r="K38" s="111"/>
      <c r="L38" s="111"/>
      <c r="M38" s="111"/>
      <c r="O38" s="111" t="n">
        <f aca="false">O37-O36</f>
        <v>-32.4000000000001</v>
      </c>
      <c r="R38" s="108" t="s">
        <v>172</v>
      </c>
      <c r="S38" s="111"/>
      <c r="T38" s="111"/>
      <c r="U38" s="111"/>
      <c r="W38" s="111" t="n">
        <f aca="false">W37-W36</f>
        <v>-19.47</v>
      </c>
      <c r="Z38" s="108" t="s">
        <v>172</v>
      </c>
      <c r="AA38" s="111"/>
      <c r="AB38" s="111"/>
      <c r="AC38" s="111"/>
      <c r="AE38" s="111" t="n">
        <f aca="false">AE37-AE36</f>
        <v>-45.8699999999999</v>
      </c>
      <c r="AH38" s="108" t="s">
        <v>172</v>
      </c>
      <c r="AI38" s="111"/>
      <c r="AJ38" s="111"/>
      <c r="AK38" s="111"/>
      <c r="AM38" s="111" t="n">
        <f aca="false">AM37-AM36</f>
        <v>-9.57000000000005</v>
      </c>
      <c r="AP38" s="108" t="s">
        <v>172</v>
      </c>
      <c r="AQ38" s="111"/>
      <c r="AR38" s="111"/>
      <c r="AS38" s="111"/>
      <c r="AU38" s="111" t="n">
        <f aca="false">AU37-AU36</f>
        <v>-11.8799999999999</v>
      </c>
      <c r="AX38" s="108" t="s">
        <v>172</v>
      </c>
      <c r="AY38" s="111"/>
      <c r="AZ38" s="111"/>
      <c r="BA38" s="111"/>
      <c r="BC38" s="111" t="n">
        <f aca="false">BC37-BC36</f>
        <v>-19.8</v>
      </c>
      <c r="BF38" s="108" t="s">
        <v>172</v>
      </c>
      <c r="BG38" s="111"/>
      <c r="BH38" s="111"/>
      <c r="BI38" s="111"/>
      <c r="BK38" s="111" t="n">
        <f aca="false">BK37-BK36</f>
        <v>-1.95000000000002</v>
      </c>
    </row>
    <row r="39" customFormat="false" ht="13.5" hidden="false" customHeight="false" outlineLevel="0" collapsed="false">
      <c r="B39" s="108" t="s">
        <v>173</v>
      </c>
      <c r="C39" s="111"/>
      <c r="D39" s="111"/>
      <c r="E39" s="111"/>
      <c r="G39" s="113" t="n">
        <f aca="false">IF(G36=0,0,G38/G36)</f>
        <v>0.0638178294573643</v>
      </c>
      <c r="J39" s="108" t="s">
        <v>173</v>
      </c>
      <c r="K39" s="111"/>
      <c r="L39" s="111"/>
      <c r="M39" s="111"/>
      <c r="O39" s="113" t="n">
        <f aca="false">IF(O36=0,0,O38/O36)</f>
        <v>-0.0506768646036179</v>
      </c>
      <c r="R39" s="108" t="s">
        <v>173</v>
      </c>
      <c r="S39" s="111"/>
      <c r="T39" s="111"/>
      <c r="U39" s="111"/>
      <c r="W39" s="113" t="n">
        <f aca="false">IF(W36=0,0,W38/W36)</f>
        <v>-0.0426510695626459</v>
      </c>
      <c r="Z39" s="108" t="s">
        <v>173</v>
      </c>
      <c r="AA39" s="111"/>
      <c r="AB39" s="111"/>
      <c r="AC39" s="111"/>
      <c r="AE39" s="113" t="n">
        <f aca="false">IF(AE36=0,0,AE38/AE36)</f>
        <v>-0.0997033027941702</v>
      </c>
      <c r="AH39" s="108" t="s">
        <v>173</v>
      </c>
      <c r="AI39" s="111"/>
      <c r="AJ39" s="111"/>
      <c r="AK39" s="111"/>
      <c r="AM39" s="113" t="n">
        <f aca="false">IF(AM36=0,0,AM38/AM36)</f>
        <v>-0.0232770257944472</v>
      </c>
      <c r="AP39" s="108" t="s">
        <v>173</v>
      </c>
      <c r="AQ39" s="111"/>
      <c r="AR39" s="111"/>
      <c r="AS39" s="111"/>
      <c r="AU39" s="113" t="n">
        <f aca="false">IF(AU36=0,0,AU38/AU36)</f>
        <v>-0.0284523638453799</v>
      </c>
      <c r="AX39" s="108" t="s">
        <v>173</v>
      </c>
      <c r="AY39" s="111"/>
      <c r="AZ39" s="111"/>
      <c r="BA39" s="111"/>
      <c r="BC39" s="113" t="n">
        <f aca="false">IF(BC36=0,0,BC38/BC36)</f>
        <v>-0.0301074287799648</v>
      </c>
      <c r="BF39" s="108" t="s">
        <v>173</v>
      </c>
      <c r="BG39" s="111"/>
      <c r="BH39" s="111"/>
      <c r="BI39" s="111"/>
      <c r="BK39" s="113" t="n">
        <f aca="false">IF(BK36=0,0,BK38/BK36)</f>
        <v>-0.00909218072457694</v>
      </c>
    </row>
  </sheetData>
  <mergeCells count="8">
    <mergeCell ref="A1:G1"/>
    <mergeCell ref="I1:O1"/>
    <mergeCell ref="Q1:W1"/>
    <mergeCell ref="Y1:AE1"/>
    <mergeCell ref="AG1:AM1"/>
    <mergeCell ref="AO1:AU1"/>
    <mergeCell ref="AW1:BC1"/>
    <mergeCell ref="BE1:BK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BK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0234375" defaultRowHeight="13.5" zeroHeight="false" outlineLevelRow="0" outlineLevelCol="0"/>
  <cols>
    <col collapsed="false" customWidth="false" hidden="false" outlineLevel="0" max="1" min="1" style="80" width="8.9"/>
    <col collapsed="false" customWidth="true" hidden="false" outlineLevel="0" max="2" min="2" style="80" width="21.4"/>
    <col collapsed="false" customWidth="false" hidden="false" outlineLevel="0" max="5" min="3" style="80" width="8.9"/>
    <col collapsed="false" customWidth="true" hidden="false" outlineLevel="0" max="6" min="6" style="81" width="12.8"/>
    <col collapsed="false" customWidth="false" hidden="false" outlineLevel="0" max="9" min="7" style="80" width="8.9"/>
    <col collapsed="false" customWidth="true" hidden="false" outlineLevel="0" max="10" min="10" style="80" width="15.4"/>
    <col collapsed="false" customWidth="false" hidden="false" outlineLevel="0" max="13" min="11" style="80" width="8.9"/>
    <col collapsed="false" customWidth="true" hidden="false" outlineLevel="0" max="14" min="14" style="81" width="14.8"/>
    <col collapsed="false" customWidth="false" hidden="false" outlineLevel="0" max="17" min="15" style="80" width="8.9"/>
    <col collapsed="false" customWidth="true" hidden="false" outlineLevel="0" max="18" min="18" style="80" width="15.4"/>
    <col collapsed="false" customWidth="false" hidden="false" outlineLevel="0" max="21" min="19" style="80" width="8.9"/>
    <col collapsed="false" customWidth="true" hidden="false" outlineLevel="0" max="22" min="22" style="81" width="11.7"/>
    <col collapsed="false" customWidth="false" hidden="false" outlineLevel="0" max="25" min="23" style="80" width="8.9"/>
    <col collapsed="false" customWidth="true" hidden="false" outlineLevel="0" max="26" min="26" style="80" width="15.4"/>
    <col collapsed="false" customWidth="false" hidden="false" outlineLevel="0" max="29" min="27" style="80" width="8.9"/>
    <col collapsed="false" customWidth="true" hidden="false" outlineLevel="0" max="30" min="30" style="81" width="10.4"/>
    <col collapsed="false" customWidth="false" hidden="false" outlineLevel="0" max="33" min="31" style="80" width="8.9"/>
    <col collapsed="false" customWidth="true" hidden="false" outlineLevel="0" max="34" min="34" style="80" width="15.4"/>
    <col collapsed="false" customWidth="false" hidden="false" outlineLevel="0" max="37" min="35" style="80" width="8.9"/>
    <col collapsed="false" customWidth="true" hidden="false" outlineLevel="0" max="38" min="38" style="81" width="12.4"/>
    <col collapsed="false" customWidth="false" hidden="false" outlineLevel="0" max="41" min="39" style="80" width="8.9"/>
    <col collapsed="false" customWidth="true" hidden="false" outlineLevel="0" max="42" min="42" style="80" width="15.4"/>
    <col collapsed="false" customWidth="false" hidden="false" outlineLevel="0" max="45" min="43" style="80" width="8.9"/>
    <col collapsed="false" customWidth="true" hidden="false" outlineLevel="0" max="46" min="46" style="81" width="9.7"/>
    <col collapsed="false" customWidth="false" hidden="false" outlineLevel="0" max="49" min="47" style="80" width="8.9"/>
    <col collapsed="false" customWidth="true" hidden="false" outlineLevel="0" max="50" min="50" style="80" width="15.4"/>
    <col collapsed="false" customWidth="false" hidden="false" outlineLevel="0" max="53" min="51" style="80" width="8.9"/>
    <col collapsed="false" customWidth="true" hidden="false" outlineLevel="0" max="54" min="54" style="81" width="11.9"/>
    <col collapsed="false" customWidth="false" hidden="false" outlineLevel="0" max="57" min="55" style="80" width="8.9"/>
    <col collapsed="false" customWidth="true" hidden="false" outlineLevel="0" max="58" min="58" style="80" width="15.4"/>
    <col collapsed="false" customWidth="false" hidden="false" outlineLevel="0" max="61" min="59" style="80" width="8.9"/>
    <col collapsed="false" customWidth="true" hidden="false" outlineLevel="0" max="62" min="62" style="81" width="12.4"/>
    <col collapsed="false" customWidth="false" hidden="false" outlineLevel="0" max="16384" min="63" style="80" width="8.9"/>
  </cols>
  <sheetData>
    <row r="1" customFormat="false" ht="14.25" hidden="false" customHeight="true" outlineLevel="0" collapsed="false">
      <c r="A1" s="82" t="s">
        <v>174</v>
      </c>
      <c r="B1" s="82"/>
      <c r="C1" s="82"/>
      <c r="D1" s="82"/>
      <c r="E1" s="82"/>
      <c r="F1" s="82"/>
      <c r="G1" s="82"/>
      <c r="I1" s="82" t="s">
        <v>175</v>
      </c>
      <c r="J1" s="82"/>
      <c r="K1" s="82"/>
      <c r="L1" s="82"/>
      <c r="M1" s="82"/>
      <c r="N1" s="82"/>
      <c r="O1" s="82"/>
      <c r="Q1" s="82" t="s">
        <v>176</v>
      </c>
      <c r="R1" s="82"/>
      <c r="S1" s="82"/>
      <c r="T1" s="82"/>
      <c r="U1" s="82"/>
      <c r="V1" s="82"/>
      <c r="W1" s="82"/>
      <c r="Y1" s="82" t="s">
        <v>177</v>
      </c>
      <c r="Z1" s="82"/>
      <c r="AA1" s="82"/>
      <c r="AB1" s="82"/>
      <c r="AC1" s="82"/>
      <c r="AD1" s="82"/>
      <c r="AE1" s="82"/>
      <c r="AG1" s="82" t="s">
        <v>178</v>
      </c>
      <c r="AH1" s="82"/>
      <c r="AI1" s="82"/>
      <c r="AJ1" s="82"/>
      <c r="AK1" s="82"/>
      <c r="AL1" s="82"/>
      <c r="AM1" s="82"/>
      <c r="AO1" s="82" t="s">
        <v>179</v>
      </c>
      <c r="AP1" s="82"/>
      <c r="AQ1" s="82"/>
      <c r="AR1" s="82"/>
      <c r="AS1" s="82"/>
      <c r="AT1" s="82"/>
      <c r="AU1" s="82"/>
      <c r="AW1" s="82" t="s">
        <v>180</v>
      </c>
      <c r="AX1" s="82"/>
      <c r="AY1" s="82"/>
      <c r="AZ1" s="82"/>
      <c r="BA1" s="82"/>
      <c r="BB1" s="82"/>
      <c r="BC1" s="82"/>
      <c r="BE1" s="82" t="s">
        <v>181</v>
      </c>
      <c r="BF1" s="82"/>
      <c r="BG1" s="82"/>
      <c r="BH1" s="82"/>
      <c r="BI1" s="82"/>
      <c r="BJ1" s="82"/>
      <c r="BK1" s="82"/>
    </row>
    <row r="2" s="87" customFormat="true" ht="43.5" hidden="false" customHeight="true" outlineLevel="0" collapsed="false">
      <c r="A2" s="83" t="s">
        <v>131</v>
      </c>
      <c r="B2" s="84" t="s">
        <v>132</v>
      </c>
      <c r="C2" s="84" t="s">
        <v>133</v>
      </c>
      <c r="D2" s="84" t="s">
        <v>134</v>
      </c>
      <c r="E2" s="84" t="s">
        <v>135</v>
      </c>
      <c r="F2" s="85" t="s">
        <v>136</v>
      </c>
      <c r="G2" s="86" t="s">
        <v>137</v>
      </c>
      <c r="I2" s="83" t="s">
        <v>131</v>
      </c>
      <c r="J2" s="84" t="s">
        <v>132</v>
      </c>
      <c r="K2" s="84" t="s">
        <v>133</v>
      </c>
      <c r="L2" s="84" t="s">
        <v>134</v>
      </c>
      <c r="M2" s="84" t="s">
        <v>135</v>
      </c>
      <c r="N2" s="85" t="s">
        <v>136</v>
      </c>
      <c r="O2" s="86" t="s">
        <v>137</v>
      </c>
      <c r="Q2" s="83" t="s">
        <v>131</v>
      </c>
      <c r="R2" s="84" t="s">
        <v>132</v>
      </c>
      <c r="S2" s="84" t="s">
        <v>133</v>
      </c>
      <c r="T2" s="84" t="s">
        <v>134</v>
      </c>
      <c r="U2" s="84" t="s">
        <v>135</v>
      </c>
      <c r="V2" s="85" t="s">
        <v>136</v>
      </c>
      <c r="W2" s="86" t="s">
        <v>137</v>
      </c>
      <c r="Y2" s="83" t="s">
        <v>131</v>
      </c>
      <c r="Z2" s="84" t="s">
        <v>132</v>
      </c>
      <c r="AA2" s="84" t="s">
        <v>133</v>
      </c>
      <c r="AB2" s="84" t="s">
        <v>134</v>
      </c>
      <c r="AC2" s="84" t="s">
        <v>135</v>
      </c>
      <c r="AD2" s="85" t="s">
        <v>136</v>
      </c>
      <c r="AE2" s="86" t="s">
        <v>137</v>
      </c>
      <c r="AG2" s="83" t="s">
        <v>131</v>
      </c>
      <c r="AH2" s="84" t="s">
        <v>132</v>
      </c>
      <c r="AI2" s="84" t="s">
        <v>133</v>
      </c>
      <c r="AJ2" s="84" t="s">
        <v>134</v>
      </c>
      <c r="AK2" s="84" t="s">
        <v>135</v>
      </c>
      <c r="AL2" s="85" t="s">
        <v>136</v>
      </c>
      <c r="AM2" s="86" t="s">
        <v>137</v>
      </c>
      <c r="AO2" s="83" t="s">
        <v>131</v>
      </c>
      <c r="AP2" s="84" t="s">
        <v>132</v>
      </c>
      <c r="AQ2" s="84" t="s">
        <v>133</v>
      </c>
      <c r="AR2" s="84" t="s">
        <v>134</v>
      </c>
      <c r="AS2" s="84" t="s">
        <v>135</v>
      </c>
      <c r="AT2" s="85" t="s">
        <v>136</v>
      </c>
      <c r="AU2" s="86" t="s">
        <v>137</v>
      </c>
      <c r="AW2" s="83" t="s">
        <v>131</v>
      </c>
      <c r="AX2" s="84" t="s">
        <v>132</v>
      </c>
      <c r="AY2" s="84" t="s">
        <v>133</v>
      </c>
      <c r="AZ2" s="84" t="s">
        <v>134</v>
      </c>
      <c r="BA2" s="84" t="s">
        <v>135</v>
      </c>
      <c r="BB2" s="85" t="s">
        <v>136</v>
      </c>
      <c r="BC2" s="86" t="s">
        <v>137</v>
      </c>
      <c r="BE2" s="83" t="s">
        <v>131</v>
      </c>
      <c r="BF2" s="84" t="s">
        <v>132</v>
      </c>
      <c r="BG2" s="84" t="s">
        <v>133</v>
      </c>
      <c r="BH2" s="84" t="s">
        <v>134</v>
      </c>
      <c r="BI2" s="84" t="s">
        <v>135</v>
      </c>
      <c r="BJ2" s="85" t="s">
        <v>136</v>
      </c>
      <c r="BK2" s="86" t="s">
        <v>137</v>
      </c>
    </row>
    <row r="3" s="87" customFormat="true" ht="14.25" hidden="false" customHeight="true" outlineLevel="0" collapsed="false">
      <c r="A3" s="114" t="s">
        <v>20</v>
      </c>
      <c r="B3" s="114"/>
      <c r="C3" s="114"/>
      <c r="D3" s="114"/>
      <c r="E3" s="114"/>
      <c r="F3" s="114"/>
      <c r="G3" s="114"/>
      <c r="I3" s="114" t="s">
        <v>20</v>
      </c>
      <c r="J3" s="114"/>
      <c r="K3" s="114"/>
      <c r="L3" s="114"/>
      <c r="M3" s="114"/>
      <c r="N3" s="114"/>
      <c r="O3" s="114"/>
      <c r="Q3" s="114" t="s">
        <v>20</v>
      </c>
      <c r="R3" s="114"/>
      <c r="S3" s="114"/>
      <c r="T3" s="114"/>
      <c r="U3" s="114"/>
      <c r="V3" s="114"/>
      <c r="W3" s="114"/>
      <c r="Y3" s="114" t="s">
        <v>20</v>
      </c>
      <c r="Z3" s="114"/>
      <c r="AA3" s="114"/>
      <c r="AB3" s="114"/>
      <c r="AC3" s="114"/>
      <c r="AD3" s="114"/>
      <c r="AE3" s="114"/>
      <c r="AG3" s="114" t="s">
        <v>20</v>
      </c>
      <c r="AH3" s="114"/>
      <c r="AI3" s="114"/>
      <c r="AJ3" s="114"/>
      <c r="AK3" s="114"/>
      <c r="AL3" s="114"/>
      <c r="AM3" s="114"/>
      <c r="AO3" s="114" t="s">
        <v>20</v>
      </c>
      <c r="AP3" s="114"/>
      <c r="AQ3" s="114"/>
      <c r="AR3" s="114"/>
      <c r="AS3" s="114"/>
      <c r="AT3" s="114"/>
      <c r="AU3" s="114"/>
      <c r="AW3" s="114" t="s">
        <v>20</v>
      </c>
      <c r="AX3" s="114"/>
      <c r="AY3" s="114"/>
      <c r="AZ3" s="114"/>
      <c r="BA3" s="114"/>
      <c r="BB3" s="114"/>
      <c r="BC3" s="114"/>
      <c r="BE3" s="114" t="s">
        <v>20</v>
      </c>
      <c r="BF3" s="114"/>
      <c r="BG3" s="114"/>
      <c r="BH3" s="114"/>
      <c r="BI3" s="114"/>
      <c r="BJ3" s="114"/>
      <c r="BK3" s="114"/>
    </row>
    <row r="4" customFormat="false" ht="13.5" hidden="false" customHeight="false" outlineLevel="0" collapsed="false">
      <c r="A4" s="88"/>
      <c r="B4" s="89"/>
      <c r="C4" s="89"/>
      <c r="D4" s="89"/>
      <c r="E4" s="89"/>
      <c r="F4" s="90"/>
      <c r="G4" s="91"/>
      <c r="I4" s="88"/>
      <c r="J4" s="89"/>
      <c r="K4" s="89"/>
      <c r="L4" s="89"/>
      <c r="M4" s="89"/>
      <c r="N4" s="90"/>
      <c r="O4" s="91"/>
      <c r="Q4" s="88"/>
      <c r="R4" s="89"/>
      <c r="S4" s="89"/>
      <c r="T4" s="89"/>
      <c r="U4" s="89"/>
      <c r="V4" s="90"/>
      <c r="W4" s="91"/>
      <c r="Y4" s="88"/>
      <c r="Z4" s="89"/>
      <c r="AA4" s="89"/>
      <c r="AB4" s="89"/>
      <c r="AC4" s="89"/>
      <c r="AD4" s="90"/>
      <c r="AE4" s="91"/>
      <c r="AG4" s="88"/>
      <c r="AH4" s="89"/>
      <c r="AI4" s="89"/>
      <c r="AJ4" s="89"/>
      <c r="AK4" s="89"/>
      <c r="AL4" s="90"/>
      <c r="AM4" s="91"/>
      <c r="AO4" s="88"/>
      <c r="AP4" s="89"/>
      <c r="AQ4" s="89"/>
      <c r="AR4" s="89"/>
      <c r="AS4" s="89"/>
      <c r="AT4" s="90"/>
      <c r="AU4" s="91"/>
      <c r="AW4" s="88"/>
      <c r="AX4" s="89"/>
      <c r="AY4" s="89"/>
      <c r="AZ4" s="89"/>
      <c r="BA4" s="89"/>
      <c r="BB4" s="90"/>
      <c r="BC4" s="91"/>
      <c r="BE4" s="88"/>
      <c r="BF4" s="89"/>
      <c r="BG4" s="89"/>
      <c r="BH4" s="89"/>
      <c r="BI4" s="89"/>
      <c r="BJ4" s="90"/>
      <c r="BK4" s="91"/>
    </row>
    <row r="5" customFormat="false" ht="13.5" hidden="false" customHeight="false" outlineLevel="0" collapsed="false">
      <c r="A5" s="88" t="s">
        <v>138</v>
      </c>
      <c r="B5" s="89" t="s">
        <v>182</v>
      </c>
      <c r="C5" s="89" t="n">
        <v>1</v>
      </c>
      <c r="D5" s="89" t="n">
        <v>470.3</v>
      </c>
      <c r="E5" s="89" t="n">
        <v>4.45</v>
      </c>
      <c r="F5" s="90"/>
      <c r="G5" s="91" t="n">
        <f aca="false">C5*D5*E5</f>
        <v>2092.835</v>
      </c>
      <c r="I5" s="88" t="s">
        <v>138</v>
      </c>
      <c r="J5" s="89" t="s">
        <v>182</v>
      </c>
      <c r="K5" s="89" t="n">
        <v>1</v>
      </c>
      <c r="L5" s="89" t="n">
        <v>239.4</v>
      </c>
      <c r="M5" s="89" t="n">
        <v>4.5</v>
      </c>
      <c r="N5" s="90"/>
      <c r="O5" s="91" t="n">
        <f aca="false">K5*L5*M5</f>
        <v>1077.3</v>
      </c>
      <c r="Q5" s="88" t="s">
        <v>138</v>
      </c>
      <c r="R5" s="89" t="s">
        <v>139</v>
      </c>
      <c r="S5" s="89" t="n">
        <v>1</v>
      </c>
      <c r="T5" s="89" t="n">
        <v>279.2</v>
      </c>
      <c r="U5" s="89" t="n">
        <v>3.3</v>
      </c>
      <c r="V5" s="90"/>
      <c r="W5" s="91" t="n">
        <f aca="false">S5*T5*U5</f>
        <v>921.36</v>
      </c>
      <c r="Y5" s="88" t="s">
        <v>138</v>
      </c>
      <c r="Z5" s="89" t="s">
        <v>139</v>
      </c>
      <c r="AA5" s="89" t="n">
        <v>1</v>
      </c>
      <c r="AB5" s="89" t="n">
        <v>258.8</v>
      </c>
      <c r="AC5" s="89" t="n">
        <v>3.3</v>
      </c>
      <c r="AD5" s="90"/>
      <c r="AE5" s="91" t="n">
        <f aca="false">AA5*AB5*AC5</f>
        <v>854.04</v>
      </c>
      <c r="AG5" s="88" t="s">
        <v>138</v>
      </c>
      <c r="AH5" s="89" t="s">
        <v>139</v>
      </c>
      <c r="AI5" s="89" t="n">
        <v>1</v>
      </c>
      <c r="AJ5" s="89" t="n">
        <v>251.7</v>
      </c>
      <c r="AK5" s="89" t="n">
        <v>3.3</v>
      </c>
      <c r="AL5" s="90"/>
      <c r="AM5" s="91" t="n">
        <f aca="false">AI5*AJ5*AK5</f>
        <v>830.61</v>
      </c>
      <c r="AO5" s="88" t="s">
        <v>138</v>
      </c>
      <c r="AP5" s="89" t="s">
        <v>139</v>
      </c>
      <c r="AQ5" s="89" t="n">
        <v>1</v>
      </c>
      <c r="AR5" s="89" t="n">
        <v>261.1</v>
      </c>
      <c r="AS5" s="89" t="n">
        <v>3.3</v>
      </c>
      <c r="AT5" s="90"/>
      <c r="AU5" s="91" t="n">
        <f aca="false">AQ5*AR5*AS5</f>
        <v>861.63</v>
      </c>
      <c r="AW5" s="88" t="s">
        <v>138</v>
      </c>
      <c r="AX5" s="89" t="s">
        <v>139</v>
      </c>
      <c r="AY5" s="89" t="n">
        <v>1</v>
      </c>
      <c r="AZ5" s="89" t="n">
        <v>368.6</v>
      </c>
      <c r="BA5" s="89" t="n">
        <v>3.3</v>
      </c>
      <c r="BB5" s="90"/>
      <c r="BC5" s="91" t="n">
        <f aca="false">AY5*AZ5*BA5</f>
        <v>1216.38</v>
      </c>
      <c r="BE5" s="88" t="s">
        <v>138</v>
      </c>
      <c r="BF5" s="89" t="s">
        <v>139</v>
      </c>
      <c r="BG5" s="89" t="n">
        <v>1</v>
      </c>
      <c r="BH5" s="89" t="n">
        <v>197</v>
      </c>
      <c r="BI5" s="89" t="n">
        <v>1.5</v>
      </c>
      <c r="BJ5" s="90"/>
      <c r="BK5" s="91" t="n">
        <f aca="false">BG5*BH5*BI5</f>
        <v>295.5</v>
      </c>
    </row>
    <row r="6" customFormat="false" ht="13.5" hidden="false" customHeight="false" outlineLevel="0" collapsed="false">
      <c r="A6" s="92"/>
      <c r="B6" s="89"/>
      <c r="C6" s="89"/>
      <c r="D6" s="89"/>
      <c r="E6" s="89"/>
      <c r="F6" s="90"/>
      <c r="G6" s="91"/>
      <c r="I6" s="88"/>
      <c r="J6" s="89"/>
      <c r="K6" s="89"/>
      <c r="L6" s="89"/>
      <c r="M6" s="89"/>
      <c r="N6" s="90"/>
      <c r="O6" s="91"/>
      <c r="Q6" s="88"/>
      <c r="R6" s="89"/>
      <c r="S6" s="89"/>
      <c r="T6" s="89"/>
      <c r="U6" s="89"/>
      <c r="V6" s="90"/>
      <c r="W6" s="91"/>
      <c r="Y6" s="88"/>
      <c r="Z6" s="89"/>
      <c r="AA6" s="89"/>
      <c r="AB6" s="89"/>
      <c r="AC6" s="89"/>
      <c r="AD6" s="90"/>
      <c r="AE6" s="91"/>
      <c r="AG6" s="88"/>
      <c r="AH6" s="89"/>
      <c r="AI6" s="89"/>
      <c r="AJ6" s="89"/>
      <c r="AK6" s="89"/>
      <c r="AL6" s="90"/>
      <c r="AM6" s="91"/>
      <c r="AO6" s="88"/>
      <c r="AP6" s="89"/>
      <c r="AQ6" s="89"/>
      <c r="AR6" s="89"/>
      <c r="AS6" s="89"/>
      <c r="AT6" s="90"/>
      <c r="AU6" s="91"/>
      <c r="AW6" s="88"/>
      <c r="AX6" s="89"/>
      <c r="AY6" s="89"/>
      <c r="AZ6" s="89"/>
      <c r="BA6" s="89"/>
      <c r="BB6" s="90"/>
      <c r="BC6" s="91"/>
      <c r="BE6" s="88"/>
      <c r="BF6" s="89"/>
      <c r="BG6" s="89"/>
      <c r="BH6" s="89"/>
      <c r="BI6" s="89"/>
      <c r="BJ6" s="90"/>
      <c r="BK6" s="91"/>
    </row>
    <row r="7" customFormat="false" ht="14.25" hidden="false" customHeight="true" outlineLevel="0" collapsed="false">
      <c r="A7" s="93"/>
      <c r="B7" s="93"/>
      <c r="C7" s="93"/>
      <c r="D7" s="93"/>
      <c r="E7" s="93"/>
      <c r="F7" s="94"/>
      <c r="G7" s="95" t="n">
        <f aca="false">G5</f>
        <v>2092.835</v>
      </c>
      <c r="I7" s="96"/>
      <c r="J7" s="93"/>
      <c r="K7" s="93"/>
      <c r="L7" s="93"/>
      <c r="M7" s="93"/>
      <c r="N7" s="94"/>
      <c r="O7" s="95" t="n">
        <f aca="false">O5</f>
        <v>1077.3</v>
      </c>
      <c r="Q7" s="96"/>
      <c r="R7" s="93"/>
      <c r="S7" s="93"/>
      <c r="T7" s="93"/>
      <c r="U7" s="93"/>
      <c r="V7" s="94"/>
      <c r="W7" s="95" t="n">
        <f aca="false">W5</f>
        <v>921.36</v>
      </c>
      <c r="Y7" s="96"/>
      <c r="Z7" s="93"/>
      <c r="AA7" s="93"/>
      <c r="AB7" s="93"/>
      <c r="AC7" s="93"/>
      <c r="AD7" s="94"/>
      <c r="AE7" s="95" t="n">
        <f aca="false">AE5</f>
        <v>854.04</v>
      </c>
      <c r="AG7" s="96"/>
      <c r="AH7" s="93"/>
      <c r="AI7" s="93"/>
      <c r="AJ7" s="93"/>
      <c r="AK7" s="93"/>
      <c r="AL7" s="94"/>
      <c r="AM7" s="95" t="n">
        <f aca="false">AM5</f>
        <v>830.61</v>
      </c>
      <c r="AO7" s="96"/>
      <c r="AP7" s="93"/>
      <c r="AQ7" s="93"/>
      <c r="AR7" s="93"/>
      <c r="AS7" s="93"/>
      <c r="AT7" s="94"/>
      <c r="AU7" s="95" t="n">
        <f aca="false">AU5</f>
        <v>861.63</v>
      </c>
      <c r="AW7" s="96"/>
      <c r="AX7" s="93"/>
      <c r="AY7" s="93"/>
      <c r="AZ7" s="93"/>
      <c r="BA7" s="93"/>
      <c r="BB7" s="94"/>
      <c r="BC7" s="95" t="n">
        <f aca="false">BC5</f>
        <v>1216.38</v>
      </c>
      <c r="BE7" s="96"/>
      <c r="BF7" s="93"/>
      <c r="BG7" s="93"/>
      <c r="BH7" s="93"/>
      <c r="BI7" s="93"/>
      <c r="BJ7" s="94"/>
      <c r="BK7" s="95" t="n">
        <f aca="false">BK5</f>
        <v>295.5</v>
      </c>
    </row>
    <row r="8" customFormat="false" ht="14.25" hidden="false" customHeight="true" outlineLevel="0" collapsed="false">
      <c r="A8" s="88"/>
      <c r="B8" s="89"/>
      <c r="C8" s="89"/>
      <c r="D8" s="89"/>
      <c r="E8" s="89"/>
      <c r="F8" s="90"/>
      <c r="G8" s="91"/>
      <c r="I8" s="88"/>
      <c r="J8" s="89"/>
      <c r="K8" s="89"/>
      <c r="L8" s="89"/>
      <c r="M8" s="89"/>
      <c r="N8" s="90"/>
      <c r="O8" s="91"/>
      <c r="Q8" s="88"/>
      <c r="R8" s="89"/>
      <c r="S8" s="89"/>
      <c r="T8" s="89"/>
      <c r="U8" s="89"/>
      <c r="V8" s="90"/>
      <c r="W8" s="91"/>
      <c r="Y8" s="88"/>
      <c r="Z8" s="89"/>
      <c r="AA8" s="89"/>
      <c r="AB8" s="89"/>
      <c r="AC8" s="89"/>
      <c r="AD8" s="90"/>
      <c r="AE8" s="91"/>
      <c r="AG8" s="88"/>
      <c r="AH8" s="89"/>
      <c r="AI8" s="89"/>
      <c r="AJ8" s="89"/>
      <c r="AK8" s="89"/>
      <c r="AL8" s="90"/>
      <c r="AM8" s="91"/>
      <c r="AO8" s="88"/>
      <c r="AP8" s="89"/>
      <c r="AQ8" s="89"/>
      <c r="AR8" s="89"/>
      <c r="AS8" s="89"/>
      <c r="AT8" s="90"/>
      <c r="AU8" s="91"/>
      <c r="AW8" s="88"/>
      <c r="AX8" s="89"/>
      <c r="AY8" s="89"/>
      <c r="AZ8" s="89"/>
      <c r="BA8" s="89"/>
      <c r="BB8" s="90"/>
      <c r="BC8" s="91"/>
      <c r="BE8" s="88"/>
      <c r="BF8" s="89"/>
      <c r="BG8" s="89"/>
      <c r="BH8" s="89"/>
      <c r="BI8" s="89"/>
      <c r="BJ8" s="90"/>
      <c r="BK8" s="91"/>
    </row>
    <row r="9" customFormat="false" ht="13.5" hidden="false" customHeight="false" outlineLevel="0" collapsed="false">
      <c r="A9" s="88"/>
      <c r="B9" s="97" t="s">
        <v>140</v>
      </c>
      <c r="C9" s="89"/>
      <c r="D9" s="89"/>
      <c r="E9" s="89"/>
      <c r="F9" s="90"/>
      <c r="G9" s="91"/>
      <c r="I9" s="88"/>
      <c r="J9" s="97" t="s">
        <v>140</v>
      </c>
      <c r="K9" s="89"/>
      <c r="L9" s="89"/>
      <c r="M9" s="89"/>
      <c r="N9" s="90"/>
      <c r="O9" s="91"/>
      <c r="Q9" s="88"/>
      <c r="R9" s="97" t="s">
        <v>140</v>
      </c>
      <c r="S9" s="89"/>
      <c r="T9" s="89"/>
      <c r="U9" s="89"/>
      <c r="V9" s="90"/>
      <c r="W9" s="91"/>
      <c r="Y9" s="88"/>
      <c r="Z9" s="97" t="s">
        <v>140</v>
      </c>
      <c r="AA9" s="89"/>
      <c r="AB9" s="89"/>
      <c r="AC9" s="89"/>
      <c r="AD9" s="90"/>
      <c r="AE9" s="91"/>
      <c r="AG9" s="88"/>
      <c r="AH9" s="97" t="s">
        <v>140</v>
      </c>
      <c r="AI9" s="89"/>
      <c r="AJ9" s="89"/>
      <c r="AK9" s="89"/>
      <c r="AL9" s="90"/>
      <c r="AM9" s="91"/>
      <c r="AO9" s="88"/>
      <c r="AP9" s="97" t="s">
        <v>140</v>
      </c>
      <c r="AQ9" s="89"/>
      <c r="AR9" s="89"/>
      <c r="AS9" s="89"/>
      <c r="AT9" s="90"/>
      <c r="AU9" s="91"/>
      <c r="AW9" s="88"/>
      <c r="AX9" s="97" t="s">
        <v>140</v>
      </c>
      <c r="AY9" s="89"/>
      <c r="AZ9" s="89"/>
      <c r="BA9" s="89"/>
      <c r="BB9" s="90"/>
      <c r="BC9" s="91"/>
      <c r="BE9" s="88"/>
      <c r="BF9" s="97" t="s">
        <v>140</v>
      </c>
      <c r="BG9" s="89"/>
      <c r="BH9" s="89"/>
      <c r="BI9" s="89"/>
      <c r="BJ9" s="90"/>
      <c r="BK9" s="91"/>
    </row>
    <row r="10" customFormat="false" ht="14.9" hidden="false" customHeight="false" outlineLevel="0" collapsed="false">
      <c r="A10" s="88" t="s">
        <v>141</v>
      </c>
      <c r="B10" s="98" t="s">
        <v>142</v>
      </c>
      <c r="C10" s="89" t="n">
        <v>3</v>
      </c>
      <c r="D10" s="89" t="n">
        <v>1.6</v>
      </c>
      <c r="E10" s="89" t="n">
        <v>1</v>
      </c>
      <c r="F10" s="90" t="n">
        <f aca="false">2*(D10+E10)*C10</f>
        <v>15.6</v>
      </c>
      <c r="G10" s="91" t="n">
        <f aca="false">C10*D10*E10</f>
        <v>4.8</v>
      </c>
      <c r="I10" s="88" t="s">
        <v>141</v>
      </c>
      <c r="J10" s="98" t="s">
        <v>143</v>
      </c>
      <c r="K10" s="89" t="n">
        <v>5</v>
      </c>
      <c r="L10" s="89" t="n">
        <f aca="false">'WINDOWS AND DOORS SCHEDULE'!D6</f>
        <v>2.5</v>
      </c>
      <c r="M10" s="89" t="n">
        <f aca="false">'WINDOWS AND DOORS SCHEDULE'!E6</f>
        <v>0.75</v>
      </c>
      <c r="N10" s="90" t="n">
        <f aca="false">2*(L10+M10)*K10</f>
        <v>32.5</v>
      </c>
      <c r="O10" s="91" t="n">
        <f aca="false">K10*L10*M10</f>
        <v>9.375</v>
      </c>
      <c r="Q10" s="88" t="s">
        <v>141</v>
      </c>
      <c r="R10" s="98" t="s">
        <v>143</v>
      </c>
      <c r="S10" s="89" t="n">
        <v>5</v>
      </c>
      <c r="T10" s="89" t="n">
        <f aca="false">'WINDOWS AND DOORS SCHEDULE'!D6</f>
        <v>2.5</v>
      </c>
      <c r="U10" s="89" t="n">
        <f aca="false">'WINDOWS AND DOORS SCHEDULE'!E6</f>
        <v>0.75</v>
      </c>
      <c r="V10" s="90" t="n">
        <f aca="false">2*(T10+U10)*S10</f>
        <v>32.5</v>
      </c>
      <c r="W10" s="91" t="n">
        <f aca="false">S10*T10*U10</f>
        <v>9.375</v>
      </c>
      <c r="Y10" s="88" t="s">
        <v>141</v>
      </c>
      <c r="Z10" s="98" t="s">
        <v>143</v>
      </c>
      <c r="AA10" s="89" t="n">
        <v>6</v>
      </c>
      <c r="AB10" s="89" t="n">
        <f aca="false">'WINDOWS AND DOORS SCHEDULE'!D6</f>
        <v>2.5</v>
      </c>
      <c r="AC10" s="89" t="n">
        <f aca="false">'WINDOWS AND DOORS SCHEDULE'!E6</f>
        <v>0.75</v>
      </c>
      <c r="AD10" s="90" t="n">
        <f aca="false">2*(AB10+AC10)*AA10</f>
        <v>39</v>
      </c>
      <c r="AE10" s="91" t="n">
        <f aca="false">AA10*AB10*AC10</f>
        <v>11.25</v>
      </c>
      <c r="AG10" s="88" t="s">
        <v>141</v>
      </c>
      <c r="AH10" s="98" t="s">
        <v>143</v>
      </c>
      <c r="AI10" s="89" t="n">
        <v>5</v>
      </c>
      <c r="AJ10" s="89" t="n">
        <f aca="false">'WINDOWS AND DOORS SCHEDULE'!D6</f>
        <v>2.5</v>
      </c>
      <c r="AK10" s="89" t="n">
        <f aca="false">'WINDOWS AND DOORS SCHEDULE'!E6</f>
        <v>0.75</v>
      </c>
      <c r="AL10" s="90" t="n">
        <f aca="false">2*(AJ10+AK10)*AI10</f>
        <v>32.5</v>
      </c>
      <c r="AM10" s="91" t="n">
        <f aca="false">AI10*AJ10*AK10</f>
        <v>9.375</v>
      </c>
      <c r="AO10" s="88" t="s">
        <v>141</v>
      </c>
      <c r="AP10" s="98" t="s">
        <v>143</v>
      </c>
      <c r="AQ10" s="89" t="n">
        <v>5</v>
      </c>
      <c r="AR10" s="89" t="n">
        <f aca="false">'WINDOWS AND DOORS SCHEDULE'!D6</f>
        <v>2.5</v>
      </c>
      <c r="AS10" s="89" t="n">
        <f aca="false">'WINDOWS AND DOORS SCHEDULE'!E6</f>
        <v>0.75</v>
      </c>
      <c r="AT10" s="90" t="n">
        <f aca="false">2*(AR10+AS10)*AQ10</f>
        <v>32.5</v>
      </c>
      <c r="AU10" s="91" t="n">
        <f aca="false">AQ10*AR10*AS10</f>
        <v>9.375</v>
      </c>
      <c r="AW10" s="88" t="s">
        <v>141</v>
      </c>
      <c r="AX10" s="98" t="s">
        <v>143</v>
      </c>
      <c r="AY10" s="89" t="n">
        <v>4</v>
      </c>
      <c r="AZ10" s="89" t="n">
        <f aca="false">'WINDOWS AND DOORS SCHEDULE'!D6</f>
        <v>2.5</v>
      </c>
      <c r="BA10" s="89" t="n">
        <f aca="false">'WINDOWS AND DOORS SCHEDULE'!E6</f>
        <v>0.75</v>
      </c>
      <c r="BB10" s="90" t="n">
        <f aca="false">2*(AZ10+BA10)*AY10</f>
        <v>26</v>
      </c>
      <c r="BC10" s="91" t="n">
        <f aca="false">AY10*AZ10*BA10</f>
        <v>7.5</v>
      </c>
      <c r="BE10" s="88"/>
      <c r="BF10" s="97"/>
      <c r="BG10" s="89"/>
      <c r="BH10" s="89"/>
      <c r="BI10" s="89"/>
      <c r="BJ10" s="90"/>
      <c r="BK10" s="91"/>
    </row>
    <row r="11" customFormat="false" ht="14.9" hidden="false" customHeight="false" outlineLevel="0" collapsed="false">
      <c r="A11" s="92"/>
      <c r="B11" s="98"/>
      <c r="C11" s="89"/>
      <c r="D11" s="89"/>
      <c r="E11" s="89"/>
      <c r="F11" s="90"/>
      <c r="G11" s="91"/>
      <c r="I11" s="88"/>
      <c r="J11" s="98" t="s">
        <v>144</v>
      </c>
      <c r="K11" s="89" t="n">
        <v>3</v>
      </c>
      <c r="L11" s="89" t="n">
        <f aca="false">'WINDOWS AND DOORS SCHEDULE'!D7</f>
        <v>1.6</v>
      </c>
      <c r="M11" s="89" t="n">
        <f aca="false">'WINDOWS AND DOORS SCHEDULE'!E7</f>
        <v>3</v>
      </c>
      <c r="N11" s="90" t="n">
        <f aca="false">2*(L11+M11)*K11</f>
        <v>27.6</v>
      </c>
      <c r="O11" s="91" t="n">
        <f aca="false">K11*L11*M11</f>
        <v>14.4</v>
      </c>
      <c r="Q11" s="88"/>
      <c r="R11" s="98" t="s">
        <v>145</v>
      </c>
      <c r="S11" s="89" t="n">
        <v>2</v>
      </c>
      <c r="T11" s="89" t="n">
        <f aca="false">'WINDOWS AND DOORS SCHEDULE'!D8</f>
        <v>1.5</v>
      </c>
      <c r="U11" s="89" t="n">
        <f aca="false">'WINDOWS AND DOORS SCHEDULE'!E8</f>
        <v>1.2</v>
      </c>
      <c r="V11" s="90" t="n">
        <f aca="false">2*(T11+U11)*S11</f>
        <v>10.8</v>
      </c>
      <c r="W11" s="91" t="n">
        <f aca="false">S11*T11*U11</f>
        <v>3.6</v>
      </c>
      <c r="Y11" s="88"/>
      <c r="Z11" s="98" t="s">
        <v>145</v>
      </c>
      <c r="AA11" s="89" t="n">
        <v>2</v>
      </c>
      <c r="AB11" s="89" t="n">
        <f aca="false">'WINDOWS AND DOORS SCHEDULE'!D8</f>
        <v>1.5</v>
      </c>
      <c r="AC11" s="89" t="n">
        <f aca="false">'WINDOWS AND DOORS SCHEDULE'!E8</f>
        <v>1.2</v>
      </c>
      <c r="AD11" s="90" t="n">
        <f aca="false">2*(AB11+AC11)*AA11</f>
        <v>10.8</v>
      </c>
      <c r="AE11" s="91" t="n">
        <f aca="false">AA11*AB11*AC11</f>
        <v>3.6</v>
      </c>
      <c r="AG11" s="88"/>
      <c r="AH11" s="98" t="s">
        <v>145</v>
      </c>
      <c r="AI11" s="89" t="n">
        <v>2</v>
      </c>
      <c r="AJ11" s="89" t="n">
        <f aca="false">'WINDOWS AND DOORS SCHEDULE'!D8</f>
        <v>1.5</v>
      </c>
      <c r="AK11" s="89" t="n">
        <f aca="false">'WINDOWS AND DOORS SCHEDULE'!E8</f>
        <v>1.2</v>
      </c>
      <c r="AL11" s="90" t="n">
        <f aca="false">2*(AJ11+AK11)*AI11</f>
        <v>10.8</v>
      </c>
      <c r="AM11" s="91" t="n">
        <f aca="false">AI11*AJ11*AK11</f>
        <v>3.6</v>
      </c>
      <c r="AO11" s="88"/>
      <c r="AP11" s="98" t="s">
        <v>145</v>
      </c>
      <c r="AQ11" s="89" t="n">
        <v>2</v>
      </c>
      <c r="AR11" s="89" t="n">
        <f aca="false">'WINDOWS AND DOORS SCHEDULE'!D8</f>
        <v>1.5</v>
      </c>
      <c r="AS11" s="89" t="n">
        <f aca="false">'WINDOWS AND DOORS SCHEDULE'!E8</f>
        <v>1.2</v>
      </c>
      <c r="AT11" s="90" t="n">
        <f aca="false">2*(AR11+AS11)*AQ11</f>
        <v>10.8</v>
      </c>
      <c r="AU11" s="91" t="n">
        <f aca="false">AQ11*AR11*AS11</f>
        <v>3.6</v>
      </c>
      <c r="AW11" s="88"/>
      <c r="AX11" s="98" t="s">
        <v>145</v>
      </c>
      <c r="AY11" s="89" t="n">
        <v>1</v>
      </c>
      <c r="AZ11" s="89" t="n">
        <f aca="false">'WINDOWS AND DOORS SCHEDULE'!D8</f>
        <v>1.5</v>
      </c>
      <c r="BA11" s="89" t="n">
        <f aca="false">'WINDOWS AND DOORS SCHEDULE'!E8</f>
        <v>1.2</v>
      </c>
      <c r="BB11" s="90" t="n">
        <f aca="false">2*(AZ11+BA11)*AY11</f>
        <v>5.4</v>
      </c>
      <c r="BC11" s="91" t="n">
        <f aca="false">AY11*AZ11*BA11</f>
        <v>1.8</v>
      </c>
      <c r="BE11" s="88"/>
      <c r="BF11" s="97"/>
      <c r="BG11" s="89"/>
      <c r="BH11" s="89"/>
      <c r="BI11" s="89"/>
      <c r="BJ11" s="90"/>
      <c r="BK11" s="91"/>
    </row>
    <row r="12" customFormat="false" ht="14.9" hidden="false" customHeight="false" outlineLevel="0" collapsed="false">
      <c r="A12" s="92"/>
      <c r="B12" s="98"/>
      <c r="C12" s="89"/>
      <c r="D12" s="89"/>
      <c r="E12" s="89"/>
      <c r="F12" s="90"/>
      <c r="G12" s="91"/>
      <c r="I12" s="88"/>
      <c r="J12" s="98" t="s">
        <v>145</v>
      </c>
      <c r="K12" s="89" t="n">
        <v>2</v>
      </c>
      <c r="L12" s="89" t="n">
        <f aca="false">'WINDOWS AND DOORS SCHEDULE'!D8</f>
        <v>1.5</v>
      </c>
      <c r="M12" s="89" t="n">
        <f aca="false">'WINDOWS AND DOORS SCHEDULE'!E8</f>
        <v>1.2</v>
      </c>
      <c r="N12" s="90" t="n">
        <f aca="false">2*(L12+M12)*K12</f>
        <v>10.8</v>
      </c>
      <c r="O12" s="91" t="n">
        <f aca="false">K12*L12*M12</f>
        <v>3.6</v>
      </c>
      <c r="Q12" s="88"/>
      <c r="R12" s="98" t="s">
        <v>146</v>
      </c>
      <c r="S12" s="89" t="n">
        <v>2</v>
      </c>
      <c r="T12" s="89" t="n">
        <f aca="false">'WINDOWS AND DOORS SCHEDULE'!D9</f>
        <v>0.9</v>
      </c>
      <c r="U12" s="89" t="n">
        <f aca="false">'WINDOWS AND DOORS SCHEDULE'!E9</f>
        <v>2</v>
      </c>
      <c r="V12" s="90" t="n">
        <f aca="false">2*(T12+U12)*S12</f>
        <v>11.6</v>
      </c>
      <c r="W12" s="91" t="n">
        <f aca="false">S12*T12*U12</f>
        <v>3.6</v>
      </c>
      <c r="Y12" s="88"/>
      <c r="Z12" s="98" t="s">
        <v>146</v>
      </c>
      <c r="AA12" s="89" t="n">
        <v>2</v>
      </c>
      <c r="AB12" s="89" t="n">
        <f aca="false">'WINDOWS AND DOORS SCHEDULE'!D9</f>
        <v>0.9</v>
      </c>
      <c r="AC12" s="89" t="n">
        <f aca="false">'WINDOWS AND DOORS SCHEDULE'!E9</f>
        <v>2</v>
      </c>
      <c r="AD12" s="90" t="n">
        <f aca="false">2*(AB12+AC12)*AA12</f>
        <v>11.6</v>
      </c>
      <c r="AE12" s="91" t="n">
        <f aca="false">AA12*AB12*AC12</f>
        <v>3.6</v>
      </c>
      <c r="AG12" s="88"/>
      <c r="AH12" s="98" t="s">
        <v>146</v>
      </c>
      <c r="AI12" s="89" t="n">
        <v>2</v>
      </c>
      <c r="AJ12" s="89" t="n">
        <f aca="false">'WINDOWS AND DOORS SCHEDULE'!D9</f>
        <v>0.9</v>
      </c>
      <c r="AK12" s="89" t="n">
        <f aca="false">'WINDOWS AND DOORS SCHEDULE'!E9</f>
        <v>2</v>
      </c>
      <c r="AL12" s="90" t="n">
        <f aca="false">2*(AJ12+AK12)*AI12</f>
        <v>11.6</v>
      </c>
      <c r="AM12" s="91" t="n">
        <f aca="false">AI12*AJ12*AK12</f>
        <v>3.6</v>
      </c>
      <c r="AO12" s="88"/>
      <c r="AP12" s="98" t="s">
        <v>146</v>
      </c>
      <c r="AQ12" s="89" t="n">
        <v>2</v>
      </c>
      <c r="AR12" s="89" t="n">
        <f aca="false">'WINDOWS AND DOORS SCHEDULE'!D9</f>
        <v>0.9</v>
      </c>
      <c r="AS12" s="89" t="n">
        <f aca="false">'WINDOWS AND DOORS SCHEDULE'!E9</f>
        <v>2</v>
      </c>
      <c r="AT12" s="90" t="n">
        <f aca="false">2*(AR12+AS12)*AQ12</f>
        <v>11.6</v>
      </c>
      <c r="AU12" s="91" t="n">
        <f aca="false">AQ12*AR12*AS12</f>
        <v>3.6</v>
      </c>
      <c r="AW12" s="88"/>
      <c r="AX12" s="98" t="s">
        <v>146</v>
      </c>
      <c r="AY12" s="89" t="n">
        <v>5</v>
      </c>
      <c r="AZ12" s="89" t="n">
        <f aca="false">'WINDOWS AND DOORS SCHEDULE'!D9</f>
        <v>0.9</v>
      </c>
      <c r="BA12" s="89" t="n">
        <f aca="false">'WINDOWS AND DOORS SCHEDULE'!E9</f>
        <v>2</v>
      </c>
      <c r="BB12" s="90" t="n">
        <f aca="false">2*(AZ12+BA12)*AY12</f>
        <v>29</v>
      </c>
      <c r="BC12" s="91" t="n">
        <f aca="false">AY12*AZ12*BA12</f>
        <v>9</v>
      </c>
      <c r="BE12" s="88"/>
      <c r="BF12" s="97"/>
      <c r="BG12" s="89"/>
      <c r="BH12" s="89"/>
      <c r="BI12" s="89"/>
      <c r="BJ12" s="90"/>
      <c r="BK12" s="91"/>
    </row>
    <row r="13" customFormat="false" ht="14.9" hidden="false" customHeight="false" outlineLevel="0" collapsed="false">
      <c r="A13" s="92"/>
      <c r="B13" s="98"/>
      <c r="C13" s="89"/>
      <c r="D13" s="89"/>
      <c r="E13" s="89"/>
      <c r="F13" s="90"/>
      <c r="G13" s="91"/>
      <c r="I13" s="88"/>
      <c r="J13" s="98" t="s">
        <v>147</v>
      </c>
      <c r="K13" s="89" t="n">
        <v>1</v>
      </c>
      <c r="L13" s="89" t="n">
        <f aca="false">'WINDOWS AND DOORS SCHEDULE'!D11</f>
        <v>1.2</v>
      </c>
      <c r="M13" s="89" t="n">
        <f aca="false">'WINDOWS AND DOORS SCHEDULE'!E11</f>
        <v>0.75</v>
      </c>
      <c r="N13" s="90" t="n">
        <f aca="false">2*(L13+M13)*K13</f>
        <v>3.9</v>
      </c>
      <c r="O13" s="91" t="n">
        <f aca="false">K13*L13*M13</f>
        <v>0.9</v>
      </c>
      <c r="Q13" s="88"/>
      <c r="R13" s="98" t="s">
        <v>147</v>
      </c>
      <c r="S13" s="89" t="n">
        <v>1</v>
      </c>
      <c r="T13" s="89" t="n">
        <f aca="false">'WINDOWS AND DOORS SCHEDULE'!D11</f>
        <v>1.2</v>
      </c>
      <c r="U13" s="89" t="n">
        <f aca="false">'WINDOWS AND DOORS SCHEDULE'!E11</f>
        <v>0.75</v>
      </c>
      <c r="V13" s="90" t="n">
        <f aca="false">2*(T13+U13)*S13</f>
        <v>3.9</v>
      </c>
      <c r="W13" s="91" t="n">
        <f aca="false">S13*T13*U13</f>
        <v>0.9</v>
      </c>
      <c r="Y13" s="88"/>
      <c r="Z13" s="98" t="s">
        <v>147</v>
      </c>
      <c r="AA13" s="89" t="n">
        <v>1</v>
      </c>
      <c r="AB13" s="89" t="n">
        <f aca="false">'WINDOWS AND DOORS SCHEDULE'!D11</f>
        <v>1.2</v>
      </c>
      <c r="AC13" s="89" t="n">
        <f aca="false">'WINDOWS AND DOORS SCHEDULE'!E11</f>
        <v>0.75</v>
      </c>
      <c r="AD13" s="90" t="n">
        <f aca="false">2*(AB13+AC13)*AA13</f>
        <v>3.9</v>
      </c>
      <c r="AE13" s="91" t="n">
        <f aca="false">AA13*AB13*AC13</f>
        <v>0.9</v>
      </c>
      <c r="AG13" s="88"/>
      <c r="AH13" s="98" t="s">
        <v>147</v>
      </c>
      <c r="AI13" s="89" t="n">
        <v>1</v>
      </c>
      <c r="AJ13" s="89" t="n">
        <f aca="false">'WINDOWS AND DOORS SCHEDULE'!D11</f>
        <v>1.2</v>
      </c>
      <c r="AK13" s="89" t="n">
        <f aca="false">'WINDOWS AND DOORS SCHEDULE'!E11</f>
        <v>0.75</v>
      </c>
      <c r="AL13" s="90" t="n">
        <f aca="false">2*(AJ13+AK13)*AI13</f>
        <v>3.9</v>
      </c>
      <c r="AM13" s="91" t="n">
        <f aca="false">AI13*AJ13*AK13</f>
        <v>0.9</v>
      </c>
      <c r="AO13" s="88"/>
      <c r="AP13" s="98" t="s">
        <v>148</v>
      </c>
      <c r="AQ13" s="89" t="n">
        <v>4</v>
      </c>
      <c r="AR13" s="89" t="n">
        <f aca="false">'WINDOWS AND DOORS SCHEDULE'!D12</f>
        <v>1.8</v>
      </c>
      <c r="AS13" s="89" t="n">
        <f aca="false">'WINDOWS AND DOORS SCHEDULE'!E12</f>
        <v>1</v>
      </c>
      <c r="AT13" s="90" t="n">
        <f aca="false">2*(AR13+AS13)*AQ13</f>
        <v>22.4</v>
      </c>
      <c r="AU13" s="91" t="n">
        <f aca="false">AQ13*AR13*AS13</f>
        <v>7.2</v>
      </c>
      <c r="AW13" s="88"/>
      <c r="AX13" s="98" t="s">
        <v>147</v>
      </c>
      <c r="AY13" s="89" t="n">
        <v>1</v>
      </c>
      <c r="AZ13" s="89" t="n">
        <f aca="false">'WINDOWS AND DOORS SCHEDULE'!D11</f>
        <v>1.2</v>
      </c>
      <c r="BA13" s="89" t="n">
        <f aca="false">'WINDOWS AND DOORS SCHEDULE'!E11</f>
        <v>0.75</v>
      </c>
      <c r="BB13" s="90" t="n">
        <f aca="false">2*(AZ13+BA13)*AY13</f>
        <v>3.9</v>
      </c>
      <c r="BC13" s="91" t="n">
        <f aca="false">AY13*AZ13*BA13</f>
        <v>0.9</v>
      </c>
      <c r="BE13" s="88"/>
      <c r="BF13" s="97"/>
      <c r="BG13" s="89"/>
      <c r="BH13" s="89"/>
      <c r="BI13" s="89"/>
      <c r="BJ13" s="90"/>
      <c r="BK13" s="91"/>
    </row>
    <row r="14" customFormat="false" ht="14.9" hidden="false" customHeight="false" outlineLevel="0" collapsed="false">
      <c r="A14" s="92"/>
      <c r="B14" s="98"/>
      <c r="C14" s="89"/>
      <c r="D14" s="89"/>
      <c r="E14" s="89"/>
      <c r="F14" s="90"/>
      <c r="G14" s="91"/>
      <c r="I14" s="88"/>
      <c r="J14" s="99"/>
      <c r="K14" s="89"/>
      <c r="L14" s="89"/>
      <c r="M14" s="89"/>
      <c r="N14" s="90"/>
      <c r="O14" s="91"/>
      <c r="Q14" s="88"/>
      <c r="R14" s="99"/>
      <c r="S14" s="89"/>
      <c r="T14" s="89"/>
      <c r="U14" s="89"/>
      <c r="V14" s="90"/>
      <c r="W14" s="91"/>
      <c r="Y14" s="88"/>
      <c r="Z14" s="98" t="s">
        <v>148</v>
      </c>
      <c r="AA14" s="89" t="n">
        <v>3</v>
      </c>
      <c r="AB14" s="89" t="n">
        <f aca="false">'WINDOWS AND DOORS SCHEDULE'!D12</f>
        <v>1.8</v>
      </c>
      <c r="AC14" s="89" t="n">
        <f aca="false">'WINDOWS AND DOORS SCHEDULE'!E12</f>
        <v>1</v>
      </c>
      <c r="AD14" s="90" t="n">
        <f aca="false">2*(AB14+AC14)*AA14</f>
        <v>16.8</v>
      </c>
      <c r="AE14" s="91" t="n">
        <f aca="false">AA14*AB14*AC14</f>
        <v>5.4</v>
      </c>
      <c r="AG14" s="88"/>
      <c r="AH14" s="98" t="s">
        <v>148</v>
      </c>
      <c r="AI14" s="89" t="n">
        <v>3</v>
      </c>
      <c r="AJ14" s="89" t="n">
        <f aca="false">'WINDOWS AND DOORS SCHEDULE'!D12</f>
        <v>1.8</v>
      </c>
      <c r="AK14" s="89" t="n">
        <f aca="false">'WINDOWS AND DOORS SCHEDULE'!E12</f>
        <v>1</v>
      </c>
      <c r="AL14" s="90" t="n">
        <f aca="false">2*(AJ14+AK14)*AI14</f>
        <v>16.8</v>
      </c>
      <c r="AM14" s="91" t="n">
        <f aca="false">AI14*AJ14*AK14</f>
        <v>5.4</v>
      </c>
      <c r="AO14" s="88"/>
      <c r="AP14" s="98"/>
      <c r="AQ14" s="89"/>
      <c r="AR14" s="89"/>
      <c r="AS14" s="89"/>
      <c r="AT14" s="90"/>
      <c r="AU14" s="91"/>
      <c r="AW14" s="88"/>
      <c r="AX14" s="98"/>
      <c r="AY14" s="89"/>
      <c r="AZ14" s="89"/>
      <c r="BA14" s="89"/>
      <c r="BB14" s="90"/>
      <c r="BC14" s="91"/>
      <c r="BE14" s="88"/>
      <c r="BF14" s="97"/>
      <c r="BG14" s="89"/>
      <c r="BH14" s="89"/>
      <c r="BI14" s="89"/>
      <c r="BJ14" s="90"/>
      <c r="BK14" s="91"/>
    </row>
    <row r="15" customFormat="false" ht="13.5" hidden="false" customHeight="false" outlineLevel="0" collapsed="false">
      <c r="A15" s="92"/>
      <c r="B15" s="98"/>
      <c r="C15" s="89"/>
      <c r="D15" s="89"/>
      <c r="E15" s="89"/>
      <c r="F15" s="90"/>
      <c r="G15" s="91"/>
      <c r="I15" s="88"/>
      <c r="J15" s="99"/>
      <c r="K15" s="89"/>
      <c r="L15" s="89"/>
      <c r="M15" s="89"/>
      <c r="N15" s="90"/>
      <c r="O15" s="91"/>
      <c r="Q15" s="88"/>
      <c r="R15" s="99"/>
      <c r="S15" s="89"/>
      <c r="T15" s="89"/>
      <c r="U15" s="89"/>
      <c r="V15" s="90"/>
      <c r="W15" s="91"/>
      <c r="Y15" s="88"/>
      <c r="Z15" s="99"/>
      <c r="AA15" s="89"/>
      <c r="AB15" s="89"/>
      <c r="AC15" s="89"/>
      <c r="AD15" s="90"/>
      <c r="AE15" s="91"/>
      <c r="AG15" s="88"/>
      <c r="AH15" s="99"/>
      <c r="AI15" s="89"/>
      <c r="AJ15" s="89"/>
      <c r="AK15" s="89"/>
      <c r="AL15" s="90"/>
      <c r="AM15" s="91"/>
      <c r="AO15" s="88"/>
      <c r="AP15" s="99"/>
      <c r="AQ15" s="89"/>
      <c r="AR15" s="89"/>
      <c r="AS15" s="89"/>
      <c r="AT15" s="90"/>
      <c r="AU15" s="91"/>
      <c r="AW15" s="88"/>
      <c r="AX15" s="99"/>
      <c r="AY15" s="89"/>
      <c r="AZ15" s="89"/>
      <c r="BA15" s="89"/>
      <c r="BB15" s="90"/>
      <c r="BC15" s="91"/>
      <c r="BE15" s="88"/>
      <c r="BF15" s="99"/>
      <c r="BG15" s="89"/>
      <c r="BH15" s="89"/>
      <c r="BI15" s="89"/>
      <c r="BJ15" s="90"/>
      <c r="BK15" s="91"/>
    </row>
    <row r="16" customFormat="false" ht="14.25" hidden="false" customHeight="true" outlineLevel="0" collapsed="false">
      <c r="A16" s="93"/>
      <c r="B16" s="93" t="s">
        <v>149</v>
      </c>
      <c r="C16" s="93"/>
      <c r="D16" s="93"/>
      <c r="E16" s="93"/>
      <c r="F16" s="100" t="n">
        <f aca="false">F10</f>
        <v>15.6</v>
      </c>
      <c r="G16" s="101" t="n">
        <f aca="false">G10</f>
        <v>4.8</v>
      </c>
      <c r="I16" s="96"/>
      <c r="J16" s="93" t="s">
        <v>149</v>
      </c>
      <c r="K16" s="93"/>
      <c r="L16" s="93"/>
      <c r="M16" s="93"/>
      <c r="N16" s="100" t="n">
        <f aca="false">SUM(N10:N15)</f>
        <v>74.8</v>
      </c>
      <c r="O16" s="101" t="n">
        <f aca="false">SUM(O10:O15)</f>
        <v>28.275</v>
      </c>
      <c r="Q16" s="96"/>
      <c r="R16" s="93" t="s">
        <v>149</v>
      </c>
      <c r="S16" s="93"/>
      <c r="T16" s="93"/>
      <c r="U16" s="93"/>
      <c r="V16" s="100" t="n">
        <f aca="false">SUM(V10:V15)</f>
        <v>58.8</v>
      </c>
      <c r="W16" s="101" t="n">
        <f aca="false">SUM(W10:W15)</f>
        <v>17.475</v>
      </c>
      <c r="Y16" s="96"/>
      <c r="Z16" s="93" t="s">
        <v>149</v>
      </c>
      <c r="AA16" s="93"/>
      <c r="AB16" s="93"/>
      <c r="AC16" s="93"/>
      <c r="AD16" s="100" t="n">
        <f aca="false">SUM(AD9:AD15)</f>
        <v>82.1</v>
      </c>
      <c r="AE16" s="101" t="n">
        <f aca="false">SUM(AE10:AE14)</f>
        <v>24.75</v>
      </c>
      <c r="AG16" s="96"/>
      <c r="AH16" s="93" t="s">
        <v>149</v>
      </c>
      <c r="AI16" s="93"/>
      <c r="AJ16" s="93"/>
      <c r="AK16" s="93"/>
      <c r="AL16" s="100" t="n">
        <f aca="false">SUM(AL10:AL14)</f>
        <v>75.6</v>
      </c>
      <c r="AM16" s="101" t="n">
        <f aca="false">SUM(AM10:AM14)</f>
        <v>22.875</v>
      </c>
      <c r="AO16" s="96"/>
      <c r="AP16" s="93" t="s">
        <v>149</v>
      </c>
      <c r="AQ16" s="93"/>
      <c r="AR16" s="93"/>
      <c r="AS16" s="93"/>
      <c r="AT16" s="100" t="n">
        <f aca="false">SUM(AT10:AT15)</f>
        <v>77.3</v>
      </c>
      <c r="AU16" s="101" t="n">
        <f aca="false">SUM(AU10:AU15)</f>
        <v>23.775</v>
      </c>
      <c r="AW16" s="96"/>
      <c r="AX16" s="93" t="s">
        <v>149</v>
      </c>
      <c r="AY16" s="93"/>
      <c r="AZ16" s="93"/>
      <c r="BA16" s="93"/>
      <c r="BB16" s="100" t="n">
        <f aca="false">SUM(BB10:BB15)</f>
        <v>64.3</v>
      </c>
      <c r="BC16" s="101" t="n">
        <f aca="false">SUM(BC10:BC15)</f>
        <v>19.2</v>
      </c>
      <c r="BE16" s="96"/>
      <c r="BF16" s="93" t="s">
        <v>149</v>
      </c>
      <c r="BG16" s="93"/>
      <c r="BH16" s="93"/>
      <c r="BI16" s="93"/>
      <c r="BJ16" s="94"/>
      <c r="BK16" s="101" t="n">
        <f aca="false">SUM(BK15:BK15)</f>
        <v>0</v>
      </c>
    </row>
    <row r="17" customFormat="false" ht="14.25" hidden="false" customHeight="true" outlineLevel="0" collapsed="false">
      <c r="A17" s="88"/>
      <c r="B17" s="97" t="s">
        <v>150</v>
      </c>
      <c r="C17" s="89"/>
      <c r="D17" s="89"/>
      <c r="E17" s="89"/>
      <c r="F17" s="90"/>
      <c r="G17" s="91"/>
      <c r="I17" s="88"/>
      <c r="J17" s="97" t="s">
        <v>150</v>
      </c>
      <c r="K17" s="89"/>
      <c r="L17" s="89"/>
      <c r="M17" s="89"/>
      <c r="N17" s="90"/>
      <c r="O17" s="91"/>
      <c r="Q17" s="88"/>
      <c r="R17" s="97" t="s">
        <v>150</v>
      </c>
      <c r="S17" s="89"/>
      <c r="T17" s="89"/>
      <c r="U17" s="89"/>
      <c r="V17" s="90"/>
      <c r="W17" s="91"/>
      <c r="Y17" s="88"/>
      <c r="Z17" s="97" t="s">
        <v>150</v>
      </c>
      <c r="AA17" s="89"/>
      <c r="AB17" s="89"/>
      <c r="AC17" s="89"/>
      <c r="AD17" s="90"/>
      <c r="AE17" s="91"/>
      <c r="AG17" s="88"/>
      <c r="AH17" s="97" t="s">
        <v>150</v>
      </c>
      <c r="AI17" s="89"/>
      <c r="AJ17" s="89"/>
      <c r="AK17" s="89"/>
      <c r="AL17" s="90"/>
      <c r="AM17" s="91"/>
      <c r="AO17" s="88"/>
      <c r="AP17" s="89"/>
      <c r="AQ17" s="89"/>
      <c r="AR17" s="89"/>
      <c r="AS17" s="89"/>
      <c r="AT17" s="90"/>
      <c r="AU17" s="91"/>
      <c r="AW17" s="88"/>
      <c r="AX17" s="97" t="s">
        <v>150</v>
      </c>
      <c r="AY17" s="89"/>
      <c r="AZ17" s="89"/>
      <c r="BA17" s="89"/>
      <c r="BC17" s="91"/>
      <c r="BE17" s="88"/>
      <c r="BF17" s="97" t="s">
        <v>150</v>
      </c>
      <c r="BG17" s="89"/>
      <c r="BH17" s="89"/>
      <c r="BI17" s="89"/>
      <c r="BK17" s="91"/>
    </row>
    <row r="18" customFormat="false" ht="14.9" hidden="false" customHeight="false" outlineLevel="0" collapsed="false">
      <c r="A18" s="88" t="s">
        <v>151</v>
      </c>
      <c r="B18" s="102" t="s">
        <v>152</v>
      </c>
      <c r="C18" s="89" t="n">
        <v>4</v>
      </c>
      <c r="D18" s="89" t="n">
        <f aca="false">'WINDOWS AND DOORS SCHEDULE'!L6</f>
        <v>0.9</v>
      </c>
      <c r="E18" s="89" t="n">
        <f aca="false">'WINDOWS AND DOORS SCHEDULE'!M6</f>
        <v>2.1</v>
      </c>
      <c r="F18" s="90" t="n">
        <f aca="false">2*(D18+E18)*C18</f>
        <v>24</v>
      </c>
      <c r="G18" s="91" t="n">
        <f aca="false">C18*D18*E18</f>
        <v>7.56</v>
      </c>
      <c r="I18" s="88" t="s">
        <v>151</v>
      </c>
      <c r="J18" s="102" t="s">
        <v>153</v>
      </c>
      <c r="K18" s="89" t="n">
        <v>3</v>
      </c>
      <c r="L18" s="89" t="n">
        <f aca="false">'WINDOWS AND DOORS SCHEDULE'!L5</f>
        <v>1.2</v>
      </c>
      <c r="M18" s="89" t="n">
        <f aca="false">'WINDOWS AND DOORS SCHEDULE'!M5</f>
        <v>2.1</v>
      </c>
      <c r="N18" s="90" t="n">
        <f aca="false">2*(L18+M18)*K18</f>
        <v>19.8</v>
      </c>
      <c r="O18" s="91" t="n">
        <f aca="false">K18*L18*M18</f>
        <v>7.56</v>
      </c>
      <c r="Q18" s="88" t="s">
        <v>151</v>
      </c>
      <c r="R18" s="102" t="s">
        <v>153</v>
      </c>
      <c r="S18" s="89" t="n">
        <v>3</v>
      </c>
      <c r="T18" s="89" t="n">
        <f aca="false">'WINDOWS AND DOORS SCHEDULE'!L5</f>
        <v>1.2</v>
      </c>
      <c r="U18" s="89" t="n">
        <f aca="false">'WINDOWS AND DOORS SCHEDULE'!M5</f>
        <v>2.1</v>
      </c>
      <c r="V18" s="90" t="n">
        <f aca="false">2*(T18+U18)*S18</f>
        <v>19.8</v>
      </c>
      <c r="W18" s="91" t="n">
        <f aca="false">S18*T18*U18</f>
        <v>7.56</v>
      </c>
      <c r="Y18" s="88" t="s">
        <v>151</v>
      </c>
      <c r="Z18" s="102" t="s">
        <v>153</v>
      </c>
      <c r="AA18" s="89" t="n">
        <v>2</v>
      </c>
      <c r="AB18" s="89" t="n">
        <f aca="false">'WINDOWS AND DOORS SCHEDULE'!L5</f>
        <v>1.2</v>
      </c>
      <c r="AC18" s="89" t="n">
        <f aca="false">'WINDOWS AND DOORS SCHEDULE'!M5</f>
        <v>2.1</v>
      </c>
      <c r="AD18" s="90" t="n">
        <f aca="false">2*(AB18+AC18)*AA18</f>
        <v>13.2</v>
      </c>
      <c r="AE18" s="91" t="n">
        <f aca="false">AA18*AB18*AC18</f>
        <v>5.04</v>
      </c>
      <c r="AG18" s="88" t="s">
        <v>151</v>
      </c>
      <c r="AH18" s="102" t="s">
        <v>153</v>
      </c>
      <c r="AI18" s="89" t="n">
        <v>2</v>
      </c>
      <c r="AJ18" s="89" t="n">
        <f aca="false">'WINDOWS AND DOORS SCHEDULE'!L5</f>
        <v>1.2</v>
      </c>
      <c r="AK18" s="89" t="n">
        <f aca="false">'WINDOWS AND DOORS SCHEDULE'!M5</f>
        <v>2.1</v>
      </c>
      <c r="AL18" s="90" t="n">
        <f aca="false">2*(AJ18+AK18)*AI18</f>
        <v>13.2</v>
      </c>
      <c r="AM18" s="91" t="n">
        <f aca="false">AI18*AJ18*AK18</f>
        <v>5.04</v>
      </c>
      <c r="AO18" s="88"/>
      <c r="AP18" s="97" t="s">
        <v>150</v>
      </c>
      <c r="AQ18" s="89"/>
      <c r="AR18" s="89"/>
      <c r="AS18" s="89"/>
      <c r="AU18" s="91"/>
      <c r="AW18" s="88" t="s">
        <v>151</v>
      </c>
      <c r="AX18" s="102" t="s">
        <v>153</v>
      </c>
      <c r="AY18" s="89" t="n">
        <v>2</v>
      </c>
      <c r="AZ18" s="89" t="n">
        <f aca="false">'WINDOWS AND DOORS SCHEDULE'!L5</f>
        <v>1.2</v>
      </c>
      <c r="BA18" s="89" t="n">
        <f aca="false">'WINDOWS AND DOORS SCHEDULE'!M5</f>
        <v>2.1</v>
      </c>
      <c r="BB18" s="90" t="n">
        <f aca="false">2*(AZ18+BA18)*AY18</f>
        <v>13.2</v>
      </c>
      <c r="BC18" s="91" t="n">
        <f aca="false">AY18*AZ18*BA18</f>
        <v>5.04</v>
      </c>
      <c r="BE18" s="88" t="s">
        <v>151</v>
      </c>
      <c r="BF18" s="102" t="s">
        <v>154</v>
      </c>
      <c r="BG18" s="89" t="n">
        <v>1</v>
      </c>
      <c r="BH18" s="89" t="n">
        <f aca="false">'WINDOWS AND DOORS SCHEDULE'!L12</f>
        <v>1.8</v>
      </c>
      <c r="BI18" s="89" t="n">
        <f aca="false">'WINDOWS AND DOORS SCHEDULE'!M12</f>
        <v>2.1</v>
      </c>
      <c r="BJ18" s="90" t="n">
        <f aca="false">2*(BH18+BI18)*BG18</f>
        <v>7.8</v>
      </c>
      <c r="BK18" s="91" t="n">
        <f aca="false">BG18*BH18*BI18</f>
        <v>3.78</v>
      </c>
    </row>
    <row r="19" customFormat="false" ht="14.9" hidden="false" customHeight="false" outlineLevel="0" collapsed="false">
      <c r="A19" s="88" t="s">
        <v>155</v>
      </c>
      <c r="B19" s="102" t="s">
        <v>156</v>
      </c>
      <c r="C19" s="89" t="n">
        <v>8</v>
      </c>
      <c r="D19" s="89" t="n">
        <f aca="false">'WINDOWS AND DOORS SCHEDULE'!L7</f>
        <v>0.75</v>
      </c>
      <c r="E19" s="89" t="n">
        <f aca="false">'WINDOWS AND DOORS SCHEDULE'!M7</f>
        <v>2.1</v>
      </c>
      <c r="F19" s="90" t="n">
        <f aca="false">2*(D19+E19)*C19</f>
        <v>45.6</v>
      </c>
      <c r="G19" s="91" t="n">
        <f aca="false">C19*D19*E19</f>
        <v>12.6</v>
      </c>
      <c r="I19" s="88" t="s">
        <v>155</v>
      </c>
      <c r="J19" s="102" t="s">
        <v>152</v>
      </c>
      <c r="K19" s="89" t="n">
        <v>3</v>
      </c>
      <c r="L19" s="89" t="n">
        <f aca="false">'WINDOWS AND DOORS SCHEDULE'!L6</f>
        <v>0.9</v>
      </c>
      <c r="M19" s="89" t="n">
        <f aca="false">'WINDOWS AND DOORS SCHEDULE'!M6</f>
        <v>2.1</v>
      </c>
      <c r="N19" s="90" t="n">
        <f aca="false">2*(L19+M19)*K19</f>
        <v>18</v>
      </c>
      <c r="O19" s="91" t="n">
        <f aca="false">K19*L19*M19</f>
        <v>5.67</v>
      </c>
      <c r="Q19" s="88" t="s">
        <v>155</v>
      </c>
      <c r="R19" s="102" t="s">
        <v>152</v>
      </c>
      <c r="S19" s="89" t="n">
        <v>4</v>
      </c>
      <c r="T19" s="89" t="n">
        <f aca="false">'WINDOWS AND DOORS SCHEDULE'!L6</f>
        <v>0.9</v>
      </c>
      <c r="U19" s="89" t="n">
        <f aca="false">'WINDOWS AND DOORS SCHEDULE'!M6</f>
        <v>2.1</v>
      </c>
      <c r="V19" s="90" t="n">
        <f aca="false">2*(T19+U19)*S19</f>
        <v>24</v>
      </c>
      <c r="W19" s="91" t="n">
        <f aca="false">S19*T19*U19</f>
        <v>7.56</v>
      </c>
      <c r="Y19" s="88" t="s">
        <v>155</v>
      </c>
      <c r="Z19" s="102" t="s">
        <v>152</v>
      </c>
      <c r="AA19" s="89" t="n">
        <v>8</v>
      </c>
      <c r="AB19" s="89" t="n">
        <f aca="false">'WINDOWS AND DOORS SCHEDULE'!L6</f>
        <v>0.9</v>
      </c>
      <c r="AC19" s="89" t="n">
        <f aca="false">'WINDOWS AND DOORS SCHEDULE'!M6</f>
        <v>2.1</v>
      </c>
      <c r="AD19" s="90" t="n">
        <f aca="false">2*(AB19+AC19)*AA19</f>
        <v>48</v>
      </c>
      <c r="AE19" s="91" t="n">
        <f aca="false">AA19*AB19*AC19</f>
        <v>15.12</v>
      </c>
      <c r="AG19" s="88" t="s">
        <v>155</v>
      </c>
      <c r="AH19" s="102" t="s">
        <v>152</v>
      </c>
      <c r="AI19" s="89" t="n">
        <v>3</v>
      </c>
      <c r="AJ19" s="89" t="n">
        <f aca="false">'WINDOWS AND DOORS SCHEDULE'!L6</f>
        <v>0.9</v>
      </c>
      <c r="AK19" s="89" t="n">
        <f aca="false">'WINDOWS AND DOORS SCHEDULE'!M6</f>
        <v>2.1</v>
      </c>
      <c r="AL19" s="90" t="n">
        <f aca="false">2*(AJ19+AK19)*AI19</f>
        <v>18</v>
      </c>
      <c r="AM19" s="91" t="n">
        <f aca="false">AI19*AJ19*AK19</f>
        <v>5.67</v>
      </c>
      <c r="AO19" s="88" t="s">
        <v>151</v>
      </c>
      <c r="AP19" s="102" t="s">
        <v>153</v>
      </c>
      <c r="AQ19" s="89" t="n">
        <v>2</v>
      </c>
      <c r="AR19" s="89" t="n">
        <f aca="false">'WINDOWS AND DOORS SCHEDULE'!L5</f>
        <v>1.2</v>
      </c>
      <c r="AS19" s="89" t="n">
        <f aca="false">'WINDOWS AND DOORS SCHEDULE'!M5</f>
        <v>2.1</v>
      </c>
      <c r="AT19" s="90" t="n">
        <f aca="false">2*(AR19+AS19)*AQ19</f>
        <v>13.2</v>
      </c>
      <c r="AU19" s="91" t="n">
        <f aca="false">AQ19*AR19*AS19</f>
        <v>5.04</v>
      </c>
      <c r="AW19" s="88" t="s">
        <v>155</v>
      </c>
      <c r="AX19" s="102" t="s">
        <v>152</v>
      </c>
      <c r="AY19" s="89" t="n">
        <v>13</v>
      </c>
      <c r="AZ19" s="89" t="n">
        <f aca="false">'WINDOWS AND DOORS SCHEDULE'!L6</f>
        <v>0.9</v>
      </c>
      <c r="BA19" s="89" t="n">
        <f aca="false">'WINDOWS AND DOORS SCHEDULE'!M6</f>
        <v>2.1</v>
      </c>
      <c r="BB19" s="90" t="n">
        <f aca="false">2*(AZ19+BA19)*AY19</f>
        <v>78</v>
      </c>
      <c r="BC19" s="91" t="n">
        <f aca="false">AY19*AZ19*BA19</f>
        <v>24.57</v>
      </c>
      <c r="BE19" s="88"/>
      <c r="BF19" s="99"/>
      <c r="BG19" s="89"/>
      <c r="BH19" s="89"/>
      <c r="BI19" s="89"/>
      <c r="BJ19" s="90"/>
      <c r="BK19" s="91"/>
    </row>
    <row r="20" customFormat="false" ht="14.9" hidden="false" customHeight="false" outlineLevel="0" collapsed="false">
      <c r="A20" s="88" t="s">
        <v>157</v>
      </c>
      <c r="B20" s="102" t="s">
        <v>158</v>
      </c>
      <c r="C20" s="89" t="n">
        <v>1</v>
      </c>
      <c r="D20" s="89" t="n">
        <f aca="false">'WINDOWS AND DOORS SCHEDULE'!L8</f>
        <v>0.5</v>
      </c>
      <c r="E20" s="89" t="n">
        <f aca="false">'WINDOWS AND DOORS SCHEDULE'!M8</f>
        <v>2.1</v>
      </c>
      <c r="F20" s="90" t="n">
        <f aca="false">2*(D20+E20)*C20</f>
        <v>5.2</v>
      </c>
      <c r="G20" s="91" t="n">
        <f aca="false">C20*D20*E20</f>
        <v>1.05</v>
      </c>
      <c r="I20" s="88" t="s">
        <v>157</v>
      </c>
      <c r="J20" s="102" t="s">
        <v>156</v>
      </c>
      <c r="K20" s="89" t="n">
        <v>11</v>
      </c>
      <c r="L20" s="89" t="n">
        <f aca="false">'WINDOWS AND DOORS SCHEDULE'!L7</f>
        <v>0.75</v>
      </c>
      <c r="M20" s="89" t="n">
        <f aca="false">'WINDOWS AND DOORS SCHEDULE'!M7</f>
        <v>2.1</v>
      </c>
      <c r="N20" s="90" t="n">
        <f aca="false">2*(L20+M20)*K20</f>
        <v>62.7</v>
      </c>
      <c r="O20" s="91" t="n">
        <f aca="false">K20*L20*M20</f>
        <v>17.325</v>
      </c>
      <c r="Q20" s="88" t="s">
        <v>157</v>
      </c>
      <c r="R20" s="102" t="s">
        <v>156</v>
      </c>
      <c r="S20" s="89" t="n">
        <v>11</v>
      </c>
      <c r="T20" s="89" t="n">
        <f aca="false">'WINDOWS AND DOORS SCHEDULE'!L7</f>
        <v>0.75</v>
      </c>
      <c r="U20" s="89" t="n">
        <f aca="false">'WINDOWS AND DOORS SCHEDULE'!M7</f>
        <v>2.1</v>
      </c>
      <c r="V20" s="90" t="n">
        <f aca="false">2*(T20+U20)*S20</f>
        <v>62.7</v>
      </c>
      <c r="W20" s="91" t="n">
        <f aca="false">S20*T20*U20</f>
        <v>17.325</v>
      </c>
      <c r="Y20" s="88" t="s">
        <v>157</v>
      </c>
      <c r="Z20" s="102" t="s">
        <v>156</v>
      </c>
      <c r="AA20" s="89" t="n">
        <v>13</v>
      </c>
      <c r="AB20" s="89" t="n">
        <f aca="false">'WINDOWS AND DOORS SCHEDULE'!L7</f>
        <v>0.75</v>
      </c>
      <c r="AC20" s="89" t="n">
        <f aca="false">'WINDOWS AND DOORS SCHEDULE'!M7</f>
        <v>2.1</v>
      </c>
      <c r="AD20" s="90" t="n">
        <f aca="false">2*(AB20+AC20)*AA20</f>
        <v>74.1</v>
      </c>
      <c r="AE20" s="91" t="n">
        <f aca="false">AA20*AB20*AC20</f>
        <v>20.475</v>
      </c>
      <c r="AG20" s="88" t="s">
        <v>157</v>
      </c>
      <c r="AH20" s="102" t="s">
        <v>156</v>
      </c>
      <c r="AI20" s="89" t="n">
        <v>13</v>
      </c>
      <c r="AJ20" s="89" t="n">
        <f aca="false">'WINDOWS AND DOORS SCHEDULE'!L7</f>
        <v>0.75</v>
      </c>
      <c r="AK20" s="89" t="n">
        <f aca="false">'WINDOWS AND DOORS SCHEDULE'!M7</f>
        <v>2.1</v>
      </c>
      <c r="AL20" s="90" t="n">
        <f aca="false">2*(AJ20+AK20)*AI20</f>
        <v>74.1</v>
      </c>
      <c r="AM20" s="91" t="n">
        <f aca="false">AI20*AJ20*AK20</f>
        <v>20.475</v>
      </c>
      <c r="AO20" s="88" t="s">
        <v>155</v>
      </c>
      <c r="AP20" s="102" t="s">
        <v>152</v>
      </c>
      <c r="AQ20" s="89" t="n">
        <v>14</v>
      </c>
      <c r="AR20" s="89" t="n">
        <f aca="false">'WINDOWS AND DOORS SCHEDULE'!L6</f>
        <v>0.9</v>
      </c>
      <c r="AS20" s="89" t="n">
        <f aca="false">'WINDOWS AND DOORS SCHEDULE'!M6</f>
        <v>2.1</v>
      </c>
      <c r="AT20" s="90" t="n">
        <f aca="false">2*(AR20+AS20)*AQ20</f>
        <v>84</v>
      </c>
      <c r="AU20" s="91" t="n">
        <f aca="false">AQ20*AR20*AS20</f>
        <v>26.46</v>
      </c>
      <c r="AW20" s="88" t="s">
        <v>157</v>
      </c>
      <c r="AX20" s="102" t="s">
        <v>156</v>
      </c>
      <c r="AY20" s="89" t="n">
        <v>5</v>
      </c>
      <c r="AZ20" s="89" t="n">
        <f aca="false">'WINDOWS AND DOORS SCHEDULE'!L7</f>
        <v>0.75</v>
      </c>
      <c r="BA20" s="89" t="n">
        <f aca="false">'WINDOWS AND DOORS SCHEDULE'!M7</f>
        <v>2.1</v>
      </c>
      <c r="BB20" s="90" t="n">
        <f aca="false">2*(AZ20+BA20)*AY20</f>
        <v>28.5</v>
      </c>
      <c r="BC20" s="91" t="n">
        <f aca="false">AY20*AZ20*BA20</f>
        <v>7.875</v>
      </c>
      <c r="BE20" s="88"/>
      <c r="BF20" s="99"/>
      <c r="BG20" s="89"/>
      <c r="BH20" s="89"/>
      <c r="BI20" s="89"/>
      <c r="BJ20" s="90"/>
      <c r="BK20" s="91"/>
    </row>
    <row r="21" customFormat="false" ht="14.9" hidden="false" customHeight="false" outlineLevel="0" collapsed="false">
      <c r="A21" s="92"/>
      <c r="B21" s="102"/>
      <c r="C21" s="89"/>
      <c r="D21" s="89"/>
      <c r="E21" s="89"/>
      <c r="F21" s="90"/>
      <c r="G21" s="91"/>
      <c r="I21" s="88" t="s">
        <v>159</v>
      </c>
      <c r="J21" s="102" t="s">
        <v>158</v>
      </c>
      <c r="K21" s="89" t="n">
        <v>3</v>
      </c>
      <c r="L21" s="89" t="n">
        <f aca="false">'WINDOWS AND DOORS SCHEDULE'!L8</f>
        <v>0.5</v>
      </c>
      <c r="M21" s="89" t="n">
        <f aca="false">'WINDOWS AND DOORS SCHEDULE'!M8</f>
        <v>2.1</v>
      </c>
      <c r="N21" s="90" t="n">
        <f aca="false">2*(L21+M21)*K21</f>
        <v>15.6</v>
      </c>
      <c r="O21" s="91" t="n">
        <f aca="false">K21*L21*M21</f>
        <v>3.15</v>
      </c>
      <c r="Q21" s="88" t="s">
        <v>159</v>
      </c>
      <c r="R21" s="102" t="s">
        <v>158</v>
      </c>
      <c r="S21" s="89" t="n">
        <v>2</v>
      </c>
      <c r="T21" s="89" t="n">
        <f aca="false">'WINDOWS AND DOORS SCHEDULE'!L8</f>
        <v>0.5</v>
      </c>
      <c r="U21" s="89" t="n">
        <f aca="false">'WINDOWS AND DOORS SCHEDULE'!M8</f>
        <v>2.1</v>
      </c>
      <c r="V21" s="90" t="n">
        <f aca="false">2*(T21+U21)*S21</f>
        <v>10.4</v>
      </c>
      <c r="W21" s="91" t="n">
        <f aca="false">S21*T21*U21</f>
        <v>2.1</v>
      </c>
      <c r="Y21" s="88" t="s">
        <v>159</v>
      </c>
      <c r="Z21" s="102" t="s">
        <v>158</v>
      </c>
      <c r="AA21" s="89" t="n">
        <v>2</v>
      </c>
      <c r="AB21" s="89" t="n">
        <f aca="false">'WINDOWS AND DOORS SCHEDULE'!L8</f>
        <v>0.5</v>
      </c>
      <c r="AC21" s="89" t="n">
        <f aca="false">'WINDOWS AND DOORS SCHEDULE'!M8</f>
        <v>2.1</v>
      </c>
      <c r="AD21" s="90" t="n">
        <f aca="false">2*(AB21+AC21)*AA21</f>
        <v>10.4</v>
      </c>
      <c r="AE21" s="91" t="n">
        <f aca="false">AA21*AB21*AC21</f>
        <v>2.1</v>
      </c>
      <c r="AG21" s="88" t="s">
        <v>159</v>
      </c>
      <c r="AH21" s="102" t="s">
        <v>158</v>
      </c>
      <c r="AI21" s="89" t="n">
        <v>2</v>
      </c>
      <c r="AJ21" s="89" t="n">
        <f aca="false">'WINDOWS AND DOORS SCHEDULE'!L8</f>
        <v>0.5</v>
      </c>
      <c r="AK21" s="89" t="n">
        <f aca="false">'WINDOWS AND DOORS SCHEDULE'!M8</f>
        <v>2.1</v>
      </c>
      <c r="AL21" s="90" t="n">
        <f aca="false">2*(AJ21+AK21)*AI21</f>
        <v>10.4</v>
      </c>
      <c r="AM21" s="91" t="n">
        <f aca="false">AI21*AJ21*AK21</f>
        <v>2.1</v>
      </c>
      <c r="AO21" s="88" t="s">
        <v>157</v>
      </c>
      <c r="AP21" s="102" t="s">
        <v>156</v>
      </c>
      <c r="AQ21" s="89" t="n">
        <v>16</v>
      </c>
      <c r="AR21" s="89" t="n">
        <f aca="false">'WINDOWS AND DOORS SCHEDULE'!L7</f>
        <v>0.75</v>
      </c>
      <c r="AS21" s="89" t="n">
        <f aca="false">'WINDOWS AND DOORS SCHEDULE'!M7</f>
        <v>2.1</v>
      </c>
      <c r="AT21" s="90" t="n">
        <f aca="false">2*(AR21+AS21)*AQ21</f>
        <v>91.2</v>
      </c>
      <c r="AU21" s="91" t="n">
        <f aca="false">AQ21*AR21*AS21</f>
        <v>25.2</v>
      </c>
      <c r="AW21" s="88" t="s">
        <v>159</v>
      </c>
      <c r="AX21" s="102" t="s">
        <v>158</v>
      </c>
      <c r="AY21" s="89" t="n">
        <v>1</v>
      </c>
      <c r="AZ21" s="89" t="n">
        <f aca="false">'WINDOWS AND DOORS SCHEDULE'!L8</f>
        <v>0.5</v>
      </c>
      <c r="BA21" s="89" t="n">
        <f aca="false">'WINDOWS AND DOORS SCHEDULE'!M8</f>
        <v>2.1</v>
      </c>
      <c r="BB21" s="90" t="n">
        <f aca="false">2*(AZ21+BA21)*AY21</f>
        <v>5.2</v>
      </c>
      <c r="BC21" s="91" t="n">
        <f aca="false">AY21*AZ21*BA21</f>
        <v>1.05</v>
      </c>
      <c r="BE21" s="88"/>
      <c r="BF21" s="99"/>
      <c r="BG21" s="89"/>
      <c r="BH21" s="89"/>
      <c r="BI21" s="89"/>
      <c r="BJ21" s="90"/>
      <c r="BK21" s="91"/>
    </row>
    <row r="22" customFormat="false" ht="14.9" hidden="false" customHeight="false" outlineLevel="0" collapsed="false">
      <c r="A22" s="92"/>
      <c r="B22" s="102"/>
      <c r="C22" s="89"/>
      <c r="D22" s="89"/>
      <c r="E22" s="89"/>
      <c r="F22" s="90"/>
      <c r="G22" s="91"/>
      <c r="I22" s="88" t="s">
        <v>160</v>
      </c>
      <c r="J22" s="102" t="s">
        <v>161</v>
      </c>
      <c r="K22" s="89" t="n">
        <v>2</v>
      </c>
      <c r="L22" s="89" t="n">
        <f aca="false">'WINDOWS AND DOORS SCHEDULE'!L11</f>
        <v>2</v>
      </c>
      <c r="M22" s="89" t="n">
        <f aca="false">'WINDOWS AND DOORS SCHEDULE'!M11</f>
        <v>2.1</v>
      </c>
      <c r="N22" s="90" t="n">
        <f aca="false">2*(L22+M22)*K22</f>
        <v>16.4</v>
      </c>
      <c r="O22" s="91" t="n">
        <f aca="false">K22*L22*M22</f>
        <v>8.4</v>
      </c>
      <c r="Q22" s="88" t="s">
        <v>160</v>
      </c>
      <c r="R22" s="102" t="s">
        <v>162</v>
      </c>
      <c r="S22" s="89" t="n">
        <v>1</v>
      </c>
      <c r="T22" s="89" t="n">
        <f aca="false">'WINDOWS AND DOORS SCHEDULE'!L10</f>
        <v>0.9</v>
      </c>
      <c r="U22" s="89" t="n">
        <f aca="false">'WINDOWS AND DOORS SCHEDULE'!M10</f>
        <v>2.1</v>
      </c>
      <c r="V22" s="90" t="n">
        <f aca="false">2*(T22+U22)*S22</f>
        <v>6</v>
      </c>
      <c r="W22" s="91" t="n">
        <f aca="false">S22*T22*U22</f>
        <v>1.89</v>
      </c>
      <c r="Y22" s="88" t="s">
        <v>160</v>
      </c>
      <c r="Z22" s="102" t="s">
        <v>162</v>
      </c>
      <c r="AA22" s="89" t="n">
        <v>1</v>
      </c>
      <c r="AB22" s="89" t="n">
        <f aca="false">'WINDOWS AND DOORS SCHEDULE'!L10</f>
        <v>0.9</v>
      </c>
      <c r="AC22" s="89" t="n">
        <f aca="false">'WINDOWS AND DOORS SCHEDULE'!M10</f>
        <v>2.1</v>
      </c>
      <c r="AD22" s="90" t="n">
        <f aca="false">2*(AB22+AC22)*AA22</f>
        <v>6</v>
      </c>
      <c r="AE22" s="91" t="n">
        <f aca="false">AA22*AB22*AC22</f>
        <v>1.89</v>
      </c>
      <c r="AG22" s="88" t="s">
        <v>160</v>
      </c>
      <c r="AH22" s="102" t="s">
        <v>162</v>
      </c>
      <c r="AI22" s="89" t="n">
        <v>1</v>
      </c>
      <c r="AJ22" s="89" t="n">
        <f aca="false">'WINDOWS AND DOORS SCHEDULE'!L10</f>
        <v>0.9</v>
      </c>
      <c r="AK22" s="89" t="n">
        <f aca="false">'WINDOWS AND DOORS SCHEDULE'!M10</f>
        <v>2.1</v>
      </c>
      <c r="AL22" s="90" t="n">
        <f aca="false">2*(AJ22+AK22)*AI22</f>
        <v>6</v>
      </c>
      <c r="AM22" s="91" t="n">
        <f aca="false">AI22*AJ22*AK22</f>
        <v>1.89</v>
      </c>
      <c r="AO22" s="88" t="s">
        <v>159</v>
      </c>
      <c r="AP22" s="102" t="s">
        <v>158</v>
      </c>
      <c r="AQ22" s="89" t="n">
        <v>2</v>
      </c>
      <c r="AR22" s="89" t="n">
        <f aca="false">'WINDOWS AND DOORS SCHEDULE'!L8</f>
        <v>0.5</v>
      </c>
      <c r="AS22" s="89" t="n">
        <f aca="false">'WINDOWS AND DOORS SCHEDULE'!M8</f>
        <v>2.1</v>
      </c>
      <c r="AT22" s="90" t="n">
        <f aca="false">2*(AR22+AS22)*AQ22</f>
        <v>10.4</v>
      </c>
      <c r="AU22" s="91" t="n">
        <f aca="false">AQ22*AR22*AS22</f>
        <v>2.1</v>
      </c>
      <c r="AW22" s="88" t="s">
        <v>160</v>
      </c>
      <c r="AX22" s="102" t="s">
        <v>163</v>
      </c>
      <c r="AY22" s="89" t="n">
        <v>1</v>
      </c>
      <c r="AZ22" s="89" t="n">
        <f aca="false">'WINDOWS AND DOORS SCHEDULE'!L9</f>
        <v>4</v>
      </c>
      <c r="BA22" s="89" t="n">
        <f aca="false">'WINDOWS AND DOORS SCHEDULE'!M9</f>
        <v>2.1</v>
      </c>
      <c r="BB22" s="90" t="n">
        <f aca="false">2*(AZ22+BA22)*AY22</f>
        <v>12.2</v>
      </c>
      <c r="BC22" s="91" t="n">
        <f aca="false">AY22*AZ22*BA22</f>
        <v>8.4</v>
      </c>
      <c r="BE22" s="88"/>
      <c r="BF22" s="99"/>
      <c r="BG22" s="89"/>
      <c r="BH22" s="89"/>
      <c r="BI22" s="89"/>
      <c r="BJ22" s="90"/>
      <c r="BK22" s="91"/>
    </row>
    <row r="23" customFormat="false" ht="14.9" hidden="false" customHeight="false" outlineLevel="0" collapsed="false">
      <c r="A23" s="92"/>
      <c r="B23" s="102"/>
      <c r="C23" s="89"/>
      <c r="D23" s="89"/>
      <c r="E23" s="89"/>
      <c r="F23" s="90"/>
      <c r="G23" s="91"/>
      <c r="I23" s="88"/>
      <c r="J23" s="102"/>
      <c r="K23" s="89"/>
      <c r="L23" s="89"/>
      <c r="M23" s="89"/>
      <c r="N23" s="90"/>
      <c r="O23" s="91"/>
      <c r="Q23" s="88"/>
      <c r="R23" s="102"/>
      <c r="S23" s="89"/>
      <c r="T23" s="89"/>
      <c r="U23" s="89"/>
      <c r="V23" s="90"/>
      <c r="W23" s="91"/>
      <c r="Y23" s="88"/>
      <c r="Z23" s="102"/>
      <c r="AA23" s="89"/>
      <c r="AB23" s="89"/>
      <c r="AC23" s="89"/>
      <c r="AD23" s="90"/>
      <c r="AE23" s="91"/>
      <c r="AG23" s="88" t="s">
        <v>164</v>
      </c>
      <c r="AH23" s="102" t="s">
        <v>154</v>
      </c>
      <c r="AI23" s="89" t="n">
        <v>2</v>
      </c>
      <c r="AJ23" s="89" t="n">
        <f aca="false">'WINDOWS AND DOORS SCHEDULE'!L12</f>
        <v>1.8</v>
      </c>
      <c r="AK23" s="89" t="n">
        <f aca="false">'WINDOWS AND DOORS SCHEDULE'!M12</f>
        <v>2.1</v>
      </c>
      <c r="AL23" s="90" t="n">
        <f aca="false">2*(AJ23+AK23)*AI23</f>
        <v>15.6</v>
      </c>
      <c r="AM23" s="91" t="n">
        <f aca="false">AI23*AJ23*AK23</f>
        <v>7.56</v>
      </c>
      <c r="AO23" s="88" t="s">
        <v>160</v>
      </c>
      <c r="AP23" s="102" t="s">
        <v>162</v>
      </c>
      <c r="AQ23" s="89" t="n">
        <v>1</v>
      </c>
      <c r="AR23" s="89" t="n">
        <f aca="false">'WINDOWS AND DOORS SCHEDULE'!L10</f>
        <v>0.9</v>
      </c>
      <c r="AS23" s="89" t="n">
        <f aca="false">'WINDOWS AND DOORS SCHEDULE'!M10</f>
        <v>2.1</v>
      </c>
      <c r="AT23" s="90" t="n">
        <f aca="false">2*(AR23+AS23)*AQ23</f>
        <v>6</v>
      </c>
      <c r="AU23" s="91" t="n">
        <f aca="false">AQ23*AR23*AS23</f>
        <v>1.89</v>
      </c>
      <c r="AW23" s="88" t="s">
        <v>164</v>
      </c>
      <c r="AX23" s="102" t="s">
        <v>162</v>
      </c>
      <c r="AY23" s="89" t="n">
        <v>1</v>
      </c>
      <c r="AZ23" s="89" t="n">
        <f aca="false">'WINDOWS AND DOORS SCHEDULE'!L10</f>
        <v>0.9</v>
      </c>
      <c r="BA23" s="89" t="n">
        <f aca="false">'WINDOWS AND DOORS SCHEDULE'!M10</f>
        <v>2.1</v>
      </c>
      <c r="BB23" s="90" t="n">
        <f aca="false">2*(AZ23+BA23)*AY23</f>
        <v>6</v>
      </c>
      <c r="BC23" s="91" t="n">
        <f aca="false">AY23*AZ23*BA23</f>
        <v>1.89</v>
      </c>
      <c r="BE23" s="88"/>
      <c r="BF23" s="99"/>
      <c r="BG23" s="89"/>
      <c r="BH23" s="89"/>
      <c r="BI23" s="89"/>
      <c r="BJ23" s="90"/>
      <c r="BK23" s="91"/>
    </row>
    <row r="24" customFormat="false" ht="14.9" hidden="false" customHeight="false" outlineLevel="0" collapsed="false">
      <c r="A24" s="92"/>
      <c r="B24" s="102"/>
      <c r="C24" s="89"/>
      <c r="D24" s="89"/>
      <c r="E24" s="89"/>
      <c r="F24" s="90"/>
      <c r="G24" s="91"/>
      <c r="I24" s="88"/>
      <c r="J24" s="102"/>
      <c r="K24" s="89"/>
      <c r="L24" s="89"/>
      <c r="M24" s="89"/>
      <c r="N24" s="90"/>
      <c r="O24" s="91"/>
      <c r="Q24" s="88"/>
      <c r="R24" s="102"/>
      <c r="S24" s="89"/>
      <c r="T24" s="89"/>
      <c r="U24" s="89"/>
      <c r="V24" s="90"/>
      <c r="W24" s="91"/>
      <c r="Y24" s="88"/>
      <c r="Z24" s="102"/>
      <c r="AA24" s="89"/>
      <c r="AB24" s="89"/>
      <c r="AC24" s="89"/>
      <c r="AD24" s="90"/>
      <c r="AE24" s="91"/>
      <c r="AG24" s="88"/>
      <c r="AH24" s="99"/>
      <c r="AI24" s="89"/>
      <c r="AJ24" s="89"/>
      <c r="AK24" s="89"/>
      <c r="AL24" s="90"/>
      <c r="AM24" s="91"/>
      <c r="AO24" s="88" t="s">
        <v>164</v>
      </c>
      <c r="AP24" s="102" t="s">
        <v>154</v>
      </c>
      <c r="AQ24" s="89" t="n">
        <v>1</v>
      </c>
      <c r="AR24" s="89" t="n">
        <f aca="false">'WINDOWS AND DOORS SCHEDULE'!L12</f>
        <v>1.8</v>
      </c>
      <c r="AS24" s="89" t="n">
        <f aca="false">'WINDOWS AND DOORS SCHEDULE'!M12</f>
        <v>2.1</v>
      </c>
      <c r="AT24" s="90" t="n">
        <f aca="false">2*(AR24+AS24)*AQ24</f>
        <v>7.8</v>
      </c>
      <c r="AU24" s="91" t="n">
        <f aca="false">AQ24*AR24*AS24</f>
        <v>3.78</v>
      </c>
      <c r="AW24" s="88"/>
      <c r="AX24" s="99"/>
      <c r="AY24" s="89"/>
      <c r="AZ24" s="89"/>
      <c r="BA24" s="89"/>
      <c r="BB24" s="90"/>
      <c r="BC24" s="91"/>
      <c r="BE24" s="88"/>
      <c r="BF24" s="99"/>
      <c r="BG24" s="89"/>
      <c r="BH24" s="89"/>
      <c r="BI24" s="89"/>
      <c r="BJ24" s="90"/>
      <c r="BK24" s="91"/>
    </row>
    <row r="25" customFormat="false" ht="14.25" hidden="false" customHeight="true" outlineLevel="0" collapsed="false">
      <c r="A25" s="93"/>
      <c r="B25" s="93" t="s">
        <v>165</v>
      </c>
      <c r="C25" s="93"/>
      <c r="D25" s="93"/>
      <c r="E25" s="93"/>
      <c r="F25" s="100" t="n">
        <f aca="false">SUM(F18:F24)</f>
        <v>74.8</v>
      </c>
      <c r="G25" s="101" t="n">
        <f aca="false">SUM(G18:G24)</f>
        <v>21.21</v>
      </c>
      <c r="I25" s="96"/>
      <c r="J25" s="93" t="s">
        <v>165</v>
      </c>
      <c r="K25" s="93"/>
      <c r="L25" s="93"/>
      <c r="M25" s="93"/>
      <c r="N25" s="100" t="n">
        <f aca="false">SUM(N18:N24)</f>
        <v>132.5</v>
      </c>
      <c r="O25" s="101" t="n">
        <f aca="false">SUM(O18:O24)</f>
        <v>42.105</v>
      </c>
      <c r="Q25" s="96"/>
      <c r="R25" s="93" t="s">
        <v>165</v>
      </c>
      <c r="S25" s="93"/>
      <c r="T25" s="93"/>
      <c r="U25" s="93"/>
      <c r="V25" s="100" t="n">
        <f aca="false">SUM(V18:V24)</f>
        <v>122.9</v>
      </c>
      <c r="W25" s="101" t="n">
        <f aca="false">SUM(W18:W24)</f>
        <v>36.435</v>
      </c>
      <c r="Y25" s="96"/>
      <c r="Z25" s="93" t="s">
        <v>165</v>
      </c>
      <c r="AA25" s="93"/>
      <c r="AB25" s="93"/>
      <c r="AC25" s="93"/>
      <c r="AD25" s="100" t="n">
        <f aca="false">SUM(AD18:AD24)</f>
        <v>151.7</v>
      </c>
      <c r="AE25" s="101" t="n">
        <f aca="false">SUM(AE18:AE24)</f>
        <v>44.625</v>
      </c>
      <c r="AG25" s="96"/>
      <c r="AH25" s="93" t="s">
        <v>165</v>
      </c>
      <c r="AI25" s="93"/>
      <c r="AJ25" s="93"/>
      <c r="AK25" s="93"/>
      <c r="AL25" s="100" t="n">
        <f aca="false">SUM(AL18:AL24)</f>
        <v>137.3</v>
      </c>
      <c r="AM25" s="101" t="n">
        <f aca="false">SUM(AM18:AM24)</f>
        <v>42.735</v>
      </c>
      <c r="AO25" s="96"/>
      <c r="AP25" s="93" t="s">
        <v>165</v>
      </c>
      <c r="AQ25" s="93"/>
      <c r="AR25" s="93"/>
      <c r="AS25" s="93"/>
      <c r="AT25" s="100" t="n">
        <f aca="false">SUM(AT19:AT24)</f>
        <v>212.6</v>
      </c>
      <c r="AU25" s="101" t="n">
        <f aca="false">SUM(AU19:AU24)</f>
        <v>64.47</v>
      </c>
      <c r="AW25" s="96"/>
      <c r="AX25" s="93" t="s">
        <v>165</v>
      </c>
      <c r="AY25" s="93"/>
      <c r="AZ25" s="93"/>
      <c r="BA25" s="93"/>
      <c r="BB25" s="100" t="n">
        <f aca="false">SUM(BB18:BB24)</f>
        <v>143.1</v>
      </c>
      <c r="BC25" s="101" t="n">
        <f aca="false">SUM(BC18:BC24)</f>
        <v>48.825</v>
      </c>
      <c r="BE25" s="96"/>
      <c r="BF25" s="93" t="s">
        <v>165</v>
      </c>
      <c r="BG25" s="93"/>
      <c r="BH25" s="93"/>
      <c r="BI25" s="93"/>
      <c r="BJ25" s="100" t="n">
        <f aca="false">SUM(BJ18:BJ24)</f>
        <v>7.8</v>
      </c>
      <c r="BK25" s="101" t="n">
        <f aca="false">SUM(BK18:BK24)</f>
        <v>3.78</v>
      </c>
    </row>
    <row r="26" customFormat="false" ht="14.25" hidden="false" customHeight="true" outlineLevel="0" collapsed="false">
      <c r="A26" s="88"/>
      <c r="B26" s="89"/>
      <c r="C26" s="89"/>
      <c r="D26" s="89"/>
      <c r="E26" s="89"/>
      <c r="F26" s="90"/>
      <c r="G26" s="91"/>
      <c r="I26" s="88"/>
      <c r="J26" s="89"/>
      <c r="K26" s="89"/>
      <c r="L26" s="89"/>
      <c r="M26" s="89"/>
      <c r="N26" s="90"/>
      <c r="O26" s="91"/>
      <c r="Q26" s="88"/>
      <c r="R26" s="89"/>
      <c r="S26" s="89"/>
      <c r="T26" s="89"/>
      <c r="U26" s="89"/>
      <c r="V26" s="90"/>
      <c r="W26" s="91"/>
      <c r="Y26" s="88"/>
      <c r="Z26" s="89"/>
      <c r="AA26" s="89"/>
      <c r="AB26" s="89"/>
      <c r="AC26" s="89"/>
      <c r="AD26" s="90"/>
      <c r="AE26" s="91"/>
      <c r="AG26" s="88"/>
      <c r="AH26" s="89"/>
      <c r="AI26" s="89"/>
      <c r="AJ26" s="89"/>
      <c r="AK26" s="89"/>
      <c r="AL26" s="90"/>
      <c r="AM26" s="91"/>
      <c r="AO26" s="88"/>
      <c r="AP26" s="89"/>
      <c r="AQ26" s="89"/>
      <c r="AR26" s="89"/>
      <c r="AS26" s="89"/>
      <c r="AT26" s="90"/>
      <c r="AU26" s="91"/>
      <c r="AW26" s="88"/>
      <c r="AX26" s="89"/>
      <c r="AY26" s="89"/>
      <c r="AZ26" s="89"/>
      <c r="BA26" s="89"/>
      <c r="BB26" s="90"/>
      <c r="BC26" s="91"/>
      <c r="BE26" s="88"/>
      <c r="BF26" s="89"/>
      <c r="BG26" s="89"/>
      <c r="BH26" s="89"/>
      <c r="BI26" s="89"/>
      <c r="BJ26" s="90"/>
      <c r="BK26" s="91"/>
    </row>
    <row r="27" customFormat="false" ht="13.5" hidden="false" customHeight="false" outlineLevel="0" collapsed="false">
      <c r="A27" s="88"/>
      <c r="B27" s="89"/>
      <c r="C27" s="89"/>
      <c r="D27" s="89"/>
      <c r="E27" s="89"/>
      <c r="F27" s="90"/>
      <c r="G27" s="91"/>
      <c r="I27" s="88"/>
      <c r="J27" s="89"/>
      <c r="K27" s="89"/>
      <c r="L27" s="89"/>
      <c r="M27" s="89"/>
      <c r="N27" s="90"/>
      <c r="O27" s="91"/>
      <c r="Q27" s="88"/>
      <c r="R27" s="89"/>
      <c r="S27" s="89"/>
      <c r="T27" s="89"/>
      <c r="U27" s="89"/>
      <c r="V27" s="90"/>
      <c r="W27" s="91"/>
      <c r="Y27" s="88"/>
      <c r="Z27" s="89"/>
      <c r="AA27" s="89"/>
      <c r="AB27" s="89"/>
      <c r="AC27" s="89"/>
      <c r="AD27" s="90"/>
      <c r="AE27" s="91"/>
      <c r="AG27" s="88"/>
      <c r="AH27" s="89"/>
      <c r="AI27" s="89"/>
      <c r="AJ27" s="89"/>
      <c r="AK27" s="89"/>
      <c r="AL27" s="90"/>
      <c r="AM27" s="91"/>
      <c r="AO27" s="88"/>
      <c r="AP27" s="89"/>
      <c r="AQ27" s="89"/>
      <c r="AR27" s="89"/>
      <c r="AS27" s="89"/>
      <c r="AT27" s="90"/>
      <c r="AU27" s="91"/>
      <c r="AW27" s="88"/>
      <c r="AX27" s="89"/>
      <c r="AY27" s="89"/>
      <c r="AZ27" s="89"/>
      <c r="BA27" s="89"/>
      <c r="BB27" s="90"/>
      <c r="BC27" s="91"/>
      <c r="BE27" s="88"/>
      <c r="BF27" s="89"/>
      <c r="BG27" s="89"/>
      <c r="BH27" s="89"/>
      <c r="BI27" s="89"/>
      <c r="BJ27" s="90"/>
      <c r="BK27" s="91"/>
    </row>
    <row r="28" customFormat="false" ht="13.5" hidden="false" customHeight="false" outlineLevel="0" collapsed="false">
      <c r="A28" s="88"/>
      <c r="B28" s="89"/>
      <c r="C28" s="89"/>
      <c r="D28" s="89"/>
      <c r="E28" s="89"/>
      <c r="F28" s="90"/>
      <c r="G28" s="91"/>
      <c r="I28" s="88"/>
      <c r="J28" s="89"/>
      <c r="K28" s="89"/>
      <c r="L28" s="89"/>
      <c r="M28" s="89"/>
      <c r="N28" s="90"/>
      <c r="O28" s="91"/>
      <c r="Q28" s="88"/>
      <c r="R28" s="89"/>
      <c r="S28" s="89"/>
      <c r="T28" s="89"/>
      <c r="U28" s="89"/>
      <c r="V28" s="90"/>
      <c r="W28" s="91"/>
      <c r="Y28" s="88"/>
      <c r="Z28" s="89"/>
      <c r="AA28" s="89"/>
      <c r="AB28" s="89"/>
      <c r="AC28" s="89"/>
      <c r="AD28" s="90"/>
      <c r="AE28" s="91"/>
      <c r="AG28" s="88"/>
      <c r="AH28" s="89"/>
      <c r="AI28" s="89"/>
      <c r="AJ28" s="89"/>
      <c r="AK28" s="89"/>
      <c r="AL28" s="90"/>
      <c r="AM28" s="91"/>
      <c r="AO28" s="88"/>
      <c r="AP28" s="89"/>
      <c r="AQ28" s="89"/>
      <c r="AR28" s="89"/>
      <c r="AS28" s="89"/>
      <c r="AT28" s="90"/>
      <c r="AU28" s="91"/>
      <c r="AW28" s="88"/>
      <c r="AX28" s="89"/>
      <c r="AY28" s="89"/>
      <c r="AZ28" s="89"/>
      <c r="BA28" s="89"/>
      <c r="BB28" s="90"/>
      <c r="BC28" s="91"/>
      <c r="BE28" s="88"/>
      <c r="BF28" s="89"/>
      <c r="BG28" s="89"/>
      <c r="BH28" s="89"/>
      <c r="BI28" s="89"/>
      <c r="BJ28" s="90"/>
      <c r="BK28" s="91"/>
    </row>
    <row r="29" customFormat="false" ht="14.25" hidden="false" customHeight="true" outlineLevel="0" collapsed="false">
      <c r="A29" s="88"/>
      <c r="B29" s="89"/>
      <c r="C29" s="89"/>
      <c r="D29" s="89"/>
      <c r="E29" s="89"/>
      <c r="F29" s="90"/>
      <c r="G29" s="91"/>
      <c r="I29" s="88"/>
      <c r="J29" s="89"/>
      <c r="K29" s="89"/>
      <c r="L29" s="89"/>
      <c r="M29" s="89"/>
      <c r="N29" s="90"/>
      <c r="O29" s="91"/>
      <c r="Q29" s="88"/>
      <c r="R29" s="89"/>
      <c r="S29" s="89"/>
      <c r="T29" s="89"/>
      <c r="U29" s="89"/>
      <c r="V29" s="90"/>
      <c r="W29" s="91"/>
      <c r="Y29" s="88"/>
      <c r="Z29" s="89"/>
      <c r="AA29" s="89"/>
      <c r="AB29" s="89"/>
      <c r="AC29" s="89"/>
      <c r="AD29" s="90"/>
      <c r="AE29" s="91"/>
      <c r="AG29" s="88"/>
      <c r="AH29" s="89"/>
      <c r="AI29" s="89"/>
      <c r="AJ29" s="89"/>
      <c r="AK29" s="89"/>
      <c r="AL29" s="90"/>
      <c r="AM29" s="91"/>
      <c r="AO29" s="88"/>
      <c r="AP29" s="89"/>
      <c r="AQ29" s="89"/>
      <c r="AR29" s="89"/>
      <c r="AS29" s="89"/>
      <c r="AT29" s="90"/>
      <c r="AU29" s="91"/>
      <c r="AW29" s="88"/>
      <c r="AX29" s="89"/>
      <c r="AY29" s="89"/>
      <c r="AZ29" s="89"/>
      <c r="BA29" s="89"/>
      <c r="BB29" s="90"/>
      <c r="BC29" s="91"/>
      <c r="BE29" s="88"/>
      <c r="BF29" s="89"/>
      <c r="BG29" s="89"/>
      <c r="BH29" s="89"/>
      <c r="BI29" s="89"/>
      <c r="BJ29" s="90"/>
      <c r="BK29" s="91"/>
    </row>
    <row r="30" customFormat="false" ht="14.25" hidden="false" customHeight="true" outlineLevel="0" collapsed="false">
      <c r="A30" s="103"/>
      <c r="B30" s="104"/>
      <c r="C30" s="104"/>
      <c r="D30" s="104"/>
      <c r="E30" s="104"/>
      <c r="F30" s="105"/>
      <c r="G30" s="106" t="n">
        <f aca="false">G7-(G16+G25)</f>
        <v>2066.825</v>
      </c>
      <c r="I30" s="103"/>
      <c r="J30" s="104"/>
      <c r="K30" s="104"/>
      <c r="L30" s="104"/>
      <c r="M30" s="104"/>
      <c r="N30" s="105"/>
      <c r="O30" s="107" t="n">
        <f aca="false">O7-(O16+O25)</f>
        <v>1006.92</v>
      </c>
      <c r="Q30" s="103"/>
      <c r="R30" s="104"/>
      <c r="S30" s="104"/>
      <c r="T30" s="104"/>
      <c r="U30" s="104"/>
      <c r="V30" s="105"/>
      <c r="W30" s="107" t="n">
        <f aca="false">W7-(W16+W25)</f>
        <v>867.45</v>
      </c>
      <c r="Y30" s="103"/>
      <c r="Z30" s="104"/>
      <c r="AA30" s="104"/>
      <c r="AB30" s="104"/>
      <c r="AC30" s="104"/>
      <c r="AD30" s="105"/>
      <c r="AE30" s="107" t="n">
        <f aca="false">AE7-(AE16+AE25)</f>
        <v>784.665</v>
      </c>
      <c r="AG30" s="103"/>
      <c r="AH30" s="104"/>
      <c r="AI30" s="104"/>
      <c r="AJ30" s="104"/>
      <c r="AK30" s="104"/>
      <c r="AL30" s="105"/>
      <c r="AM30" s="107" t="n">
        <f aca="false">AM7-(AM16+AM25)</f>
        <v>765</v>
      </c>
      <c r="AO30" s="103"/>
      <c r="AP30" s="104"/>
      <c r="AQ30" s="104"/>
      <c r="AR30" s="104"/>
      <c r="AS30" s="104"/>
      <c r="AT30" s="105"/>
      <c r="AU30" s="107" t="n">
        <f aca="false">AU7-(AU16+AU25)</f>
        <v>773.385</v>
      </c>
      <c r="AW30" s="103"/>
      <c r="AX30" s="104"/>
      <c r="AY30" s="104"/>
      <c r="AZ30" s="104"/>
      <c r="BA30" s="104"/>
      <c r="BB30" s="105"/>
      <c r="BC30" s="107" t="n">
        <f aca="false">BC7-(BC16+BC25)</f>
        <v>1148.355</v>
      </c>
      <c r="BE30" s="103"/>
      <c r="BF30" s="104"/>
      <c r="BG30" s="104"/>
      <c r="BH30" s="104"/>
      <c r="BI30" s="104"/>
      <c r="BJ30" s="105"/>
      <c r="BK30" s="107" t="n">
        <f aca="false">BK7-(BK16+BK25)</f>
        <v>291.72</v>
      </c>
    </row>
    <row r="31" customFormat="false" ht="15" hidden="false" customHeight="true" outlineLevel="0" collapsed="false"/>
    <row r="32" customFormat="false" ht="14.25" hidden="false" customHeight="true" outlineLevel="0" collapsed="false">
      <c r="A32" s="114" t="s">
        <v>21</v>
      </c>
      <c r="B32" s="114"/>
      <c r="C32" s="114"/>
      <c r="D32" s="114"/>
      <c r="E32" s="114"/>
      <c r="F32" s="114"/>
      <c r="G32" s="114"/>
      <c r="I32" s="114" t="s">
        <v>21</v>
      </c>
      <c r="J32" s="114"/>
      <c r="K32" s="114"/>
      <c r="L32" s="114"/>
      <c r="M32" s="114"/>
      <c r="N32" s="114"/>
      <c r="O32" s="114"/>
      <c r="Q32" s="114" t="s">
        <v>21</v>
      </c>
      <c r="R32" s="114"/>
      <c r="S32" s="114"/>
      <c r="T32" s="114"/>
      <c r="U32" s="114"/>
      <c r="V32" s="114"/>
      <c r="W32" s="114"/>
      <c r="Y32" s="114" t="s">
        <v>21</v>
      </c>
      <c r="Z32" s="114"/>
      <c r="AA32" s="114"/>
      <c r="AB32" s="114"/>
      <c r="AC32" s="114"/>
      <c r="AD32" s="114"/>
      <c r="AE32" s="114"/>
      <c r="AG32" s="114" t="s">
        <v>21</v>
      </c>
      <c r="AH32" s="114"/>
      <c r="AI32" s="114"/>
      <c r="AJ32" s="114"/>
      <c r="AK32" s="114"/>
      <c r="AL32" s="114"/>
      <c r="AM32" s="114"/>
      <c r="AO32" s="114" t="s">
        <v>21</v>
      </c>
      <c r="AP32" s="114"/>
      <c r="AQ32" s="114"/>
      <c r="AR32" s="114"/>
      <c r="AS32" s="114"/>
      <c r="AT32" s="114"/>
      <c r="AU32" s="114"/>
      <c r="AW32" s="114" t="s">
        <v>21</v>
      </c>
      <c r="AX32" s="114"/>
      <c r="AY32" s="114"/>
      <c r="AZ32" s="114"/>
      <c r="BA32" s="114"/>
      <c r="BB32" s="114"/>
      <c r="BC32" s="114"/>
      <c r="BE32" s="114" t="s">
        <v>21</v>
      </c>
      <c r="BF32" s="114"/>
      <c r="BG32" s="114"/>
      <c r="BH32" s="114"/>
      <c r="BI32" s="114"/>
      <c r="BJ32" s="114"/>
      <c r="BK32" s="114"/>
    </row>
    <row r="33" customFormat="false" ht="13.5" hidden="false" customHeight="false" outlineLevel="0" collapsed="false">
      <c r="A33" s="115"/>
      <c r="B33" s="116"/>
      <c r="C33" s="116"/>
      <c r="D33" s="116"/>
      <c r="E33" s="116"/>
      <c r="F33" s="117"/>
      <c r="G33" s="118"/>
      <c r="I33" s="115"/>
      <c r="J33" s="116"/>
      <c r="K33" s="116"/>
      <c r="L33" s="116"/>
      <c r="M33" s="116"/>
      <c r="N33" s="117"/>
      <c r="O33" s="118"/>
      <c r="Q33" s="115"/>
      <c r="R33" s="116"/>
      <c r="S33" s="116"/>
      <c r="T33" s="116"/>
      <c r="U33" s="116"/>
      <c r="V33" s="117"/>
      <c r="W33" s="118"/>
      <c r="Y33" s="115"/>
      <c r="Z33" s="116"/>
      <c r="AA33" s="116"/>
      <c r="AB33" s="116"/>
      <c r="AC33" s="116"/>
      <c r="AD33" s="117"/>
      <c r="AE33" s="118"/>
      <c r="AG33" s="115"/>
      <c r="AH33" s="116"/>
      <c r="AI33" s="116"/>
      <c r="AJ33" s="116"/>
      <c r="AK33" s="116"/>
      <c r="AL33" s="117"/>
      <c r="AM33" s="118"/>
      <c r="AO33" s="115"/>
      <c r="AP33" s="116"/>
      <c r="AQ33" s="116"/>
      <c r="AR33" s="116"/>
      <c r="AS33" s="116"/>
      <c r="AT33" s="117"/>
      <c r="AU33" s="118"/>
      <c r="AW33" s="115"/>
      <c r="AX33" s="116"/>
      <c r="AY33" s="116"/>
      <c r="AZ33" s="116"/>
      <c r="BA33" s="116"/>
      <c r="BB33" s="117"/>
      <c r="BC33" s="118"/>
      <c r="BE33" s="115"/>
      <c r="BF33" s="116"/>
      <c r="BG33" s="116"/>
      <c r="BH33" s="116"/>
      <c r="BI33" s="116"/>
      <c r="BJ33" s="117"/>
      <c r="BK33" s="118"/>
    </row>
    <row r="34" customFormat="false" ht="13.5" hidden="false" customHeight="false" outlineLevel="0" collapsed="false">
      <c r="A34" s="119"/>
      <c r="B34" s="89" t="s">
        <v>183</v>
      </c>
      <c r="C34" s="120" t="n">
        <v>1</v>
      </c>
      <c r="D34" s="120" t="n">
        <v>149.8</v>
      </c>
      <c r="E34" s="89" t="n">
        <f aca="false">E5</f>
        <v>4.45</v>
      </c>
      <c r="F34" s="121"/>
      <c r="G34" s="91" t="n">
        <f aca="false">C34*D34*E34</f>
        <v>666.61</v>
      </c>
      <c r="I34" s="119"/>
      <c r="J34" s="89" t="s">
        <v>183</v>
      </c>
      <c r="K34" s="89" t="n">
        <v>1</v>
      </c>
      <c r="L34" s="89" t="n">
        <v>82</v>
      </c>
      <c r="M34" s="89" t="n">
        <f aca="false">M5</f>
        <v>4.5</v>
      </c>
      <c r="N34" s="122"/>
      <c r="O34" s="91" t="n">
        <f aca="false">K34*L34*M34</f>
        <v>369</v>
      </c>
      <c r="Q34" s="119"/>
      <c r="R34" s="89" t="s">
        <v>183</v>
      </c>
      <c r="S34" s="89" t="n">
        <v>1</v>
      </c>
      <c r="T34" s="89" t="n">
        <v>63.4</v>
      </c>
      <c r="U34" s="89" t="n">
        <f aca="false">U5</f>
        <v>3.3</v>
      </c>
      <c r="V34" s="122"/>
      <c r="W34" s="91" t="n">
        <f aca="false">S34*T34*U34</f>
        <v>209.22</v>
      </c>
      <c r="Y34" s="119"/>
      <c r="Z34" s="89" t="s">
        <v>183</v>
      </c>
      <c r="AA34" s="89" t="n">
        <v>1</v>
      </c>
      <c r="AB34" s="89" t="n">
        <v>63.4</v>
      </c>
      <c r="AC34" s="89" t="n">
        <f aca="false">AC5</f>
        <v>3.3</v>
      </c>
      <c r="AD34" s="122"/>
      <c r="AE34" s="91" t="n">
        <f aca="false">AA34*AB34*AC34</f>
        <v>209.22</v>
      </c>
      <c r="AG34" s="119"/>
      <c r="AH34" s="89" t="s">
        <v>183</v>
      </c>
      <c r="AI34" s="89" t="n">
        <v>1</v>
      </c>
      <c r="AJ34" s="89" t="n">
        <v>75.7</v>
      </c>
      <c r="AK34" s="89" t="n">
        <f aca="false">AK5</f>
        <v>3.3</v>
      </c>
      <c r="AL34" s="122"/>
      <c r="AM34" s="91" t="n">
        <f aca="false">AI34*AJ34*AK34</f>
        <v>249.81</v>
      </c>
      <c r="AO34" s="119"/>
      <c r="AP34" s="89" t="s">
        <v>183</v>
      </c>
      <c r="AQ34" s="89" t="n">
        <v>1</v>
      </c>
      <c r="AR34" s="89" t="n">
        <v>95.5</v>
      </c>
      <c r="AS34" s="89" t="n">
        <f aca="false">AS5</f>
        <v>3.3</v>
      </c>
      <c r="AT34" s="122"/>
      <c r="AU34" s="91" t="n">
        <f aca="false">AQ34*AR34*AS34</f>
        <v>315.15</v>
      </c>
      <c r="AW34" s="119"/>
      <c r="AX34" s="89" t="s">
        <v>183</v>
      </c>
      <c r="AY34" s="89" t="n">
        <v>1</v>
      </c>
      <c r="AZ34" s="89" t="n">
        <v>95.5</v>
      </c>
      <c r="BA34" s="89" t="n">
        <f aca="false">BA5</f>
        <v>3.3</v>
      </c>
      <c r="BB34" s="122"/>
      <c r="BC34" s="91" t="n">
        <f aca="false">AY34*AZ34*BA34</f>
        <v>315.15</v>
      </c>
      <c r="BE34" s="119"/>
      <c r="BF34" s="89" t="s">
        <v>183</v>
      </c>
      <c r="BG34" s="89" t="n">
        <v>1</v>
      </c>
      <c r="BH34" s="89" t="n">
        <v>111</v>
      </c>
      <c r="BI34" s="89" t="n">
        <f aca="false">BI5</f>
        <v>1.5</v>
      </c>
      <c r="BJ34" s="122"/>
      <c r="BK34" s="91" t="n">
        <f aca="false">BG34*BH34*BI34</f>
        <v>166.5</v>
      </c>
    </row>
    <row r="35" customFormat="false" ht="13.5" hidden="false" customHeight="false" outlineLevel="0" collapsed="false">
      <c r="A35" s="119"/>
      <c r="B35" s="120"/>
      <c r="C35" s="120"/>
      <c r="D35" s="120"/>
      <c r="E35" s="120"/>
      <c r="F35" s="121"/>
      <c r="G35" s="91"/>
      <c r="I35" s="119"/>
      <c r="J35" s="120"/>
      <c r="K35" s="89"/>
      <c r="L35" s="89"/>
      <c r="M35" s="89"/>
      <c r="N35" s="122"/>
      <c r="O35" s="91"/>
      <c r="Q35" s="119"/>
      <c r="R35" s="120"/>
      <c r="S35" s="89"/>
      <c r="T35" s="89"/>
      <c r="U35" s="89"/>
      <c r="V35" s="122"/>
      <c r="W35" s="91"/>
      <c r="Y35" s="119"/>
      <c r="Z35" s="120"/>
      <c r="AA35" s="89"/>
      <c r="AB35" s="89"/>
      <c r="AC35" s="89"/>
      <c r="AD35" s="122"/>
      <c r="AE35" s="91"/>
      <c r="AG35" s="119"/>
      <c r="AH35" s="120"/>
      <c r="AI35" s="89"/>
      <c r="AJ35" s="89"/>
      <c r="AK35" s="89"/>
      <c r="AL35" s="122"/>
      <c r="AM35" s="91"/>
      <c r="AO35" s="119"/>
      <c r="AP35" s="120"/>
      <c r="AQ35" s="89"/>
      <c r="AR35" s="89"/>
      <c r="AS35" s="89"/>
      <c r="AT35" s="122"/>
      <c r="AU35" s="91"/>
      <c r="AW35" s="119"/>
      <c r="AX35" s="120"/>
      <c r="AY35" s="89"/>
      <c r="AZ35" s="89"/>
      <c r="BA35" s="89"/>
      <c r="BB35" s="122"/>
      <c r="BC35" s="91"/>
      <c r="BE35" s="119"/>
      <c r="BF35" s="120"/>
      <c r="BG35" s="89"/>
      <c r="BH35" s="89"/>
      <c r="BI35" s="89"/>
      <c r="BJ35" s="122"/>
      <c r="BK35" s="91"/>
    </row>
    <row r="36" customFormat="false" ht="14.25" hidden="false" customHeight="true" outlineLevel="0" collapsed="false">
      <c r="A36" s="123"/>
      <c r="B36" s="124"/>
      <c r="C36" s="124"/>
      <c r="D36" s="124"/>
      <c r="E36" s="124"/>
      <c r="F36" s="125"/>
      <c r="G36" s="95" t="n">
        <f aca="false">SUM(G33:G35)</f>
        <v>666.61</v>
      </c>
      <c r="I36" s="123"/>
      <c r="J36" s="124"/>
      <c r="K36" s="93"/>
      <c r="L36" s="93"/>
      <c r="M36" s="93"/>
      <c r="N36" s="126"/>
      <c r="O36" s="95" t="n">
        <f aca="false">SUM(O33:O35)</f>
        <v>369</v>
      </c>
      <c r="Q36" s="123"/>
      <c r="R36" s="124"/>
      <c r="S36" s="93"/>
      <c r="T36" s="93"/>
      <c r="U36" s="93"/>
      <c r="V36" s="126"/>
      <c r="W36" s="95" t="n">
        <f aca="false">SUM(W33:W35)</f>
        <v>209.22</v>
      </c>
      <c r="Y36" s="123"/>
      <c r="Z36" s="124"/>
      <c r="AA36" s="93"/>
      <c r="AB36" s="93"/>
      <c r="AC36" s="93"/>
      <c r="AD36" s="126"/>
      <c r="AE36" s="95" t="n">
        <f aca="false">SUM(AE33:AE35)</f>
        <v>209.22</v>
      </c>
      <c r="AG36" s="123"/>
      <c r="AH36" s="124"/>
      <c r="AI36" s="93"/>
      <c r="AJ36" s="93"/>
      <c r="AK36" s="93"/>
      <c r="AL36" s="126"/>
      <c r="AM36" s="95" t="n">
        <f aca="false">SUM(AM33:AM35)</f>
        <v>249.81</v>
      </c>
      <c r="AO36" s="123"/>
      <c r="AP36" s="124"/>
      <c r="AQ36" s="93"/>
      <c r="AR36" s="93"/>
      <c r="AS36" s="93"/>
      <c r="AT36" s="126"/>
      <c r="AU36" s="95" t="n">
        <f aca="false">SUM(AU33:AU35)</f>
        <v>315.15</v>
      </c>
      <c r="AW36" s="123"/>
      <c r="AX36" s="124"/>
      <c r="AY36" s="93"/>
      <c r="AZ36" s="93"/>
      <c r="BA36" s="93"/>
      <c r="BB36" s="126"/>
      <c r="BC36" s="95" t="n">
        <f aca="false">SUM(BC33:BC35)</f>
        <v>315.15</v>
      </c>
      <c r="BE36" s="123"/>
      <c r="BF36" s="124"/>
      <c r="BG36" s="93"/>
      <c r="BH36" s="93"/>
      <c r="BI36" s="93"/>
      <c r="BJ36" s="126"/>
      <c r="BK36" s="95" t="n">
        <f aca="false">SUM(BK33:BK35)</f>
        <v>166.5</v>
      </c>
    </row>
    <row r="37" customFormat="false" ht="14.25" hidden="false" customHeight="true" outlineLevel="0" collapsed="false">
      <c r="A37" s="127"/>
      <c r="B37" s="128"/>
      <c r="C37" s="128"/>
      <c r="D37" s="128"/>
      <c r="E37" s="128"/>
      <c r="F37" s="129"/>
      <c r="G37" s="130"/>
      <c r="I37" s="127"/>
      <c r="J37" s="128"/>
      <c r="K37" s="131"/>
      <c r="L37" s="131"/>
      <c r="M37" s="131"/>
      <c r="N37" s="132"/>
      <c r="O37" s="130"/>
      <c r="Q37" s="127"/>
      <c r="R37" s="128"/>
      <c r="S37" s="131"/>
      <c r="T37" s="131"/>
      <c r="U37" s="131"/>
      <c r="V37" s="132"/>
      <c r="W37" s="130"/>
      <c r="Y37" s="127"/>
      <c r="Z37" s="128"/>
      <c r="AA37" s="131"/>
      <c r="AB37" s="131"/>
      <c r="AC37" s="131"/>
      <c r="AD37" s="132"/>
      <c r="AE37" s="130"/>
      <c r="AG37" s="127"/>
      <c r="AH37" s="128"/>
      <c r="AI37" s="131"/>
      <c r="AJ37" s="131"/>
      <c r="AK37" s="131"/>
      <c r="AL37" s="132"/>
      <c r="AM37" s="130"/>
      <c r="AO37" s="127"/>
      <c r="AP37" s="128"/>
      <c r="AQ37" s="131"/>
      <c r="AR37" s="131"/>
      <c r="AS37" s="131"/>
      <c r="AT37" s="132"/>
      <c r="AU37" s="130"/>
      <c r="AW37" s="127"/>
      <c r="AX37" s="128"/>
      <c r="AY37" s="131"/>
      <c r="AZ37" s="131"/>
      <c r="BA37" s="131"/>
      <c r="BB37" s="132"/>
      <c r="BC37" s="130"/>
      <c r="BE37" s="127"/>
      <c r="BF37" s="128"/>
      <c r="BG37" s="131"/>
      <c r="BH37" s="131"/>
      <c r="BI37" s="131"/>
      <c r="BJ37" s="132"/>
      <c r="BK37" s="130"/>
    </row>
    <row r="38" customFormat="false" ht="13.5" hidden="false" customHeight="false" outlineLevel="0" collapsed="false">
      <c r="A38" s="119"/>
      <c r="B38" s="97" t="s">
        <v>140</v>
      </c>
      <c r="C38" s="120"/>
      <c r="D38" s="120"/>
      <c r="E38" s="120"/>
      <c r="F38" s="121"/>
      <c r="G38" s="133"/>
      <c r="I38" s="119"/>
      <c r="J38" s="97" t="s">
        <v>140</v>
      </c>
      <c r="K38" s="89"/>
      <c r="L38" s="89"/>
      <c r="M38" s="89"/>
      <c r="N38" s="122"/>
      <c r="O38" s="133"/>
      <c r="Q38" s="119"/>
      <c r="R38" s="97" t="s">
        <v>140</v>
      </c>
      <c r="S38" s="89"/>
      <c r="T38" s="89"/>
      <c r="U38" s="89"/>
      <c r="V38" s="122"/>
      <c r="W38" s="133"/>
      <c r="Y38" s="119"/>
      <c r="Z38" s="97" t="s">
        <v>140</v>
      </c>
      <c r="AA38" s="89"/>
      <c r="AB38" s="89"/>
      <c r="AC38" s="89"/>
      <c r="AD38" s="122"/>
      <c r="AE38" s="133"/>
      <c r="AG38" s="119"/>
      <c r="AH38" s="97" t="s">
        <v>140</v>
      </c>
      <c r="AI38" s="89"/>
      <c r="AJ38" s="89"/>
      <c r="AK38" s="89"/>
      <c r="AL38" s="122"/>
      <c r="AM38" s="133"/>
      <c r="AO38" s="119"/>
      <c r="AP38" s="97" t="s">
        <v>140</v>
      </c>
      <c r="AQ38" s="89"/>
      <c r="AR38" s="89"/>
      <c r="AS38" s="89"/>
      <c r="AT38" s="122"/>
      <c r="AU38" s="133"/>
      <c r="AW38" s="119"/>
      <c r="AX38" s="97" t="s">
        <v>140</v>
      </c>
      <c r="AY38" s="89"/>
      <c r="AZ38" s="89"/>
      <c r="BA38" s="89"/>
      <c r="BB38" s="122"/>
      <c r="BC38" s="133"/>
      <c r="BE38" s="119"/>
      <c r="BF38" s="97" t="s">
        <v>140</v>
      </c>
      <c r="BG38" s="89"/>
      <c r="BH38" s="89"/>
      <c r="BI38" s="89"/>
      <c r="BJ38" s="122"/>
      <c r="BK38" s="133"/>
    </row>
    <row r="39" customFormat="false" ht="13.5" hidden="false" customHeight="false" outlineLevel="0" collapsed="false">
      <c r="A39" s="119"/>
      <c r="B39" s="97"/>
      <c r="C39" s="120"/>
      <c r="D39" s="120"/>
      <c r="E39" s="120"/>
      <c r="F39" s="121"/>
      <c r="G39" s="133"/>
      <c r="I39" s="119"/>
      <c r="J39" s="134" t="str">
        <f aca="false">J10</f>
        <v>W2</v>
      </c>
      <c r="K39" s="97" t="n">
        <f aca="false">K10</f>
        <v>5</v>
      </c>
      <c r="L39" s="97" t="n">
        <f aca="false">L10</f>
        <v>2.5</v>
      </c>
      <c r="M39" s="97" t="n">
        <f aca="false">M10</f>
        <v>0.75</v>
      </c>
      <c r="N39" s="122"/>
      <c r="O39" s="91" t="n">
        <f aca="false">K39*L39*M39</f>
        <v>9.375</v>
      </c>
      <c r="Q39" s="119"/>
      <c r="R39" s="134" t="str">
        <f aca="false">R10</f>
        <v>W2</v>
      </c>
      <c r="S39" s="97" t="n">
        <f aca="false">S10</f>
        <v>5</v>
      </c>
      <c r="T39" s="97" t="n">
        <f aca="false">T10</f>
        <v>2.5</v>
      </c>
      <c r="U39" s="97" t="n">
        <f aca="false">U10</f>
        <v>0.75</v>
      </c>
      <c r="V39" s="122"/>
      <c r="W39" s="91" t="n">
        <f aca="false">S39*T39*U39</f>
        <v>9.375</v>
      </c>
      <c r="Y39" s="119"/>
      <c r="Z39" s="134" t="str">
        <f aca="false">Z10</f>
        <v>W2</v>
      </c>
      <c r="AA39" s="97" t="n">
        <f aca="false">AA10</f>
        <v>6</v>
      </c>
      <c r="AB39" s="97" t="n">
        <f aca="false">AB10</f>
        <v>2.5</v>
      </c>
      <c r="AC39" s="97" t="n">
        <f aca="false">AC10</f>
        <v>0.75</v>
      </c>
      <c r="AD39" s="122"/>
      <c r="AE39" s="91" t="n">
        <f aca="false">AA39*AB39*AC39</f>
        <v>11.25</v>
      </c>
      <c r="AG39" s="119"/>
      <c r="AH39" s="134" t="str">
        <f aca="false">AH10</f>
        <v>W2</v>
      </c>
      <c r="AI39" s="97" t="n">
        <f aca="false">AI10</f>
        <v>5</v>
      </c>
      <c r="AJ39" s="97" t="n">
        <f aca="false">AJ10</f>
        <v>2.5</v>
      </c>
      <c r="AK39" s="97" t="n">
        <f aca="false">AK10</f>
        <v>0.75</v>
      </c>
      <c r="AL39" s="122"/>
      <c r="AM39" s="91" t="n">
        <f aca="false">AI39*AJ39*AK39</f>
        <v>9.375</v>
      </c>
      <c r="AO39" s="119"/>
      <c r="AP39" s="134" t="str">
        <f aca="false">AP10</f>
        <v>W2</v>
      </c>
      <c r="AQ39" s="97" t="n">
        <f aca="false">AQ10</f>
        <v>5</v>
      </c>
      <c r="AR39" s="97" t="n">
        <f aca="false">AR10</f>
        <v>2.5</v>
      </c>
      <c r="AS39" s="97" t="n">
        <f aca="false">AS10</f>
        <v>0.75</v>
      </c>
      <c r="AT39" s="122"/>
      <c r="AU39" s="91" t="n">
        <f aca="false">AQ39*AR39*AS39</f>
        <v>9.375</v>
      </c>
      <c r="AW39" s="119"/>
      <c r="AX39" s="134" t="str">
        <f aca="false">AX10</f>
        <v>W2</v>
      </c>
      <c r="AY39" s="97" t="n">
        <f aca="false">AY10</f>
        <v>4</v>
      </c>
      <c r="AZ39" s="97" t="n">
        <f aca="false">AZ10</f>
        <v>2.5</v>
      </c>
      <c r="BA39" s="97" t="n">
        <f aca="false">BA10</f>
        <v>0.75</v>
      </c>
      <c r="BB39" s="122"/>
      <c r="BC39" s="91" t="n">
        <f aca="false">AY39*AZ39*BA39</f>
        <v>7.5</v>
      </c>
      <c r="BE39" s="119"/>
      <c r="BF39" s="134" t="n">
        <f aca="false">BF10</f>
        <v>0</v>
      </c>
      <c r="BG39" s="97" t="n">
        <f aca="false">BG10</f>
        <v>0</v>
      </c>
      <c r="BH39" s="97" t="n">
        <f aca="false">BH10</f>
        <v>0</v>
      </c>
      <c r="BI39" s="97" t="n">
        <f aca="false">BI10</f>
        <v>0</v>
      </c>
      <c r="BJ39" s="122"/>
      <c r="BK39" s="91" t="n">
        <f aca="false">BG39*BH39*BI39</f>
        <v>0</v>
      </c>
    </row>
    <row r="40" customFormat="false" ht="13.5" hidden="false" customHeight="false" outlineLevel="0" collapsed="false">
      <c r="A40" s="119"/>
      <c r="B40" s="97"/>
      <c r="C40" s="120"/>
      <c r="D40" s="120"/>
      <c r="E40" s="120"/>
      <c r="F40" s="121"/>
      <c r="G40" s="133"/>
      <c r="I40" s="119"/>
      <c r="J40" s="134" t="str">
        <f aca="false">J11</f>
        <v>W3</v>
      </c>
      <c r="K40" s="97" t="n">
        <f aca="false">K11</f>
        <v>3</v>
      </c>
      <c r="L40" s="97" t="n">
        <f aca="false">L11</f>
        <v>1.6</v>
      </c>
      <c r="M40" s="97" t="n">
        <f aca="false">M11</f>
        <v>3</v>
      </c>
      <c r="N40" s="122"/>
      <c r="O40" s="91" t="n">
        <f aca="false">K40*L40*M40</f>
        <v>14.4</v>
      </c>
      <c r="Q40" s="119"/>
      <c r="R40" s="134" t="str">
        <f aca="false">R11</f>
        <v>W4</v>
      </c>
      <c r="S40" s="97" t="n">
        <f aca="false">S11</f>
        <v>2</v>
      </c>
      <c r="T40" s="97" t="n">
        <f aca="false">T11</f>
        <v>1.5</v>
      </c>
      <c r="U40" s="97" t="n">
        <f aca="false">U11</f>
        <v>1.2</v>
      </c>
      <c r="V40" s="122"/>
      <c r="W40" s="91" t="n">
        <f aca="false">S40*T40*U40</f>
        <v>3.6</v>
      </c>
      <c r="Y40" s="119"/>
      <c r="Z40" s="134" t="str">
        <f aca="false">Z11</f>
        <v>W4</v>
      </c>
      <c r="AA40" s="97" t="n">
        <f aca="false">AA11</f>
        <v>2</v>
      </c>
      <c r="AB40" s="97" t="n">
        <f aca="false">AB11</f>
        <v>1.5</v>
      </c>
      <c r="AC40" s="97" t="n">
        <f aca="false">AC11</f>
        <v>1.2</v>
      </c>
      <c r="AD40" s="122"/>
      <c r="AE40" s="91" t="n">
        <f aca="false">AA40*AB40*AC40</f>
        <v>3.6</v>
      </c>
      <c r="AG40" s="119"/>
      <c r="AH40" s="134" t="str">
        <f aca="false">AH11</f>
        <v>W4</v>
      </c>
      <c r="AI40" s="97" t="n">
        <f aca="false">AI11</f>
        <v>2</v>
      </c>
      <c r="AJ40" s="97" t="n">
        <f aca="false">AJ11</f>
        <v>1.5</v>
      </c>
      <c r="AK40" s="97" t="n">
        <f aca="false">AK11</f>
        <v>1.2</v>
      </c>
      <c r="AL40" s="122"/>
      <c r="AM40" s="91" t="n">
        <f aca="false">AI40*AJ40*AK40</f>
        <v>3.6</v>
      </c>
      <c r="AO40" s="119"/>
      <c r="AP40" s="134" t="str">
        <f aca="false">AP11</f>
        <v>W4</v>
      </c>
      <c r="AQ40" s="97" t="n">
        <f aca="false">AQ11</f>
        <v>2</v>
      </c>
      <c r="AR40" s="97" t="n">
        <f aca="false">AR11</f>
        <v>1.5</v>
      </c>
      <c r="AS40" s="97" t="n">
        <f aca="false">AS11</f>
        <v>1.2</v>
      </c>
      <c r="AT40" s="122"/>
      <c r="AU40" s="91" t="n">
        <f aca="false">AQ40*AR40*AS40</f>
        <v>3.6</v>
      </c>
      <c r="AW40" s="119"/>
      <c r="AX40" s="134" t="str">
        <f aca="false">AX11</f>
        <v>W4</v>
      </c>
      <c r="AY40" s="97" t="n">
        <f aca="false">AY11</f>
        <v>1</v>
      </c>
      <c r="AZ40" s="97" t="n">
        <f aca="false">AZ11</f>
        <v>1.5</v>
      </c>
      <c r="BA40" s="97" t="n">
        <f aca="false">BA11</f>
        <v>1.2</v>
      </c>
      <c r="BB40" s="122"/>
      <c r="BC40" s="91" t="n">
        <f aca="false">AY40*AZ40*BA40</f>
        <v>1.8</v>
      </c>
      <c r="BE40" s="119"/>
      <c r="BF40" s="134" t="n">
        <f aca="false">BF11</f>
        <v>0</v>
      </c>
      <c r="BG40" s="97" t="n">
        <f aca="false">BG11</f>
        <v>0</v>
      </c>
      <c r="BH40" s="97" t="n">
        <f aca="false">BH11</f>
        <v>0</v>
      </c>
      <c r="BI40" s="97" t="n">
        <f aca="false">BI11</f>
        <v>0</v>
      </c>
      <c r="BJ40" s="122"/>
      <c r="BK40" s="91" t="n">
        <f aca="false">BG40*BH40*BI40</f>
        <v>0</v>
      </c>
    </row>
    <row r="41" customFormat="false" ht="13.5" hidden="false" customHeight="false" outlineLevel="0" collapsed="false">
      <c r="A41" s="119"/>
      <c r="B41" s="97"/>
      <c r="C41" s="120"/>
      <c r="D41" s="120"/>
      <c r="E41" s="120"/>
      <c r="F41" s="121"/>
      <c r="G41" s="133"/>
      <c r="I41" s="119"/>
      <c r="J41" s="134" t="str">
        <f aca="false">J12</f>
        <v>W4</v>
      </c>
      <c r="K41" s="97" t="n">
        <f aca="false">K12</f>
        <v>2</v>
      </c>
      <c r="L41" s="97" t="n">
        <f aca="false">L12</f>
        <v>1.5</v>
      </c>
      <c r="M41" s="97" t="n">
        <f aca="false">M12</f>
        <v>1.2</v>
      </c>
      <c r="N41" s="122"/>
      <c r="O41" s="91" t="n">
        <f aca="false">K41*L41*M41</f>
        <v>3.6</v>
      </c>
      <c r="Q41" s="119"/>
      <c r="R41" s="134" t="str">
        <f aca="false">R12</f>
        <v>W5</v>
      </c>
      <c r="S41" s="97" t="n">
        <f aca="false">S12</f>
        <v>2</v>
      </c>
      <c r="T41" s="97" t="n">
        <f aca="false">T12</f>
        <v>0.9</v>
      </c>
      <c r="U41" s="97" t="n">
        <f aca="false">U12</f>
        <v>2</v>
      </c>
      <c r="V41" s="122"/>
      <c r="W41" s="91" t="n">
        <f aca="false">S41*T41*U41</f>
        <v>3.6</v>
      </c>
      <c r="Y41" s="119"/>
      <c r="Z41" s="134" t="str">
        <f aca="false">Z12</f>
        <v>W5</v>
      </c>
      <c r="AA41" s="97" t="n">
        <f aca="false">AA12</f>
        <v>2</v>
      </c>
      <c r="AB41" s="97" t="n">
        <f aca="false">AB12</f>
        <v>0.9</v>
      </c>
      <c r="AC41" s="97" t="n">
        <f aca="false">AC12</f>
        <v>2</v>
      </c>
      <c r="AD41" s="122"/>
      <c r="AE41" s="91" t="n">
        <f aca="false">AA41*AB41*AC41</f>
        <v>3.6</v>
      </c>
      <c r="AG41" s="119"/>
      <c r="AH41" s="134" t="str">
        <f aca="false">AH12</f>
        <v>W5</v>
      </c>
      <c r="AI41" s="97" t="n">
        <f aca="false">AI12</f>
        <v>2</v>
      </c>
      <c r="AJ41" s="97" t="n">
        <f aca="false">AJ12</f>
        <v>0.9</v>
      </c>
      <c r="AK41" s="97" t="n">
        <f aca="false">AK12</f>
        <v>2</v>
      </c>
      <c r="AL41" s="122"/>
      <c r="AM41" s="91" t="n">
        <f aca="false">AI41*AJ41*AK41</f>
        <v>3.6</v>
      </c>
      <c r="AO41" s="119"/>
      <c r="AP41" s="134" t="str">
        <f aca="false">AP12</f>
        <v>W5</v>
      </c>
      <c r="AQ41" s="97" t="n">
        <f aca="false">AQ12</f>
        <v>2</v>
      </c>
      <c r="AR41" s="97" t="n">
        <f aca="false">AR12</f>
        <v>0.9</v>
      </c>
      <c r="AS41" s="97" t="n">
        <f aca="false">AS12</f>
        <v>2</v>
      </c>
      <c r="AT41" s="122"/>
      <c r="AU41" s="91" t="n">
        <f aca="false">AQ41*AR41*AS41</f>
        <v>3.6</v>
      </c>
      <c r="AW41" s="119"/>
      <c r="AX41" s="134" t="str">
        <f aca="false">AX12</f>
        <v>W5</v>
      </c>
      <c r="AY41" s="97" t="n">
        <f aca="false">AY12</f>
        <v>5</v>
      </c>
      <c r="AZ41" s="97" t="n">
        <f aca="false">AZ12</f>
        <v>0.9</v>
      </c>
      <c r="BA41" s="97" t="n">
        <f aca="false">BA12</f>
        <v>2</v>
      </c>
      <c r="BB41" s="122"/>
      <c r="BC41" s="91" t="n">
        <f aca="false">AY41*AZ41*BA41</f>
        <v>9</v>
      </c>
      <c r="BE41" s="119"/>
      <c r="BF41" s="134" t="n">
        <f aca="false">BF12</f>
        <v>0</v>
      </c>
      <c r="BG41" s="97" t="n">
        <f aca="false">BG12</f>
        <v>0</v>
      </c>
      <c r="BH41" s="97" t="n">
        <f aca="false">BH12</f>
        <v>0</v>
      </c>
      <c r="BI41" s="97" t="n">
        <f aca="false">BI12</f>
        <v>0</v>
      </c>
      <c r="BJ41" s="122"/>
      <c r="BK41" s="91" t="n">
        <f aca="false">BG41*BH41*BI41</f>
        <v>0</v>
      </c>
    </row>
    <row r="42" customFormat="false" ht="13.5" hidden="false" customHeight="false" outlineLevel="0" collapsed="false">
      <c r="A42" s="119"/>
      <c r="B42" s="97"/>
      <c r="C42" s="120"/>
      <c r="D42" s="120"/>
      <c r="E42" s="120"/>
      <c r="F42" s="121"/>
      <c r="G42" s="133"/>
      <c r="I42" s="119"/>
      <c r="J42" s="134" t="str">
        <f aca="false">J13</f>
        <v>W7</v>
      </c>
      <c r="K42" s="97" t="n">
        <f aca="false">K13</f>
        <v>1</v>
      </c>
      <c r="L42" s="97" t="n">
        <f aca="false">L13</f>
        <v>1.2</v>
      </c>
      <c r="M42" s="97" t="n">
        <f aca="false">M13</f>
        <v>0.75</v>
      </c>
      <c r="N42" s="122"/>
      <c r="O42" s="91" t="n">
        <f aca="false">K42*L42*M42</f>
        <v>0.9</v>
      </c>
      <c r="Q42" s="119"/>
      <c r="R42" s="134" t="str">
        <f aca="false">R13</f>
        <v>W7</v>
      </c>
      <c r="S42" s="97" t="n">
        <f aca="false">S13</f>
        <v>1</v>
      </c>
      <c r="T42" s="97" t="n">
        <f aca="false">T13</f>
        <v>1.2</v>
      </c>
      <c r="U42" s="97" t="n">
        <f aca="false">U13</f>
        <v>0.75</v>
      </c>
      <c r="V42" s="122"/>
      <c r="W42" s="91" t="n">
        <f aca="false">S42*T42*U42</f>
        <v>0.9</v>
      </c>
      <c r="Y42" s="119"/>
      <c r="Z42" s="134" t="str">
        <f aca="false">Z13</f>
        <v>W7</v>
      </c>
      <c r="AA42" s="97" t="n">
        <f aca="false">AA13</f>
        <v>1</v>
      </c>
      <c r="AB42" s="97" t="n">
        <f aca="false">AB13</f>
        <v>1.2</v>
      </c>
      <c r="AC42" s="97" t="n">
        <f aca="false">AC13</f>
        <v>0.75</v>
      </c>
      <c r="AD42" s="122"/>
      <c r="AE42" s="91" t="n">
        <f aca="false">AA42*AB42*AC42</f>
        <v>0.9</v>
      </c>
      <c r="AG42" s="119"/>
      <c r="AH42" s="134" t="str">
        <f aca="false">AH13</f>
        <v>W7</v>
      </c>
      <c r="AI42" s="97" t="n">
        <f aca="false">AI13</f>
        <v>1</v>
      </c>
      <c r="AJ42" s="97" t="n">
        <f aca="false">AJ13</f>
        <v>1.2</v>
      </c>
      <c r="AK42" s="97" t="n">
        <f aca="false">AK13</f>
        <v>0.75</v>
      </c>
      <c r="AL42" s="122"/>
      <c r="AM42" s="91" t="n">
        <f aca="false">AI42*AJ42*AK42</f>
        <v>0.9</v>
      </c>
      <c r="AO42" s="119"/>
      <c r="AP42" s="134" t="str">
        <f aca="false">AP13</f>
        <v>W8</v>
      </c>
      <c r="AQ42" s="97" t="n">
        <f aca="false">AQ13</f>
        <v>4</v>
      </c>
      <c r="AR42" s="97" t="n">
        <f aca="false">AR13</f>
        <v>1.8</v>
      </c>
      <c r="AS42" s="97" t="n">
        <f aca="false">AS13</f>
        <v>1</v>
      </c>
      <c r="AT42" s="122"/>
      <c r="AU42" s="91" t="n">
        <f aca="false">AQ42*AR42*AS42</f>
        <v>7.2</v>
      </c>
      <c r="AW42" s="119"/>
      <c r="AX42" s="134" t="str">
        <f aca="false">AX13</f>
        <v>W7</v>
      </c>
      <c r="AY42" s="97" t="n">
        <f aca="false">AY13</f>
        <v>1</v>
      </c>
      <c r="AZ42" s="97" t="n">
        <f aca="false">AZ13</f>
        <v>1.2</v>
      </c>
      <c r="BA42" s="97" t="n">
        <f aca="false">BA13</f>
        <v>0.75</v>
      </c>
      <c r="BB42" s="122"/>
      <c r="BC42" s="91" t="n">
        <f aca="false">AY42*AZ42*BA42</f>
        <v>0.9</v>
      </c>
      <c r="BE42" s="119"/>
      <c r="BF42" s="134" t="n">
        <f aca="false">BF13</f>
        <v>0</v>
      </c>
      <c r="BG42" s="97" t="n">
        <f aca="false">BG13</f>
        <v>0</v>
      </c>
      <c r="BH42" s="97" t="n">
        <f aca="false">BH13</f>
        <v>0</v>
      </c>
      <c r="BI42" s="97" t="n">
        <f aca="false">BI13</f>
        <v>0</v>
      </c>
      <c r="BJ42" s="122"/>
      <c r="BK42" s="91" t="n">
        <f aca="false">BG42*BH42*BI42</f>
        <v>0</v>
      </c>
    </row>
    <row r="43" customFormat="false" ht="13.5" hidden="false" customHeight="false" outlineLevel="0" collapsed="false">
      <c r="A43" s="119"/>
      <c r="B43" s="97"/>
      <c r="C43" s="120"/>
      <c r="D43" s="120"/>
      <c r="E43" s="120"/>
      <c r="F43" s="121"/>
      <c r="G43" s="133"/>
      <c r="I43" s="119"/>
      <c r="J43" s="97"/>
      <c r="K43" s="89"/>
      <c r="L43" s="89"/>
      <c r="M43" s="89"/>
      <c r="N43" s="122"/>
      <c r="O43" s="133"/>
      <c r="Q43" s="119"/>
      <c r="R43" s="97"/>
      <c r="S43" s="89"/>
      <c r="T43" s="89"/>
      <c r="U43" s="89"/>
      <c r="V43" s="122"/>
      <c r="W43" s="133"/>
      <c r="Y43" s="119"/>
      <c r="Z43" s="134" t="str">
        <f aca="false">Z14</f>
        <v>W8</v>
      </c>
      <c r="AA43" s="97" t="n">
        <f aca="false">AA14</f>
        <v>3</v>
      </c>
      <c r="AB43" s="97" t="n">
        <f aca="false">AB14</f>
        <v>1.8</v>
      </c>
      <c r="AC43" s="97" t="n">
        <f aca="false">AC14</f>
        <v>1</v>
      </c>
      <c r="AD43" s="122"/>
      <c r="AE43" s="91" t="n">
        <f aca="false">AA43*AB43*AC43</f>
        <v>5.4</v>
      </c>
      <c r="AG43" s="119"/>
      <c r="AH43" s="134" t="str">
        <f aca="false">AH14</f>
        <v>W8</v>
      </c>
      <c r="AI43" s="97" t="n">
        <f aca="false">AI14</f>
        <v>3</v>
      </c>
      <c r="AJ43" s="97" t="n">
        <f aca="false">AJ14</f>
        <v>1.8</v>
      </c>
      <c r="AK43" s="97" t="n">
        <f aca="false">AK14</f>
        <v>1</v>
      </c>
      <c r="AL43" s="122"/>
      <c r="AM43" s="91" t="n">
        <f aca="false">AI43*AJ43*AK43</f>
        <v>5.4</v>
      </c>
      <c r="AO43" s="119"/>
      <c r="AP43" s="134"/>
      <c r="AQ43" s="97"/>
      <c r="AR43" s="97"/>
      <c r="AS43" s="97"/>
      <c r="AT43" s="122"/>
      <c r="AU43" s="91"/>
      <c r="AW43" s="119"/>
      <c r="AX43" s="134"/>
      <c r="AY43" s="97"/>
      <c r="AZ43" s="97"/>
      <c r="BA43" s="97"/>
      <c r="BB43" s="122"/>
      <c r="BC43" s="91"/>
      <c r="BE43" s="119"/>
      <c r="BF43" s="134"/>
      <c r="BG43" s="97"/>
      <c r="BH43" s="97"/>
      <c r="BI43" s="97"/>
      <c r="BJ43" s="122"/>
      <c r="BK43" s="91"/>
    </row>
    <row r="44" customFormat="false" ht="13.5" hidden="false" customHeight="false" outlineLevel="0" collapsed="false">
      <c r="A44" s="119"/>
      <c r="B44" s="97"/>
      <c r="C44" s="120"/>
      <c r="D44" s="120"/>
      <c r="E44" s="120"/>
      <c r="F44" s="121"/>
      <c r="G44" s="133"/>
      <c r="I44" s="119"/>
      <c r="J44" s="97"/>
      <c r="K44" s="89"/>
      <c r="L44" s="89"/>
      <c r="M44" s="89"/>
      <c r="N44" s="122"/>
      <c r="O44" s="133"/>
      <c r="Q44" s="119"/>
      <c r="R44" s="97"/>
      <c r="S44" s="89"/>
      <c r="T44" s="89"/>
      <c r="U44" s="89"/>
      <c r="V44" s="122"/>
      <c r="W44" s="133"/>
      <c r="Y44" s="119"/>
      <c r="Z44" s="97"/>
      <c r="AA44" s="89"/>
      <c r="AB44" s="89"/>
      <c r="AC44" s="89"/>
      <c r="AD44" s="122"/>
      <c r="AE44" s="133"/>
      <c r="AG44" s="119"/>
      <c r="AH44" s="97"/>
      <c r="AI44" s="89"/>
      <c r="AJ44" s="89"/>
      <c r="AK44" s="89"/>
      <c r="AL44" s="122"/>
      <c r="AM44" s="133"/>
      <c r="AO44" s="119"/>
      <c r="AP44" s="97"/>
      <c r="AQ44" s="89"/>
      <c r="AR44" s="89"/>
      <c r="AS44" s="89"/>
      <c r="AT44" s="122"/>
      <c r="AU44" s="133"/>
      <c r="AW44" s="119"/>
      <c r="AX44" s="97"/>
      <c r="AY44" s="89"/>
      <c r="AZ44" s="89"/>
      <c r="BA44" s="89"/>
      <c r="BB44" s="122"/>
      <c r="BC44" s="133"/>
      <c r="BE44" s="119"/>
      <c r="BF44" s="97"/>
      <c r="BG44" s="89"/>
      <c r="BH44" s="89"/>
      <c r="BI44" s="89"/>
      <c r="BJ44" s="122"/>
      <c r="BK44" s="133"/>
    </row>
    <row r="45" customFormat="false" ht="13.5" hidden="false" customHeight="false" outlineLevel="0" collapsed="false">
      <c r="A45" s="119"/>
      <c r="B45" s="97"/>
      <c r="C45" s="120"/>
      <c r="D45" s="120"/>
      <c r="E45" s="120"/>
      <c r="F45" s="121"/>
      <c r="G45" s="133"/>
      <c r="I45" s="119"/>
      <c r="J45" s="97"/>
      <c r="K45" s="89"/>
      <c r="L45" s="89"/>
      <c r="M45" s="89"/>
      <c r="N45" s="122"/>
      <c r="O45" s="133"/>
      <c r="Q45" s="119"/>
      <c r="R45" s="97"/>
      <c r="S45" s="89"/>
      <c r="T45" s="89"/>
      <c r="U45" s="89"/>
      <c r="V45" s="122"/>
      <c r="W45" s="133"/>
      <c r="Y45" s="119"/>
      <c r="Z45" s="97"/>
      <c r="AA45" s="89"/>
      <c r="AB45" s="89"/>
      <c r="AC45" s="89"/>
      <c r="AD45" s="122"/>
      <c r="AE45" s="133"/>
      <c r="AG45" s="119"/>
      <c r="AH45" s="97"/>
      <c r="AI45" s="89"/>
      <c r="AJ45" s="89"/>
      <c r="AK45" s="89"/>
      <c r="AL45" s="122"/>
      <c r="AM45" s="133"/>
      <c r="AO45" s="119"/>
      <c r="AP45" s="97"/>
      <c r="AQ45" s="89"/>
      <c r="AR45" s="89"/>
      <c r="AS45" s="89"/>
      <c r="AT45" s="122"/>
      <c r="AU45" s="133"/>
      <c r="AW45" s="119"/>
      <c r="AX45" s="97"/>
      <c r="AY45" s="89"/>
      <c r="AZ45" s="89"/>
      <c r="BA45" s="89"/>
      <c r="BB45" s="122"/>
      <c r="BC45" s="133"/>
      <c r="BE45" s="119"/>
      <c r="BF45" s="97"/>
      <c r="BG45" s="89"/>
      <c r="BH45" s="89"/>
      <c r="BI45" s="89"/>
      <c r="BJ45" s="122"/>
      <c r="BK45" s="133"/>
    </row>
    <row r="46" customFormat="false" ht="13.5" hidden="false" customHeight="false" outlineLevel="0" collapsed="false">
      <c r="A46" s="119"/>
      <c r="B46" s="97"/>
      <c r="C46" s="120"/>
      <c r="D46" s="120"/>
      <c r="E46" s="120"/>
      <c r="F46" s="121"/>
      <c r="G46" s="133"/>
      <c r="I46" s="119"/>
      <c r="J46" s="97"/>
      <c r="K46" s="89"/>
      <c r="L46" s="89"/>
      <c r="M46" s="89"/>
      <c r="N46" s="122"/>
      <c r="O46" s="133"/>
      <c r="Q46" s="119"/>
      <c r="R46" s="97"/>
      <c r="S46" s="89"/>
      <c r="T46" s="89"/>
      <c r="U46" s="89"/>
      <c r="V46" s="122"/>
      <c r="W46" s="133"/>
      <c r="Y46" s="119"/>
      <c r="Z46" s="97"/>
      <c r="AA46" s="89"/>
      <c r="AB46" s="89"/>
      <c r="AC46" s="89"/>
      <c r="AD46" s="122"/>
      <c r="AE46" s="133"/>
      <c r="AG46" s="119"/>
      <c r="AH46" s="97"/>
      <c r="AI46" s="89"/>
      <c r="AJ46" s="89"/>
      <c r="AK46" s="89"/>
      <c r="AL46" s="122"/>
      <c r="AM46" s="133"/>
      <c r="AO46" s="119"/>
      <c r="AP46" s="97"/>
      <c r="AQ46" s="89"/>
      <c r="AR46" s="89"/>
      <c r="AS46" s="89"/>
      <c r="AT46" s="122"/>
      <c r="AU46" s="133"/>
      <c r="AW46" s="119"/>
      <c r="AX46" s="97"/>
      <c r="AY46" s="89"/>
      <c r="AZ46" s="89"/>
      <c r="BA46" s="89"/>
      <c r="BB46" s="122"/>
      <c r="BC46" s="133"/>
      <c r="BE46" s="119"/>
      <c r="BF46" s="97"/>
      <c r="BG46" s="89"/>
      <c r="BH46" s="89"/>
      <c r="BI46" s="89"/>
      <c r="BJ46" s="122"/>
      <c r="BK46" s="133"/>
    </row>
    <row r="47" customFormat="false" ht="13.5" hidden="false" customHeight="false" outlineLevel="0" collapsed="false">
      <c r="A47" s="119"/>
      <c r="B47" s="97"/>
      <c r="C47" s="120"/>
      <c r="D47" s="120"/>
      <c r="E47" s="120"/>
      <c r="F47" s="121"/>
      <c r="G47" s="133"/>
      <c r="I47" s="119"/>
      <c r="J47" s="97"/>
      <c r="K47" s="89"/>
      <c r="L47" s="89"/>
      <c r="M47" s="89"/>
      <c r="N47" s="122"/>
      <c r="O47" s="133"/>
      <c r="Q47" s="119"/>
      <c r="R47" s="97"/>
      <c r="S47" s="89"/>
      <c r="T47" s="89"/>
      <c r="U47" s="89"/>
      <c r="V47" s="122"/>
      <c r="W47" s="133"/>
      <c r="Y47" s="119"/>
      <c r="Z47" s="97"/>
      <c r="AA47" s="89"/>
      <c r="AB47" s="89"/>
      <c r="AC47" s="89"/>
      <c r="AD47" s="122"/>
      <c r="AE47" s="133"/>
      <c r="AG47" s="119"/>
      <c r="AH47" s="97"/>
      <c r="AI47" s="89"/>
      <c r="AJ47" s="89"/>
      <c r="AK47" s="89"/>
      <c r="AL47" s="122"/>
      <c r="AM47" s="133"/>
      <c r="AO47" s="119"/>
      <c r="AP47" s="97"/>
      <c r="AQ47" s="89"/>
      <c r="AR47" s="89"/>
      <c r="AS47" s="89"/>
      <c r="AT47" s="122"/>
      <c r="AU47" s="133"/>
      <c r="AW47" s="119"/>
      <c r="AX47" s="97"/>
      <c r="AY47" s="89"/>
      <c r="AZ47" s="89"/>
      <c r="BA47" s="89"/>
      <c r="BB47" s="122"/>
      <c r="BC47" s="133"/>
      <c r="BE47" s="119"/>
      <c r="BF47" s="97"/>
      <c r="BG47" s="89"/>
      <c r="BH47" s="89"/>
      <c r="BI47" s="89"/>
      <c r="BJ47" s="122"/>
      <c r="BK47" s="133"/>
    </row>
    <row r="48" customFormat="false" ht="13.5" hidden="false" customHeight="false" outlineLevel="0" collapsed="false">
      <c r="A48" s="119"/>
      <c r="B48" s="120"/>
      <c r="C48" s="120"/>
      <c r="D48" s="120"/>
      <c r="E48" s="120"/>
      <c r="F48" s="121"/>
      <c r="G48" s="133"/>
      <c r="I48" s="119"/>
      <c r="J48" s="120"/>
      <c r="K48" s="89"/>
      <c r="L48" s="89"/>
      <c r="M48" s="89"/>
      <c r="N48" s="122"/>
      <c r="O48" s="133"/>
      <c r="Q48" s="119"/>
      <c r="R48" s="120"/>
      <c r="S48" s="89"/>
      <c r="T48" s="89"/>
      <c r="U48" s="89"/>
      <c r="V48" s="122"/>
      <c r="W48" s="133"/>
      <c r="Y48" s="119"/>
      <c r="Z48" s="120"/>
      <c r="AA48" s="89"/>
      <c r="AB48" s="89"/>
      <c r="AC48" s="89"/>
      <c r="AD48" s="122"/>
      <c r="AE48" s="133"/>
      <c r="AG48" s="119"/>
      <c r="AH48" s="120"/>
      <c r="AI48" s="89"/>
      <c r="AJ48" s="89"/>
      <c r="AK48" s="89"/>
      <c r="AL48" s="122"/>
      <c r="AM48" s="133"/>
      <c r="AO48" s="119"/>
      <c r="AP48" s="120"/>
      <c r="AQ48" s="89"/>
      <c r="AR48" s="89"/>
      <c r="AS48" s="89"/>
      <c r="AT48" s="122"/>
      <c r="AU48" s="133"/>
      <c r="AW48" s="119"/>
      <c r="AX48" s="120"/>
      <c r="AY48" s="89"/>
      <c r="AZ48" s="89"/>
      <c r="BA48" s="89"/>
      <c r="BB48" s="122"/>
      <c r="BC48" s="133"/>
      <c r="BE48" s="119"/>
      <c r="BF48" s="120"/>
      <c r="BG48" s="89"/>
      <c r="BH48" s="89"/>
      <c r="BI48" s="89"/>
      <c r="BJ48" s="122"/>
      <c r="BK48" s="133"/>
    </row>
    <row r="49" customFormat="false" ht="13.5" hidden="false" customHeight="false" outlineLevel="0" collapsed="false">
      <c r="A49" s="119"/>
      <c r="B49" s="120"/>
      <c r="C49" s="120"/>
      <c r="D49" s="120"/>
      <c r="E49" s="120"/>
      <c r="F49" s="121"/>
      <c r="G49" s="135"/>
      <c r="I49" s="119"/>
      <c r="J49" s="120"/>
      <c r="K49" s="89"/>
      <c r="L49" s="89"/>
      <c r="M49" s="89"/>
      <c r="N49" s="122"/>
      <c r="O49" s="133"/>
      <c r="Q49" s="119"/>
      <c r="R49" s="120"/>
      <c r="S49" s="89"/>
      <c r="T49" s="89"/>
      <c r="U49" s="89"/>
      <c r="V49" s="122"/>
      <c r="W49" s="133"/>
      <c r="Y49" s="119"/>
      <c r="Z49" s="120"/>
      <c r="AA49" s="89"/>
      <c r="AB49" s="89"/>
      <c r="AC49" s="89"/>
      <c r="AD49" s="122"/>
      <c r="AE49" s="133"/>
      <c r="AG49" s="119"/>
      <c r="AH49" s="120"/>
      <c r="AI49" s="89"/>
      <c r="AJ49" s="89"/>
      <c r="AK49" s="89"/>
      <c r="AL49" s="122"/>
      <c r="AM49" s="133"/>
      <c r="AO49" s="119"/>
      <c r="AP49" s="120"/>
      <c r="AQ49" s="89"/>
      <c r="AR49" s="89"/>
      <c r="AS49" s="89"/>
      <c r="AT49" s="122"/>
      <c r="AU49" s="133"/>
      <c r="AW49" s="119"/>
      <c r="AX49" s="120"/>
      <c r="AY49" s="89"/>
      <c r="AZ49" s="89"/>
      <c r="BA49" s="89"/>
      <c r="BB49" s="122"/>
      <c r="BC49" s="133"/>
      <c r="BE49" s="119"/>
      <c r="BF49" s="120"/>
      <c r="BG49" s="89"/>
      <c r="BH49" s="89"/>
      <c r="BI49" s="89"/>
      <c r="BJ49" s="122"/>
      <c r="BK49" s="133"/>
    </row>
    <row r="50" customFormat="false" ht="14.25" hidden="false" customHeight="true" outlineLevel="0" collapsed="false">
      <c r="A50" s="93"/>
      <c r="B50" s="93" t="s">
        <v>149</v>
      </c>
      <c r="C50" s="93"/>
      <c r="D50" s="93"/>
      <c r="E50" s="93"/>
      <c r="F50" s="126"/>
      <c r="G50" s="136" t="n">
        <f aca="false">SUM(G37:G49)</f>
        <v>0</v>
      </c>
      <c r="I50" s="96"/>
      <c r="J50" s="93" t="s">
        <v>149</v>
      </c>
      <c r="K50" s="93"/>
      <c r="L50" s="93"/>
      <c r="M50" s="93"/>
      <c r="N50" s="94"/>
      <c r="O50" s="101" t="n">
        <f aca="false">SUM(O37:O49)</f>
        <v>28.275</v>
      </c>
      <c r="Q50" s="96"/>
      <c r="R50" s="93" t="s">
        <v>149</v>
      </c>
      <c r="S50" s="93"/>
      <c r="T50" s="93"/>
      <c r="U50" s="93"/>
      <c r="V50" s="94"/>
      <c r="W50" s="101" t="n">
        <f aca="false">SUM(W37:W49)</f>
        <v>17.475</v>
      </c>
      <c r="Y50" s="96"/>
      <c r="Z50" s="93" t="s">
        <v>149</v>
      </c>
      <c r="AA50" s="93"/>
      <c r="AB50" s="93"/>
      <c r="AC50" s="93"/>
      <c r="AD50" s="94"/>
      <c r="AE50" s="101" t="n">
        <f aca="false">SUM(AE37:AE49)</f>
        <v>24.75</v>
      </c>
      <c r="AG50" s="96"/>
      <c r="AH50" s="93" t="s">
        <v>149</v>
      </c>
      <c r="AI50" s="93"/>
      <c r="AJ50" s="93"/>
      <c r="AK50" s="93"/>
      <c r="AL50" s="94"/>
      <c r="AM50" s="101" t="n">
        <f aca="false">SUM(AM37:AM49)</f>
        <v>22.875</v>
      </c>
      <c r="AO50" s="96"/>
      <c r="AP50" s="93" t="s">
        <v>149</v>
      </c>
      <c r="AQ50" s="93"/>
      <c r="AR50" s="93"/>
      <c r="AS50" s="93"/>
      <c r="AT50" s="94"/>
      <c r="AU50" s="101" t="n">
        <f aca="false">SUM(AU37:AU49)</f>
        <v>23.775</v>
      </c>
      <c r="AW50" s="96"/>
      <c r="AX50" s="93" t="s">
        <v>149</v>
      </c>
      <c r="AY50" s="93"/>
      <c r="AZ50" s="93"/>
      <c r="BA50" s="93"/>
      <c r="BB50" s="94"/>
      <c r="BC50" s="101" t="n">
        <f aca="false">SUM(BC37:BC49)</f>
        <v>19.2</v>
      </c>
      <c r="BE50" s="96"/>
      <c r="BF50" s="93" t="s">
        <v>149</v>
      </c>
      <c r="BG50" s="93"/>
      <c r="BH50" s="93"/>
      <c r="BI50" s="93"/>
      <c r="BJ50" s="94"/>
      <c r="BK50" s="101" t="n">
        <f aca="false">SUM(BK37:BK49)</f>
        <v>0</v>
      </c>
    </row>
    <row r="51" customFormat="false" ht="14.25" hidden="false" customHeight="true" outlineLevel="0" collapsed="false">
      <c r="A51" s="127"/>
      <c r="B51" s="128"/>
      <c r="C51" s="128"/>
      <c r="D51" s="128"/>
      <c r="E51" s="128"/>
      <c r="F51" s="129"/>
      <c r="G51" s="137"/>
      <c r="I51" s="127"/>
      <c r="J51" s="128"/>
      <c r="K51" s="131"/>
      <c r="L51" s="131"/>
      <c r="M51" s="131"/>
      <c r="N51" s="132"/>
      <c r="O51" s="130"/>
      <c r="Q51" s="127"/>
      <c r="R51" s="128"/>
      <c r="S51" s="131"/>
      <c r="T51" s="131"/>
      <c r="U51" s="131"/>
      <c r="V51" s="132"/>
      <c r="W51" s="130"/>
      <c r="Y51" s="127"/>
      <c r="Z51" s="128"/>
      <c r="AA51" s="131"/>
      <c r="AB51" s="131"/>
      <c r="AC51" s="131"/>
      <c r="AD51" s="132"/>
      <c r="AE51" s="130"/>
      <c r="AG51" s="127"/>
      <c r="AH51" s="128"/>
      <c r="AI51" s="131"/>
      <c r="AJ51" s="131"/>
      <c r="AK51" s="131"/>
      <c r="AL51" s="132"/>
      <c r="AM51" s="130"/>
      <c r="AO51" s="127"/>
      <c r="AP51" s="128"/>
      <c r="AQ51" s="131"/>
      <c r="AR51" s="131"/>
      <c r="AS51" s="131"/>
      <c r="AT51" s="132"/>
      <c r="AU51" s="130"/>
      <c r="AW51" s="127"/>
      <c r="AX51" s="128"/>
      <c r="AY51" s="131"/>
      <c r="AZ51" s="131"/>
      <c r="BA51" s="131"/>
      <c r="BB51" s="132"/>
      <c r="BC51" s="130"/>
      <c r="BE51" s="127"/>
      <c r="BF51" s="128"/>
      <c r="BG51" s="131"/>
      <c r="BH51" s="131"/>
      <c r="BI51" s="131"/>
      <c r="BJ51" s="132"/>
      <c r="BK51" s="130"/>
    </row>
    <row r="52" customFormat="false" ht="13.5" hidden="false" customHeight="false" outlineLevel="0" collapsed="false">
      <c r="A52" s="119"/>
      <c r="B52" s="97" t="s">
        <v>150</v>
      </c>
      <c r="C52" s="120"/>
      <c r="D52" s="120"/>
      <c r="E52" s="120"/>
      <c r="F52" s="121"/>
      <c r="G52" s="135" t="n">
        <v>0</v>
      </c>
      <c r="I52" s="119"/>
      <c r="J52" s="97" t="s">
        <v>150</v>
      </c>
      <c r="K52" s="89"/>
      <c r="L52" s="89"/>
      <c r="M52" s="89"/>
      <c r="N52" s="122"/>
      <c r="O52" s="133"/>
      <c r="Q52" s="119"/>
      <c r="R52" s="97" t="s">
        <v>150</v>
      </c>
      <c r="S52" s="89"/>
      <c r="T52" s="89"/>
      <c r="U52" s="89"/>
      <c r="V52" s="122"/>
      <c r="W52" s="133"/>
      <c r="Y52" s="119"/>
      <c r="Z52" s="97" t="s">
        <v>150</v>
      </c>
      <c r="AA52" s="89"/>
      <c r="AB52" s="89"/>
      <c r="AC52" s="89"/>
      <c r="AD52" s="122"/>
      <c r="AE52" s="133"/>
      <c r="AG52" s="119"/>
      <c r="AH52" s="97" t="s">
        <v>150</v>
      </c>
      <c r="AI52" s="89"/>
      <c r="AJ52" s="89"/>
      <c r="AK52" s="89"/>
      <c r="AL52" s="122"/>
      <c r="AM52" s="133"/>
      <c r="AO52" s="119"/>
      <c r="AP52" s="97" t="s">
        <v>150</v>
      </c>
      <c r="AQ52" s="89"/>
      <c r="AR52" s="89"/>
      <c r="AS52" s="89"/>
      <c r="AT52" s="122"/>
      <c r="AU52" s="133"/>
      <c r="AW52" s="119"/>
      <c r="AX52" s="97" t="s">
        <v>150</v>
      </c>
      <c r="AY52" s="89"/>
      <c r="AZ52" s="89"/>
      <c r="BA52" s="89"/>
      <c r="BB52" s="122"/>
      <c r="BC52" s="133"/>
      <c r="BE52" s="119"/>
      <c r="BF52" s="97" t="s">
        <v>150</v>
      </c>
      <c r="BG52" s="89"/>
      <c r="BH52" s="89"/>
      <c r="BI52" s="89"/>
      <c r="BJ52" s="122"/>
      <c r="BK52" s="133"/>
    </row>
    <row r="53" customFormat="false" ht="13.5" hidden="false" customHeight="false" outlineLevel="0" collapsed="false">
      <c r="A53" s="119"/>
      <c r="B53" s="120"/>
      <c r="C53" s="120"/>
      <c r="D53" s="120"/>
      <c r="E53" s="120"/>
      <c r="F53" s="121"/>
      <c r="G53" s="135"/>
      <c r="I53" s="119"/>
      <c r="J53" s="102" t="str">
        <f aca="false">J19</f>
        <v>D2</v>
      </c>
      <c r="K53" s="89" t="n">
        <v>1</v>
      </c>
      <c r="L53" s="89" t="n">
        <f aca="false">L19</f>
        <v>0.9</v>
      </c>
      <c r="M53" s="89" t="n">
        <f aca="false">M19</f>
        <v>2.1</v>
      </c>
      <c r="N53" s="122"/>
      <c r="O53" s="91" t="n">
        <f aca="false">K53*L53*M53</f>
        <v>1.89</v>
      </c>
      <c r="Q53" s="119"/>
      <c r="R53" s="102" t="str">
        <f aca="false">R22</f>
        <v>D6</v>
      </c>
      <c r="S53" s="89" t="n">
        <v>1</v>
      </c>
      <c r="T53" s="89" t="n">
        <f aca="false">T22</f>
        <v>0.9</v>
      </c>
      <c r="U53" s="89" t="n">
        <f aca="false">U22</f>
        <v>2.1</v>
      </c>
      <c r="V53" s="122"/>
      <c r="W53" s="91" t="n">
        <f aca="false">S53*T53*U53</f>
        <v>1.89</v>
      </c>
      <c r="Y53" s="119"/>
      <c r="Z53" s="102" t="str">
        <f aca="false">Z22</f>
        <v>D6</v>
      </c>
      <c r="AA53" s="89" t="n">
        <v>1</v>
      </c>
      <c r="AB53" s="89" t="n">
        <f aca="false">AB22</f>
        <v>0.9</v>
      </c>
      <c r="AC53" s="89" t="n">
        <f aca="false">AC22</f>
        <v>2.1</v>
      </c>
      <c r="AD53" s="122"/>
      <c r="AE53" s="91" t="n">
        <f aca="false">AA53*AB53*AC53</f>
        <v>1.89</v>
      </c>
      <c r="AG53" s="119"/>
      <c r="AH53" s="102" t="str">
        <f aca="false">AH22</f>
        <v>D6</v>
      </c>
      <c r="AI53" s="89" t="n">
        <v>1</v>
      </c>
      <c r="AJ53" s="89" t="n">
        <f aca="false">AJ22</f>
        <v>0.9</v>
      </c>
      <c r="AK53" s="89" t="n">
        <f aca="false">AK22</f>
        <v>2.1</v>
      </c>
      <c r="AL53" s="122"/>
      <c r="AM53" s="91" t="n">
        <f aca="false">AI53*AJ53*AK53</f>
        <v>1.89</v>
      </c>
      <c r="AO53" s="119"/>
      <c r="AP53" s="102" t="str">
        <f aca="false">AP23</f>
        <v>D6</v>
      </c>
      <c r="AQ53" s="89" t="n">
        <v>1</v>
      </c>
      <c r="AR53" s="89" t="n">
        <f aca="false">AR23</f>
        <v>0.9</v>
      </c>
      <c r="AS53" s="89" t="n">
        <f aca="false">AS23</f>
        <v>2.1</v>
      </c>
      <c r="AT53" s="122"/>
      <c r="AU53" s="91" t="n">
        <f aca="false">AQ53*AR53*AS53</f>
        <v>1.89</v>
      </c>
      <c r="AW53" s="119"/>
      <c r="AX53" s="102" t="str">
        <f aca="false">AX23</f>
        <v>D6</v>
      </c>
      <c r="AY53" s="89" t="n">
        <v>1</v>
      </c>
      <c r="AZ53" s="89" t="n">
        <f aca="false">AZ23</f>
        <v>0.9</v>
      </c>
      <c r="BA53" s="89" t="n">
        <f aca="false">BA23</f>
        <v>2.1</v>
      </c>
      <c r="BB53" s="122"/>
      <c r="BC53" s="91" t="n">
        <f aca="false">AY53*AZ53*BA53</f>
        <v>1.89</v>
      </c>
      <c r="BE53" s="119"/>
      <c r="BF53" s="102" t="str">
        <f aca="false">BF18</f>
        <v>D8</v>
      </c>
      <c r="BG53" s="89" t="n">
        <v>1</v>
      </c>
      <c r="BH53" s="89" t="n">
        <f aca="false">BH18</f>
        <v>1.8</v>
      </c>
      <c r="BI53" s="89" t="n">
        <f aca="false">BI18</f>
        <v>2.1</v>
      </c>
      <c r="BJ53" s="122"/>
      <c r="BK53" s="91" t="n">
        <f aca="false">BG53*BH53*BI53</f>
        <v>3.78</v>
      </c>
    </row>
    <row r="54" customFormat="false" ht="13.5" hidden="false" customHeight="false" outlineLevel="0" collapsed="false">
      <c r="A54" s="119"/>
      <c r="B54" s="120"/>
      <c r="C54" s="120"/>
      <c r="D54" s="120"/>
      <c r="E54" s="120"/>
      <c r="F54" s="121"/>
      <c r="G54" s="135"/>
      <c r="I54" s="119"/>
      <c r="J54" s="120"/>
      <c r="K54" s="89"/>
      <c r="L54" s="89"/>
      <c r="M54" s="89"/>
      <c r="N54" s="122"/>
      <c r="O54" s="133"/>
      <c r="Q54" s="119"/>
      <c r="R54" s="120"/>
      <c r="S54" s="89"/>
      <c r="T54" s="89"/>
      <c r="U54" s="89"/>
      <c r="V54" s="122"/>
      <c r="W54" s="133"/>
      <c r="Y54" s="119"/>
      <c r="Z54" s="120"/>
      <c r="AA54" s="89"/>
      <c r="AB54" s="89"/>
      <c r="AC54" s="89"/>
      <c r="AD54" s="122"/>
      <c r="AE54" s="133"/>
      <c r="AG54" s="119"/>
      <c r="AH54" s="120"/>
      <c r="AI54" s="89"/>
      <c r="AJ54" s="89"/>
      <c r="AK54" s="89"/>
      <c r="AL54" s="122"/>
      <c r="AM54" s="133"/>
      <c r="AO54" s="119"/>
      <c r="AP54" s="120"/>
      <c r="AQ54" s="89"/>
      <c r="AR54" s="89"/>
      <c r="AS54" s="89"/>
      <c r="AT54" s="122"/>
      <c r="AU54" s="133"/>
      <c r="AW54" s="119"/>
      <c r="AX54" s="120"/>
      <c r="AY54" s="89"/>
      <c r="AZ54" s="89"/>
      <c r="BA54" s="89"/>
      <c r="BB54" s="122"/>
      <c r="BC54" s="133"/>
      <c r="BE54" s="119"/>
      <c r="BF54" s="120"/>
      <c r="BG54" s="89"/>
      <c r="BH54" s="89"/>
      <c r="BI54" s="89"/>
      <c r="BJ54" s="122"/>
      <c r="BK54" s="133"/>
    </row>
    <row r="55" customFormat="false" ht="14.25" hidden="false" customHeight="true" outlineLevel="0" collapsed="false">
      <c r="A55" s="93"/>
      <c r="B55" s="93" t="s">
        <v>165</v>
      </c>
      <c r="C55" s="93"/>
      <c r="D55" s="93"/>
      <c r="E55" s="93"/>
      <c r="F55" s="126"/>
      <c r="G55" s="136" t="n">
        <f aca="false">SUM(G51:G54)</f>
        <v>0</v>
      </c>
      <c r="I55" s="96"/>
      <c r="J55" s="93" t="s">
        <v>165</v>
      </c>
      <c r="K55" s="93"/>
      <c r="L55" s="93"/>
      <c r="M55" s="93"/>
      <c r="N55" s="94"/>
      <c r="O55" s="101" t="n">
        <f aca="false">SUM(O51:O54)</f>
        <v>1.89</v>
      </c>
      <c r="Q55" s="96"/>
      <c r="R55" s="93" t="s">
        <v>165</v>
      </c>
      <c r="S55" s="93"/>
      <c r="T55" s="93"/>
      <c r="U55" s="93"/>
      <c r="V55" s="94"/>
      <c r="W55" s="101" t="n">
        <f aca="false">SUM(W51:W54)</f>
        <v>1.89</v>
      </c>
      <c r="Y55" s="96"/>
      <c r="Z55" s="93" t="s">
        <v>165</v>
      </c>
      <c r="AA55" s="93"/>
      <c r="AB55" s="93"/>
      <c r="AC55" s="93"/>
      <c r="AD55" s="94"/>
      <c r="AE55" s="101" t="n">
        <f aca="false">SUM(AE51:AE54)</f>
        <v>1.89</v>
      </c>
      <c r="AG55" s="96"/>
      <c r="AH55" s="93" t="s">
        <v>165</v>
      </c>
      <c r="AI55" s="93"/>
      <c r="AJ55" s="93"/>
      <c r="AK55" s="93"/>
      <c r="AL55" s="94"/>
      <c r="AM55" s="101" t="n">
        <f aca="false">SUM(AM51:AM54)</f>
        <v>1.89</v>
      </c>
      <c r="AO55" s="96"/>
      <c r="AP55" s="93" t="s">
        <v>165</v>
      </c>
      <c r="AQ55" s="93"/>
      <c r="AR55" s="93"/>
      <c r="AS55" s="93"/>
      <c r="AT55" s="94"/>
      <c r="AU55" s="101" t="n">
        <f aca="false">SUM(AU51:AU54)</f>
        <v>1.89</v>
      </c>
      <c r="AW55" s="96"/>
      <c r="AX55" s="93" t="s">
        <v>165</v>
      </c>
      <c r="AY55" s="93"/>
      <c r="AZ55" s="93"/>
      <c r="BA55" s="93"/>
      <c r="BB55" s="94"/>
      <c r="BC55" s="101" t="n">
        <f aca="false">SUM(BC51:BC54)</f>
        <v>1.89</v>
      </c>
      <c r="BE55" s="96"/>
      <c r="BF55" s="93" t="s">
        <v>165</v>
      </c>
      <c r="BG55" s="93"/>
      <c r="BH55" s="93"/>
      <c r="BI55" s="93"/>
      <c r="BJ55" s="94"/>
      <c r="BK55" s="101" t="n">
        <f aca="false">SUM(BK51:BK54)</f>
        <v>3.78</v>
      </c>
    </row>
    <row r="56" customFormat="false" ht="14.25" hidden="false" customHeight="true" outlineLevel="0" collapsed="false">
      <c r="A56" s="127"/>
      <c r="B56" s="128"/>
      <c r="C56" s="128"/>
      <c r="D56" s="128"/>
      <c r="E56" s="128"/>
      <c r="F56" s="129"/>
      <c r="G56" s="130"/>
      <c r="I56" s="127"/>
      <c r="J56" s="128"/>
      <c r="K56" s="131"/>
      <c r="L56" s="131"/>
      <c r="M56" s="131"/>
      <c r="N56" s="132"/>
      <c r="O56" s="130"/>
      <c r="Q56" s="127"/>
      <c r="R56" s="128"/>
      <c r="S56" s="131"/>
      <c r="T56" s="131"/>
      <c r="U56" s="131"/>
      <c r="V56" s="132"/>
      <c r="W56" s="130"/>
      <c r="Y56" s="127"/>
      <c r="Z56" s="128"/>
      <c r="AA56" s="131"/>
      <c r="AB56" s="131"/>
      <c r="AC56" s="131"/>
      <c r="AD56" s="132"/>
      <c r="AE56" s="130"/>
      <c r="AG56" s="127"/>
      <c r="AH56" s="128"/>
      <c r="AI56" s="131"/>
      <c r="AJ56" s="131"/>
      <c r="AK56" s="131"/>
      <c r="AL56" s="132"/>
      <c r="AM56" s="130"/>
      <c r="AO56" s="127"/>
      <c r="AP56" s="128"/>
      <c r="AQ56" s="131"/>
      <c r="AR56" s="131"/>
      <c r="AS56" s="131"/>
      <c r="AT56" s="132"/>
      <c r="AU56" s="130"/>
      <c r="AW56" s="127"/>
      <c r="AX56" s="128"/>
      <c r="AY56" s="131"/>
      <c r="AZ56" s="131"/>
      <c r="BA56" s="131"/>
      <c r="BB56" s="132"/>
      <c r="BC56" s="130"/>
      <c r="BE56" s="127"/>
      <c r="BF56" s="128"/>
      <c r="BG56" s="131"/>
      <c r="BH56" s="131"/>
      <c r="BI56" s="131"/>
      <c r="BJ56" s="132"/>
      <c r="BK56" s="130"/>
    </row>
    <row r="57" customFormat="false" ht="14.25" hidden="false" customHeight="true" outlineLevel="0" collapsed="false">
      <c r="A57" s="119"/>
      <c r="B57" s="120"/>
      <c r="C57" s="120"/>
      <c r="D57" s="120"/>
      <c r="E57" s="120"/>
      <c r="F57" s="121"/>
      <c r="G57" s="133"/>
      <c r="I57" s="119"/>
      <c r="J57" s="120"/>
      <c r="K57" s="89"/>
      <c r="L57" s="89"/>
      <c r="M57" s="89"/>
      <c r="N57" s="122"/>
      <c r="O57" s="133"/>
      <c r="Q57" s="119"/>
      <c r="R57" s="120"/>
      <c r="S57" s="89"/>
      <c r="T57" s="89"/>
      <c r="U57" s="89"/>
      <c r="V57" s="122"/>
      <c r="W57" s="133"/>
      <c r="Y57" s="119"/>
      <c r="Z57" s="120"/>
      <c r="AA57" s="89"/>
      <c r="AB57" s="89"/>
      <c r="AC57" s="89"/>
      <c r="AD57" s="122"/>
      <c r="AE57" s="133"/>
      <c r="AG57" s="119"/>
      <c r="AH57" s="120"/>
      <c r="AI57" s="89"/>
      <c r="AJ57" s="89"/>
      <c r="AK57" s="89"/>
      <c r="AL57" s="122"/>
      <c r="AM57" s="133"/>
      <c r="AO57" s="119"/>
      <c r="AP57" s="120"/>
      <c r="AQ57" s="89"/>
      <c r="AR57" s="89"/>
      <c r="AS57" s="89"/>
      <c r="AT57" s="122"/>
      <c r="AU57" s="133"/>
      <c r="AW57" s="119"/>
      <c r="AX57" s="120"/>
      <c r="AY57" s="89"/>
      <c r="AZ57" s="89"/>
      <c r="BA57" s="89"/>
      <c r="BB57" s="122"/>
      <c r="BC57" s="133"/>
      <c r="BE57" s="119"/>
      <c r="BF57" s="120"/>
      <c r="BG57" s="89"/>
      <c r="BH57" s="89"/>
      <c r="BI57" s="89"/>
      <c r="BJ57" s="122"/>
      <c r="BK57" s="133"/>
    </row>
    <row r="58" customFormat="false" ht="14.25" hidden="false" customHeight="true" outlineLevel="0" collapsed="false">
      <c r="A58" s="138"/>
      <c r="B58" s="139" t="s">
        <v>184</v>
      </c>
      <c r="C58" s="139"/>
      <c r="D58" s="139"/>
      <c r="E58" s="139"/>
      <c r="F58" s="140"/>
      <c r="G58" s="106" t="n">
        <f aca="false">G36-(G50+G55)</f>
        <v>666.61</v>
      </c>
      <c r="I58" s="138"/>
      <c r="J58" s="139" t="s">
        <v>184</v>
      </c>
      <c r="K58" s="104"/>
      <c r="L58" s="104"/>
      <c r="M58" s="104"/>
      <c r="N58" s="141"/>
      <c r="O58" s="106" t="n">
        <f aca="false">O36-(O50+O55)</f>
        <v>338.835</v>
      </c>
      <c r="Q58" s="138"/>
      <c r="R58" s="139" t="s">
        <v>184</v>
      </c>
      <c r="S58" s="104"/>
      <c r="T58" s="104"/>
      <c r="U58" s="104"/>
      <c r="V58" s="141"/>
      <c r="W58" s="106" t="n">
        <f aca="false">W36-(W50+W55)</f>
        <v>189.855</v>
      </c>
      <c r="Y58" s="138"/>
      <c r="Z58" s="139" t="s">
        <v>184</v>
      </c>
      <c r="AA58" s="104"/>
      <c r="AB58" s="104"/>
      <c r="AC58" s="104"/>
      <c r="AD58" s="141"/>
      <c r="AE58" s="106" t="n">
        <f aca="false">AE36-(AE50+AE55)</f>
        <v>182.58</v>
      </c>
      <c r="AG58" s="138"/>
      <c r="AH58" s="139" t="s">
        <v>184</v>
      </c>
      <c r="AI58" s="104"/>
      <c r="AJ58" s="104"/>
      <c r="AK58" s="104"/>
      <c r="AL58" s="141"/>
      <c r="AM58" s="106" t="n">
        <f aca="false">AM36-(AM50+AM55)</f>
        <v>225.045</v>
      </c>
      <c r="AO58" s="138"/>
      <c r="AP58" s="139" t="s">
        <v>184</v>
      </c>
      <c r="AQ58" s="104"/>
      <c r="AR58" s="104"/>
      <c r="AS58" s="104"/>
      <c r="AT58" s="141"/>
      <c r="AU58" s="106" t="n">
        <f aca="false">AU36-(AU50+AU55)</f>
        <v>289.485</v>
      </c>
      <c r="AW58" s="138"/>
      <c r="AX58" s="139" t="s">
        <v>184</v>
      </c>
      <c r="AY58" s="104"/>
      <c r="AZ58" s="104"/>
      <c r="BA58" s="104"/>
      <c r="BB58" s="141"/>
      <c r="BC58" s="106" t="n">
        <f aca="false">BC36-(BC50+BC55)</f>
        <v>294.06</v>
      </c>
      <c r="BE58" s="138"/>
      <c r="BF58" s="139" t="s">
        <v>184</v>
      </c>
      <c r="BG58" s="104"/>
      <c r="BH58" s="104"/>
      <c r="BI58" s="104"/>
      <c r="BJ58" s="141"/>
      <c r="BK58" s="106" t="n">
        <f aca="false">BK36-(BK50+BK55)</f>
        <v>162.72</v>
      </c>
    </row>
    <row r="59" customFormat="false" ht="14.25" hidden="false" customHeight="true" outlineLevel="0" collapsed="false"/>
    <row r="60" customFormat="false" ht="13.5" hidden="false" customHeight="false" outlineLevel="0" collapsed="false">
      <c r="P60" s="142" t="n">
        <f aca="false">O58+O30</f>
        <v>1345.755</v>
      </c>
    </row>
    <row r="61" customFormat="false" ht="13.5" hidden="false" customHeight="false" outlineLevel="0" collapsed="false">
      <c r="A61" s="77" t="s">
        <v>166</v>
      </c>
      <c r="B61" s="77" t="s">
        <v>185</v>
      </c>
      <c r="I61" s="77" t="s">
        <v>166</v>
      </c>
      <c r="J61" s="77" t="s">
        <v>185</v>
      </c>
      <c r="Q61" s="77" t="s">
        <v>166</v>
      </c>
      <c r="R61" s="77" t="s">
        <v>185</v>
      </c>
      <c r="Y61" s="77" t="s">
        <v>166</v>
      </c>
      <c r="Z61" s="77" t="s">
        <v>185</v>
      </c>
      <c r="AG61" s="77" t="s">
        <v>166</v>
      </c>
      <c r="AH61" s="77" t="s">
        <v>185</v>
      </c>
      <c r="AO61" s="77" t="s">
        <v>166</v>
      </c>
      <c r="AP61" s="77" t="s">
        <v>185</v>
      </c>
      <c r="AW61" s="77" t="s">
        <v>166</v>
      </c>
      <c r="AX61" s="77" t="s">
        <v>185</v>
      </c>
      <c r="BE61" s="77" t="s">
        <v>166</v>
      </c>
      <c r="BF61" s="77" t="s">
        <v>185</v>
      </c>
    </row>
    <row r="62" customFormat="false" ht="13.5" hidden="false" customHeight="false" outlineLevel="0" collapsed="false">
      <c r="B62" s="108" t="s">
        <v>186</v>
      </c>
      <c r="C62" s="109" t="n">
        <v>1</v>
      </c>
      <c r="D62" s="110" t="n">
        <f aca="false">D5+2*('BLOCK WORK'!D34-'BLOCK WORK'!D4)</f>
        <v>455.5</v>
      </c>
      <c r="E62" s="111" t="n">
        <f aca="false">E5</f>
        <v>4.45</v>
      </c>
      <c r="G62" s="111" t="n">
        <f aca="false">C62*D62*E62</f>
        <v>2026.975</v>
      </c>
      <c r="J62" s="108" t="s">
        <v>186</v>
      </c>
      <c r="K62" s="109" t="n">
        <v>1</v>
      </c>
      <c r="L62" s="110" t="n">
        <f aca="false">L5+2*('BLOCK WORK'!L34-'BLOCK WORK'!L4)</f>
        <v>253.8</v>
      </c>
      <c r="M62" s="111" t="n">
        <f aca="false">M5</f>
        <v>4.5</v>
      </c>
      <c r="O62" s="111" t="n">
        <f aca="false">K62*L62*M62</f>
        <v>1142.1</v>
      </c>
      <c r="R62" s="108" t="s">
        <v>186</v>
      </c>
      <c r="S62" s="109" t="n">
        <v>1</v>
      </c>
      <c r="T62" s="110" t="n">
        <f aca="false">T5+2*('BLOCK WORK'!T34-'BLOCK WORK'!T4)</f>
        <v>291</v>
      </c>
      <c r="U62" s="111" t="n">
        <f aca="false">U5</f>
        <v>3.3</v>
      </c>
      <c r="W62" s="111" t="n">
        <f aca="false">S62*T62*U62</f>
        <v>960.3</v>
      </c>
      <c r="Z62" s="108" t="s">
        <v>186</v>
      </c>
      <c r="AA62" s="109" t="n">
        <v>1</v>
      </c>
      <c r="AB62" s="110" t="n">
        <f aca="false">AB5+2*('BLOCK WORK'!AB34-'BLOCK WORK'!AB4)</f>
        <v>286.6</v>
      </c>
      <c r="AC62" s="111" t="n">
        <f aca="false">AC5</f>
        <v>3.3</v>
      </c>
      <c r="AE62" s="111" t="n">
        <f aca="false">AA62*AB62*AC62</f>
        <v>945.78</v>
      </c>
      <c r="AH62" s="108" t="s">
        <v>186</v>
      </c>
      <c r="AI62" s="109" t="n">
        <v>1</v>
      </c>
      <c r="AJ62" s="110" t="n">
        <f aca="false">AJ5+2*('BLOCK WORK'!AJ34-'BLOCK WORK'!AJ4)</f>
        <v>257.5</v>
      </c>
      <c r="AK62" s="111" t="n">
        <f aca="false">AK5</f>
        <v>3.3</v>
      </c>
      <c r="AM62" s="111" t="n">
        <f aca="false">AI62*AJ62*AK62</f>
        <v>849.75</v>
      </c>
      <c r="AP62" s="108" t="s">
        <v>186</v>
      </c>
      <c r="AQ62" s="109" t="n">
        <v>1</v>
      </c>
      <c r="AR62" s="110" t="n">
        <f aca="false">AR5+2*('BLOCK WORK'!AR34-'BLOCK WORK'!AR4)</f>
        <v>268.3</v>
      </c>
      <c r="AS62" s="111" t="n">
        <f aca="false">AS5</f>
        <v>3.3</v>
      </c>
      <c r="AU62" s="111" t="n">
        <f aca="false">AQ62*AR62*AS62</f>
        <v>885.39</v>
      </c>
      <c r="AX62" s="108" t="s">
        <v>186</v>
      </c>
      <c r="AY62" s="109" t="n">
        <v>1</v>
      </c>
      <c r="AZ62" s="110" t="n">
        <f aca="false">AZ5+2*('BLOCK WORK'!AZ34-'BLOCK WORK'!AZ4)</f>
        <v>380.6</v>
      </c>
      <c r="BA62" s="111" t="n">
        <f aca="false">BA5</f>
        <v>3.3</v>
      </c>
      <c r="BC62" s="111" t="n">
        <f aca="false">AY62*AZ62*BA62</f>
        <v>1255.98</v>
      </c>
      <c r="BF62" s="108" t="s">
        <v>186</v>
      </c>
      <c r="BG62" s="109" t="n">
        <v>1</v>
      </c>
      <c r="BH62" s="110" t="n">
        <f aca="false">BH5+2*('BLOCK WORK'!BH34-'BLOCK WORK'!BH4)</f>
        <v>199.6</v>
      </c>
      <c r="BI62" s="111" t="n">
        <f aca="false">BI5</f>
        <v>1.5</v>
      </c>
      <c r="BK62" s="111" t="n">
        <f aca="false">BG62*BH62*BI62</f>
        <v>299.4</v>
      </c>
    </row>
    <row r="63" customFormat="false" ht="13.5" hidden="false" customHeight="false" outlineLevel="0" collapsed="false">
      <c r="B63" s="108" t="s">
        <v>169</v>
      </c>
      <c r="C63" s="111"/>
      <c r="D63" s="111"/>
      <c r="E63" s="111"/>
      <c r="G63" s="111" t="n">
        <f aca="false">G16+G25</f>
        <v>26.01</v>
      </c>
      <c r="J63" s="108" t="s">
        <v>169</v>
      </c>
      <c r="K63" s="111"/>
      <c r="L63" s="111"/>
      <c r="M63" s="111"/>
      <c r="O63" s="111" t="n">
        <f aca="false">O16+O25</f>
        <v>70.38</v>
      </c>
      <c r="R63" s="108" t="s">
        <v>169</v>
      </c>
      <c r="S63" s="111"/>
      <c r="T63" s="111"/>
      <c r="U63" s="111"/>
      <c r="W63" s="111" t="n">
        <f aca="false">W16+W25</f>
        <v>53.91</v>
      </c>
      <c r="Z63" s="108" t="s">
        <v>169</v>
      </c>
      <c r="AA63" s="111"/>
      <c r="AB63" s="111"/>
      <c r="AC63" s="111"/>
      <c r="AE63" s="111" t="n">
        <f aca="false">AE16+AE25</f>
        <v>69.375</v>
      </c>
      <c r="AH63" s="108" t="s">
        <v>169</v>
      </c>
      <c r="AI63" s="111"/>
      <c r="AJ63" s="111"/>
      <c r="AK63" s="111"/>
      <c r="AM63" s="111" t="n">
        <f aca="false">AM16+AM25</f>
        <v>65.61</v>
      </c>
      <c r="AP63" s="108" t="s">
        <v>169</v>
      </c>
      <c r="AQ63" s="111"/>
      <c r="AR63" s="111"/>
      <c r="AS63" s="111"/>
      <c r="AU63" s="111" t="n">
        <f aca="false">AU16+AU25</f>
        <v>88.245</v>
      </c>
      <c r="AX63" s="108" t="s">
        <v>169</v>
      </c>
      <c r="AY63" s="111"/>
      <c r="AZ63" s="111"/>
      <c r="BA63" s="111"/>
      <c r="BC63" s="111" t="n">
        <f aca="false">BC16+BC25</f>
        <v>68.025</v>
      </c>
      <c r="BF63" s="108" t="s">
        <v>169</v>
      </c>
      <c r="BG63" s="111"/>
      <c r="BH63" s="111"/>
      <c r="BI63" s="111"/>
      <c r="BK63" s="111" t="n">
        <f aca="false">BK16+BK25</f>
        <v>3.78</v>
      </c>
    </row>
    <row r="64" customFormat="false" ht="13.5" hidden="false" customHeight="false" outlineLevel="0" collapsed="false">
      <c r="B64" s="108" t="s">
        <v>187</v>
      </c>
      <c r="C64" s="111"/>
      <c r="D64" s="111"/>
      <c r="E64" s="111"/>
      <c r="G64" s="112" t="n">
        <f aca="false">G62-G63</f>
        <v>2000.965</v>
      </c>
      <c r="J64" s="108" t="s">
        <v>187</v>
      </c>
      <c r="K64" s="111"/>
      <c r="L64" s="111"/>
      <c r="M64" s="111"/>
      <c r="O64" s="112" t="n">
        <f aca="false">O62-O63</f>
        <v>1071.72</v>
      </c>
      <c r="R64" s="108" t="s">
        <v>187</v>
      </c>
      <c r="S64" s="111"/>
      <c r="T64" s="111"/>
      <c r="U64" s="111"/>
      <c r="W64" s="112" t="n">
        <f aca="false">W62-W63</f>
        <v>906.39</v>
      </c>
      <c r="Z64" s="108" t="s">
        <v>187</v>
      </c>
      <c r="AA64" s="111"/>
      <c r="AB64" s="111"/>
      <c r="AC64" s="111"/>
      <c r="AE64" s="112" t="n">
        <f aca="false">AE62-AE63</f>
        <v>876.405</v>
      </c>
      <c r="AH64" s="108" t="s">
        <v>187</v>
      </c>
      <c r="AI64" s="111"/>
      <c r="AJ64" s="111"/>
      <c r="AK64" s="111"/>
      <c r="AM64" s="112" t="n">
        <f aca="false">AM62-AM63</f>
        <v>784.14</v>
      </c>
      <c r="AP64" s="108" t="s">
        <v>187</v>
      </c>
      <c r="AQ64" s="111"/>
      <c r="AR64" s="111"/>
      <c r="AS64" s="111"/>
      <c r="AU64" s="112" t="n">
        <f aca="false">AU62-AU63</f>
        <v>797.145</v>
      </c>
      <c r="AX64" s="108" t="s">
        <v>187</v>
      </c>
      <c r="AY64" s="111"/>
      <c r="AZ64" s="111"/>
      <c r="BA64" s="111"/>
      <c r="BC64" s="112" t="n">
        <f aca="false">BC62-BC63</f>
        <v>1187.955</v>
      </c>
      <c r="BF64" s="108" t="s">
        <v>187</v>
      </c>
      <c r="BG64" s="111"/>
      <c r="BH64" s="111"/>
      <c r="BI64" s="111"/>
      <c r="BK64" s="112" t="n">
        <f aca="false">BK62-BK63</f>
        <v>295.62</v>
      </c>
    </row>
    <row r="65" customFormat="false" ht="13.5" hidden="false" customHeight="false" outlineLevel="0" collapsed="false">
      <c r="B65" s="108" t="s">
        <v>172</v>
      </c>
      <c r="C65" s="111"/>
      <c r="D65" s="111"/>
      <c r="E65" s="111"/>
      <c r="G65" s="111" t="n">
        <f aca="false">G30-G64</f>
        <v>65.8599999999997</v>
      </c>
      <c r="J65" s="108" t="s">
        <v>172</v>
      </c>
      <c r="K65" s="111"/>
      <c r="L65" s="111"/>
      <c r="M65" s="111"/>
      <c r="O65" s="111" t="n">
        <f aca="false">O30-O64</f>
        <v>-64.8000000000003</v>
      </c>
      <c r="R65" s="108" t="s">
        <v>172</v>
      </c>
      <c r="S65" s="111"/>
      <c r="T65" s="111"/>
      <c r="U65" s="111"/>
      <c r="W65" s="111" t="n">
        <f aca="false">W30-W64</f>
        <v>-38.9400000000001</v>
      </c>
      <c r="Z65" s="108" t="s">
        <v>172</v>
      </c>
      <c r="AA65" s="111"/>
      <c r="AB65" s="111"/>
      <c r="AC65" s="111"/>
      <c r="AE65" s="111" t="n">
        <f aca="false">AE30-AE64</f>
        <v>-91.7399999999999</v>
      </c>
      <c r="AH65" s="108" t="s">
        <v>172</v>
      </c>
      <c r="AI65" s="111"/>
      <c r="AJ65" s="111"/>
      <c r="AK65" s="111"/>
      <c r="AM65" s="111" t="n">
        <f aca="false">AM30-AM64</f>
        <v>-19.1400000000001</v>
      </c>
      <c r="AP65" s="108" t="s">
        <v>172</v>
      </c>
      <c r="AQ65" s="111"/>
      <c r="AR65" s="111"/>
      <c r="AS65" s="111"/>
      <c r="AU65" s="111" t="n">
        <f aca="false">AU30-AU64</f>
        <v>-23.76</v>
      </c>
      <c r="AX65" s="108" t="s">
        <v>172</v>
      </c>
      <c r="AY65" s="111"/>
      <c r="AZ65" s="111"/>
      <c r="BA65" s="111"/>
      <c r="BC65" s="111" t="n">
        <f aca="false">BC30-BC64</f>
        <v>-39.5999999999999</v>
      </c>
      <c r="BF65" s="108" t="s">
        <v>172</v>
      </c>
      <c r="BG65" s="111"/>
      <c r="BH65" s="111"/>
      <c r="BI65" s="111"/>
      <c r="BK65" s="111" t="n">
        <f aca="false">BK30-BK64</f>
        <v>-3.90000000000003</v>
      </c>
    </row>
    <row r="66" customFormat="false" ht="13.5" hidden="false" customHeight="false" outlineLevel="0" collapsed="false">
      <c r="B66" s="108" t="s">
        <v>173</v>
      </c>
      <c r="C66" s="111"/>
      <c r="D66" s="111"/>
      <c r="E66" s="111"/>
      <c r="G66" s="113" t="n">
        <f aca="false">IF(G64=0,0,G65/G64)</f>
        <v>0.0329141189376124</v>
      </c>
      <c r="J66" s="108" t="s">
        <v>173</v>
      </c>
      <c r="K66" s="111"/>
      <c r="L66" s="111"/>
      <c r="M66" s="111"/>
      <c r="O66" s="113" t="n">
        <f aca="false">IF(O64=0,0,O65/O64)</f>
        <v>-0.0604635539133358</v>
      </c>
      <c r="R66" s="108" t="s">
        <v>173</v>
      </c>
      <c r="S66" s="111"/>
      <c r="T66" s="111"/>
      <c r="U66" s="111"/>
      <c r="W66" s="113" t="n">
        <f aca="false">IF(W64=0,0,W65/W64)</f>
        <v>-0.0429616390295569</v>
      </c>
      <c r="Z66" s="108" t="s">
        <v>173</v>
      </c>
      <c r="AA66" s="111"/>
      <c r="AB66" s="111"/>
      <c r="AC66" s="111"/>
      <c r="AE66" s="113" t="n">
        <f aca="false">IF(AE64=0,0,AE65/AE64)</f>
        <v>-0.104677631916751</v>
      </c>
      <c r="AH66" s="108" t="s">
        <v>173</v>
      </c>
      <c r="AI66" s="111"/>
      <c r="AJ66" s="111"/>
      <c r="AK66" s="111"/>
      <c r="AM66" s="113" t="n">
        <f aca="false">IF(AM64=0,0,AM65/AM64)</f>
        <v>-0.024408906572806</v>
      </c>
      <c r="AP66" s="108" t="s">
        <v>173</v>
      </c>
      <c r="AQ66" s="111"/>
      <c r="AR66" s="111"/>
      <c r="AS66" s="111"/>
      <c r="AU66" s="113" t="n">
        <f aca="false">IF(AU64=0,0,AU65/AU64)</f>
        <v>-0.0298063714882487</v>
      </c>
      <c r="AX66" s="108" t="s">
        <v>173</v>
      </c>
      <c r="AY66" s="111"/>
      <c r="AZ66" s="111"/>
      <c r="BA66" s="111"/>
      <c r="BC66" s="113" t="n">
        <f aca="false">IF(BC64=0,0,BC65/BC64)</f>
        <v>-0.0333345960074245</v>
      </c>
      <c r="BF66" s="108" t="s">
        <v>173</v>
      </c>
      <c r="BG66" s="111"/>
      <c r="BH66" s="111"/>
      <c r="BI66" s="111"/>
      <c r="BK66" s="113" t="n">
        <f aca="false">IF(BK64=0,0,BK65/BK64)</f>
        <v>-0.0131926121372033</v>
      </c>
    </row>
    <row r="68" customFormat="false" ht="13.5" hidden="false" customHeight="false" outlineLevel="0" collapsed="false">
      <c r="A68" s="77" t="s">
        <v>166</v>
      </c>
      <c r="B68" s="77" t="s">
        <v>188</v>
      </c>
      <c r="I68" s="77" t="s">
        <v>166</v>
      </c>
      <c r="J68" s="77" t="s">
        <v>188</v>
      </c>
      <c r="Q68" s="77" t="s">
        <v>166</v>
      </c>
      <c r="R68" s="77" t="s">
        <v>188</v>
      </c>
      <c r="Y68" s="77" t="s">
        <v>166</v>
      </c>
      <c r="Z68" s="77" t="s">
        <v>188</v>
      </c>
      <c r="AG68" s="77" t="s">
        <v>166</v>
      </c>
      <c r="AH68" s="77" t="s">
        <v>188</v>
      </c>
      <c r="AO68" s="77" t="s">
        <v>166</v>
      </c>
      <c r="AP68" s="77" t="s">
        <v>188</v>
      </c>
      <c r="AW68" s="77" t="s">
        <v>166</v>
      </c>
      <c r="AX68" s="77" t="s">
        <v>188</v>
      </c>
      <c r="BE68" s="77" t="s">
        <v>166</v>
      </c>
      <c r="BF68" s="77" t="s">
        <v>188</v>
      </c>
    </row>
    <row r="69" customFormat="false" ht="13.5" hidden="false" customHeight="false" outlineLevel="0" collapsed="false">
      <c r="B69" s="143" t="s">
        <v>189</v>
      </c>
      <c r="G69" s="112" t="n">
        <f aca="false">G58</f>
        <v>666.61</v>
      </c>
      <c r="J69" s="143" t="s">
        <v>189</v>
      </c>
      <c r="O69" s="112" t="n">
        <f aca="false">O58</f>
        <v>338.835</v>
      </c>
      <c r="R69" s="143" t="s">
        <v>189</v>
      </c>
      <c r="W69" s="112" t="n">
        <f aca="false">W58</f>
        <v>189.855</v>
      </c>
      <c r="Z69" s="143" t="s">
        <v>189</v>
      </c>
      <c r="AE69" s="112" t="n">
        <f aca="false">AE58</f>
        <v>182.58</v>
      </c>
      <c r="AH69" s="143" t="s">
        <v>189</v>
      </c>
      <c r="AM69" s="112" t="n">
        <f aca="false">AM58</f>
        <v>225.045</v>
      </c>
      <c r="AP69" s="143" t="s">
        <v>189</v>
      </c>
      <c r="AU69" s="112" t="n">
        <f aca="false">AU58</f>
        <v>289.485</v>
      </c>
      <c r="AX69" s="143" t="s">
        <v>189</v>
      </c>
      <c r="BC69" s="112" t="n">
        <f aca="false">BC58</f>
        <v>294.06</v>
      </c>
      <c r="BF69" s="143" t="s">
        <v>189</v>
      </c>
      <c r="BK69" s="112" t="n">
        <f aca="false">BK58</f>
        <v>162.72</v>
      </c>
    </row>
    <row r="70" customFormat="false" ht="13.5" hidden="false" customHeight="false" outlineLevel="0" collapsed="false">
      <c r="B70" s="144" t="s">
        <v>190</v>
      </c>
      <c r="J70" s="144" t="s">
        <v>190</v>
      </c>
      <c r="R70" s="144" t="s">
        <v>190</v>
      </c>
      <c r="Z70" s="144" t="s">
        <v>190</v>
      </c>
      <c r="AH70" s="144" t="s">
        <v>190</v>
      </c>
      <c r="AP70" s="144" t="s">
        <v>190</v>
      </c>
      <c r="AX70" s="144" t="s">
        <v>190</v>
      </c>
      <c r="BF70" s="144" t="s">
        <v>190</v>
      </c>
    </row>
  </sheetData>
  <mergeCells count="24">
    <mergeCell ref="A1:G1"/>
    <mergeCell ref="I1:O1"/>
    <mergeCell ref="Q1:W1"/>
    <mergeCell ref="Y1:AE1"/>
    <mergeCell ref="AG1:AM1"/>
    <mergeCell ref="AO1:AU1"/>
    <mergeCell ref="AW1:BC1"/>
    <mergeCell ref="BE1:BK1"/>
    <mergeCell ref="A3:G3"/>
    <mergeCell ref="I3:O3"/>
    <mergeCell ref="Q3:W3"/>
    <mergeCell ref="Y3:AE3"/>
    <mergeCell ref="AG3:AM3"/>
    <mergeCell ref="AO3:AU3"/>
    <mergeCell ref="AW3:BC3"/>
    <mergeCell ref="BE3:BK3"/>
    <mergeCell ref="A32:G32"/>
    <mergeCell ref="I32:O32"/>
    <mergeCell ref="Q32:W32"/>
    <mergeCell ref="Y32:AE32"/>
    <mergeCell ref="AG32:AM32"/>
    <mergeCell ref="AO32:AU32"/>
    <mergeCell ref="AW32:BC32"/>
    <mergeCell ref="BE32:BK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E5A2"/>
    <pageSetUpPr fitToPage="false"/>
  </sheetPr>
  <dimension ref="A1:B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0234375" defaultRowHeight="13.5" zeroHeight="false" outlineLevelRow="0" outlineLevelCol="0"/>
  <cols>
    <col collapsed="false" customWidth="false" hidden="false" outlineLevel="0" max="1" min="1" style="80" width="8.9"/>
    <col collapsed="false" customWidth="true" hidden="false" outlineLevel="0" max="2" min="2" style="80" width="22.4"/>
    <col collapsed="false" customWidth="false" hidden="false" outlineLevel="0" max="5" min="3" style="80" width="8.9"/>
    <col collapsed="false" customWidth="true" hidden="false" outlineLevel="0" max="6" min="6" style="81" width="12.8"/>
    <col collapsed="false" customWidth="false" hidden="false" outlineLevel="0" max="9" min="7" style="80" width="8.9"/>
    <col collapsed="false" customWidth="true" hidden="false" outlineLevel="0" max="10" min="10" style="80" width="22.4"/>
    <col collapsed="false" customWidth="false" hidden="false" outlineLevel="0" max="13" min="11" style="80" width="8.9"/>
    <col collapsed="false" customWidth="true" hidden="false" outlineLevel="0" max="14" min="14" style="81" width="14.8"/>
    <col collapsed="false" customWidth="false" hidden="false" outlineLevel="0" max="17" min="15" style="80" width="8.9"/>
    <col collapsed="false" customWidth="true" hidden="false" outlineLevel="0" max="18" min="18" style="80" width="22.4"/>
    <col collapsed="false" customWidth="false" hidden="false" outlineLevel="0" max="21" min="19" style="80" width="8.9"/>
    <col collapsed="false" customWidth="true" hidden="false" outlineLevel="0" max="22" min="22" style="81" width="11.7"/>
    <col collapsed="false" customWidth="false" hidden="false" outlineLevel="0" max="25" min="23" style="80" width="8.9"/>
    <col collapsed="false" customWidth="true" hidden="false" outlineLevel="0" max="26" min="26" style="80" width="15.4"/>
    <col collapsed="false" customWidth="false" hidden="false" outlineLevel="0" max="29" min="27" style="80" width="8.9"/>
    <col collapsed="false" customWidth="true" hidden="false" outlineLevel="0" max="30" min="30" style="81" width="10.4"/>
    <col collapsed="false" customWidth="false" hidden="false" outlineLevel="0" max="33" min="31" style="80" width="8.9"/>
    <col collapsed="false" customWidth="true" hidden="false" outlineLevel="0" max="34" min="34" style="80" width="15.4"/>
    <col collapsed="false" customWidth="false" hidden="false" outlineLevel="0" max="37" min="35" style="80" width="8.9"/>
    <col collapsed="false" customWidth="true" hidden="false" outlineLevel="0" max="38" min="38" style="81" width="12.4"/>
    <col collapsed="false" customWidth="false" hidden="false" outlineLevel="0" max="41" min="39" style="80" width="8.9"/>
    <col collapsed="false" customWidth="true" hidden="false" outlineLevel="0" max="42" min="42" style="80" width="22.4"/>
    <col collapsed="false" customWidth="false" hidden="false" outlineLevel="0" max="45" min="43" style="80" width="8.9"/>
    <col collapsed="false" customWidth="true" hidden="false" outlineLevel="0" max="46" min="46" style="81" width="9.7"/>
    <col collapsed="false" customWidth="false" hidden="false" outlineLevel="0" max="49" min="47" style="80" width="8.9"/>
    <col collapsed="false" customWidth="true" hidden="false" outlineLevel="0" max="50" min="50" style="80" width="22.4"/>
    <col collapsed="false" customWidth="false" hidden="false" outlineLevel="0" max="53" min="51" style="80" width="8.9"/>
    <col collapsed="false" customWidth="true" hidden="false" outlineLevel="0" max="54" min="54" style="81" width="11.9"/>
    <col collapsed="false" customWidth="false" hidden="false" outlineLevel="0" max="57" min="55" style="80" width="8.9"/>
    <col collapsed="false" customWidth="true" hidden="false" outlineLevel="0" max="58" min="58" style="80" width="22.4"/>
    <col collapsed="false" customWidth="false" hidden="false" outlineLevel="0" max="61" min="59" style="80" width="8.9"/>
    <col collapsed="false" customWidth="true" hidden="false" outlineLevel="0" max="62" min="62" style="81" width="12.4"/>
    <col collapsed="false" customWidth="false" hidden="false" outlineLevel="0" max="16384" min="63" style="80" width="8.9"/>
  </cols>
  <sheetData>
    <row r="1" s="146" customFormat="true" ht="14.25" hidden="false" customHeight="true" outlineLevel="0" collapsed="false">
      <c r="A1" s="145" t="s">
        <v>191</v>
      </c>
      <c r="B1" s="145"/>
      <c r="C1" s="145"/>
      <c r="D1" s="145"/>
      <c r="E1" s="145"/>
      <c r="F1" s="145"/>
      <c r="G1" s="145"/>
      <c r="I1" s="145" t="s">
        <v>192</v>
      </c>
      <c r="J1" s="145"/>
      <c r="K1" s="145"/>
      <c r="L1" s="145"/>
      <c r="M1" s="145"/>
      <c r="N1" s="145"/>
      <c r="O1" s="145"/>
      <c r="Q1" s="145" t="s">
        <v>193</v>
      </c>
      <c r="R1" s="145"/>
      <c r="S1" s="145"/>
      <c r="T1" s="145"/>
      <c r="U1" s="145"/>
      <c r="V1" s="145"/>
      <c r="W1" s="145"/>
      <c r="Y1" s="145" t="s">
        <v>194</v>
      </c>
      <c r="Z1" s="145"/>
      <c r="AA1" s="145"/>
      <c r="AB1" s="145"/>
      <c r="AC1" s="145"/>
      <c r="AD1" s="145"/>
      <c r="AE1" s="145"/>
      <c r="AG1" s="145" t="s">
        <v>195</v>
      </c>
      <c r="AH1" s="145"/>
      <c r="AI1" s="145"/>
      <c r="AJ1" s="145"/>
      <c r="AK1" s="145"/>
      <c r="AL1" s="145"/>
      <c r="AM1" s="145"/>
      <c r="AO1" s="145" t="s">
        <v>196</v>
      </c>
      <c r="AP1" s="145"/>
      <c r="AQ1" s="145"/>
      <c r="AR1" s="145"/>
      <c r="AS1" s="145"/>
      <c r="AT1" s="145"/>
      <c r="AU1" s="145"/>
      <c r="AW1" s="145" t="s">
        <v>197</v>
      </c>
      <c r="AX1" s="145"/>
      <c r="AY1" s="145"/>
      <c r="AZ1" s="145"/>
      <c r="BA1" s="145"/>
      <c r="BB1" s="145"/>
      <c r="BC1" s="145"/>
      <c r="BE1" s="145" t="s">
        <v>198</v>
      </c>
      <c r="BF1" s="145"/>
      <c r="BG1" s="145"/>
      <c r="BH1" s="145"/>
      <c r="BI1" s="145"/>
      <c r="BJ1" s="145"/>
      <c r="BK1" s="145"/>
    </row>
    <row r="2" s="87" customFormat="true" ht="43.5" hidden="false" customHeight="true" outlineLevel="0" collapsed="false">
      <c r="A2" s="83" t="s">
        <v>131</v>
      </c>
      <c r="B2" s="84" t="s">
        <v>132</v>
      </c>
      <c r="C2" s="84" t="s">
        <v>133</v>
      </c>
      <c r="D2" s="84" t="s">
        <v>134</v>
      </c>
      <c r="E2" s="84" t="s">
        <v>135</v>
      </c>
      <c r="F2" s="85" t="s">
        <v>136</v>
      </c>
      <c r="G2" s="86" t="s">
        <v>137</v>
      </c>
      <c r="I2" s="83" t="s">
        <v>131</v>
      </c>
      <c r="J2" s="84" t="s">
        <v>132</v>
      </c>
      <c r="K2" s="84" t="s">
        <v>133</v>
      </c>
      <c r="L2" s="84" t="s">
        <v>134</v>
      </c>
      <c r="M2" s="84" t="s">
        <v>135</v>
      </c>
      <c r="N2" s="85" t="s">
        <v>136</v>
      </c>
      <c r="O2" s="86" t="s">
        <v>137</v>
      </c>
      <c r="Q2" s="83" t="s">
        <v>131</v>
      </c>
      <c r="R2" s="84" t="s">
        <v>132</v>
      </c>
      <c r="S2" s="84" t="s">
        <v>133</v>
      </c>
      <c r="T2" s="84" t="s">
        <v>134</v>
      </c>
      <c r="U2" s="84" t="s">
        <v>135</v>
      </c>
      <c r="V2" s="85" t="s">
        <v>136</v>
      </c>
      <c r="W2" s="86" t="s">
        <v>137</v>
      </c>
      <c r="Y2" s="83" t="s">
        <v>131</v>
      </c>
      <c r="Z2" s="84" t="s">
        <v>132</v>
      </c>
      <c r="AA2" s="84" t="s">
        <v>133</v>
      </c>
      <c r="AB2" s="84" t="s">
        <v>134</v>
      </c>
      <c r="AC2" s="84" t="s">
        <v>135</v>
      </c>
      <c r="AD2" s="85" t="s">
        <v>136</v>
      </c>
      <c r="AE2" s="86" t="s">
        <v>137</v>
      </c>
      <c r="AG2" s="83" t="s">
        <v>131</v>
      </c>
      <c r="AH2" s="84" t="s">
        <v>132</v>
      </c>
      <c r="AI2" s="84" t="s">
        <v>133</v>
      </c>
      <c r="AJ2" s="84" t="s">
        <v>134</v>
      </c>
      <c r="AK2" s="84" t="s">
        <v>135</v>
      </c>
      <c r="AL2" s="85" t="s">
        <v>136</v>
      </c>
      <c r="AM2" s="86" t="s">
        <v>137</v>
      </c>
      <c r="AO2" s="83" t="s">
        <v>131</v>
      </c>
      <c r="AP2" s="84" t="s">
        <v>132</v>
      </c>
      <c r="AQ2" s="84" t="s">
        <v>133</v>
      </c>
      <c r="AR2" s="84" t="s">
        <v>134</v>
      </c>
      <c r="AS2" s="84" t="s">
        <v>135</v>
      </c>
      <c r="AT2" s="85" t="s">
        <v>136</v>
      </c>
      <c r="AU2" s="86" t="s">
        <v>137</v>
      </c>
      <c r="AW2" s="83" t="s">
        <v>131</v>
      </c>
      <c r="AX2" s="84" t="s">
        <v>132</v>
      </c>
      <c r="AY2" s="84" t="s">
        <v>133</v>
      </c>
      <c r="AZ2" s="84" t="s">
        <v>134</v>
      </c>
      <c r="BA2" s="84" t="s">
        <v>135</v>
      </c>
      <c r="BB2" s="85" t="s">
        <v>136</v>
      </c>
      <c r="BC2" s="86" t="s">
        <v>137</v>
      </c>
      <c r="BE2" s="83" t="s">
        <v>131</v>
      </c>
      <c r="BF2" s="84" t="s">
        <v>132</v>
      </c>
      <c r="BG2" s="84" t="s">
        <v>133</v>
      </c>
      <c r="BH2" s="84" t="s">
        <v>134</v>
      </c>
      <c r="BI2" s="84" t="s">
        <v>135</v>
      </c>
      <c r="BJ2" s="85" t="s">
        <v>136</v>
      </c>
      <c r="BK2" s="86" t="s">
        <v>137</v>
      </c>
    </row>
    <row r="3" customFormat="false" ht="13.5" hidden="false" customHeight="false" outlineLevel="0" collapsed="false">
      <c r="A3" s="88"/>
      <c r="B3" s="89"/>
      <c r="C3" s="89"/>
      <c r="D3" s="89"/>
      <c r="E3" s="89"/>
      <c r="F3" s="90"/>
      <c r="G3" s="91"/>
      <c r="I3" s="88"/>
      <c r="J3" s="89"/>
      <c r="K3" s="89"/>
      <c r="L3" s="89"/>
      <c r="M3" s="89"/>
      <c r="N3" s="90"/>
      <c r="O3" s="91"/>
      <c r="Q3" s="88"/>
      <c r="R3" s="89"/>
      <c r="S3" s="89"/>
      <c r="T3" s="89"/>
      <c r="U3" s="89"/>
      <c r="V3" s="90"/>
      <c r="W3" s="91"/>
      <c r="Y3" s="88"/>
      <c r="Z3" s="89"/>
      <c r="AA3" s="89"/>
      <c r="AB3" s="89"/>
      <c r="AC3" s="89"/>
      <c r="AD3" s="90"/>
      <c r="AE3" s="91"/>
      <c r="AG3" s="88"/>
      <c r="AH3" s="89"/>
      <c r="AI3" s="89"/>
      <c r="AJ3" s="89"/>
      <c r="AK3" s="89"/>
      <c r="AL3" s="90"/>
      <c r="AM3" s="91"/>
      <c r="AO3" s="88"/>
      <c r="AP3" s="89"/>
      <c r="AQ3" s="89"/>
      <c r="AR3" s="89"/>
      <c r="AS3" s="89"/>
      <c r="AT3" s="90"/>
      <c r="AU3" s="91"/>
      <c r="AW3" s="88"/>
      <c r="AX3" s="89"/>
      <c r="AY3" s="89"/>
      <c r="AZ3" s="89"/>
      <c r="BA3" s="89"/>
      <c r="BB3" s="90"/>
      <c r="BC3" s="91"/>
      <c r="BE3" s="88"/>
      <c r="BF3" s="89"/>
      <c r="BG3" s="89"/>
      <c r="BH3" s="89"/>
      <c r="BI3" s="89"/>
      <c r="BJ3" s="90"/>
      <c r="BK3" s="91"/>
    </row>
    <row r="4" customFormat="false" ht="13.5" hidden="false" customHeight="false" outlineLevel="0" collapsed="false">
      <c r="A4" s="88"/>
      <c r="B4" s="89"/>
      <c r="C4" s="89"/>
      <c r="D4" s="89"/>
      <c r="E4" s="89"/>
      <c r="F4" s="90"/>
      <c r="G4" s="91"/>
      <c r="I4" s="88"/>
      <c r="J4" s="89"/>
      <c r="K4" s="89"/>
      <c r="L4" s="89"/>
      <c r="M4" s="89"/>
      <c r="N4" s="90"/>
      <c r="O4" s="91"/>
      <c r="Q4" s="88"/>
      <c r="R4" s="89"/>
      <c r="S4" s="89"/>
      <c r="T4" s="89"/>
      <c r="U4" s="89"/>
      <c r="V4" s="90"/>
      <c r="W4" s="91"/>
      <c r="Y4" s="88"/>
      <c r="Z4" s="89"/>
      <c r="AA4" s="89"/>
      <c r="AB4" s="89"/>
      <c r="AC4" s="89"/>
      <c r="AD4" s="90"/>
      <c r="AE4" s="91"/>
      <c r="AG4" s="88"/>
      <c r="AH4" s="89"/>
      <c r="AI4" s="89"/>
      <c r="AJ4" s="89"/>
      <c r="AK4" s="89"/>
      <c r="AL4" s="90"/>
      <c r="AM4" s="91"/>
      <c r="AO4" s="88"/>
      <c r="AP4" s="89"/>
      <c r="AQ4" s="89"/>
      <c r="AR4" s="89"/>
      <c r="AS4" s="89"/>
      <c r="AT4" s="90"/>
      <c r="AU4" s="91"/>
      <c r="AW4" s="88"/>
      <c r="AX4" s="89"/>
      <c r="AY4" s="89"/>
      <c r="AZ4" s="89"/>
      <c r="BA4" s="89"/>
      <c r="BB4" s="90"/>
      <c r="BC4" s="91"/>
      <c r="BE4" s="88"/>
      <c r="BF4" s="89"/>
      <c r="BG4" s="89"/>
      <c r="BH4" s="89"/>
      <c r="BI4" s="89"/>
      <c r="BJ4" s="90"/>
      <c r="BK4" s="91"/>
    </row>
    <row r="5" customFormat="false" ht="13.5" hidden="false" customHeight="false" outlineLevel="0" collapsed="false">
      <c r="A5" s="92"/>
      <c r="B5" s="89"/>
      <c r="C5" s="89"/>
      <c r="D5" s="89"/>
      <c r="E5" s="89" t="n">
        <f aca="false">'BLOCK WORK'!E4</f>
        <v>4.45</v>
      </c>
      <c r="F5" s="90"/>
      <c r="G5" s="91"/>
      <c r="I5" s="88"/>
      <c r="J5" s="89"/>
      <c r="K5" s="89"/>
      <c r="L5" s="89"/>
      <c r="M5" s="89" t="n">
        <f aca="false">'BLOCK WORK'!M4</f>
        <v>4.5</v>
      </c>
      <c r="N5" s="90"/>
      <c r="O5" s="91"/>
      <c r="Q5" s="88"/>
      <c r="R5" s="89"/>
      <c r="S5" s="89"/>
      <c r="T5" s="89"/>
      <c r="U5" s="89" t="n">
        <f aca="false">'BLOCK WORK'!U4</f>
        <v>3.3</v>
      </c>
      <c r="V5" s="90"/>
      <c r="W5" s="91"/>
      <c r="Y5" s="88"/>
      <c r="Z5" s="89"/>
      <c r="AA5" s="89" t="n">
        <v>1</v>
      </c>
      <c r="AB5" s="89" t="n">
        <v>95.6</v>
      </c>
      <c r="AC5" s="89" t="n">
        <f aca="false">'BLOCK WORK'!AC4</f>
        <v>3.3</v>
      </c>
      <c r="AD5" s="90"/>
      <c r="AE5" s="91" t="n">
        <f aca="false">AA5*AB5*AC5</f>
        <v>315.48</v>
      </c>
      <c r="AG5" s="88"/>
      <c r="AH5" s="89"/>
      <c r="AI5" s="89" t="n">
        <v>1</v>
      </c>
      <c r="AJ5" s="89" t="n">
        <v>109</v>
      </c>
      <c r="AK5" s="89" t="n">
        <f aca="false">'BLOCK WORK'!AK4</f>
        <v>3.3</v>
      </c>
      <c r="AL5" s="90"/>
      <c r="AM5" s="91" t="n">
        <f aca="false">AI5*AJ5*AK5</f>
        <v>359.7</v>
      </c>
      <c r="AO5" s="88"/>
      <c r="AP5" s="89"/>
      <c r="AQ5" s="89" t="n">
        <v>1</v>
      </c>
      <c r="AR5" s="89" t="n">
        <v>94.5</v>
      </c>
      <c r="AS5" s="89" t="n">
        <f aca="false">'BLOCK WORK'!AS4</f>
        <v>3.3</v>
      </c>
      <c r="AT5" s="90"/>
      <c r="AU5" s="91" t="n">
        <f aca="false">AQ5*AR5*AS5</f>
        <v>311.85</v>
      </c>
      <c r="AW5" s="88"/>
      <c r="AX5" s="89"/>
      <c r="AY5" s="89"/>
      <c r="AZ5" s="89"/>
      <c r="BA5" s="89" t="n">
        <f aca="false">'BLOCK WORK'!BA4</f>
        <v>3.3</v>
      </c>
      <c r="BB5" s="90"/>
      <c r="BC5" s="91"/>
      <c r="BE5" s="88"/>
      <c r="BF5" s="89"/>
      <c r="BG5" s="89"/>
      <c r="BH5" s="89"/>
      <c r="BI5" s="89" t="n">
        <f aca="false">'BLOCK WORK'!BI4</f>
        <v>1.5</v>
      </c>
      <c r="BJ5" s="90"/>
      <c r="BK5" s="91"/>
    </row>
    <row r="6" customFormat="false" ht="13.5" hidden="false" customHeight="false" outlineLevel="0" collapsed="false">
      <c r="A6" s="92"/>
      <c r="B6" s="89"/>
      <c r="C6" s="89"/>
      <c r="D6" s="89"/>
      <c r="E6" s="89"/>
      <c r="F6" s="90"/>
      <c r="G6" s="91"/>
      <c r="I6" s="88"/>
      <c r="J6" s="89"/>
      <c r="K6" s="89"/>
      <c r="L6" s="89"/>
      <c r="M6" s="89"/>
      <c r="N6" s="90"/>
      <c r="O6" s="91"/>
      <c r="Q6" s="88"/>
      <c r="R6" s="89"/>
      <c r="S6" s="89"/>
      <c r="T6" s="89"/>
      <c r="U6" s="89"/>
      <c r="V6" s="90"/>
      <c r="W6" s="91"/>
      <c r="Y6" s="88"/>
      <c r="Z6" s="89"/>
      <c r="AA6" s="89"/>
      <c r="AB6" s="89"/>
      <c r="AC6" s="89"/>
      <c r="AD6" s="90"/>
      <c r="AE6" s="91"/>
      <c r="AG6" s="88"/>
      <c r="AH6" s="89"/>
      <c r="AI6" s="89"/>
      <c r="AJ6" s="89"/>
      <c r="AK6" s="89"/>
      <c r="AL6" s="90"/>
      <c r="AM6" s="91"/>
      <c r="AO6" s="88"/>
      <c r="AP6" s="89"/>
      <c r="AQ6" s="89"/>
      <c r="AR6" s="89"/>
      <c r="AS6" s="89"/>
      <c r="AT6" s="90"/>
      <c r="AU6" s="91"/>
      <c r="AW6" s="88"/>
      <c r="AX6" s="89"/>
      <c r="AY6" s="89"/>
      <c r="AZ6" s="89"/>
      <c r="BA6" s="89"/>
      <c r="BB6" s="90"/>
      <c r="BC6" s="91"/>
      <c r="BE6" s="88"/>
      <c r="BF6" s="89"/>
      <c r="BG6" s="89"/>
      <c r="BH6" s="89"/>
      <c r="BI6" s="89"/>
      <c r="BJ6" s="90"/>
      <c r="BK6" s="91"/>
    </row>
    <row r="7" customFormat="false" ht="13.5" hidden="false" customHeight="false" outlineLevel="0" collapsed="false">
      <c r="A7" s="92"/>
      <c r="B7" s="89"/>
      <c r="C7" s="89"/>
      <c r="D7" s="89"/>
      <c r="E7" s="89"/>
      <c r="F7" s="90"/>
      <c r="G7" s="91"/>
      <c r="I7" s="88"/>
      <c r="J7" s="89"/>
      <c r="K7" s="89"/>
      <c r="L7" s="89"/>
      <c r="M7" s="89"/>
      <c r="N7" s="90"/>
      <c r="O7" s="91"/>
      <c r="Q7" s="88"/>
      <c r="R7" s="89"/>
      <c r="S7" s="89"/>
      <c r="T7" s="89"/>
      <c r="U7" s="89"/>
      <c r="V7" s="90"/>
      <c r="W7" s="91"/>
      <c r="Y7" s="88"/>
      <c r="Z7" s="89"/>
      <c r="AA7" s="89"/>
      <c r="AB7" s="89"/>
      <c r="AC7" s="89"/>
      <c r="AD7" s="90"/>
      <c r="AE7" s="91"/>
      <c r="AG7" s="88"/>
      <c r="AH7" s="89"/>
      <c r="AI7" s="89"/>
      <c r="AJ7" s="89"/>
      <c r="AK7" s="89"/>
      <c r="AL7" s="90"/>
      <c r="AM7" s="91"/>
      <c r="AO7" s="88"/>
      <c r="AP7" s="89"/>
      <c r="AQ7" s="89"/>
      <c r="AR7" s="89"/>
      <c r="AS7" s="89"/>
      <c r="AT7" s="90"/>
      <c r="AU7" s="91"/>
      <c r="AW7" s="88"/>
      <c r="AX7" s="89"/>
      <c r="AY7" s="89"/>
      <c r="AZ7" s="89"/>
      <c r="BA7" s="89"/>
      <c r="BB7" s="90"/>
      <c r="BC7" s="91"/>
      <c r="BE7" s="88"/>
      <c r="BF7" s="89"/>
      <c r="BG7" s="89"/>
      <c r="BH7" s="89"/>
      <c r="BI7" s="89"/>
      <c r="BJ7" s="90"/>
      <c r="BK7" s="91"/>
    </row>
    <row r="8" customFormat="false" ht="14.25" hidden="false" customHeight="true" outlineLevel="0" collapsed="false">
      <c r="A8" s="93"/>
      <c r="B8" s="93"/>
      <c r="C8" s="93"/>
      <c r="D8" s="93"/>
      <c r="E8" s="93"/>
      <c r="F8" s="94"/>
      <c r="G8" s="95" t="n">
        <f aca="false">G4</f>
        <v>0</v>
      </c>
      <c r="I8" s="96"/>
      <c r="J8" s="93"/>
      <c r="K8" s="93"/>
      <c r="L8" s="93"/>
      <c r="M8" s="93"/>
      <c r="N8" s="94"/>
      <c r="O8" s="95" t="n">
        <f aca="false">O4</f>
        <v>0</v>
      </c>
      <c r="Q8" s="96"/>
      <c r="R8" s="93"/>
      <c r="S8" s="93"/>
      <c r="T8" s="93"/>
      <c r="U8" s="93"/>
      <c r="V8" s="94"/>
      <c r="W8" s="95" t="n">
        <f aca="false">W4</f>
        <v>0</v>
      </c>
      <c r="Y8" s="96"/>
      <c r="Z8" s="93"/>
      <c r="AA8" s="93"/>
      <c r="AB8" s="93"/>
      <c r="AC8" s="93"/>
      <c r="AD8" s="94"/>
      <c r="AE8" s="95" t="n">
        <f aca="false">SUM(AE5:AE7)</f>
        <v>315.48</v>
      </c>
      <c r="AG8" s="96"/>
      <c r="AH8" s="93"/>
      <c r="AI8" s="93"/>
      <c r="AJ8" s="93"/>
      <c r="AK8" s="93"/>
      <c r="AL8" s="94"/>
      <c r="AM8" s="95" t="n">
        <f aca="false">AM5</f>
        <v>359.7</v>
      </c>
      <c r="AO8" s="96"/>
      <c r="AP8" s="93"/>
      <c r="AQ8" s="93"/>
      <c r="AR8" s="93"/>
      <c r="AS8" s="93"/>
      <c r="AT8" s="94"/>
      <c r="AU8" s="95" t="n">
        <f aca="false">AU5</f>
        <v>311.85</v>
      </c>
      <c r="AW8" s="96"/>
      <c r="AX8" s="93"/>
      <c r="AY8" s="93"/>
      <c r="AZ8" s="93"/>
      <c r="BA8" s="93"/>
      <c r="BB8" s="94"/>
      <c r="BC8" s="95" t="n">
        <f aca="false">BC5</f>
        <v>0</v>
      </c>
      <c r="BE8" s="96"/>
      <c r="BF8" s="93"/>
      <c r="BG8" s="93"/>
      <c r="BH8" s="93"/>
      <c r="BI8" s="93"/>
      <c r="BJ8" s="94"/>
      <c r="BK8" s="95" t="n">
        <f aca="false">BK5</f>
        <v>0</v>
      </c>
    </row>
    <row r="9" customFormat="false" ht="14.25" hidden="false" customHeight="true" outlineLevel="0" collapsed="false"/>
    <row r="11" customFormat="false" ht="13.5" hidden="false" customHeight="false" outlineLevel="0" collapsed="false">
      <c r="A11" s="77" t="s">
        <v>166</v>
      </c>
      <c r="B11" s="77" t="s">
        <v>199</v>
      </c>
      <c r="I11" s="77" t="s">
        <v>166</v>
      </c>
      <c r="J11" s="77" t="s">
        <v>199</v>
      </c>
      <c r="Q11" s="77" t="s">
        <v>166</v>
      </c>
      <c r="R11" s="77" t="s">
        <v>199</v>
      </c>
      <c r="Y11" s="77" t="s">
        <v>166</v>
      </c>
      <c r="Z11" s="77" t="s">
        <v>199</v>
      </c>
      <c r="AG11" s="77" t="s">
        <v>166</v>
      </c>
      <c r="AH11" s="77" t="s">
        <v>199</v>
      </c>
      <c r="AO11" s="77" t="s">
        <v>166</v>
      </c>
      <c r="AP11" s="77" t="s">
        <v>199</v>
      </c>
      <c r="AW11" s="77" t="s">
        <v>166</v>
      </c>
      <c r="AX11" s="77" t="s">
        <v>199</v>
      </c>
      <c r="BE11" s="77" t="s">
        <v>166</v>
      </c>
      <c r="BF11" s="77" t="s">
        <v>199</v>
      </c>
    </row>
    <row r="12" customFormat="false" ht="13.5" hidden="false" customHeight="false" outlineLevel="0" collapsed="false">
      <c r="B12" s="108" t="s">
        <v>200</v>
      </c>
      <c r="C12" s="109" t="n">
        <v>1</v>
      </c>
      <c r="D12" s="110" t="n">
        <f aca="false">'DRAWING CHECK'!C7</f>
        <v>0</v>
      </c>
      <c r="E12" s="111" t="n">
        <f aca="false">E5</f>
        <v>4.45</v>
      </c>
      <c r="G12" s="112" t="n">
        <f aca="false">C12*D12*E12</f>
        <v>0</v>
      </c>
      <c r="J12" s="108" t="s">
        <v>200</v>
      </c>
      <c r="K12" s="109" t="n">
        <v>1</v>
      </c>
      <c r="L12" s="110" t="n">
        <f aca="false">'DRAWING CHECK'!D7</f>
        <v>0</v>
      </c>
      <c r="M12" s="111" t="n">
        <f aca="false">M5</f>
        <v>4.5</v>
      </c>
      <c r="O12" s="112" t="n">
        <f aca="false">K12*L12*M12</f>
        <v>0</v>
      </c>
      <c r="R12" s="108" t="s">
        <v>200</v>
      </c>
      <c r="S12" s="109" t="n">
        <v>1</v>
      </c>
      <c r="T12" s="110" t="n">
        <f aca="false">'DRAWING CHECK'!E7</f>
        <v>0</v>
      </c>
      <c r="U12" s="111" t="n">
        <f aca="false">U5</f>
        <v>3.3</v>
      </c>
      <c r="W12" s="112" t="n">
        <f aca="false">S12*T12*U12</f>
        <v>0</v>
      </c>
      <c r="Z12" s="108" t="s">
        <v>200</v>
      </c>
      <c r="AA12" s="109" t="n">
        <v>1</v>
      </c>
      <c r="AB12" s="110" t="n">
        <f aca="false">'DRAWING CHECK'!F7</f>
        <v>94.6</v>
      </c>
      <c r="AC12" s="111" t="n">
        <f aca="false">AC5</f>
        <v>3.3</v>
      </c>
      <c r="AE12" s="112" t="n">
        <f aca="false">AA12*AB12*AC12</f>
        <v>312.18</v>
      </c>
      <c r="AH12" s="108" t="s">
        <v>200</v>
      </c>
      <c r="AI12" s="109" t="n">
        <v>1</v>
      </c>
      <c r="AJ12" s="110" t="n">
        <f aca="false">'DRAWING CHECK'!G7</f>
        <v>108.5</v>
      </c>
      <c r="AK12" s="111" t="n">
        <f aca="false">AK5</f>
        <v>3.3</v>
      </c>
      <c r="AM12" s="112" t="n">
        <f aca="false">AI12*AJ12*AK12</f>
        <v>358.05</v>
      </c>
      <c r="AP12" s="108" t="s">
        <v>200</v>
      </c>
      <c r="AQ12" s="109" t="n">
        <v>1</v>
      </c>
      <c r="AR12" s="110" t="n">
        <f aca="false">'DRAWING CHECK'!H7</f>
        <v>72.7</v>
      </c>
      <c r="AS12" s="111" t="n">
        <f aca="false">AS5</f>
        <v>3.3</v>
      </c>
      <c r="AU12" s="112" t="n">
        <f aca="false">AQ12*AR12*AS12</f>
        <v>239.91</v>
      </c>
      <c r="AX12" s="108" t="s">
        <v>200</v>
      </c>
      <c r="AY12" s="109" t="n">
        <v>1</v>
      </c>
      <c r="AZ12" s="110" t="n">
        <f aca="false">'DRAWING CHECK'!I7</f>
        <v>0</v>
      </c>
      <c r="BA12" s="111" t="n">
        <f aca="false">BA5</f>
        <v>3.3</v>
      </c>
      <c r="BC12" s="112" t="n">
        <f aca="false">AY12*AZ12*BA12</f>
        <v>0</v>
      </c>
      <c r="BF12" s="108" t="s">
        <v>200</v>
      </c>
      <c r="BG12" s="109" t="n">
        <v>1</v>
      </c>
      <c r="BH12" s="110" t="n">
        <f aca="false">'DRAWING CHECK'!J7</f>
        <v>0</v>
      </c>
      <c r="BI12" s="111" t="n">
        <f aca="false">BI5</f>
        <v>1.5</v>
      </c>
      <c r="BK12" s="112" t="n">
        <f aca="false">BG12*BH12*BI12</f>
        <v>0</v>
      </c>
    </row>
    <row r="13" customFormat="false" ht="13.5" hidden="false" customHeight="false" outlineLevel="0" collapsed="false">
      <c r="B13" s="108" t="s">
        <v>201</v>
      </c>
      <c r="C13" s="111"/>
      <c r="D13" s="111"/>
      <c r="E13" s="111"/>
      <c r="G13" s="111" t="n">
        <f aca="false">N(G8)</f>
        <v>0</v>
      </c>
      <c r="J13" s="108" t="s">
        <v>201</v>
      </c>
      <c r="K13" s="111"/>
      <c r="L13" s="111"/>
      <c r="M13" s="111"/>
      <c r="O13" s="111" t="n">
        <f aca="false">N(O8)</f>
        <v>0</v>
      </c>
      <c r="R13" s="108" t="s">
        <v>201</v>
      </c>
      <c r="S13" s="111"/>
      <c r="T13" s="111"/>
      <c r="U13" s="111"/>
      <c r="W13" s="111" t="n">
        <f aca="false">N(W8)</f>
        <v>0</v>
      </c>
      <c r="Z13" s="108" t="s">
        <v>201</v>
      </c>
      <c r="AA13" s="111"/>
      <c r="AB13" s="111"/>
      <c r="AC13" s="111"/>
      <c r="AE13" s="111" t="n">
        <f aca="false">N(AE8)</f>
        <v>315.48</v>
      </c>
      <c r="AH13" s="108" t="s">
        <v>201</v>
      </c>
      <c r="AI13" s="111"/>
      <c r="AJ13" s="111"/>
      <c r="AK13" s="111"/>
      <c r="AM13" s="111" t="n">
        <f aca="false">N(AM8)</f>
        <v>359.7</v>
      </c>
      <c r="AP13" s="108" t="s">
        <v>201</v>
      </c>
      <c r="AQ13" s="111"/>
      <c r="AR13" s="111"/>
      <c r="AS13" s="111"/>
      <c r="AU13" s="111" t="n">
        <f aca="false">N(AU8)</f>
        <v>311.85</v>
      </c>
      <c r="AX13" s="108" t="s">
        <v>201</v>
      </c>
      <c r="AY13" s="111"/>
      <c r="AZ13" s="111"/>
      <c r="BA13" s="111"/>
      <c r="BC13" s="111" t="n">
        <f aca="false">N(BC8)</f>
        <v>0</v>
      </c>
      <c r="BF13" s="108" t="s">
        <v>201</v>
      </c>
      <c r="BG13" s="111"/>
      <c r="BH13" s="111"/>
      <c r="BI13" s="111"/>
      <c r="BK13" s="111" t="n">
        <f aca="false">N(BK8)</f>
        <v>0</v>
      </c>
    </row>
    <row r="14" customFormat="false" ht="13.5" hidden="false" customHeight="false" outlineLevel="0" collapsed="false">
      <c r="B14" s="108" t="s">
        <v>172</v>
      </c>
      <c r="C14" s="111"/>
      <c r="D14" s="111"/>
      <c r="E14" s="111"/>
      <c r="G14" s="111" t="n">
        <f aca="false">G13-G12</f>
        <v>0</v>
      </c>
      <c r="J14" s="108" t="s">
        <v>172</v>
      </c>
      <c r="K14" s="111"/>
      <c r="L14" s="111"/>
      <c r="M14" s="111"/>
      <c r="O14" s="111" t="n">
        <f aca="false">O13-O12</f>
        <v>0</v>
      </c>
      <c r="R14" s="108" t="s">
        <v>172</v>
      </c>
      <c r="S14" s="111"/>
      <c r="T14" s="111"/>
      <c r="U14" s="111"/>
      <c r="W14" s="111" t="n">
        <f aca="false">W13-W12</f>
        <v>0</v>
      </c>
      <c r="Z14" s="108" t="s">
        <v>172</v>
      </c>
      <c r="AA14" s="111"/>
      <c r="AB14" s="111"/>
      <c r="AC14" s="111"/>
      <c r="AE14" s="111" t="n">
        <f aca="false">AE13-AE12</f>
        <v>3.30000000000001</v>
      </c>
      <c r="AH14" s="108" t="s">
        <v>172</v>
      </c>
      <c r="AI14" s="111"/>
      <c r="AJ14" s="111"/>
      <c r="AK14" s="111"/>
      <c r="AM14" s="111" t="n">
        <f aca="false">AM13-AM12</f>
        <v>1.65000000000003</v>
      </c>
      <c r="AP14" s="108" t="s">
        <v>172</v>
      </c>
      <c r="AQ14" s="111"/>
      <c r="AR14" s="111"/>
      <c r="AS14" s="111"/>
      <c r="AU14" s="111" t="n">
        <f aca="false">AU13-AU12</f>
        <v>71.94</v>
      </c>
      <c r="AX14" s="108" t="s">
        <v>172</v>
      </c>
      <c r="AY14" s="111"/>
      <c r="AZ14" s="111"/>
      <c r="BA14" s="111"/>
      <c r="BC14" s="111" t="n">
        <f aca="false">BC13-BC12</f>
        <v>0</v>
      </c>
      <c r="BF14" s="108" t="s">
        <v>172</v>
      </c>
      <c r="BG14" s="111"/>
      <c r="BH14" s="111"/>
      <c r="BI14" s="111"/>
      <c r="BK14" s="111" t="n">
        <f aca="false">BK13-BK12</f>
        <v>0</v>
      </c>
    </row>
    <row r="15" customFormat="false" ht="13.5" hidden="false" customHeight="false" outlineLevel="0" collapsed="false">
      <c r="B15" s="108" t="s">
        <v>173</v>
      </c>
      <c r="C15" s="111"/>
      <c r="D15" s="111"/>
      <c r="E15" s="111"/>
      <c r="G15" s="113" t="n">
        <f aca="false">IF(G12=0,0,G14/G12)</f>
        <v>0</v>
      </c>
      <c r="J15" s="108" t="s">
        <v>173</v>
      </c>
      <c r="K15" s="111"/>
      <c r="L15" s="111"/>
      <c r="M15" s="111"/>
      <c r="O15" s="113" t="n">
        <f aca="false">IF(O12=0,0,O14/O12)</f>
        <v>0</v>
      </c>
      <c r="R15" s="108" t="s">
        <v>173</v>
      </c>
      <c r="S15" s="111"/>
      <c r="T15" s="111"/>
      <c r="U15" s="111"/>
      <c r="W15" s="113" t="n">
        <f aca="false">IF(W12=0,0,W14/W12)</f>
        <v>0</v>
      </c>
      <c r="Z15" s="108" t="s">
        <v>173</v>
      </c>
      <c r="AA15" s="111"/>
      <c r="AB15" s="111"/>
      <c r="AC15" s="111"/>
      <c r="AE15" s="113" t="n">
        <f aca="false">IF(AE12=0,0,AE14/AE12)</f>
        <v>0.0105708245243129</v>
      </c>
      <c r="AH15" s="108" t="s">
        <v>173</v>
      </c>
      <c r="AI15" s="111"/>
      <c r="AJ15" s="111"/>
      <c r="AK15" s="111"/>
      <c r="AM15" s="113" t="n">
        <f aca="false">IF(AM12=0,0,AM14/AM12)</f>
        <v>0.00460829493087567</v>
      </c>
      <c r="AP15" s="108" t="s">
        <v>173</v>
      </c>
      <c r="AQ15" s="111"/>
      <c r="AR15" s="111"/>
      <c r="AS15" s="111"/>
      <c r="AU15" s="113" t="n">
        <f aca="false">IF(AU12=0,0,AU14/AU12)</f>
        <v>0.299862448418157</v>
      </c>
      <c r="AX15" s="108" t="s">
        <v>173</v>
      </c>
      <c r="AY15" s="111"/>
      <c r="AZ15" s="111"/>
      <c r="BA15" s="111"/>
      <c r="BC15" s="113" t="n">
        <f aca="false">IF(BC12=0,0,BC14/BC12)</f>
        <v>0</v>
      </c>
      <c r="BF15" s="108" t="s">
        <v>173</v>
      </c>
      <c r="BG15" s="111"/>
      <c r="BH15" s="111"/>
      <c r="BI15" s="111"/>
      <c r="BK15" s="113" t="n">
        <f aca="false">IF(BK12=0,0,BK14/BK12)</f>
        <v>0</v>
      </c>
    </row>
  </sheetData>
  <mergeCells count="8">
    <mergeCell ref="A1:G1"/>
    <mergeCell ref="I1:O1"/>
    <mergeCell ref="Q1:W1"/>
    <mergeCell ref="Y1:AE1"/>
    <mergeCell ref="AG1:AM1"/>
    <mergeCell ref="AO1:AU1"/>
    <mergeCell ref="AW1:BC1"/>
    <mergeCell ref="BE1:BK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B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0234375" defaultRowHeight="13.5" zeroHeight="false" outlineLevelRow="0" outlineLevelCol="0"/>
  <cols>
    <col collapsed="false" customWidth="false" hidden="false" outlineLevel="0" max="1" min="1" style="80" width="8.9"/>
    <col collapsed="false" customWidth="true" hidden="false" outlineLevel="0" max="2" min="2" style="80" width="22.4"/>
    <col collapsed="false" customWidth="false" hidden="false" outlineLevel="0" max="5" min="3" style="80" width="8.9"/>
    <col collapsed="false" customWidth="true" hidden="false" outlineLevel="0" max="6" min="6" style="81" width="12.8"/>
    <col collapsed="false" customWidth="false" hidden="false" outlineLevel="0" max="9" min="7" style="80" width="8.9"/>
    <col collapsed="false" customWidth="true" hidden="false" outlineLevel="0" max="10" min="10" style="80" width="22.4"/>
    <col collapsed="false" customWidth="false" hidden="false" outlineLevel="0" max="13" min="11" style="80" width="8.9"/>
    <col collapsed="false" customWidth="true" hidden="false" outlineLevel="0" max="14" min="14" style="81" width="14.8"/>
    <col collapsed="false" customWidth="false" hidden="false" outlineLevel="0" max="17" min="15" style="80" width="8.9"/>
    <col collapsed="false" customWidth="true" hidden="false" outlineLevel="0" max="18" min="18" style="80" width="22.4"/>
    <col collapsed="false" customWidth="false" hidden="false" outlineLevel="0" max="21" min="19" style="80" width="8.9"/>
    <col collapsed="false" customWidth="true" hidden="false" outlineLevel="0" max="22" min="22" style="81" width="11.7"/>
    <col collapsed="false" customWidth="false" hidden="false" outlineLevel="0" max="25" min="23" style="80" width="8.9"/>
    <col collapsed="false" customWidth="true" hidden="false" outlineLevel="0" max="26" min="26" style="80" width="15.4"/>
    <col collapsed="false" customWidth="false" hidden="false" outlineLevel="0" max="29" min="27" style="80" width="8.9"/>
    <col collapsed="false" customWidth="true" hidden="false" outlineLevel="0" max="30" min="30" style="81" width="10.4"/>
    <col collapsed="false" customWidth="false" hidden="false" outlineLevel="0" max="33" min="31" style="80" width="8.9"/>
    <col collapsed="false" customWidth="true" hidden="false" outlineLevel="0" max="34" min="34" style="80" width="15.4"/>
    <col collapsed="false" customWidth="false" hidden="false" outlineLevel="0" max="37" min="35" style="80" width="8.9"/>
    <col collapsed="false" customWidth="true" hidden="false" outlineLevel="0" max="38" min="38" style="81" width="12.4"/>
    <col collapsed="false" customWidth="false" hidden="false" outlineLevel="0" max="41" min="39" style="80" width="8.9"/>
    <col collapsed="false" customWidth="true" hidden="false" outlineLevel="0" max="42" min="42" style="80" width="22.4"/>
    <col collapsed="false" customWidth="false" hidden="false" outlineLevel="0" max="45" min="43" style="80" width="8.9"/>
    <col collapsed="false" customWidth="true" hidden="false" outlineLevel="0" max="46" min="46" style="81" width="9.7"/>
    <col collapsed="false" customWidth="false" hidden="false" outlineLevel="0" max="49" min="47" style="80" width="8.9"/>
    <col collapsed="false" customWidth="true" hidden="false" outlineLevel="0" max="50" min="50" style="80" width="22.4"/>
    <col collapsed="false" customWidth="false" hidden="false" outlineLevel="0" max="53" min="51" style="80" width="8.9"/>
    <col collapsed="false" customWidth="true" hidden="false" outlineLevel="0" max="54" min="54" style="81" width="11.9"/>
    <col collapsed="false" customWidth="false" hidden="false" outlineLevel="0" max="57" min="55" style="80" width="8.9"/>
    <col collapsed="false" customWidth="true" hidden="false" outlineLevel="0" max="58" min="58" style="80" width="22.4"/>
    <col collapsed="false" customWidth="false" hidden="false" outlineLevel="0" max="61" min="59" style="80" width="8.9"/>
    <col collapsed="false" customWidth="true" hidden="false" outlineLevel="0" max="62" min="62" style="81" width="12.4"/>
    <col collapsed="false" customWidth="false" hidden="false" outlineLevel="0" max="16384" min="63" style="80" width="8.9"/>
  </cols>
  <sheetData>
    <row r="1" s="146" customFormat="true" ht="14.25" hidden="false" customHeight="true" outlineLevel="0" collapsed="false">
      <c r="A1" s="145" t="s">
        <v>191</v>
      </c>
      <c r="B1" s="145"/>
      <c r="C1" s="145"/>
      <c r="D1" s="145"/>
      <c r="E1" s="145"/>
      <c r="F1" s="145"/>
      <c r="G1" s="145"/>
      <c r="I1" s="145" t="s">
        <v>192</v>
      </c>
      <c r="J1" s="145"/>
      <c r="K1" s="145"/>
      <c r="L1" s="145"/>
      <c r="M1" s="145"/>
      <c r="N1" s="145"/>
      <c r="O1" s="145"/>
      <c r="Q1" s="145" t="s">
        <v>193</v>
      </c>
      <c r="R1" s="145"/>
      <c r="S1" s="145"/>
      <c r="T1" s="145"/>
      <c r="U1" s="145"/>
      <c r="V1" s="145"/>
      <c r="W1" s="145"/>
      <c r="Y1" s="145" t="s">
        <v>194</v>
      </c>
      <c r="Z1" s="145"/>
      <c r="AA1" s="145"/>
      <c r="AB1" s="145"/>
      <c r="AC1" s="145"/>
      <c r="AD1" s="145"/>
      <c r="AE1" s="145"/>
      <c r="AG1" s="145" t="s">
        <v>195</v>
      </c>
      <c r="AH1" s="145"/>
      <c r="AI1" s="145"/>
      <c r="AJ1" s="145"/>
      <c r="AK1" s="145"/>
      <c r="AL1" s="145"/>
      <c r="AM1" s="145"/>
      <c r="AO1" s="145" t="s">
        <v>196</v>
      </c>
      <c r="AP1" s="145"/>
      <c r="AQ1" s="145"/>
      <c r="AR1" s="145"/>
      <c r="AS1" s="145"/>
      <c r="AT1" s="145"/>
      <c r="AU1" s="145"/>
      <c r="AW1" s="145" t="s">
        <v>197</v>
      </c>
      <c r="AX1" s="145"/>
      <c r="AY1" s="145"/>
      <c r="AZ1" s="145"/>
      <c r="BA1" s="145"/>
      <c r="BB1" s="145"/>
      <c r="BC1" s="145"/>
      <c r="BE1" s="145" t="s">
        <v>198</v>
      </c>
      <c r="BF1" s="145"/>
      <c r="BG1" s="145"/>
      <c r="BH1" s="145"/>
      <c r="BI1" s="145"/>
      <c r="BJ1" s="145"/>
      <c r="BK1" s="145"/>
    </row>
    <row r="2" s="87" customFormat="true" ht="43.5" hidden="false" customHeight="true" outlineLevel="0" collapsed="false">
      <c r="A2" s="83" t="s">
        <v>131</v>
      </c>
      <c r="B2" s="84" t="s">
        <v>132</v>
      </c>
      <c r="C2" s="84" t="s">
        <v>133</v>
      </c>
      <c r="D2" s="84" t="s">
        <v>134</v>
      </c>
      <c r="E2" s="84" t="s">
        <v>135</v>
      </c>
      <c r="F2" s="85" t="s">
        <v>136</v>
      </c>
      <c r="G2" s="86" t="s">
        <v>137</v>
      </c>
      <c r="I2" s="83" t="s">
        <v>131</v>
      </c>
      <c r="J2" s="84" t="s">
        <v>132</v>
      </c>
      <c r="K2" s="84" t="s">
        <v>133</v>
      </c>
      <c r="L2" s="84" t="s">
        <v>134</v>
      </c>
      <c r="M2" s="84" t="s">
        <v>135</v>
      </c>
      <c r="N2" s="85" t="s">
        <v>136</v>
      </c>
      <c r="O2" s="86" t="s">
        <v>137</v>
      </c>
      <c r="Q2" s="83" t="s">
        <v>131</v>
      </c>
      <c r="R2" s="84" t="s">
        <v>132</v>
      </c>
      <c r="S2" s="84" t="s">
        <v>133</v>
      </c>
      <c r="T2" s="84" t="s">
        <v>134</v>
      </c>
      <c r="U2" s="84" t="s">
        <v>135</v>
      </c>
      <c r="V2" s="85" t="s">
        <v>136</v>
      </c>
      <c r="W2" s="86" t="s">
        <v>137</v>
      </c>
      <c r="Y2" s="83" t="s">
        <v>131</v>
      </c>
      <c r="Z2" s="84" t="s">
        <v>132</v>
      </c>
      <c r="AA2" s="84" t="s">
        <v>133</v>
      </c>
      <c r="AB2" s="84" t="s">
        <v>134</v>
      </c>
      <c r="AC2" s="84" t="s">
        <v>135</v>
      </c>
      <c r="AD2" s="85" t="s">
        <v>136</v>
      </c>
      <c r="AE2" s="86" t="s">
        <v>137</v>
      </c>
      <c r="AG2" s="83" t="s">
        <v>131</v>
      </c>
      <c r="AH2" s="84" t="s">
        <v>132</v>
      </c>
      <c r="AI2" s="84" t="s">
        <v>133</v>
      </c>
      <c r="AJ2" s="84" t="s">
        <v>134</v>
      </c>
      <c r="AK2" s="84" t="s">
        <v>135</v>
      </c>
      <c r="AL2" s="85" t="s">
        <v>136</v>
      </c>
      <c r="AM2" s="86" t="s">
        <v>137</v>
      </c>
      <c r="AO2" s="83" t="s">
        <v>131</v>
      </c>
      <c r="AP2" s="84" t="s">
        <v>132</v>
      </c>
      <c r="AQ2" s="84" t="s">
        <v>133</v>
      </c>
      <c r="AR2" s="84" t="s">
        <v>134</v>
      </c>
      <c r="AS2" s="84" t="s">
        <v>135</v>
      </c>
      <c r="AT2" s="85" t="s">
        <v>136</v>
      </c>
      <c r="AU2" s="86" t="s">
        <v>137</v>
      </c>
      <c r="AW2" s="83" t="s">
        <v>131</v>
      </c>
      <c r="AX2" s="84" t="s">
        <v>132</v>
      </c>
      <c r="AY2" s="84" t="s">
        <v>133</v>
      </c>
      <c r="AZ2" s="84" t="s">
        <v>134</v>
      </c>
      <c r="BA2" s="84" t="s">
        <v>135</v>
      </c>
      <c r="BB2" s="85" t="s">
        <v>136</v>
      </c>
      <c r="BC2" s="86" t="s">
        <v>137</v>
      </c>
      <c r="BE2" s="83" t="s">
        <v>131</v>
      </c>
      <c r="BF2" s="84" t="s">
        <v>132</v>
      </c>
      <c r="BG2" s="84" t="s">
        <v>133</v>
      </c>
      <c r="BH2" s="84" t="s">
        <v>134</v>
      </c>
      <c r="BI2" s="84" t="s">
        <v>135</v>
      </c>
      <c r="BJ2" s="85" t="s">
        <v>136</v>
      </c>
      <c r="BK2" s="86" t="s">
        <v>137</v>
      </c>
    </row>
    <row r="3" customFormat="false" ht="13.5" hidden="false" customHeight="false" outlineLevel="0" collapsed="false">
      <c r="A3" s="88"/>
      <c r="B3" s="89"/>
      <c r="C3" s="89"/>
      <c r="D3" s="89"/>
      <c r="E3" s="89"/>
      <c r="F3" s="90"/>
      <c r="G3" s="91"/>
      <c r="I3" s="88"/>
      <c r="J3" s="89"/>
      <c r="K3" s="89"/>
      <c r="L3" s="89"/>
      <c r="M3" s="89"/>
      <c r="N3" s="90"/>
      <c r="O3" s="91"/>
      <c r="Q3" s="88"/>
      <c r="R3" s="89"/>
      <c r="S3" s="89"/>
      <c r="T3" s="89"/>
      <c r="U3" s="89"/>
      <c r="V3" s="90"/>
      <c r="W3" s="91"/>
      <c r="Y3" s="88"/>
      <c r="Z3" s="89"/>
      <c r="AA3" s="89"/>
      <c r="AB3" s="89"/>
      <c r="AC3" s="89"/>
      <c r="AD3" s="90"/>
      <c r="AE3" s="91"/>
      <c r="AG3" s="88"/>
      <c r="AH3" s="89"/>
      <c r="AI3" s="89"/>
      <c r="AJ3" s="89"/>
      <c r="AK3" s="89"/>
      <c r="AL3" s="90"/>
      <c r="AM3" s="91"/>
      <c r="AO3" s="88"/>
      <c r="AP3" s="89"/>
      <c r="AQ3" s="89"/>
      <c r="AR3" s="89"/>
      <c r="AS3" s="89"/>
      <c r="AT3" s="90"/>
      <c r="AU3" s="91"/>
      <c r="AW3" s="88"/>
      <c r="AX3" s="89"/>
      <c r="AY3" s="89"/>
      <c r="AZ3" s="89"/>
      <c r="BA3" s="89"/>
      <c r="BB3" s="90"/>
      <c r="BC3" s="91"/>
      <c r="BE3" s="88"/>
      <c r="BF3" s="89"/>
      <c r="BG3" s="89"/>
      <c r="BH3" s="89"/>
      <c r="BI3" s="89"/>
      <c r="BJ3" s="90"/>
      <c r="BK3" s="91"/>
    </row>
    <row r="4" customFormat="false" ht="13.5" hidden="false" customHeight="false" outlineLevel="0" collapsed="false">
      <c r="A4" s="88"/>
      <c r="B4" s="89"/>
      <c r="C4" s="89"/>
      <c r="D4" s="89"/>
      <c r="E4" s="89"/>
      <c r="F4" s="90"/>
      <c r="G4" s="91"/>
      <c r="I4" s="88"/>
      <c r="J4" s="89"/>
      <c r="K4" s="89"/>
      <c r="L4" s="89"/>
      <c r="M4" s="89"/>
      <c r="N4" s="90"/>
      <c r="O4" s="91"/>
      <c r="Q4" s="88"/>
      <c r="R4" s="89"/>
      <c r="S4" s="89"/>
      <c r="T4" s="89"/>
      <c r="U4" s="89"/>
      <c r="V4" s="90"/>
      <c r="W4" s="91"/>
      <c r="Y4" s="88"/>
      <c r="Z4" s="89"/>
      <c r="AA4" s="89"/>
      <c r="AB4" s="89"/>
      <c r="AC4" s="89"/>
      <c r="AD4" s="90"/>
      <c r="AE4" s="91"/>
      <c r="AG4" s="88"/>
      <c r="AH4" s="89"/>
      <c r="AI4" s="89"/>
      <c r="AJ4" s="89"/>
      <c r="AK4" s="89"/>
      <c r="AL4" s="90"/>
      <c r="AM4" s="91"/>
      <c r="AO4" s="88"/>
      <c r="AP4" s="89"/>
      <c r="AQ4" s="89"/>
      <c r="AR4" s="89"/>
      <c r="AS4" s="89"/>
      <c r="AT4" s="90"/>
      <c r="AU4" s="91"/>
      <c r="AW4" s="88"/>
      <c r="AX4" s="89"/>
      <c r="AY4" s="89"/>
      <c r="AZ4" s="89"/>
      <c r="BA4" s="89"/>
      <c r="BB4" s="90"/>
      <c r="BC4" s="91"/>
      <c r="BE4" s="88"/>
      <c r="BF4" s="89"/>
      <c r="BG4" s="89"/>
      <c r="BH4" s="89"/>
      <c r="BI4" s="89"/>
      <c r="BJ4" s="90"/>
      <c r="BK4" s="91"/>
    </row>
    <row r="5" customFormat="false" ht="13.5" hidden="false" customHeight="false" outlineLevel="0" collapsed="false">
      <c r="A5" s="92"/>
      <c r="B5" s="89"/>
      <c r="C5" s="89" t="n">
        <v>0</v>
      </c>
      <c r="D5" s="89" t="n">
        <v>0</v>
      </c>
      <c r="E5" s="89" t="n">
        <f aca="false">'BLOCK WORK'!E4</f>
        <v>4.45</v>
      </c>
      <c r="F5" s="90"/>
      <c r="G5" s="91" t="n">
        <f aca="false">C5*D5*E5</f>
        <v>0</v>
      </c>
      <c r="I5" s="88"/>
      <c r="J5" s="89"/>
      <c r="K5" s="89" t="n">
        <v>1</v>
      </c>
      <c r="L5" s="89" t="n">
        <v>14.2</v>
      </c>
      <c r="M5" s="89" t="n">
        <f aca="false">'BLOCK WORK'!M4</f>
        <v>4.5</v>
      </c>
      <c r="N5" s="90"/>
      <c r="O5" s="91" t="n">
        <f aca="false">K5*L5*M5</f>
        <v>63.9</v>
      </c>
      <c r="Q5" s="88"/>
      <c r="R5" s="89"/>
      <c r="S5" s="89" t="n">
        <v>1</v>
      </c>
      <c r="T5" s="89" t="n">
        <v>15</v>
      </c>
      <c r="U5" s="89" t="n">
        <f aca="false">'BLOCK WORK'!U4</f>
        <v>3.3</v>
      </c>
      <c r="V5" s="90"/>
      <c r="W5" s="91" t="n">
        <f aca="false">S5*T5*U5</f>
        <v>49.5</v>
      </c>
      <c r="Y5" s="88"/>
      <c r="Z5" s="89"/>
      <c r="AA5" s="89" t="n">
        <v>1</v>
      </c>
      <c r="AB5" s="89" t="n">
        <v>15</v>
      </c>
      <c r="AC5" s="89" t="n">
        <f aca="false">'BLOCK WORK'!AC4</f>
        <v>3.3</v>
      </c>
      <c r="AD5" s="90"/>
      <c r="AE5" s="91" t="n">
        <f aca="false">AA5*AB5*AC5</f>
        <v>49.5</v>
      </c>
      <c r="AG5" s="88"/>
      <c r="AH5" s="89"/>
      <c r="AI5" s="89" t="n">
        <v>1</v>
      </c>
      <c r="AJ5" s="89" t="n">
        <v>15.8</v>
      </c>
      <c r="AK5" s="89" t="n">
        <f aca="false">'BLOCK WORK'!AK4</f>
        <v>3.3</v>
      </c>
      <c r="AL5" s="90"/>
      <c r="AM5" s="91" t="n">
        <f aca="false">AI5*AJ5*AK5</f>
        <v>52.14</v>
      </c>
      <c r="AO5" s="88"/>
      <c r="AP5" s="89"/>
      <c r="AQ5" s="89" t="n">
        <v>1</v>
      </c>
      <c r="AR5" s="89" t="n">
        <v>37.3</v>
      </c>
      <c r="AS5" s="89" t="n">
        <f aca="false">'BLOCK WORK'!AS4</f>
        <v>3.3</v>
      </c>
      <c r="AT5" s="90"/>
      <c r="AU5" s="91" t="n">
        <f aca="false">AQ5*AR5*AS5</f>
        <v>123.09</v>
      </c>
      <c r="AW5" s="88"/>
      <c r="AX5" s="89"/>
      <c r="AY5" s="89" t="n">
        <v>1</v>
      </c>
      <c r="AZ5" s="89" t="n">
        <v>6.2</v>
      </c>
      <c r="BA5" s="89" t="n">
        <f aca="false">'BLOCK WORK'!BA4</f>
        <v>3.3</v>
      </c>
      <c r="BB5" s="90"/>
      <c r="BC5" s="91" t="n">
        <f aca="false">AY5*AZ5*BA5</f>
        <v>20.46</v>
      </c>
      <c r="BE5" s="88"/>
      <c r="BF5" s="89"/>
      <c r="BG5" s="89"/>
      <c r="BH5" s="89"/>
      <c r="BI5" s="89" t="n">
        <f aca="false">'BLOCK WORK'!BI4</f>
        <v>1.5</v>
      </c>
      <c r="BJ5" s="90"/>
      <c r="BK5" s="91" t="n">
        <f aca="false">BG5*BH5*BI5</f>
        <v>0</v>
      </c>
    </row>
    <row r="6" customFormat="false" ht="13.5" hidden="false" customHeight="false" outlineLevel="0" collapsed="false">
      <c r="A6" s="92"/>
      <c r="B6" s="89"/>
      <c r="C6" s="89"/>
      <c r="D6" s="89"/>
      <c r="E6" s="89"/>
      <c r="F6" s="90"/>
      <c r="G6" s="91"/>
      <c r="I6" s="88"/>
      <c r="J6" s="89"/>
      <c r="K6" s="89"/>
      <c r="L6" s="89"/>
      <c r="M6" s="89"/>
      <c r="N6" s="90"/>
      <c r="O6" s="91"/>
      <c r="Q6" s="88"/>
      <c r="R6" s="89"/>
      <c r="S6" s="89"/>
      <c r="T6" s="89"/>
      <c r="U6" s="89"/>
      <c r="V6" s="90"/>
      <c r="W6" s="91"/>
      <c r="Y6" s="88"/>
      <c r="Z6" s="89"/>
      <c r="AA6" s="89"/>
      <c r="AB6" s="89"/>
      <c r="AC6" s="89"/>
      <c r="AD6" s="90"/>
      <c r="AE6" s="91"/>
      <c r="AG6" s="88"/>
      <c r="AH6" s="89"/>
      <c r="AI6" s="89"/>
      <c r="AJ6" s="89"/>
      <c r="AK6" s="89"/>
      <c r="AL6" s="90"/>
      <c r="AM6" s="91"/>
      <c r="AO6" s="88"/>
      <c r="AP6" s="89"/>
      <c r="AQ6" s="89"/>
      <c r="AR6" s="89"/>
      <c r="AS6" s="89"/>
      <c r="AT6" s="90"/>
      <c r="AU6" s="91"/>
      <c r="AW6" s="88"/>
      <c r="AX6" s="89"/>
      <c r="AY6" s="89"/>
      <c r="AZ6" s="89"/>
      <c r="BA6" s="89"/>
      <c r="BB6" s="90"/>
      <c r="BC6" s="91"/>
      <c r="BE6" s="88"/>
      <c r="BF6" s="89"/>
      <c r="BG6" s="89"/>
      <c r="BH6" s="89"/>
      <c r="BI6" s="89"/>
      <c r="BJ6" s="90"/>
      <c r="BK6" s="91"/>
    </row>
    <row r="7" customFormat="false" ht="13.5" hidden="false" customHeight="false" outlineLevel="0" collapsed="false">
      <c r="A7" s="92"/>
      <c r="B7" s="89"/>
      <c r="C7" s="89"/>
      <c r="D7" s="89"/>
      <c r="E7" s="89"/>
      <c r="F7" s="90"/>
      <c r="G7" s="91"/>
      <c r="I7" s="88"/>
      <c r="J7" s="89"/>
      <c r="K7" s="89"/>
      <c r="L7" s="89"/>
      <c r="M7" s="89"/>
      <c r="N7" s="90"/>
      <c r="O7" s="91"/>
      <c r="Q7" s="88"/>
      <c r="R7" s="89"/>
      <c r="S7" s="89"/>
      <c r="T7" s="89"/>
      <c r="U7" s="89"/>
      <c r="V7" s="90"/>
      <c r="W7" s="91"/>
      <c r="Y7" s="88"/>
      <c r="Z7" s="89"/>
      <c r="AA7" s="89"/>
      <c r="AB7" s="89"/>
      <c r="AC7" s="89"/>
      <c r="AD7" s="90"/>
      <c r="AE7" s="91"/>
      <c r="AG7" s="88"/>
      <c r="AH7" s="89"/>
      <c r="AI7" s="89"/>
      <c r="AJ7" s="89"/>
      <c r="AK7" s="89"/>
      <c r="AL7" s="90"/>
      <c r="AM7" s="91"/>
      <c r="AO7" s="88"/>
      <c r="AP7" s="89"/>
      <c r="AQ7" s="89"/>
      <c r="AR7" s="89"/>
      <c r="AS7" s="89"/>
      <c r="AT7" s="90"/>
      <c r="AU7" s="91"/>
      <c r="AW7" s="88"/>
      <c r="AX7" s="89"/>
      <c r="AY7" s="89"/>
      <c r="AZ7" s="89"/>
      <c r="BA7" s="89"/>
      <c r="BB7" s="90"/>
      <c r="BC7" s="91"/>
      <c r="BE7" s="88"/>
      <c r="BF7" s="89"/>
      <c r="BG7" s="89"/>
      <c r="BH7" s="89"/>
      <c r="BI7" s="89"/>
      <c r="BJ7" s="90"/>
      <c r="BK7" s="91"/>
    </row>
    <row r="8" customFormat="false" ht="14.25" hidden="false" customHeight="true" outlineLevel="0" collapsed="false">
      <c r="A8" s="93"/>
      <c r="B8" s="93"/>
      <c r="C8" s="93"/>
      <c r="D8" s="93"/>
      <c r="E8" s="93"/>
      <c r="F8" s="94"/>
      <c r="G8" s="95" t="n">
        <f aca="false">G5</f>
        <v>0</v>
      </c>
      <c r="I8" s="96"/>
      <c r="J8" s="93"/>
      <c r="K8" s="93"/>
      <c r="L8" s="93"/>
      <c r="M8" s="93"/>
      <c r="N8" s="94"/>
      <c r="O8" s="95" t="n">
        <f aca="false">O5</f>
        <v>63.9</v>
      </c>
      <c r="Q8" s="96"/>
      <c r="R8" s="93"/>
      <c r="S8" s="93"/>
      <c r="T8" s="93"/>
      <c r="U8" s="93"/>
      <c r="V8" s="94"/>
      <c r="W8" s="95" t="n">
        <f aca="false">W5</f>
        <v>49.5</v>
      </c>
      <c r="Y8" s="96"/>
      <c r="Z8" s="93"/>
      <c r="AA8" s="93"/>
      <c r="AB8" s="93"/>
      <c r="AC8" s="93"/>
      <c r="AD8" s="94"/>
      <c r="AE8" s="95" t="n">
        <f aca="false">AE5</f>
        <v>49.5</v>
      </c>
      <c r="AG8" s="96"/>
      <c r="AH8" s="93"/>
      <c r="AI8" s="93"/>
      <c r="AJ8" s="93"/>
      <c r="AK8" s="93"/>
      <c r="AL8" s="94"/>
      <c r="AM8" s="95" t="n">
        <f aca="false">AM5</f>
        <v>52.14</v>
      </c>
      <c r="AO8" s="96"/>
      <c r="AP8" s="93"/>
      <c r="AQ8" s="93"/>
      <c r="AR8" s="93"/>
      <c r="AS8" s="93"/>
      <c r="AT8" s="94"/>
      <c r="AU8" s="95" t="n">
        <f aca="false">AU5</f>
        <v>123.09</v>
      </c>
      <c r="AW8" s="96"/>
      <c r="AX8" s="93"/>
      <c r="AY8" s="93"/>
      <c r="AZ8" s="93"/>
      <c r="BA8" s="93"/>
      <c r="BB8" s="94"/>
      <c r="BC8" s="95" t="n">
        <f aca="false">BC5</f>
        <v>20.46</v>
      </c>
      <c r="BE8" s="96"/>
      <c r="BF8" s="93"/>
      <c r="BG8" s="93"/>
      <c r="BH8" s="93"/>
      <c r="BI8" s="93"/>
      <c r="BJ8" s="94"/>
      <c r="BK8" s="95" t="n">
        <f aca="false">BK5</f>
        <v>0</v>
      </c>
    </row>
    <row r="9" customFormat="false" ht="14.25" hidden="false" customHeight="true" outlineLevel="0" collapsed="false"/>
    <row r="11" customFormat="false" ht="13.5" hidden="false" customHeight="false" outlineLevel="0" collapsed="false">
      <c r="A11" s="77" t="s">
        <v>166</v>
      </c>
      <c r="B11" s="77" t="s">
        <v>202</v>
      </c>
      <c r="I11" s="77" t="s">
        <v>166</v>
      </c>
      <c r="J11" s="77" t="s">
        <v>202</v>
      </c>
      <c r="Q11" s="77" t="s">
        <v>166</v>
      </c>
      <c r="R11" s="77" t="s">
        <v>202</v>
      </c>
      <c r="Y11" s="77" t="s">
        <v>166</v>
      </c>
      <c r="Z11" s="77" t="s">
        <v>202</v>
      </c>
      <c r="AG11" s="77" t="s">
        <v>166</v>
      </c>
      <c r="AH11" s="77" t="s">
        <v>202</v>
      </c>
      <c r="AO11" s="77" t="s">
        <v>166</v>
      </c>
      <c r="AP11" s="77" t="s">
        <v>202</v>
      </c>
      <c r="AW11" s="77" t="s">
        <v>166</v>
      </c>
      <c r="AX11" s="77" t="s">
        <v>202</v>
      </c>
      <c r="BE11" s="77" t="s">
        <v>166</v>
      </c>
      <c r="BF11" s="77" t="s">
        <v>202</v>
      </c>
    </row>
    <row r="12" customFormat="false" ht="13.5" hidden="false" customHeight="false" outlineLevel="0" collapsed="false">
      <c r="B12" s="108" t="s">
        <v>203</v>
      </c>
      <c r="C12" s="109" t="n">
        <v>1</v>
      </c>
      <c r="D12" s="110" t="n">
        <f aca="false">'DRAWING CHECK'!C8</f>
        <v>0</v>
      </c>
      <c r="E12" s="111" t="n">
        <f aca="false">E5</f>
        <v>4.45</v>
      </c>
      <c r="G12" s="112" t="n">
        <f aca="false">C12*D12*E12</f>
        <v>0</v>
      </c>
      <c r="J12" s="108" t="s">
        <v>203</v>
      </c>
      <c r="K12" s="109" t="n">
        <v>1</v>
      </c>
      <c r="L12" s="110" t="n">
        <f aca="false">'DRAWING CHECK'!D8</f>
        <v>8.5</v>
      </c>
      <c r="M12" s="111" t="n">
        <f aca="false">M5</f>
        <v>4.5</v>
      </c>
      <c r="O12" s="112" t="n">
        <f aca="false">K12*L12*M12</f>
        <v>38.25</v>
      </c>
      <c r="R12" s="108" t="s">
        <v>203</v>
      </c>
      <c r="S12" s="109" t="n">
        <v>1</v>
      </c>
      <c r="T12" s="110" t="n">
        <f aca="false">'DRAWING CHECK'!E8</f>
        <v>9.8</v>
      </c>
      <c r="U12" s="111" t="n">
        <f aca="false">U5</f>
        <v>3.3</v>
      </c>
      <c r="W12" s="112" t="n">
        <f aca="false">S12*T12*U12</f>
        <v>32.34</v>
      </c>
      <c r="Z12" s="108" t="s">
        <v>203</v>
      </c>
      <c r="AA12" s="109" t="n">
        <v>1</v>
      </c>
      <c r="AB12" s="110" t="n">
        <f aca="false">'DRAWING CHECK'!F8</f>
        <v>5.6</v>
      </c>
      <c r="AC12" s="111" t="n">
        <f aca="false">AC5</f>
        <v>3.3</v>
      </c>
      <c r="AE12" s="112" t="n">
        <f aca="false">AA12*AB12*AC12</f>
        <v>18.48</v>
      </c>
      <c r="AH12" s="108" t="s">
        <v>203</v>
      </c>
      <c r="AI12" s="109" t="n">
        <v>1</v>
      </c>
      <c r="AJ12" s="110" t="n">
        <f aca="false">'DRAWING CHECK'!G8</f>
        <v>9.8</v>
      </c>
      <c r="AK12" s="111" t="n">
        <f aca="false">AK5</f>
        <v>3.3</v>
      </c>
      <c r="AM12" s="112" t="n">
        <f aca="false">AI12*AJ12*AK12</f>
        <v>32.34</v>
      </c>
      <c r="AP12" s="108" t="s">
        <v>203</v>
      </c>
      <c r="AQ12" s="109" t="n">
        <v>1</v>
      </c>
      <c r="AR12" s="110" t="n">
        <f aca="false">'DRAWING CHECK'!H8</f>
        <v>28.4</v>
      </c>
      <c r="AS12" s="111" t="n">
        <f aca="false">AS5</f>
        <v>3.3</v>
      </c>
      <c r="AU12" s="112" t="n">
        <f aca="false">AQ12*AR12*AS12</f>
        <v>93.72</v>
      </c>
      <c r="AX12" s="108" t="s">
        <v>203</v>
      </c>
      <c r="AY12" s="109" t="n">
        <v>1</v>
      </c>
      <c r="AZ12" s="110" t="n">
        <f aca="false">'DRAWING CHECK'!I8</f>
        <v>6.4</v>
      </c>
      <c r="BA12" s="111" t="n">
        <f aca="false">BA5</f>
        <v>3.3</v>
      </c>
      <c r="BC12" s="112" t="n">
        <f aca="false">AY12*AZ12*BA12</f>
        <v>21.12</v>
      </c>
      <c r="BF12" s="108" t="s">
        <v>203</v>
      </c>
      <c r="BG12" s="109" t="n">
        <v>1</v>
      </c>
      <c r="BH12" s="110" t="n">
        <f aca="false">'DRAWING CHECK'!J8</f>
        <v>0</v>
      </c>
      <c r="BI12" s="111" t="n">
        <f aca="false">BI5</f>
        <v>1.5</v>
      </c>
      <c r="BK12" s="112" t="n">
        <f aca="false">BG12*BH12*BI12</f>
        <v>0</v>
      </c>
    </row>
    <row r="13" customFormat="false" ht="13.5" hidden="false" customHeight="false" outlineLevel="0" collapsed="false">
      <c r="B13" s="108" t="s">
        <v>201</v>
      </c>
      <c r="C13" s="111"/>
      <c r="D13" s="111"/>
      <c r="E13" s="111"/>
      <c r="G13" s="111" t="n">
        <f aca="false">N(G8)</f>
        <v>0</v>
      </c>
      <c r="J13" s="108" t="s">
        <v>201</v>
      </c>
      <c r="K13" s="111"/>
      <c r="L13" s="111"/>
      <c r="M13" s="111"/>
      <c r="O13" s="111" t="n">
        <f aca="false">N(O8)</f>
        <v>63.9</v>
      </c>
      <c r="R13" s="108" t="s">
        <v>201</v>
      </c>
      <c r="S13" s="111"/>
      <c r="T13" s="111"/>
      <c r="U13" s="111"/>
      <c r="W13" s="111" t="n">
        <f aca="false">N(W8)</f>
        <v>49.5</v>
      </c>
      <c r="Z13" s="108" t="s">
        <v>201</v>
      </c>
      <c r="AA13" s="111"/>
      <c r="AB13" s="111"/>
      <c r="AC13" s="111"/>
      <c r="AE13" s="111" t="n">
        <f aca="false">N(AE8)</f>
        <v>49.5</v>
      </c>
      <c r="AH13" s="108" t="s">
        <v>201</v>
      </c>
      <c r="AI13" s="111"/>
      <c r="AJ13" s="111"/>
      <c r="AK13" s="111"/>
      <c r="AM13" s="111" t="n">
        <f aca="false">N(AM8)</f>
        <v>52.14</v>
      </c>
      <c r="AP13" s="108" t="s">
        <v>201</v>
      </c>
      <c r="AQ13" s="111"/>
      <c r="AR13" s="111"/>
      <c r="AS13" s="111"/>
      <c r="AU13" s="111" t="n">
        <f aca="false">N(AU8)</f>
        <v>123.09</v>
      </c>
      <c r="AX13" s="108" t="s">
        <v>201</v>
      </c>
      <c r="AY13" s="111"/>
      <c r="AZ13" s="111"/>
      <c r="BA13" s="111"/>
      <c r="BC13" s="111" t="n">
        <f aca="false">N(BC8)</f>
        <v>20.46</v>
      </c>
      <c r="BF13" s="108" t="s">
        <v>201</v>
      </c>
      <c r="BG13" s="111"/>
      <c r="BH13" s="111"/>
      <c r="BI13" s="111"/>
      <c r="BK13" s="111" t="n">
        <f aca="false">N(BK8)</f>
        <v>0</v>
      </c>
    </row>
    <row r="14" customFormat="false" ht="13.5" hidden="false" customHeight="false" outlineLevel="0" collapsed="false">
      <c r="B14" s="108" t="s">
        <v>172</v>
      </c>
      <c r="C14" s="111"/>
      <c r="D14" s="111"/>
      <c r="E14" s="111"/>
      <c r="G14" s="111" t="n">
        <f aca="false">G13-G12</f>
        <v>0</v>
      </c>
      <c r="J14" s="108" t="s">
        <v>172</v>
      </c>
      <c r="K14" s="111"/>
      <c r="L14" s="111"/>
      <c r="M14" s="111"/>
      <c r="O14" s="111" t="n">
        <f aca="false">O13-O12</f>
        <v>25.65</v>
      </c>
      <c r="R14" s="108" t="s">
        <v>172</v>
      </c>
      <c r="S14" s="111"/>
      <c r="T14" s="111"/>
      <c r="U14" s="111"/>
      <c r="W14" s="111" t="n">
        <f aca="false">W13-W12</f>
        <v>17.16</v>
      </c>
      <c r="Z14" s="108" t="s">
        <v>172</v>
      </c>
      <c r="AA14" s="111"/>
      <c r="AB14" s="111"/>
      <c r="AC14" s="111"/>
      <c r="AE14" s="111" t="n">
        <f aca="false">AE13-AE12</f>
        <v>31.02</v>
      </c>
      <c r="AH14" s="108" t="s">
        <v>172</v>
      </c>
      <c r="AI14" s="111"/>
      <c r="AJ14" s="111"/>
      <c r="AK14" s="111"/>
      <c r="AM14" s="111" t="n">
        <f aca="false">AM13-AM12</f>
        <v>19.8</v>
      </c>
      <c r="AP14" s="108" t="s">
        <v>172</v>
      </c>
      <c r="AQ14" s="111"/>
      <c r="AR14" s="111"/>
      <c r="AS14" s="111"/>
      <c r="AU14" s="111" t="n">
        <f aca="false">AU13-AU12</f>
        <v>29.37</v>
      </c>
      <c r="AX14" s="108" t="s">
        <v>172</v>
      </c>
      <c r="AY14" s="111"/>
      <c r="AZ14" s="111"/>
      <c r="BA14" s="111"/>
      <c r="BC14" s="111" t="n">
        <f aca="false">BC13-BC12</f>
        <v>-0.66</v>
      </c>
      <c r="BF14" s="108" t="s">
        <v>172</v>
      </c>
      <c r="BG14" s="111"/>
      <c r="BH14" s="111"/>
      <c r="BI14" s="111"/>
      <c r="BK14" s="111" t="n">
        <f aca="false">BK13-BK12</f>
        <v>0</v>
      </c>
    </row>
    <row r="15" customFormat="false" ht="13.5" hidden="false" customHeight="false" outlineLevel="0" collapsed="false">
      <c r="B15" s="108" t="s">
        <v>173</v>
      </c>
      <c r="C15" s="111"/>
      <c r="D15" s="111"/>
      <c r="E15" s="111"/>
      <c r="G15" s="113" t="n">
        <f aca="false">IF(G12=0,0,G14/G12)</f>
        <v>0</v>
      </c>
      <c r="J15" s="108" t="s">
        <v>173</v>
      </c>
      <c r="K15" s="111"/>
      <c r="L15" s="111"/>
      <c r="M15" s="111"/>
      <c r="O15" s="113" t="n">
        <f aca="false">IF(O12=0,0,O14/O12)</f>
        <v>0.670588235294118</v>
      </c>
      <c r="R15" s="108" t="s">
        <v>173</v>
      </c>
      <c r="S15" s="111"/>
      <c r="T15" s="111"/>
      <c r="U15" s="111"/>
      <c r="W15" s="113" t="n">
        <f aca="false">IF(W12=0,0,W14/W12)</f>
        <v>0.530612244897959</v>
      </c>
      <c r="Z15" s="108" t="s">
        <v>173</v>
      </c>
      <c r="AA15" s="111"/>
      <c r="AB15" s="111"/>
      <c r="AC15" s="111"/>
      <c r="AE15" s="113" t="n">
        <f aca="false">IF(AE12=0,0,AE14/AE12)</f>
        <v>1.67857142857143</v>
      </c>
      <c r="AH15" s="108" t="s">
        <v>173</v>
      </c>
      <c r="AI15" s="111"/>
      <c r="AJ15" s="111"/>
      <c r="AK15" s="111"/>
      <c r="AM15" s="113" t="n">
        <f aca="false">IF(AM12=0,0,AM14/AM12)</f>
        <v>0.612244897959184</v>
      </c>
      <c r="AP15" s="108" t="s">
        <v>173</v>
      </c>
      <c r="AQ15" s="111"/>
      <c r="AR15" s="111"/>
      <c r="AS15" s="111"/>
      <c r="AU15" s="113" t="n">
        <f aca="false">IF(AU12=0,0,AU14/AU12)</f>
        <v>0.313380281690141</v>
      </c>
      <c r="AX15" s="108" t="s">
        <v>173</v>
      </c>
      <c r="AY15" s="111"/>
      <c r="AZ15" s="111"/>
      <c r="BA15" s="111"/>
      <c r="BC15" s="113" t="n">
        <f aca="false">IF(BC12=0,0,BC14/BC12)</f>
        <v>-0.03125</v>
      </c>
      <c r="BF15" s="108" t="s">
        <v>173</v>
      </c>
      <c r="BG15" s="111"/>
      <c r="BH15" s="111"/>
      <c r="BI15" s="111"/>
      <c r="BK15" s="113" t="n">
        <f aca="false">IF(BK12=0,0,BK14/BK12)</f>
        <v>0</v>
      </c>
    </row>
  </sheetData>
  <mergeCells count="8">
    <mergeCell ref="A1:G1"/>
    <mergeCell ref="I1:O1"/>
    <mergeCell ref="Q1:W1"/>
    <mergeCell ref="Y1:AE1"/>
    <mergeCell ref="AG1:AM1"/>
    <mergeCell ref="AO1:AU1"/>
    <mergeCell ref="AW1:BC1"/>
    <mergeCell ref="BE1:BK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FEE"/>
    <pageSetUpPr fitToPage="false"/>
  </sheetPr>
  <dimension ref="A1:B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0234375" defaultRowHeight="13.5" zeroHeight="false" outlineLevelRow="0" outlineLevelCol="0"/>
  <cols>
    <col collapsed="false" customWidth="false" hidden="false" outlineLevel="0" max="1" min="1" style="80" width="8.9"/>
    <col collapsed="false" customWidth="true" hidden="false" outlineLevel="0" max="2" min="2" style="80" width="22.4"/>
    <col collapsed="false" customWidth="false" hidden="false" outlineLevel="0" max="5" min="3" style="80" width="8.9"/>
    <col collapsed="false" customWidth="true" hidden="false" outlineLevel="0" max="6" min="6" style="81" width="12.8"/>
    <col collapsed="false" customWidth="false" hidden="false" outlineLevel="0" max="9" min="7" style="80" width="8.9"/>
    <col collapsed="false" customWidth="true" hidden="false" outlineLevel="0" max="10" min="10" style="80" width="22.4"/>
    <col collapsed="false" customWidth="false" hidden="false" outlineLevel="0" max="13" min="11" style="80" width="8.9"/>
    <col collapsed="false" customWidth="true" hidden="false" outlineLevel="0" max="14" min="14" style="81" width="14.8"/>
    <col collapsed="false" customWidth="false" hidden="false" outlineLevel="0" max="17" min="15" style="80" width="8.9"/>
    <col collapsed="false" customWidth="true" hidden="false" outlineLevel="0" max="18" min="18" style="80" width="22.4"/>
    <col collapsed="false" customWidth="false" hidden="false" outlineLevel="0" max="21" min="19" style="80" width="8.9"/>
    <col collapsed="false" customWidth="true" hidden="false" outlineLevel="0" max="22" min="22" style="81" width="11.7"/>
    <col collapsed="false" customWidth="false" hidden="false" outlineLevel="0" max="25" min="23" style="80" width="8.9"/>
    <col collapsed="false" customWidth="true" hidden="false" outlineLevel="0" max="26" min="26" style="80" width="15.4"/>
    <col collapsed="false" customWidth="false" hidden="false" outlineLevel="0" max="29" min="27" style="80" width="8.9"/>
    <col collapsed="false" customWidth="true" hidden="false" outlineLevel="0" max="30" min="30" style="81" width="10.4"/>
    <col collapsed="false" customWidth="false" hidden="false" outlineLevel="0" max="33" min="31" style="80" width="8.9"/>
    <col collapsed="false" customWidth="true" hidden="false" outlineLevel="0" max="34" min="34" style="80" width="15.4"/>
    <col collapsed="false" customWidth="false" hidden="false" outlineLevel="0" max="37" min="35" style="80" width="8.9"/>
    <col collapsed="false" customWidth="true" hidden="false" outlineLevel="0" max="38" min="38" style="81" width="12.4"/>
    <col collapsed="false" customWidth="false" hidden="false" outlineLevel="0" max="41" min="39" style="80" width="8.9"/>
    <col collapsed="false" customWidth="true" hidden="false" outlineLevel="0" max="42" min="42" style="80" width="22.4"/>
    <col collapsed="false" customWidth="false" hidden="false" outlineLevel="0" max="45" min="43" style="80" width="8.9"/>
    <col collapsed="false" customWidth="true" hidden="false" outlineLevel="0" max="46" min="46" style="81" width="9.7"/>
    <col collapsed="false" customWidth="false" hidden="false" outlineLevel="0" max="49" min="47" style="80" width="8.9"/>
    <col collapsed="false" customWidth="true" hidden="false" outlineLevel="0" max="50" min="50" style="80" width="22.4"/>
    <col collapsed="false" customWidth="false" hidden="false" outlineLevel="0" max="53" min="51" style="80" width="8.9"/>
    <col collapsed="false" customWidth="true" hidden="false" outlineLevel="0" max="54" min="54" style="81" width="11.9"/>
    <col collapsed="false" customWidth="false" hidden="false" outlineLevel="0" max="57" min="55" style="80" width="8.9"/>
    <col collapsed="false" customWidth="true" hidden="false" outlineLevel="0" max="58" min="58" style="80" width="22.4"/>
    <col collapsed="false" customWidth="false" hidden="false" outlineLevel="0" max="61" min="59" style="80" width="8.9"/>
    <col collapsed="false" customWidth="true" hidden="false" outlineLevel="0" max="62" min="62" style="81" width="12.4"/>
    <col collapsed="false" customWidth="false" hidden="false" outlineLevel="0" max="16384" min="63" style="80" width="8.9"/>
  </cols>
  <sheetData>
    <row r="1" customFormat="false" ht="14.25" hidden="false" customHeight="true" outlineLevel="0" collapsed="false">
      <c r="A1" s="82" t="s">
        <v>204</v>
      </c>
      <c r="B1" s="82"/>
      <c r="C1" s="82"/>
      <c r="D1" s="82"/>
      <c r="E1" s="82"/>
      <c r="F1" s="82"/>
      <c r="G1" s="82"/>
      <c r="I1" s="82" t="s">
        <v>205</v>
      </c>
      <c r="J1" s="82"/>
      <c r="K1" s="82"/>
      <c r="L1" s="82"/>
      <c r="M1" s="82"/>
      <c r="N1" s="82"/>
      <c r="O1" s="82"/>
      <c r="Q1" s="82" t="s">
        <v>206</v>
      </c>
      <c r="R1" s="82"/>
      <c r="S1" s="82"/>
      <c r="T1" s="82"/>
      <c r="U1" s="82"/>
      <c r="V1" s="82"/>
      <c r="W1" s="82"/>
      <c r="Y1" s="82" t="s">
        <v>207</v>
      </c>
      <c r="Z1" s="82"/>
      <c r="AA1" s="82"/>
      <c r="AB1" s="82"/>
      <c r="AC1" s="82"/>
      <c r="AD1" s="82"/>
      <c r="AE1" s="82"/>
      <c r="AG1" s="82" t="s">
        <v>208</v>
      </c>
      <c r="AH1" s="82"/>
      <c r="AI1" s="82"/>
      <c r="AJ1" s="82"/>
      <c r="AK1" s="82"/>
      <c r="AL1" s="82"/>
      <c r="AM1" s="82"/>
      <c r="AO1" s="82" t="s">
        <v>209</v>
      </c>
      <c r="AP1" s="82"/>
      <c r="AQ1" s="82"/>
      <c r="AR1" s="82"/>
      <c r="AS1" s="82"/>
      <c r="AT1" s="82"/>
      <c r="AU1" s="82"/>
      <c r="AW1" s="82" t="s">
        <v>210</v>
      </c>
      <c r="AX1" s="82"/>
      <c r="AY1" s="82"/>
      <c r="AZ1" s="82"/>
      <c r="BA1" s="82"/>
      <c r="BB1" s="82"/>
      <c r="BC1" s="82"/>
      <c r="BE1" s="82" t="s">
        <v>211</v>
      </c>
      <c r="BF1" s="82"/>
      <c r="BG1" s="82"/>
      <c r="BH1" s="82"/>
      <c r="BI1" s="82"/>
      <c r="BJ1" s="82"/>
      <c r="BK1" s="82"/>
    </row>
    <row r="2" s="87" customFormat="true" ht="43.5" hidden="false" customHeight="true" outlineLevel="0" collapsed="false">
      <c r="A2" s="83" t="s">
        <v>131</v>
      </c>
      <c r="B2" s="84" t="s">
        <v>132</v>
      </c>
      <c r="C2" s="84" t="s">
        <v>133</v>
      </c>
      <c r="D2" s="84" t="s">
        <v>134</v>
      </c>
      <c r="E2" s="84" t="s">
        <v>135</v>
      </c>
      <c r="F2" s="85" t="s">
        <v>136</v>
      </c>
      <c r="G2" s="86" t="s">
        <v>137</v>
      </c>
      <c r="I2" s="83" t="s">
        <v>131</v>
      </c>
      <c r="J2" s="84" t="s">
        <v>132</v>
      </c>
      <c r="K2" s="84" t="s">
        <v>133</v>
      </c>
      <c r="L2" s="84" t="s">
        <v>134</v>
      </c>
      <c r="M2" s="84" t="s">
        <v>135</v>
      </c>
      <c r="N2" s="85" t="s">
        <v>136</v>
      </c>
      <c r="O2" s="86" t="s">
        <v>137</v>
      </c>
      <c r="Q2" s="83" t="s">
        <v>131</v>
      </c>
      <c r="R2" s="84" t="s">
        <v>132</v>
      </c>
      <c r="S2" s="84" t="s">
        <v>133</v>
      </c>
      <c r="T2" s="84" t="s">
        <v>134</v>
      </c>
      <c r="U2" s="84" t="s">
        <v>135</v>
      </c>
      <c r="V2" s="85" t="s">
        <v>136</v>
      </c>
      <c r="W2" s="86" t="s">
        <v>137</v>
      </c>
      <c r="Y2" s="83" t="s">
        <v>131</v>
      </c>
      <c r="Z2" s="84" t="s">
        <v>132</v>
      </c>
      <c r="AA2" s="84" t="s">
        <v>133</v>
      </c>
      <c r="AB2" s="84" t="s">
        <v>134</v>
      </c>
      <c r="AC2" s="84" t="s">
        <v>135</v>
      </c>
      <c r="AD2" s="85" t="s">
        <v>136</v>
      </c>
      <c r="AE2" s="86" t="s">
        <v>137</v>
      </c>
      <c r="AG2" s="83" t="s">
        <v>131</v>
      </c>
      <c r="AH2" s="84" t="s">
        <v>132</v>
      </c>
      <c r="AI2" s="84" t="s">
        <v>133</v>
      </c>
      <c r="AJ2" s="84" t="s">
        <v>134</v>
      </c>
      <c r="AK2" s="84" t="s">
        <v>135</v>
      </c>
      <c r="AL2" s="85" t="s">
        <v>136</v>
      </c>
      <c r="AM2" s="86" t="s">
        <v>137</v>
      </c>
      <c r="AO2" s="83" t="s">
        <v>131</v>
      </c>
      <c r="AP2" s="84" t="s">
        <v>132</v>
      </c>
      <c r="AQ2" s="84" t="s">
        <v>133</v>
      </c>
      <c r="AR2" s="84" t="s">
        <v>134</v>
      </c>
      <c r="AS2" s="84" t="s">
        <v>135</v>
      </c>
      <c r="AT2" s="85" t="s">
        <v>136</v>
      </c>
      <c r="AU2" s="86" t="s">
        <v>137</v>
      </c>
      <c r="AW2" s="83" t="s">
        <v>131</v>
      </c>
      <c r="AX2" s="84" t="s">
        <v>132</v>
      </c>
      <c r="AY2" s="84" t="s">
        <v>133</v>
      </c>
      <c r="AZ2" s="84" t="s">
        <v>134</v>
      </c>
      <c r="BA2" s="84" t="s">
        <v>135</v>
      </c>
      <c r="BB2" s="85" t="s">
        <v>136</v>
      </c>
      <c r="BC2" s="86" t="s">
        <v>137</v>
      </c>
      <c r="BE2" s="83" t="s">
        <v>131</v>
      </c>
      <c r="BF2" s="84" t="s">
        <v>132</v>
      </c>
      <c r="BG2" s="84" t="s">
        <v>133</v>
      </c>
      <c r="BH2" s="84" t="s">
        <v>134</v>
      </c>
      <c r="BI2" s="84" t="s">
        <v>135</v>
      </c>
      <c r="BJ2" s="85" t="s">
        <v>136</v>
      </c>
      <c r="BK2" s="86" t="s">
        <v>137</v>
      </c>
    </row>
    <row r="3" customFormat="false" ht="13.5" hidden="false" customHeight="false" outlineLevel="0" collapsed="false">
      <c r="A3" s="88"/>
      <c r="B3" s="89"/>
      <c r="C3" s="89"/>
      <c r="D3" s="89"/>
      <c r="E3" s="89"/>
      <c r="F3" s="90"/>
      <c r="G3" s="91"/>
      <c r="I3" s="88"/>
      <c r="J3" s="89"/>
      <c r="K3" s="89"/>
      <c r="L3" s="89"/>
      <c r="M3" s="89"/>
      <c r="N3" s="90"/>
      <c r="O3" s="91"/>
      <c r="Q3" s="88"/>
      <c r="R3" s="89"/>
      <c r="S3" s="89"/>
      <c r="T3" s="89"/>
      <c r="U3" s="89"/>
      <c r="V3" s="90"/>
      <c r="W3" s="91"/>
      <c r="Y3" s="88"/>
      <c r="Z3" s="89"/>
      <c r="AA3" s="89"/>
      <c r="AB3" s="89"/>
      <c r="AC3" s="89"/>
      <c r="AD3" s="90"/>
      <c r="AE3" s="91"/>
      <c r="AG3" s="88"/>
      <c r="AH3" s="89"/>
      <c r="AI3" s="89"/>
      <c r="AJ3" s="89"/>
      <c r="AK3" s="89"/>
      <c r="AL3" s="90"/>
      <c r="AM3" s="91"/>
      <c r="AO3" s="88"/>
      <c r="AP3" s="89"/>
      <c r="AQ3" s="89"/>
      <c r="AR3" s="89"/>
      <c r="AS3" s="89"/>
      <c r="AT3" s="90"/>
      <c r="AU3" s="91"/>
      <c r="AW3" s="88"/>
      <c r="AX3" s="89"/>
      <c r="AY3" s="89"/>
      <c r="AZ3" s="89"/>
      <c r="BA3" s="89"/>
      <c r="BB3" s="90"/>
      <c r="BC3" s="91"/>
      <c r="BE3" s="88"/>
      <c r="BF3" s="89"/>
      <c r="BG3" s="89"/>
      <c r="BH3" s="89"/>
      <c r="BI3" s="89"/>
      <c r="BJ3" s="90"/>
      <c r="BK3" s="91"/>
    </row>
    <row r="4" customFormat="false" ht="13.5" hidden="false" customHeight="false" outlineLevel="0" collapsed="false">
      <c r="A4" s="88" t="s">
        <v>138</v>
      </c>
      <c r="B4" s="89" t="s">
        <v>212</v>
      </c>
      <c r="C4" s="89" t="n">
        <v>1</v>
      </c>
      <c r="D4" s="89" t="n">
        <v>9.3</v>
      </c>
      <c r="E4" s="89" t="n">
        <v>3.05</v>
      </c>
      <c r="F4" s="90"/>
      <c r="G4" s="91" t="n">
        <f aca="false">C4*D4*E4</f>
        <v>28.365</v>
      </c>
      <c r="I4" s="88" t="s">
        <v>138</v>
      </c>
      <c r="J4" s="89" t="s">
        <v>212</v>
      </c>
      <c r="K4" s="89" t="n">
        <v>1</v>
      </c>
      <c r="L4" s="89" t="n">
        <v>12</v>
      </c>
      <c r="M4" s="89" t="n">
        <f aca="false">E4</f>
        <v>3.05</v>
      </c>
      <c r="N4" s="90"/>
      <c r="O4" s="91" t="n">
        <f aca="false">K4*L4*M4</f>
        <v>36.6</v>
      </c>
      <c r="Q4" s="88" t="s">
        <v>138</v>
      </c>
      <c r="R4" s="89" t="s">
        <v>212</v>
      </c>
      <c r="S4" s="89" t="n">
        <v>1</v>
      </c>
      <c r="T4" s="89" t="n">
        <f aca="false">2.05*2</f>
        <v>4.1</v>
      </c>
      <c r="U4" s="89" t="n">
        <f aca="false">M4</f>
        <v>3.05</v>
      </c>
      <c r="V4" s="90"/>
      <c r="W4" s="91" t="n">
        <f aca="false">S4*T4*U4</f>
        <v>12.505</v>
      </c>
      <c r="Y4" s="88" t="s">
        <v>138</v>
      </c>
      <c r="Z4" s="89" t="s">
        <v>212</v>
      </c>
      <c r="AA4" s="89" t="n">
        <v>1</v>
      </c>
      <c r="AB4" s="89" t="n">
        <v>53.4</v>
      </c>
      <c r="AC4" s="89" t="n">
        <f aca="false">U4</f>
        <v>3.05</v>
      </c>
      <c r="AD4" s="90"/>
      <c r="AE4" s="91" t="n">
        <f aca="false">AA4*AB4*AC4</f>
        <v>162.87</v>
      </c>
      <c r="AG4" s="88" t="s">
        <v>138</v>
      </c>
      <c r="AH4" s="89" t="s">
        <v>212</v>
      </c>
      <c r="AI4" s="89" t="n">
        <v>1</v>
      </c>
      <c r="AJ4" s="89" t="n">
        <v>63.6</v>
      </c>
      <c r="AK4" s="89" t="n">
        <f aca="false">AC4</f>
        <v>3.05</v>
      </c>
      <c r="AL4" s="90"/>
      <c r="AM4" s="91" t="n">
        <f aca="false">AI4*AJ4*AK4</f>
        <v>193.98</v>
      </c>
      <c r="AO4" s="88" t="s">
        <v>138</v>
      </c>
      <c r="AP4" s="89" t="s">
        <v>212</v>
      </c>
      <c r="AQ4" s="89" t="n">
        <v>1</v>
      </c>
      <c r="AR4" s="89" t="n">
        <v>40.7</v>
      </c>
      <c r="AS4" s="89" t="n">
        <f aca="false">AK4</f>
        <v>3.05</v>
      </c>
      <c r="AT4" s="90"/>
      <c r="AU4" s="91" t="n">
        <f aca="false">AQ4*AR4*AS4</f>
        <v>124.135</v>
      </c>
      <c r="AW4" s="88" t="s">
        <v>138</v>
      </c>
      <c r="AX4" s="89" t="s">
        <v>212</v>
      </c>
      <c r="AY4" s="89" t="n">
        <v>1</v>
      </c>
      <c r="AZ4" s="89" t="n">
        <v>37.6</v>
      </c>
      <c r="BA4" s="89" t="n">
        <f aca="false">AS4</f>
        <v>3.05</v>
      </c>
      <c r="BB4" s="90"/>
      <c r="BC4" s="91" t="n">
        <f aca="false">AY4*AZ4*BA4</f>
        <v>114.68</v>
      </c>
      <c r="BE4" s="88" t="s">
        <v>138</v>
      </c>
      <c r="BF4" s="89" t="s">
        <v>212</v>
      </c>
      <c r="BG4" s="89" t="n">
        <v>0</v>
      </c>
      <c r="BH4" s="89"/>
      <c r="BI4" s="89"/>
      <c r="BJ4" s="90"/>
      <c r="BK4" s="91" t="n">
        <f aca="false">BG4*BH4*BI4</f>
        <v>0</v>
      </c>
    </row>
    <row r="5" customFormat="false" ht="13.5" hidden="false" customHeight="false" outlineLevel="0" collapsed="false">
      <c r="A5" s="92"/>
      <c r="B5" s="89"/>
      <c r="C5" s="89"/>
      <c r="D5" s="89"/>
      <c r="E5" s="89"/>
      <c r="F5" s="90"/>
      <c r="G5" s="91"/>
      <c r="I5" s="88"/>
      <c r="J5" s="89"/>
      <c r="K5" s="89"/>
      <c r="L5" s="89"/>
      <c r="M5" s="89"/>
      <c r="N5" s="90"/>
      <c r="O5" s="91"/>
      <c r="Q5" s="88"/>
      <c r="R5" s="89"/>
      <c r="S5" s="89"/>
      <c r="T5" s="89"/>
      <c r="U5" s="89"/>
      <c r="V5" s="90"/>
      <c r="W5" s="91"/>
      <c r="Y5" s="88"/>
      <c r="Z5" s="89"/>
      <c r="AA5" s="89"/>
      <c r="AB5" s="89"/>
      <c r="AC5" s="89"/>
      <c r="AD5" s="90"/>
      <c r="AE5" s="91"/>
      <c r="AG5" s="88"/>
      <c r="AH5" s="89"/>
      <c r="AI5" s="89"/>
      <c r="AJ5" s="89"/>
      <c r="AK5" s="89"/>
      <c r="AL5" s="90"/>
      <c r="AM5" s="91"/>
      <c r="AO5" s="88"/>
      <c r="AP5" s="89"/>
      <c r="AQ5" s="89"/>
      <c r="AR5" s="89"/>
      <c r="AS5" s="89"/>
      <c r="AT5" s="90"/>
      <c r="AU5" s="91"/>
      <c r="AW5" s="88"/>
      <c r="AX5" s="89"/>
      <c r="AY5" s="89"/>
      <c r="AZ5" s="89"/>
      <c r="BA5" s="89"/>
      <c r="BB5" s="90"/>
      <c r="BC5" s="91"/>
      <c r="BE5" s="88"/>
      <c r="BF5" s="89"/>
      <c r="BG5" s="89"/>
      <c r="BH5" s="89"/>
      <c r="BI5" s="89"/>
      <c r="BJ5" s="90"/>
      <c r="BK5" s="91"/>
    </row>
    <row r="6" customFormat="false" ht="13.5" hidden="false" customHeight="false" outlineLevel="0" collapsed="false">
      <c r="A6" s="92"/>
      <c r="B6" s="89"/>
      <c r="C6" s="89"/>
      <c r="D6" s="89"/>
      <c r="E6" s="89"/>
      <c r="F6" s="90"/>
      <c r="G6" s="91"/>
      <c r="I6" s="88"/>
      <c r="J6" s="89"/>
      <c r="K6" s="89"/>
      <c r="L6" s="89"/>
      <c r="M6" s="89"/>
      <c r="N6" s="90"/>
      <c r="O6" s="91"/>
      <c r="Q6" s="88"/>
      <c r="R6" s="89" t="s">
        <v>212</v>
      </c>
      <c r="S6" s="89" t="n">
        <v>1</v>
      </c>
      <c r="T6" s="89" t="n">
        <f aca="false">3.375+0.9+1.725</f>
        <v>6</v>
      </c>
      <c r="U6" s="89" t="n">
        <v>4.2</v>
      </c>
      <c r="V6" s="90"/>
      <c r="W6" s="91" t="n">
        <f aca="false">S6*T6*U6</f>
        <v>25.2</v>
      </c>
      <c r="Y6" s="88"/>
      <c r="Z6" s="89"/>
      <c r="AA6" s="89"/>
      <c r="AB6" s="89"/>
      <c r="AC6" s="89"/>
      <c r="AD6" s="90"/>
      <c r="AE6" s="91"/>
      <c r="AG6" s="88"/>
      <c r="AH6" s="89"/>
      <c r="AI6" s="89"/>
      <c r="AJ6" s="89"/>
      <c r="AK6" s="89"/>
      <c r="AL6" s="90"/>
      <c r="AM6" s="91"/>
      <c r="AO6" s="88"/>
      <c r="AP6" s="89"/>
      <c r="AQ6" s="89"/>
      <c r="AR6" s="89"/>
      <c r="AS6" s="89"/>
      <c r="AT6" s="90"/>
      <c r="AU6" s="91"/>
      <c r="AW6" s="88"/>
      <c r="AX6" s="89"/>
      <c r="AY6" s="89"/>
      <c r="AZ6" s="89"/>
      <c r="BA6" s="89"/>
      <c r="BB6" s="90"/>
      <c r="BC6" s="91"/>
      <c r="BE6" s="88"/>
      <c r="BF6" s="89"/>
      <c r="BG6" s="89"/>
      <c r="BH6" s="89"/>
      <c r="BI6" s="89"/>
      <c r="BJ6" s="90"/>
      <c r="BK6" s="91"/>
    </row>
    <row r="7" customFormat="false" ht="13.5" hidden="false" customHeight="false" outlineLevel="0" collapsed="false">
      <c r="A7" s="92"/>
      <c r="B7" s="89"/>
      <c r="C7" s="89"/>
      <c r="D7" s="89"/>
      <c r="E7" s="89"/>
      <c r="F7" s="90"/>
      <c r="G7" s="91"/>
      <c r="I7" s="88"/>
      <c r="J7" s="89"/>
      <c r="K7" s="89"/>
      <c r="L7" s="89"/>
      <c r="M7" s="89"/>
      <c r="N7" s="90"/>
      <c r="O7" s="91"/>
      <c r="Q7" s="88"/>
      <c r="R7" s="89"/>
      <c r="S7" s="89"/>
      <c r="T7" s="89"/>
      <c r="U7" s="89"/>
      <c r="V7" s="90"/>
      <c r="W7" s="91"/>
      <c r="Y7" s="88"/>
      <c r="Z7" s="89"/>
      <c r="AA7" s="89"/>
      <c r="AB7" s="89"/>
      <c r="AC7" s="89"/>
      <c r="AD7" s="90"/>
      <c r="AE7" s="91"/>
      <c r="AG7" s="88"/>
      <c r="AH7" s="89"/>
      <c r="AI7" s="89"/>
      <c r="AJ7" s="89"/>
      <c r="AK7" s="89"/>
      <c r="AL7" s="90"/>
      <c r="AM7" s="91"/>
      <c r="AO7" s="88"/>
      <c r="AP7" s="89"/>
      <c r="AQ7" s="89"/>
      <c r="AR7" s="89"/>
      <c r="AS7" s="89"/>
      <c r="AT7" s="90"/>
      <c r="AU7" s="91"/>
      <c r="AW7" s="88"/>
      <c r="AX7" s="89"/>
      <c r="AY7" s="89"/>
      <c r="AZ7" s="89"/>
      <c r="BA7" s="89"/>
      <c r="BB7" s="90"/>
      <c r="BC7" s="91"/>
      <c r="BE7" s="88"/>
      <c r="BF7" s="89"/>
      <c r="BG7" s="89"/>
      <c r="BH7" s="89"/>
      <c r="BI7" s="89"/>
      <c r="BJ7" s="90"/>
      <c r="BK7" s="91"/>
    </row>
    <row r="8" customFormat="false" ht="14.25" hidden="false" customHeight="true" outlineLevel="0" collapsed="false">
      <c r="A8" s="93"/>
      <c r="B8" s="93"/>
      <c r="C8" s="93"/>
      <c r="D8" s="93"/>
      <c r="E8" s="93"/>
      <c r="F8" s="94"/>
      <c r="G8" s="95" t="n">
        <f aca="false">G4</f>
        <v>28.365</v>
      </c>
      <c r="I8" s="96"/>
      <c r="J8" s="93"/>
      <c r="K8" s="93"/>
      <c r="L8" s="93"/>
      <c r="M8" s="93"/>
      <c r="N8" s="94"/>
      <c r="O8" s="95" t="n">
        <f aca="false">O4</f>
        <v>36.6</v>
      </c>
      <c r="Q8" s="96"/>
      <c r="R8" s="93"/>
      <c r="S8" s="93"/>
      <c r="T8" s="93"/>
      <c r="U8" s="93"/>
      <c r="V8" s="94"/>
      <c r="W8" s="95" t="n">
        <f aca="false">W4</f>
        <v>12.505</v>
      </c>
      <c r="Y8" s="96"/>
      <c r="Z8" s="93"/>
      <c r="AA8" s="93"/>
      <c r="AB8" s="93"/>
      <c r="AC8" s="93"/>
      <c r="AD8" s="94"/>
      <c r="AE8" s="95" t="n">
        <f aca="false">AE4</f>
        <v>162.87</v>
      </c>
      <c r="AG8" s="96"/>
      <c r="AH8" s="93"/>
      <c r="AI8" s="93"/>
      <c r="AJ8" s="93"/>
      <c r="AK8" s="93"/>
      <c r="AL8" s="94"/>
      <c r="AM8" s="95" t="n">
        <f aca="false">AM4</f>
        <v>193.98</v>
      </c>
      <c r="AO8" s="96"/>
      <c r="AP8" s="93"/>
      <c r="AQ8" s="93"/>
      <c r="AR8" s="93"/>
      <c r="AS8" s="93"/>
      <c r="AT8" s="94"/>
      <c r="AU8" s="95" t="n">
        <f aca="false">AU4</f>
        <v>124.135</v>
      </c>
      <c r="AW8" s="96"/>
      <c r="AX8" s="93"/>
      <c r="AY8" s="93"/>
      <c r="AZ8" s="93"/>
      <c r="BA8" s="93"/>
      <c r="BB8" s="94"/>
      <c r="BC8" s="95" t="n">
        <f aca="false">BC4</f>
        <v>114.68</v>
      </c>
      <c r="BE8" s="96"/>
      <c r="BF8" s="93"/>
      <c r="BG8" s="93"/>
      <c r="BH8" s="93"/>
      <c r="BI8" s="93"/>
      <c r="BJ8" s="94"/>
      <c r="BK8" s="95" t="n">
        <f aca="false">BK4</f>
        <v>0</v>
      </c>
    </row>
    <row r="9" customFormat="false" ht="14.25" hidden="false" customHeight="true" outlineLevel="0" collapsed="false">
      <c r="A9" s="88"/>
      <c r="B9" s="89"/>
      <c r="C9" s="89"/>
      <c r="D9" s="89"/>
      <c r="E9" s="89"/>
      <c r="F9" s="90"/>
      <c r="G9" s="91"/>
      <c r="I9" s="88"/>
      <c r="J9" s="89"/>
      <c r="K9" s="89"/>
      <c r="L9" s="89"/>
      <c r="M9" s="89"/>
      <c r="N9" s="90"/>
      <c r="O9" s="91"/>
      <c r="Q9" s="88"/>
      <c r="R9" s="89"/>
      <c r="S9" s="89"/>
      <c r="T9" s="89"/>
      <c r="U9" s="89"/>
      <c r="V9" s="90"/>
      <c r="W9" s="91"/>
      <c r="Y9" s="88"/>
      <c r="Z9" s="89"/>
      <c r="AA9" s="89"/>
      <c r="AB9" s="89"/>
      <c r="AC9" s="89"/>
      <c r="AD9" s="90"/>
      <c r="AE9" s="91"/>
      <c r="AG9" s="88"/>
      <c r="AH9" s="89"/>
      <c r="AI9" s="89"/>
      <c r="AJ9" s="89"/>
      <c r="AK9" s="89"/>
      <c r="AL9" s="90"/>
      <c r="AM9" s="91"/>
      <c r="AO9" s="88"/>
      <c r="AP9" s="89"/>
      <c r="AQ9" s="89"/>
      <c r="AR9" s="89"/>
      <c r="AS9" s="89"/>
      <c r="AT9" s="90"/>
      <c r="AU9" s="91"/>
      <c r="AW9" s="88"/>
      <c r="AX9" s="89"/>
      <c r="AY9" s="89"/>
      <c r="AZ9" s="89"/>
      <c r="BA9" s="89"/>
      <c r="BB9" s="90"/>
      <c r="BC9" s="91"/>
      <c r="BE9" s="88"/>
      <c r="BF9" s="89"/>
      <c r="BG9" s="89"/>
      <c r="BH9" s="89"/>
      <c r="BI9" s="89"/>
      <c r="BJ9" s="90"/>
      <c r="BK9" s="91"/>
    </row>
    <row r="10" customFormat="false" ht="13.5" hidden="false" customHeight="false" outlineLevel="0" collapsed="false">
      <c r="A10" s="88"/>
      <c r="B10" s="97"/>
      <c r="C10" s="89"/>
      <c r="D10" s="89"/>
      <c r="E10" s="89"/>
      <c r="F10" s="90"/>
      <c r="G10" s="91"/>
      <c r="I10" s="88"/>
      <c r="J10" s="97"/>
      <c r="K10" s="89"/>
      <c r="L10" s="89"/>
      <c r="M10" s="89"/>
      <c r="N10" s="90"/>
      <c r="O10" s="91"/>
      <c r="Q10" s="88"/>
      <c r="R10" s="97"/>
      <c r="S10" s="89"/>
      <c r="T10" s="89"/>
      <c r="U10" s="89"/>
      <c r="V10" s="90"/>
      <c r="W10" s="91"/>
      <c r="Y10" s="88"/>
      <c r="Z10" s="97"/>
      <c r="AA10" s="89"/>
      <c r="AB10" s="89"/>
      <c r="AC10" s="89"/>
      <c r="AD10" s="90"/>
      <c r="AE10" s="91"/>
      <c r="AG10" s="88"/>
      <c r="AH10" s="97"/>
      <c r="AI10" s="89"/>
      <c r="AJ10" s="89"/>
      <c r="AK10" s="89"/>
      <c r="AL10" s="90"/>
      <c r="AM10" s="91"/>
      <c r="AO10" s="88"/>
      <c r="AP10" s="89"/>
      <c r="AQ10" s="89"/>
      <c r="AR10" s="89"/>
      <c r="AS10" s="89"/>
      <c r="AT10" s="90"/>
      <c r="AU10" s="91"/>
      <c r="AW10" s="88"/>
      <c r="AX10" s="97"/>
      <c r="AY10" s="89"/>
      <c r="AZ10" s="89"/>
      <c r="BA10" s="89"/>
      <c r="BC10" s="91"/>
      <c r="BE10" s="88"/>
      <c r="BF10" s="97"/>
      <c r="BG10" s="89"/>
      <c r="BH10" s="89"/>
      <c r="BI10" s="89"/>
      <c r="BK10" s="91"/>
    </row>
    <row r="11" customFormat="false" ht="13.5" hidden="false" customHeight="false" outlineLevel="0" collapsed="false">
      <c r="A11" s="88" t="s">
        <v>151</v>
      </c>
      <c r="B11" s="147" t="s">
        <v>213</v>
      </c>
      <c r="C11" s="89" t="n">
        <v>1</v>
      </c>
      <c r="D11" s="89"/>
      <c r="E11" s="89"/>
      <c r="F11" s="90"/>
      <c r="G11" s="91"/>
      <c r="I11" s="88" t="s">
        <v>151</v>
      </c>
      <c r="J11" s="147" t="s">
        <v>214</v>
      </c>
      <c r="K11" s="89" t="n">
        <v>1</v>
      </c>
      <c r="L11" s="89"/>
      <c r="M11" s="89"/>
      <c r="N11" s="90"/>
      <c r="O11" s="91"/>
      <c r="Q11" s="88"/>
      <c r="R11" s="102" t="s">
        <v>215</v>
      </c>
      <c r="S11" s="89" t="n">
        <v>1</v>
      </c>
      <c r="T11" s="89"/>
      <c r="U11" s="89"/>
      <c r="V11" s="90"/>
      <c r="W11" s="91"/>
      <c r="Y11" s="88"/>
      <c r="Z11" s="102" t="s">
        <v>216</v>
      </c>
      <c r="AA11" s="89" t="n">
        <v>1</v>
      </c>
      <c r="AB11" s="89"/>
      <c r="AC11" s="89"/>
      <c r="AD11" s="90"/>
      <c r="AE11" s="91"/>
      <c r="AG11" s="88"/>
      <c r="AH11" s="102" t="s">
        <v>217</v>
      </c>
      <c r="AI11" s="89" t="n">
        <v>1</v>
      </c>
      <c r="AJ11" s="89"/>
      <c r="AK11" s="89"/>
      <c r="AL11" s="90"/>
      <c r="AM11" s="91"/>
      <c r="AO11" s="88"/>
      <c r="AP11" s="102" t="s">
        <v>218</v>
      </c>
      <c r="AQ11" s="89" t="n">
        <v>1</v>
      </c>
      <c r="AR11" s="89"/>
      <c r="AS11" s="89"/>
      <c r="AU11" s="91"/>
      <c r="AW11" s="88"/>
      <c r="AX11" s="102" t="s">
        <v>219</v>
      </c>
      <c r="AY11" s="89" t="n">
        <v>1</v>
      </c>
      <c r="AZ11" s="89"/>
      <c r="BA11" s="89"/>
      <c r="BB11" s="90"/>
      <c r="BC11" s="91"/>
      <c r="BE11" s="88"/>
      <c r="BF11" s="102"/>
      <c r="BG11" s="89"/>
      <c r="BH11" s="89"/>
      <c r="BI11" s="89"/>
      <c r="BJ11" s="90"/>
      <c r="BK11" s="91"/>
    </row>
    <row r="12" customFormat="false" ht="13.5" hidden="false" customHeight="false" outlineLevel="0" collapsed="false">
      <c r="A12" s="88" t="s">
        <v>155</v>
      </c>
      <c r="B12" s="147" t="s">
        <v>220</v>
      </c>
      <c r="C12" s="89" t="n">
        <v>1</v>
      </c>
      <c r="D12" s="89"/>
      <c r="E12" s="89"/>
      <c r="F12" s="90"/>
      <c r="G12" s="91"/>
      <c r="I12" s="88" t="s">
        <v>155</v>
      </c>
      <c r="J12" s="147" t="s">
        <v>221</v>
      </c>
      <c r="K12" s="89" t="n">
        <v>1</v>
      </c>
      <c r="L12" s="89"/>
      <c r="M12" s="89"/>
      <c r="N12" s="90"/>
      <c r="O12" s="91"/>
      <c r="Q12" s="88"/>
      <c r="R12" s="102" t="s">
        <v>222</v>
      </c>
      <c r="S12" s="89" t="n">
        <v>1</v>
      </c>
      <c r="T12" s="89"/>
      <c r="U12" s="89"/>
      <c r="V12" s="90"/>
      <c r="W12" s="91"/>
      <c r="Y12" s="88"/>
      <c r="Z12" s="102" t="s">
        <v>223</v>
      </c>
      <c r="AA12" s="89" t="n">
        <v>1</v>
      </c>
      <c r="AB12" s="89"/>
      <c r="AC12" s="89"/>
      <c r="AD12" s="90"/>
      <c r="AE12" s="91"/>
      <c r="AG12" s="88"/>
      <c r="AH12" s="102" t="s">
        <v>224</v>
      </c>
      <c r="AI12" s="89" t="n">
        <v>1</v>
      </c>
      <c r="AJ12" s="89"/>
      <c r="AK12" s="89"/>
      <c r="AL12" s="90"/>
      <c r="AM12" s="91"/>
      <c r="AO12" s="88"/>
      <c r="AP12" s="102" t="s">
        <v>225</v>
      </c>
      <c r="AQ12" s="89" t="n">
        <v>1</v>
      </c>
      <c r="AR12" s="89"/>
      <c r="AS12" s="89"/>
      <c r="AT12" s="90"/>
      <c r="AU12" s="91"/>
      <c r="AW12" s="88"/>
      <c r="AX12" s="102" t="s">
        <v>226</v>
      </c>
      <c r="AY12" s="89" t="n">
        <v>1</v>
      </c>
      <c r="AZ12" s="89"/>
      <c r="BA12" s="89"/>
      <c r="BB12" s="90"/>
      <c r="BC12" s="91"/>
      <c r="BE12" s="88"/>
      <c r="BF12" s="99"/>
      <c r="BG12" s="89"/>
      <c r="BH12" s="89"/>
      <c r="BI12" s="89"/>
      <c r="BJ12" s="90"/>
      <c r="BK12" s="91"/>
    </row>
    <row r="13" customFormat="false" ht="13.5" hidden="false" customHeight="false" outlineLevel="0" collapsed="false">
      <c r="A13" s="88" t="s">
        <v>157</v>
      </c>
      <c r="B13" s="102"/>
      <c r="C13" s="89"/>
      <c r="D13" s="89"/>
      <c r="E13" s="89"/>
      <c r="F13" s="90"/>
      <c r="G13" s="91"/>
      <c r="I13" s="88" t="s">
        <v>157</v>
      </c>
      <c r="J13" s="147" t="s">
        <v>227</v>
      </c>
      <c r="K13" s="89" t="n">
        <v>1</v>
      </c>
      <c r="L13" s="89"/>
      <c r="M13" s="89"/>
      <c r="N13" s="90"/>
      <c r="O13" s="91"/>
      <c r="Q13" s="88"/>
      <c r="R13" s="102" t="s">
        <v>228</v>
      </c>
      <c r="S13" s="89" t="n">
        <v>1</v>
      </c>
      <c r="T13" s="89"/>
      <c r="U13" s="89"/>
      <c r="V13" s="90"/>
      <c r="W13" s="91"/>
      <c r="Y13" s="88"/>
      <c r="Z13" s="102" t="s">
        <v>229</v>
      </c>
      <c r="AA13" s="89" t="n">
        <v>1</v>
      </c>
      <c r="AB13" s="89"/>
      <c r="AC13" s="89"/>
      <c r="AD13" s="90"/>
      <c r="AE13" s="91"/>
      <c r="AG13" s="88"/>
      <c r="AH13" s="102" t="s">
        <v>230</v>
      </c>
      <c r="AI13" s="89" t="n">
        <v>1</v>
      </c>
      <c r="AJ13" s="89"/>
      <c r="AK13" s="89"/>
      <c r="AL13" s="90"/>
      <c r="AM13" s="91"/>
      <c r="AO13" s="88"/>
      <c r="AP13" s="102" t="s">
        <v>231</v>
      </c>
      <c r="AQ13" s="89" t="n">
        <v>1</v>
      </c>
      <c r="AR13" s="89"/>
      <c r="AS13" s="89"/>
      <c r="AT13" s="90"/>
      <c r="AU13" s="91"/>
      <c r="AW13" s="88"/>
      <c r="AX13" s="102" t="s">
        <v>232</v>
      </c>
      <c r="AY13" s="89" t="n">
        <v>1</v>
      </c>
      <c r="AZ13" s="89"/>
      <c r="BA13" s="89"/>
      <c r="BB13" s="90"/>
      <c r="BC13" s="91"/>
      <c r="BE13" s="88"/>
      <c r="BF13" s="99"/>
      <c r="BG13" s="89"/>
      <c r="BH13" s="89"/>
      <c r="BI13" s="89"/>
      <c r="BJ13" s="90"/>
      <c r="BK13" s="91"/>
    </row>
    <row r="14" customFormat="false" ht="13.5" hidden="false" customHeight="false" outlineLevel="0" collapsed="false">
      <c r="A14" s="92"/>
      <c r="B14" s="102"/>
      <c r="C14" s="89"/>
      <c r="D14" s="89"/>
      <c r="E14" s="89"/>
      <c r="F14" s="90"/>
      <c r="G14" s="91"/>
      <c r="I14" s="88" t="s">
        <v>159</v>
      </c>
      <c r="J14" s="147" t="s">
        <v>233</v>
      </c>
      <c r="K14" s="89" t="n">
        <v>1</v>
      </c>
      <c r="L14" s="89"/>
      <c r="M14" s="89"/>
      <c r="N14" s="90"/>
      <c r="O14" s="91"/>
      <c r="Q14" s="88"/>
      <c r="R14" s="147" t="s">
        <v>234</v>
      </c>
      <c r="S14" s="89" t="n">
        <v>1</v>
      </c>
      <c r="T14" s="89"/>
      <c r="U14" s="89"/>
      <c r="V14" s="90"/>
      <c r="W14" s="91"/>
      <c r="Y14" s="88"/>
      <c r="Z14" s="102" t="s">
        <v>235</v>
      </c>
      <c r="AA14" s="89" t="n">
        <v>1</v>
      </c>
      <c r="AB14" s="89"/>
      <c r="AC14" s="89"/>
      <c r="AD14" s="90"/>
      <c r="AE14" s="91"/>
      <c r="AG14" s="88"/>
      <c r="AH14" s="102" t="s">
        <v>236</v>
      </c>
      <c r="AI14" s="89" t="n">
        <v>1</v>
      </c>
      <c r="AJ14" s="89"/>
      <c r="AK14" s="89"/>
      <c r="AL14" s="90"/>
      <c r="AM14" s="91"/>
      <c r="AO14" s="88"/>
      <c r="AP14" s="102" t="s">
        <v>237</v>
      </c>
      <c r="AQ14" s="89" t="n">
        <v>1</v>
      </c>
      <c r="AR14" s="89"/>
      <c r="AS14" s="89"/>
      <c r="AT14" s="90"/>
      <c r="AU14" s="91"/>
      <c r="AW14" s="88"/>
      <c r="AX14" s="102" t="s">
        <v>238</v>
      </c>
      <c r="AY14" s="89" t="n">
        <v>1</v>
      </c>
      <c r="AZ14" s="89"/>
      <c r="BA14" s="89"/>
      <c r="BB14" s="90"/>
      <c r="BC14" s="91"/>
      <c r="BE14" s="88"/>
      <c r="BF14" s="99"/>
      <c r="BG14" s="89"/>
      <c r="BH14" s="89"/>
      <c r="BI14" s="89"/>
      <c r="BJ14" s="90"/>
      <c r="BK14" s="91"/>
    </row>
    <row r="15" customFormat="false" ht="13.5" hidden="false" customHeight="false" outlineLevel="0" collapsed="false">
      <c r="A15" s="92"/>
      <c r="B15" s="102"/>
      <c r="C15" s="89"/>
      <c r="D15" s="89"/>
      <c r="E15" s="89"/>
      <c r="F15" s="90"/>
      <c r="G15" s="91"/>
      <c r="I15" s="88" t="s">
        <v>160</v>
      </c>
      <c r="J15" s="102"/>
      <c r="K15" s="89"/>
      <c r="L15" s="89"/>
      <c r="M15" s="89"/>
      <c r="N15" s="90"/>
      <c r="O15" s="91"/>
      <c r="Q15" s="88"/>
      <c r="R15" s="147" t="s">
        <v>239</v>
      </c>
      <c r="S15" s="89" t="n">
        <v>1</v>
      </c>
      <c r="T15" s="89"/>
      <c r="U15" s="89"/>
      <c r="V15" s="90"/>
      <c r="W15" s="91"/>
      <c r="Y15" s="88"/>
      <c r="Z15" s="102" t="s">
        <v>240</v>
      </c>
      <c r="AA15" s="89" t="n">
        <v>1</v>
      </c>
      <c r="AB15" s="89"/>
      <c r="AC15" s="89"/>
      <c r="AD15" s="90"/>
      <c r="AE15" s="91"/>
      <c r="AG15" s="88"/>
      <c r="AH15" s="102" t="s">
        <v>241</v>
      </c>
      <c r="AI15" s="89" t="n">
        <v>1</v>
      </c>
      <c r="AJ15" s="89"/>
      <c r="AK15" s="89"/>
      <c r="AL15" s="90"/>
      <c r="AM15" s="91"/>
      <c r="AO15" s="88"/>
      <c r="AP15" s="102" t="s">
        <v>242</v>
      </c>
      <c r="AQ15" s="89" t="n">
        <v>1</v>
      </c>
      <c r="AR15" s="89"/>
      <c r="AS15" s="89"/>
      <c r="AT15" s="90"/>
      <c r="AU15" s="91"/>
      <c r="AW15" s="88"/>
      <c r="AX15" s="147" t="s">
        <v>243</v>
      </c>
      <c r="AY15" s="89" t="n">
        <v>1</v>
      </c>
      <c r="AZ15" s="89"/>
      <c r="BA15" s="89"/>
      <c r="BB15" s="90"/>
      <c r="BC15" s="91"/>
      <c r="BE15" s="88"/>
      <c r="BF15" s="147"/>
      <c r="BG15" s="89"/>
      <c r="BH15" s="89"/>
      <c r="BI15" s="89"/>
      <c r="BJ15" s="90"/>
      <c r="BK15" s="91"/>
    </row>
    <row r="16" customFormat="false" ht="13.5" hidden="false" customHeight="false" outlineLevel="0" collapsed="false">
      <c r="A16" s="92"/>
      <c r="B16" s="102"/>
      <c r="C16" s="89"/>
      <c r="D16" s="89"/>
      <c r="E16" s="89"/>
      <c r="F16" s="90"/>
      <c r="G16" s="91"/>
      <c r="I16" s="88"/>
      <c r="J16" s="102"/>
      <c r="K16" s="89"/>
      <c r="L16" s="89"/>
      <c r="M16" s="89"/>
      <c r="N16" s="90"/>
      <c r="O16" s="91"/>
      <c r="Q16" s="88"/>
      <c r="R16" s="147" t="s">
        <v>244</v>
      </c>
      <c r="S16" s="89" t="n">
        <v>1</v>
      </c>
      <c r="T16" s="89"/>
      <c r="U16" s="89"/>
      <c r="V16" s="90"/>
      <c r="W16" s="91"/>
      <c r="Y16" s="88"/>
      <c r="Z16" s="102" t="s">
        <v>245</v>
      </c>
      <c r="AA16" s="89" t="n">
        <v>1</v>
      </c>
      <c r="AB16" s="89"/>
      <c r="AC16" s="89"/>
      <c r="AD16" s="90"/>
      <c r="AE16" s="91"/>
      <c r="AG16" s="88"/>
      <c r="AH16" s="102" t="s">
        <v>246</v>
      </c>
      <c r="AI16" s="89" t="n">
        <v>1</v>
      </c>
      <c r="AJ16" s="89"/>
      <c r="AK16" s="89"/>
      <c r="AL16" s="90"/>
      <c r="AM16" s="91"/>
      <c r="AO16" s="88"/>
      <c r="AP16" s="102" t="s">
        <v>247</v>
      </c>
      <c r="AQ16" s="89" t="n">
        <v>1</v>
      </c>
      <c r="AR16" s="89"/>
      <c r="AS16" s="89"/>
      <c r="AT16" s="90"/>
      <c r="AU16" s="91"/>
      <c r="AW16" s="88"/>
      <c r="AX16" s="147" t="s">
        <v>248</v>
      </c>
      <c r="AY16" s="89" t="n">
        <v>1</v>
      </c>
      <c r="AZ16" s="89"/>
      <c r="BA16" s="89"/>
      <c r="BB16" s="90"/>
      <c r="BC16" s="91"/>
      <c r="BE16" s="88"/>
      <c r="BF16" s="147"/>
      <c r="BG16" s="89"/>
      <c r="BH16" s="89"/>
      <c r="BI16" s="89"/>
      <c r="BJ16" s="90"/>
      <c r="BK16" s="91"/>
    </row>
    <row r="17" customFormat="false" ht="13.5" hidden="false" customHeight="false" outlineLevel="0" collapsed="false">
      <c r="A17" s="92"/>
      <c r="B17" s="102"/>
      <c r="C17" s="89"/>
      <c r="D17" s="89"/>
      <c r="E17" s="89"/>
      <c r="F17" s="90"/>
      <c r="G17" s="91"/>
      <c r="I17" s="88"/>
      <c r="J17" s="102"/>
      <c r="K17" s="89"/>
      <c r="L17" s="89"/>
      <c r="M17" s="89"/>
      <c r="N17" s="90"/>
      <c r="O17" s="91"/>
      <c r="Q17" s="88"/>
      <c r="R17" s="102"/>
      <c r="S17" s="89"/>
      <c r="T17" s="89"/>
      <c r="U17" s="89"/>
      <c r="V17" s="90"/>
      <c r="W17" s="91"/>
      <c r="Y17" s="88"/>
      <c r="Z17" s="102" t="s">
        <v>249</v>
      </c>
      <c r="AA17" s="89" t="n">
        <v>1</v>
      </c>
      <c r="AB17" s="89"/>
      <c r="AC17" s="89"/>
      <c r="AD17" s="90"/>
      <c r="AE17" s="91"/>
      <c r="AG17" s="88"/>
      <c r="AH17" s="102" t="s">
        <v>250</v>
      </c>
      <c r="AI17" s="89" t="n">
        <v>1</v>
      </c>
      <c r="AJ17" s="89"/>
      <c r="AK17" s="89"/>
      <c r="AL17" s="90"/>
      <c r="AM17" s="91"/>
      <c r="AO17" s="88"/>
      <c r="AP17" s="102" t="s">
        <v>251</v>
      </c>
      <c r="AQ17" s="89" t="n">
        <v>1</v>
      </c>
      <c r="AR17" s="89"/>
      <c r="AS17" s="89"/>
      <c r="AT17" s="90"/>
      <c r="AU17" s="91"/>
      <c r="AW17" s="88"/>
      <c r="AX17" s="147" t="s">
        <v>252</v>
      </c>
      <c r="AY17" s="89" t="n">
        <v>1</v>
      </c>
      <c r="AZ17" s="89"/>
      <c r="BA17" s="89"/>
      <c r="BB17" s="90"/>
      <c r="BC17" s="91"/>
      <c r="BE17" s="88"/>
      <c r="BF17" s="147"/>
      <c r="BG17" s="89"/>
      <c r="BH17" s="89"/>
      <c r="BI17" s="89"/>
      <c r="BJ17" s="90"/>
      <c r="BK17" s="91"/>
    </row>
    <row r="18" customFormat="false" ht="13.5" hidden="false" customHeight="false" outlineLevel="0" collapsed="false">
      <c r="A18" s="92"/>
      <c r="B18" s="102"/>
      <c r="C18" s="89"/>
      <c r="D18" s="89"/>
      <c r="E18" s="89"/>
      <c r="F18" s="90"/>
      <c r="G18" s="91"/>
      <c r="I18" s="88"/>
      <c r="J18" s="102"/>
      <c r="K18" s="89"/>
      <c r="L18" s="89"/>
      <c r="M18" s="89"/>
      <c r="N18" s="90"/>
      <c r="O18" s="91"/>
      <c r="Q18" s="88"/>
      <c r="R18" s="102"/>
      <c r="S18" s="89"/>
      <c r="T18" s="89"/>
      <c r="U18" s="89"/>
      <c r="V18" s="90"/>
      <c r="W18" s="91"/>
      <c r="Y18" s="88"/>
      <c r="Z18" s="102" t="s">
        <v>253</v>
      </c>
      <c r="AA18" s="89" t="n">
        <v>1</v>
      </c>
      <c r="AB18" s="89"/>
      <c r="AC18" s="89"/>
      <c r="AD18" s="90"/>
      <c r="AE18" s="91"/>
      <c r="AG18" s="88"/>
      <c r="AH18" s="102" t="s">
        <v>254</v>
      </c>
      <c r="AI18" s="89" t="n">
        <v>1</v>
      </c>
      <c r="AJ18" s="89"/>
      <c r="AK18" s="89"/>
      <c r="AL18" s="90"/>
      <c r="AM18" s="91"/>
      <c r="AO18" s="88"/>
      <c r="AP18" s="102" t="s">
        <v>255</v>
      </c>
      <c r="AQ18" s="89" t="n">
        <v>1</v>
      </c>
      <c r="AR18" s="89"/>
      <c r="AS18" s="89"/>
      <c r="AT18" s="90"/>
      <c r="AU18" s="91"/>
      <c r="AW18" s="88"/>
      <c r="AX18" s="147" t="s">
        <v>256</v>
      </c>
      <c r="AY18" s="89" t="n">
        <v>1</v>
      </c>
      <c r="AZ18" s="89"/>
      <c r="BA18" s="89"/>
      <c r="BB18" s="90"/>
      <c r="BC18" s="91"/>
      <c r="BE18" s="88"/>
      <c r="BF18" s="147"/>
      <c r="BG18" s="89"/>
      <c r="BH18" s="89"/>
      <c r="BI18" s="89"/>
      <c r="BJ18" s="90"/>
      <c r="BK18" s="91"/>
    </row>
    <row r="19" customFormat="false" ht="13.5" hidden="false" customHeight="false" outlineLevel="0" collapsed="false">
      <c r="A19" s="92"/>
      <c r="B19" s="102"/>
      <c r="C19" s="89"/>
      <c r="D19" s="89"/>
      <c r="E19" s="89"/>
      <c r="F19" s="90"/>
      <c r="G19" s="91"/>
      <c r="I19" s="88"/>
      <c r="J19" s="102"/>
      <c r="K19" s="89"/>
      <c r="L19" s="89"/>
      <c r="M19" s="89"/>
      <c r="N19" s="90"/>
      <c r="O19" s="91"/>
      <c r="Q19" s="88"/>
      <c r="R19" s="102"/>
      <c r="S19" s="89"/>
      <c r="T19" s="89"/>
      <c r="U19" s="89"/>
      <c r="V19" s="90"/>
      <c r="W19" s="91"/>
      <c r="Y19" s="88"/>
      <c r="Z19" s="102" t="s">
        <v>257</v>
      </c>
      <c r="AA19" s="89" t="n">
        <v>1</v>
      </c>
      <c r="AB19" s="89"/>
      <c r="AC19" s="89"/>
      <c r="AD19" s="90"/>
      <c r="AE19" s="91"/>
      <c r="AG19" s="88"/>
      <c r="AH19" s="102" t="s">
        <v>258</v>
      </c>
      <c r="AI19" s="89" t="n">
        <v>1</v>
      </c>
      <c r="AJ19" s="89"/>
      <c r="AK19" s="89"/>
      <c r="AL19" s="90"/>
      <c r="AM19" s="91"/>
      <c r="AO19" s="88"/>
      <c r="AP19" s="147" t="s">
        <v>234</v>
      </c>
      <c r="AQ19" s="89" t="n">
        <v>1</v>
      </c>
      <c r="AR19" s="89"/>
      <c r="AS19" s="89"/>
      <c r="AT19" s="90"/>
      <c r="AU19" s="91"/>
      <c r="AW19" s="88"/>
      <c r="AX19" s="147" t="s">
        <v>259</v>
      </c>
      <c r="AY19" s="89" t="n">
        <v>1</v>
      </c>
      <c r="AZ19" s="89"/>
      <c r="BA19" s="89"/>
      <c r="BB19" s="90"/>
      <c r="BC19" s="91"/>
      <c r="BE19" s="88"/>
      <c r="BF19" s="147"/>
      <c r="BG19" s="89"/>
      <c r="BH19" s="89"/>
      <c r="BI19" s="89"/>
      <c r="BJ19" s="90"/>
      <c r="BK19" s="91"/>
    </row>
    <row r="20" customFormat="false" ht="13.5" hidden="false" customHeight="false" outlineLevel="0" collapsed="false">
      <c r="A20" s="92"/>
      <c r="B20" s="102"/>
      <c r="C20" s="89"/>
      <c r="D20" s="89"/>
      <c r="E20" s="89"/>
      <c r="F20" s="90"/>
      <c r="G20" s="91"/>
      <c r="I20" s="88"/>
      <c r="J20" s="102"/>
      <c r="K20" s="89"/>
      <c r="L20" s="89"/>
      <c r="M20" s="89"/>
      <c r="N20" s="90"/>
      <c r="O20" s="91"/>
      <c r="Q20" s="88"/>
      <c r="R20" s="102"/>
      <c r="S20" s="89"/>
      <c r="T20" s="89"/>
      <c r="U20" s="89"/>
      <c r="V20" s="90"/>
      <c r="W20" s="91"/>
      <c r="Y20" s="88"/>
      <c r="Z20" s="102" t="s">
        <v>260</v>
      </c>
      <c r="AA20" s="89" t="n">
        <v>1</v>
      </c>
      <c r="AB20" s="89"/>
      <c r="AC20" s="89"/>
      <c r="AD20" s="90"/>
      <c r="AE20" s="91"/>
      <c r="AG20" s="88"/>
      <c r="AH20" s="102" t="s">
        <v>261</v>
      </c>
      <c r="AI20" s="89" t="n">
        <v>1</v>
      </c>
      <c r="AJ20" s="89"/>
      <c r="AK20" s="89"/>
      <c r="AL20" s="90"/>
      <c r="AM20" s="91"/>
      <c r="AO20" s="88"/>
      <c r="AP20" s="147" t="s">
        <v>239</v>
      </c>
      <c r="AQ20" s="89" t="n">
        <v>1</v>
      </c>
      <c r="AR20" s="89"/>
      <c r="AS20" s="89"/>
      <c r="AT20" s="90"/>
      <c r="AU20" s="91"/>
      <c r="AW20" s="88"/>
      <c r="AX20" s="147" t="s">
        <v>262</v>
      </c>
      <c r="AY20" s="89" t="n">
        <v>1</v>
      </c>
      <c r="AZ20" s="89"/>
      <c r="BA20" s="89"/>
      <c r="BB20" s="90"/>
      <c r="BC20" s="91"/>
      <c r="BE20" s="88"/>
      <c r="BF20" s="147"/>
      <c r="BG20" s="89"/>
      <c r="BH20" s="89"/>
      <c r="BI20" s="89"/>
      <c r="BJ20" s="90"/>
      <c r="BK20" s="91"/>
    </row>
    <row r="21" customFormat="false" ht="13.5" hidden="false" customHeight="false" outlineLevel="0" collapsed="false">
      <c r="A21" s="92"/>
      <c r="B21" s="102"/>
      <c r="C21" s="89"/>
      <c r="D21" s="89"/>
      <c r="E21" s="89"/>
      <c r="F21" s="90"/>
      <c r="G21" s="91"/>
      <c r="I21" s="88"/>
      <c r="J21" s="102"/>
      <c r="K21" s="89"/>
      <c r="L21" s="89"/>
      <c r="M21" s="89"/>
      <c r="N21" s="90"/>
      <c r="O21" s="91"/>
      <c r="Q21" s="88"/>
      <c r="R21" s="102"/>
      <c r="S21" s="89"/>
      <c r="T21" s="89"/>
      <c r="U21" s="89"/>
      <c r="V21" s="90"/>
      <c r="W21" s="91"/>
      <c r="Y21" s="88"/>
      <c r="Z21" s="102" t="s">
        <v>263</v>
      </c>
      <c r="AA21" s="89" t="n">
        <v>1</v>
      </c>
      <c r="AB21" s="89"/>
      <c r="AC21" s="89"/>
      <c r="AD21" s="90"/>
      <c r="AE21" s="91"/>
      <c r="AG21" s="88"/>
      <c r="AH21" s="102" t="s">
        <v>264</v>
      </c>
      <c r="AI21" s="89" t="n">
        <v>1</v>
      </c>
      <c r="AJ21" s="89"/>
      <c r="AK21" s="89"/>
      <c r="AL21" s="90"/>
      <c r="AM21" s="91"/>
      <c r="AO21" s="88"/>
      <c r="AP21" s="147" t="s">
        <v>244</v>
      </c>
      <c r="AQ21" s="89" t="n">
        <v>1</v>
      </c>
      <c r="AR21" s="89"/>
      <c r="AS21" s="89"/>
      <c r="AT21" s="90"/>
      <c r="AU21" s="91"/>
      <c r="AW21" s="88"/>
      <c r="AX21" s="102"/>
      <c r="AY21" s="89"/>
      <c r="AZ21" s="89"/>
      <c r="BA21" s="89"/>
      <c r="BB21" s="90"/>
      <c r="BC21" s="91"/>
      <c r="BE21" s="88"/>
      <c r="BF21" s="99"/>
      <c r="BG21" s="89"/>
      <c r="BH21" s="89"/>
      <c r="BI21" s="89"/>
      <c r="BJ21" s="90"/>
      <c r="BK21" s="91"/>
    </row>
    <row r="22" customFormat="false" ht="13.5" hidden="false" customHeight="false" outlineLevel="0" collapsed="false">
      <c r="A22" s="92"/>
      <c r="B22" s="102"/>
      <c r="C22" s="89"/>
      <c r="D22" s="89"/>
      <c r="E22" s="89"/>
      <c r="F22" s="90"/>
      <c r="G22" s="91"/>
      <c r="I22" s="88"/>
      <c r="J22" s="102"/>
      <c r="K22" s="89"/>
      <c r="L22" s="89"/>
      <c r="M22" s="89"/>
      <c r="N22" s="90"/>
      <c r="O22" s="91"/>
      <c r="Q22" s="88"/>
      <c r="R22" s="102"/>
      <c r="S22" s="89"/>
      <c r="T22" s="89"/>
      <c r="U22" s="89"/>
      <c r="V22" s="90"/>
      <c r="W22" s="91"/>
      <c r="Y22" s="88"/>
      <c r="Z22" s="102" t="s">
        <v>265</v>
      </c>
      <c r="AA22" s="89" t="n">
        <v>1</v>
      </c>
      <c r="AB22" s="89"/>
      <c r="AC22" s="89"/>
      <c r="AD22" s="90"/>
      <c r="AE22" s="91"/>
      <c r="AG22" s="88"/>
      <c r="AH22" s="102" t="s">
        <v>266</v>
      </c>
      <c r="AI22" s="89" t="n">
        <v>1</v>
      </c>
      <c r="AJ22" s="89"/>
      <c r="AK22" s="89"/>
      <c r="AL22" s="90"/>
      <c r="AM22" s="91"/>
      <c r="AO22" s="88"/>
      <c r="AP22" s="102"/>
      <c r="AQ22" s="89"/>
      <c r="AR22" s="89"/>
      <c r="AS22" s="89"/>
      <c r="AT22" s="90"/>
      <c r="AU22" s="91"/>
      <c r="AW22" s="88"/>
      <c r="AX22" s="102"/>
      <c r="AY22" s="89"/>
      <c r="AZ22" s="89"/>
      <c r="BA22" s="89"/>
      <c r="BB22" s="90"/>
      <c r="BC22" s="91"/>
      <c r="BE22" s="88"/>
      <c r="BF22" s="99"/>
      <c r="BG22" s="89"/>
      <c r="BH22" s="89"/>
      <c r="BI22" s="89"/>
      <c r="BJ22" s="90"/>
      <c r="BK22" s="91"/>
    </row>
    <row r="23" customFormat="false" ht="13.5" hidden="false" customHeight="false" outlineLevel="0" collapsed="false">
      <c r="A23" s="92"/>
      <c r="B23" s="102"/>
      <c r="C23" s="89"/>
      <c r="D23" s="89"/>
      <c r="E23" s="89"/>
      <c r="F23" s="90"/>
      <c r="G23" s="91"/>
      <c r="I23" s="88"/>
      <c r="J23" s="102"/>
      <c r="K23" s="89"/>
      <c r="L23" s="89"/>
      <c r="M23" s="89"/>
      <c r="N23" s="90"/>
      <c r="O23" s="91"/>
      <c r="Q23" s="88"/>
      <c r="R23" s="102"/>
      <c r="S23" s="89"/>
      <c r="T23" s="89"/>
      <c r="U23" s="89"/>
      <c r="V23" s="90"/>
      <c r="W23" s="91"/>
      <c r="Y23" s="88"/>
      <c r="Z23" s="102" t="s">
        <v>267</v>
      </c>
      <c r="AA23" s="89" t="n">
        <v>1</v>
      </c>
      <c r="AB23" s="89"/>
      <c r="AC23" s="89"/>
      <c r="AD23" s="90"/>
      <c r="AE23" s="91"/>
      <c r="AG23" s="88"/>
      <c r="AH23" s="102" t="s">
        <v>268</v>
      </c>
      <c r="AI23" s="89" t="n">
        <v>1</v>
      </c>
      <c r="AJ23" s="89"/>
      <c r="AK23" s="89"/>
      <c r="AL23" s="90"/>
      <c r="AM23" s="91"/>
      <c r="AO23" s="88"/>
      <c r="AP23" s="102"/>
      <c r="AQ23" s="89"/>
      <c r="AR23" s="89"/>
      <c r="AS23" s="89"/>
      <c r="AT23" s="90"/>
      <c r="AU23" s="91"/>
      <c r="AW23" s="88"/>
      <c r="AX23" s="102"/>
      <c r="AY23" s="89"/>
      <c r="AZ23" s="89"/>
      <c r="BA23" s="89"/>
      <c r="BB23" s="90"/>
      <c r="BC23" s="91"/>
      <c r="BE23" s="88"/>
      <c r="BF23" s="99"/>
      <c r="BG23" s="89"/>
      <c r="BH23" s="89"/>
      <c r="BI23" s="89"/>
      <c r="BJ23" s="90"/>
      <c r="BK23" s="91"/>
    </row>
    <row r="24" customFormat="false" ht="13.5" hidden="false" customHeight="false" outlineLevel="0" collapsed="false">
      <c r="A24" s="92"/>
      <c r="B24" s="102"/>
      <c r="C24" s="89"/>
      <c r="D24" s="89"/>
      <c r="E24" s="89"/>
      <c r="F24" s="90"/>
      <c r="G24" s="91"/>
      <c r="I24" s="88"/>
      <c r="J24" s="102"/>
      <c r="K24" s="89"/>
      <c r="L24" s="89"/>
      <c r="M24" s="89"/>
      <c r="N24" s="90"/>
      <c r="O24" s="91"/>
      <c r="Q24" s="88"/>
      <c r="R24" s="102"/>
      <c r="S24" s="89"/>
      <c r="T24" s="89"/>
      <c r="U24" s="89"/>
      <c r="V24" s="90"/>
      <c r="W24" s="91"/>
      <c r="Y24" s="88"/>
      <c r="Z24" s="102" t="s">
        <v>269</v>
      </c>
      <c r="AA24" s="89" t="n">
        <v>1</v>
      </c>
      <c r="AB24" s="89"/>
      <c r="AC24" s="89"/>
      <c r="AD24" s="90"/>
      <c r="AE24" s="91"/>
      <c r="AG24" s="88"/>
      <c r="AH24" s="102" t="s">
        <v>270</v>
      </c>
      <c r="AI24" s="89" t="n">
        <v>1</v>
      </c>
      <c r="AJ24" s="89"/>
      <c r="AK24" s="89"/>
      <c r="AL24" s="90"/>
      <c r="AM24" s="91"/>
      <c r="AO24" s="88"/>
      <c r="AP24" s="102"/>
      <c r="AQ24" s="89"/>
      <c r="AR24" s="89"/>
      <c r="AS24" s="89"/>
      <c r="AT24" s="90"/>
      <c r="AU24" s="91"/>
      <c r="AW24" s="88"/>
      <c r="AX24" s="102"/>
      <c r="AY24" s="89"/>
      <c r="AZ24" s="89"/>
      <c r="BA24" s="89"/>
      <c r="BB24" s="90"/>
      <c r="BC24" s="91"/>
      <c r="BE24" s="88"/>
      <c r="BF24" s="99"/>
      <c r="BG24" s="89"/>
      <c r="BH24" s="89"/>
      <c r="BI24" s="89"/>
      <c r="BJ24" s="90"/>
      <c r="BK24" s="91"/>
    </row>
    <row r="25" customFormat="false" ht="13.5" hidden="false" customHeight="false" outlineLevel="0" collapsed="false">
      <c r="A25" s="92"/>
      <c r="B25" s="102"/>
      <c r="C25" s="89"/>
      <c r="D25" s="89"/>
      <c r="E25" s="89"/>
      <c r="F25" s="90"/>
      <c r="G25" s="91"/>
      <c r="I25" s="88"/>
      <c r="J25" s="102"/>
      <c r="K25" s="89"/>
      <c r="L25" s="89"/>
      <c r="M25" s="89"/>
      <c r="N25" s="90"/>
      <c r="O25" s="91"/>
      <c r="Q25" s="88"/>
      <c r="R25" s="102"/>
      <c r="S25" s="89"/>
      <c r="T25" s="89"/>
      <c r="U25" s="89"/>
      <c r="V25" s="90"/>
      <c r="W25" s="91"/>
      <c r="Y25" s="88"/>
      <c r="Z25" s="102" t="s">
        <v>271</v>
      </c>
      <c r="AA25" s="89" t="n">
        <v>1</v>
      </c>
      <c r="AB25" s="89"/>
      <c r="AC25" s="89"/>
      <c r="AD25" s="90"/>
      <c r="AE25" s="91"/>
      <c r="AG25" s="88"/>
      <c r="AH25" s="102" t="s">
        <v>272</v>
      </c>
      <c r="AI25" s="89" t="n">
        <v>1</v>
      </c>
      <c r="AJ25" s="89"/>
      <c r="AK25" s="89"/>
      <c r="AL25" s="90"/>
      <c r="AM25" s="91"/>
      <c r="AO25" s="88"/>
      <c r="AP25" s="102"/>
      <c r="AQ25" s="89"/>
      <c r="AR25" s="89"/>
      <c r="AS25" s="89"/>
      <c r="AT25" s="90"/>
      <c r="AU25" s="91"/>
      <c r="AW25" s="88"/>
      <c r="AX25" s="102"/>
      <c r="AY25" s="89"/>
      <c r="AZ25" s="89"/>
      <c r="BA25" s="89"/>
      <c r="BB25" s="90"/>
      <c r="BC25" s="91"/>
      <c r="BE25" s="88"/>
      <c r="BF25" s="99"/>
      <c r="BG25" s="89"/>
      <c r="BH25" s="89"/>
      <c r="BI25" s="89"/>
      <c r="BJ25" s="90"/>
      <c r="BK25" s="91"/>
    </row>
    <row r="26" customFormat="false" ht="13.5" hidden="false" customHeight="false" outlineLevel="0" collapsed="false">
      <c r="A26" s="92"/>
      <c r="B26" s="102"/>
      <c r="C26" s="89"/>
      <c r="D26" s="89"/>
      <c r="E26" s="89"/>
      <c r="F26" s="90"/>
      <c r="G26" s="91"/>
      <c r="I26" s="88"/>
      <c r="J26" s="102"/>
      <c r="K26" s="89"/>
      <c r="L26" s="89"/>
      <c r="M26" s="89"/>
      <c r="N26" s="90"/>
      <c r="O26" s="91"/>
      <c r="Q26" s="88"/>
      <c r="R26" s="102"/>
      <c r="S26" s="89"/>
      <c r="T26" s="89"/>
      <c r="U26" s="89"/>
      <c r="V26" s="90"/>
      <c r="W26" s="91"/>
      <c r="Y26" s="88"/>
      <c r="Z26" s="102" t="s">
        <v>273</v>
      </c>
      <c r="AA26" s="89" t="n">
        <v>1</v>
      </c>
      <c r="AB26" s="89"/>
      <c r="AC26" s="89"/>
      <c r="AD26" s="90"/>
      <c r="AE26" s="91"/>
      <c r="AG26" s="88"/>
      <c r="AH26" s="102" t="s">
        <v>274</v>
      </c>
      <c r="AI26" s="89" t="n">
        <v>1</v>
      </c>
      <c r="AJ26" s="89"/>
      <c r="AK26" s="89"/>
      <c r="AL26" s="90"/>
      <c r="AM26" s="91"/>
      <c r="AO26" s="88"/>
      <c r="AP26" s="102"/>
      <c r="AQ26" s="89"/>
      <c r="AR26" s="89"/>
      <c r="AS26" s="89"/>
      <c r="AT26" s="90"/>
      <c r="AU26" s="91"/>
      <c r="AW26" s="88"/>
      <c r="AX26" s="102"/>
      <c r="AY26" s="89"/>
      <c r="AZ26" s="89"/>
      <c r="BA26" s="89"/>
      <c r="BB26" s="90"/>
      <c r="BC26" s="91"/>
      <c r="BE26" s="88"/>
      <c r="BF26" s="99"/>
      <c r="BG26" s="89"/>
      <c r="BH26" s="89"/>
      <c r="BI26" s="89"/>
      <c r="BJ26" s="90"/>
      <c r="BK26" s="91"/>
    </row>
    <row r="27" customFormat="false" ht="13.5" hidden="false" customHeight="false" outlineLevel="0" collapsed="false">
      <c r="A27" s="92"/>
      <c r="B27" s="102"/>
      <c r="C27" s="89"/>
      <c r="D27" s="89"/>
      <c r="E27" s="89"/>
      <c r="F27" s="90"/>
      <c r="G27" s="91"/>
      <c r="I27" s="88"/>
      <c r="J27" s="102"/>
      <c r="K27" s="89"/>
      <c r="L27" s="89"/>
      <c r="M27" s="89"/>
      <c r="N27" s="90"/>
      <c r="O27" s="91"/>
      <c r="Q27" s="88"/>
      <c r="R27" s="102"/>
      <c r="S27" s="89"/>
      <c r="T27" s="89"/>
      <c r="U27" s="89"/>
      <c r="V27" s="90"/>
      <c r="W27" s="91"/>
      <c r="Y27" s="88"/>
      <c r="Z27" s="147" t="s">
        <v>234</v>
      </c>
      <c r="AA27" s="89" t="n">
        <v>1</v>
      </c>
      <c r="AB27" s="89"/>
      <c r="AC27" s="89"/>
      <c r="AD27" s="90"/>
      <c r="AE27" s="91"/>
      <c r="AG27" s="88"/>
      <c r="AH27" s="102" t="s">
        <v>275</v>
      </c>
      <c r="AI27" s="89" t="n">
        <v>1</v>
      </c>
      <c r="AJ27" s="89"/>
      <c r="AK27" s="89"/>
      <c r="AL27" s="90"/>
      <c r="AM27" s="91"/>
      <c r="AO27" s="88"/>
      <c r="AP27" s="102"/>
      <c r="AQ27" s="89"/>
      <c r="AR27" s="89"/>
      <c r="AS27" s="89"/>
      <c r="AT27" s="90"/>
      <c r="AU27" s="91"/>
      <c r="AW27" s="88"/>
      <c r="AX27" s="102"/>
      <c r="AY27" s="89"/>
      <c r="AZ27" s="89"/>
      <c r="BA27" s="89"/>
      <c r="BB27" s="90"/>
      <c r="BC27" s="91"/>
      <c r="BE27" s="88"/>
      <c r="BF27" s="99"/>
      <c r="BG27" s="89"/>
      <c r="BH27" s="89"/>
      <c r="BI27" s="89"/>
      <c r="BJ27" s="90"/>
      <c r="BK27" s="91"/>
    </row>
    <row r="28" customFormat="false" ht="13.5" hidden="false" customHeight="false" outlineLevel="0" collapsed="false">
      <c r="A28" s="92"/>
      <c r="B28" s="102"/>
      <c r="C28" s="89"/>
      <c r="D28" s="89"/>
      <c r="E28" s="89"/>
      <c r="F28" s="90"/>
      <c r="G28" s="91"/>
      <c r="I28" s="88"/>
      <c r="J28" s="102"/>
      <c r="K28" s="89"/>
      <c r="L28" s="89"/>
      <c r="M28" s="89"/>
      <c r="N28" s="90"/>
      <c r="O28" s="91"/>
      <c r="Q28" s="88"/>
      <c r="R28" s="102"/>
      <c r="S28" s="89"/>
      <c r="T28" s="89"/>
      <c r="U28" s="89"/>
      <c r="V28" s="90"/>
      <c r="W28" s="91"/>
      <c r="Y28" s="88"/>
      <c r="Z28" s="147" t="s">
        <v>239</v>
      </c>
      <c r="AA28" s="89" t="n">
        <v>1</v>
      </c>
      <c r="AB28" s="89"/>
      <c r="AC28" s="89"/>
      <c r="AD28" s="90"/>
      <c r="AE28" s="91"/>
      <c r="AG28" s="88"/>
      <c r="AH28" s="102" t="s">
        <v>276</v>
      </c>
      <c r="AI28" s="89" t="n">
        <v>1</v>
      </c>
      <c r="AJ28" s="89"/>
      <c r="AK28" s="89"/>
      <c r="AL28" s="90"/>
      <c r="AM28" s="91"/>
      <c r="AO28" s="88"/>
      <c r="AP28" s="102"/>
      <c r="AQ28" s="89"/>
      <c r="AR28" s="89"/>
      <c r="AS28" s="89"/>
      <c r="AT28" s="90"/>
      <c r="AU28" s="91"/>
      <c r="AW28" s="88"/>
      <c r="AX28" s="102"/>
      <c r="AY28" s="89"/>
      <c r="AZ28" s="89"/>
      <c r="BA28" s="89"/>
      <c r="BB28" s="90"/>
      <c r="BC28" s="91"/>
      <c r="BE28" s="88"/>
      <c r="BF28" s="99"/>
      <c r="BG28" s="89"/>
      <c r="BH28" s="89"/>
      <c r="BI28" s="89"/>
      <c r="BJ28" s="90"/>
      <c r="BK28" s="91"/>
    </row>
    <row r="29" customFormat="false" ht="13.5" hidden="false" customHeight="false" outlineLevel="0" collapsed="false">
      <c r="A29" s="92"/>
      <c r="B29" s="102"/>
      <c r="C29" s="89"/>
      <c r="D29" s="89"/>
      <c r="E29" s="89"/>
      <c r="F29" s="90"/>
      <c r="G29" s="91"/>
      <c r="I29" s="88"/>
      <c r="J29" s="102"/>
      <c r="K29" s="89"/>
      <c r="L29" s="89"/>
      <c r="M29" s="89"/>
      <c r="N29" s="90"/>
      <c r="O29" s="91"/>
      <c r="Q29" s="88"/>
      <c r="R29" s="102"/>
      <c r="S29" s="89"/>
      <c r="T29" s="89"/>
      <c r="U29" s="89"/>
      <c r="V29" s="90"/>
      <c r="W29" s="91"/>
      <c r="Y29" s="88"/>
      <c r="Z29" s="147" t="s">
        <v>244</v>
      </c>
      <c r="AA29" s="89" t="n">
        <v>1</v>
      </c>
      <c r="AB29" s="89"/>
      <c r="AC29" s="89"/>
      <c r="AD29" s="90"/>
      <c r="AE29" s="91"/>
      <c r="AG29" s="88"/>
      <c r="AH29" s="102" t="s">
        <v>277</v>
      </c>
      <c r="AI29" s="89" t="n">
        <v>1</v>
      </c>
      <c r="AJ29" s="89"/>
      <c r="AK29" s="89"/>
      <c r="AL29" s="90"/>
      <c r="AM29" s="91"/>
      <c r="AO29" s="88"/>
      <c r="AP29" s="102"/>
      <c r="AQ29" s="89"/>
      <c r="AR29" s="89"/>
      <c r="AS29" s="89"/>
      <c r="AT29" s="90"/>
      <c r="AU29" s="91"/>
      <c r="AW29" s="88"/>
      <c r="AX29" s="102"/>
      <c r="AY29" s="89"/>
      <c r="AZ29" s="89"/>
      <c r="BA29" s="89"/>
      <c r="BB29" s="90"/>
      <c r="BC29" s="91"/>
      <c r="BE29" s="88"/>
      <c r="BF29" s="99"/>
      <c r="BG29" s="89"/>
      <c r="BH29" s="89"/>
      <c r="BI29" s="89"/>
      <c r="BJ29" s="90"/>
      <c r="BK29" s="91"/>
    </row>
    <row r="30" customFormat="false" ht="13.5" hidden="false" customHeight="false" outlineLevel="0" collapsed="false">
      <c r="A30" s="92"/>
      <c r="B30" s="102"/>
      <c r="C30" s="89"/>
      <c r="D30" s="89"/>
      <c r="E30" s="89"/>
      <c r="F30" s="90"/>
      <c r="G30" s="91"/>
      <c r="I30" s="88"/>
      <c r="J30" s="102"/>
      <c r="K30" s="89"/>
      <c r="L30" s="89"/>
      <c r="M30" s="89"/>
      <c r="N30" s="90"/>
      <c r="O30" s="91"/>
      <c r="Q30" s="88"/>
      <c r="R30" s="102"/>
      <c r="S30" s="89"/>
      <c r="T30" s="89"/>
      <c r="U30" s="89"/>
      <c r="V30" s="90"/>
      <c r="W30" s="91"/>
      <c r="Y30" s="88"/>
      <c r="Z30" s="102"/>
      <c r="AA30" s="89"/>
      <c r="AB30" s="89"/>
      <c r="AC30" s="89"/>
      <c r="AD30" s="90"/>
      <c r="AE30" s="91"/>
      <c r="AG30" s="88"/>
      <c r="AH30" s="147" t="s">
        <v>234</v>
      </c>
      <c r="AI30" s="89" t="n">
        <v>1</v>
      </c>
      <c r="AJ30" s="89"/>
      <c r="AK30" s="89"/>
      <c r="AL30" s="90"/>
      <c r="AM30" s="91"/>
      <c r="AO30" s="88"/>
      <c r="AP30" s="102"/>
      <c r="AQ30" s="89"/>
      <c r="AR30" s="89"/>
      <c r="AS30" s="89"/>
      <c r="AT30" s="90"/>
      <c r="AU30" s="91"/>
      <c r="AW30" s="88"/>
      <c r="AX30" s="102"/>
      <c r="AY30" s="89"/>
      <c r="AZ30" s="89"/>
      <c r="BA30" s="89"/>
      <c r="BB30" s="90"/>
      <c r="BC30" s="91"/>
      <c r="BE30" s="88"/>
      <c r="BF30" s="99"/>
      <c r="BG30" s="89"/>
      <c r="BH30" s="89"/>
      <c r="BI30" s="89"/>
      <c r="BJ30" s="90"/>
      <c r="BK30" s="91"/>
    </row>
    <row r="31" customFormat="false" ht="13.5" hidden="false" customHeight="false" outlineLevel="0" collapsed="false">
      <c r="A31" s="92"/>
      <c r="B31" s="102"/>
      <c r="C31" s="89"/>
      <c r="D31" s="89"/>
      <c r="E31" s="89"/>
      <c r="F31" s="90"/>
      <c r="G31" s="91"/>
      <c r="I31" s="88"/>
      <c r="J31" s="102"/>
      <c r="K31" s="89"/>
      <c r="L31" s="89"/>
      <c r="M31" s="89"/>
      <c r="N31" s="90"/>
      <c r="O31" s="91"/>
      <c r="Q31" s="88"/>
      <c r="R31" s="102"/>
      <c r="S31" s="89"/>
      <c r="T31" s="89"/>
      <c r="U31" s="89"/>
      <c r="V31" s="90"/>
      <c r="W31" s="91"/>
      <c r="Y31" s="88"/>
      <c r="Z31" s="102"/>
      <c r="AA31" s="89"/>
      <c r="AB31" s="89"/>
      <c r="AC31" s="89"/>
      <c r="AD31" s="90"/>
      <c r="AE31" s="91"/>
      <c r="AG31" s="88"/>
      <c r="AH31" s="147" t="s">
        <v>239</v>
      </c>
      <c r="AI31" s="89" t="n">
        <v>1</v>
      </c>
      <c r="AJ31" s="89"/>
      <c r="AK31" s="89"/>
      <c r="AL31" s="90"/>
      <c r="AM31" s="91"/>
      <c r="AO31" s="88"/>
      <c r="AP31" s="102"/>
      <c r="AQ31" s="89"/>
      <c r="AR31" s="89"/>
      <c r="AS31" s="89"/>
      <c r="AT31" s="90"/>
      <c r="AU31" s="91"/>
      <c r="AW31" s="88"/>
      <c r="AX31" s="102"/>
      <c r="AY31" s="89"/>
      <c r="AZ31" s="89"/>
      <c r="BA31" s="89"/>
      <c r="BB31" s="90"/>
      <c r="BC31" s="91"/>
      <c r="BE31" s="88"/>
      <c r="BF31" s="99"/>
      <c r="BG31" s="89"/>
      <c r="BH31" s="89"/>
      <c r="BI31" s="89"/>
      <c r="BJ31" s="90"/>
      <c r="BK31" s="91"/>
    </row>
    <row r="32" customFormat="false" ht="13.5" hidden="false" customHeight="false" outlineLevel="0" collapsed="false">
      <c r="A32" s="92"/>
      <c r="B32" s="102"/>
      <c r="C32" s="89"/>
      <c r="D32" s="89"/>
      <c r="E32" s="89"/>
      <c r="F32" s="90"/>
      <c r="G32" s="91"/>
      <c r="I32" s="88"/>
      <c r="J32" s="102"/>
      <c r="K32" s="89"/>
      <c r="L32" s="89"/>
      <c r="M32" s="89"/>
      <c r="N32" s="90"/>
      <c r="O32" s="91"/>
      <c r="Q32" s="88"/>
      <c r="R32" s="102"/>
      <c r="S32" s="89"/>
      <c r="T32" s="89"/>
      <c r="U32" s="89"/>
      <c r="V32" s="90"/>
      <c r="W32" s="91"/>
      <c r="Y32" s="88"/>
      <c r="Z32" s="102"/>
      <c r="AA32" s="89"/>
      <c r="AB32" s="89"/>
      <c r="AC32" s="89"/>
      <c r="AD32" s="90"/>
      <c r="AE32" s="91"/>
      <c r="AG32" s="88"/>
      <c r="AH32" s="147" t="s">
        <v>244</v>
      </c>
      <c r="AI32" s="89" t="n">
        <v>1</v>
      </c>
      <c r="AJ32" s="89"/>
      <c r="AK32" s="89"/>
      <c r="AL32" s="90"/>
      <c r="AM32" s="91"/>
      <c r="AO32" s="88"/>
      <c r="AP32" s="102"/>
      <c r="AQ32" s="89"/>
      <c r="AR32" s="89"/>
      <c r="AS32" s="89"/>
      <c r="AT32" s="90"/>
      <c r="AU32" s="91"/>
      <c r="AW32" s="88"/>
      <c r="AX32" s="102"/>
      <c r="AY32" s="89"/>
      <c r="AZ32" s="89"/>
      <c r="BA32" s="89"/>
      <c r="BB32" s="90"/>
      <c r="BC32" s="91"/>
      <c r="BE32" s="88"/>
      <c r="BF32" s="99"/>
      <c r="BG32" s="89"/>
      <c r="BH32" s="89"/>
      <c r="BI32" s="89"/>
      <c r="BJ32" s="90"/>
      <c r="BK32" s="91"/>
    </row>
    <row r="33" customFormat="false" ht="13.5" hidden="false" customHeight="false" outlineLevel="0" collapsed="false">
      <c r="A33" s="92"/>
      <c r="B33" s="102"/>
      <c r="C33" s="89"/>
      <c r="D33" s="89"/>
      <c r="E33" s="89"/>
      <c r="F33" s="90"/>
      <c r="G33" s="91"/>
      <c r="I33" s="88"/>
      <c r="J33" s="102"/>
      <c r="K33" s="89"/>
      <c r="L33" s="89"/>
      <c r="M33" s="89"/>
      <c r="N33" s="90"/>
      <c r="O33" s="91"/>
      <c r="Q33" s="88"/>
      <c r="R33" s="102"/>
      <c r="S33" s="89"/>
      <c r="T33" s="89"/>
      <c r="U33" s="89"/>
      <c r="V33" s="90"/>
      <c r="W33" s="91"/>
      <c r="Y33" s="88"/>
      <c r="Z33" s="102"/>
      <c r="AA33" s="89"/>
      <c r="AB33" s="89"/>
      <c r="AC33" s="89"/>
      <c r="AD33" s="90"/>
      <c r="AE33" s="91"/>
      <c r="AG33" s="88"/>
      <c r="AH33" s="102"/>
      <c r="AI33" s="89"/>
      <c r="AJ33" s="89"/>
      <c r="AK33" s="89"/>
      <c r="AL33" s="90"/>
      <c r="AM33" s="91"/>
      <c r="AO33" s="88"/>
      <c r="AP33" s="102"/>
      <c r="AQ33" s="89"/>
      <c r="AR33" s="89"/>
      <c r="AS33" s="89"/>
      <c r="AT33" s="90"/>
      <c r="AU33" s="91"/>
      <c r="AW33" s="88"/>
      <c r="AX33" s="102"/>
      <c r="AY33" s="89"/>
      <c r="AZ33" s="89"/>
      <c r="BA33" s="89"/>
      <c r="BB33" s="90"/>
      <c r="BC33" s="91"/>
      <c r="BE33" s="88"/>
      <c r="BF33" s="99"/>
      <c r="BG33" s="89"/>
      <c r="BH33" s="89"/>
      <c r="BI33" s="89"/>
      <c r="BJ33" s="90"/>
      <c r="BK33" s="91"/>
    </row>
    <row r="34" customFormat="false" ht="13.5" hidden="false" customHeight="false" outlineLevel="0" collapsed="false">
      <c r="A34" s="92"/>
      <c r="B34" s="102"/>
      <c r="C34" s="89"/>
      <c r="D34" s="89"/>
      <c r="E34" s="89"/>
      <c r="F34" s="90"/>
      <c r="G34" s="91"/>
      <c r="I34" s="88"/>
      <c r="J34" s="102"/>
      <c r="K34" s="89"/>
      <c r="L34" s="89"/>
      <c r="M34" s="89"/>
      <c r="N34" s="90"/>
      <c r="O34" s="91"/>
      <c r="Q34" s="88"/>
      <c r="R34" s="102"/>
      <c r="S34" s="89"/>
      <c r="T34" s="89"/>
      <c r="U34" s="89"/>
      <c r="V34" s="90"/>
      <c r="W34" s="91"/>
      <c r="Y34" s="88"/>
      <c r="Z34" s="102"/>
      <c r="AA34" s="89"/>
      <c r="AB34" s="89"/>
      <c r="AC34" s="89"/>
      <c r="AD34" s="90"/>
      <c r="AE34" s="91"/>
      <c r="AG34" s="88"/>
      <c r="AH34" s="102"/>
      <c r="AI34" s="89"/>
      <c r="AJ34" s="89"/>
      <c r="AK34" s="89"/>
      <c r="AL34" s="90"/>
      <c r="AM34" s="91"/>
      <c r="AO34" s="88"/>
      <c r="AP34" s="102"/>
      <c r="AQ34" s="89"/>
      <c r="AR34" s="89"/>
      <c r="AS34" s="89"/>
      <c r="AT34" s="90"/>
      <c r="AU34" s="91"/>
      <c r="AW34" s="88"/>
      <c r="AX34" s="102"/>
      <c r="AY34" s="89"/>
      <c r="AZ34" s="89"/>
      <c r="BA34" s="89"/>
      <c r="BB34" s="90"/>
      <c r="BC34" s="91"/>
      <c r="BE34" s="88"/>
      <c r="BF34" s="99"/>
      <c r="BG34" s="89"/>
      <c r="BH34" s="89"/>
      <c r="BI34" s="89"/>
      <c r="BJ34" s="90"/>
      <c r="BK34" s="91"/>
    </row>
    <row r="35" customFormat="false" ht="13.5" hidden="false" customHeight="false" outlineLevel="0" collapsed="false">
      <c r="A35" s="92"/>
      <c r="B35" s="102"/>
      <c r="C35" s="89"/>
      <c r="D35" s="89"/>
      <c r="E35" s="89"/>
      <c r="F35" s="90"/>
      <c r="G35" s="91"/>
      <c r="I35" s="88"/>
      <c r="J35" s="102"/>
      <c r="K35" s="89"/>
      <c r="L35" s="89"/>
      <c r="M35" s="89"/>
      <c r="N35" s="90"/>
      <c r="O35" s="91"/>
      <c r="Q35" s="88"/>
      <c r="R35" s="102"/>
      <c r="S35" s="89"/>
      <c r="T35" s="89"/>
      <c r="U35" s="89"/>
      <c r="V35" s="90"/>
      <c r="W35" s="91"/>
      <c r="Y35" s="88"/>
      <c r="Z35" s="102"/>
      <c r="AA35" s="89"/>
      <c r="AB35" s="89"/>
      <c r="AC35" s="89"/>
      <c r="AD35" s="90"/>
      <c r="AE35" s="91"/>
      <c r="AG35" s="88"/>
      <c r="AH35" s="102"/>
      <c r="AI35" s="89"/>
      <c r="AJ35" s="89"/>
      <c r="AK35" s="89"/>
      <c r="AL35" s="90"/>
      <c r="AM35" s="91"/>
      <c r="AO35" s="88"/>
      <c r="AP35" s="102"/>
      <c r="AQ35" s="89"/>
      <c r="AR35" s="89"/>
      <c r="AS35" s="89"/>
      <c r="AT35" s="90"/>
      <c r="AU35" s="91"/>
      <c r="AW35" s="88"/>
      <c r="AX35" s="102"/>
      <c r="AY35" s="89"/>
      <c r="AZ35" s="89"/>
      <c r="BA35" s="89"/>
      <c r="BB35" s="90"/>
      <c r="BC35" s="91"/>
      <c r="BE35" s="88"/>
      <c r="BF35" s="99"/>
      <c r="BG35" s="89"/>
      <c r="BH35" s="89"/>
      <c r="BI35" s="89"/>
      <c r="BJ35" s="90"/>
      <c r="BK35" s="91"/>
    </row>
    <row r="36" customFormat="false" ht="13.5" hidden="false" customHeight="false" outlineLevel="0" collapsed="false">
      <c r="A36" s="92"/>
      <c r="B36" s="102"/>
      <c r="C36" s="89"/>
      <c r="D36" s="89"/>
      <c r="E36" s="89"/>
      <c r="F36" s="90"/>
      <c r="G36" s="91"/>
      <c r="I36" s="88"/>
      <c r="J36" s="102"/>
      <c r="K36" s="89"/>
      <c r="L36" s="89"/>
      <c r="M36" s="89"/>
      <c r="N36" s="90"/>
      <c r="O36" s="91"/>
      <c r="Q36" s="88"/>
      <c r="R36" s="102"/>
      <c r="S36" s="89"/>
      <c r="T36" s="89"/>
      <c r="U36" s="89"/>
      <c r="V36" s="90"/>
      <c r="W36" s="91"/>
      <c r="Y36" s="88"/>
      <c r="Z36" s="102"/>
      <c r="AA36" s="89"/>
      <c r="AB36" s="89"/>
      <c r="AC36" s="89"/>
      <c r="AD36" s="90"/>
      <c r="AE36" s="91"/>
      <c r="AG36" s="88"/>
      <c r="AH36" s="99"/>
      <c r="AI36" s="89"/>
      <c r="AJ36" s="89"/>
      <c r="AK36" s="89"/>
      <c r="AL36" s="90"/>
      <c r="AM36" s="91"/>
      <c r="AO36" s="88"/>
      <c r="AP36" s="102"/>
      <c r="AQ36" s="89"/>
      <c r="AR36" s="89"/>
      <c r="AS36" s="89"/>
      <c r="AT36" s="90"/>
      <c r="AU36" s="91"/>
      <c r="AW36" s="88"/>
      <c r="AX36" s="99"/>
      <c r="AY36" s="89"/>
      <c r="AZ36" s="89"/>
      <c r="BA36" s="89"/>
      <c r="BB36" s="90"/>
      <c r="BC36" s="91"/>
      <c r="BE36" s="88"/>
      <c r="BF36" s="99"/>
      <c r="BG36" s="89"/>
      <c r="BH36" s="89"/>
      <c r="BI36" s="89"/>
      <c r="BJ36" s="90"/>
      <c r="BK36" s="91"/>
    </row>
    <row r="37" customFormat="false" ht="14.25" hidden="false" customHeight="true" outlineLevel="0" collapsed="false">
      <c r="A37" s="93"/>
      <c r="B37" s="93" t="s">
        <v>165</v>
      </c>
      <c r="C37" s="93"/>
      <c r="D37" s="93"/>
      <c r="E37" s="93"/>
      <c r="F37" s="100" t="n">
        <f aca="false">SUM(F11:F36)</f>
        <v>0</v>
      </c>
      <c r="G37" s="101" t="n">
        <f aca="false">SUM(G11:G36)</f>
        <v>0</v>
      </c>
      <c r="I37" s="96"/>
      <c r="J37" s="93" t="s">
        <v>165</v>
      </c>
      <c r="K37" s="93"/>
      <c r="L37" s="93"/>
      <c r="M37" s="93"/>
      <c r="N37" s="100" t="n">
        <f aca="false">SUM(N11:N36)</f>
        <v>0</v>
      </c>
      <c r="O37" s="101" t="n">
        <f aca="false">SUM(O11:O36)</f>
        <v>0</v>
      </c>
      <c r="Q37" s="96"/>
      <c r="R37" s="93" t="s">
        <v>165</v>
      </c>
      <c r="S37" s="93"/>
      <c r="T37" s="93"/>
      <c r="U37" s="93"/>
      <c r="V37" s="100" t="n">
        <f aca="false">SUM(V11:V36)</f>
        <v>0</v>
      </c>
      <c r="W37" s="101" t="n">
        <f aca="false">SUM(W11:W36)</f>
        <v>0</v>
      </c>
      <c r="Y37" s="96"/>
      <c r="Z37" s="93" t="s">
        <v>165</v>
      </c>
      <c r="AA37" s="93"/>
      <c r="AB37" s="93"/>
      <c r="AC37" s="93"/>
      <c r="AD37" s="100" t="n">
        <f aca="false">SUM(AD11:AD36)</f>
        <v>0</v>
      </c>
      <c r="AE37" s="101" t="n">
        <f aca="false">SUM(AE11:AE36)</f>
        <v>0</v>
      </c>
      <c r="AG37" s="96"/>
      <c r="AH37" s="93" t="s">
        <v>165</v>
      </c>
      <c r="AI37" s="93"/>
      <c r="AJ37" s="93"/>
      <c r="AK37" s="93"/>
      <c r="AL37" s="100" t="n">
        <f aca="false">SUM(AL11:AL36)</f>
        <v>0</v>
      </c>
      <c r="AM37" s="101" t="n">
        <f aca="false">SUM(AM11:AM36)</f>
        <v>0</v>
      </c>
      <c r="AO37" s="96"/>
      <c r="AP37" s="93" t="s">
        <v>165</v>
      </c>
      <c r="AQ37" s="93"/>
      <c r="AR37" s="93"/>
      <c r="AS37" s="93"/>
      <c r="AT37" s="100" t="n">
        <f aca="false">SUM(AT12:AT36)</f>
        <v>0</v>
      </c>
      <c r="AU37" s="101" t="n">
        <f aca="false">SUM(AU12:AU36)</f>
        <v>0</v>
      </c>
      <c r="AW37" s="96"/>
      <c r="AX37" s="93" t="s">
        <v>165</v>
      </c>
      <c r="AY37" s="93"/>
      <c r="AZ37" s="93"/>
      <c r="BA37" s="93"/>
      <c r="BB37" s="100" t="n">
        <f aca="false">SUM(BB11:BB36)</f>
        <v>0</v>
      </c>
      <c r="BC37" s="101" t="n">
        <f aca="false">SUM(BC11:BC36)</f>
        <v>0</v>
      </c>
      <c r="BE37" s="96"/>
      <c r="BF37" s="93" t="s">
        <v>165</v>
      </c>
      <c r="BG37" s="93"/>
      <c r="BH37" s="93"/>
      <c r="BI37" s="93"/>
      <c r="BJ37" s="100" t="n">
        <f aca="false">SUM(BJ11:BJ36)</f>
        <v>0</v>
      </c>
      <c r="BK37" s="101" t="n">
        <f aca="false">SUM(BK11:BK36)</f>
        <v>0</v>
      </c>
    </row>
    <row r="38" customFormat="false" ht="14.25" hidden="false" customHeight="true" outlineLevel="0" collapsed="false"/>
  </sheetData>
  <mergeCells count="8">
    <mergeCell ref="A1:G1"/>
    <mergeCell ref="I1:O1"/>
    <mergeCell ref="Q1:W1"/>
    <mergeCell ref="Y1:AE1"/>
    <mergeCell ref="AG1:AM1"/>
    <mergeCell ref="AO1:AU1"/>
    <mergeCell ref="AW1:BC1"/>
    <mergeCell ref="BE1:BK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3D6"/>
    <pageSetUpPr fitToPage="false"/>
  </sheetPr>
  <dimension ref="A1:BQ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3.5" zeroHeight="false" outlineLevelRow="0" outlineLevelCol="0"/>
  <cols>
    <col collapsed="false" customWidth="true" hidden="false" outlineLevel="0" max="2" min="2" style="44" width="15.4"/>
    <col collapsed="false" customWidth="true" hidden="false" outlineLevel="0" max="7" min="7" style="44" width="10.8"/>
    <col collapsed="false" customWidth="true" hidden="false" outlineLevel="0" max="10" min="10" style="44" width="15.4"/>
    <col collapsed="false" customWidth="true" hidden="false" outlineLevel="0" max="15" min="15" style="44" width="10.8"/>
    <col collapsed="false" customWidth="true" hidden="false" outlineLevel="0" max="18" min="18" style="44" width="12.8"/>
    <col collapsed="false" customWidth="true" hidden="false" outlineLevel="0" max="23" min="23" style="44" width="10.8"/>
    <col collapsed="false" customWidth="true" hidden="false" outlineLevel="0" max="26" min="26" style="44" width="13.4"/>
    <col collapsed="false" customWidth="true" hidden="false" outlineLevel="0" max="31" min="31" style="44" width="10.8"/>
    <col collapsed="false" customWidth="true" hidden="false" outlineLevel="0" max="34" min="34" style="44" width="13.4"/>
    <col collapsed="false" customWidth="true" hidden="false" outlineLevel="0" max="39" min="39" style="44" width="10.8"/>
    <col collapsed="false" customWidth="true" hidden="false" outlineLevel="0" max="42" min="42" style="44" width="13.4"/>
    <col collapsed="false" customWidth="true" hidden="false" outlineLevel="0" max="47" min="47" style="44" width="10.8"/>
    <col collapsed="false" customWidth="true" hidden="false" outlineLevel="0" max="50" min="50" style="44" width="13.4"/>
    <col collapsed="false" customWidth="true" hidden="false" outlineLevel="0" max="55" min="55" style="44" width="10.8"/>
    <col collapsed="false" customWidth="true" hidden="false" outlineLevel="0" max="58" min="58" style="44" width="13.4"/>
    <col collapsed="false" customWidth="true" hidden="false" outlineLevel="0" max="63" min="63" style="44" width="10.8"/>
  </cols>
  <sheetData>
    <row r="1" customFormat="false" ht="14.25" hidden="false" customHeight="true" outlineLevel="0" collapsed="false">
      <c r="A1" s="82" t="s">
        <v>278</v>
      </c>
      <c r="B1" s="82"/>
      <c r="C1" s="82"/>
      <c r="D1" s="82"/>
      <c r="E1" s="82"/>
      <c r="F1" s="82"/>
      <c r="G1" s="82"/>
      <c r="H1" s="82"/>
      <c r="I1" s="82"/>
      <c r="J1" s="82"/>
      <c r="K1" s="82"/>
      <c r="L1" s="82"/>
      <c r="M1" s="82"/>
      <c r="N1" s="82"/>
      <c r="O1" s="82"/>
    </row>
    <row r="2" customFormat="false" ht="14.25" hidden="false" customHeight="true" outlineLevel="0" collapsed="false">
      <c r="A2" s="148" t="s">
        <v>279</v>
      </c>
      <c r="B2" s="148"/>
      <c r="C2" s="148"/>
      <c r="D2" s="148"/>
      <c r="E2" s="148"/>
      <c r="F2" s="148"/>
      <c r="G2" s="148"/>
      <c r="I2" s="148" t="s">
        <v>280</v>
      </c>
      <c r="J2" s="148"/>
      <c r="K2" s="148"/>
      <c r="L2" s="148"/>
      <c r="M2" s="148"/>
      <c r="N2" s="148"/>
      <c r="O2" s="148"/>
    </row>
    <row r="3" customFormat="false" ht="14.25" hidden="false" customHeight="true" outlineLevel="0" collapsed="false">
      <c r="A3" s="83" t="s">
        <v>131</v>
      </c>
      <c r="B3" s="84" t="s">
        <v>132</v>
      </c>
      <c r="C3" s="84" t="s">
        <v>133</v>
      </c>
      <c r="D3" s="84" t="s">
        <v>134</v>
      </c>
      <c r="E3" s="84" t="s">
        <v>135</v>
      </c>
      <c r="F3" s="86" t="s">
        <v>137</v>
      </c>
      <c r="G3" s="86" t="s">
        <v>281</v>
      </c>
      <c r="I3" s="83" t="s">
        <v>131</v>
      </c>
      <c r="J3" s="84" t="s">
        <v>132</v>
      </c>
      <c r="K3" s="84" t="s">
        <v>133</v>
      </c>
      <c r="L3" s="84" t="s">
        <v>134</v>
      </c>
      <c r="M3" s="84" t="s">
        <v>135</v>
      </c>
      <c r="N3" s="149" t="s">
        <v>137</v>
      </c>
      <c r="O3" s="86" t="s">
        <v>281</v>
      </c>
    </row>
    <row r="4" customFormat="false" ht="13.5" hidden="false" customHeight="false" outlineLevel="0" collapsed="false">
      <c r="A4" s="88"/>
      <c r="B4" s="89"/>
      <c r="C4" s="89"/>
      <c r="D4" s="89"/>
      <c r="E4" s="89"/>
      <c r="F4" s="150"/>
      <c r="G4" s="91"/>
      <c r="I4" s="88"/>
      <c r="J4" s="89"/>
      <c r="K4" s="89"/>
      <c r="L4" s="89"/>
      <c r="M4" s="89"/>
      <c r="N4" s="150"/>
      <c r="O4" s="91"/>
    </row>
    <row r="5" customFormat="false" ht="13.5" hidden="false" customHeight="false" outlineLevel="0" collapsed="false">
      <c r="A5" s="151" t="s">
        <v>138</v>
      </c>
      <c r="B5" s="152" t="s">
        <v>142</v>
      </c>
      <c r="C5" s="89" t="n">
        <v>3</v>
      </c>
      <c r="D5" s="89" t="n">
        <v>1.6</v>
      </c>
      <c r="E5" s="89" t="n">
        <v>1</v>
      </c>
      <c r="F5" s="150" t="n">
        <f aca="false">D5*E5</f>
        <v>1.6</v>
      </c>
      <c r="G5" s="91" t="n">
        <f aca="false">F5*C5</f>
        <v>4.8</v>
      </c>
      <c r="I5" s="151" t="s">
        <v>138</v>
      </c>
      <c r="J5" s="153" t="s">
        <v>153</v>
      </c>
      <c r="K5" s="89" t="n">
        <v>15</v>
      </c>
      <c r="L5" s="89" t="n">
        <v>1.2</v>
      </c>
      <c r="M5" s="89" t="n">
        <v>2.1</v>
      </c>
      <c r="N5" s="150" t="n">
        <f aca="false">L5*M5</f>
        <v>2.52</v>
      </c>
      <c r="O5" s="91" t="n">
        <f aca="false">N5*K5</f>
        <v>37.8</v>
      </c>
    </row>
    <row r="6" s="159" customFormat="true" ht="13.5" hidden="false" customHeight="false" outlineLevel="0" collapsed="false">
      <c r="A6" s="154" t="s">
        <v>141</v>
      </c>
      <c r="B6" s="155" t="s">
        <v>143</v>
      </c>
      <c r="C6" s="156" t="n">
        <v>24</v>
      </c>
      <c r="D6" s="156" t="n">
        <v>2.5</v>
      </c>
      <c r="E6" s="156" t="n">
        <v>0.75</v>
      </c>
      <c r="F6" s="157" t="n">
        <f aca="false">D6*E6</f>
        <v>1.875</v>
      </c>
      <c r="G6" s="158" t="n">
        <f aca="false">F6*C6</f>
        <v>45</v>
      </c>
      <c r="I6" s="154" t="s">
        <v>141</v>
      </c>
      <c r="J6" s="160" t="s">
        <v>152</v>
      </c>
      <c r="K6" s="156" t="n">
        <v>49</v>
      </c>
      <c r="L6" s="156" t="n">
        <v>0.9</v>
      </c>
      <c r="M6" s="156" t="n">
        <v>2.1</v>
      </c>
      <c r="N6" s="157" t="n">
        <f aca="false">L6*M6</f>
        <v>1.89</v>
      </c>
      <c r="O6" s="158" t="n">
        <f aca="false">N6*K6</f>
        <v>92.61</v>
      </c>
    </row>
    <row r="7" customFormat="false" ht="13.5" hidden="false" customHeight="false" outlineLevel="0" collapsed="false">
      <c r="A7" s="151" t="s">
        <v>151</v>
      </c>
      <c r="B7" s="152" t="s">
        <v>144</v>
      </c>
      <c r="C7" s="89" t="n">
        <v>3</v>
      </c>
      <c r="D7" s="89" t="n">
        <v>1.6</v>
      </c>
      <c r="E7" s="89" t="n">
        <v>3</v>
      </c>
      <c r="F7" s="150" t="n">
        <f aca="false">D7*E7</f>
        <v>4.8</v>
      </c>
      <c r="G7" s="91" t="n">
        <f aca="false">F7*C7</f>
        <v>14.4</v>
      </c>
      <c r="I7" s="151" t="s">
        <v>151</v>
      </c>
      <c r="J7" s="153" t="s">
        <v>156</v>
      </c>
      <c r="K7" s="89" t="n">
        <v>78</v>
      </c>
      <c r="L7" s="89" t="n">
        <v>0.75</v>
      </c>
      <c r="M7" s="89" t="n">
        <v>2.1</v>
      </c>
      <c r="N7" s="150" t="n">
        <f aca="false">L7*M7</f>
        <v>1.575</v>
      </c>
      <c r="O7" s="91" t="n">
        <f aca="false">N7*K7</f>
        <v>122.85</v>
      </c>
    </row>
    <row r="8" customFormat="false" ht="13.5" hidden="false" customHeight="false" outlineLevel="0" collapsed="false">
      <c r="A8" s="151" t="s">
        <v>155</v>
      </c>
      <c r="B8" s="152" t="s">
        <v>145</v>
      </c>
      <c r="C8" s="89" t="n">
        <v>11</v>
      </c>
      <c r="D8" s="89" t="n">
        <v>1.5</v>
      </c>
      <c r="E8" s="89" t="n">
        <v>1.2</v>
      </c>
      <c r="F8" s="150" t="n">
        <f aca="false">D8*E8</f>
        <v>1.8</v>
      </c>
      <c r="G8" s="91" t="n">
        <f aca="false">F8*C8</f>
        <v>19.8</v>
      </c>
      <c r="I8" s="151" t="s">
        <v>155</v>
      </c>
      <c r="J8" s="153" t="s">
        <v>158</v>
      </c>
      <c r="K8" s="89" t="n">
        <v>12</v>
      </c>
      <c r="L8" s="89" t="n">
        <v>0.5</v>
      </c>
      <c r="M8" s="89" t="n">
        <v>2.1</v>
      </c>
      <c r="N8" s="150" t="n">
        <f aca="false">L8*M8</f>
        <v>1.05</v>
      </c>
      <c r="O8" s="91" t="n">
        <f aca="false">N8*K8</f>
        <v>12.6</v>
      </c>
    </row>
    <row r="9" customFormat="false" ht="13.5" hidden="false" customHeight="false" outlineLevel="0" collapsed="false">
      <c r="A9" s="151" t="s">
        <v>157</v>
      </c>
      <c r="B9" s="152" t="s">
        <v>146</v>
      </c>
      <c r="C9" s="89" t="n">
        <v>13</v>
      </c>
      <c r="D9" s="89" t="n">
        <v>0.9</v>
      </c>
      <c r="E9" s="89" t="n">
        <v>2</v>
      </c>
      <c r="F9" s="150" t="n">
        <f aca="false">D9*E9</f>
        <v>1.8</v>
      </c>
      <c r="G9" s="91" t="n">
        <f aca="false">F9*C9</f>
        <v>23.4</v>
      </c>
      <c r="I9" s="151" t="s">
        <v>157</v>
      </c>
      <c r="J9" s="153" t="s">
        <v>163</v>
      </c>
      <c r="K9" s="89" t="n">
        <v>1</v>
      </c>
      <c r="L9" s="89" t="n">
        <v>4</v>
      </c>
      <c r="M9" s="89" t="n">
        <v>2.1</v>
      </c>
      <c r="N9" s="150" t="n">
        <f aca="false">L9*M9</f>
        <v>8.4</v>
      </c>
      <c r="O9" s="91" t="n">
        <f aca="false">N9*K9</f>
        <v>8.4</v>
      </c>
    </row>
    <row r="10" customFormat="false" ht="13.5" hidden="false" customHeight="false" outlineLevel="0" collapsed="false">
      <c r="A10" s="151" t="s">
        <v>159</v>
      </c>
      <c r="B10" s="152" t="s">
        <v>282</v>
      </c>
      <c r="C10" s="89" t="n">
        <v>5</v>
      </c>
      <c r="D10" s="89" t="n">
        <v>3</v>
      </c>
      <c r="E10" s="89" t="n">
        <v>1</v>
      </c>
      <c r="F10" s="150" t="n">
        <f aca="false">D10*E10</f>
        <v>3</v>
      </c>
      <c r="G10" s="91" t="n">
        <f aca="false">F10*C10</f>
        <v>15</v>
      </c>
      <c r="I10" s="151" t="s">
        <v>159</v>
      </c>
      <c r="J10" s="153" t="s">
        <v>162</v>
      </c>
      <c r="K10" s="89" t="n">
        <v>5</v>
      </c>
      <c r="L10" s="89" t="n">
        <v>0.9</v>
      </c>
      <c r="M10" s="89" t="n">
        <v>2.1</v>
      </c>
      <c r="N10" s="150" t="n">
        <f aca="false">L10*M10</f>
        <v>1.89</v>
      </c>
      <c r="O10" s="91" t="n">
        <f aca="false">N10*K10</f>
        <v>9.45</v>
      </c>
    </row>
    <row r="11" customFormat="false" ht="13.5" hidden="false" customHeight="false" outlineLevel="0" collapsed="false">
      <c r="A11" s="151" t="s">
        <v>160</v>
      </c>
      <c r="B11" s="152" t="s">
        <v>147</v>
      </c>
      <c r="C11" s="89" t="n">
        <v>6</v>
      </c>
      <c r="D11" s="89" t="n">
        <v>1.2</v>
      </c>
      <c r="E11" s="89" t="n">
        <v>0.75</v>
      </c>
      <c r="F11" s="150" t="n">
        <f aca="false">D11*E11</f>
        <v>0.9</v>
      </c>
      <c r="G11" s="91" t="n">
        <f aca="false">F11*C11</f>
        <v>5.4</v>
      </c>
      <c r="I11" s="151" t="s">
        <v>160</v>
      </c>
      <c r="J11" s="153" t="s">
        <v>161</v>
      </c>
      <c r="K11" s="89" t="n">
        <v>2</v>
      </c>
      <c r="L11" s="89" t="n">
        <v>2</v>
      </c>
      <c r="M11" s="89" t="n">
        <v>2.1</v>
      </c>
      <c r="N11" s="150" t="n">
        <f aca="false">L11*M11</f>
        <v>4.2</v>
      </c>
      <c r="O11" s="91" t="n">
        <f aca="false">N11*K11</f>
        <v>8.4</v>
      </c>
    </row>
    <row r="12" customFormat="false" ht="13.5" hidden="false" customHeight="false" outlineLevel="0" collapsed="false">
      <c r="A12" s="151" t="s">
        <v>164</v>
      </c>
      <c r="B12" s="152" t="s">
        <v>148</v>
      </c>
      <c r="C12" s="89" t="n">
        <v>6</v>
      </c>
      <c r="D12" s="89" t="n">
        <v>1.8</v>
      </c>
      <c r="E12" s="89" t="n">
        <v>1</v>
      </c>
      <c r="F12" s="150" t="n">
        <f aca="false">D12*E12</f>
        <v>1.8</v>
      </c>
      <c r="G12" s="91" t="n">
        <f aca="false">F12*C12</f>
        <v>10.8</v>
      </c>
      <c r="I12" s="151" t="s">
        <v>164</v>
      </c>
      <c r="J12" s="153" t="s">
        <v>154</v>
      </c>
      <c r="K12" s="89" t="n">
        <v>4</v>
      </c>
      <c r="L12" s="89" t="n">
        <v>1.8</v>
      </c>
      <c r="M12" s="89" t="n">
        <v>2.1</v>
      </c>
      <c r="N12" s="150" t="n">
        <f aca="false">L12*M12</f>
        <v>3.78</v>
      </c>
      <c r="O12" s="91" t="n">
        <f aca="false">N12*K12</f>
        <v>15.12</v>
      </c>
    </row>
    <row r="13" customFormat="false" ht="14.25" hidden="false" customHeight="true" outlineLevel="0" collapsed="false">
      <c r="A13" s="151"/>
      <c r="B13" s="152"/>
      <c r="C13" s="89"/>
      <c r="D13" s="89"/>
      <c r="E13" s="89"/>
      <c r="F13" s="150"/>
      <c r="G13" s="91"/>
      <c r="I13" s="151"/>
      <c r="J13" s="153"/>
      <c r="K13" s="89"/>
      <c r="L13" s="89"/>
      <c r="M13" s="89"/>
      <c r="N13" s="150"/>
      <c r="O13" s="91"/>
    </row>
    <row r="14" s="80" customFormat="true" ht="15" hidden="false" customHeight="true" outlineLevel="0" collapsed="false">
      <c r="A14" s="161"/>
      <c r="B14" s="162"/>
      <c r="C14" s="162" t="n">
        <f aca="false">SUM(C5:C13)</f>
        <v>71</v>
      </c>
      <c r="D14" s="162"/>
      <c r="E14" s="162"/>
      <c r="F14" s="163"/>
      <c r="G14" s="164"/>
      <c r="I14" s="161"/>
      <c r="J14" s="162"/>
      <c r="K14" s="162" t="n">
        <f aca="false">SUM(K5:K13)</f>
        <v>166</v>
      </c>
      <c r="L14" s="162"/>
      <c r="M14" s="163"/>
      <c r="N14" s="163"/>
      <c r="O14" s="164"/>
    </row>
    <row r="15" s="165" customFormat="true" ht="14.25" hidden="false" customHeight="true" outlineLevel="0" collapsed="false"/>
    <row r="16" s="80" customFormat="true" ht="14.25" hidden="false" customHeight="true" outlineLevel="0" collapsed="false">
      <c r="A16" s="82" t="s">
        <v>283</v>
      </c>
      <c r="B16" s="82"/>
      <c r="C16" s="82"/>
      <c r="D16" s="82"/>
      <c r="E16" s="82"/>
      <c r="F16" s="82"/>
      <c r="G16" s="82"/>
      <c r="I16" s="82" t="s">
        <v>284</v>
      </c>
      <c r="J16" s="82"/>
      <c r="K16" s="82"/>
      <c r="L16" s="82"/>
      <c r="M16" s="82"/>
      <c r="N16" s="82"/>
      <c r="O16" s="82"/>
      <c r="Q16" s="82" t="s">
        <v>285</v>
      </c>
      <c r="R16" s="82"/>
      <c r="S16" s="82"/>
      <c r="T16" s="82"/>
      <c r="U16" s="82"/>
      <c r="V16" s="82"/>
      <c r="W16" s="82"/>
      <c r="Y16" s="82" t="s">
        <v>286</v>
      </c>
      <c r="Z16" s="82"/>
      <c r="AA16" s="82"/>
      <c r="AB16" s="82"/>
      <c r="AC16" s="82"/>
      <c r="AD16" s="82"/>
      <c r="AE16" s="82"/>
      <c r="AG16" s="82" t="s">
        <v>287</v>
      </c>
      <c r="AH16" s="82"/>
      <c r="AI16" s="82"/>
      <c r="AJ16" s="82"/>
      <c r="AK16" s="82"/>
      <c r="AL16" s="82"/>
      <c r="AM16" s="82"/>
      <c r="AO16" s="82" t="s">
        <v>288</v>
      </c>
      <c r="AP16" s="82"/>
      <c r="AQ16" s="82"/>
      <c r="AR16" s="82"/>
      <c r="AS16" s="82"/>
      <c r="AT16" s="82"/>
      <c r="AU16" s="82"/>
      <c r="AW16" s="82" t="s">
        <v>289</v>
      </c>
      <c r="AX16" s="82"/>
      <c r="AY16" s="82"/>
      <c r="AZ16" s="82"/>
      <c r="BA16" s="82"/>
      <c r="BB16" s="82"/>
      <c r="BC16" s="82"/>
      <c r="BE16" s="82" t="s">
        <v>290</v>
      </c>
      <c r="BF16" s="82"/>
      <c r="BG16" s="82"/>
      <c r="BH16" s="82"/>
      <c r="BI16" s="82"/>
      <c r="BJ16" s="82"/>
      <c r="BK16" s="82"/>
    </row>
    <row r="17" s="166" customFormat="true" ht="14.25" hidden="false" customHeight="true" outlineLevel="0" collapsed="false">
      <c r="A17" s="145" t="s">
        <v>291</v>
      </c>
      <c r="B17" s="145"/>
      <c r="C17" s="145"/>
      <c r="D17" s="145"/>
      <c r="E17" s="145"/>
      <c r="F17" s="145"/>
      <c r="G17" s="145"/>
      <c r="I17" s="145" t="s">
        <v>291</v>
      </c>
      <c r="J17" s="145"/>
      <c r="K17" s="145"/>
      <c r="L17" s="145"/>
      <c r="M17" s="145"/>
      <c r="N17" s="145"/>
      <c r="O17" s="145"/>
      <c r="Q17" s="145" t="s">
        <v>291</v>
      </c>
      <c r="R17" s="145"/>
      <c r="S17" s="145"/>
      <c r="T17" s="145"/>
      <c r="U17" s="145"/>
      <c r="V17" s="145"/>
      <c r="W17" s="145"/>
      <c r="Y17" s="145" t="s">
        <v>291</v>
      </c>
      <c r="Z17" s="145"/>
      <c r="AA17" s="145"/>
      <c r="AB17" s="145"/>
      <c r="AC17" s="145"/>
      <c r="AD17" s="145"/>
      <c r="AE17" s="145"/>
      <c r="AG17" s="145" t="s">
        <v>291</v>
      </c>
      <c r="AH17" s="145"/>
      <c r="AI17" s="145"/>
      <c r="AJ17" s="145"/>
      <c r="AK17" s="145"/>
      <c r="AL17" s="145"/>
      <c r="AM17" s="145"/>
      <c r="AO17" s="145" t="s">
        <v>291</v>
      </c>
      <c r="AP17" s="145"/>
      <c r="AQ17" s="145"/>
      <c r="AR17" s="145"/>
      <c r="AS17" s="145"/>
      <c r="AT17" s="145"/>
      <c r="AU17" s="145"/>
      <c r="AW17" s="145" t="s">
        <v>291</v>
      </c>
      <c r="AX17" s="145"/>
      <c r="AY17" s="145"/>
      <c r="AZ17" s="145"/>
      <c r="BA17" s="145"/>
      <c r="BB17" s="145"/>
      <c r="BC17" s="145"/>
      <c r="BE17" s="145" t="s">
        <v>291</v>
      </c>
      <c r="BF17" s="145"/>
      <c r="BG17" s="145"/>
      <c r="BH17" s="145"/>
      <c r="BI17" s="145"/>
      <c r="BJ17" s="145"/>
      <c r="BK17" s="145"/>
    </row>
    <row r="18" customFormat="false" ht="14.25" hidden="false" customHeight="true" outlineLevel="0" collapsed="false">
      <c r="A18" s="83" t="s">
        <v>131</v>
      </c>
      <c r="B18" s="84" t="s">
        <v>132</v>
      </c>
      <c r="C18" s="84" t="s">
        <v>133</v>
      </c>
      <c r="D18" s="84" t="s">
        <v>134</v>
      </c>
      <c r="E18" s="84" t="s">
        <v>135</v>
      </c>
      <c r="F18" s="86" t="s">
        <v>137</v>
      </c>
      <c r="G18" s="86" t="s">
        <v>281</v>
      </c>
      <c r="I18" s="83" t="s">
        <v>131</v>
      </c>
      <c r="J18" s="84" t="s">
        <v>132</v>
      </c>
      <c r="K18" s="84" t="s">
        <v>133</v>
      </c>
      <c r="L18" s="84" t="s">
        <v>134</v>
      </c>
      <c r="M18" s="84" t="s">
        <v>135</v>
      </c>
      <c r="N18" s="86" t="s">
        <v>137</v>
      </c>
      <c r="O18" s="86" t="s">
        <v>281</v>
      </c>
      <c r="Q18" s="83" t="s">
        <v>131</v>
      </c>
      <c r="R18" s="84" t="s">
        <v>132</v>
      </c>
      <c r="S18" s="84" t="s">
        <v>133</v>
      </c>
      <c r="T18" s="84" t="s">
        <v>134</v>
      </c>
      <c r="U18" s="84" t="s">
        <v>135</v>
      </c>
      <c r="V18" s="86" t="s">
        <v>137</v>
      </c>
      <c r="W18" s="86" t="s">
        <v>281</v>
      </c>
      <c r="Y18" s="83" t="s">
        <v>131</v>
      </c>
      <c r="Z18" s="84" t="s">
        <v>132</v>
      </c>
      <c r="AA18" s="84" t="s">
        <v>133</v>
      </c>
      <c r="AB18" s="84" t="s">
        <v>134</v>
      </c>
      <c r="AC18" s="84" t="s">
        <v>135</v>
      </c>
      <c r="AD18" s="86" t="s">
        <v>137</v>
      </c>
      <c r="AE18" s="86" t="s">
        <v>281</v>
      </c>
      <c r="AG18" s="83" t="s">
        <v>131</v>
      </c>
      <c r="AH18" s="84" t="s">
        <v>132</v>
      </c>
      <c r="AI18" s="84" t="s">
        <v>133</v>
      </c>
      <c r="AJ18" s="84" t="s">
        <v>134</v>
      </c>
      <c r="AK18" s="84" t="s">
        <v>135</v>
      </c>
      <c r="AL18" s="86" t="s">
        <v>137</v>
      </c>
      <c r="AM18" s="86" t="s">
        <v>281</v>
      </c>
      <c r="AO18" s="83" t="s">
        <v>131</v>
      </c>
      <c r="AP18" s="84" t="s">
        <v>132</v>
      </c>
      <c r="AQ18" s="84" t="s">
        <v>133</v>
      </c>
      <c r="AR18" s="84" t="s">
        <v>134</v>
      </c>
      <c r="AS18" s="84" t="s">
        <v>135</v>
      </c>
      <c r="AT18" s="86" t="s">
        <v>137</v>
      </c>
      <c r="AU18" s="86" t="s">
        <v>281</v>
      </c>
      <c r="AW18" s="83" t="s">
        <v>131</v>
      </c>
      <c r="AX18" s="84" t="s">
        <v>132</v>
      </c>
      <c r="AY18" s="84" t="s">
        <v>133</v>
      </c>
      <c r="AZ18" s="84" t="s">
        <v>134</v>
      </c>
      <c r="BA18" s="84" t="s">
        <v>135</v>
      </c>
      <c r="BB18" s="86" t="s">
        <v>137</v>
      </c>
      <c r="BC18" s="86" t="s">
        <v>281</v>
      </c>
      <c r="BE18" s="83" t="s">
        <v>131</v>
      </c>
      <c r="BF18" s="84" t="s">
        <v>132</v>
      </c>
      <c r="BG18" s="84" t="s">
        <v>133</v>
      </c>
      <c r="BH18" s="84" t="s">
        <v>134</v>
      </c>
      <c r="BI18" s="84" t="s">
        <v>135</v>
      </c>
      <c r="BJ18" s="86" t="s">
        <v>137</v>
      </c>
      <c r="BK18" s="86" t="s">
        <v>281</v>
      </c>
    </row>
    <row r="19" customFormat="false" ht="13.5" hidden="false" customHeight="false" outlineLevel="0" collapsed="false">
      <c r="A19" s="167"/>
      <c r="B19" s="168"/>
      <c r="C19" s="169"/>
      <c r="D19" s="169"/>
      <c r="E19" s="169"/>
      <c r="F19" s="169"/>
      <c r="G19" s="170"/>
      <c r="I19" s="167"/>
      <c r="J19" s="168"/>
      <c r="K19" s="169"/>
      <c r="L19" s="169"/>
      <c r="M19" s="169"/>
      <c r="N19" s="169"/>
      <c r="O19" s="170"/>
      <c r="Q19" s="167"/>
      <c r="R19" s="168"/>
      <c r="S19" s="169"/>
      <c r="T19" s="169"/>
      <c r="U19" s="169"/>
      <c r="V19" s="169"/>
      <c r="W19" s="170"/>
      <c r="Y19" s="167"/>
      <c r="Z19" s="168"/>
      <c r="AA19" s="169"/>
      <c r="AB19" s="169"/>
      <c r="AC19" s="169"/>
      <c r="AD19" s="169"/>
      <c r="AE19" s="170"/>
      <c r="AG19" s="167"/>
      <c r="AH19" s="168"/>
      <c r="AI19" s="169"/>
      <c r="AJ19" s="169"/>
      <c r="AK19" s="169"/>
      <c r="AL19" s="169"/>
      <c r="AM19" s="170"/>
      <c r="AO19" s="167"/>
      <c r="AP19" s="168"/>
      <c r="AQ19" s="169"/>
      <c r="AR19" s="169"/>
      <c r="AS19" s="169"/>
      <c r="AT19" s="169"/>
      <c r="AU19" s="170"/>
      <c r="AW19" s="167"/>
      <c r="AX19" s="169"/>
      <c r="AY19" s="169"/>
      <c r="AZ19" s="169"/>
      <c r="BA19" s="169"/>
      <c r="BB19" s="169"/>
      <c r="BC19" s="170"/>
      <c r="BE19" s="167"/>
      <c r="BF19" s="169"/>
      <c r="BG19" s="169"/>
      <c r="BH19" s="169"/>
      <c r="BI19" s="169"/>
      <c r="BJ19" s="169"/>
      <c r="BK19" s="170"/>
    </row>
    <row r="20" customFormat="false" ht="13.5" hidden="false" customHeight="false" outlineLevel="0" collapsed="false">
      <c r="A20" s="88" t="s">
        <v>138</v>
      </c>
      <c r="B20" s="153" t="s">
        <v>142</v>
      </c>
      <c r="C20" s="89" t="n">
        <f aca="false">'BLOCK WORK'!C9</f>
        <v>3</v>
      </c>
      <c r="D20" s="89" t="n">
        <v>1.6</v>
      </c>
      <c r="E20" s="89" t="n">
        <v>1</v>
      </c>
      <c r="F20" s="89" t="n">
        <v>15.6</v>
      </c>
      <c r="G20" s="91" t="n">
        <v>4.8</v>
      </c>
      <c r="I20" s="88" t="s">
        <v>138</v>
      </c>
      <c r="J20" s="153" t="s">
        <v>143</v>
      </c>
      <c r="K20" s="89" t="n">
        <f aca="false">'BLOCK WORK'!K9</f>
        <v>4</v>
      </c>
      <c r="L20" s="89" t="n">
        <v>2.5</v>
      </c>
      <c r="M20" s="89" t="n">
        <v>0.75</v>
      </c>
      <c r="N20" s="89" t="n">
        <v>26</v>
      </c>
      <c r="O20" s="91" t="n">
        <v>7.5</v>
      </c>
      <c r="Q20" s="88" t="s">
        <v>138</v>
      </c>
      <c r="R20" s="153" t="s">
        <v>143</v>
      </c>
      <c r="S20" s="89" t="n">
        <f aca="false">'BLOCK WORK'!S9</f>
        <v>4</v>
      </c>
      <c r="T20" s="89" t="n">
        <v>2.5</v>
      </c>
      <c r="U20" s="89" t="n">
        <v>0.75</v>
      </c>
      <c r="V20" s="89" t="n">
        <v>26</v>
      </c>
      <c r="W20" s="91" t="n">
        <v>7.5</v>
      </c>
      <c r="Y20" s="88" t="s">
        <v>138</v>
      </c>
      <c r="Z20" s="153" t="s">
        <v>143</v>
      </c>
      <c r="AA20" s="89" t="n">
        <f aca="false">'BLOCK WORK'!AA9</f>
        <v>6</v>
      </c>
      <c r="AB20" s="89" t="n">
        <v>2.5</v>
      </c>
      <c r="AC20" s="89" t="n">
        <v>0.75</v>
      </c>
      <c r="AD20" s="89" t="n">
        <v>32.5</v>
      </c>
      <c r="AE20" s="91" t="n">
        <v>9.375</v>
      </c>
      <c r="AG20" s="88" t="s">
        <v>138</v>
      </c>
      <c r="AH20" s="153" t="s">
        <v>143</v>
      </c>
      <c r="AI20" s="89" t="n">
        <f aca="false">'BLOCK WORK'!AI9</f>
        <v>4</v>
      </c>
      <c r="AJ20" s="89" t="n">
        <v>2.5</v>
      </c>
      <c r="AK20" s="89" t="n">
        <v>0.75</v>
      </c>
      <c r="AL20" s="89" t="n">
        <v>26</v>
      </c>
      <c r="AM20" s="91" t="n">
        <v>7.5</v>
      </c>
      <c r="AO20" s="88" t="s">
        <v>138</v>
      </c>
      <c r="AP20" s="153" t="s">
        <v>143</v>
      </c>
      <c r="AQ20" s="89" t="n">
        <f aca="false">'BLOCK WORK'!AQ9</f>
        <v>4</v>
      </c>
      <c r="AR20" s="89" t="n">
        <v>2.5</v>
      </c>
      <c r="AS20" s="89" t="n">
        <v>0.75</v>
      </c>
      <c r="AT20" s="89" t="n">
        <v>26</v>
      </c>
      <c r="AU20" s="91" t="n">
        <v>7.5</v>
      </c>
      <c r="AW20" s="88" t="s">
        <v>138</v>
      </c>
      <c r="AX20" s="89" t="s">
        <v>143</v>
      </c>
      <c r="AY20" s="89" t="n">
        <f aca="false">'BLOCK WORK'!AY9</f>
        <v>4</v>
      </c>
      <c r="AZ20" s="89" t="n">
        <v>2.5</v>
      </c>
      <c r="BA20" s="89" t="n">
        <v>0.75</v>
      </c>
      <c r="BB20" s="89" t="n">
        <v>19.5</v>
      </c>
      <c r="BC20" s="91" t="n">
        <v>5.625</v>
      </c>
      <c r="BE20" s="88"/>
      <c r="BF20" s="89"/>
      <c r="BG20" s="89"/>
      <c r="BH20" s="89"/>
      <c r="BI20" s="89"/>
      <c r="BJ20" s="89"/>
      <c r="BK20" s="91"/>
    </row>
    <row r="21" customFormat="false" ht="13.5" hidden="false" customHeight="false" outlineLevel="0" collapsed="false">
      <c r="A21" s="88"/>
      <c r="B21" s="153"/>
      <c r="C21" s="89"/>
      <c r="D21" s="89"/>
      <c r="E21" s="89"/>
      <c r="F21" s="89"/>
      <c r="G21" s="91"/>
      <c r="I21" s="88" t="s">
        <v>141</v>
      </c>
      <c r="J21" s="153" t="s">
        <v>144</v>
      </c>
      <c r="K21" s="89" t="n">
        <f aca="false">'BLOCK WORK'!K10</f>
        <v>3</v>
      </c>
      <c r="L21" s="89" t="n">
        <v>1.6</v>
      </c>
      <c r="M21" s="89" t="n">
        <v>3</v>
      </c>
      <c r="N21" s="89" t="n">
        <v>27.6</v>
      </c>
      <c r="O21" s="91" t="n">
        <v>14.4</v>
      </c>
      <c r="Q21" s="88" t="s">
        <v>141</v>
      </c>
      <c r="R21" s="153" t="s">
        <v>145</v>
      </c>
      <c r="S21" s="89" t="n">
        <f aca="false">'BLOCK WORK'!S10</f>
        <v>2</v>
      </c>
      <c r="T21" s="89" t="n">
        <v>1.5</v>
      </c>
      <c r="U21" s="89" t="n">
        <v>1.2</v>
      </c>
      <c r="V21" s="89" t="n">
        <v>10.8</v>
      </c>
      <c r="W21" s="91" t="n">
        <v>3.6</v>
      </c>
      <c r="Y21" s="88" t="s">
        <v>141</v>
      </c>
      <c r="Z21" s="153" t="s">
        <v>145</v>
      </c>
      <c r="AA21" s="89" t="n">
        <f aca="false">'BLOCK WORK'!AA10</f>
        <v>2</v>
      </c>
      <c r="AB21" s="89" t="n">
        <v>1.5</v>
      </c>
      <c r="AC21" s="89" t="n">
        <v>1.2</v>
      </c>
      <c r="AD21" s="89" t="n">
        <v>10.8</v>
      </c>
      <c r="AE21" s="91" t="n">
        <v>3.6</v>
      </c>
      <c r="AG21" s="88" t="s">
        <v>141</v>
      </c>
      <c r="AH21" s="153" t="s">
        <v>145</v>
      </c>
      <c r="AI21" s="89" t="n">
        <f aca="false">'BLOCK WORK'!AI10</f>
        <v>2</v>
      </c>
      <c r="AJ21" s="89" t="n">
        <v>1.5</v>
      </c>
      <c r="AK21" s="89" t="n">
        <v>1.2</v>
      </c>
      <c r="AL21" s="89" t="n">
        <v>10.8</v>
      </c>
      <c r="AM21" s="91" t="n">
        <v>3.6</v>
      </c>
      <c r="AO21" s="88" t="s">
        <v>141</v>
      </c>
      <c r="AP21" s="153" t="s">
        <v>145</v>
      </c>
      <c r="AQ21" s="89" t="n">
        <f aca="false">'BLOCK WORK'!AQ10</f>
        <v>2</v>
      </c>
      <c r="AR21" s="89" t="n">
        <v>1.5</v>
      </c>
      <c r="AS21" s="89" t="n">
        <v>1.2</v>
      </c>
      <c r="AT21" s="89" t="n">
        <v>10.8</v>
      </c>
      <c r="AU21" s="91" t="n">
        <v>3.6</v>
      </c>
      <c r="AW21" s="88" t="s">
        <v>141</v>
      </c>
      <c r="AX21" s="89" t="s">
        <v>145</v>
      </c>
      <c r="AY21" s="89" t="n">
        <f aca="false">'BLOCK WORK'!AY10</f>
        <v>1</v>
      </c>
      <c r="AZ21" s="89" t="n">
        <v>1.5</v>
      </c>
      <c r="BA21" s="89" t="n">
        <v>1.2</v>
      </c>
      <c r="BB21" s="89" t="n">
        <v>5.4</v>
      </c>
      <c r="BC21" s="91" t="n">
        <v>1.8</v>
      </c>
      <c r="BE21" s="88"/>
      <c r="BF21" s="89"/>
      <c r="BG21" s="89"/>
      <c r="BH21" s="89"/>
      <c r="BI21" s="89"/>
      <c r="BJ21" s="89"/>
      <c r="BK21" s="91"/>
    </row>
    <row r="22" customFormat="false" ht="13.5" hidden="false" customHeight="false" outlineLevel="0" collapsed="false">
      <c r="A22" s="88"/>
      <c r="B22" s="153"/>
      <c r="C22" s="89"/>
      <c r="D22" s="89"/>
      <c r="E22" s="89"/>
      <c r="F22" s="89"/>
      <c r="G22" s="91"/>
      <c r="I22" s="88" t="s">
        <v>151</v>
      </c>
      <c r="J22" s="153" t="s">
        <v>145</v>
      </c>
      <c r="K22" s="89" t="n">
        <f aca="false">'BLOCK WORK'!K11</f>
        <v>2</v>
      </c>
      <c r="L22" s="89" t="n">
        <v>1.5</v>
      </c>
      <c r="M22" s="89" t="n">
        <v>1.2</v>
      </c>
      <c r="N22" s="89" t="n">
        <v>10.8</v>
      </c>
      <c r="O22" s="91" t="n">
        <v>3.6</v>
      </c>
      <c r="Q22" s="88" t="s">
        <v>151</v>
      </c>
      <c r="R22" s="153" t="s">
        <v>146</v>
      </c>
      <c r="S22" s="89" t="n">
        <f aca="false">'BLOCK WORK'!S11</f>
        <v>2</v>
      </c>
      <c r="T22" s="89" t="n">
        <v>0.9</v>
      </c>
      <c r="U22" s="89" t="n">
        <v>2</v>
      </c>
      <c r="V22" s="89" t="n">
        <v>11.6</v>
      </c>
      <c r="W22" s="91" t="n">
        <v>3.6</v>
      </c>
      <c r="Y22" s="88" t="s">
        <v>151</v>
      </c>
      <c r="Z22" s="153" t="s">
        <v>146</v>
      </c>
      <c r="AA22" s="89" t="n">
        <f aca="false">'BLOCK WORK'!AA11</f>
        <v>2</v>
      </c>
      <c r="AB22" s="89" t="n">
        <v>0.9</v>
      </c>
      <c r="AC22" s="89" t="n">
        <v>2</v>
      </c>
      <c r="AD22" s="89" t="n">
        <v>11.6</v>
      </c>
      <c r="AE22" s="91" t="n">
        <v>3.6</v>
      </c>
      <c r="AG22" s="88" t="s">
        <v>151</v>
      </c>
      <c r="AH22" s="153" t="s">
        <v>146</v>
      </c>
      <c r="AI22" s="89" t="n">
        <f aca="false">'BLOCK WORK'!AI11</f>
        <v>2</v>
      </c>
      <c r="AJ22" s="89" t="n">
        <v>0.9</v>
      </c>
      <c r="AK22" s="89" t="n">
        <v>2</v>
      </c>
      <c r="AL22" s="89" t="n">
        <v>11.6</v>
      </c>
      <c r="AM22" s="91" t="n">
        <v>3.6</v>
      </c>
      <c r="AO22" s="88" t="s">
        <v>151</v>
      </c>
      <c r="AP22" s="153" t="s">
        <v>146</v>
      </c>
      <c r="AQ22" s="89" t="n">
        <f aca="false">'BLOCK WORK'!AQ11</f>
        <v>2</v>
      </c>
      <c r="AR22" s="89" t="n">
        <v>0.9</v>
      </c>
      <c r="AS22" s="89" t="n">
        <v>2</v>
      </c>
      <c r="AT22" s="89" t="n">
        <v>11.6</v>
      </c>
      <c r="AU22" s="91" t="n">
        <v>3.6</v>
      </c>
      <c r="AW22" s="88" t="s">
        <v>151</v>
      </c>
      <c r="AX22" s="89" t="s">
        <v>146</v>
      </c>
      <c r="AY22" s="89" t="n">
        <f aca="false">'BLOCK WORK'!AY11</f>
        <v>5</v>
      </c>
      <c r="AZ22" s="89" t="n">
        <v>0.9</v>
      </c>
      <c r="BA22" s="89" t="n">
        <v>2</v>
      </c>
      <c r="BB22" s="89" t="n">
        <v>29</v>
      </c>
      <c r="BC22" s="91" t="n">
        <v>9</v>
      </c>
      <c r="BE22" s="88"/>
      <c r="BF22" s="89"/>
      <c r="BG22" s="89"/>
      <c r="BH22" s="89"/>
      <c r="BI22" s="89"/>
      <c r="BJ22" s="89"/>
      <c r="BK22" s="91"/>
    </row>
    <row r="23" customFormat="false" ht="13.5" hidden="false" customHeight="false" outlineLevel="0" collapsed="false">
      <c r="A23" s="88"/>
      <c r="B23" s="153"/>
      <c r="C23" s="89"/>
      <c r="D23" s="89"/>
      <c r="E23" s="89"/>
      <c r="F23" s="89"/>
      <c r="G23" s="91"/>
      <c r="I23" s="88" t="s">
        <v>155</v>
      </c>
      <c r="J23" s="153" t="s">
        <v>147</v>
      </c>
      <c r="K23" s="89" t="n">
        <f aca="false">'BLOCK WORK'!K12</f>
        <v>1</v>
      </c>
      <c r="L23" s="89" t="n">
        <v>1.2</v>
      </c>
      <c r="M23" s="89" t="n">
        <v>0.75</v>
      </c>
      <c r="N23" s="89" t="n">
        <v>3.9</v>
      </c>
      <c r="O23" s="91" t="n">
        <v>0.9</v>
      </c>
      <c r="Q23" s="88" t="s">
        <v>155</v>
      </c>
      <c r="R23" s="153" t="s">
        <v>147</v>
      </c>
      <c r="S23" s="89" t="n">
        <f aca="false">'BLOCK WORK'!S12</f>
        <v>1</v>
      </c>
      <c r="T23" s="89" t="n">
        <v>1.2</v>
      </c>
      <c r="U23" s="89" t="n">
        <v>0.75</v>
      </c>
      <c r="V23" s="89" t="n">
        <v>3.9</v>
      </c>
      <c r="W23" s="91" t="n">
        <v>0.9</v>
      </c>
      <c r="Y23" s="88" t="s">
        <v>155</v>
      </c>
      <c r="Z23" s="153" t="s">
        <v>147</v>
      </c>
      <c r="AA23" s="89" t="n">
        <f aca="false">'BLOCK WORK'!AA12</f>
        <v>1</v>
      </c>
      <c r="AB23" s="89" t="n">
        <v>1.2</v>
      </c>
      <c r="AC23" s="89" t="n">
        <v>0.75</v>
      </c>
      <c r="AD23" s="89" t="n">
        <v>3.9</v>
      </c>
      <c r="AE23" s="91" t="n">
        <v>0.9</v>
      </c>
      <c r="AG23" s="88" t="s">
        <v>155</v>
      </c>
      <c r="AH23" s="153" t="s">
        <v>147</v>
      </c>
      <c r="AI23" s="89" t="n">
        <f aca="false">'BLOCK WORK'!AI12</f>
        <v>1</v>
      </c>
      <c r="AJ23" s="89" t="n">
        <v>1.2</v>
      </c>
      <c r="AK23" s="89" t="n">
        <v>0.75</v>
      </c>
      <c r="AL23" s="89" t="n">
        <v>3.9</v>
      </c>
      <c r="AM23" s="91" t="n">
        <v>0.9</v>
      </c>
      <c r="AO23" s="88" t="s">
        <v>155</v>
      </c>
      <c r="AP23" s="153" t="s">
        <v>148</v>
      </c>
      <c r="AQ23" s="89" t="n">
        <f aca="false">'BLOCK WORK'!AQ12</f>
        <v>4</v>
      </c>
      <c r="AR23" s="89" t="n">
        <v>1.8</v>
      </c>
      <c r="AS23" s="89" t="n">
        <v>1</v>
      </c>
      <c r="AT23" s="89" t="n">
        <v>22.4</v>
      </c>
      <c r="AU23" s="91" t="n">
        <v>7.2</v>
      </c>
      <c r="AW23" s="88" t="s">
        <v>155</v>
      </c>
      <c r="AX23" s="89" t="s">
        <v>147</v>
      </c>
      <c r="AY23" s="89" t="n">
        <f aca="false">'BLOCK WORK'!AY12</f>
        <v>1</v>
      </c>
      <c r="AZ23" s="89" t="n">
        <v>1.2</v>
      </c>
      <c r="BA23" s="89" t="n">
        <v>0.75</v>
      </c>
      <c r="BB23" s="89" t="n">
        <v>3.9</v>
      </c>
      <c r="BC23" s="91" t="n">
        <v>0.9</v>
      </c>
      <c r="BE23" s="88"/>
      <c r="BF23" s="89"/>
      <c r="BG23" s="89"/>
      <c r="BH23" s="89"/>
      <c r="BI23" s="89"/>
      <c r="BJ23" s="89"/>
      <c r="BK23" s="91"/>
    </row>
    <row r="24" customFormat="false" ht="13.5" hidden="false" customHeight="false" outlineLevel="0" collapsed="false">
      <c r="A24" s="88"/>
      <c r="B24" s="153"/>
      <c r="C24" s="89"/>
      <c r="D24" s="89"/>
      <c r="E24" s="89"/>
      <c r="F24" s="89"/>
      <c r="G24" s="91"/>
      <c r="I24" s="88"/>
      <c r="J24" s="153"/>
      <c r="K24" s="89"/>
      <c r="L24" s="89"/>
      <c r="M24" s="89"/>
      <c r="N24" s="89"/>
      <c r="O24" s="91"/>
      <c r="Q24" s="88"/>
      <c r="R24" s="153"/>
      <c r="S24" s="89"/>
      <c r="T24" s="89"/>
      <c r="U24" s="89"/>
      <c r="V24" s="89"/>
      <c r="W24" s="91"/>
      <c r="Y24" s="88" t="s">
        <v>157</v>
      </c>
      <c r="Z24" s="153" t="s">
        <v>148</v>
      </c>
      <c r="AA24" s="89" t="n">
        <f aca="false">'BLOCK WORK'!AA13</f>
        <v>3</v>
      </c>
      <c r="AB24" s="89" t="n">
        <v>1.8</v>
      </c>
      <c r="AC24" s="89" t="n">
        <v>1</v>
      </c>
      <c r="AD24" s="89" t="n">
        <v>16.8</v>
      </c>
      <c r="AE24" s="91" t="n">
        <v>5.4</v>
      </c>
      <c r="AG24" s="88" t="s">
        <v>157</v>
      </c>
      <c r="AH24" s="153" t="s">
        <v>148</v>
      </c>
      <c r="AI24" s="89" t="n">
        <f aca="false">'BLOCK WORK'!AI13</f>
        <v>3</v>
      </c>
      <c r="AJ24" s="89" t="n">
        <v>1.8</v>
      </c>
      <c r="AK24" s="89" t="n">
        <v>1</v>
      </c>
      <c r="AL24" s="89" t="n">
        <v>16.8</v>
      </c>
      <c r="AM24" s="91" t="n">
        <v>5.4</v>
      </c>
      <c r="AO24" s="88" t="s">
        <v>157</v>
      </c>
      <c r="AP24" s="153"/>
      <c r="AQ24" s="89"/>
      <c r="AR24" s="89"/>
      <c r="AS24" s="89"/>
      <c r="AT24" s="89"/>
      <c r="AU24" s="91"/>
      <c r="AW24" s="88"/>
      <c r="AX24" s="89"/>
      <c r="AY24" s="89"/>
      <c r="AZ24" s="89"/>
      <c r="BA24" s="89"/>
      <c r="BB24" s="89"/>
      <c r="BC24" s="91"/>
      <c r="BE24" s="88"/>
      <c r="BF24" s="89"/>
      <c r="BG24" s="89"/>
      <c r="BH24" s="89"/>
      <c r="BI24" s="89"/>
      <c r="BJ24" s="89"/>
      <c r="BK24" s="91"/>
    </row>
    <row r="25" customFormat="false" ht="13.5" hidden="false" customHeight="false" outlineLevel="0" collapsed="false">
      <c r="A25" s="88"/>
      <c r="B25" s="153"/>
      <c r="C25" s="89"/>
      <c r="D25" s="89"/>
      <c r="E25" s="89"/>
      <c r="F25" s="89"/>
      <c r="G25" s="91"/>
      <c r="I25" s="88"/>
      <c r="J25" s="153"/>
      <c r="K25" s="89"/>
      <c r="L25" s="89"/>
      <c r="M25" s="89"/>
      <c r="N25" s="89"/>
      <c r="O25" s="91"/>
      <c r="Q25" s="88"/>
      <c r="R25" s="153"/>
      <c r="S25" s="89"/>
      <c r="T25" s="89"/>
      <c r="U25" s="89"/>
      <c r="V25" s="89"/>
      <c r="W25" s="91"/>
      <c r="Y25" s="88"/>
      <c r="Z25" s="153"/>
      <c r="AA25" s="89"/>
      <c r="AB25" s="89"/>
      <c r="AC25" s="89"/>
      <c r="AD25" s="89"/>
      <c r="AE25" s="91"/>
      <c r="AG25" s="88"/>
      <c r="AH25" s="153"/>
      <c r="AI25" s="89"/>
      <c r="AJ25" s="89"/>
      <c r="AK25" s="89"/>
      <c r="AL25" s="89"/>
      <c r="AM25" s="91"/>
      <c r="AO25" s="88"/>
      <c r="AP25" s="153"/>
      <c r="AQ25" s="89"/>
      <c r="AR25" s="89"/>
      <c r="AS25" s="89"/>
      <c r="AT25" s="89"/>
      <c r="AU25" s="91"/>
      <c r="AW25" s="88"/>
      <c r="AX25" s="89"/>
      <c r="AY25" s="89"/>
      <c r="AZ25" s="89"/>
      <c r="BA25" s="89"/>
      <c r="BB25" s="89"/>
      <c r="BC25" s="91"/>
      <c r="BE25" s="88"/>
      <c r="BF25" s="89"/>
      <c r="BG25" s="89"/>
      <c r="BH25" s="89"/>
      <c r="BI25" s="89"/>
      <c r="BJ25" s="89"/>
      <c r="BK25" s="91"/>
    </row>
    <row r="26" s="80" customFormat="true" ht="14.25" hidden="false" customHeight="true" outlineLevel="0" collapsed="false">
      <c r="A26" s="123"/>
      <c r="B26" s="171"/>
      <c r="C26" s="124" t="n">
        <f aca="false">SUM(C20:C25)</f>
        <v>3</v>
      </c>
      <c r="D26" s="124"/>
      <c r="E26" s="124"/>
      <c r="F26" s="124"/>
      <c r="G26" s="95"/>
      <c r="H26" s="172"/>
      <c r="I26" s="123"/>
      <c r="J26" s="171"/>
      <c r="K26" s="124" t="n">
        <f aca="false">SUM(K20:K25)</f>
        <v>10</v>
      </c>
      <c r="L26" s="124"/>
      <c r="M26" s="124"/>
      <c r="N26" s="124"/>
      <c r="O26" s="95"/>
      <c r="P26" s="172"/>
      <c r="Q26" s="123"/>
      <c r="R26" s="171"/>
      <c r="S26" s="124" t="n">
        <f aca="false">SUM(S20:S25)</f>
        <v>9</v>
      </c>
      <c r="T26" s="124"/>
      <c r="U26" s="124"/>
      <c r="V26" s="124"/>
      <c r="W26" s="95"/>
      <c r="X26" s="172"/>
      <c r="Y26" s="123"/>
      <c r="Z26" s="171"/>
      <c r="AA26" s="124" t="n">
        <f aca="false">SUM(AA20:AA25)</f>
        <v>14</v>
      </c>
      <c r="AB26" s="124"/>
      <c r="AC26" s="124"/>
      <c r="AD26" s="124"/>
      <c r="AE26" s="95"/>
      <c r="AF26" s="172"/>
      <c r="AG26" s="123"/>
      <c r="AH26" s="171"/>
      <c r="AI26" s="124" t="n">
        <f aca="false">SUM(AI20:AI25)</f>
        <v>12</v>
      </c>
      <c r="AJ26" s="124"/>
      <c r="AK26" s="124"/>
      <c r="AL26" s="124"/>
      <c r="AM26" s="95"/>
      <c r="AN26" s="172"/>
      <c r="AO26" s="123"/>
      <c r="AP26" s="171"/>
      <c r="AQ26" s="124" t="n">
        <f aca="false">SUM(AQ20:AQ25)</f>
        <v>12</v>
      </c>
      <c r="AR26" s="124"/>
      <c r="AS26" s="124"/>
      <c r="AT26" s="124"/>
      <c r="AU26" s="95"/>
      <c r="AV26" s="172"/>
      <c r="AW26" s="123"/>
      <c r="AX26" s="124"/>
      <c r="AY26" s="124" t="n">
        <f aca="false">SUM(AY20:AY25)</f>
        <v>11</v>
      </c>
      <c r="AZ26" s="124"/>
      <c r="BA26" s="124"/>
      <c r="BB26" s="124"/>
      <c r="BC26" s="95"/>
      <c r="BD26" s="172"/>
      <c r="BE26" s="123"/>
      <c r="BF26" s="124"/>
      <c r="BG26" s="124" t="n">
        <f aca="false">SUM(BG20:BG25)</f>
        <v>0</v>
      </c>
      <c r="BH26" s="124"/>
      <c r="BI26" s="124"/>
      <c r="BJ26" s="124"/>
      <c r="BK26" s="95"/>
      <c r="BM26" s="80" t="n">
        <f aca="false">SUM(A26:BK26)</f>
        <v>71</v>
      </c>
      <c r="BO26" s="80" t="n">
        <f aca="false">C14</f>
        <v>71</v>
      </c>
      <c r="BQ26" s="80" t="n">
        <f aca="false">BO26-BM26</f>
        <v>0</v>
      </c>
    </row>
    <row r="27" customFormat="false" ht="14.25" hidden="false" customHeight="true" outlineLevel="0" collapsed="false">
      <c r="A27" s="88"/>
      <c r="B27" s="153"/>
      <c r="C27" s="89"/>
      <c r="D27" s="89"/>
      <c r="E27" s="89"/>
      <c r="F27" s="89"/>
      <c r="G27" s="91"/>
      <c r="I27" s="88"/>
      <c r="J27" s="153"/>
      <c r="K27" s="89"/>
      <c r="L27" s="89"/>
      <c r="M27" s="89"/>
      <c r="N27" s="89"/>
      <c r="O27" s="91"/>
      <c r="Q27" s="88"/>
      <c r="R27" s="153"/>
      <c r="S27" s="89"/>
      <c r="T27" s="89"/>
      <c r="U27" s="89"/>
      <c r="V27" s="89"/>
      <c r="W27" s="91"/>
      <c r="Y27" s="88"/>
      <c r="Z27" s="153"/>
      <c r="AA27" s="89"/>
      <c r="AB27" s="89"/>
      <c r="AC27" s="89"/>
      <c r="AD27" s="89"/>
      <c r="AE27" s="91"/>
      <c r="AG27" s="88"/>
      <c r="AH27" s="153"/>
      <c r="AI27" s="89"/>
      <c r="AJ27" s="89"/>
      <c r="AK27" s="89"/>
      <c r="AL27" s="89"/>
      <c r="AM27" s="91"/>
      <c r="AO27" s="88"/>
      <c r="AP27" s="153"/>
      <c r="AQ27" s="89"/>
      <c r="AR27" s="89"/>
      <c r="AS27" s="89"/>
      <c r="AT27" s="89"/>
      <c r="AU27" s="91"/>
      <c r="AW27" s="88"/>
      <c r="AX27" s="89"/>
      <c r="AY27" s="89"/>
      <c r="AZ27" s="89"/>
      <c r="BA27" s="89"/>
      <c r="BB27" s="89"/>
      <c r="BC27" s="91"/>
      <c r="BE27" s="88"/>
      <c r="BF27" s="89"/>
      <c r="BG27" s="89"/>
      <c r="BH27" s="89"/>
      <c r="BI27" s="89"/>
      <c r="BJ27" s="89"/>
      <c r="BK27" s="91"/>
    </row>
    <row r="28" customFormat="false" ht="14.25" hidden="false" customHeight="true" outlineLevel="0" collapsed="false">
      <c r="A28" s="88"/>
      <c r="B28" s="153"/>
      <c r="C28" s="89"/>
      <c r="D28" s="89"/>
      <c r="E28" s="89"/>
      <c r="F28" s="89"/>
      <c r="G28" s="91"/>
      <c r="I28" s="88"/>
      <c r="J28" s="153"/>
      <c r="K28" s="89"/>
      <c r="L28" s="89"/>
      <c r="M28" s="89"/>
      <c r="N28" s="89"/>
      <c r="O28" s="91"/>
      <c r="Q28" s="88"/>
      <c r="R28" s="153"/>
      <c r="S28" s="89"/>
      <c r="T28" s="89"/>
      <c r="U28" s="89"/>
      <c r="V28" s="89"/>
      <c r="W28" s="91"/>
      <c r="Y28" s="88"/>
      <c r="Z28" s="153"/>
      <c r="AA28" s="89"/>
      <c r="AB28" s="89"/>
      <c r="AC28" s="89"/>
      <c r="AD28" s="89"/>
      <c r="AE28" s="91"/>
      <c r="AG28" s="88"/>
      <c r="AH28" s="153"/>
      <c r="AI28" s="89"/>
      <c r="AJ28" s="89"/>
      <c r="AK28" s="89"/>
      <c r="AL28" s="89"/>
      <c r="AM28" s="91"/>
      <c r="AO28" s="88"/>
      <c r="AP28" s="153"/>
      <c r="AQ28" s="89"/>
      <c r="AR28" s="89"/>
      <c r="AS28" s="89"/>
      <c r="AT28" s="89"/>
      <c r="AU28" s="91"/>
      <c r="AW28" s="88"/>
      <c r="AX28" s="89"/>
      <c r="AY28" s="89"/>
      <c r="AZ28" s="89"/>
      <c r="BA28" s="89"/>
      <c r="BB28" s="89"/>
      <c r="BC28" s="91"/>
      <c r="BE28" s="88"/>
      <c r="BF28" s="89"/>
      <c r="BG28" s="89"/>
      <c r="BH28" s="89"/>
      <c r="BI28" s="89"/>
      <c r="BJ28" s="89"/>
      <c r="BK28" s="91"/>
    </row>
    <row r="29" s="174" customFormat="true" ht="14.25" hidden="false" customHeight="true" outlineLevel="0" collapsed="false">
      <c r="A29" s="173" t="s">
        <v>292</v>
      </c>
      <c r="B29" s="173"/>
      <c r="C29" s="173"/>
      <c r="D29" s="173"/>
      <c r="E29" s="173"/>
      <c r="F29" s="173"/>
      <c r="G29" s="173"/>
      <c r="I29" s="173" t="s">
        <v>292</v>
      </c>
      <c r="J29" s="173"/>
      <c r="K29" s="173"/>
      <c r="L29" s="173"/>
      <c r="M29" s="173"/>
      <c r="N29" s="173"/>
      <c r="O29" s="173"/>
      <c r="Q29" s="173" t="s">
        <v>292</v>
      </c>
      <c r="R29" s="173"/>
      <c r="S29" s="173"/>
      <c r="T29" s="173"/>
      <c r="U29" s="173"/>
      <c r="V29" s="173"/>
      <c r="W29" s="173"/>
      <c r="Y29" s="173" t="s">
        <v>292</v>
      </c>
      <c r="Z29" s="173"/>
      <c r="AA29" s="173"/>
      <c r="AB29" s="173"/>
      <c r="AC29" s="173"/>
      <c r="AD29" s="173"/>
      <c r="AE29" s="173"/>
      <c r="AG29" s="173" t="s">
        <v>292</v>
      </c>
      <c r="AH29" s="173"/>
      <c r="AI29" s="173"/>
      <c r="AJ29" s="173"/>
      <c r="AK29" s="173"/>
      <c r="AL29" s="173"/>
      <c r="AM29" s="173"/>
      <c r="AO29" s="173" t="s">
        <v>292</v>
      </c>
      <c r="AP29" s="173"/>
      <c r="AQ29" s="173"/>
      <c r="AR29" s="173"/>
      <c r="AS29" s="173"/>
      <c r="AT29" s="173"/>
      <c r="AU29" s="173"/>
      <c r="AW29" s="173" t="s">
        <v>292</v>
      </c>
      <c r="AX29" s="173"/>
      <c r="AY29" s="173"/>
      <c r="AZ29" s="173"/>
      <c r="BA29" s="173"/>
      <c r="BB29" s="173"/>
      <c r="BC29" s="173"/>
      <c r="BE29" s="173" t="s">
        <v>292</v>
      </c>
      <c r="BF29" s="173"/>
      <c r="BG29" s="173"/>
      <c r="BH29" s="173"/>
      <c r="BI29" s="173"/>
      <c r="BJ29" s="173"/>
      <c r="BK29" s="173"/>
    </row>
    <row r="30" customFormat="false" ht="14.25" hidden="false" customHeight="true" outlineLevel="0" collapsed="false">
      <c r="A30" s="83" t="s">
        <v>131</v>
      </c>
      <c r="B30" s="84" t="s">
        <v>132</v>
      </c>
      <c r="C30" s="84" t="s">
        <v>133</v>
      </c>
      <c r="D30" s="84" t="s">
        <v>134</v>
      </c>
      <c r="E30" s="84" t="s">
        <v>135</v>
      </c>
      <c r="F30" s="86" t="s">
        <v>137</v>
      </c>
      <c r="G30" s="86" t="s">
        <v>281</v>
      </c>
      <c r="I30" s="83" t="s">
        <v>131</v>
      </c>
      <c r="J30" s="84" t="s">
        <v>132</v>
      </c>
      <c r="K30" s="84" t="s">
        <v>133</v>
      </c>
      <c r="L30" s="84" t="s">
        <v>134</v>
      </c>
      <c r="M30" s="84" t="s">
        <v>135</v>
      </c>
      <c r="N30" s="86" t="s">
        <v>137</v>
      </c>
      <c r="O30" s="86" t="s">
        <v>281</v>
      </c>
      <c r="Q30" s="83" t="s">
        <v>131</v>
      </c>
      <c r="R30" s="84" t="s">
        <v>132</v>
      </c>
      <c r="S30" s="84" t="s">
        <v>133</v>
      </c>
      <c r="T30" s="84" t="s">
        <v>134</v>
      </c>
      <c r="U30" s="84" t="s">
        <v>135</v>
      </c>
      <c r="V30" s="86" t="s">
        <v>137</v>
      </c>
      <c r="W30" s="86" t="s">
        <v>281</v>
      </c>
      <c r="Y30" s="83" t="s">
        <v>131</v>
      </c>
      <c r="Z30" s="84" t="s">
        <v>132</v>
      </c>
      <c r="AA30" s="84" t="s">
        <v>133</v>
      </c>
      <c r="AB30" s="84" t="s">
        <v>134</v>
      </c>
      <c r="AC30" s="84" t="s">
        <v>135</v>
      </c>
      <c r="AD30" s="86" t="s">
        <v>137</v>
      </c>
      <c r="AE30" s="86" t="s">
        <v>281</v>
      </c>
      <c r="AG30" s="83" t="s">
        <v>131</v>
      </c>
      <c r="AH30" s="84" t="s">
        <v>132</v>
      </c>
      <c r="AI30" s="84" t="s">
        <v>133</v>
      </c>
      <c r="AJ30" s="84" t="s">
        <v>134</v>
      </c>
      <c r="AK30" s="84" t="s">
        <v>135</v>
      </c>
      <c r="AL30" s="86" t="s">
        <v>137</v>
      </c>
      <c r="AM30" s="86" t="s">
        <v>281</v>
      </c>
      <c r="AO30" s="83" t="s">
        <v>131</v>
      </c>
      <c r="AP30" s="84" t="s">
        <v>132</v>
      </c>
      <c r="AQ30" s="84" t="s">
        <v>133</v>
      </c>
      <c r="AR30" s="84" t="s">
        <v>134</v>
      </c>
      <c r="AS30" s="84" t="s">
        <v>135</v>
      </c>
      <c r="AT30" s="86" t="s">
        <v>137</v>
      </c>
      <c r="AU30" s="86" t="s">
        <v>281</v>
      </c>
      <c r="AW30" s="83" t="s">
        <v>131</v>
      </c>
      <c r="AX30" s="84" t="s">
        <v>132</v>
      </c>
      <c r="AY30" s="84" t="s">
        <v>133</v>
      </c>
      <c r="AZ30" s="84" t="s">
        <v>134</v>
      </c>
      <c r="BA30" s="84" t="s">
        <v>135</v>
      </c>
      <c r="BB30" s="86" t="s">
        <v>137</v>
      </c>
      <c r="BC30" s="86" t="s">
        <v>281</v>
      </c>
      <c r="BE30" s="83" t="s">
        <v>131</v>
      </c>
      <c r="BF30" s="84" t="s">
        <v>132</v>
      </c>
      <c r="BG30" s="84" t="s">
        <v>133</v>
      </c>
      <c r="BH30" s="84" t="s">
        <v>134</v>
      </c>
      <c r="BI30" s="84" t="s">
        <v>135</v>
      </c>
      <c r="BJ30" s="86" t="s">
        <v>137</v>
      </c>
      <c r="BK30" s="86" t="s">
        <v>281</v>
      </c>
    </row>
    <row r="31" customFormat="false" ht="13.5" hidden="false" customHeight="false" outlineLevel="0" collapsed="false">
      <c r="A31" s="88"/>
      <c r="B31" s="153"/>
      <c r="C31" s="89"/>
      <c r="D31" s="89"/>
      <c r="E31" s="89"/>
      <c r="F31" s="89"/>
      <c r="G31" s="91"/>
      <c r="I31" s="88"/>
      <c r="J31" s="153"/>
      <c r="K31" s="89"/>
      <c r="L31" s="89"/>
      <c r="M31" s="89"/>
      <c r="N31" s="89"/>
      <c r="O31" s="91"/>
      <c r="Q31" s="88"/>
      <c r="R31" s="153"/>
      <c r="S31" s="89"/>
      <c r="T31" s="89"/>
      <c r="U31" s="89"/>
      <c r="V31" s="89"/>
      <c r="W31" s="91"/>
      <c r="Y31" s="88"/>
      <c r="Z31" s="153"/>
      <c r="AA31" s="89"/>
      <c r="AB31" s="89"/>
      <c r="AC31" s="89"/>
      <c r="AD31" s="89"/>
      <c r="AE31" s="91"/>
      <c r="AG31" s="88"/>
      <c r="AH31" s="153"/>
      <c r="AI31" s="89"/>
      <c r="AJ31" s="89"/>
      <c r="AK31" s="89"/>
      <c r="AL31" s="89"/>
      <c r="AM31" s="91"/>
      <c r="AO31" s="88"/>
      <c r="AP31" s="153"/>
      <c r="AQ31" s="89"/>
      <c r="AR31" s="89"/>
      <c r="AS31" s="89"/>
      <c r="AT31" s="89"/>
      <c r="AU31" s="91"/>
      <c r="AW31" s="88"/>
      <c r="AX31" s="153"/>
      <c r="AY31" s="89"/>
      <c r="AZ31" s="89"/>
      <c r="BA31" s="89"/>
      <c r="BB31" s="89"/>
      <c r="BC31" s="91"/>
      <c r="BE31" s="88"/>
      <c r="BF31" s="153"/>
      <c r="BG31" s="89"/>
      <c r="BH31" s="89"/>
      <c r="BI31" s="89"/>
      <c r="BJ31" s="89"/>
      <c r="BK31" s="91"/>
    </row>
    <row r="32" customFormat="false" ht="14.9" hidden="false" customHeight="false" outlineLevel="0" collapsed="false">
      <c r="A32" s="88" t="s">
        <v>138</v>
      </c>
      <c r="B32" s="175" t="s">
        <v>152</v>
      </c>
      <c r="C32" s="89" t="n">
        <f aca="false">'BLOCK WORK'!C17</f>
        <v>4</v>
      </c>
      <c r="D32" s="89" t="n">
        <v>0.9</v>
      </c>
      <c r="E32" s="89" t="n">
        <v>2.1</v>
      </c>
      <c r="F32" s="122" t="n">
        <v>6</v>
      </c>
      <c r="G32" s="91" t="n">
        <v>1.89</v>
      </c>
      <c r="I32" s="88" t="s">
        <v>138</v>
      </c>
      <c r="J32" s="175" t="s">
        <v>153</v>
      </c>
      <c r="K32" s="89" t="n">
        <f aca="false">'BLOCK WORK'!K17</f>
        <v>3</v>
      </c>
      <c r="L32" s="89" t="n">
        <v>1.2</v>
      </c>
      <c r="M32" s="89" t="n">
        <v>2.1</v>
      </c>
      <c r="N32" s="122" t="n">
        <v>19.8</v>
      </c>
      <c r="O32" s="91" t="n">
        <v>7.56</v>
      </c>
      <c r="Q32" s="88" t="s">
        <v>138</v>
      </c>
      <c r="R32" s="175" t="s">
        <v>153</v>
      </c>
      <c r="S32" s="89" t="n">
        <f aca="false">'BLOCK WORK'!S17</f>
        <v>3</v>
      </c>
      <c r="T32" s="89" t="n">
        <v>1.2</v>
      </c>
      <c r="U32" s="89" t="n">
        <v>2.1</v>
      </c>
      <c r="V32" s="122" t="n">
        <v>19.8</v>
      </c>
      <c r="W32" s="91" t="n">
        <v>7.56</v>
      </c>
      <c r="Y32" s="88" t="s">
        <v>138</v>
      </c>
      <c r="Z32" s="175" t="s">
        <v>153</v>
      </c>
      <c r="AA32" s="89" t="n">
        <f aca="false">'BLOCK WORK'!AA17</f>
        <v>3</v>
      </c>
      <c r="AB32" s="89" t="n">
        <v>1.2</v>
      </c>
      <c r="AC32" s="89" t="n">
        <v>2.1</v>
      </c>
      <c r="AD32" s="122" t="n">
        <v>13.2</v>
      </c>
      <c r="AE32" s="91" t="n">
        <v>5.04</v>
      </c>
      <c r="AG32" s="88" t="s">
        <v>138</v>
      </c>
      <c r="AH32" s="175" t="s">
        <v>153</v>
      </c>
      <c r="AI32" s="89" t="n">
        <f aca="false">'BLOCK WORK'!AI17</f>
        <v>2</v>
      </c>
      <c r="AJ32" s="89" t="n">
        <v>1.2</v>
      </c>
      <c r="AK32" s="89" t="n">
        <v>2.1</v>
      </c>
      <c r="AL32" s="122" t="n">
        <v>13.2</v>
      </c>
      <c r="AM32" s="91" t="n">
        <v>5.04</v>
      </c>
      <c r="AO32" s="88" t="s">
        <v>138</v>
      </c>
      <c r="AP32" s="175" t="s">
        <v>153</v>
      </c>
      <c r="AQ32" s="89" t="n">
        <f aca="false">'BLOCK WORK'!AQ18</f>
        <v>2</v>
      </c>
      <c r="AR32" s="89" t="n">
        <v>1.2</v>
      </c>
      <c r="AS32" s="89" t="n">
        <v>2.1</v>
      </c>
      <c r="AT32" s="122" t="n">
        <v>13.2</v>
      </c>
      <c r="AU32" s="91" t="n">
        <v>5.04</v>
      </c>
      <c r="AW32" s="88" t="s">
        <v>138</v>
      </c>
      <c r="AX32" s="175" t="s">
        <v>153</v>
      </c>
      <c r="AY32" s="89" t="n">
        <f aca="false">'BLOCK WORK'!AY17</f>
        <v>2</v>
      </c>
      <c r="AZ32" s="89" t="n">
        <v>1.2</v>
      </c>
      <c r="BA32" s="89" t="n">
        <v>2.1</v>
      </c>
      <c r="BB32" s="122" t="n">
        <v>13.2</v>
      </c>
      <c r="BC32" s="91" t="n">
        <v>5.04</v>
      </c>
      <c r="BE32" s="88" t="s">
        <v>138</v>
      </c>
      <c r="BF32" s="175" t="s">
        <v>154</v>
      </c>
      <c r="BG32" s="89" t="n">
        <f aca="false">'BLOCK WORK'!BG17</f>
        <v>1</v>
      </c>
      <c r="BH32" s="89" t="n">
        <v>1.8</v>
      </c>
      <c r="BI32" s="89" t="n">
        <v>2.1</v>
      </c>
      <c r="BJ32" s="122" t="n">
        <v>7.8</v>
      </c>
      <c r="BK32" s="91" t="n">
        <v>3.78</v>
      </c>
    </row>
    <row r="33" customFormat="false" ht="14.9" hidden="false" customHeight="false" outlineLevel="0" collapsed="false">
      <c r="A33" s="88" t="s">
        <v>141</v>
      </c>
      <c r="B33" s="175" t="s">
        <v>156</v>
      </c>
      <c r="C33" s="89" t="n">
        <f aca="false">'BLOCK WORK'!C18</f>
        <v>8</v>
      </c>
      <c r="D33" s="89" t="n">
        <v>0.75</v>
      </c>
      <c r="E33" s="89" t="n">
        <v>2.1</v>
      </c>
      <c r="F33" s="122" t="n">
        <v>45.6</v>
      </c>
      <c r="G33" s="91" t="n">
        <v>12.6</v>
      </c>
      <c r="I33" s="88" t="s">
        <v>141</v>
      </c>
      <c r="J33" s="175" t="s">
        <v>152</v>
      </c>
      <c r="K33" s="89" t="n">
        <f aca="false">'BLOCK WORK'!K18</f>
        <v>3</v>
      </c>
      <c r="L33" s="89" t="n">
        <v>0.9</v>
      </c>
      <c r="M33" s="89" t="n">
        <v>2.1</v>
      </c>
      <c r="N33" s="122" t="n">
        <v>18</v>
      </c>
      <c r="O33" s="91" t="n">
        <v>5.67</v>
      </c>
      <c r="Q33" s="88" t="s">
        <v>141</v>
      </c>
      <c r="R33" s="175" t="s">
        <v>152</v>
      </c>
      <c r="S33" s="89" t="n">
        <f aca="false">'BLOCK WORK'!S18</f>
        <v>4</v>
      </c>
      <c r="T33" s="89" t="n">
        <v>0.9</v>
      </c>
      <c r="U33" s="89" t="n">
        <v>2.1</v>
      </c>
      <c r="V33" s="122" t="n">
        <v>24</v>
      </c>
      <c r="W33" s="91" t="n">
        <v>7.56</v>
      </c>
      <c r="Y33" s="88" t="s">
        <v>141</v>
      </c>
      <c r="Z33" s="175" t="s">
        <v>152</v>
      </c>
      <c r="AA33" s="89" t="n">
        <f aca="false">'BLOCK WORK'!AA18</f>
        <v>8</v>
      </c>
      <c r="AB33" s="89" t="n">
        <v>0.9</v>
      </c>
      <c r="AC33" s="89" t="n">
        <v>2.1</v>
      </c>
      <c r="AD33" s="122" t="n">
        <v>48</v>
      </c>
      <c r="AE33" s="91" t="n">
        <v>15.12</v>
      </c>
      <c r="AG33" s="88" t="s">
        <v>141</v>
      </c>
      <c r="AH33" s="175" t="s">
        <v>152</v>
      </c>
      <c r="AI33" s="89" t="n">
        <f aca="false">'BLOCK WORK'!AI18</f>
        <v>3</v>
      </c>
      <c r="AJ33" s="89" t="n">
        <v>0.9</v>
      </c>
      <c r="AK33" s="89" t="n">
        <v>2.1</v>
      </c>
      <c r="AL33" s="122" t="n">
        <v>18</v>
      </c>
      <c r="AM33" s="91" t="n">
        <v>5.67</v>
      </c>
      <c r="AO33" s="88" t="s">
        <v>141</v>
      </c>
      <c r="AP33" s="175" t="s">
        <v>152</v>
      </c>
      <c r="AQ33" s="89" t="n">
        <f aca="false">'BLOCK WORK'!AQ19</f>
        <v>14</v>
      </c>
      <c r="AR33" s="89" t="n">
        <v>0.9</v>
      </c>
      <c r="AS33" s="89" t="n">
        <v>2.1</v>
      </c>
      <c r="AT33" s="122" t="n">
        <v>84</v>
      </c>
      <c r="AU33" s="91" t="n">
        <v>26.46</v>
      </c>
      <c r="AW33" s="88" t="s">
        <v>141</v>
      </c>
      <c r="AX33" s="175" t="s">
        <v>152</v>
      </c>
      <c r="AY33" s="89" t="n">
        <f aca="false">'BLOCK WORK'!AY18</f>
        <v>13</v>
      </c>
      <c r="AZ33" s="89" t="n">
        <v>0.9</v>
      </c>
      <c r="BA33" s="89" t="n">
        <v>2.1</v>
      </c>
      <c r="BB33" s="122" t="n">
        <v>78</v>
      </c>
      <c r="BC33" s="91" t="n">
        <v>24.57</v>
      </c>
      <c r="BE33" s="88"/>
      <c r="BF33" s="175"/>
      <c r="BG33" s="89"/>
      <c r="BH33" s="89"/>
      <c r="BI33" s="89"/>
      <c r="BJ33" s="122"/>
      <c r="BK33" s="91"/>
    </row>
    <row r="34" customFormat="false" ht="14.9" hidden="false" customHeight="false" outlineLevel="0" collapsed="false">
      <c r="A34" s="88" t="s">
        <v>151</v>
      </c>
      <c r="B34" s="175" t="s">
        <v>158</v>
      </c>
      <c r="C34" s="89" t="n">
        <f aca="false">'BLOCK WORK'!C19</f>
        <v>1</v>
      </c>
      <c r="D34" s="89" t="n">
        <v>0.5</v>
      </c>
      <c r="E34" s="89" t="n">
        <v>2.1</v>
      </c>
      <c r="F34" s="122" t="n">
        <v>5.2</v>
      </c>
      <c r="G34" s="91" t="n">
        <v>1.05</v>
      </c>
      <c r="I34" s="88" t="s">
        <v>151</v>
      </c>
      <c r="J34" s="175" t="s">
        <v>156</v>
      </c>
      <c r="K34" s="89" t="n">
        <f aca="false">'BLOCK WORK'!K19</f>
        <v>11</v>
      </c>
      <c r="L34" s="89" t="n">
        <v>0.75</v>
      </c>
      <c r="M34" s="89" t="n">
        <v>2.1</v>
      </c>
      <c r="N34" s="122" t="n">
        <v>62.7</v>
      </c>
      <c r="O34" s="91" t="n">
        <v>17.325</v>
      </c>
      <c r="Q34" s="88" t="s">
        <v>151</v>
      </c>
      <c r="R34" s="175" t="s">
        <v>156</v>
      </c>
      <c r="S34" s="89" t="n">
        <f aca="false">'BLOCK WORK'!S19</f>
        <v>11</v>
      </c>
      <c r="T34" s="89" t="n">
        <v>0.75</v>
      </c>
      <c r="U34" s="89" t="n">
        <v>2.1</v>
      </c>
      <c r="V34" s="122" t="n">
        <v>62.7</v>
      </c>
      <c r="W34" s="91" t="n">
        <v>17.325</v>
      </c>
      <c r="Y34" s="88" t="s">
        <v>151</v>
      </c>
      <c r="Z34" s="175" t="s">
        <v>156</v>
      </c>
      <c r="AA34" s="89" t="n">
        <f aca="false">'BLOCK WORK'!AA19</f>
        <v>13</v>
      </c>
      <c r="AB34" s="89" t="n">
        <v>0.75</v>
      </c>
      <c r="AC34" s="89" t="n">
        <v>2.1</v>
      </c>
      <c r="AD34" s="122" t="n">
        <v>74.1</v>
      </c>
      <c r="AE34" s="91" t="n">
        <v>20.475</v>
      </c>
      <c r="AG34" s="88" t="s">
        <v>151</v>
      </c>
      <c r="AH34" s="175" t="s">
        <v>156</v>
      </c>
      <c r="AI34" s="89" t="n">
        <f aca="false">'BLOCK WORK'!AI19</f>
        <v>13</v>
      </c>
      <c r="AJ34" s="89" t="n">
        <v>0.75</v>
      </c>
      <c r="AK34" s="89" t="n">
        <v>2.1</v>
      </c>
      <c r="AL34" s="122" t="n">
        <v>74.1</v>
      </c>
      <c r="AM34" s="91" t="n">
        <v>20.475</v>
      </c>
      <c r="AO34" s="88" t="s">
        <v>151</v>
      </c>
      <c r="AP34" s="175" t="s">
        <v>156</v>
      </c>
      <c r="AQ34" s="89" t="n">
        <f aca="false">'BLOCK WORK'!AQ20</f>
        <v>16</v>
      </c>
      <c r="AR34" s="89" t="n">
        <v>0.75</v>
      </c>
      <c r="AS34" s="89" t="n">
        <v>2.1</v>
      </c>
      <c r="AT34" s="122" t="n">
        <v>85.5</v>
      </c>
      <c r="AU34" s="91" t="n">
        <v>23.625</v>
      </c>
      <c r="AW34" s="88" t="s">
        <v>151</v>
      </c>
      <c r="AX34" s="175" t="s">
        <v>156</v>
      </c>
      <c r="AY34" s="89" t="n">
        <f aca="false">'BLOCK WORK'!AY19</f>
        <v>5</v>
      </c>
      <c r="AZ34" s="89" t="n">
        <v>0.75</v>
      </c>
      <c r="BA34" s="89" t="n">
        <v>2.1</v>
      </c>
      <c r="BB34" s="122" t="n">
        <v>28.5</v>
      </c>
      <c r="BC34" s="91" t="n">
        <v>7.875</v>
      </c>
      <c r="BE34" s="88"/>
      <c r="BF34" s="175"/>
      <c r="BG34" s="89"/>
      <c r="BH34" s="89"/>
      <c r="BI34" s="89"/>
      <c r="BJ34" s="122"/>
      <c r="BK34" s="91"/>
    </row>
    <row r="35" customFormat="false" ht="13.5" hidden="false" customHeight="false" outlineLevel="0" collapsed="false">
      <c r="A35" s="88"/>
      <c r="B35" s="153"/>
      <c r="C35" s="89"/>
      <c r="D35" s="89"/>
      <c r="E35" s="89"/>
      <c r="F35" s="89"/>
      <c r="G35" s="91"/>
      <c r="I35" s="88" t="s">
        <v>155</v>
      </c>
      <c r="J35" s="153" t="s">
        <v>158</v>
      </c>
      <c r="K35" s="89" t="n">
        <f aca="false">'BLOCK WORK'!K20</f>
        <v>3</v>
      </c>
      <c r="L35" s="89" t="n">
        <v>0.5</v>
      </c>
      <c r="M35" s="89" t="n">
        <v>2.1</v>
      </c>
      <c r="N35" s="89" t="n">
        <v>10.4</v>
      </c>
      <c r="O35" s="91" t="n">
        <v>2.1</v>
      </c>
      <c r="Q35" s="88" t="s">
        <v>155</v>
      </c>
      <c r="R35" s="153" t="s">
        <v>158</v>
      </c>
      <c r="S35" s="89" t="n">
        <f aca="false">'BLOCK WORK'!S20</f>
        <v>2</v>
      </c>
      <c r="T35" s="89" t="n">
        <v>0.5</v>
      </c>
      <c r="U35" s="89" t="n">
        <v>2.1</v>
      </c>
      <c r="V35" s="89" t="n">
        <v>10.4</v>
      </c>
      <c r="W35" s="91" t="n">
        <v>2.1</v>
      </c>
      <c r="Y35" s="88" t="s">
        <v>155</v>
      </c>
      <c r="Z35" s="153" t="s">
        <v>158</v>
      </c>
      <c r="AA35" s="89" t="n">
        <f aca="false">'BLOCK WORK'!AA20</f>
        <v>2</v>
      </c>
      <c r="AB35" s="89" t="n">
        <v>0.5</v>
      </c>
      <c r="AC35" s="89" t="n">
        <v>2.1</v>
      </c>
      <c r="AD35" s="89" t="n">
        <v>10.4</v>
      </c>
      <c r="AE35" s="91" t="n">
        <v>2.1</v>
      </c>
      <c r="AG35" s="88" t="s">
        <v>155</v>
      </c>
      <c r="AH35" s="153" t="s">
        <v>158</v>
      </c>
      <c r="AI35" s="89" t="n">
        <f aca="false">'BLOCK WORK'!AI20</f>
        <v>2</v>
      </c>
      <c r="AJ35" s="89" t="n">
        <v>0.5</v>
      </c>
      <c r="AK35" s="89" t="n">
        <v>2.1</v>
      </c>
      <c r="AL35" s="89" t="n">
        <v>10.4</v>
      </c>
      <c r="AM35" s="91" t="n">
        <v>2.1</v>
      </c>
      <c r="AO35" s="88" t="s">
        <v>155</v>
      </c>
      <c r="AP35" s="153" t="s">
        <v>158</v>
      </c>
      <c r="AQ35" s="89" t="n">
        <f aca="false">'BLOCK WORK'!AQ21</f>
        <v>2</v>
      </c>
      <c r="AR35" s="89" t="n">
        <v>0.5</v>
      </c>
      <c r="AS35" s="89" t="n">
        <v>2.1</v>
      </c>
      <c r="AT35" s="89" t="n">
        <v>10.4</v>
      </c>
      <c r="AU35" s="91" t="n">
        <v>2.1</v>
      </c>
      <c r="AW35" s="88" t="s">
        <v>155</v>
      </c>
      <c r="AX35" s="153" t="s">
        <v>158</v>
      </c>
      <c r="AY35" s="89" t="n">
        <f aca="false">'BLOCK WORK'!AY20</f>
        <v>1</v>
      </c>
      <c r="AZ35" s="89" t="n">
        <v>0.5</v>
      </c>
      <c r="BA35" s="89" t="n">
        <v>2.1</v>
      </c>
      <c r="BB35" s="89" t="n">
        <v>5.2</v>
      </c>
      <c r="BC35" s="91" t="n">
        <v>1.05</v>
      </c>
      <c r="BE35" s="88"/>
      <c r="BF35" s="153"/>
      <c r="BG35" s="89"/>
      <c r="BH35" s="89"/>
      <c r="BI35" s="89"/>
      <c r="BJ35" s="89"/>
      <c r="BK35" s="91"/>
    </row>
    <row r="36" customFormat="false" ht="13.5" hidden="false" customHeight="false" outlineLevel="0" collapsed="false">
      <c r="A36" s="88"/>
      <c r="B36" s="153"/>
      <c r="C36" s="89"/>
      <c r="D36" s="89"/>
      <c r="E36" s="89"/>
      <c r="F36" s="89"/>
      <c r="G36" s="91"/>
      <c r="H36" s="176"/>
      <c r="I36" s="92" t="s">
        <v>157</v>
      </c>
      <c r="J36" s="153" t="s">
        <v>161</v>
      </c>
      <c r="K36" s="89" t="n">
        <f aca="false">'BLOCK WORK'!K21</f>
        <v>2</v>
      </c>
      <c r="L36" s="89" t="n">
        <v>2</v>
      </c>
      <c r="M36" s="89" t="n">
        <v>2.1</v>
      </c>
      <c r="N36" s="89" t="n">
        <v>16.4</v>
      </c>
      <c r="O36" s="91" t="n">
        <v>8.4</v>
      </c>
      <c r="Q36" s="88" t="s">
        <v>157</v>
      </c>
      <c r="R36" s="153" t="s">
        <v>162</v>
      </c>
      <c r="S36" s="89" t="n">
        <f aca="false">'BLOCK WORK'!S21</f>
        <v>1</v>
      </c>
      <c r="T36" s="89" t="n">
        <v>0.9</v>
      </c>
      <c r="U36" s="89" t="n">
        <v>2.1</v>
      </c>
      <c r="V36" s="89" t="n">
        <v>6</v>
      </c>
      <c r="W36" s="91" t="n">
        <v>1.89</v>
      </c>
      <c r="Y36" s="88" t="s">
        <v>157</v>
      </c>
      <c r="Z36" s="153" t="s">
        <v>162</v>
      </c>
      <c r="AA36" s="89" t="n">
        <f aca="false">'BLOCK WORK'!AA21</f>
        <v>1</v>
      </c>
      <c r="AB36" s="89" t="n">
        <v>0.9</v>
      </c>
      <c r="AC36" s="89" t="n">
        <v>2.1</v>
      </c>
      <c r="AD36" s="89" t="n">
        <v>6</v>
      </c>
      <c r="AE36" s="91" t="n">
        <v>1.89</v>
      </c>
      <c r="AG36" s="88" t="s">
        <v>157</v>
      </c>
      <c r="AH36" s="153" t="s">
        <v>162</v>
      </c>
      <c r="AI36" s="89" t="n">
        <f aca="false">'BLOCK WORK'!AI21</f>
        <v>1</v>
      </c>
      <c r="AJ36" s="89" t="n">
        <v>0.9</v>
      </c>
      <c r="AK36" s="89" t="n">
        <v>2.1</v>
      </c>
      <c r="AL36" s="89" t="n">
        <v>6</v>
      </c>
      <c r="AM36" s="91" t="n">
        <v>1.89</v>
      </c>
      <c r="AO36" s="88" t="s">
        <v>157</v>
      </c>
      <c r="AP36" s="153" t="s">
        <v>162</v>
      </c>
      <c r="AQ36" s="89" t="n">
        <f aca="false">'BLOCK WORK'!AQ22</f>
        <v>1</v>
      </c>
      <c r="AR36" s="89" t="n">
        <v>0.9</v>
      </c>
      <c r="AS36" s="89" t="n">
        <v>2.1</v>
      </c>
      <c r="AT36" s="89" t="n">
        <v>6</v>
      </c>
      <c r="AU36" s="91" t="n">
        <v>1.89</v>
      </c>
      <c r="AW36" s="88" t="s">
        <v>157</v>
      </c>
      <c r="AX36" s="153" t="s">
        <v>163</v>
      </c>
      <c r="AY36" s="89" t="n">
        <f aca="false">'BLOCK WORK'!AY21</f>
        <v>1</v>
      </c>
      <c r="AZ36" s="89" t="n">
        <v>4</v>
      </c>
      <c r="BA36" s="89" t="n">
        <v>2.1</v>
      </c>
      <c r="BB36" s="89" t="n">
        <v>12.2</v>
      </c>
      <c r="BC36" s="91" t="n">
        <v>8.4</v>
      </c>
      <c r="BE36" s="88"/>
      <c r="BF36" s="153"/>
      <c r="BG36" s="89"/>
      <c r="BH36" s="89"/>
      <c r="BI36" s="89"/>
      <c r="BJ36" s="89"/>
      <c r="BK36" s="91"/>
    </row>
    <row r="37" customFormat="false" ht="13.5" hidden="false" customHeight="false" outlineLevel="0" collapsed="false">
      <c r="A37" s="88"/>
      <c r="B37" s="153"/>
      <c r="C37" s="89"/>
      <c r="D37" s="89"/>
      <c r="E37" s="89"/>
      <c r="F37" s="89"/>
      <c r="G37" s="91"/>
      <c r="H37" s="176"/>
      <c r="I37" s="92"/>
      <c r="J37" s="153"/>
      <c r="K37" s="89"/>
      <c r="L37" s="89"/>
      <c r="M37" s="89"/>
      <c r="N37" s="89"/>
      <c r="O37" s="150"/>
      <c r="P37" s="176"/>
      <c r="Q37" s="92"/>
      <c r="R37" s="153"/>
      <c r="S37" s="89"/>
      <c r="T37" s="89"/>
      <c r="U37" s="89"/>
      <c r="V37" s="89"/>
      <c r="W37" s="150"/>
      <c r="X37" s="176"/>
      <c r="Y37" s="92"/>
      <c r="Z37" s="153"/>
      <c r="AA37" s="89"/>
      <c r="AB37" s="89"/>
      <c r="AC37" s="89"/>
      <c r="AD37" s="89"/>
      <c r="AE37" s="91"/>
      <c r="AG37" s="88" t="s">
        <v>159</v>
      </c>
      <c r="AH37" s="153" t="s">
        <v>154</v>
      </c>
      <c r="AI37" s="89" t="n">
        <f aca="false">'BLOCK WORK'!AI22</f>
        <v>2</v>
      </c>
      <c r="AJ37" s="89" t="n">
        <v>1.8</v>
      </c>
      <c r="AK37" s="89" t="n">
        <v>2.1</v>
      </c>
      <c r="AL37" s="89" t="n">
        <v>15.6</v>
      </c>
      <c r="AM37" s="91" t="n">
        <v>7.56</v>
      </c>
      <c r="AO37" s="88" t="s">
        <v>159</v>
      </c>
      <c r="AP37" s="153" t="s">
        <v>154</v>
      </c>
      <c r="AQ37" s="89" t="n">
        <f aca="false">'BLOCK WORK'!AQ23</f>
        <v>1</v>
      </c>
      <c r="AR37" s="89" t="n">
        <v>1.8</v>
      </c>
      <c r="AS37" s="89" t="n">
        <v>2.1</v>
      </c>
      <c r="AT37" s="89" t="n">
        <v>7.8</v>
      </c>
      <c r="AU37" s="91" t="n">
        <v>3.78</v>
      </c>
      <c r="AW37" s="88" t="s">
        <v>159</v>
      </c>
      <c r="AX37" s="153" t="s">
        <v>162</v>
      </c>
      <c r="AY37" s="89" t="n">
        <f aca="false">'BLOCK WORK'!AY22</f>
        <v>1</v>
      </c>
      <c r="AZ37" s="89" t="n">
        <v>0.9</v>
      </c>
      <c r="BA37" s="89" t="n">
        <v>2.1</v>
      </c>
      <c r="BB37" s="89" t="n">
        <v>6</v>
      </c>
      <c r="BC37" s="91" t="n">
        <v>1.89</v>
      </c>
      <c r="BE37" s="88"/>
      <c r="BF37" s="153"/>
      <c r="BG37" s="89"/>
      <c r="BH37" s="89"/>
      <c r="BI37" s="89"/>
      <c r="BJ37" s="89"/>
      <c r="BK37" s="91"/>
    </row>
    <row r="38" s="80" customFormat="true" ht="14.25" hidden="false" customHeight="true" outlineLevel="0" collapsed="false">
      <c r="A38" s="123"/>
      <c r="B38" s="171"/>
      <c r="C38" s="124" t="n">
        <f aca="false">SUM(C31:C37)</f>
        <v>13</v>
      </c>
      <c r="D38" s="124"/>
      <c r="E38" s="124"/>
      <c r="F38" s="124"/>
      <c r="G38" s="95"/>
      <c r="H38" s="172"/>
      <c r="I38" s="123"/>
      <c r="J38" s="171"/>
      <c r="K38" s="124" t="n">
        <f aca="false">SUM(K31:K37)</f>
        <v>22</v>
      </c>
      <c r="L38" s="124"/>
      <c r="M38" s="124"/>
      <c r="N38" s="124"/>
      <c r="O38" s="95"/>
      <c r="P38" s="172"/>
      <c r="Q38" s="123"/>
      <c r="R38" s="171"/>
      <c r="S38" s="124" t="n">
        <f aca="false">SUM(S31:S37)</f>
        <v>21</v>
      </c>
      <c r="T38" s="124"/>
      <c r="U38" s="124"/>
      <c r="V38" s="124"/>
      <c r="W38" s="95"/>
      <c r="X38" s="172"/>
      <c r="Y38" s="123"/>
      <c r="Z38" s="171"/>
      <c r="AA38" s="124" t="n">
        <f aca="false">SUM(AA31:AA37)</f>
        <v>27</v>
      </c>
      <c r="AB38" s="124"/>
      <c r="AC38" s="124"/>
      <c r="AD38" s="124"/>
      <c r="AE38" s="95"/>
      <c r="AF38" s="172"/>
      <c r="AG38" s="123"/>
      <c r="AH38" s="171"/>
      <c r="AI38" s="124" t="n">
        <f aca="false">SUM(AI31:AI37)</f>
        <v>23</v>
      </c>
      <c r="AJ38" s="124"/>
      <c r="AK38" s="124"/>
      <c r="AL38" s="124"/>
      <c r="AM38" s="95"/>
      <c r="AN38" s="172"/>
      <c r="AO38" s="123"/>
      <c r="AP38" s="171"/>
      <c r="AQ38" s="124" t="n">
        <f aca="false">SUM(AQ31:AQ37)</f>
        <v>36</v>
      </c>
      <c r="AR38" s="124"/>
      <c r="AS38" s="124"/>
      <c r="AT38" s="124"/>
      <c r="AU38" s="95"/>
      <c r="AV38" s="172"/>
      <c r="AW38" s="123"/>
      <c r="AX38" s="124"/>
      <c r="AY38" s="124" t="n">
        <f aca="false">SUM(AY31:AY37)</f>
        <v>23</v>
      </c>
      <c r="AZ38" s="124"/>
      <c r="BA38" s="124"/>
      <c r="BB38" s="124"/>
      <c r="BC38" s="95"/>
      <c r="BD38" s="172"/>
      <c r="BE38" s="123"/>
      <c r="BF38" s="124"/>
      <c r="BG38" s="124" t="n">
        <f aca="false">SUM(BG31:BG37)</f>
        <v>1</v>
      </c>
      <c r="BH38" s="124"/>
      <c r="BI38" s="124"/>
      <c r="BJ38" s="124"/>
      <c r="BK38" s="95"/>
      <c r="BM38" s="80" t="n">
        <f aca="false">SUM(A38:BK38)</f>
        <v>166</v>
      </c>
      <c r="BO38" s="80" t="n">
        <f aca="false">K14</f>
        <v>166</v>
      </c>
      <c r="BQ38" s="80" t="n">
        <f aca="false">BO38-BM38</f>
        <v>0</v>
      </c>
    </row>
    <row r="39" customFormat="false" ht="14.25" hidden="false" customHeight="true" outlineLevel="0" collapsed="false"/>
  </sheetData>
  <mergeCells count="27">
    <mergeCell ref="A1:O1"/>
    <mergeCell ref="A2:G2"/>
    <mergeCell ref="I2:O2"/>
    <mergeCell ref="A16:G16"/>
    <mergeCell ref="I16:O16"/>
    <mergeCell ref="Q16:W16"/>
    <mergeCell ref="Y16:AE16"/>
    <mergeCell ref="AG16:AM16"/>
    <mergeCell ref="AO16:AU16"/>
    <mergeCell ref="AW16:BC16"/>
    <mergeCell ref="BE16:BK16"/>
    <mergeCell ref="A17:G17"/>
    <mergeCell ref="I17:O17"/>
    <mergeCell ref="Q17:W17"/>
    <mergeCell ref="Y17:AE17"/>
    <mergeCell ref="AG17:AM17"/>
    <mergeCell ref="AO17:AU17"/>
    <mergeCell ref="AW17:BC17"/>
    <mergeCell ref="BE17:BK17"/>
    <mergeCell ref="A29:G29"/>
    <mergeCell ref="I29:O29"/>
    <mergeCell ref="Q29:W29"/>
    <mergeCell ref="Y29:AE29"/>
    <mergeCell ref="AG29:AM29"/>
    <mergeCell ref="AO29:AU29"/>
    <mergeCell ref="AW29:BC29"/>
    <mergeCell ref="BE29:BK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F1C8"/>
    <pageSetUpPr fitToPage="false"/>
  </sheetPr>
  <dimension ref="A1:AO19"/>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K19" activeCellId="0" sqref="K19"/>
    </sheetView>
  </sheetViews>
  <sheetFormatPr defaultColWidth="8.5390625" defaultRowHeight="13.5" zeroHeight="false" outlineLevelRow="0" outlineLevelCol="0"/>
  <cols>
    <col collapsed="false" customWidth="true" hidden="false" outlineLevel="0" max="2" min="2" style="44" width="12.1"/>
    <col collapsed="false" customWidth="true" hidden="false" outlineLevel="0" max="8" min="8" style="44" width="20.4"/>
    <col collapsed="false" customWidth="true" hidden="false" outlineLevel="0" max="14" min="14" style="44" width="12.1"/>
    <col collapsed="false" customWidth="true" hidden="false" outlineLevel="0" max="20" min="20" style="44" width="12.1"/>
    <col collapsed="false" customWidth="true" hidden="false" outlineLevel="0" max="26" min="26" style="44" width="12.1"/>
    <col collapsed="false" customWidth="true" hidden="false" outlineLevel="0" max="32" min="32" style="44" width="12.7"/>
    <col collapsed="false" customWidth="true" hidden="false" outlineLevel="0" max="37" min="37" style="44" width="11.8"/>
    <col collapsed="false" customWidth="true" hidden="false" outlineLevel="0" max="38" min="38" style="44" width="15.7"/>
    <col collapsed="false" customWidth="true" hidden="false" outlineLevel="0" max="39" min="39" style="44" width="11.8"/>
    <col collapsed="false" customWidth="true" hidden="false" outlineLevel="0" max="40" min="40" style="44" width="11.7"/>
    <col collapsed="false" customWidth="true" hidden="false" outlineLevel="0" max="41" min="41" style="44" width="12.7"/>
  </cols>
  <sheetData>
    <row r="1" s="178" customFormat="true" ht="40.5" hidden="false" customHeight="true" outlineLevel="0" collapsed="false">
      <c r="A1" s="177" t="s">
        <v>293</v>
      </c>
      <c r="B1" s="177"/>
      <c r="C1" s="177"/>
      <c r="D1" s="177"/>
      <c r="E1" s="177"/>
      <c r="G1" s="177" t="s">
        <v>294</v>
      </c>
      <c r="H1" s="177"/>
      <c r="I1" s="177"/>
      <c r="J1" s="177"/>
      <c r="K1" s="177"/>
      <c r="M1" s="177" t="s">
        <v>295</v>
      </c>
      <c r="N1" s="177"/>
      <c r="O1" s="177"/>
      <c r="P1" s="177"/>
      <c r="Q1" s="177"/>
      <c r="S1" s="177" t="s">
        <v>296</v>
      </c>
      <c r="T1" s="177"/>
      <c r="U1" s="177"/>
      <c r="V1" s="177"/>
      <c r="W1" s="177"/>
      <c r="Y1" s="177" t="s">
        <v>297</v>
      </c>
      <c r="Z1" s="177"/>
      <c r="AA1" s="177"/>
      <c r="AB1" s="177"/>
      <c r="AC1" s="177"/>
      <c r="AE1" s="177" t="s">
        <v>298</v>
      </c>
      <c r="AF1" s="177"/>
      <c r="AG1" s="177"/>
      <c r="AH1" s="177"/>
      <c r="AI1" s="177"/>
      <c r="AK1" s="179" t="s">
        <v>299</v>
      </c>
      <c r="AL1" s="179"/>
      <c r="AM1" s="179"/>
      <c r="AN1" s="179"/>
      <c r="AO1" s="179"/>
    </row>
    <row r="2" s="87" customFormat="true" ht="14.25" hidden="false" customHeight="true" outlineLevel="0" collapsed="false">
      <c r="A2" s="83" t="s">
        <v>131</v>
      </c>
      <c r="B2" s="84" t="s">
        <v>0</v>
      </c>
      <c r="C2" s="84" t="s">
        <v>300</v>
      </c>
      <c r="D2" s="84" t="s">
        <v>301</v>
      </c>
      <c r="E2" s="86" t="s">
        <v>137</v>
      </c>
      <c r="G2" s="83" t="s">
        <v>131</v>
      </c>
      <c r="H2" s="84" t="s">
        <v>0</v>
      </c>
      <c r="I2" s="84" t="s">
        <v>300</v>
      </c>
      <c r="J2" s="84" t="s">
        <v>301</v>
      </c>
      <c r="K2" s="86" t="s">
        <v>137</v>
      </c>
      <c r="M2" s="83" t="s">
        <v>131</v>
      </c>
      <c r="N2" s="84" t="s">
        <v>0</v>
      </c>
      <c r="O2" s="84" t="s">
        <v>300</v>
      </c>
      <c r="P2" s="84" t="s">
        <v>301</v>
      </c>
      <c r="Q2" s="86" t="s">
        <v>137</v>
      </c>
      <c r="S2" s="83" t="s">
        <v>131</v>
      </c>
      <c r="T2" s="84" t="s">
        <v>0</v>
      </c>
      <c r="U2" s="84" t="s">
        <v>300</v>
      </c>
      <c r="V2" s="84" t="s">
        <v>301</v>
      </c>
      <c r="W2" s="86" t="s">
        <v>137</v>
      </c>
      <c r="Y2" s="83" t="s">
        <v>131</v>
      </c>
      <c r="Z2" s="84" t="s">
        <v>0</v>
      </c>
      <c r="AA2" s="84" t="s">
        <v>300</v>
      </c>
      <c r="AB2" s="84" t="s">
        <v>301</v>
      </c>
      <c r="AC2" s="86" t="s">
        <v>137</v>
      </c>
      <c r="AE2" s="83" t="s">
        <v>131</v>
      </c>
      <c r="AF2" s="84" t="s">
        <v>0</v>
      </c>
      <c r="AG2" s="84" t="s">
        <v>300</v>
      </c>
      <c r="AH2" s="84" t="s">
        <v>301</v>
      </c>
      <c r="AI2" s="86" t="s">
        <v>137</v>
      </c>
      <c r="AK2" s="83" t="s">
        <v>131</v>
      </c>
      <c r="AL2" s="84" t="s">
        <v>0</v>
      </c>
      <c r="AM2" s="84" t="s">
        <v>300</v>
      </c>
      <c r="AN2" s="84" t="s">
        <v>301</v>
      </c>
      <c r="AO2" s="86" t="s">
        <v>137</v>
      </c>
    </row>
    <row r="3" customFormat="false" ht="13.5" hidden="false" customHeight="false" outlineLevel="0" collapsed="false">
      <c r="A3" s="167"/>
      <c r="B3" s="169"/>
      <c r="C3" s="169"/>
      <c r="D3" s="169"/>
      <c r="E3" s="170"/>
      <c r="G3" s="180"/>
      <c r="H3" s="181"/>
      <c r="I3" s="181"/>
      <c r="J3" s="181"/>
      <c r="K3" s="182"/>
      <c r="M3" s="88"/>
      <c r="N3" s="89"/>
      <c r="O3" s="89"/>
      <c r="P3" s="89"/>
      <c r="Q3" s="91"/>
      <c r="S3" s="88"/>
      <c r="T3" s="89"/>
      <c r="U3" s="89"/>
      <c r="V3" s="89"/>
      <c r="W3" s="91"/>
      <c r="Y3" s="88"/>
      <c r="Z3" s="89"/>
      <c r="AA3" s="89"/>
      <c r="AB3" s="89"/>
      <c r="AC3" s="91"/>
      <c r="AE3" s="167"/>
      <c r="AF3" s="169"/>
      <c r="AG3" s="169"/>
      <c r="AH3" s="169"/>
      <c r="AI3" s="170"/>
      <c r="AK3" s="88"/>
      <c r="AL3" s="89"/>
      <c r="AM3" s="89"/>
      <c r="AN3" s="89"/>
      <c r="AO3" s="91"/>
    </row>
    <row r="4" customFormat="false" ht="27" hidden="false" customHeight="true" outlineLevel="0" collapsed="false">
      <c r="A4" s="88" t="s">
        <v>138</v>
      </c>
      <c r="B4" s="89" t="s">
        <v>302</v>
      </c>
      <c r="C4" s="89"/>
      <c r="D4" s="89"/>
      <c r="E4" s="91" t="n">
        <v>36.4</v>
      </c>
      <c r="G4" s="88" t="s">
        <v>138</v>
      </c>
      <c r="H4" s="89" t="s">
        <v>303</v>
      </c>
      <c r="I4" s="89"/>
      <c r="J4" s="89"/>
      <c r="K4" s="91" t="n">
        <v>19</v>
      </c>
      <c r="M4" s="88"/>
      <c r="N4" s="89"/>
      <c r="O4" s="89"/>
      <c r="P4" s="89"/>
      <c r="Q4" s="91"/>
      <c r="S4" s="88" t="s">
        <v>138</v>
      </c>
      <c r="T4" s="89" t="s">
        <v>304</v>
      </c>
      <c r="U4" s="89"/>
      <c r="V4" s="89"/>
      <c r="W4" s="91" t="n">
        <v>7.4</v>
      </c>
      <c r="Y4" s="88"/>
      <c r="Z4" s="89"/>
      <c r="AA4" s="89"/>
      <c r="AB4" s="89"/>
      <c r="AC4" s="91"/>
      <c r="AE4" s="88" t="s">
        <v>138</v>
      </c>
      <c r="AF4" s="89" t="s">
        <v>305</v>
      </c>
      <c r="AG4" s="89"/>
      <c r="AH4" s="89"/>
      <c r="AI4" s="91" t="n">
        <v>13</v>
      </c>
      <c r="AK4" s="88" t="s">
        <v>138</v>
      </c>
      <c r="AL4" s="122" t="s">
        <v>306</v>
      </c>
      <c r="AM4" s="89"/>
      <c r="AN4" s="89"/>
      <c r="AO4" s="91" t="n">
        <v>230</v>
      </c>
    </row>
    <row r="5" customFormat="false" ht="13.5" hidden="false" customHeight="false" outlineLevel="0" collapsed="false">
      <c r="A5" s="88"/>
      <c r="B5" s="89"/>
      <c r="C5" s="89"/>
      <c r="D5" s="89"/>
      <c r="E5" s="91"/>
      <c r="G5" s="88"/>
      <c r="H5" s="89"/>
      <c r="I5" s="89"/>
      <c r="J5" s="89"/>
      <c r="K5" s="91"/>
      <c r="M5" s="88"/>
      <c r="N5" s="89"/>
      <c r="O5" s="89"/>
      <c r="P5" s="89"/>
      <c r="Q5" s="91"/>
      <c r="S5" s="88"/>
      <c r="T5" s="89"/>
      <c r="U5" s="89"/>
      <c r="V5" s="89"/>
      <c r="W5" s="91"/>
      <c r="Y5" s="88"/>
      <c r="Z5" s="89"/>
      <c r="AA5" s="89"/>
      <c r="AB5" s="89"/>
      <c r="AC5" s="91"/>
      <c r="AE5" s="88"/>
      <c r="AF5" s="89"/>
      <c r="AG5" s="89"/>
      <c r="AH5" s="89"/>
      <c r="AI5" s="91"/>
      <c r="AK5" s="88"/>
      <c r="AL5" s="89"/>
      <c r="AM5" s="89"/>
      <c r="AN5" s="89"/>
      <c r="AO5" s="91"/>
    </row>
    <row r="6" customFormat="false" ht="13.5" hidden="false" customHeight="false" outlineLevel="0" collapsed="false">
      <c r="A6" s="88"/>
      <c r="B6" s="89"/>
      <c r="C6" s="89"/>
      <c r="D6" s="89"/>
      <c r="E6" s="91"/>
      <c r="G6" s="88" t="s">
        <v>141</v>
      </c>
      <c r="H6" s="89" t="s">
        <v>307</v>
      </c>
      <c r="I6" s="89"/>
      <c r="J6" s="89"/>
      <c r="K6" s="91" t="n">
        <v>55</v>
      </c>
      <c r="M6" s="88"/>
      <c r="N6" s="89"/>
      <c r="O6" s="89"/>
      <c r="P6" s="89"/>
      <c r="Q6" s="91"/>
      <c r="S6" s="88" t="s">
        <v>141</v>
      </c>
      <c r="T6" s="89" t="s">
        <v>308</v>
      </c>
      <c r="U6" s="89"/>
      <c r="V6" s="89"/>
      <c r="W6" s="91" t="n">
        <v>8.3</v>
      </c>
      <c r="Y6" s="88"/>
      <c r="Z6" s="89"/>
      <c r="AA6" s="89"/>
      <c r="AB6" s="89"/>
      <c r="AC6" s="91"/>
      <c r="AE6" s="88" t="s">
        <v>141</v>
      </c>
      <c r="AF6" s="89" t="s">
        <v>309</v>
      </c>
      <c r="AG6" s="89"/>
      <c r="AH6" s="89"/>
      <c r="AI6" s="91" t="n">
        <v>13</v>
      </c>
      <c r="AK6" s="88"/>
      <c r="AL6" s="89"/>
      <c r="AM6" s="89"/>
      <c r="AN6" s="89"/>
      <c r="AO6" s="91"/>
    </row>
    <row r="7" customFormat="false" ht="13.5" hidden="false" customHeight="false" outlineLevel="0" collapsed="false">
      <c r="A7" s="88"/>
      <c r="B7" s="89"/>
      <c r="C7" s="89"/>
      <c r="D7" s="89"/>
      <c r="E7" s="91"/>
      <c r="G7" s="88"/>
      <c r="H7" s="89"/>
      <c r="I7" s="89"/>
      <c r="J7" s="89"/>
      <c r="K7" s="91"/>
      <c r="M7" s="88"/>
      <c r="N7" s="89"/>
      <c r="O7" s="89"/>
      <c r="P7" s="89"/>
      <c r="Q7" s="91"/>
      <c r="S7" s="88"/>
      <c r="T7" s="89"/>
      <c r="U7" s="89"/>
      <c r="V7" s="89"/>
      <c r="W7" s="91"/>
      <c r="Y7" s="88"/>
      <c r="Z7" s="89"/>
      <c r="AA7" s="89"/>
      <c r="AB7" s="89"/>
      <c r="AC7" s="91"/>
      <c r="AE7" s="88"/>
      <c r="AF7" s="89"/>
      <c r="AG7" s="89"/>
      <c r="AH7" s="89"/>
      <c r="AI7" s="91"/>
      <c r="AK7" s="88"/>
      <c r="AL7" s="89"/>
      <c r="AM7" s="89"/>
      <c r="AN7" s="89"/>
      <c r="AO7" s="91"/>
    </row>
    <row r="8" customFormat="false" ht="13.5" hidden="false" customHeight="false" outlineLevel="0" collapsed="false">
      <c r="A8" s="88"/>
      <c r="B8" s="89"/>
      <c r="C8" s="89"/>
      <c r="D8" s="89"/>
      <c r="E8" s="91"/>
      <c r="G8" s="88" t="s">
        <v>151</v>
      </c>
      <c r="H8" s="89" t="s">
        <v>310</v>
      </c>
      <c r="I8" s="89"/>
      <c r="J8" s="89"/>
      <c r="K8" s="91" t="n">
        <v>45</v>
      </c>
      <c r="M8" s="88"/>
      <c r="N8" s="89"/>
      <c r="O8" s="89"/>
      <c r="P8" s="89"/>
      <c r="Q8" s="91"/>
      <c r="S8" s="88" t="s">
        <v>151</v>
      </c>
      <c r="T8" s="89" t="s">
        <v>311</v>
      </c>
      <c r="U8" s="89"/>
      <c r="V8" s="89"/>
      <c r="W8" s="91" t="n">
        <v>7.8</v>
      </c>
      <c r="Y8" s="88"/>
      <c r="Z8" s="89"/>
      <c r="AA8" s="89"/>
      <c r="AB8" s="89"/>
      <c r="AC8" s="91"/>
      <c r="AE8" s="88" t="s">
        <v>151</v>
      </c>
      <c r="AF8" s="89" t="s">
        <v>312</v>
      </c>
      <c r="AG8" s="89"/>
      <c r="AH8" s="89"/>
      <c r="AI8" s="91" t="n">
        <v>4</v>
      </c>
      <c r="AK8" s="88"/>
      <c r="AL8" s="89"/>
      <c r="AM8" s="89"/>
      <c r="AN8" s="89"/>
      <c r="AO8" s="91"/>
    </row>
    <row r="9" customFormat="false" ht="13.5" hidden="false" customHeight="false" outlineLevel="0" collapsed="false">
      <c r="A9" s="88"/>
      <c r="B9" s="89"/>
      <c r="C9" s="89"/>
      <c r="D9" s="89"/>
      <c r="E9" s="91"/>
      <c r="G9" s="88"/>
      <c r="H9" s="89"/>
      <c r="I9" s="89"/>
      <c r="J9" s="89"/>
      <c r="K9" s="91"/>
      <c r="M9" s="88"/>
      <c r="N9" s="89"/>
      <c r="O9" s="89"/>
      <c r="P9" s="89"/>
      <c r="Q9" s="91"/>
      <c r="S9" s="88"/>
      <c r="T9" s="89"/>
      <c r="U9" s="89"/>
      <c r="V9" s="89"/>
      <c r="W9" s="91"/>
      <c r="Y9" s="88"/>
      <c r="Z9" s="89"/>
      <c r="AA9" s="89"/>
      <c r="AB9" s="89"/>
      <c r="AC9" s="91"/>
      <c r="AE9" s="88"/>
      <c r="AF9" s="89"/>
      <c r="AG9" s="89"/>
      <c r="AH9" s="89"/>
      <c r="AI9" s="91"/>
      <c r="AK9" s="88"/>
      <c r="AL9" s="89"/>
      <c r="AM9" s="89"/>
      <c r="AN9" s="89"/>
      <c r="AO9" s="91"/>
    </row>
    <row r="10" customFormat="false" ht="13.5" hidden="false" customHeight="false" outlineLevel="0" collapsed="false">
      <c r="A10" s="88"/>
      <c r="B10" s="89"/>
      <c r="C10" s="89"/>
      <c r="D10" s="89"/>
      <c r="E10" s="91"/>
      <c r="G10" s="88" t="s">
        <v>155</v>
      </c>
      <c r="H10" s="89" t="s">
        <v>313</v>
      </c>
      <c r="I10" s="89"/>
      <c r="J10" s="89"/>
      <c r="K10" s="91" t="n">
        <v>7</v>
      </c>
      <c r="M10" s="88"/>
      <c r="N10" s="89"/>
      <c r="O10" s="89"/>
      <c r="P10" s="89"/>
      <c r="Q10" s="91"/>
      <c r="S10" s="88" t="s">
        <v>155</v>
      </c>
      <c r="T10" s="89" t="s">
        <v>314</v>
      </c>
      <c r="U10" s="89"/>
      <c r="V10" s="89"/>
      <c r="W10" s="91" t="n">
        <v>9.3</v>
      </c>
      <c r="Y10" s="88"/>
      <c r="Z10" s="89"/>
      <c r="AA10" s="89"/>
      <c r="AB10" s="89"/>
      <c r="AC10" s="91"/>
      <c r="AE10" s="88" t="s">
        <v>155</v>
      </c>
      <c r="AF10" s="89" t="s">
        <v>315</v>
      </c>
      <c r="AG10" s="89"/>
      <c r="AH10" s="89"/>
      <c r="AI10" s="91" t="n">
        <v>4</v>
      </c>
      <c r="AK10" s="88"/>
      <c r="AL10" s="89"/>
      <c r="AM10" s="89"/>
      <c r="AN10" s="89"/>
      <c r="AO10" s="91"/>
    </row>
    <row r="11" customFormat="false" ht="13.5" hidden="false" customHeight="false" outlineLevel="0" collapsed="false">
      <c r="A11" s="88"/>
      <c r="B11" s="89"/>
      <c r="C11" s="89"/>
      <c r="D11" s="89"/>
      <c r="E11" s="91"/>
      <c r="G11" s="88"/>
      <c r="H11" s="89"/>
      <c r="I11" s="89"/>
      <c r="J11" s="89"/>
      <c r="K11" s="91"/>
      <c r="M11" s="88"/>
      <c r="N11" s="89"/>
      <c r="O11" s="89"/>
      <c r="P11" s="89"/>
      <c r="Q11" s="91"/>
      <c r="S11" s="88"/>
      <c r="T11" s="89"/>
      <c r="U11" s="89"/>
      <c r="V11" s="89"/>
      <c r="W11" s="91"/>
      <c r="Y11" s="88"/>
      <c r="Z11" s="89"/>
      <c r="AA11" s="89"/>
      <c r="AB11" s="89"/>
      <c r="AC11" s="91"/>
      <c r="AE11" s="88"/>
      <c r="AF11" s="89"/>
      <c r="AG11" s="89"/>
      <c r="AH11" s="89"/>
      <c r="AI11" s="91"/>
      <c r="AK11" s="88"/>
      <c r="AL11" s="89"/>
      <c r="AM11" s="89"/>
      <c r="AN11" s="89"/>
      <c r="AO11" s="91"/>
    </row>
    <row r="12" customFormat="false" ht="13.5" hidden="false" customHeight="false" outlineLevel="0" collapsed="false">
      <c r="A12" s="88"/>
      <c r="B12" s="89"/>
      <c r="C12" s="89"/>
      <c r="D12" s="89"/>
      <c r="E12" s="91"/>
      <c r="G12" s="88"/>
      <c r="H12" s="89"/>
      <c r="I12" s="89"/>
      <c r="J12" s="89"/>
      <c r="K12" s="91"/>
      <c r="M12" s="88"/>
      <c r="N12" s="89"/>
      <c r="O12" s="89"/>
      <c r="P12" s="89"/>
      <c r="Q12" s="91"/>
      <c r="S12" s="88"/>
      <c r="T12" s="89"/>
      <c r="U12" s="89"/>
      <c r="V12" s="89"/>
      <c r="W12" s="91"/>
      <c r="Y12" s="88"/>
      <c r="Z12" s="89"/>
      <c r="AA12" s="89"/>
      <c r="AB12" s="89"/>
      <c r="AC12" s="91"/>
      <c r="AE12" s="88" t="s">
        <v>157</v>
      </c>
      <c r="AF12" s="89" t="s">
        <v>316</v>
      </c>
      <c r="AG12" s="89"/>
      <c r="AH12" s="89"/>
      <c r="AI12" s="91" t="n">
        <v>8</v>
      </c>
      <c r="AK12" s="88"/>
      <c r="AL12" s="89"/>
      <c r="AM12" s="89"/>
      <c r="AN12" s="89"/>
      <c r="AO12" s="91"/>
    </row>
    <row r="13" customFormat="false" ht="13.5" hidden="false" customHeight="false" outlineLevel="0" collapsed="false">
      <c r="A13" s="88"/>
      <c r="B13" s="89"/>
      <c r="C13" s="89"/>
      <c r="D13" s="89"/>
      <c r="E13" s="91"/>
      <c r="G13" s="88"/>
      <c r="H13" s="89"/>
      <c r="I13" s="89"/>
      <c r="J13" s="89"/>
      <c r="K13" s="91"/>
      <c r="M13" s="88"/>
      <c r="N13" s="89"/>
      <c r="O13" s="89"/>
      <c r="P13" s="89"/>
      <c r="Q13" s="91"/>
      <c r="S13" s="88"/>
      <c r="T13" s="89"/>
      <c r="U13" s="89"/>
      <c r="V13" s="89"/>
      <c r="W13" s="91"/>
      <c r="Y13" s="88"/>
      <c r="Z13" s="89"/>
      <c r="AA13" s="89"/>
      <c r="AB13" s="89"/>
      <c r="AC13" s="91"/>
      <c r="AE13" s="88"/>
      <c r="AF13" s="89"/>
      <c r="AG13" s="89"/>
      <c r="AH13" s="89"/>
      <c r="AI13" s="91"/>
      <c r="AK13" s="88"/>
      <c r="AL13" s="89"/>
      <c r="AM13" s="89"/>
      <c r="AN13" s="89"/>
      <c r="AO13" s="91"/>
    </row>
    <row r="14" customFormat="false" ht="13.5" hidden="false" customHeight="false" outlineLevel="0" collapsed="false">
      <c r="A14" s="88"/>
      <c r="B14" s="89"/>
      <c r="C14" s="89"/>
      <c r="D14" s="89"/>
      <c r="E14" s="91"/>
      <c r="G14" s="88"/>
      <c r="H14" s="89"/>
      <c r="I14" s="89"/>
      <c r="J14" s="89"/>
      <c r="K14" s="91"/>
      <c r="M14" s="88"/>
      <c r="N14" s="89"/>
      <c r="O14" s="89"/>
      <c r="P14" s="89"/>
      <c r="Q14" s="91"/>
      <c r="S14" s="88"/>
      <c r="T14" s="89"/>
      <c r="U14" s="89"/>
      <c r="V14" s="89"/>
      <c r="W14" s="91"/>
      <c r="Y14" s="88"/>
      <c r="Z14" s="89"/>
      <c r="AA14" s="89"/>
      <c r="AB14" s="89"/>
      <c r="AC14" s="91"/>
      <c r="AE14" s="88" t="s">
        <v>159</v>
      </c>
      <c r="AF14" s="89" t="s">
        <v>317</v>
      </c>
      <c r="AG14" s="89"/>
      <c r="AH14" s="89"/>
      <c r="AI14" s="91" t="n">
        <v>173</v>
      </c>
      <c r="AK14" s="88"/>
      <c r="AL14" s="89"/>
      <c r="AM14" s="89"/>
      <c r="AN14" s="89"/>
      <c r="AO14" s="91"/>
    </row>
    <row r="15" customFormat="false" ht="14.25" hidden="false" customHeight="true" outlineLevel="0" collapsed="false">
      <c r="A15" s="88"/>
      <c r="B15" s="89"/>
      <c r="C15" s="89"/>
      <c r="D15" s="89"/>
      <c r="E15" s="91"/>
      <c r="G15" s="88"/>
      <c r="H15" s="89"/>
      <c r="I15" s="89"/>
      <c r="J15" s="89"/>
      <c r="K15" s="91"/>
      <c r="M15" s="88"/>
      <c r="N15" s="89"/>
      <c r="O15" s="89"/>
      <c r="P15" s="89"/>
      <c r="Q15" s="91"/>
      <c r="S15" s="88"/>
      <c r="T15" s="89"/>
      <c r="U15" s="89"/>
      <c r="V15" s="89"/>
      <c r="W15" s="91"/>
      <c r="Y15" s="88"/>
      <c r="Z15" s="89"/>
      <c r="AA15" s="89"/>
      <c r="AB15" s="89"/>
      <c r="AC15" s="91"/>
      <c r="AE15" s="88"/>
      <c r="AF15" s="89"/>
      <c r="AG15" s="89"/>
      <c r="AH15" s="89"/>
      <c r="AI15" s="91"/>
      <c r="AK15" s="88"/>
      <c r="AL15" s="89"/>
      <c r="AM15" s="89"/>
      <c r="AN15" s="89"/>
      <c r="AO15" s="91"/>
    </row>
    <row r="16" s="80" customFormat="true" ht="14.25" hidden="false" customHeight="true" outlineLevel="0" collapsed="false">
      <c r="A16" s="183"/>
      <c r="B16" s="184"/>
      <c r="C16" s="184"/>
      <c r="D16" s="184"/>
      <c r="E16" s="185" t="n">
        <f aca="false">SUM(E4:E15)</f>
        <v>36.4</v>
      </c>
      <c r="F16" s="172"/>
      <c r="G16" s="183"/>
      <c r="H16" s="184"/>
      <c r="I16" s="184"/>
      <c r="J16" s="184"/>
      <c r="K16" s="185" t="n">
        <f aca="false">SUM(K4:K15)</f>
        <v>126</v>
      </c>
      <c r="L16" s="172"/>
      <c r="M16" s="183"/>
      <c r="N16" s="184"/>
      <c r="O16" s="184"/>
      <c r="P16" s="184"/>
      <c r="Q16" s="185" t="n">
        <f aca="false">SUM(Q4:Q15)</f>
        <v>0</v>
      </c>
      <c r="R16" s="172"/>
      <c r="S16" s="183"/>
      <c r="T16" s="184"/>
      <c r="U16" s="184"/>
      <c r="V16" s="184"/>
      <c r="W16" s="185" t="n">
        <f aca="false">SUM(W4:W15)</f>
        <v>32.8</v>
      </c>
      <c r="X16" s="172"/>
      <c r="Y16" s="183"/>
      <c r="Z16" s="184"/>
      <c r="AA16" s="184"/>
      <c r="AB16" s="184"/>
      <c r="AC16" s="185" t="n">
        <f aca="false">SUM(AC4:AC15)</f>
        <v>0</v>
      </c>
      <c r="AD16" s="172"/>
      <c r="AE16" s="183"/>
      <c r="AF16" s="184"/>
      <c r="AG16" s="184"/>
      <c r="AH16" s="184"/>
      <c r="AI16" s="185" t="n">
        <f aca="false">SUM(AI4:AI15)</f>
        <v>215</v>
      </c>
      <c r="AJ16" s="172"/>
      <c r="AK16" s="183"/>
      <c r="AL16" s="184"/>
      <c r="AM16" s="184"/>
      <c r="AN16" s="184"/>
      <c r="AO16" s="185" t="n">
        <f aca="false">SUM(AO4:AO15)</f>
        <v>230</v>
      </c>
    </row>
    <row r="19" customFormat="false" ht="13.5" hidden="false" customHeight="false" outlineLevel="0" collapsed="false">
      <c r="K19" s="186" t="n">
        <f aca="false">K16+'GROUND FLOOR CEILING LAYOUT'!K16+'FIRST FLOOR CEILING LAYOUT '!K21+'SECOND FLOOR CEILING LAYOUT '!K21+'THIRD FLOOR CEILING LAYOUT '!K21+'FOURTH FLOOR CEILING LAYOUT  '!K21+'FIFTH FLOOR CEILING LAYOUT'!K40</f>
        <v>757.9</v>
      </c>
    </row>
  </sheetData>
  <mergeCells count="7">
    <mergeCell ref="A1:E1"/>
    <mergeCell ref="G1:K1"/>
    <mergeCell ref="M1:Q1"/>
    <mergeCell ref="S1:W1"/>
    <mergeCell ref="Y1:AC1"/>
    <mergeCell ref="AE1:AI1"/>
    <mergeCell ref="AK1:AO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F1C8"/>
    <pageSetUpPr fitToPage="false"/>
  </sheetPr>
  <dimension ref="A1:AO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90625" defaultRowHeight="13.5" zeroHeight="false" outlineLevelRow="0" outlineLevelCol="0"/>
  <cols>
    <col collapsed="false" customWidth="true" hidden="false" outlineLevel="0" max="2" min="2" style="44" width="12.1"/>
    <col collapsed="false" customWidth="true" hidden="false" outlineLevel="0" max="8" min="8" style="44" width="20.4"/>
    <col collapsed="false" customWidth="true" hidden="false" outlineLevel="0" max="14" min="14" style="44" width="12.1"/>
    <col collapsed="false" customWidth="true" hidden="false" outlineLevel="0" max="20" min="20" style="44" width="12.1"/>
    <col collapsed="false" customWidth="true" hidden="false" outlineLevel="0" max="26" min="26" style="44" width="12.1"/>
    <col collapsed="false" customWidth="true" hidden="false" outlineLevel="0" max="32" min="32" style="44" width="12.7"/>
    <col collapsed="false" customWidth="true" hidden="false" outlineLevel="0" max="37" min="37" style="44" width="11.8"/>
    <col collapsed="false" customWidth="true" hidden="false" outlineLevel="0" max="38" min="38" style="44" width="15.7"/>
    <col collapsed="false" customWidth="true" hidden="false" outlineLevel="0" max="39" min="39" style="44" width="11.8"/>
    <col collapsed="false" customWidth="true" hidden="false" outlineLevel="0" max="40" min="40" style="44" width="11.7"/>
    <col collapsed="false" customWidth="true" hidden="false" outlineLevel="0" max="41" min="41" style="44" width="12.7"/>
  </cols>
  <sheetData>
    <row r="1" s="178" customFormat="true" ht="40.5" hidden="false" customHeight="true" outlineLevel="0" collapsed="false">
      <c r="A1" s="177" t="s">
        <v>293</v>
      </c>
      <c r="B1" s="177"/>
      <c r="C1" s="177"/>
      <c r="D1" s="177"/>
      <c r="E1" s="177"/>
      <c r="G1" s="177" t="s">
        <v>294</v>
      </c>
      <c r="H1" s="177"/>
      <c r="I1" s="177"/>
      <c r="J1" s="177"/>
      <c r="K1" s="177"/>
      <c r="M1" s="177" t="s">
        <v>295</v>
      </c>
      <c r="N1" s="177"/>
      <c r="O1" s="177"/>
      <c r="P1" s="177"/>
      <c r="Q1" s="177"/>
      <c r="S1" s="177" t="s">
        <v>296</v>
      </c>
      <c r="T1" s="177"/>
      <c r="U1" s="177"/>
      <c r="V1" s="177"/>
      <c r="W1" s="177"/>
      <c r="Y1" s="177" t="s">
        <v>297</v>
      </c>
      <c r="Z1" s="177"/>
      <c r="AA1" s="177"/>
      <c r="AB1" s="177"/>
      <c r="AC1" s="177"/>
      <c r="AE1" s="177" t="s">
        <v>298</v>
      </c>
      <c r="AF1" s="177"/>
      <c r="AG1" s="177"/>
      <c r="AH1" s="177"/>
      <c r="AI1" s="177"/>
      <c r="AK1" s="179" t="s">
        <v>299</v>
      </c>
      <c r="AL1" s="179"/>
      <c r="AM1" s="179"/>
      <c r="AN1" s="179"/>
      <c r="AO1" s="179"/>
    </row>
    <row r="2" s="87" customFormat="true" ht="14.25" hidden="false" customHeight="true" outlineLevel="0" collapsed="false">
      <c r="A2" s="83" t="s">
        <v>131</v>
      </c>
      <c r="B2" s="84" t="s">
        <v>0</v>
      </c>
      <c r="C2" s="84" t="s">
        <v>300</v>
      </c>
      <c r="D2" s="84" t="s">
        <v>301</v>
      </c>
      <c r="E2" s="86" t="s">
        <v>137</v>
      </c>
      <c r="G2" s="83" t="s">
        <v>131</v>
      </c>
      <c r="H2" s="84" t="s">
        <v>0</v>
      </c>
      <c r="I2" s="84" t="s">
        <v>300</v>
      </c>
      <c r="J2" s="84" t="s">
        <v>301</v>
      </c>
      <c r="K2" s="86" t="s">
        <v>137</v>
      </c>
      <c r="M2" s="83" t="s">
        <v>131</v>
      </c>
      <c r="N2" s="84" t="s">
        <v>0</v>
      </c>
      <c r="O2" s="84" t="s">
        <v>300</v>
      </c>
      <c r="P2" s="84" t="s">
        <v>301</v>
      </c>
      <c r="Q2" s="86" t="s">
        <v>137</v>
      </c>
      <c r="S2" s="83" t="s">
        <v>131</v>
      </c>
      <c r="T2" s="84" t="s">
        <v>0</v>
      </c>
      <c r="U2" s="84" t="s">
        <v>300</v>
      </c>
      <c r="V2" s="84" t="s">
        <v>301</v>
      </c>
      <c r="W2" s="86" t="s">
        <v>137</v>
      </c>
      <c r="Y2" s="83" t="s">
        <v>131</v>
      </c>
      <c r="Z2" s="84" t="s">
        <v>0</v>
      </c>
      <c r="AA2" s="84" t="s">
        <v>300</v>
      </c>
      <c r="AB2" s="84" t="s">
        <v>301</v>
      </c>
      <c r="AC2" s="86" t="s">
        <v>137</v>
      </c>
      <c r="AE2" s="83" t="s">
        <v>131</v>
      </c>
      <c r="AF2" s="84" t="s">
        <v>0</v>
      </c>
      <c r="AG2" s="84" t="s">
        <v>300</v>
      </c>
      <c r="AH2" s="84" t="s">
        <v>301</v>
      </c>
      <c r="AI2" s="86" t="s">
        <v>137</v>
      </c>
      <c r="AK2" s="83" t="s">
        <v>131</v>
      </c>
      <c r="AL2" s="84" t="s">
        <v>0</v>
      </c>
      <c r="AM2" s="84" t="s">
        <v>300</v>
      </c>
      <c r="AN2" s="84" t="s">
        <v>301</v>
      </c>
      <c r="AO2" s="86" t="s">
        <v>137</v>
      </c>
    </row>
    <row r="3" customFormat="false" ht="13.5" hidden="false" customHeight="false" outlineLevel="0" collapsed="false">
      <c r="A3" s="167"/>
      <c r="B3" s="169"/>
      <c r="C3" s="169"/>
      <c r="D3" s="169"/>
      <c r="E3" s="170"/>
      <c r="G3" s="180"/>
      <c r="H3" s="181"/>
      <c r="I3" s="181"/>
      <c r="J3" s="181"/>
      <c r="K3" s="182"/>
      <c r="M3" s="88"/>
      <c r="N3" s="89"/>
      <c r="O3" s="89"/>
      <c r="P3" s="89"/>
      <c r="Q3" s="91"/>
      <c r="S3" s="88"/>
      <c r="T3" s="89"/>
      <c r="U3" s="89"/>
      <c r="V3" s="89"/>
      <c r="W3" s="91"/>
      <c r="Y3" s="88"/>
      <c r="Z3" s="89"/>
      <c r="AA3" s="89"/>
      <c r="AB3" s="89"/>
      <c r="AC3" s="91"/>
      <c r="AE3" s="167"/>
      <c r="AF3" s="169"/>
      <c r="AG3" s="169"/>
      <c r="AH3" s="169"/>
      <c r="AI3" s="170"/>
      <c r="AK3" s="88"/>
      <c r="AL3" s="89"/>
      <c r="AM3" s="89"/>
      <c r="AN3" s="89"/>
      <c r="AO3" s="91"/>
    </row>
    <row r="4" customFormat="false" ht="13.5" hidden="false" customHeight="false" outlineLevel="0" collapsed="false">
      <c r="A4" s="88" t="s">
        <v>138</v>
      </c>
      <c r="B4" s="89" t="s">
        <v>318</v>
      </c>
      <c r="C4" s="89"/>
      <c r="D4" s="89"/>
      <c r="E4" s="91" t="n">
        <v>1470.7</v>
      </c>
      <c r="G4" s="88"/>
      <c r="H4" s="89"/>
      <c r="I4" s="89"/>
      <c r="J4" s="89"/>
      <c r="K4" s="91"/>
      <c r="M4" s="88"/>
      <c r="N4" s="89"/>
      <c r="O4" s="89"/>
      <c r="P4" s="89"/>
      <c r="Q4" s="91"/>
      <c r="S4" s="88" t="s">
        <v>138</v>
      </c>
      <c r="T4" s="89" t="s">
        <v>304</v>
      </c>
      <c r="U4" s="89"/>
      <c r="V4" s="89"/>
      <c r="W4" s="91" t="n">
        <v>8.5</v>
      </c>
      <c r="Y4" s="88"/>
      <c r="Z4" s="89"/>
      <c r="AA4" s="89"/>
      <c r="AB4" s="89"/>
      <c r="AC4" s="91"/>
      <c r="AE4" s="88" t="s">
        <v>138</v>
      </c>
      <c r="AF4" s="89"/>
      <c r="AG4" s="89"/>
      <c r="AH4" s="89"/>
      <c r="AI4" s="91"/>
      <c r="AK4" s="88"/>
      <c r="AL4" s="122"/>
      <c r="AM4" s="89"/>
      <c r="AN4" s="89"/>
      <c r="AO4" s="91"/>
    </row>
    <row r="5" customFormat="false" ht="13.5" hidden="false" customHeight="false" outlineLevel="0" collapsed="false">
      <c r="A5" s="88"/>
      <c r="B5" s="89"/>
      <c r="C5" s="89"/>
      <c r="D5" s="89"/>
      <c r="E5" s="91"/>
      <c r="G5" s="88"/>
      <c r="H5" s="89"/>
      <c r="I5" s="89"/>
      <c r="J5" s="89"/>
      <c r="K5" s="91"/>
      <c r="M5" s="88"/>
      <c r="N5" s="89"/>
      <c r="O5" s="89"/>
      <c r="P5" s="89"/>
      <c r="Q5" s="91"/>
      <c r="S5" s="88"/>
      <c r="T5" s="89"/>
      <c r="U5" s="89"/>
      <c r="V5" s="89"/>
      <c r="W5" s="91"/>
      <c r="Y5" s="88"/>
      <c r="Z5" s="89"/>
      <c r="AA5" s="89"/>
      <c r="AB5" s="89"/>
      <c r="AC5" s="91"/>
      <c r="AE5" s="88"/>
      <c r="AF5" s="89"/>
      <c r="AG5" s="89"/>
      <c r="AH5" s="89"/>
      <c r="AI5" s="91"/>
      <c r="AK5" s="88"/>
      <c r="AL5" s="89"/>
      <c r="AM5" s="89"/>
      <c r="AN5" s="89"/>
      <c r="AO5" s="91"/>
    </row>
    <row r="6" customFormat="false" ht="13.5" hidden="false" customHeight="false" outlineLevel="0" collapsed="false">
      <c r="A6" s="88"/>
      <c r="B6" s="89"/>
      <c r="C6" s="89"/>
      <c r="D6" s="89"/>
      <c r="E6" s="91"/>
      <c r="G6" s="88"/>
      <c r="H6" s="89"/>
      <c r="I6" s="89"/>
      <c r="J6" s="89"/>
      <c r="K6" s="91"/>
      <c r="M6" s="88"/>
      <c r="N6" s="89"/>
      <c r="O6" s="89"/>
      <c r="P6" s="89"/>
      <c r="Q6" s="91"/>
      <c r="S6" s="88" t="s">
        <v>141</v>
      </c>
      <c r="T6" s="89" t="s">
        <v>316</v>
      </c>
      <c r="U6" s="89"/>
      <c r="V6" s="89"/>
      <c r="W6" s="91" t="n">
        <v>7.7</v>
      </c>
      <c r="Y6" s="88"/>
      <c r="Z6" s="89"/>
      <c r="AA6" s="89"/>
      <c r="AB6" s="89"/>
      <c r="AC6" s="91"/>
      <c r="AE6" s="88" t="s">
        <v>141</v>
      </c>
      <c r="AF6" s="89"/>
      <c r="AG6" s="89"/>
      <c r="AH6" s="89"/>
      <c r="AI6" s="91"/>
      <c r="AK6" s="88"/>
      <c r="AL6" s="89"/>
      <c r="AM6" s="89"/>
      <c r="AN6" s="89"/>
      <c r="AO6" s="91"/>
    </row>
    <row r="7" customFormat="false" ht="13.5" hidden="false" customHeight="false" outlineLevel="0" collapsed="false">
      <c r="A7" s="88"/>
      <c r="B7" s="89"/>
      <c r="C7" s="89"/>
      <c r="D7" s="89"/>
      <c r="E7" s="91"/>
      <c r="G7" s="88"/>
      <c r="H7" s="89"/>
      <c r="I7" s="89"/>
      <c r="J7" s="89"/>
      <c r="K7" s="91"/>
      <c r="M7" s="88"/>
      <c r="N7" s="89"/>
      <c r="O7" s="89"/>
      <c r="P7" s="89"/>
      <c r="Q7" s="91"/>
      <c r="S7" s="88"/>
      <c r="T7" s="89"/>
      <c r="U7" s="89"/>
      <c r="V7" s="89"/>
      <c r="W7" s="91"/>
      <c r="Y7" s="88"/>
      <c r="Z7" s="89"/>
      <c r="AA7" s="89"/>
      <c r="AB7" s="89"/>
      <c r="AC7" s="91"/>
      <c r="AE7" s="88"/>
      <c r="AF7" s="89"/>
      <c r="AG7" s="89"/>
      <c r="AH7" s="89"/>
      <c r="AI7" s="91"/>
      <c r="AK7" s="88"/>
      <c r="AL7" s="89"/>
      <c r="AM7" s="89"/>
      <c r="AN7" s="89"/>
      <c r="AO7" s="91"/>
    </row>
    <row r="8" customFormat="false" ht="13.5" hidden="false" customHeight="false" outlineLevel="0" collapsed="false">
      <c r="A8" s="88"/>
      <c r="B8" s="89"/>
      <c r="C8" s="89"/>
      <c r="D8" s="89"/>
      <c r="E8" s="91"/>
      <c r="G8" s="88"/>
      <c r="H8" s="89"/>
      <c r="I8" s="89"/>
      <c r="J8" s="89"/>
      <c r="K8" s="91"/>
      <c r="M8" s="88"/>
      <c r="N8" s="89"/>
      <c r="O8" s="89"/>
      <c r="P8" s="89"/>
      <c r="Q8" s="91"/>
      <c r="S8" s="88"/>
      <c r="T8" s="89"/>
      <c r="U8" s="89"/>
      <c r="V8" s="89"/>
      <c r="W8" s="91"/>
      <c r="Y8" s="88"/>
      <c r="Z8" s="89"/>
      <c r="AA8" s="89"/>
      <c r="AB8" s="89"/>
      <c r="AC8" s="91"/>
      <c r="AE8" s="88" t="s">
        <v>151</v>
      </c>
      <c r="AF8" s="89"/>
      <c r="AG8" s="89"/>
      <c r="AH8" s="89"/>
      <c r="AI8" s="91"/>
      <c r="AK8" s="88"/>
      <c r="AL8" s="89"/>
      <c r="AM8" s="89"/>
      <c r="AN8" s="89"/>
      <c r="AO8" s="91"/>
    </row>
    <row r="9" customFormat="false" ht="13.5" hidden="false" customHeight="false" outlineLevel="0" collapsed="false">
      <c r="A9" s="88"/>
      <c r="B9" s="89"/>
      <c r="C9" s="89"/>
      <c r="D9" s="89"/>
      <c r="E9" s="91"/>
      <c r="G9" s="88"/>
      <c r="H9" s="89"/>
      <c r="I9" s="89"/>
      <c r="J9" s="89"/>
      <c r="K9" s="91"/>
      <c r="M9" s="88"/>
      <c r="N9" s="89"/>
      <c r="O9" s="89"/>
      <c r="P9" s="89"/>
      <c r="Q9" s="91"/>
      <c r="S9" s="88"/>
      <c r="T9" s="89"/>
      <c r="U9" s="89"/>
      <c r="V9" s="89"/>
      <c r="W9" s="91"/>
      <c r="Y9" s="88"/>
      <c r="Z9" s="89"/>
      <c r="AA9" s="89"/>
      <c r="AB9" s="89"/>
      <c r="AC9" s="91"/>
      <c r="AE9" s="88"/>
      <c r="AF9" s="89"/>
      <c r="AG9" s="89"/>
      <c r="AH9" s="89"/>
      <c r="AI9" s="91"/>
      <c r="AK9" s="88"/>
      <c r="AL9" s="89"/>
      <c r="AM9" s="89"/>
      <c r="AN9" s="89"/>
      <c r="AO9" s="91"/>
    </row>
    <row r="10" customFormat="false" ht="13.5" hidden="false" customHeight="false" outlineLevel="0" collapsed="false">
      <c r="A10" s="88"/>
      <c r="B10" s="89"/>
      <c r="C10" s="89"/>
      <c r="D10" s="89"/>
      <c r="E10" s="91"/>
      <c r="G10" s="88"/>
      <c r="H10" s="89"/>
      <c r="I10" s="89"/>
      <c r="J10" s="89"/>
      <c r="K10" s="91"/>
      <c r="M10" s="88"/>
      <c r="N10" s="89"/>
      <c r="O10" s="89"/>
      <c r="P10" s="89"/>
      <c r="Q10" s="91"/>
      <c r="S10" s="88"/>
      <c r="T10" s="89"/>
      <c r="U10" s="89"/>
      <c r="V10" s="89"/>
      <c r="W10" s="91"/>
      <c r="Y10" s="88"/>
      <c r="Z10" s="89"/>
      <c r="AA10" s="89"/>
      <c r="AB10" s="89"/>
      <c r="AC10" s="91"/>
      <c r="AE10" s="88" t="s">
        <v>155</v>
      </c>
      <c r="AF10" s="89"/>
      <c r="AG10" s="89"/>
      <c r="AH10" s="89"/>
      <c r="AI10" s="91"/>
      <c r="AK10" s="88"/>
      <c r="AL10" s="89"/>
      <c r="AM10" s="89"/>
      <c r="AN10" s="89"/>
      <c r="AO10" s="91"/>
    </row>
    <row r="11" customFormat="false" ht="13.5" hidden="false" customHeight="false" outlineLevel="0" collapsed="false">
      <c r="A11" s="88"/>
      <c r="B11" s="89"/>
      <c r="C11" s="89"/>
      <c r="D11" s="89"/>
      <c r="E11" s="91"/>
      <c r="G11" s="88"/>
      <c r="H11" s="89"/>
      <c r="I11" s="89"/>
      <c r="J11" s="89"/>
      <c r="K11" s="91"/>
      <c r="M11" s="88"/>
      <c r="N11" s="89"/>
      <c r="O11" s="89"/>
      <c r="P11" s="89"/>
      <c r="Q11" s="91"/>
      <c r="S11" s="88"/>
      <c r="T11" s="89"/>
      <c r="U11" s="89"/>
      <c r="V11" s="89"/>
      <c r="W11" s="91"/>
      <c r="Y11" s="88"/>
      <c r="Z11" s="89"/>
      <c r="AA11" s="89"/>
      <c r="AB11" s="89"/>
      <c r="AC11" s="91"/>
      <c r="AE11" s="88"/>
      <c r="AF11" s="89"/>
      <c r="AG11" s="89"/>
      <c r="AH11" s="89"/>
      <c r="AI11" s="91"/>
      <c r="AK11" s="88"/>
      <c r="AL11" s="89"/>
      <c r="AM11" s="89"/>
      <c r="AN11" s="89"/>
      <c r="AO11" s="91"/>
    </row>
    <row r="12" customFormat="false" ht="13.5" hidden="false" customHeight="false" outlineLevel="0" collapsed="false">
      <c r="A12" s="88"/>
      <c r="B12" s="89"/>
      <c r="C12" s="89"/>
      <c r="D12" s="89"/>
      <c r="E12" s="91"/>
      <c r="G12" s="88"/>
      <c r="H12" s="89"/>
      <c r="I12" s="89"/>
      <c r="J12" s="89"/>
      <c r="K12" s="91"/>
      <c r="M12" s="88"/>
      <c r="N12" s="89"/>
      <c r="O12" s="89"/>
      <c r="P12" s="89"/>
      <c r="Q12" s="91"/>
      <c r="S12" s="88"/>
      <c r="T12" s="89"/>
      <c r="U12" s="89"/>
      <c r="V12" s="89"/>
      <c r="W12" s="91"/>
      <c r="Y12" s="88"/>
      <c r="Z12" s="89"/>
      <c r="AA12" s="89"/>
      <c r="AB12" s="89"/>
      <c r="AC12" s="91"/>
      <c r="AE12" s="88" t="s">
        <v>157</v>
      </c>
      <c r="AF12" s="89"/>
      <c r="AG12" s="89"/>
      <c r="AH12" s="89"/>
      <c r="AI12" s="91"/>
      <c r="AK12" s="88"/>
      <c r="AL12" s="89"/>
      <c r="AM12" s="89"/>
      <c r="AN12" s="89"/>
      <c r="AO12" s="91"/>
    </row>
    <row r="13" customFormat="false" ht="13.5" hidden="false" customHeight="false" outlineLevel="0" collapsed="false">
      <c r="A13" s="88"/>
      <c r="B13" s="89"/>
      <c r="C13" s="89"/>
      <c r="D13" s="89"/>
      <c r="E13" s="91"/>
      <c r="G13" s="88"/>
      <c r="H13" s="89"/>
      <c r="I13" s="89"/>
      <c r="J13" s="89"/>
      <c r="K13" s="91"/>
      <c r="M13" s="88"/>
      <c r="N13" s="89"/>
      <c r="O13" s="89"/>
      <c r="P13" s="89"/>
      <c r="Q13" s="91"/>
      <c r="S13" s="88"/>
      <c r="T13" s="89"/>
      <c r="U13" s="89"/>
      <c r="V13" s="89"/>
      <c r="W13" s="91"/>
      <c r="Y13" s="88"/>
      <c r="Z13" s="89"/>
      <c r="AA13" s="89"/>
      <c r="AB13" s="89"/>
      <c r="AC13" s="91"/>
      <c r="AE13" s="88"/>
      <c r="AF13" s="89"/>
      <c r="AG13" s="89"/>
      <c r="AH13" s="89"/>
      <c r="AI13" s="91"/>
      <c r="AK13" s="88"/>
      <c r="AL13" s="89"/>
      <c r="AM13" s="89"/>
      <c r="AN13" s="89"/>
      <c r="AO13" s="91"/>
    </row>
    <row r="14" customFormat="false" ht="13.5" hidden="false" customHeight="false" outlineLevel="0" collapsed="false">
      <c r="A14" s="88"/>
      <c r="B14" s="89"/>
      <c r="C14" s="89"/>
      <c r="D14" s="89"/>
      <c r="E14" s="91"/>
      <c r="G14" s="88"/>
      <c r="H14" s="89"/>
      <c r="I14" s="89"/>
      <c r="J14" s="89"/>
      <c r="K14" s="91"/>
      <c r="M14" s="88"/>
      <c r="N14" s="89"/>
      <c r="O14" s="89"/>
      <c r="P14" s="89"/>
      <c r="Q14" s="91"/>
      <c r="S14" s="88"/>
      <c r="T14" s="89"/>
      <c r="U14" s="89"/>
      <c r="V14" s="89"/>
      <c r="W14" s="91"/>
      <c r="Y14" s="88"/>
      <c r="Z14" s="89"/>
      <c r="AA14" s="89"/>
      <c r="AB14" s="89"/>
      <c r="AC14" s="91"/>
      <c r="AE14" s="88" t="s">
        <v>159</v>
      </c>
      <c r="AF14" s="89"/>
      <c r="AG14" s="89"/>
      <c r="AH14" s="89"/>
      <c r="AI14" s="91"/>
      <c r="AK14" s="88"/>
      <c r="AL14" s="89"/>
      <c r="AM14" s="89"/>
      <c r="AN14" s="89"/>
      <c r="AO14" s="91"/>
    </row>
    <row r="15" customFormat="false" ht="14.25" hidden="false" customHeight="true" outlineLevel="0" collapsed="false">
      <c r="A15" s="88"/>
      <c r="B15" s="89"/>
      <c r="C15" s="89"/>
      <c r="D15" s="89"/>
      <c r="E15" s="91"/>
      <c r="G15" s="88"/>
      <c r="H15" s="89"/>
      <c r="I15" s="89"/>
      <c r="J15" s="89"/>
      <c r="K15" s="91"/>
      <c r="M15" s="88"/>
      <c r="N15" s="89"/>
      <c r="O15" s="89"/>
      <c r="P15" s="89"/>
      <c r="Q15" s="91"/>
      <c r="S15" s="88"/>
      <c r="T15" s="89"/>
      <c r="U15" s="89"/>
      <c r="V15" s="89"/>
      <c r="W15" s="91"/>
      <c r="Y15" s="88"/>
      <c r="Z15" s="89"/>
      <c r="AA15" s="89"/>
      <c r="AB15" s="89"/>
      <c r="AC15" s="91"/>
      <c r="AE15" s="88"/>
      <c r="AF15" s="89"/>
      <c r="AG15" s="89"/>
      <c r="AH15" s="89"/>
      <c r="AI15" s="91"/>
      <c r="AK15" s="88"/>
      <c r="AL15" s="89"/>
      <c r="AM15" s="89"/>
      <c r="AN15" s="89"/>
      <c r="AO15" s="91"/>
    </row>
    <row r="16" s="80" customFormat="true" ht="14.25" hidden="false" customHeight="true" outlineLevel="0" collapsed="false">
      <c r="A16" s="183"/>
      <c r="B16" s="184"/>
      <c r="C16" s="184"/>
      <c r="D16" s="184"/>
      <c r="E16" s="185" t="n">
        <f aca="false">SUM(E4:E15)</f>
        <v>1470.7</v>
      </c>
      <c r="F16" s="172"/>
      <c r="G16" s="183"/>
      <c r="H16" s="184"/>
      <c r="I16" s="184"/>
      <c r="J16" s="184"/>
      <c r="K16" s="185" t="n">
        <f aca="false">SUM(K4:K15)</f>
        <v>0</v>
      </c>
      <c r="L16" s="172"/>
      <c r="M16" s="183"/>
      <c r="N16" s="184"/>
      <c r="O16" s="184"/>
      <c r="P16" s="184"/>
      <c r="Q16" s="185" t="n">
        <f aca="false">SUM(Q4:Q15)</f>
        <v>0</v>
      </c>
      <c r="R16" s="172"/>
      <c r="S16" s="183"/>
      <c r="T16" s="184"/>
      <c r="U16" s="184"/>
      <c r="V16" s="184"/>
      <c r="W16" s="185" t="n">
        <f aca="false">SUM(W4:W15)</f>
        <v>16.2</v>
      </c>
      <c r="X16" s="172"/>
      <c r="Y16" s="183"/>
      <c r="Z16" s="184"/>
      <c r="AA16" s="184"/>
      <c r="AB16" s="184"/>
      <c r="AC16" s="185" t="n">
        <f aca="false">SUM(AC4:AC15)</f>
        <v>0</v>
      </c>
      <c r="AD16" s="172"/>
      <c r="AE16" s="183"/>
      <c r="AF16" s="184"/>
      <c r="AG16" s="184"/>
      <c r="AH16" s="184"/>
      <c r="AI16" s="185" t="n">
        <f aca="false">SUM(AI4:AI15)</f>
        <v>0</v>
      </c>
      <c r="AJ16" s="172"/>
      <c r="AK16" s="183"/>
      <c r="AL16" s="184"/>
      <c r="AM16" s="184"/>
      <c r="AN16" s="184"/>
      <c r="AO16" s="185" t="n">
        <f aca="false">SUM(AO4:AO15)</f>
        <v>0</v>
      </c>
    </row>
  </sheetData>
  <mergeCells count="7">
    <mergeCell ref="A1:E1"/>
    <mergeCell ref="G1:K1"/>
    <mergeCell ref="M1:Q1"/>
    <mergeCell ref="S1:W1"/>
    <mergeCell ref="Y1:AC1"/>
    <mergeCell ref="AE1:AI1"/>
    <mergeCell ref="AK1:AO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F1C8"/>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90625" defaultRowHeight="13.5" zeroHeight="false" outlineLevelRow="0" outlineLevelCol="0"/>
  <cols>
    <col collapsed="false" customWidth="true" hidden="false" outlineLevel="0" max="2" min="2" style="44" width="12.1"/>
    <col collapsed="false" customWidth="true" hidden="false" outlineLevel="0" max="8" min="8" style="44" width="27.9"/>
    <col collapsed="false" customWidth="true" hidden="false" outlineLevel="0" max="14" min="14" style="44" width="12.1"/>
    <col collapsed="false" customWidth="true" hidden="false" outlineLevel="0" max="20" min="20" style="44" width="12.1"/>
    <col collapsed="false" customWidth="true" hidden="false" outlineLevel="0" max="26" min="26" style="44" width="12.1"/>
    <col collapsed="false" customWidth="true" hidden="false" outlineLevel="0" max="32" min="32" style="44" width="14.1"/>
    <col collapsed="false" customWidth="true" hidden="false" outlineLevel="0" max="33" min="33" style="44" width="7.8"/>
    <col collapsed="false" customWidth="true" hidden="false" outlineLevel="0" max="37" min="37" style="44" width="11.8"/>
    <col collapsed="false" customWidth="true" hidden="false" outlineLevel="0" max="38" min="38" style="44" width="15.7"/>
    <col collapsed="false" customWidth="true" hidden="false" outlineLevel="0" max="39" min="39" style="44" width="11.8"/>
    <col collapsed="false" customWidth="true" hidden="false" outlineLevel="0" max="40" min="40" style="44" width="11.7"/>
    <col collapsed="false" customWidth="true" hidden="false" outlineLevel="0" max="41" min="41" style="44" width="12.7"/>
  </cols>
  <sheetData>
    <row r="1" s="178" customFormat="true" ht="40.5" hidden="false" customHeight="true" outlineLevel="0" collapsed="false">
      <c r="A1" s="177" t="s">
        <v>293</v>
      </c>
      <c r="B1" s="177"/>
      <c r="C1" s="177"/>
      <c r="D1" s="177"/>
      <c r="E1" s="177"/>
      <c r="G1" s="177" t="s">
        <v>294</v>
      </c>
      <c r="H1" s="177"/>
      <c r="I1" s="177"/>
      <c r="J1" s="177"/>
      <c r="K1" s="177"/>
      <c r="M1" s="177" t="s">
        <v>295</v>
      </c>
      <c r="N1" s="177"/>
      <c r="O1" s="177"/>
      <c r="P1" s="177"/>
      <c r="Q1" s="177"/>
      <c r="S1" s="177" t="s">
        <v>296</v>
      </c>
      <c r="T1" s="177"/>
      <c r="U1" s="177"/>
      <c r="V1" s="177"/>
      <c r="W1" s="177"/>
      <c r="Y1" s="177" t="s">
        <v>297</v>
      </c>
      <c r="Z1" s="177"/>
      <c r="AA1" s="177"/>
      <c r="AB1" s="177"/>
      <c r="AC1" s="177"/>
      <c r="AE1" s="177" t="s">
        <v>298</v>
      </c>
      <c r="AF1" s="177"/>
      <c r="AG1" s="177"/>
      <c r="AH1" s="177"/>
      <c r="AI1" s="177"/>
      <c r="AK1" s="179" t="s">
        <v>299</v>
      </c>
      <c r="AL1" s="179"/>
      <c r="AM1" s="179"/>
      <c r="AN1" s="179"/>
      <c r="AO1" s="179"/>
    </row>
    <row r="2" s="87" customFormat="true" ht="14.25" hidden="false" customHeight="true" outlineLevel="0" collapsed="false">
      <c r="A2" s="83" t="s">
        <v>131</v>
      </c>
      <c r="B2" s="84" t="s">
        <v>0</v>
      </c>
      <c r="C2" s="84" t="s">
        <v>300</v>
      </c>
      <c r="D2" s="84" t="s">
        <v>301</v>
      </c>
      <c r="E2" s="86" t="s">
        <v>137</v>
      </c>
      <c r="G2" s="83" t="s">
        <v>131</v>
      </c>
      <c r="H2" s="84" t="s">
        <v>0</v>
      </c>
      <c r="I2" s="84" t="s">
        <v>300</v>
      </c>
      <c r="J2" s="84" t="s">
        <v>301</v>
      </c>
      <c r="K2" s="86" t="s">
        <v>137</v>
      </c>
      <c r="M2" s="83" t="s">
        <v>131</v>
      </c>
      <c r="N2" s="84" t="s">
        <v>0</v>
      </c>
      <c r="O2" s="84" t="s">
        <v>300</v>
      </c>
      <c r="P2" s="84" t="s">
        <v>301</v>
      </c>
      <c r="Q2" s="86" t="s">
        <v>137</v>
      </c>
      <c r="S2" s="83" t="s">
        <v>131</v>
      </c>
      <c r="T2" s="84" t="s">
        <v>0</v>
      </c>
      <c r="U2" s="84" t="s">
        <v>300</v>
      </c>
      <c r="V2" s="84" t="s">
        <v>301</v>
      </c>
      <c r="W2" s="86" t="s">
        <v>137</v>
      </c>
      <c r="Y2" s="83" t="s">
        <v>131</v>
      </c>
      <c r="Z2" s="84" t="s">
        <v>0</v>
      </c>
      <c r="AA2" s="84" t="s">
        <v>300</v>
      </c>
      <c r="AB2" s="84" t="s">
        <v>301</v>
      </c>
      <c r="AC2" s="86" t="s">
        <v>137</v>
      </c>
      <c r="AE2" s="83" t="s">
        <v>131</v>
      </c>
      <c r="AF2" s="84" t="s">
        <v>0</v>
      </c>
      <c r="AG2" s="84" t="s">
        <v>300</v>
      </c>
      <c r="AH2" s="84" t="s">
        <v>301</v>
      </c>
      <c r="AI2" s="86" t="s">
        <v>137</v>
      </c>
      <c r="AK2" s="83" t="s">
        <v>131</v>
      </c>
      <c r="AL2" s="84" t="s">
        <v>0</v>
      </c>
      <c r="AM2" s="84" t="s">
        <v>300</v>
      </c>
      <c r="AN2" s="84" t="s">
        <v>301</v>
      </c>
      <c r="AO2" s="86" t="s">
        <v>137</v>
      </c>
    </row>
    <row r="3" customFormat="false" ht="13.5" hidden="false" customHeight="false" outlineLevel="0" collapsed="false">
      <c r="A3" s="167"/>
      <c r="B3" s="169"/>
      <c r="C3" s="169"/>
      <c r="D3" s="169"/>
      <c r="E3" s="170"/>
      <c r="G3" s="180"/>
      <c r="H3" s="181"/>
      <c r="I3" s="181"/>
      <c r="J3" s="181"/>
      <c r="K3" s="182"/>
      <c r="M3" s="88"/>
      <c r="N3" s="89"/>
      <c r="O3" s="89"/>
      <c r="P3" s="89"/>
      <c r="Q3" s="91"/>
      <c r="S3" s="88"/>
      <c r="T3" s="89"/>
      <c r="U3" s="89"/>
      <c r="V3" s="89"/>
      <c r="W3" s="91"/>
      <c r="Y3" s="88"/>
      <c r="Z3" s="89"/>
      <c r="AA3" s="89"/>
      <c r="AB3" s="89"/>
      <c r="AC3" s="91"/>
      <c r="AE3" s="167"/>
      <c r="AF3" s="169"/>
      <c r="AG3" s="169"/>
      <c r="AH3" s="169"/>
      <c r="AI3" s="170"/>
      <c r="AK3" s="88"/>
      <c r="AL3" s="89"/>
      <c r="AM3" s="89"/>
      <c r="AN3" s="89"/>
      <c r="AO3" s="91"/>
    </row>
    <row r="4" customFormat="false" ht="13.5" hidden="false" customHeight="false" outlineLevel="0" collapsed="false">
      <c r="A4" s="88" t="s">
        <v>138</v>
      </c>
      <c r="B4" s="89" t="s">
        <v>319</v>
      </c>
      <c r="C4" s="89"/>
      <c r="D4" s="89"/>
      <c r="E4" s="91" t="n">
        <v>33.8</v>
      </c>
      <c r="G4" s="88" t="s">
        <v>138</v>
      </c>
      <c r="H4" s="89" t="s">
        <v>320</v>
      </c>
      <c r="I4" s="89"/>
      <c r="J4" s="89"/>
      <c r="K4" s="91" t="n">
        <v>32.9</v>
      </c>
      <c r="M4" s="88"/>
      <c r="N4" s="89"/>
      <c r="O4" s="89"/>
      <c r="P4" s="89"/>
      <c r="Q4" s="91"/>
      <c r="S4" s="88" t="s">
        <v>138</v>
      </c>
      <c r="T4" s="89" t="s">
        <v>321</v>
      </c>
      <c r="U4" s="89"/>
      <c r="V4" s="89"/>
      <c r="W4" s="91" t="n">
        <v>7</v>
      </c>
      <c r="Y4" s="88"/>
      <c r="Z4" s="89"/>
      <c r="AA4" s="89"/>
      <c r="AB4" s="89"/>
      <c r="AC4" s="91"/>
      <c r="AE4" s="88" t="s">
        <v>138</v>
      </c>
      <c r="AF4" s="89" t="s">
        <v>317</v>
      </c>
      <c r="AG4" s="89"/>
      <c r="AH4" s="89"/>
      <c r="AI4" s="91" t="n">
        <v>332.6</v>
      </c>
      <c r="AK4" s="88" t="s">
        <v>138</v>
      </c>
      <c r="AL4" s="122"/>
      <c r="AM4" s="89"/>
      <c r="AN4" s="89"/>
      <c r="AO4" s="91"/>
    </row>
    <row r="5" customFormat="false" ht="13.5" hidden="false" customHeight="false" outlineLevel="0" collapsed="false">
      <c r="A5" s="88"/>
      <c r="B5" s="89"/>
      <c r="C5" s="89"/>
      <c r="D5" s="89"/>
      <c r="E5" s="91"/>
      <c r="G5" s="88"/>
      <c r="H5" s="89"/>
      <c r="I5" s="89"/>
      <c r="J5" s="89"/>
      <c r="K5" s="91"/>
      <c r="M5" s="88"/>
      <c r="N5" s="89"/>
      <c r="O5" s="89"/>
      <c r="P5" s="89"/>
      <c r="Q5" s="91"/>
      <c r="S5" s="88"/>
      <c r="T5" s="89"/>
      <c r="U5" s="89"/>
      <c r="V5" s="89"/>
      <c r="W5" s="91"/>
      <c r="Y5" s="88"/>
      <c r="Z5" s="89"/>
      <c r="AA5" s="89"/>
      <c r="AB5" s="89"/>
      <c r="AC5" s="91"/>
      <c r="AE5" s="88"/>
      <c r="AF5" s="89"/>
      <c r="AG5" s="89"/>
      <c r="AH5" s="89"/>
      <c r="AI5" s="91"/>
      <c r="AK5" s="88"/>
      <c r="AL5" s="89"/>
      <c r="AM5" s="89"/>
      <c r="AN5" s="89"/>
      <c r="AO5" s="91"/>
    </row>
    <row r="6" customFormat="false" ht="13.5" hidden="false" customHeight="false" outlineLevel="0" collapsed="false">
      <c r="A6" s="88"/>
      <c r="B6" s="89"/>
      <c r="C6" s="89"/>
      <c r="D6" s="89"/>
      <c r="E6" s="91"/>
      <c r="G6" s="88" t="s">
        <v>141</v>
      </c>
      <c r="H6" s="89" t="s">
        <v>313</v>
      </c>
      <c r="I6" s="89"/>
      <c r="J6" s="89"/>
      <c r="K6" s="91" t="n">
        <v>8.6</v>
      </c>
      <c r="M6" s="88"/>
      <c r="N6" s="89"/>
      <c r="O6" s="89"/>
      <c r="P6" s="89"/>
      <c r="Q6" s="91"/>
      <c r="S6" s="88" t="s">
        <v>141</v>
      </c>
      <c r="T6" s="89" t="s">
        <v>308</v>
      </c>
      <c r="U6" s="89"/>
      <c r="V6" s="89"/>
      <c r="W6" s="91" t="n">
        <v>8</v>
      </c>
      <c r="Y6" s="88"/>
      <c r="Z6" s="89"/>
      <c r="AA6" s="89"/>
      <c r="AB6" s="89"/>
      <c r="AC6" s="91"/>
      <c r="AE6" s="88" t="s">
        <v>141</v>
      </c>
      <c r="AF6" s="89" t="s">
        <v>322</v>
      </c>
      <c r="AG6" s="89"/>
      <c r="AH6" s="89"/>
      <c r="AI6" s="91" t="n">
        <v>18.7</v>
      </c>
      <c r="AK6" s="88"/>
      <c r="AL6" s="89"/>
      <c r="AM6" s="89"/>
      <c r="AN6" s="89"/>
      <c r="AO6" s="91"/>
    </row>
    <row r="7" customFormat="false" ht="13.5" hidden="false" customHeight="false" outlineLevel="0" collapsed="false">
      <c r="A7" s="88"/>
      <c r="B7" s="89"/>
      <c r="C7" s="89"/>
      <c r="D7" s="89"/>
      <c r="E7" s="91"/>
      <c r="G7" s="88"/>
      <c r="H7" s="89"/>
      <c r="I7" s="89"/>
      <c r="J7" s="89"/>
      <c r="K7" s="91"/>
      <c r="M7" s="88"/>
      <c r="N7" s="89"/>
      <c r="O7" s="89"/>
      <c r="P7" s="89"/>
      <c r="Q7" s="91"/>
      <c r="S7" s="88"/>
      <c r="T7" s="89"/>
      <c r="U7" s="89"/>
      <c r="V7" s="89"/>
      <c r="W7" s="91"/>
      <c r="Y7" s="88"/>
      <c r="Z7" s="89"/>
      <c r="AA7" s="89"/>
      <c r="AB7" s="89"/>
      <c r="AC7" s="91"/>
      <c r="AE7" s="88"/>
      <c r="AF7" s="89"/>
      <c r="AG7" s="89"/>
      <c r="AH7" s="89"/>
      <c r="AI7" s="91"/>
      <c r="AK7" s="88"/>
      <c r="AL7" s="89"/>
      <c r="AM7" s="89"/>
      <c r="AN7" s="89"/>
      <c r="AO7" s="91"/>
    </row>
    <row r="8" customFormat="false" ht="13.5" hidden="false" customHeight="false" outlineLevel="0" collapsed="false">
      <c r="A8" s="88"/>
      <c r="B8" s="89"/>
      <c r="C8" s="89"/>
      <c r="D8" s="89"/>
      <c r="E8" s="91"/>
      <c r="G8" s="88" t="s">
        <v>151</v>
      </c>
      <c r="H8" s="89"/>
      <c r="I8" s="89"/>
      <c r="J8" s="89"/>
      <c r="K8" s="91"/>
      <c r="M8" s="88"/>
      <c r="N8" s="89"/>
      <c r="O8" s="89"/>
      <c r="P8" s="89"/>
      <c r="Q8" s="91"/>
      <c r="S8" s="88" t="s">
        <v>151</v>
      </c>
      <c r="T8" s="89" t="s">
        <v>323</v>
      </c>
      <c r="U8" s="89"/>
      <c r="V8" s="89"/>
      <c r="W8" s="91" t="n">
        <v>8.9</v>
      </c>
      <c r="Y8" s="88"/>
      <c r="Z8" s="89"/>
      <c r="AA8" s="89"/>
      <c r="AB8" s="89"/>
      <c r="AC8" s="91"/>
      <c r="AE8" s="88" t="s">
        <v>151</v>
      </c>
      <c r="AF8" s="89" t="s">
        <v>309</v>
      </c>
      <c r="AG8" s="89"/>
      <c r="AH8" s="89"/>
      <c r="AI8" s="91" t="n">
        <v>8.3</v>
      </c>
      <c r="AK8" s="88"/>
      <c r="AL8" s="89"/>
      <c r="AM8" s="89"/>
      <c r="AN8" s="89"/>
      <c r="AO8" s="91"/>
    </row>
    <row r="9" customFormat="false" ht="13.5" hidden="false" customHeight="false" outlineLevel="0" collapsed="false">
      <c r="A9" s="88"/>
      <c r="B9" s="89"/>
      <c r="C9" s="89"/>
      <c r="D9" s="89"/>
      <c r="E9" s="91"/>
      <c r="G9" s="88"/>
      <c r="H9" s="89"/>
      <c r="I9" s="89"/>
      <c r="J9" s="89"/>
      <c r="K9" s="91"/>
      <c r="M9" s="88"/>
      <c r="N9" s="89"/>
      <c r="O9" s="89"/>
      <c r="P9" s="89"/>
      <c r="Q9" s="91"/>
      <c r="S9" s="88"/>
      <c r="T9" s="89"/>
      <c r="U9" s="89"/>
      <c r="V9" s="89"/>
      <c r="W9" s="91"/>
      <c r="Y9" s="88"/>
      <c r="Z9" s="89"/>
      <c r="AA9" s="89"/>
      <c r="AB9" s="89"/>
      <c r="AC9" s="91"/>
      <c r="AE9" s="88"/>
      <c r="AF9" s="89"/>
      <c r="AG9" s="89"/>
      <c r="AH9" s="89"/>
      <c r="AI9" s="91"/>
      <c r="AK9" s="88"/>
      <c r="AL9" s="89"/>
      <c r="AM9" s="89"/>
      <c r="AN9" s="89"/>
      <c r="AO9" s="91"/>
    </row>
    <row r="10" customFormat="false" ht="13.5" hidden="false" customHeight="false" outlineLevel="0" collapsed="false">
      <c r="A10" s="88"/>
      <c r="B10" s="89"/>
      <c r="C10" s="89"/>
      <c r="D10" s="89"/>
      <c r="E10" s="91"/>
      <c r="G10" s="88" t="s">
        <v>155</v>
      </c>
      <c r="H10" s="89"/>
      <c r="I10" s="89"/>
      <c r="J10" s="89"/>
      <c r="K10" s="91"/>
      <c r="M10" s="88"/>
      <c r="N10" s="89"/>
      <c r="O10" s="89"/>
      <c r="P10" s="89"/>
      <c r="Q10" s="91"/>
      <c r="S10" s="88" t="s">
        <v>155</v>
      </c>
      <c r="T10" s="89" t="s">
        <v>311</v>
      </c>
      <c r="U10" s="89"/>
      <c r="V10" s="89"/>
      <c r="W10" s="91" t="n">
        <v>7.7</v>
      </c>
      <c r="Y10" s="88"/>
      <c r="Z10" s="89"/>
      <c r="AA10" s="89"/>
      <c r="AB10" s="89"/>
      <c r="AC10" s="91"/>
      <c r="AE10" s="88" t="s">
        <v>155</v>
      </c>
      <c r="AF10" s="89" t="s">
        <v>324</v>
      </c>
      <c r="AG10" s="89"/>
      <c r="AH10" s="89"/>
      <c r="AI10" s="91" t="n">
        <v>12.5</v>
      </c>
      <c r="AK10" s="88"/>
      <c r="AL10" s="89"/>
      <c r="AM10" s="89"/>
      <c r="AN10" s="89"/>
      <c r="AO10" s="91"/>
    </row>
    <row r="11" customFormat="false" ht="13.5" hidden="false" customHeight="false" outlineLevel="0" collapsed="false">
      <c r="A11" s="88"/>
      <c r="B11" s="89"/>
      <c r="C11" s="89"/>
      <c r="D11" s="89"/>
      <c r="E11" s="91"/>
      <c r="G11" s="88"/>
      <c r="H11" s="89"/>
      <c r="I11" s="89"/>
      <c r="J11" s="89"/>
      <c r="K11" s="91"/>
      <c r="M11" s="88"/>
      <c r="N11" s="89"/>
      <c r="O11" s="89"/>
      <c r="P11" s="89"/>
      <c r="Q11" s="91"/>
      <c r="S11" s="88"/>
      <c r="T11" s="89"/>
      <c r="U11" s="89"/>
      <c r="V11" s="89"/>
      <c r="W11" s="91"/>
      <c r="Y11" s="88"/>
      <c r="Z11" s="89"/>
      <c r="AA11" s="89"/>
      <c r="AB11" s="89"/>
      <c r="AC11" s="91"/>
      <c r="AE11" s="88"/>
      <c r="AF11" s="89"/>
      <c r="AG11" s="89"/>
      <c r="AH11" s="89"/>
      <c r="AI11" s="91"/>
      <c r="AK11" s="88"/>
      <c r="AL11" s="89"/>
      <c r="AM11" s="89"/>
      <c r="AN11" s="89"/>
      <c r="AO11" s="91"/>
    </row>
    <row r="12" customFormat="false" ht="13.5" hidden="false" customHeight="false" outlineLevel="0" collapsed="false">
      <c r="A12" s="88"/>
      <c r="B12" s="89"/>
      <c r="C12" s="89"/>
      <c r="D12" s="89"/>
      <c r="E12" s="91"/>
      <c r="G12" s="88"/>
      <c r="H12" s="89"/>
      <c r="I12" s="89"/>
      <c r="J12" s="89"/>
      <c r="K12" s="91"/>
      <c r="M12" s="88"/>
      <c r="N12" s="89"/>
      <c r="O12" s="89"/>
      <c r="P12" s="89"/>
      <c r="Q12" s="91"/>
      <c r="S12" s="88"/>
      <c r="T12" s="89"/>
      <c r="U12" s="89"/>
      <c r="V12" s="89"/>
      <c r="W12" s="91"/>
      <c r="Y12" s="88"/>
      <c r="Z12" s="89"/>
      <c r="AA12" s="89"/>
      <c r="AB12" s="89"/>
      <c r="AC12" s="91"/>
      <c r="AE12" s="88" t="s">
        <v>157</v>
      </c>
      <c r="AF12" s="89" t="s">
        <v>316</v>
      </c>
      <c r="AG12" s="89"/>
      <c r="AH12" s="89"/>
      <c r="AI12" s="91" t="n">
        <v>7.8</v>
      </c>
      <c r="AK12" s="88"/>
      <c r="AL12" s="89"/>
      <c r="AM12" s="89"/>
      <c r="AN12" s="89"/>
      <c r="AO12" s="91"/>
    </row>
    <row r="13" customFormat="false" ht="13.5" hidden="false" customHeight="false" outlineLevel="0" collapsed="false">
      <c r="A13" s="88"/>
      <c r="B13" s="89"/>
      <c r="C13" s="89"/>
      <c r="D13" s="89"/>
      <c r="E13" s="91"/>
      <c r="G13" s="88"/>
      <c r="H13" s="89"/>
      <c r="I13" s="89"/>
      <c r="J13" s="89"/>
      <c r="K13" s="91"/>
      <c r="M13" s="88"/>
      <c r="N13" s="89"/>
      <c r="O13" s="89"/>
      <c r="P13" s="89"/>
      <c r="Q13" s="91"/>
      <c r="S13" s="88"/>
      <c r="T13" s="89"/>
      <c r="U13" s="89"/>
      <c r="V13" s="89"/>
      <c r="W13" s="91"/>
      <c r="Y13" s="88"/>
      <c r="Z13" s="89"/>
      <c r="AA13" s="89"/>
      <c r="AB13" s="89"/>
      <c r="AC13" s="91"/>
      <c r="AE13" s="88"/>
      <c r="AF13" s="89"/>
      <c r="AG13" s="89"/>
      <c r="AH13" s="89"/>
      <c r="AI13" s="91"/>
      <c r="AK13" s="88"/>
      <c r="AL13" s="89"/>
      <c r="AM13" s="89"/>
      <c r="AN13" s="89"/>
      <c r="AO13" s="91"/>
    </row>
    <row r="14" customFormat="false" ht="13.5" hidden="false" customHeight="false" outlineLevel="0" collapsed="false">
      <c r="A14" s="88"/>
      <c r="B14" s="89"/>
      <c r="C14" s="89"/>
      <c r="D14" s="89"/>
      <c r="E14" s="91"/>
      <c r="G14" s="88"/>
      <c r="H14" s="89"/>
      <c r="I14" s="89"/>
      <c r="J14" s="89"/>
      <c r="K14" s="91"/>
      <c r="M14" s="88"/>
      <c r="N14" s="89"/>
      <c r="O14" s="89"/>
      <c r="P14" s="89"/>
      <c r="Q14" s="91"/>
      <c r="S14" s="88"/>
      <c r="T14" s="89"/>
      <c r="U14" s="89"/>
      <c r="V14" s="89"/>
      <c r="W14" s="91"/>
      <c r="Y14" s="88"/>
      <c r="Z14" s="89"/>
      <c r="AA14" s="89"/>
      <c r="AB14" s="89"/>
      <c r="AC14" s="91"/>
      <c r="AE14" s="88" t="s">
        <v>159</v>
      </c>
      <c r="AF14" s="89" t="s">
        <v>312</v>
      </c>
      <c r="AG14" s="89"/>
      <c r="AH14" s="89"/>
      <c r="AI14" s="91" t="n">
        <v>3.3</v>
      </c>
      <c r="AK14" s="88"/>
      <c r="AL14" s="89"/>
      <c r="AM14" s="89"/>
      <c r="AN14" s="89"/>
      <c r="AO14" s="91"/>
    </row>
    <row r="15" customFormat="false" ht="13.5" hidden="false" customHeight="false" outlineLevel="0" collapsed="false">
      <c r="A15" s="88"/>
      <c r="B15" s="89"/>
      <c r="C15" s="89"/>
      <c r="D15" s="89"/>
      <c r="E15" s="91"/>
      <c r="G15" s="88"/>
      <c r="H15" s="89"/>
      <c r="I15" s="89"/>
      <c r="J15" s="89"/>
      <c r="K15" s="91"/>
      <c r="M15" s="88"/>
      <c r="N15" s="89"/>
      <c r="O15" s="89"/>
      <c r="P15" s="89"/>
      <c r="Q15" s="91"/>
      <c r="S15" s="88"/>
      <c r="T15" s="89"/>
      <c r="U15" s="89"/>
      <c r="V15" s="89"/>
      <c r="W15" s="91"/>
      <c r="Y15" s="88"/>
      <c r="Z15" s="89"/>
      <c r="AA15" s="89"/>
      <c r="AB15" s="89"/>
      <c r="AC15" s="91"/>
      <c r="AE15" s="88"/>
      <c r="AF15" s="89"/>
      <c r="AG15" s="89"/>
      <c r="AH15" s="89"/>
      <c r="AI15" s="91"/>
      <c r="AK15" s="88"/>
      <c r="AL15" s="89"/>
      <c r="AM15" s="89"/>
      <c r="AN15" s="89"/>
      <c r="AO15" s="91"/>
    </row>
    <row r="16" customFormat="false" ht="13.5" hidden="false" customHeight="false" outlineLevel="0" collapsed="false">
      <c r="A16" s="88"/>
      <c r="B16" s="89"/>
      <c r="C16" s="89"/>
      <c r="D16" s="89"/>
      <c r="E16" s="91"/>
      <c r="G16" s="88"/>
      <c r="H16" s="89"/>
      <c r="I16" s="89"/>
      <c r="J16" s="89"/>
      <c r="K16" s="91"/>
      <c r="M16" s="88"/>
      <c r="N16" s="89"/>
      <c r="O16" s="89"/>
      <c r="P16" s="89"/>
      <c r="Q16" s="91"/>
      <c r="S16" s="88"/>
      <c r="T16" s="89"/>
      <c r="U16" s="89"/>
      <c r="V16" s="89"/>
      <c r="W16" s="91"/>
      <c r="Y16" s="88"/>
      <c r="Z16" s="89"/>
      <c r="AA16" s="89"/>
      <c r="AB16" s="89"/>
      <c r="AC16" s="91"/>
      <c r="AE16" s="88" t="s">
        <v>160</v>
      </c>
      <c r="AF16" s="89" t="s">
        <v>315</v>
      </c>
      <c r="AG16" s="89"/>
      <c r="AH16" s="89"/>
      <c r="AI16" s="91" t="n">
        <v>3.3</v>
      </c>
      <c r="AK16" s="88"/>
      <c r="AL16" s="89"/>
      <c r="AM16" s="89"/>
      <c r="AN16" s="89"/>
      <c r="AO16" s="91"/>
    </row>
    <row r="17" customFormat="false" ht="13.5" hidden="false" customHeight="false" outlineLevel="0" collapsed="false">
      <c r="A17" s="88"/>
      <c r="B17" s="89"/>
      <c r="C17" s="89"/>
      <c r="D17" s="89"/>
      <c r="E17" s="91"/>
      <c r="G17" s="88"/>
      <c r="H17" s="89"/>
      <c r="I17" s="89"/>
      <c r="J17" s="89"/>
      <c r="K17" s="91"/>
      <c r="M17" s="88"/>
      <c r="N17" s="89"/>
      <c r="O17" s="89"/>
      <c r="P17" s="89"/>
      <c r="Q17" s="91"/>
      <c r="S17" s="88"/>
      <c r="T17" s="89"/>
      <c r="U17" s="89"/>
      <c r="V17" s="89"/>
      <c r="W17" s="91"/>
      <c r="Y17" s="88"/>
      <c r="Z17" s="89"/>
      <c r="AA17" s="89"/>
      <c r="AB17" s="89"/>
      <c r="AC17" s="91"/>
      <c r="AE17" s="88"/>
      <c r="AF17" s="89"/>
      <c r="AG17" s="89"/>
      <c r="AH17" s="89"/>
      <c r="AI17" s="91"/>
      <c r="AK17" s="88"/>
      <c r="AL17" s="89"/>
      <c r="AM17" s="89"/>
      <c r="AN17" s="89"/>
      <c r="AO17" s="91"/>
    </row>
    <row r="18" customFormat="false" ht="13.5" hidden="false" customHeight="false" outlineLevel="0" collapsed="false">
      <c r="A18" s="88"/>
      <c r="B18" s="89"/>
      <c r="C18" s="89"/>
      <c r="D18" s="89"/>
      <c r="E18" s="91"/>
      <c r="G18" s="88"/>
      <c r="H18" s="89"/>
      <c r="I18" s="89"/>
      <c r="J18" s="89"/>
      <c r="K18" s="91"/>
      <c r="M18" s="88"/>
      <c r="N18" s="89"/>
      <c r="O18" s="89"/>
      <c r="P18" s="89"/>
      <c r="Q18" s="91"/>
      <c r="S18" s="88"/>
      <c r="T18" s="89"/>
      <c r="U18" s="89"/>
      <c r="V18" s="89"/>
      <c r="W18" s="91"/>
      <c r="Y18" s="88"/>
      <c r="Z18" s="89"/>
      <c r="AA18" s="89"/>
      <c r="AB18" s="89"/>
      <c r="AC18" s="91"/>
      <c r="AE18" s="88" t="s">
        <v>164</v>
      </c>
      <c r="AF18" s="89" t="s">
        <v>325</v>
      </c>
      <c r="AG18" s="89"/>
      <c r="AH18" s="89"/>
      <c r="AI18" s="91" t="n">
        <v>28.7</v>
      </c>
      <c r="AK18" s="88"/>
      <c r="AL18" s="89"/>
      <c r="AM18" s="89"/>
      <c r="AN18" s="89"/>
      <c r="AO18" s="91"/>
    </row>
    <row r="19" customFormat="false" ht="13.5" hidden="false" customHeight="false" outlineLevel="0" collapsed="false">
      <c r="A19" s="88"/>
      <c r="B19" s="89"/>
      <c r="C19" s="89"/>
      <c r="D19" s="89"/>
      <c r="E19" s="91"/>
      <c r="G19" s="88"/>
      <c r="H19" s="89"/>
      <c r="I19" s="89"/>
      <c r="J19" s="89"/>
      <c r="K19" s="91"/>
      <c r="M19" s="88"/>
      <c r="N19" s="89"/>
      <c r="O19" s="89"/>
      <c r="P19" s="89"/>
      <c r="Q19" s="91"/>
      <c r="S19" s="88"/>
      <c r="T19" s="89"/>
      <c r="U19" s="89"/>
      <c r="V19" s="89"/>
      <c r="W19" s="91"/>
      <c r="Y19" s="88"/>
      <c r="Z19" s="89"/>
      <c r="AA19" s="89"/>
      <c r="AB19" s="89"/>
      <c r="AC19" s="91"/>
      <c r="AE19" s="88"/>
      <c r="AF19" s="89"/>
      <c r="AG19" s="89"/>
      <c r="AH19" s="89"/>
      <c r="AI19" s="91"/>
      <c r="AK19" s="88"/>
      <c r="AL19" s="89"/>
      <c r="AM19" s="89"/>
      <c r="AN19" s="89"/>
      <c r="AO19" s="91"/>
    </row>
    <row r="20" customFormat="false" ht="14.25" hidden="false" customHeight="true" outlineLevel="0" collapsed="false">
      <c r="A20" s="88"/>
      <c r="B20" s="89"/>
      <c r="C20" s="89"/>
      <c r="D20" s="89"/>
      <c r="E20" s="91"/>
      <c r="G20" s="88"/>
      <c r="H20" s="89"/>
      <c r="I20" s="89"/>
      <c r="J20" s="89"/>
      <c r="K20" s="91"/>
      <c r="M20" s="88"/>
      <c r="N20" s="89"/>
      <c r="O20" s="89"/>
      <c r="P20" s="89"/>
      <c r="Q20" s="91"/>
      <c r="S20" s="88"/>
      <c r="T20" s="89"/>
      <c r="U20" s="89"/>
      <c r="V20" s="89"/>
      <c r="W20" s="91"/>
      <c r="Y20" s="88"/>
      <c r="Z20" s="89"/>
      <c r="AA20" s="89"/>
      <c r="AB20" s="89"/>
      <c r="AC20" s="91"/>
      <c r="AE20" s="88"/>
      <c r="AF20" s="89"/>
      <c r="AG20" s="89"/>
      <c r="AH20" s="89"/>
      <c r="AI20" s="91"/>
      <c r="AK20" s="88"/>
      <c r="AL20" s="89"/>
      <c r="AM20" s="89"/>
      <c r="AN20" s="89"/>
      <c r="AO20" s="91"/>
    </row>
    <row r="21" s="80" customFormat="true" ht="14.25" hidden="false" customHeight="true" outlineLevel="0" collapsed="false">
      <c r="A21" s="183"/>
      <c r="B21" s="184"/>
      <c r="C21" s="184"/>
      <c r="D21" s="184"/>
      <c r="E21" s="185" t="n">
        <f aca="false">SUM(E4:E20)</f>
        <v>33.8</v>
      </c>
      <c r="F21" s="172"/>
      <c r="G21" s="183"/>
      <c r="H21" s="184"/>
      <c r="I21" s="184"/>
      <c r="J21" s="184"/>
      <c r="K21" s="185" t="n">
        <f aca="false">SUM(K4:K20)</f>
        <v>41.5</v>
      </c>
      <c r="L21" s="172"/>
      <c r="M21" s="183"/>
      <c r="N21" s="184"/>
      <c r="O21" s="184"/>
      <c r="P21" s="184"/>
      <c r="Q21" s="185" t="n">
        <f aca="false">SUM(Q4:Q20)</f>
        <v>0</v>
      </c>
      <c r="R21" s="172"/>
      <c r="S21" s="183"/>
      <c r="T21" s="184"/>
      <c r="U21" s="184"/>
      <c r="V21" s="184"/>
      <c r="W21" s="185" t="n">
        <f aca="false">SUM(W4:W20)</f>
        <v>31.6</v>
      </c>
      <c r="X21" s="172"/>
      <c r="Y21" s="183"/>
      <c r="Z21" s="184"/>
      <c r="AA21" s="184"/>
      <c r="AB21" s="184"/>
      <c r="AC21" s="185" t="n">
        <f aca="false">SUM(AC4:AC20)</f>
        <v>0</v>
      </c>
      <c r="AD21" s="172"/>
      <c r="AE21" s="183"/>
      <c r="AF21" s="184"/>
      <c r="AG21" s="184"/>
      <c r="AH21" s="184"/>
      <c r="AI21" s="185" t="n">
        <f aca="false">SUM(AI4:AI20)</f>
        <v>415.2</v>
      </c>
      <c r="AJ21" s="172"/>
      <c r="AK21" s="183"/>
      <c r="AL21" s="184"/>
      <c r="AM21" s="184"/>
      <c r="AN21" s="184"/>
      <c r="AO21" s="185" t="n">
        <f aca="false">SUM(AO4:AO20)</f>
        <v>0</v>
      </c>
    </row>
  </sheetData>
  <mergeCells count="7">
    <mergeCell ref="A1:E1"/>
    <mergeCell ref="G1:K1"/>
    <mergeCell ref="M1:Q1"/>
    <mergeCell ref="S1:W1"/>
    <mergeCell ref="Y1:AC1"/>
    <mergeCell ref="AE1:AI1"/>
    <mergeCell ref="AK1:AO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F1C8"/>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90625" defaultRowHeight="13.5" zeroHeight="false" outlineLevelRow="0" outlineLevelCol="0"/>
  <cols>
    <col collapsed="false" customWidth="true" hidden="false" outlineLevel="0" max="2" min="2" style="44" width="12.1"/>
    <col collapsed="false" customWidth="true" hidden="false" outlineLevel="0" max="8" min="8" style="44" width="27.9"/>
    <col collapsed="false" customWidth="true" hidden="false" outlineLevel="0" max="14" min="14" style="44" width="12.1"/>
    <col collapsed="false" customWidth="true" hidden="false" outlineLevel="0" max="20" min="20" style="44" width="12.1"/>
    <col collapsed="false" customWidth="true" hidden="false" outlineLevel="0" max="26" min="26" style="44" width="12.1"/>
    <col collapsed="false" customWidth="true" hidden="false" outlineLevel="0" max="32" min="32" style="44" width="14.1"/>
    <col collapsed="false" customWidth="true" hidden="false" outlineLevel="0" max="33" min="33" style="44" width="7.8"/>
    <col collapsed="false" customWidth="true" hidden="false" outlineLevel="0" max="37" min="37" style="44" width="11.8"/>
    <col collapsed="false" customWidth="true" hidden="false" outlineLevel="0" max="38" min="38" style="44" width="15.7"/>
    <col collapsed="false" customWidth="true" hidden="false" outlineLevel="0" max="39" min="39" style="44" width="11.8"/>
    <col collapsed="false" customWidth="true" hidden="false" outlineLevel="0" max="40" min="40" style="44" width="11.7"/>
    <col collapsed="false" customWidth="true" hidden="false" outlineLevel="0" max="41" min="41" style="44" width="12.7"/>
  </cols>
  <sheetData>
    <row r="1" s="178" customFormat="true" ht="40.5" hidden="false" customHeight="true" outlineLevel="0" collapsed="false">
      <c r="A1" s="177" t="s">
        <v>293</v>
      </c>
      <c r="B1" s="177"/>
      <c r="C1" s="177"/>
      <c r="D1" s="177"/>
      <c r="E1" s="177"/>
      <c r="G1" s="177" t="s">
        <v>294</v>
      </c>
      <c r="H1" s="177"/>
      <c r="I1" s="177"/>
      <c r="J1" s="177"/>
      <c r="K1" s="177"/>
      <c r="M1" s="177" t="s">
        <v>295</v>
      </c>
      <c r="N1" s="177"/>
      <c r="O1" s="177"/>
      <c r="P1" s="177"/>
      <c r="Q1" s="177"/>
      <c r="S1" s="177" t="s">
        <v>296</v>
      </c>
      <c r="T1" s="177"/>
      <c r="U1" s="177"/>
      <c r="V1" s="177"/>
      <c r="W1" s="177"/>
      <c r="Y1" s="177" t="s">
        <v>297</v>
      </c>
      <c r="Z1" s="177"/>
      <c r="AA1" s="177"/>
      <c r="AB1" s="177"/>
      <c r="AC1" s="177"/>
      <c r="AE1" s="177" t="s">
        <v>298</v>
      </c>
      <c r="AF1" s="177"/>
      <c r="AG1" s="177"/>
      <c r="AH1" s="177"/>
      <c r="AI1" s="177"/>
      <c r="AK1" s="179" t="s">
        <v>299</v>
      </c>
      <c r="AL1" s="179"/>
      <c r="AM1" s="179"/>
      <c r="AN1" s="179"/>
      <c r="AO1" s="179"/>
    </row>
    <row r="2" s="87" customFormat="true" ht="14.25" hidden="false" customHeight="true" outlineLevel="0" collapsed="false">
      <c r="A2" s="83" t="s">
        <v>131</v>
      </c>
      <c r="B2" s="84" t="s">
        <v>0</v>
      </c>
      <c r="C2" s="84" t="s">
        <v>300</v>
      </c>
      <c r="D2" s="84" t="s">
        <v>301</v>
      </c>
      <c r="E2" s="86" t="s">
        <v>137</v>
      </c>
      <c r="G2" s="83" t="s">
        <v>131</v>
      </c>
      <c r="H2" s="84" t="s">
        <v>0</v>
      </c>
      <c r="I2" s="84" t="s">
        <v>300</v>
      </c>
      <c r="J2" s="84" t="s">
        <v>301</v>
      </c>
      <c r="K2" s="86" t="s">
        <v>137</v>
      </c>
      <c r="M2" s="83" t="s">
        <v>131</v>
      </c>
      <c r="N2" s="84" t="s">
        <v>0</v>
      </c>
      <c r="O2" s="84" t="s">
        <v>300</v>
      </c>
      <c r="P2" s="84" t="s">
        <v>301</v>
      </c>
      <c r="Q2" s="86" t="s">
        <v>137</v>
      </c>
      <c r="S2" s="83" t="s">
        <v>131</v>
      </c>
      <c r="T2" s="84" t="s">
        <v>0</v>
      </c>
      <c r="U2" s="84" t="s">
        <v>300</v>
      </c>
      <c r="V2" s="84" t="s">
        <v>301</v>
      </c>
      <c r="W2" s="86" t="s">
        <v>137</v>
      </c>
      <c r="Y2" s="83" t="s">
        <v>131</v>
      </c>
      <c r="Z2" s="84" t="s">
        <v>0</v>
      </c>
      <c r="AA2" s="84" t="s">
        <v>300</v>
      </c>
      <c r="AB2" s="84" t="s">
        <v>301</v>
      </c>
      <c r="AC2" s="86" t="s">
        <v>137</v>
      </c>
      <c r="AE2" s="83" t="s">
        <v>131</v>
      </c>
      <c r="AF2" s="84" t="s">
        <v>0</v>
      </c>
      <c r="AG2" s="84" t="s">
        <v>300</v>
      </c>
      <c r="AH2" s="84" t="s">
        <v>301</v>
      </c>
      <c r="AI2" s="86" t="s">
        <v>137</v>
      </c>
      <c r="AK2" s="83" t="s">
        <v>131</v>
      </c>
      <c r="AL2" s="84" t="s">
        <v>0</v>
      </c>
      <c r="AM2" s="84" t="s">
        <v>300</v>
      </c>
      <c r="AN2" s="84" t="s">
        <v>301</v>
      </c>
      <c r="AO2" s="86" t="s">
        <v>137</v>
      </c>
    </row>
    <row r="3" customFormat="false" ht="13.5" hidden="false" customHeight="false" outlineLevel="0" collapsed="false">
      <c r="A3" s="167"/>
      <c r="B3" s="169"/>
      <c r="C3" s="169"/>
      <c r="D3" s="169"/>
      <c r="E3" s="170"/>
      <c r="G3" s="180"/>
      <c r="H3" s="181"/>
      <c r="I3" s="181"/>
      <c r="J3" s="181"/>
      <c r="K3" s="182"/>
      <c r="M3" s="88"/>
      <c r="N3" s="89"/>
      <c r="O3" s="89"/>
      <c r="P3" s="89"/>
      <c r="Q3" s="91"/>
      <c r="S3" s="88"/>
      <c r="T3" s="89"/>
      <c r="U3" s="89"/>
      <c r="V3" s="89"/>
      <c r="W3" s="91"/>
      <c r="Y3" s="88"/>
      <c r="Z3" s="89"/>
      <c r="AA3" s="89"/>
      <c r="AB3" s="89"/>
      <c r="AC3" s="91"/>
      <c r="AE3" s="167"/>
      <c r="AF3" s="169"/>
      <c r="AG3" s="169"/>
      <c r="AH3" s="169"/>
      <c r="AI3" s="170"/>
      <c r="AK3" s="88"/>
      <c r="AL3" s="89"/>
      <c r="AM3" s="89"/>
      <c r="AN3" s="89"/>
      <c r="AO3" s="91"/>
    </row>
    <row r="4" customFormat="false" ht="13.5" hidden="false" customHeight="false" outlineLevel="0" collapsed="false">
      <c r="A4" s="88" t="s">
        <v>138</v>
      </c>
      <c r="B4" s="89" t="s">
        <v>319</v>
      </c>
      <c r="C4" s="89"/>
      <c r="D4" s="89"/>
      <c r="E4" s="91" t="n">
        <v>33.6</v>
      </c>
      <c r="G4" s="88" t="s">
        <v>138</v>
      </c>
      <c r="H4" s="89" t="s">
        <v>326</v>
      </c>
      <c r="I4" s="89"/>
      <c r="J4" s="89"/>
      <c r="K4" s="91" t="n">
        <v>45.2</v>
      </c>
      <c r="M4" s="88"/>
      <c r="N4" s="89"/>
      <c r="O4" s="89"/>
      <c r="P4" s="89"/>
      <c r="Q4" s="91"/>
      <c r="S4" s="88" t="s">
        <v>138</v>
      </c>
      <c r="T4" s="89" t="s">
        <v>304</v>
      </c>
      <c r="U4" s="89"/>
      <c r="V4" s="89"/>
      <c r="W4" s="91" t="n">
        <v>7.4</v>
      </c>
      <c r="Y4" s="88"/>
      <c r="Z4" s="89"/>
      <c r="AA4" s="89"/>
      <c r="AB4" s="89"/>
      <c r="AC4" s="91"/>
      <c r="AE4" s="88" t="s">
        <v>138</v>
      </c>
      <c r="AF4" s="89" t="s">
        <v>327</v>
      </c>
      <c r="AG4" s="89"/>
      <c r="AH4" s="89"/>
      <c r="AI4" s="91" t="n">
        <v>337.9</v>
      </c>
      <c r="AK4" s="88" t="s">
        <v>138</v>
      </c>
      <c r="AL4" s="122"/>
      <c r="AM4" s="89"/>
      <c r="AN4" s="89"/>
      <c r="AO4" s="91"/>
    </row>
    <row r="5" customFormat="false" ht="13.5" hidden="false" customHeight="false" outlineLevel="0" collapsed="false">
      <c r="A5" s="88"/>
      <c r="B5" s="89"/>
      <c r="C5" s="89"/>
      <c r="D5" s="89"/>
      <c r="E5" s="91"/>
      <c r="G5" s="88"/>
      <c r="H5" s="89"/>
      <c r="I5" s="89"/>
      <c r="J5" s="89"/>
      <c r="K5" s="91"/>
      <c r="M5" s="88"/>
      <c r="N5" s="89"/>
      <c r="O5" s="89"/>
      <c r="P5" s="89"/>
      <c r="Q5" s="91"/>
      <c r="S5" s="88"/>
      <c r="T5" s="89"/>
      <c r="U5" s="89"/>
      <c r="V5" s="89"/>
      <c r="W5" s="91"/>
      <c r="Y5" s="88"/>
      <c r="Z5" s="89"/>
      <c r="AA5" s="89"/>
      <c r="AB5" s="89"/>
      <c r="AC5" s="91"/>
      <c r="AE5" s="88"/>
      <c r="AF5" s="89"/>
      <c r="AG5" s="89"/>
      <c r="AH5" s="89"/>
      <c r="AI5" s="91"/>
      <c r="AK5" s="88"/>
      <c r="AL5" s="89"/>
      <c r="AM5" s="89"/>
      <c r="AN5" s="89"/>
      <c r="AO5" s="91"/>
    </row>
    <row r="6" customFormat="false" ht="13.5" hidden="false" customHeight="false" outlineLevel="0" collapsed="false">
      <c r="A6" s="88" t="s">
        <v>141</v>
      </c>
      <c r="B6" s="89" t="s">
        <v>328</v>
      </c>
      <c r="C6" s="89"/>
      <c r="D6" s="89"/>
      <c r="E6" s="91" t="n">
        <v>2.5</v>
      </c>
      <c r="G6" s="88" t="s">
        <v>141</v>
      </c>
      <c r="H6" s="89" t="s">
        <v>313</v>
      </c>
      <c r="I6" s="89"/>
      <c r="J6" s="89"/>
      <c r="K6" s="91" t="n">
        <v>8.2</v>
      </c>
      <c r="M6" s="88"/>
      <c r="N6" s="89"/>
      <c r="O6" s="89"/>
      <c r="P6" s="89"/>
      <c r="Q6" s="91"/>
      <c r="S6" s="88" t="s">
        <v>141</v>
      </c>
      <c r="T6" s="89" t="s">
        <v>308</v>
      </c>
      <c r="U6" s="89"/>
      <c r="V6" s="89"/>
      <c r="W6" s="91" t="n">
        <v>8.3</v>
      </c>
      <c r="Y6" s="88"/>
      <c r="Z6" s="89"/>
      <c r="AA6" s="89"/>
      <c r="AB6" s="89"/>
      <c r="AC6" s="91"/>
      <c r="AE6" s="88" t="s">
        <v>141</v>
      </c>
      <c r="AF6" s="89" t="s">
        <v>305</v>
      </c>
      <c r="AG6" s="89"/>
      <c r="AH6" s="89"/>
      <c r="AI6" s="91" t="n">
        <v>12.5</v>
      </c>
      <c r="AK6" s="88"/>
      <c r="AL6" s="89"/>
      <c r="AM6" s="89"/>
      <c r="AN6" s="89"/>
      <c r="AO6" s="91"/>
    </row>
    <row r="7" customFormat="false" ht="13.5" hidden="false" customHeight="false" outlineLevel="0" collapsed="false">
      <c r="A7" s="88"/>
      <c r="B7" s="89"/>
      <c r="C7" s="89"/>
      <c r="D7" s="89"/>
      <c r="E7" s="91"/>
      <c r="G7" s="88"/>
      <c r="H7" s="89"/>
      <c r="I7" s="89"/>
      <c r="J7" s="89"/>
      <c r="K7" s="91"/>
      <c r="M7" s="88"/>
      <c r="N7" s="89"/>
      <c r="O7" s="89"/>
      <c r="P7" s="89"/>
      <c r="Q7" s="91"/>
      <c r="S7" s="88"/>
      <c r="T7" s="89"/>
      <c r="U7" s="89"/>
      <c r="V7" s="89"/>
      <c r="W7" s="91"/>
      <c r="Y7" s="88"/>
      <c r="Z7" s="89"/>
      <c r="AA7" s="89"/>
      <c r="AB7" s="89"/>
      <c r="AC7" s="91"/>
      <c r="AE7" s="88"/>
      <c r="AF7" s="89"/>
      <c r="AG7" s="89"/>
      <c r="AH7" s="89"/>
      <c r="AI7" s="91"/>
      <c r="AK7" s="88"/>
      <c r="AL7" s="89"/>
      <c r="AM7" s="89"/>
      <c r="AN7" s="89"/>
      <c r="AO7" s="91"/>
    </row>
    <row r="8" customFormat="false" ht="13.5" hidden="false" customHeight="false" outlineLevel="0" collapsed="false">
      <c r="A8" s="88" t="s">
        <v>151</v>
      </c>
      <c r="B8" s="89" t="s">
        <v>329</v>
      </c>
      <c r="C8" s="89"/>
      <c r="D8" s="89"/>
      <c r="E8" s="91" t="n">
        <v>2.4</v>
      </c>
      <c r="G8" s="88" t="s">
        <v>151</v>
      </c>
      <c r="H8" s="89"/>
      <c r="I8" s="89"/>
      <c r="J8" s="89"/>
      <c r="K8" s="91"/>
      <c r="M8" s="88"/>
      <c r="N8" s="89"/>
      <c r="O8" s="89"/>
      <c r="P8" s="89"/>
      <c r="Q8" s="91"/>
      <c r="S8" s="88" t="s">
        <v>151</v>
      </c>
      <c r="T8" s="89" t="s">
        <v>311</v>
      </c>
      <c r="U8" s="89"/>
      <c r="V8" s="89"/>
      <c r="W8" s="91" t="n">
        <v>7.6</v>
      </c>
      <c r="Y8" s="88"/>
      <c r="Z8" s="89"/>
      <c r="AA8" s="89"/>
      <c r="AB8" s="89"/>
      <c r="AC8" s="91"/>
      <c r="AE8" s="88" t="s">
        <v>151</v>
      </c>
      <c r="AF8" s="89" t="s">
        <v>309</v>
      </c>
      <c r="AG8" s="89"/>
      <c r="AH8" s="89"/>
      <c r="AI8" s="91" t="n">
        <v>8.1</v>
      </c>
      <c r="AK8" s="88"/>
      <c r="AL8" s="89"/>
      <c r="AM8" s="89"/>
      <c r="AN8" s="89"/>
      <c r="AO8" s="91"/>
    </row>
    <row r="9" customFormat="false" ht="13.5" hidden="false" customHeight="false" outlineLevel="0" collapsed="false">
      <c r="A9" s="88"/>
      <c r="B9" s="89"/>
      <c r="C9" s="89"/>
      <c r="D9" s="89"/>
      <c r="E9" s="91"/>
      <c r="G9" s="88"/>
      <c r="H9" s="89"/>
      <c r="I9" s="89"/>
      <c r="J9" s="89"/>
      <c r="K9" s="91"/>
      <c r="M9" s="88"/>
      <c r="N9" s="89"/>
      <c r="O9" s="89"/>
      <c r="P9" s="89"/>
      <c r="Q9" s="91"/>
      <c r="S9" s="88"/>
      <c r="T9" s="89"/>
      <c r="U9" s="89"/>
      <c r="V9" s="89"/>
      <c r="W9" s="91"/>
      <c r="Y9" s="88"/>
      <c r="Z9" s="89"/>
      <c r="AA9" s="89"/>
      <c r="AB9" s="89"/>
      <c r="AC9" s="91"/>
      <c r="AE9" s="88"/>
      <c r="AF9" s="89"/>
      <c r="AG9" s="89"/>
      <c r="AH9" s="89"/>
      <c r="AI9" s="91"/>
      <c r="AK9" s="88"/>
      <c r="AL9" s="89"/>
      <c r="AM9" s="89"/>
      <c r="AN9" s="89"/>
      <c r="AO9" s="91"/>
    </row>
    <row r="10" customFormat="false" ht="13.5" hidden="false" customHeight="false" outlineLevel="0" collapsed="false">
      <c r="A10" s="88"/>
      <c r="B10" s="89"/>
      <c r="C10" s="89"/>
      <c r="D10" s="89"/>
      <c r="E10" s="91"/>
      <c r="G10" s="88" t="s">
        <v>155</v>
      </c>
      <c r="H10" s="89"/>
      <c r="I10" s="89"/>
      <c r="J10" s="89"/>
      <c r="K10" s="91"/>
      <c r="M10" s="88"/>
      <c r="N10" s="89"/>
      <c r="O10" s="89"/>
      <c r="P10" s="89"/>
      <c r="Q10" s="91"/>
      <c r="S10" s="88" t="s">
        <v>155</v>
      </c>
      <c r="T10" s="89" t="s">
        <v>323</v>
      </c>
      <c r="U10" s="89"/>
      <c r="V10" s="89"/>
      <c r="W10" s="91" t="n">
        <v>9.1</v>
      </c>
      <c r="Y10" s="88"/>
      <c r="Z10" s="89"/>
      <c r="AA10" s="89"/>
      <c r="AB10" s="89"/>
      <c r="AC10" s="91"/>
      <c r="AE10" s="88" t="s">
        <v>155</v>
      </c>
      <c r="AF10" s="89" t="s">
        <v>325</v>
      </c>
      <c r="AG10" s="89"/>
      <c r="AH10" s="89"/>
      <c r="AI10" s="91" t="n">
        <v>28.6</v>
      </c>
      <c r="AK10" s="88"/>
      <c r="AL10" s="89"/>
      <c r="AM10" s="89"/>
      <c r="AN10" s="89"/>
      <c r="AO10" s="91"/>
    </row>
    <row r="11" customFormat="false" ht="13.5" hidden="false" customHeight="false" outlineLevel="0" collapsed="false">
      <c r="A11" s="88"/>
      <c r="B11" s="89"/>
      <c r="C11" s="89"/>
      <c r="D11" s="89"/>
      <c r="E11" s="91"/>
      <c r="G11" s="88"/>
      <c r="H11" s="89"/>
      <c r="I11" s="89"/>
      <c r="J11" s="89"/>
      <c r="K11" s="91"/>
      <c r="M11" s="88"/>
      <c r="N11" s="89"/>
      <c r="O11" s="89"/>
      <c r="P11" s="89"/>
      <c r="Q11" s="91"/>
      <c r="S11" s="88"/>
      <c r="T11" s="89"/>
      <c r="U11" s="89"/>
      <c r="V11" s="89"/>
      <c r="W11" s="91"/>
      <c r="Y11" s="88"/>
      <c r="Z11" s="89"/>
      <c r="AA11" s="89"/>
      <c r="AB11" s="89"/>
      <c r="AC11" s="91"/>
      <c r="AE11" s="88"/>
      <c r="AF11" s="89"/>
      <c r="AG11" s="89"/>
      <c r="AH11" s="89"/>
      <c r="AI11" s="91"/>
      <c r="AK11" s="88"/>
      <c r="AL11" s="89"/>
      <c r="AM11" s="89"/>
      <c r="AN11" s="89"/>
      <c r="AO11" s="91"/>
    </row>
    <row r="12" customFormat="false" ht="13.5" hidden="false" customHeight="false" outlineLevel="0" collapsed="false">
      <c r="A12" s="88"/>
      <c r="B12" s="89"/>
      <c r="C12" s="89"/>
      <c r="D12" s="89"/>
      <c r="E12" s="91"/>
      <c r="G12" s="88"/>
      <c r="H12" s="89"/>
      <c r="I12" s="89"/>
      <c r="J12" s="89"/>
      <c r="K12" s="91"/>
      <c r="M12" s="88"/>
      <c r="N12" s="89"/>
      <c r="O12" s="89"/>
      <c r="P12" s="89"/>
      <c r="Q12" s="91"/>
      <c r="S12" s="88"/>
      <c r="T12" s="89"/>
      <c r="U12" s="89"/>
      <c r="V12" s="89"/>
      <c r="W12" s="91"/>
      <c r="Y12" s="88"/>
      <c r="Z12" s="89"/>
      <c r="AA12" s="89"/>
      <c r="AB12" s="89"/>
      <c r="AC12" s="91"/>
      <c r="AE12" s="88" t="s">
        <v>157</v>
      </c>
      <c r="AF12" s="89" t="s">
        <v>312</v>
      </c>
      <c r="AG12" s="89"/>
      <c r="AH12" s="89"/>
      <c r="AI12" s="91" t="n">
        <v>3.3</v>
      </c>
      <c r="AK12" s="88"/>
      <c r="AL12" s="89"/>
      <c r="AM12" s="89"/>
      <c r="AN12" s="89"/>
      <c r="AO12" s="91"/>
    </row>
    <row r="13" customFormat="false" ht="13.5" hidden="false" customHeight="false" outlineLevel="0" collapsed="false">
      <c r="A13" s="88"/>
      <c r="B13" s="89"/>
      <c r="C13" s="89"/>
      <c r="D13" s="89"/>
      <c r="E13" s="91"/>
      <c r="G13" s="88"/>
      <c r="H13" s="89"/>
      <c r="I13" s="89"/>
      <c r="J13" s="89"/>
      <c r="K13" s="91"/>
      <c r="M13" s="88"/>
      <c r="N13" s="89"/>
      <c r="O13" s="89"/>
      <c r="P13" s="89"/>
      <c r="Q13" s="91"/>
      <c r="S13" s="88"/>
      <c r="T13" s="89"/>
      <c r="U13" s="89"/>
      <c r="V13" s="89"/>
      <c r="W13" s="91"/>
      <c r="Y13" s="88"/>
      <c r="Z13" s="89"/>
      <c r="AA13" s="89"/>
      <c r="AB13" s="89"/>
      <c r="AC13" s="91"/>
      <c r="AE13" s="88"/>
      <c r="AF13" s="89"/>
      <c r="AG13" s="89"/>
      <c r="AH13" s="89"/>
      <c r="AI13" s="91"/>
      <c r="AK13" s="88"/>
      <c r="AL13" s="89"/>
      <c r="AM13" s="89"/>
      <c r="AN13" s="89"/>
      <c r="AO13" s="91"/>
    </row>
    <row r="14" customFormat="false" ht="13.5" hidden="false" customHeight="false" outlineLevel="0" collapsed="false">
      <c r="A14" s="88"/>
      <c r="B14" s="89"/>
      <c r="C14" s="89"/>
      <c r="D14" s="89"/>
      <c r="E14" s="91"/>
      <c r="G14" s="88"/>
      <c r="H14" s="89"/>
      <c r="I14" s="89"/>
      <c r="J14" s="89"/>
      <c r="K14" s="91"/>
      <c r="M14" s="88"/>
      <c r="N14" s="89"/>
      <c r="O14" s="89"/>
      <c r="P14" s="89"/>
      <c r="Q14" s="91"/>
      <c r="S14" s="88"/>
      <c r="T14" s="89"/>
      <c r="U14" s="89"/>
      <c r="V14" s="89"/>
      <c r="W14" s="91"/>
      <c r="Y14" s="88"/>
      <c r="Z14" s="89"/>
      <c r="AA14" s="89"/>
      <c r="AB14" s="89"/>
      <c r="AC14" s="91"/>
      <c r="AE14" s="88" t="s">
        <v>159</v>
      </c>
      <c r="AF14" s="89" t="s">
        <v>315</v>
      </c>
      <c r="AG14" s="89"/>
      <c r="AH14" s="89"/>
      <c r="AI14" s="91" t="n">
        <v>3.5</v>
      </c>
      <c r="AK14" s="88"/>
      <c r="AL14" s="89"/>
      <c r="AM14" s="89"/>
      <c r="AN14" s="89"/>
      <c r="AO14" s="91"/>
    </row>
    <row r="15" customFormat="false" ht="13.5" hidden="false" customHeight="false" outlineLevel="0" collapsed="false">
      <c r="A15" s="88"/>
      <c r="B15" s="89"/>
      <c r="C15" s="89"/>
      <c r="D15" s="89"/>
      <c r="E15" s="91"/>
      <c r="G15" s="88"/>
      <c r="H15" s="89"/>
      <c r="I15" s="89"/>
      <c r="J15" s="89"/>
      <c r="K15" s="91"/>
      <c r="M15" s="88"/>
      <c r="N15" s="89"/>
      <c r="O15" s="89"/>
      <c r="P15" s="89"/>
      <c r="Q15" s="91"/>
      <c r="S15" s="88"/>
      <c r="T15" s="89"/>
      <c r="U15" s="89"/>
      <c r="V15" s="89"/>
      <c r="W15" s="91"/>
      <c r="Y15" s="88"/>
      <c r="Z15" s="89"/>
      <c r="AA15" s="89"/>
      <c r="AB15" s="89"/>
      <c r="AC15" s="91"/>
      <c r="AE15" s="88"/>
      <c r="AF15" s="89"/>
      <c r="AG15" s="89"/>
      <c r="AH15" s="89"/>
      <c r="AI15" s="91"/>
      <c r="AK15" s="88"/>
      <c r="AL15" s="89"/>
      <c r="AM15" s="89"/>
      <c r="AN15" s="89"/>
      <c r="AO15" s="91"/>
    </row>
    <row r="16" customFormat="false" ht="13.5" hidden="false" customHeight="false" outlineLevel="0" collapsed="false">
      <c r="A16" s="88"/>
      <c r="B16" s="89"/>
      <c r="C16" s="89"/>
      <c r="D16" s="89"/>
      <c r="E16" s="91"/>
      <c r="G16" s="88"/>
      <c r="H16" s="89"/>
      <c r="I16" s="89"/>
      <c r="J16" s="89"/>
      <c r="K16" s="91"/>
      <c r="M16" s="88"/>
      <c r="N16" s="89"/>
      <c r="O16" s="89"/>
      <c r="P16" s="89"/>
      <c r="Q16" s="91"/>
      <c r="S16" s="88"/>
      <c r="T16" s="89"/>
      <c r="U16" s="89"/>
      <c r="V16" s="89"/>
      <c r="W16" s="91"/>
      <c r="Y16" s="88"/>
      <c r="Z16" s="89"/>
      <c r="AA16" s="89"/>
      <c r="AB16" s="89"/>
      <c r="AC16" s="91"/>
      <c r="AE16" s="88" t="s">
        <v>160</v>
      </c>
      <c r="AF16" s="89" t="s">
        <v>316</v>
      </c>
      <c r="AG16" s="89"/>
      <c r="AH16" s="89"/>
      <c r="AI16" s="91" t="n">
        <v>7.7</v>
      </c>
      <c r="AK16" s="88"/>
      <c r="AL16" s="89"/>
      <c r="AM16" s="89"/>
      <c r="AN16" s="89"/>
      <c r="AO16" s="91"/>
    </row>
    <row r="17" customFormat="false" ht="13.5" hidden="false" customHeight="false" outlineLevel="0" collapsed="false">
      <c r="A17" s="88"/>
      <c r="B17" s="89"/>
      <c r="C17" s="89"/>
      <c r="D17" s="89"/>
      <c r="E17" s="91"/>
      <c r="G17" s="88"/>
      <c r="H17" s="89"/>
      <c r="I17" s="89"/>
      <c r="J17" s="89"/>
      <c r="K17" s="91"/>
      <c r="M17" s="88"/>
      <c r="N17" s="89"/>
      <c r="O17" s="89"/>
      <c r="P17" s="89"/>
      <c r="Q17" s="91"/>
      <c r="S17" s="88"/>
      <c r="T17" s="89"/>
      <c r="U17" s="89"/>
      <c r="V17" s="89"/>
      <c r="W17" s="91"/>
      <c r="Y17" s="88"/>
      <c r="Z17" s="89"/>
      <c r="AA17" s="89"/>
      <c r="AB17" s="89"/>
      <c r="AC17" s="91"/>
      <c r="AE17" s="88"/>
      <c r="AF17" s="89"/>
      <c r="AG17" s="89"/>
      <c r="AH17" s="89"/>
      <c r="AI17" s="91"/>
      <c r="AK17" s="88"/>
      <c r="AL17" s="89"/>
      <c r="AM17" s="89"/>
      <c r="AN17" s="89"/>
      <c r="AO17" s="91"/>
    </row>
    <row r="18" customFormat="false" ht="13.5" hidden="false" customHeight="false" outlineLevel="0" collapsed="false">
      <c r="A18" s="88"/>
      <c r="B18" s="89"/>
      <c r="C18" s="89"/>
      <c r="D18" s="89"/>
      <c r="E18" s="91"/>
      <c r="G18" s="88"/>
      <c r="H18" s="89"/>
      <c r="I18" s="89"/>
      <c r="J18" s="89"/>
      <c r="K18" s="91"/>
      <c r="M18" s="88"/>
      <c r="N18" s="89"/>
      <c r="O18" s="89"/>
      <c r="P18" s="89"/>
      <c r="Q18" s="91"/>
      <c r="S18" s="88"/>
      <c r="T18" s="89"/>
      <c r="U18" s="89"/>
      <c r="V18" s="89"/>
      <c r="W18" s="91"/>
      <c r="Y18" s="88"/>
      <c r="Z18" s="89"/>
      <c r="AA18" s="89"/>
      <c r="AB18" s="89"/>
      <c r="AC18" s="91"/>
      <c r="AE18" s="88" t="s">
        <v>164</v>
      </c>
      <c r="AF18" s="89" t="s">
        <v>330</v>
      </c>
      <c r="AG18" s="89"/>
      <c r="AH18" s="89"/>
      <c r="AI18" s="91" t="n">
        <v>18.5</v>
      </c>
      <c r="AK18" s="88"/>
      <c r="AL18" s="89"/>
      <c r="AM18" s="89"/>
      <c r="AN18" s="89"/>
      <c r="AO18" s="91"/>
    </row>
    <row r="19" customFormat="false" ht="13.5" hidden="false" customHeight="false" outlineLevel="0" collapsed="false">
      <c r="A19" s="88"/>
      <c r="B19" s="89"/>
      <c r="C19" s="89"/>
      <c r="D19" s="89"/>
      <c r="E19" s="91"/>
      <c r="G19" s="88"/>
      <c r="H19" s="89"/>
      <c r="I19" s="89"/>
      <c r="J19" s="89"/>
      <c r="K19" s="91"/>
      <c r="M19" s="88"/>
      <c r="N19" s="89"/>
      <c r="O19" s="89"/>
      <c r="P19" s="89"/>
      <c r="Q19" s="91"/>
      <c r="S19" s="88"/>
      <c r="T19" s="89"/>
      <c r="U19" s="89"/>
      <c r="V19" s="89"/>
      <c r="W19" s="91"/>
      <c r="Y19" s="88"/>
      <c r="Z19" s="89"/>
      <c r="AA19" s="89"/>
      <c r="AB19" s="89"/>
      <c r="AC19" s="91"/>
      <c r="AE19" s="88"/>
      <c r="AF19" s="89"/>
      <c r="AG19" s="89"/>
      <c r="AH19" s="89"/>
      <c r="AI19" s="91"/>
      <c r="AK19" s="88"/>
      <c r="AL19" s="89"/>
      <c r="AM19" s="89"/>
      <c r="AN19" s="89"/>
      <c r="AO19" s="91"/>
    </row>
    <row r="20" customFormat="false" ht="14.25" hidden="false" customHeight="true" outlineLevel="0" collapsed="false">
      <c r="A20" s="88"/>
      <c r="B20" s="89"/>
      <c r="C20" s="89"/>
      <c r="D20" s="89"/>
      <c r="E20" s="91"/>
      <c r="G20" s="88"/>
      <c r="H20" s="89"/>
      <c r="I20" s="89"/>
      <c r="J20" s="89"/>
      <c r="K20" s="91"/>
      <c r="M20" s="88"/>
      <c r="N20" s="89"/>
      <c r="O20" s="89"/>
      <c r="P20" s="89"/>
      <c r="Q20" s="91"/>
      <c r="S20" s="88"/>
      <c r="T20" s="89"/>
      <c r="U20" s="89"/>
      <c r="V20" s="89"/>
      <c r="W20" s="91"/>
      <c r="Y20" s="88"/>
      <c r="Z20" s="89"/>
      <c r="AA20" s="89"/>
      <c r="AB20" s="89"/>
      <c r="AC20" s="91"/>
      <c r="AE20" s="88"/>
      <c r="AF20" s="89"/>
      <c r="AG20" s="89"/>
      <c r="AH20" s="89"/>
      <c r="AI20" s="91"/>
      <c r="AK20" s="88"/>
      <c r="AL20" s="89"/>
      <c r="AM20" s="89"/>
      <c r="AN20" s="89"/>
      <c r="AO20" s="91"/>
    </row>
    <row r="21" s="80" customFormat="true" ht="14.25" hidden="false" customHeight="true" outlineLevel="0" collapsed="false">
      <c r="A21" s="183"/>
      <c r="B21" s="184"/>
      <c r="C21" s="184"/>
      <c r="D21" s="184"/>
      <c r="E21" s="185" t="n">
        <f aca="false">SUM(E4:E20)</f>
        <v>38.5</v>
      </c>
      <c r="F21" s="172"/>
      <c r="G21" s="183"/>
      <c r="H21" s="184"/>
      <c r="I21" s="184"/>
      <c r="J21" s="184"/>
      <c r="K21" s="185" t="n">
        <f aca="false">SUM(K4:K20)</f>
        <v>53.4</v>
      </c>
      <c r="L21" s="172"/>
      <c r="M21" s="183"/>
      <c r="N21" s="184"/>
      <c r="O21" s="184"/>
      <c r="P21" s="184"/>
      <c r="Q21" s="185" t="n">
        <f aca="false">SUM(Q4:Q20)</f>
        <v>0</v>
      </c>
      <c r="R21" s="172"/>
      <c r="S21" s="183"/>
      <c r="T21" s="184"/>
      <c r="U21" s="184"/>
      <c r="V21" s="184"/>
      <c r="W21" s="185" t="n">
        <f aca="false">SUM(W4:W20)</f>
        <v>32.4</v>
      </c>
      <c r="X21" s="172"/>
      <c r="Y21" s="183"/>
      <c r="Z21" s="184"/>
      <c r="AA21" s="184"/>
      <c r="AB21" s="184"/>
      <c r="AC21" s="185" t="n">
        <f aca="false">SUM(AC4:AC20)</f>
        <v>0</v>
      </c>
      <c r="AD21" s="172"/>
      <c r="AE21" s="183"/>
      <c r="AF21" s="184"/>
      <c r="AG21" s="184"/>
      <c r="AH21" s="184"/>
      <c r="AI21" s="185" t="n">
        <f aca="false">SUM(AI4:AI20)</f>
        <v>420.1</v>
      </c>
      <c r="AJ21" s="172"/>
      <c r="AK21" s="183"/>
      <c r="AL21" s="184"/>
      <c r="AM21" s="184"/>
      <c r="AN21" s="184"/>
      <c r="AO21" s="185" t="n">
        <f aca="false">SUM(AO4:AO20)</f>
        <v>0</v>
      </c>
    </row>
  </sheetData>
  <mergeCells count="7">
    <mergeCell ref="A1:E1"/>
    <mergeCell ref="G1:K1"/>
    <mergeCell ref="M1:Q1"/>
    <mergeCell ref="S1:W1"/>
    <mergeCell ref="Y1:AC1"/>
    <mergeCell ref="AE1:AI1"/>
    <mergeCell ref="AK1:AO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F1C8"/>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90625" defaultRowHeight="13.5" zeroHeight="false" outlineLevelRow="0" outlineLevelCol="0"/>
  <cols>
    <col collapsed="false" customWidth="true" hidden="false" outlineLevel="0" max="2" min="2" style="44" width="12.1"/>
    <col collapsed="false" customWidth="true" hidden="false" outlineLevel="0" max="8" min="8" style="44" width="27.9"/>
    <col collapsed="false" customWidth="true" hidden="false" outlineLevel="0" max="14" min="14" style="44" width="12.1"/>
    <col collapsed="false" customWidth="true" hidden="false" outlineLevel="0" max="20" min="20" style="44" width="12.1"/>
    <col collapsed="false" customWidth="true" hidden="false" outlineLevel="0" max="26" min="26" style="44" width="12.1"/>
    <col collapsed="false" customWidth="true" hidden="false" outlineLevel="0" max="32" min="32" style="44" width="16.6"/>
    <col collapsed="false" customWidth="true" hidden="false" outlineLevel="0" max="33" min="33" style="44" width="7.8"/>
    <col collapsed="false" customWidth="true" hidden="false" outlineLevel="0" max="37" min="37" style="44" width="11.8"/>
    <col collapsed="false" customWidth="true" hidden="false" outlineLevel="0" max="38" min="38" style="44" width="15.7"/>
    <col collapsed="false" customWidth="true" hidden="false" outlineLevel="0" max="39" min="39" style="44" width="11.8"/>
    <col collapsed="false" customWidth="true" hidden="false" outlineLevel="0" max="40" min="40" style="44" width="11.7"/>
    <col collapsed="false" customWidth="true" hidden="false" outlineLevel="0" max="41" min="41" style="44" width="12.7"/>
  </cols>
  <sheetData>
    <row r="1" s="178" customFormat="true" ht="40.5" hidden="false" customHeight="true" outlineLevel="0" collapsed="false">
      <c r="A1" s="177" t="s">
        <v>293</v>
      </c>
      <c r="B1" s="177"/>
      <c r="C1" s="177"/>
      <c r="D1" s="177"/>
      <c r="E1" s="177"/>
      <c r="G1" s="177" t="s">
        <v>294</v>
      </c>
      <c r="H1" s="177"/>
      <c r="I1" s="177"/>
      <c r="J1" s="177"/>
      <c r="K1" s="177"/>
      <c r="M1" s="177" t="s">
        <v>295</v>
      </c>
      <c r="N1" s="177"/>
      <c r="O1" s="177"/>
      <c r="P1" s="177"/>
      <c r="Q1" s="177"/>
      <c r="S1" s="177" t="s">
        <v>296</v>
      </c>
      <c r="T1" s="177"/>
      <c r="U1" s="177"/>
      <c r="V1" s="177"/>
      <c r="W1" s="177"/>
      <c r="Y1" s="177" t="s">
        <v>297</v>
      </c>
      <c r="Z1" s="177"/>
      <c r="AA1" s="177"/>
      <c r="AB1" s="177"/>
      <c r="AC1" s="177"/>
      <c r="AE1" s="177" t="s">
        <v>298</v>
      </c>
      <c r="AF1" s="177"/>
      <c r="AG1" s="177"/>
      <c r="AH1" s="177"/>
      <c r="AI1" s="177"/>
      <c r="AK1" s="179" t="s">
        <v>299</v>
      </c>
      <c r="AL1" s="179"/>
      <c r="AM1" s="179"/>
      <c r="AN1" s="179"/>
      <c r="AO1" s="179"/>
    </row>
    <row r="2" s="87" customFormat="true" ht="14.25" hidden="false" customHeight="true" outlineLevel="0" collapsed="false">
      <c r="A2" s="83" t="s">
        <v>131</v>
      </c>
      <c r="B2" s="84" t="s">
        <v>0</v>
      </c>
      <c r="C2" s="84" t="s">
        <v>300</v>
      </c>
      <c r="D2" s="84" t="s">
        <v>301</v>
      </c>
      <c r="E2" s="86" t="s">
        <v>137</v>
      </c>
      <c r="G2" s="83" t="s">
        <v>131</v>
      </c>
      <c r="H2" s="84" t="s">
        <v>0</v>
      </c>
      <c r="I2" s="84" t="s">
        <v>300</v>
      </c>
      <c r="J2" s="84" t="s">
        <v>301</v>
      </c>
      <c r="K2" s="86" t="s">
        <v>137</v>
      </c>
      <c r="M2" s="83" t="s">
        <v>131</v>
      </c>
      <c r="N2" s="84" t="s">
        <v>0</v>
      </c>
      <c r="O2" s="84" t="s">
        <v>300</v>
      </c>
      <c r="P2" s="84" t="s">
        <v>301</v>
      </c>
      <c r="Q2" s="86" t="s">
        <v>137</v>
      </c>
      <c r="S2" s="83" t="s">
        <v>131</v>
      </c>
      <c r="T2" s="84" t="s">
        <v>0</v>
      </c>
      <c r="U2" s="84" t="s">
        <v>300</v>
      </c>
      <c r="V2" s="84" t="s">
        <v>301</v>
      </c>
      <c r="W2" s="86" t="s">
        <v>137</v>
      </c>
      <c r="Y2" s="83" t="s">
        <v>131</v>
      </c>
      <c r="Z2" s="84" t="s">
        <v>0</v>
      </c>
      <c r="AA2" s="84" t="s">
        <v>300</v>
      </c>
      <c r="AB2" s="84" t="s">
        <v>301</v>
      </c>
      <c r="AC2" s="86" t="s">
        <v>137</v>
      </c>
      <c r="AE2" s="83" t="s">
        <v>131</v>
      </c>
      <c r="AF2" s="84" t="s">
        <v>0</v>
      </c>
      <c r="AG2" s="84" t="s">
        <v>300</v>
      </c>
      <c r="AH2" s="84" t="s">
        <v>301</v>
      </c>
      <c r="AI2" s="86" t="s">
        <v>137</v>
      </c>
      <c r="AK2" s="83" t="s">
        <v>131</v>
      </c>
      <c r="AL2" s="84" t="s">
        <v>0</v>
      </c>
      <c r="AM2" s="84" t="s">
        <v>300</v>
      </c>
      <c r="AN2" s="84" t="s">
        <v>301</v>
      </c>
      <c r="AO2" s="86" t="s">
        <v>137</v>
      </c>
    </row>
    <row r="3" customFormat="false" ht="13.5" hidden="false" customHeight="false" outlineLevel="0" collapsed="false">
      <c r="A3" s="167"/>
      <c r="B3" s="169"/>
      <c r="C3" s="169"/>
      <c r="D3" s="169"/>
      <c r="E3" s="170"/>
      <c r="G3" s="180"/>
      <c r="H3" s="181"/>
      <c r="I3" s="181"/>
      <c r="J3" s="181"/>
      <c r="K3" s="182"/>
      <c r="M3" s="88"/>
      <c r="N3" s="89"/>
      <c r="O3" s="89"/>
      <c r="P3" s="89"/>
      <c r="Q3" s="91"/>
      <c r="S3" s="88"/>
      <c r="T3" s="89"/>
      <c r="U3" s="89"/>
      <c r="V3" s="89"/>
      <c r="W3" s="91"/>
      <c r="Y3" s="88"/>
      <c r="Z3" s="89"/>
      <c r="AA3" s="89"/>
      <c r="AB3" s="89"/>
      <c r="AC3" s="91"/>
      <c r="AE3" s="167"/>
      <c r="AF3" s="169"/>
      <c r="AG3" s="169"/>
      <c r="AH3" s="169"/>
      <c r="AI3" s="170"/>
      <c r="AK3" s="88"/>
      <c r="AL3" s="89"/>
      <c r="AM3" s="89"/>
      <c r="AN3" s="89"/>
      <c r="AO3" s="91"/>
    </row>
    <row r="4" customFormat="false" ht="13.5" hidden="false" customHeight="false" outlineLevel="0" collapsed="false">
      <c r="A4" s="88" t="s">
        <v>138</v>
      </c>
      <c r="B4" s="89" t="s">
        <v>331</v>
      </c>
      <c r="C4" s="89"/>
      <c r="D4" s="89"/>
      <c r="E4" s="91" t="n">
        <v>34</v>
      </c>
      <c r="G4" s="88" t="s">
        <v>138</v>
      </c>
      <c r="H4" s="89" t="s">
        <v>313</v>
      </c>
      <c r="I4" s="89"/>
      <c r="J4" s="89"/>
      <c r="K4" s="91" t="n">
        <v>8.4</v>
      </c>
      <c r="M4" s="88"/>
      <c r="N4" s="89"/>
      <c r="O4" s="89"/>
      <c r="P4" s="89"/>
      <c r="Q4" s="91"/>
      <c r="S4" s="88" t="s">
        <v>138</v>
      </c>
      <c r="T4" s="89" t="s">
        <v>321</v>
      </c>
      <c r="U4" s="89"/>
      <c r="V4" s="89"/>
      <c r="W4" s="91" t="n">
        <v>7.4</v>
      </c>
      <c r="Y4" s="88"/>
      <c r="Z4" s="89"/>
      <c r="AA4" s="89"/>
      <c r="AB4" s="89"/>
      <c r="AC4" s="91"/>
      <c r="AE4" s="88" t="s">
        <v>138</v>
      </c>
      <c r="AF4" s="89" t="s">
        <v>327</v>
      </c>
      <c r="AG4" s="89"/>
      <c r="AH4" s="89"/>
      <c r="AI4" s="91" t="n">
        <v>340.4</v>
      </c>
      <c r="AK4" s="88" t="s">
        <v>138</v>
      </c>
      <c r="AL4" s="122"/>
      <c r="AM4" s="89"/>
      <c r="AN4" s="89"/>
      <c r="AO4" s="91"/>
    </row>
    <row r="5" customFormat="false" ht="13.5" hidden="false" customHeight="false" outlineLevel="0" collapsed="false">
      <c r="A5" s="88"/>
      <c r="B5" s="89"/>
      <c r="C5" s="89"/>
      <c r="D5" s="89"/>
      <c r="E5" s="91"/>
      <c r="G5" s="88"/>
      <c r="H5" s="89"/>
      <c r="I5" s="89"/>
      <c r="J5" s="89"/>
      <c r="K5" s="91"/>
      <c r="M5" s="88"/>
      <c r="N5" s="89"/>
      <c r="O5" s="89"/>
      <c r="P5" s="89"/>
      <c r="Q5" s="91"/>
      <c r="S5" s="88"/>
      <c r="T5" s="89"/>
      <c r="U5" s="89"/>
      <c r="V5" s="89"/>
      <c r="W5" s="91"/>
      <c r="Y5" s="88"/>
      <c r="Z5" s="89"/>
      <c r="AA5" s="89"/>
      <c r="AB5" s="89"/>
      <c r="AC5" s="91"/>
      <c r="AE5" s="88"/>
      <c r="AF5" s="89"/>
      <c r="AG5" s="89"/>
      <c r="AH5" s="89"/>
      <c r="AI5" s="91"/>
      <c r="AK5" s="88"/>
      <c r="AL5" s="89"/>
      <c r="AM5" s="89"/>
      <c r="AN5" s="89"/>
      <c r="AO5" s="91"/>
    </row>
    <row r="6" customFormat="false" ht="13.5" hidden="false" customHeight="false" outlineLevel="0" collapsed="false">
      <c r="A6" s="88" t="s">
        <v>141</v>
      </c>
      <c r="B6" s="89" t="s">
        <v>328</v>
      </c>
      <c r="C6" s="89"/>
      <c r="D6" s="89"/>
      <c r="E6" s="91" t="n">
        <v>2.4</v>
      </c>
      <c r="G6" s="88" t="s">
        <v>141</v>
      </c>
      <c r="H6" s="89" t="s">
        <v>332</v>
      </c>
      <c r="I6" s="89"/>
      <c r="J6" s="89"/>
      <c r="K6" s="91"/>
      <c r="M6" s="88"/>
      <c r="N6" s="89"/>
      <c r="O6" s="89"/>
      <c r="P6" s="89"/>
      <c r="Q6" s="91"/>
      <c r="S6" s="88" t="s">
        <v>141</v>
      </c>
      <c r="T6" s="89" t="s">
        <v>308</v>
      </c>
      <c r="U6" s="89"/>
      <c r="V6" s="89"/>
      <c r="W6" s="91" t="n">
        <v>8.6</v>
      </c>
      <c r="Y6" s="88"/>
      <c r="Z6" s="89"/>
      <c r="AA6" s="89"/>
      <c r="AB6" s="89"/>
      <c r="AC6" s="91"/>
      <c r="AE6" s="88" t="s">
        <v>141</v>
      </c>
      <c r="AF6" s="89" t="s">
        <v>333</v>
      </c>
      <c r="AG6" s="89"/>
      <c r="AH6" s="89"/>
      <c r="AI6" s="91" t="n">
        <v>29.1</v>
      </c>
      <c r="AK6" s="88"/>
      <c r="AL6" s="89"/>
      <c r="AM6" s="89"/>
      <c r="AN6" s="89"/>
      <c r="AO6" s="91"/>
    </row>
    <row r="7" customFormat="false" ht="13.5" hidden="false" customHeight="false" outlineLevel="0" collapsed="false">
      <c r="A7" s="88"/>
      <c r="B7" s="89"/>
      <c r="C7" s="89"/>
      <c r="D7" s="89"/>
      <c r="E7" s="91"/>
      <c r="G7" s="88"/>
      <c r="H7" s="89"/>
      <c r="I7" s="89"/>
      <c r="J7" s="89"/>
      <c r="K7" s="91"/>
      <c r="M7" s="88"/>
      <c r="N7" s="89"/>
      <c r="O7" s="89"/>
      <c r="P7" s="89"/>
      <c r="Q7" s="91"/>
      <c r="S7" s="88"/>
      <c r="T7" s="89"/>
      <c r="U7" s="89"/>
      <c r="V7" s="89"/>
      <c r="W7" s="91"/>
      <c r="Y7" s="88"/>
      <c r="Z7" s="89"/>
      <c r="AA7" s="89"/>
      <c r="AB7" s="89"/>
      <c r="AC7" s="91"/>
      <c r="AE7" s="88"/>
      <c r="AF7" s="89"/>
      <c r="AG7" s="89"/>
      <c r="AH7" s="89"/>
      <c r="AI7" s="91"/>
      <c r="AK7" s="88"/>
      <c r="AL7" s="89"/>
      <c r="AM7" s="89"/>
      <c r="AN7" s="89"/>
      <c r="AO7" s="91"/>
    </row>
    <row r="8" customFormat="false" ht="13.5" hidden="false" customHeight="false" outlineLevel="0" collapsed="false">
      <c r="A8" s="88" t="s">
        <v>151</v>
      </c>
      <c r="B8" s="89"/>
      <c r="C8" s="89"/>
      <c r="D8" s="89"/>
      <c r="E8" s="91"/>
      <c r="G8" s="88" t="s">
        <v>151</v>
      </c>
      <c r="H8" s="89"/>
      <c r="I8" s="89"/>
      <c r="J8" s="89"/>
      <c r="K8" s="91"/>
      <c r="M8" s="88"/>
      <c r="N8" s="89"/>
      <c r="O8" s="89"/>
      <c r="P8" s="89"/>
      <c r="Q8" s="91"/>
      <c r="S8" s="88" t="s">
        <v>151</v>
      </c>
      <c r="T8" s="89" t="s">
        <v>323</v>
      </c>
      <c r="U8" s="89"/>
      <c r="V8" s="89"/>
      <c r="W8" s="91" t="n">
        <v>9.1</v>
      </c>
      <c r="Y8" s="88"/>
      <c r="Z8" s="89"/>
      <c r="AA8" s="89"/>
      <c r="AB8" s="89"/>
      <c r="AC8" s="91"/>
      <c r="AE8" s="88" t="s">
        <v>151</v>
      </c>
      <c r="AF8" s="89" t="s">
        <v>305</v>
      </c>
      <c r="AG8" s="89"/>
      <c r="AH8" s="89"/>
      <c r="AI8" s="91" t="n">
        <v>12.8</v>
      </c>
      <c r="AK8" s="88"/>
      <c r="AL8" s="89"/>
      <c r="AM8" s="89"/>
      <c r="AN8" s="89"/>
      <c r="AO8" s="91"/>
    </row>
    <row r="9" customFormat="false" ht="13.5" hidden="false" customHeight="false" outlineLevel="0" collapsed="false">
      <c r="A9" s="88"/>
      <c r="B9" s="89"/>
      <c r="C9" s="89"/>
      <c r="D9" s="89"/>
      <c r="E9" s="91"/>
      <c r="G9" s="88"/>
      <c r="H9" s="89"/>
      <c r="I9" s="89"/>
      <c r="J9" s="89"/>
      <c r="K9" s="91"/>
      <c r="M9" s="88"/>
      <c r="N9" s="89"/>
      <c r="O9" s="89"/>
      <c r="P9" s="89"/>
      <c r="Q9" s="91"/>
      <c r="S9" s="88"/>
      <c r="T9" s="89"/>
      <c r="U9" s="89"/>
      <c r="V9" s="89"/>
      <c r="W9" s="91"/>
      <c r="Y9" s="88"/>
      <c r="Z9" s="89"/>
      <c r="AA9" s="89"/>
      <c r="AB9" s="89"/>
      <c r="AC9" s="91"/>
      <c r="AE9" s="88"/>
      <c r="AF9" s="89"/>
      <c r="AG9" s="89"/>
      <c r="AH9" s="89"/>
      <c r="AI9" s="91"/>
      <c r="AK9" s="88"/>
      <c r="AL9" s="89"/>
      <c r="AM9" s="89"/>
      <c r="AN9" s="89"/>
      <c r="AO9" s="91"/>
    </row>
    <row r="10" customFormat="false" ht="13.5" hidden="false" customHeight="false" outlineLevel="0" collapsed="false">
      <c r="A10" s="88"/>
      <c r="B10" s="89"/>
      <c r="C10" s="89"/>
      <c r="D10" s="89"/>
      <c r="E10" s="91"/>
      <c r="G10" s="88" t="s">
        <v>155</v>
      </c>
      <c r="H10" s="89"/>
      <c r="I10" s="89"/>
      <c r="J10" s="89"/>
      <c r="K10" s="91"/>
      <c r="M10" s="88"/>
      <c r="N10" s="89"/>
      <c r="O10" s="89"/>
      <c r="P10" s="89"/>
      <c r="Q10" s="91"/>
      <c r="S10" s="88" t="s">
        <v>155</v>
      </c>
      <c r="T10" s="89" t="s">
        <v>311</v>
      </c>
      <c r="U10" s="89"/>
      <c r="V10" s="89"/>
      <c r="W10" s="91" t="n">
        <v>7.8</v>
      </c>
      <c r="Y10" s="88"/>
      <c r="Z10" s="89"/>
      <c r="AA10" s="89"/>
      <c r="AB10" s="89"/>
      <c r="AC10" s="91"/>
      <c r="AE10" s="88" t="s">
        <v>155</v>
      </c>
      <c r="AF10" s="89" t="s">
        <v>334</v>
      </c>
      <c r="AG10" s="89"/>
      <c r="AH10" s="89"/>
      <c r="AI10" s="91" t="n">
        <v>18.4</v>
      </c>
      <c r="AK10" s="88"/>
      <c r="AL10" s="89"/>
      <c r="AM10" s="89"/>
      <c r="AN10" s="89"/>
      <c r="AO10" s="91"/>
    </row>
    <row r="11" customFormat="false" ht="13.5" hidden="false" customHeight="false" outlineLevel="0" collapsed="false">
      <c r="A11" s="88"/>
      <c r="B11" s="89"/>
      <c r="C11" s="89"/>
      <c r="D11" s="89"/>
      <c r="E11" s="91"/>
      <c r="G11" s="88"/>
      <c r="H11" s="89"/>
      <c r="I11" s="89"/>
      <c r="J11" s="89"/>
      <c r="K11" s="91"/>
      <c r="M11" s="88"/>
      <c r="N11" s="89"/>
      <c r="O11" s="89"/>
      <c r="P11" s="89"/>
      <c r="Q11" s="91"/>
      <c r="S11" s="88"/>
      <c r="T11" s="89"/>
      <c r="U11" s="89"/>
      <c r="V11" s="89"/>
      <c r="W11" s="91"/>
      <c r="Y11" s="88"/>
      <c r="Z11" s="89"/>
      <c r="AA11" s="89"/>
      <c r="AB11" s="89"/>
      <c r="AC11" s="91"/>
      <c r="AE11" s="88"/>
      <c r="AF11" s="89"/>
      <c r="AG11" s="89"/>
      <c r="AH11" s="89"/>
      <c r="AI11" s="91"/>
      <c r="AK11" s="88"/>
      <c r="AL11" s="89"/>
      <c r="AM11" s="89"/>
      <c r="AN11" s="89"/>
      <c r="AO11" s="91"/>
    </row>
    <row r="12" customFormat="false" ht="13.5" hidden="false" customHeight="false" outlineLevel="0" collapsed="false">
      <c r="A12" s="88"/>
      <c r="B12" s="89"/>
      <c r="C12" s="89"/>
      <c r="D12" s="89"/>
      <c r="E12" s="91"/>
      <c r="G12" s="88"/>
      <c r="H12" s="89"/>
      <c r="I12" s="89"/>
      <c r="J12" s="89"/>
      <c r="K12" s="91"/>
      <c r="M12" s="88"/>
      <c r="N12" s="89"/>
      <c r="O12" s="89"/>
      <c r="P12" s="89"/>
      <c r="Q12" s="91"/>
      <c r="S12" s="88"/>
      <c r="T12" s="89"/>
      <c r="U12" s="89"/>
      <c r="V12" s="89"/>
      <c r="W12" s="91"/>
      <c r="Y12" s="88"/>
      <c r="Z12" s="89"/>
      <c r="AA12" s="89"/>
      <c r="AB12" s="89"/>
      <c r="AC12" s="91"/>
      <c r="AE12" s="88" t="s">
        <v>157</v>
      </c>
      <c r="AF12" s="89" t="s">
        <v>309</v>
      </c>
      <c r="AG12" s="89"/>
      <c r="AH12" s="89"/>
      <c r="AI12" s="91" t="n">
        <v>8.8</v>
      </c>
      <c r="AK12" s="88"/>
      <c r="AL12" s="89"/>
      <c r="AM12" s="89"/>
      <c r="AN12" s="89"/>
      <c r="AO12" s="91"/>
    </row>
    <row r="13" customFormat="false" ht="13.5" hidden="false" customHeight="false" outlineLevel="0" collapsed="false">
      <c r="A13" s="88"/>
      <c r="B13" s="89"/>
      <c r="C13" s="89"/>
      <c r="D13" s="89"/>
      <c r="E13" s="91"/>
      <c r="G13" s="88"/>
      <c r="H13" s="89"/>
      <c r="I13" s="89"/>
      <c r="J13" s="89"/>
      <c r="K13" s="91"/>
      <c r="M13" s="88"/>
      <c r="N13" s="89"/>
      <c r="O13" s="89"/>
      <c r="P13" s="89"/>
      <c r="Q13" s="91"/>
      <c r="S13" s="88"/>
      <c r="T13" s="89"/>
      <c r="U13" s="89"/>
      <c r="V13" s="89"/>
      <c r="W13" s="91"/>
      <c r="Y13" s="88"/>
      <c r="Z13" s="89"/>
      <c r="AA13" s="89"/>
      <c r="AB13" s="89"/>
      <c r="AC13" s="91"/>
      <c r="AE13" s="88"/>
      <c r="AF13" s="89"/>
      <c r="AG13" s="89"/>
      <c r="AH13" s="89"/>
      <c r="AI13" s="91"/>
      <c r="AK13" s="88"/>
      <c r="AL13" s="89"/>
      <c r="AM13" s="89"/>
      <c r="AN13" s="89"/>
      <c r="AO13" s="91"/>
    </row>
    <row r="14" customFormat="false" ht="13.5" hidden="false" customHeight="false" outlineLevel="0" collapsed="false">
      <c r="A14" s="88"/>
      <c r="B14" s="89"/>
      <c r="C14" s="89"/>
      <c r="D14" s="89"/>
      <c r="E14" s="91"/>
      <c r="G14" s="88"/>
      <c r="H14" s="89"/>
      <c r="I14" s="89"/>
      <c r="J14" s="89"/>
      <c r="K14" s="91"/>
      <c r="M14" s="88"/>
      <c r="N14" s="89"/>
      <c r="O14" s="89"/>
      <c r="P14" s="89"/>
      <c r="Q14" s="91"/>
      <c r="S14" s="88"/>
      <c r="T14" s="89"/>
      <c r="U14" s="89"/>
      <c r="V14" s="89"/>
      <c r="W14" s="91"/>
      <c r="Y14" s="88"/>
      <c r="Z14" s="89"/>
      <c r="AA14" s="89"/>
      <c r="AB14" s="89"/>
      <c r="AC14" s="91"/>
      <c r="AE14" s="88" t="s">
        <v>159</v>
      </c>
      <c r="AF14" s="89" t="s">
        <v>312</v>
      </c>
      <c r="AG14" s="89"/>
      <c r="AH14" s="89"/>
      <c r="AI14" s="91" t="n">
        <v>3.3</v>
      </c>
      <c r="AK14" s="88"/>
      <c r="AL14" s="89"/>
      <c r="AM14" s="89"/>
      <c r="AN14" s="89"/>
      <c r="AO14" s="91"/>
    </row>
    <row r="15" customFormat="false" ht="13.5" hidden="false" customHeight="false" outlineLevel="0" collapsed="false">
      <c r="A15" s="88"/>
      <c r="B15" s="89"/>
      <c r="C15" s="89"/>
      <c r="D15" s="89"/>
      <c r="E15" s="91"/>
      <c r="G15" s="88"/>
      <c r="H15" s="89"/>
      <c r="I15" s="89"/>
      <c r="J15" s="89"/>
      <c r="K15" s="91"/>
      <c r="M15" s="88"/>
      <c r="N15" s="89"/>
      <c r="O15" s="89"/>
      <c r="P15" s="89"/>
      <c r="Q15" s="91"/>
      <c r="S15" s="88"/>
      <c r="T15" s="89"/>
      <c r="U15" s="89"/>
      <c r="V15" s="89"/>
      <c r="W15" s="91"/>
      <c r="Y15" s="88"/>
      <c r="Z15" s="89"/>
      <c r="AA15" s="89"/>
      <c r="AB15" s="89"/>
      <c r="AC15" s="91"/>
      <c r="AE15" s="88"/>
      <c r="AF15" s="89"/>
      <c r="AG15" s="89"/>
      <c r="AH15" s="89"/>
      <c r="AI15" s="91"/>
      <c r="AK15" s="88"/>
      <c r="AL15" s="89"/>
      <c r="AM15" s="89"/>
      <c r="AN15" s="89"/>
      <c r="AO15" s="91"/>
    </row>
    <row r="16" customFormat="false" ht="13.5" hidden="false" customHeight="false" outlineLevel="0" collapsed="false">
      <c r="A16" s="88"/>
      <c r="B16" s="89"/>
      <c r="C16" s="89"/>
      <c r="D16" s="89"/>
      <c r="E16" s="91"/>
      <c r="G16" s="88"/>
      <c r="H16" s="89"/>
      <c r="I16" s="89"/>
      <c r="J16" s="89"/>
      <c r="K16" s="91"/>
      <c r="M16" s="88"/>
      <c r="N16" s="89"/>
      <c r="O16" s="89"/>
      <c r="P16" s="89"/>
      <c r="Q16" s="91"/>
      <c r="S16" s="88"/>
      <c r="T16" s="89"/>
      <c r="U16" s="89"/>
      <c r="V16" s="89"/>
      <c r="W16" s="91"/>
      <c r="Y16" s="88"/>
      <c r="Z16" s="89"/>
      <c r="AA16" s="89"/>
      <c r="AB16" s="89"/>
      <c r="AC16" s="91"/>
      <c r="AE16" s="88" t="s">
        <v>160</v>
      </c>
      <c r="AF16" s="89" t="s">
        <v>315</v>
      </c>
      <c r="AG16" s="89"/>
      <c r="AH16" s="89"/>
      <c r="AI16" s="91" t="n">
        <v>3.2</v>
      </c>
      <c r="AK16" s="88"/>
      <c r="AL16" s="89"/>
      <c r="AM16" s="89"/>
      <c r="AN16" s="89"/>
      <c r="AO16" s="91"/>
    </row>
    <row r="17" customFormat="false" ht="13.5" hidden="false" customHeight="false" outlineLevel="0" collapsed="false">
      <c r="A17" s="88"/>
      <c r="B17" s="89"/>
      <c r="C17" s="89"/>
      <c r="D17" s="89"/>
      <c r="E17" s="91"/>
      <c r="G17" s="88"/>
      <c r="H17" s="89"/>
      <c r="I17" s="89"/>
      <c r="J17" s="89"/>
      <c r="K17" s="91"/>
      <c r="M17" s="88"/>
      <c r="N17" s="89"/>
      <c r="O17" s="89"/>
      <c r="P17" s="89"/>
      <c r="Q17" s="91"/>
      <c r="S17" s="88"/>
      <c r="T17" s="89"/>
      <c r="U17" s="89"/>
      <c r="V17" s="89"/>
      <c r="W17" s="91"/>
      <c r="Y17" s="88"/>
      <c r="Z17" s="89"/>
      <c r="AA17" s="89"/>
      <c r="AB17" s="89"/>
      <c r="AC17" s="91"/>
      <c r="AE17" s="88"/>
      <c r="AF17" s="89"/>
      <c r="AG17" s="89"/>
      <c r="AH17" s="89"/>
      <c r="AI17" s="91"/>
      <c r="AK17" s="88"/>
      <c r="AL17" s="89"/>
      <c r="AM17" s="89"/>
      <c r="AN17" s="89"/>
      <c r="AO17" s="91"/>
    </row>
    <row r="18" customFormat="false" ht="13.5" hidden="false" customHeight="false" outlineLevel="0" collapsed="false">
      <c r="A18" s="88"/>
      <c r="B18" s="89"/>
      <c r="C18" s="89"/>
      <c r="D18" s="89"/>
      <c r="E18" s="91"/>
      <c r="G18" s="88"/>
      <c r="H18" s="89"/>
      <c r="I18" s="89"/>
      <c r="J18" s="89"/>
      <c r="K18" s="91"/>
      <c r="M18" s="88"/>
      <c r="N18" s="89"/>
      <c r="O18" s="89"/>
      <c r="P18" s="89"/>
      <c r="Q18" s="91"/>
      <c r="S18" s="88"/>
      <c r="T18" s="89"/>
      <c r="U18" s="89"/>
      <c r="V18" s="89"/>
      <c r="W18" s="91"/>
      <c r="Y18" s="88"/>
      <c r="Z18" s="89"/>
      <c r="AA18" s="89"/>
      <c r="AB18" s="89"/>
      <c r="AC18" s="91"/>
      <c r="AE18" s="88" t="s">
        <v>164</v>
      </c>
      <c r="AF18" s="89" t="s">
        <v>316</v>
      </c>
      <c r="AG18" s="89"/>
      <c r="AH18" s="89"/>
      <c r="AI18" s="91" t="n">
        <v>8</v>
      </c>
      <c r="AK18" s="88"/>
      <c r="AL18" s="89"/>
      <c r="AM18" s="89"/>
      <c r="AN18" s="89"/>
      <c r="AO18" s="91"/>
    </row>
    <row r="19" customFormat="false" ht="13.5" hidden="false" customHeight="false" outlineLevel="0" collapsed="false">
      <c r="A19" s="88"/>
      <c r="B19" s="89"/>
      <c r="C19" s="89"/>
      <c r="D19" s="89"/>
      <c r="E19" s="91"/>
      <c r="G19" s="88"/>
      <c r="H19" s="89"/>
      <c r="I19" s="89"/>
      <c r="J19" s="89"/>
      <c r="K19" s="91"/>
      <c r="M19" s="88"/>
      <c r="N19" s="89"/>
      <c r="O19" s="89"/>
      <c r="P19" s="89"/>
      <c r="Q19" s="91"/>
      <c r="S19" s="88"/>
      <c r="T19" s="89"/>
      <c r="U19" s="89"/>
      <c r="V19" s="89"/>
      <c r="W19" s="91"/>
      <c r="Y19" s="88"/>
      <c r="Z19" s="89"/>
      <c r="AA19" s="89"/>
      <c r="AB19" s="89"/>
      <c r="AC19" s="91"/>
      <c r="AE19" s="88"/>
      <c r="AF19" s="89"/>
      <c r="AG19" s="89"/>
      <c r="AH19" s="89"/>
      <c r="AI19" s="91"/>
      <c r="AK19" s="88"/>
      <c r="AL19" s="89"/>
      <c r="AM19" s="89"/>
      <c r="AN19" s="89"/>
      <c r="AO19" s="91"/>
    </row>
    <row r="20" customFormat="false" ht="14.25" hidden="false" customHeight="true" outlineLevel="0" collapsed="false">
      <c r="A20" s="88"/>
      <c r="B20" s="89"/>
      <c r="C20" s="89"/>
      <c r="D20" s="89"/>
      <c r="E20" s="91"/>
      <c r="G20" s="88"/>
      <c r="H20" s="89"/>
      <c r="I20" s="89"/>
      <c r="J20" s="89"/>
      <c r="K20" s="91"/>
      <c r="M20" s="88"/>
      <c r="N20" s="89"/>
      <c r="O20" s="89"/>
      <c r="P20" s="89"/>
      <c r="Q20" s="91"/>
      <c r="S20" s="88"/>
      <c r="T20" s="89"/>
      <c r="U20" s="89"/>
      <c r="V20" s="89"/>
      <c r="W20" s="91"/>
      <c r="Y20" s="88"/>
      <c r="Z20" s="89"/>
      <c r="AA20" s="89"/>
      <c r="AB20" s="89"/>
      <c r="AC20" s="91"/>
      <c r="AE20" s="88"/>
      <c r="AF20" s="89"/>
      <c r="AG20" s="89"/>
      <c r="AH20" s="89"/>
      <c r="AI20" s="91"/>
      <c r="AK20" s="88"/>
      <c r="AL20" s="89"/>
      <c r="AM20" s="89"/>
      <c r="AN20" s="89"/>
      <c r="AO20" s="91"/>
    </row>
    <row r="21" s="80" customFormat="true" ht="14.25" hidden="false" customHeight="true" outlineLevel="0" collapsed="false">
      <c r="A21" s="183"/>
      <c r="B21" s="184"/>
      <c r="C21" s="184"/>
      <c r="D21" s="184"/>
      <c r="E21" s="185" t="n">
        <f aca="false">SUM(E4:E20)</f>
        <v>36.4</v>
      </c>
      <c r="F21" s="172"/>
      <c r="G21" s="183"/>
      <c r="H21" s="184"/>
      <c r="I21" s="184"/>
      <c r="J21" s="184"/>
      <c r="K21" s="185" t="n">
        <f aca="false">SUM(K4:K20)</f>
        <v>8.4</v>
      </c>
      <c r="L21" s="172"/>
      <c r="M21" s="183"/>
      <c r="N21" s="184"/>
      <c r="O21" s="184"/>
      <c r="P21" s="184"/>
      <c r="Q21" s="185" t="n">
        <f aca="false">SUM(Q4:Q20)</f>
        <v>0</v>
      </c>
      <c r="R21" s="172"/>
      <c r="S21" s="183"/>
      <c r="T21" s="184"/>
      <c r="U21" s="184"/>
      <c r="V21" s="184"/>
      <c r="W21" s="185" t="n">
        <f aca="false">SUM(W4:W20)</f>
        <v>32.9</v>
      </c>
      <c r="X21" s="172"/>
      <c r="Y21" s="183"/>
      <c r="Z21" s="184"/>
      <c r="AA21" s="184"/>
      <c r="AB21" s="184"/>
      <c r="AC21" s="185" t="n">
        <f aca="false">SUM(AC4:AC20)</f>
        <v>0</v>
      </c>
      <c r="AD21" s="172"/>
      <c r="AE21" s="183"/>
      <c r="AF21" s="184"/>
      <c r="AG21" s="184"/>
      <c r="AH21" s="184"/>
      <c r="AI21" s="185" t="n">
        <f aca="false">SUM(AI4:AI20)</f>
        <v>424</v>
      </c>
      <c r="AJ21" s="172"/>
      <c r="AK21" s="183"/>
      <c r="AL21" s="184"/>
      <c r="AM21" s="184"/>
      <c r="AN21" s="184"/>
      <c r="AO21" s="185" t="n">
        <f aca="false">SUM(AO4:AO20)</f>
        <v>0</v>
      </c>
    </row>
  </sheetData>
  <mergeCells count="7">
    <mergeCell ref="A1:E1"/>
    <mergeCell ref="G1:K1"/>
    <mergeCell ref="M1:Q1"/>
    <mergeCell ref="S1:W1"/>
    <mergeCell ref="Y1:AC1"/>
    <mergeCell ref="AE1:AI1"/>
    <mergeCell ref="AK1:AO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F1C8"/>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90625" defaultRowHeight="13.5" zeroHeight="false" outlineLevelRow="0" outlineLevelCol="0"/>
  <cols>
    <col collapsed="false" customWidth="true" hidden="false" outlineLevel="0" max="2" min="2" style="44" width="12.1"/>
    <col collapsed="false" customWidth="true" hidden="false" outlineLevel="0" max="8" min="8" style="44" width="27.9"/>
    <col collapsed="false" customWidth="true" hidden="false" outlineLevel="0" max="14" min="14" style="44" width="12.1"/>
    <col collapsed="false" customWidth="true" hidden="false" outlineLevel="0" max="20" min="20" style="44" width="12.1"/>
    <col collapsed="false" customWidth="true" hidden="false" outlineLevel="0" max="26" min="26" style="44" width="12.1"/>
    <col collapsed="false" customWidth="true" hidden="false" outlineLevel="0" max="32" min="32" style="44" width="16.6"/>
    <col collapsed="false" customWidth="true" hidden="false" outlineLevel="0" max="33" min="33" style="44" width="7.8"/>
    <col collapsed="false" customWidth="true" hidden="false" outlineLevel="0" max="37" min="37" style="44" width="11.8"/>
    <col collapsed="false" customWidth="true" hidden="false" outlineLevel="0" max="38" min="38" style="44" width="15.7"/>
    <col collapsed="false" customWidth="true" hidden="false" outlineLevel="0" max="39" min="39" style="44" width="11.8"/>
    <col collapsed="false" customWidth="true" hidden="false" outlineLevel="0" max="40" min="40" style="44" width="11.7"/>
    <col collapsed="false" customWidth="true" hidden="false" outlineLevel="0" max="41" min="41" style="44" width="12.7"/>
  </cols>
  <sheetData>
    <row r="1" s="178" customFormat="true" ht="40.5" hidden="false" customHeight="true" outlineLevel="0" collapsed="false">
      <c r="A1" s="177" t="s">
        <v>293</v>
      </c>
      <c r="B1" s="177"/>
      <c r="C1" s="177"/>
      <c r="D1" s="177"/>
      <c r="E1" s="177"/>
      <c r="G1" s="177" t="s">
        <v>294</v>
      </c>
      <c r="H1" s="177"/>
      <c r="I1" s="177"/>
      <c r="J1" s="177"/>
      <c r="K1" s="177"/>
      <c r="M1" s="177" t="s">
        <v>295</v>
      </c>
      <c r="N1" s="177"/>
      <c r="O1" s="177"/>
      <c r="P1" s="177"/>
      <c r="Q1" s="177"/>
      <c r="S1" s="177" t="s">
        <v>296</v>
      </c>
      <c r="T1" s="177"/>
      <c r="U1" s="177"/>
      <c r="V1" s="177"/>
      <c r="W1" s="177"/>
      <c r="Y1" s="177" t="s">
        <v>297</v>
      </c>
      <c r="Z1" s="177"/>
      <c r="AA1" s="177"/>
      <c r="AB1" s="177"/>
      <c r="AC1" s="177"/>
      <c r="AE1" s="177" t="s">
        <v>298</v>
      </c>
      <c r="AF1" s="177"/>
      <c r="AG1" s="177"/>
      <c r="AH1" s="177"/>
      <c r="AI1" s="177"/>
      <c r="AK1" s="179" t="s">
        <v>299</v>
      </c>
      <c r="AL1" s="179"/>
      <c r="AM1" s="179"/>
      <c r="AN1" s="179"/>
      <c r="AO1" s="179"/>
    </row>
    <row r="2" s="87" customFormat="true" ht="14.25" hidden="false" customHeight="true" outlineLevel="0" collapsed="false">
      <c r="A2" s="83" t="s">
        <v>131</v>
      </c>
      <c r="B2" s="84" t="s">
        <v>0</v>
      </c>
      <c r="C2" s="84" t="s">
        <v>300</v>
      </c>
      <c r="D2" s="84" t="s">
        <v>301</v>
      </c>
      <c r="E2" s="86" t="s">
        <v>137</v>
      </c>
      <c r="G2" s="83" t="s">
        <v>131</v>
      </c>
      <c r="H2" s="84" t="s">
        <v>0</v>
      </c>
      <c r="I2" s="84" t="s">
        <v>300</v>
      </c>
      <c r="J2" s="84" t="s">
        <v>301</v>
      </c>
      <c r="K2" s="86" t="s">
        <v>137</v>
      </c>
      <c r="M2" s="83" t="s">
        <v>131</v>
      </c>
      <c r="N2" s="84" t="s">
        <v>0</v>
      </c>
      <c r="O2" s="84" t="s">
        <v>300</v>
      </c>
      <c r="P2" s="84" t="s">
        <v>301</v>
      </c>
      <c r="Q2" s="86" t="s">
        <v>137</v>
      </c>
      <c r="S2" s="83" t="s">
        <v>131</v>
      </c>
      <c r="T2" s="84" t="s">
        <v>0</v>
      </c>
      <c r="U2" s="84" t="s">
        <v>300</v>
      </c>
      <c r="V2" s="84" t="s">
        <v>301</v>
      </c>
      <c r="W2" s="86" t="s">
        <v>137</v>
      </c>
      <c r="Y2" s="83" t="s">
        <v>131</v>
      </c>
      <c r="Z2" s="84" t="s">
        <v>0</v>
      </c>
      <c r="AA2" s="84" t="s">
        <v>300</v>
      </c>
      <c r="AB2" s="84" t="s">
        <v>301</v>
      </c>
      <c r="AC2" s="86" t="s">
        <v>137</v>
      </c>
      <c r="AE2" s="83" t="s">
        <v>131</v>
      </c>
      <c r="AF2" s="84" t="s">
        <v>0</v>
      </c>
      <c r="AG2" s="84" t="s">
        <v>300</v>
      </c>
      <c r="AH2" s="84" t="s">
        <v>301</v>
      </c>
      <c r="AI2" s="86" t="s">
        <v>137</v>
      </c>
      <c r="AK2" s="83" t="s">
        <v>131</v>
      </c>
      <c r="AL2" s="84" t="s">
        <v>0</v>
      </c>
      <c r="AM2" s="84" t="s">
        <v>300</v>
      </c>
      <c r="AN2" s="84" t="s">
        <v>301</v>
      </c>
      <c r="AO2" s="86" t="s">
        <v>137</v>
      </c>
    </row>
    <row r="3" customFormat="false" ht="13.5" hidden="false" customHeight="false" outlineLevel="0" collapsed="false">
      <c r="A3" s="167"/>
      <c r="B3" s="169"/>
      <c r="C3" s="169"/>
      <c r="D3" s="169"/>
      <c r="E3" s="170"/>
      <c r="G3" s="180"/>
      <c r="H3" s="181"/>
      <c r="I3" s="181"/>
      <c r="J3" s="181"/>
      <c r="K3" s="182"/>
      <c r="M3" s="88"/>
      <c r="N3" s="89"/>
      <c r="O3" s="89"/>
      <c r="P3" s="89"/>
      <c r="Q3" s="91"/>
      <c r="S3" s="88"/>
      <c r="T3" s="89"/>
      <c r="U3" s="89"/>
      <c r="V3" s="89"/>
      <c r="W3" s="91"/>
      <c r="Y3" s="88"/>
      <c r="Z3" s="89"/>
      <c r="AA3" s="89"/>
      <c r="AB3" s="89"/>
      <c r="AC3" s="91"/>
      <c r="AE3" s="167"/>
      <c r="AF3" s="169"/>
      <c r="AG3" s="169"/>
      <c r="AH3" s="169"/>
      <c r="AI3" s="170"/>
      <c r="AK3" s="88"/>
      <c r="AL3" s="89"/>
      <c r="AM3" s="89"/>
      <c r="AN3" s="89"/>
      <c r="AO3" s="91"/>
    </row>
    <row r="4" customFormat="false" ht="13.5" hidden="false" customHeight="false" outlineLevel="0" collapsed="false">
      <c r="A4" s="88" t="s">
        <v>138</v>
      </c>
      <c r="B4" s="89" t="s">
        <v>331</v>
      </c>
      <c r="C4" s="89"/>
      <c r="D4" s="89"/>
      <c r="E4" s="91" t="n">
        <v>36.4</v>
      </c>
      <c r="G4" s="88" t="s">
        <v>138</v>
      </c>
      <c r="H4" s="89" t="s">
        <v>313</v>
      </c>
      <c r="I4" s="89"/>
      <c r="J4" s="89"/>
      <c r="K4" s="91" t="n">
        <v>7</v>
      </c>
      <c r="M4" s="88"/>
      <c r="N4" s="89"/>
      <c r="O4" s="89"/>
      <c r="P4" s="89"/>
      <c r="Q4" s="91"/>
      <c r="S4" s="88" t="s">
        <v>138</v>
      </c>
      <c r="T4" s="89" t="s">
        <v>321</v>
      </c>
      <c r="U4" s="89"/>
      <c r="V4" s="89"/>
      <c r="W4" s="91" t="n">
        <v>7.7</v>
      </c>
      <c r="Y4" s="88"/>
      <c r="Z4" s="89"/>
      <c r="AA4" s="89"/>
      <c r="AB4" s="89"/>
      <c r="AC4" s="91"/>
      <c r="AE4" s="88" t="s">
        <v>138</v>
      </c>
      <c r="AF4" s="89" t="s">
        <v>327</v>
      </c>
      <c r="AG4" s="89"/>
      <c r="AH4" s="89"/>
      <c r="AI4" s="91" t="n">
        <v>328.1</v>
      </c>
      <c r="AK4" s="88" t="s">
        <v>138</v>
      </c>
      <c r="AL4" s="122"/>
      <c r="AM4" s="89"/>
      <c r="AN4" s="89"/>
      <c r="AO4" s="91"/>
    </row>
    <row r="5" customFormat="false" ht="13.5" hidden="false" customHeight="false" outlineLevel="0" collapsed="false">
      <c r="A5" s="88"/>
      <c r="B5" s="89"/>
      <c r="C5" s="89"/>
      <c r="D5" s="89"/>
      <c r="E5" s="91"/>
      <c r="G5" s="88"/>
      <c r="H5" s="89"/>
      <c r="I5" s="89"/>
      <c r="J5" s="89"/>
      <c r="K5" s="91"/>
      <c r="M5" s="88"/>
      <c r="N5" s="89"/>
      <c r="O5" s="89"/>
      <c r="P5" s="89"/>
      <c r="Q5" s="91"/>
      <c r="S5" s="88"/>
      <c r="T5" s="89"/>
      <c r="U5" s="89"/>
      <c r="V5" s="89"/>
      <c r="W5" s="91"/>
      <c r="Y5" s="88"/>
      <c r="Z5" s="89"/>
      <c r="AA5" s="89"/>
      <c r="AB5" s="89"/>
      <c r="AC5" s="91"/>
      <c r="AE5" s="88"/>
      <c r="AF5" s="89"/>
      <c r="AG5" s="89"/>
      <c r="AH5" s="89"/>
      <c r="AI5" s="91"/>
      <c r="AK5" s="88"/>
      <c r="AL5" s="89"/>
      <c r="AM5" s="89"/>
      <c r="AN5" s="89"/>
      <c r="AO5" s="91"/>
    </row>
    <row r="6" customFormat="false" ht="13.5" hidden="false" customHeight="false" outlineLevel="0" collapsed="false">
      <c r="A6" s="88" t="s">
        <v>141</v>
      </c>
      <c r="B6" s="89" t="s">
        <v>328</v>
      </c>
      <c r="C6" s="89"/>
      <c r="D6" s="89"/>
      <c r="E6" s="91" t="n">
        <v>2.5</v>
      </c>
      <c r="G6" s="88" t="s">
        <v>141</v>
      </c>
      <c r="H6" s="89" t="s">
        <v>332</v>
      </c>
      <c r="I6" s="89"/>
      <c r="J6" s="89"/>
      <c r="K6" s="91" t="n">
        <v>41.5</v>
      </c>
      <c r="M6" s="88"/>
      <c r="N6" s="89"/>
      <c r="O6" s="89"/>
      <c r="P6" s="89"/>
      <c r="Q6" s="91"/>
      <c r="S6" s="88" t="s">
        <v>141</v>
      </c>
      <c r="T6" s="89" t="s">
        <v>308</v>
      </c>
      <c r="U6" s="89"/>
      <c r="V6" s="89"/>
      <c r="W6" s="91" t="n">
        <v>8.3</v>
      </c>
      <c r="Y6" s="88"/>
      <c r="Z6" s="89"/>
      <c r="AA6" s="89"/>
      <c r="AB6" s="89"/>
      <c r="AC6" s="91"/>
      <c r="AE6" s="88" t="s">
        <v>141</v>
      </c>
      <c r="AF6" s="89" t="s">
        <v>333</v>
      </c>
      <c r="AG6" s="89"/>
      <c r="AH6" s="89"/>
      <c r="AI6" s="91" t="n">
        <v>28.8</v>
      </c>
      <c r="AK6" s="88"/>
      <c r="AL6" s="89"/>
      <c r="AM6" s="89"/>
      <c r="AN6" s="89"/>
      <c r="AO6" s="91"/>
    </row>
    <row r="7" customFormat="false" ht="13.5" hidden="false" customHeight="false" outlineLevel="0" collapsed="false">
      <c r="A7" s="88"/>
      <c r="B7" s="89"/>
      <c r="C7" s="89"/>
      <c r="D7" s="89"/>
      <c r="E7" s="91"/>
      <c r="G7" s="88"/>
      <c r="H7" s="89"/>
      <c r="I7" s="89"/>
      <c r="J7" s="89"/>
      <c r="K7" s="91"/>
      <c r="M7" s="88"/>
      <c r="N7" s="89"/>
      <c r="O7" s="89"/>
      <c r="P7" s="89"/>
      <c r="Q7" s="91"/>
      <c r="S7" s="88"/>
      <c r="T7" s="89"/>
      <c r="U7" s="89"/>
      <c r="V7" s="89"/>
      <c r="W7" s="91"/>
      <c r="Y7" s="88"/>
      <c r="Z7" s="89"/>
      <c r="AA7" s="89"/>
      <c r="AB7" s="89"/>
      <c r="AC7" s="91"/>
      <c r="AE7" s="88"/>
      <c r="AF7" s="89"/>
      <c r="AG7" s="89"/>
      <c r="AH7" s="89"/>
      <c r="AI7" s="91"/>
      <c r="AK7" s="88"/>
      <c r="AL7" s="89"/>
      <c r="AM7" s="89"/>
      <c r="AN7" s="89"/>
      <c r="AO7" s="91"/>
    </row>
    <row r="8" customFormat="false" ht="13.5" hidden="false" customHeight="false" outlineLevel="0" collapsed="false">
      <c r="A8" s="88" t="s">
        <v>151</v>
      </c>
      <c r="B8" s="89"/>
      <c r="C8" s="89"/>
      <c r="D8" s="89"/>
      <c r="E8" s="91"/>
      <c r="G8" s="88" t="s">
        <v>151</v>
      </c>
      <c r="H8" s="89"/>
      <c r="I8" s="89"/>
      <c r="J8" s="89"/>
      <c r="K8" s="91"/>
      <c r="M8" s="88"/>
      <c r="N8" s="89"/>
      <c r="O8" s="89"/>
      <c r="P8" s="89"/>
      <c r="Q8" s="91"/>
      <c r="S8" s="88" t="s">
        <v>151</v>
      </c>
      <c r="T8" s="89" t="s">
        <v>323</v>
      </c>
      <c r="U8" s="89"/>
      <c r="V8" s="89"/>
      <c r="W8" s="91" t="n">
        <v>9</v>
      </c>
      <c r="Y8" s="88"/>
      <c r="Z8" s="89"/>
      <c r="AA8" s="89"/>
      <c r="AB8" s="89"/>
      <c r="AC8" s="91"/>
      <c r="AE8" s="88" t="s">
        <v>151</v>
      </c>
      <c r="AF8" s="89" t="s">
        <v>305</v>
      </c>
      <c r="AG8" s="89"/>
      <c r="AH8" s="89"/>
      <c r="AI8" s="91" t="n">
        <v>12.6</v>
      </c>
      <c r="AK8" s="88"/>
      <c r="AL8" s="89"/>
      <c r="AM8" s="89"/>
      <c r="AN8" s="89"/>
      <c r="AO8" s="91"/>
    </row>
    <row r="9" customFormat="false" ht="13.5" hidden="false" customHeight="false" outlineLevel="0" collapsed="false">
      <c r="A9" s="88"/>
      <c r="B9" s="89"/>
      <c r="C9" s="89"/>
      <c r="D9" s="89"/>
      <c r="E9" s="91"/>
      <c r="G9" s="88"/>
      <c r="H9" s="89"/>
      <c r="I9" s="89"/>
      <c r="J9" s="89"/>
      <c r="K9" s="91"/>
      <c r="M9" s="88"/>
      <c r="N9" s="89"/>
      <c r="O9" s="89"/>
      <c r="P9" s="89"/>
      <c r="Q9" s="91"/>
      <c r="S9" s="88"/>
      <c r="T9" s="89"/>
      <c r="U9" s="89"/>
      <c r="V9" s="89"/>
      <c r="W9" s="91"/>
      <c r="Y9" s="88"/>
      <c r="Z9" s="89"/>
      <c r="AA9" s="89"/>
      <c r="AB9" s="89"/>
      <c r="AC9" s="91"/>
      <c r="AE9" s="88"/>
      <c r="AF9" s="89"/>
      <c r="AG9" s="89"/>
      <c r="AH9" s="89"/>
      <c r="AI9" s="91"/>
      <c r="AK9" s="88"/>
      <c r="AL9" s="89"/>
      <c r="AM9" s="89"/>
      <c r="AN9" s="89"/>
      <c r="AO9" s="91"/>
    </row>
    <row r="10" customFormat="false" ht="13.5" hidden="false" customHeight="false" outlineLevel="0" collapsed="false">
      <c r="A10" s="88"/>
      <c r="B10" s="89"/>
      <c r="C10" s="89"/>
      <c r="D10" s="89"/>
      <c r="E10" s="91"/>
      <c r="G10" s="88" t="s">
        <v>155</v>
      </c>
      <c r="H10" s="89"/>
      <c r="I10" s="89"/>
      <c r="J10" s="89"/>
      <c r="K10" s="91"/>
      <c r="M10" s="88"/>
      <c r="N10" s="89"/>
      <c r="O10" s="89"/>
      <c r="P10" s="89"/>
      <c r="Q10" s="91"/>
      <c r="S10" s="88" t="s">
        <v>155</v>
      </c>
      <c r="T10" s="89" t="s">
        <v>311</v>
      </c>
      <c r="U10" s="89"/>
      <c r="V10" s="89"/>
      <c r="W10" s="91" t="n">
        <v>7.7</v>
      </c>
      <c r="Y10" s="88"/>
      <c r="Z10" s="89"/>
      <c r="AA10" s="89"/>
      <c r="AB10" s="89"/>
      <c r="AC10" s="91"/>
      <c r="AE10" s="88" t="s">
        <v>155</v>
      </c>
      <c r="AF10" s="89" t="s">
        <v>322</v>
      </c>
      <c r="AG10" s="89"/>
      <c r="AH10" s="89"/>
      <c r="AI10" s="91" t="n">
        <v>19.5</v>
      </c>
      <c r="AK10" s="88"/>
      <c r="AL10" s="89"/>
      <c r="AM10" s="89"/>
      <c r="AN10" s="89"/>
      <c r="AO10" s="91"/>
    </row>
    <row r="11" customFormat="false" ht="13.5" hidden="false" customHeight="false" outlineLevel="0" collapsed="false">
      <c r="A11" s="88"/>
      <c r="B11" s="89"/>
      <c r="C11" s="89"/>
      <c r="D11" s="89"/>
      <c r="E11" s="91"/>
      <c r="G11" s="88"/>
      <c r="H11" s="89"/>
      <c r="I11" s="89"/>
      <c r="J11" s="89"/>
      <c r="K11" s="91"/>
      <c r="M11" s="88"/>
      <c r="N11" s="89"/>
      <c r="O11" s="89"/>
      <c r="P11" s="89"/>
      <c r="Q11" s="91"/>
      <c r="S11" s="88"/>
      <c r="T11" s="89"/>
      <c r="U11" s="89"/>
      <c r="V11" s="89"/>
      <c r="W11" s="91"/>
      <c r="Y11" s="88"/>
      <c r="Z11" s="89"/>
      <c r="AA11" s="89"/>
      <c r="AB11" s="89"/>
      <c r="AC11" s="91"/>
      <c r="AE11" s="88"/>
      <c r="AF11" s="89"/>
      <c r="AG11" s="89"/>
      <c r="AH11" s="89"/>
      <c r="AI11" s="91"/>
      <c r="AK11" s="88"/>
      <c r="AL11" s="89"/>
      <c r="AM11" s="89"/>
      <c r="AN11" s="89"/>
      <c r="AO11" s="91"/>
    </row>
    <row r="12" customFormat="false" ht="13.5" hidden="false" customHeight="false" outlineLevel="0" collapsed="false">
      <c r="A12" s="88"/>
      <c r="B12" s="89"/>
      <c r="C12" s="89"/>
      <c r="D12" s="89"/>
      <c r="E12" s="91"/>
      <c r="G12" s="88"/>
      <c r="H12" s="89"/>
      <c r="I12" s="89"/>
      <c r="J12" s="89"/>
      <c r="K12" s="91"/>
      <c r="M12" s="88"/>
      <c r="N12" s="89"/>
      <c r="O12" s="89"/>
      <c r="P12" s="89"/>
      <c r="Q12" s="91"/>
      <c r="S12" s="88"/>
      <c r="T12" s="89"/>
      <c r="U12" s="89"/>
      <c r="V12" s="89"/>
      <c r="W12" s="91"/>
      <c r="Y12" s="88"/>
      <c r="Z12" s="89"/>
      <c r="AA12" s="89"/>
      <c r="AB12" s="89"/>
      <c r="AC12" s="91"/>
      <c r="AE12" s="88" t="s">
        <v>157</v>
      </c>
      <c r="AF12" s="89" t="s">
        <v>309</v>
      </c>
      <c r="AG12" s="89"/>
      <c r="AH12" s="89"/>
      <c r="AI12" s="91" t="n">
        <v>8.4</v>
      </c>
      <c r="AK12" s="88"/>
      <c r="AL12" s="89"/>
      <c r="AM12" s="89"/>
      <c r="AN12" s="89"/>
      <c r="AO12" s="91"/>
    </row>
    <row r="13" customFormat="false" ht="13.5" hidden="false" customHeight="false" outlineLevel="0" collapsed="false">
      <c r="A13" s="88"/>
      <c r="B13" s="89"/>
      <c r="C13" s="89"/>
      <c r="D13" s="89"/>
      <c r="E13" s="91"/>
      <c r="G13" s="88"/>
      <c r="H13" s="89"/>
      <c r="I13" s="89"/>
      <c r="J13" s="89"/>
      <c r="K13" s="91"/>
      <c r="M13" s="88"/>
      <c r="N13" s="89"/>
      <c r="O13" s="89"/>
      <c r="P13" s="89"/>
      <c r="Q13" s="91"/>
      <c r="S13" s="88"/>
      <c r="T13" s="89"/>
      <c r="U13" s="89"/>
      <c r="V13" s="89"/>
      <c r="W13" s="91"/>
      <c r="Y13" s="88"/>
      <c r="Z13" s="89"/>
      <c r="AA13" s="89"/>
      <c r="AB13" s="89"/>
      <c r="AC13" s="91"/>
      <c r="AE13" s="88"/>
      <c r="AF13" s="89"/>
      <c r="AG13" s="89"/>
      <c r="AH13" s="89"/>
      <c r="AI13" s="91"/>
      <c r="AK13" s="88"/>
      <c r="AL13" s="89"/>
      <c r="AM13" s="89"/>
      <c r="AN13" s="89"/>
      <c r="AO13" s="91"/>
    </row>
    <row r="14" customFormat="false" ht="13.5" hidden="false" customHeight="false" outlineLevel="0" collapsed="false">
      <c r="A14" s="88"/>
      <c r="B14" s="89"/>
      <c r="C14" s="89"/>
      <c r="D14" s="89"/>
      <c r="E14" s="91"/>
      <c r="G14" s="88"/>
      <c r="H14" s="89"/>
      <c r="I14" s="89"/>
      <c r="J14" s="89"/>
      <c r="K14" s="91"/>
      <c r="M14" s="88"/>
      <c r="N14" s="89"/>
      <c r="O14" s="89"/>
      <c r="P14" s="89"/>
      <c r="Q14" s="91"/>
      <c r="S14" s="88"/>
      <c r="T14" s="89"/>
      <c r="U14" s="89"/>
      <c r="V14" s="89"/>
      <c r="W14" s="91"/>
      <c r="Y14" s="88"/>
      <c r="Z14" s="89"/>
      <c r="AA14" s="89"/>
      <c r="AB14" s="89"/>
      <c r="AC14" s="91"/>
      <c r="AE14" s="88" t="s">
        <v>159</v>
      </c>
      <c r="AF14" s="89" t="s">
        <v>312</v>
      </c>
      <c r="AG14" s="89"/>
      <c r="AH14" s="89"/>
      <c r="AI14" s="91" t="n">
        <v>3.4</v>
      </c>
      <c r="AK14" s="88"/>
      <c r="AL14" s="89"/>
      <c r="AM14" s="89"/>
      <c r="AN14" s="89"/>
      <c r="AO14" s="91"/>
    </row>
    <row r="15" customFormat="false" ht="13.5" hidden="false" customHeight="false" outlineLevel="0" collapsed="false">
      <c r="A15" s="88"/>
      <c r="B15" s="89"/>
      <c r="C15" s="89"/>
      <c r="D15" s="89"/>
      <c r="E15" s="91"/>
      <c r="G15" s="88"/>
      <c r="H15" s="89"/>
      <c r="I15" s="89"/>
      <c r="J15" s="89"/>
      <c r="K15" s="91"/>
      <c r="M15" s="88"/>
      <c r="N15" s="89"/>
      <c r="O15" s="89"/>
      <c r="P15" s="89"/>
      <c r="Q15" s="91"/>
      <c r="S15" s="88"/>
      <c r="T15" s="89"/>
      <c r="U15" s="89"/>
      <c r="V15" s="89"/>
      <c r="W15" s="91"/>
      <c r="Y15" s="88"/>
      <c r="Z15" s="89"/>
      <c r="AA15" s="89"/>
      <c r="AB15" s="89"/>
      <c r="AC15" s="91"/>
      <c r="AE15" s="88"/>
      <c r="AF15" s="89"/>
      <c r="AG15" s="89"/>
      <c r="AH15" s="89"/>
      <c r="AI15" s="91"/>
      <c r="AK15" s="88"/>
      <c r="AL15" s="89"/>
      <c r="AM15" s="89"/>
      <c r="AN15" s="89"/>
      <c r="AO15" s="91"/>
    </row>
    <row r="16" customFormat="false" ht="13.5" hidden="false" customHeight="false" outlineLevel="0" collapsed="false">
      <c r="A16" s="88"/>
      <c r="B16" s="89"/>
      <c r="C16" s="89"/>
      <c r="D16" s="89"/>
      <c r="E16" s="91"/>
      <c r="G16" s="88"/>
      <c r="H16" s="89"/>
      <c r="I16" s="89"/>
      <c r="J16" s="89"/>
      <c r="K16" s="91"/>
      <c r="M16" s="88"/>
      <c r="N16" s="89"/>
      <c r="O16" s="89"/>
      <c r="P16" s="89"/>
      <c r="Q16" s="91"/>
      <c r="S16" s="88"/>
      <c r="T16" s="89"/>
      <c r="U16" s="89"/>
      <c r="V16" s="89"/>
      <c r="W16" s="91"/>
      <c r="Y16" s="88"/>
      <c r="Z16" s="89"/>
      <c r="AA16" s="89"/>
      <c r="AB16" s="89"/>
      <c r="AC16" s="91"/>
      <c r="AE16" s="88" t="s">
        <v>160</v>
      </c>
      <c r="AF16" s="89" t="s">
        <v>315</v>
      </c>
      <c r="AG16" s="89"/>
      <c r="AH16" s="89"/>
      <c r="AI16" s="91" t="n">
        <v>3.4</v>
      </c>
      <c r="AK16" s="88"/>
      <c r="AL16" s="89"/>
      <c r="AM16" s="89"/>
      <c r="AN16" s="89"/>
      <c r="AO16" s="91"/>
    </row>
    <row r="17" customFormat="false" ht="13.5" hidden="false" customHeight="false" outlineLevel="0" collapsed="false">
      <c r="A17" s="88"/>
      <c r="B17" s="89"/>
      <c r="C17" s="89"/>
      <c r="D17" s="89"/>
      <c r="E17" s="91"/>
      <c r="G17" s="88"/>
      <c r="H17" s="89"/>
      <c r="I17" s="89"/>
      <c r="J17" s="89"/>
      <c r="K17" s="91"/>
      <c r="M17" s="88"/>
      <c r="N17" s="89"/>
      <c r="O17" s="89"/>
      <c r="P17" s="89"/>
      <c r="Q17" s="91"/>
      <c r="S17" s="88"/>
      <c r="T17" s="89"/>
      <c r="U17" s="89"/>
      <c r="V17" s="89"/>
      <c r="W17" s="91"/>
      <c r="Y17" s="88"/>
      <c r="Z17" s="89"/>
      <c r="AA17" s="89"/>
      <c r="AB17" s="89"/>
      <c r="AC17" s="91"/>
      <c r="AE17" s="88"/>
      <c r="AF17" s="89"/>
      <c r="AG17" s="89"/>
      <c r="AH17" s="89"/>
      <c r="AI17" s="91"/>
      <c r="AK17" s="88"/>
      <c r="AL17" s="89"/>
      <c r="AM17" s="89"/>
      <c r="AN17" s="89"/>
      <c r="AO17" s="91"/>
    </row>
    <row r="18" customFormat="false" ht="13.5" hidden="false" customHeight="false" outlineLevel="0" collapsed="false">
      <c r="A18" s="88"/>
      <c r="B18" s="89"/>
      <c r="C18" s="89"/>
      <c r="D18" s="89"/>
      <c r="E18" s="91"/>
      <c r="G18" s="88"/>
      <c r="H18" s="89"/>
      <c r="I18" s="89"/>
      <c r="J18" s="89"/>
      <c r="K18" s="91"/>
      <c r="M18" s="88"/>
      <c r="N18" s="89"/>
      <c r="O18" s="89"/>
      <c r="P18" s="89"/>
      <c r="Q18" s="91"/>
      <c r="S18" s="88"/>
      <c r="T18" s="89"/>
      <c r="U18" s="89"/>
      <c r="V18" s="89"/>
      <c r="W18" s="91"/>
      <c r="Y18" s="88"/>
      <c r="Z18" s="89"/>
      <c r="AA18" s="89"/>
      <c r="AB18" s="89"/>
      <c r="AC18" s="91"/>
      <c r="AE18" s="88" t="s">
        <v>164</v>
      </c>
      <c r="AF18" s="89" t="s">
        <v>316</v>
      </c>
      <c r="AG18" s="89"/>
      <c r="AH18" s="89"/>
      <c r="AI18" s="91" t="n">
        <v>7.7</v>
      </c>
      <c r="AK18" s="88"/>
      <c r="AL18" s="89"/>
      <c r="AM18" s="89"/>
      <c r="AN18" s="89"/>
      <c r="AO18" s="91"/>
    </row>
    <row r="19" customFormat="false" ht="13.5" hidden="false" customHeight="false" outlineLevel="0" collapsed="false">
      <c r="A19" s="88"/>
      <c r="B19" s="89"/>
      <c r="C19" s="89"/>
      <c r="D19" s="89"/>
      <c r="E19" s="91"/>
      <c r="G19" s="88"/>
      <c r="H19" s="89"/>
      <c r="I19" s="89"/>
      <c r="J19" s="89"/>
      <c r="K19" s="91"/>
      <c r="M19" s="88"/>
      <c r="N19" s="89"/>
      <c r="O19" s="89"/>
      <c r="P19" s="89"/>
      <c r="Q19" s="91"/>
      <c r="S19" s="88"/>
      <c r="T19" s="89"/>
      <c r="U19" s="89"/>
      <c r="V19" s="89"/>
      <c r="W19" s="91"/>
      <c r="Y19" s="88"/>
      <c r="Z19" s="89"/>
      <c r="AA19" s="89"/>
      <c r="AB19" s="89"/>
      <c r="AC19" s="91"/>
      <c r="AE19" s="88"/>
      <c r="AF19" s="89"/>
      <c r="AG19" s="89"/>
      <c r="AH19" s="89"/>
      <c r="AI19" s="91"/>
      <c r="AK19" s="88"/>
      <c r="AL19" s="89"/>
      <c r="AM19" s="89"/>
      <c r="AN19" s="89"/>
      <c r="AO19" s="91"/>
    </row>
    <row r="20" customFormat="false" ht="14.25" hidden="false" customHeight="true" outlineLevel="0" collapsed="false">
      <c r="A20" s="88"/>
      <c r="B20" s="89"/>
      <c r="C20" s="89"/>
      <c r="D20" s="89"/>
      <c r="E20" s="91"/>
      <c r="G20" s="88"/>
      <c r="H20" s="89"/>
      <c r="I20" s="89"/>
      <c r="J20" s="89"/>
      <c r="K20" s="91"/>
      <c r="M20" s="88"/>
      <c r="N20" s="89"/>
      <c r="O20" s="89"/>
      <c r="P20" s="89"/>
      <c r="Q20" s="91"/>
      <c r="S20" s="88"/>
      <c r="T20" s="89"/>
      <c r="U20" s="89"/>
      <c r="V20" s="89"/>
      <c r="W20" s="91"/>
      <c r="Y20" s="88"/>
      <c r="Z20" s="89"/>
      <c r="AA20" s="89"/>
      <c r="AB20" s="89"/>
      <c r="AC20" s="91"/>
      <c r="AE20" s="88"/>
      <c r="AF20" s="89"/>
      <c r="AG20" s="89"/>
      <c r="AH20" s="89"/>
      <c r="AI20" s="91"/>
      <c r="AK20" s="88"/>
      <c r="AL20" s="89"/>
      <c r="AM20" s="89"/>
      <c r="AN20" s="89"/>
      <c r="AO20" s="91"/>
    </row>
    <row r="21" s="80" customFormat="true" ht="14.25" hidden="false" customHeight="true" outlineLevel="0" collapsed="false">
      <c r="A21" s="183"/>
      <c r="B21" s="184"/>
      <c r="C21" s="184"/>
      <c r="D21" s="184"/>
      <c r="E21" s="185" t="n">
        <f aca="false">SUM(E4:E20)</f>
        <v>38.9</v>
      </c>
      <c r="F21" s="172"/>
      <c r="G21" s="183"/>
      <c r="H21" s="184"/>
      <c r="I21" s="184"/>
      <c r="J21" s="184"/>
      <c r="K21" s="185" t="n">
        <f aca="false">SUM(K4:K20)</f>
        <v>48.5</v>
      </c>
      <c r="L21" s="172"/>
      <c r="M21" s="183"/>
      <c r="N21" s="184"/>
      <c r="O21" s="184"/>
      <c r="P21" s="184"/>
      <c r="Q21" s="185" t="n">
        <f aca="false">SUM(Q4:Q20)</f>
        <v>0</v>
      </c>
      <c r="R21" s="172"/>
      <c r="S21" s="183"/>
      <c r="T21" s="184"/>
      <c r="U21" s="184"/>
      <c r="V21" s="184"/>
      <c r="W21" s="185" t="n">
        <f aca="false">SUM(W4:W20)</f>
        <v>32.7</v>
      </c>
      <c r="X21" s="172"/>
      <c r="Y21" s="183"/>
      <c r="Z21" s="184"/>
      <c r="AA21" s="184"/>
      <c r="AB21" s="184"/>
      <c r="AC21" s="185" t="n">
        <f aca="false">SUM(AC4:AC20)</f>
        <v>0</v>
      </c>
      <c r="AD21" s="172"/>
      <c r="AE21" s="183"/>
      <c r="AF21" s="184"/>
      <c r="AG21" s="184"/>
      <c r="AH21" s="184"/>
      <c r="AI21" s="185" t="n">
        <f aca="false">SUM(AI4:AI20)</f>
        <v>411.9</v>
      </c>
      <c r="AJ21" s="172"/>
      <c r="AK21" s="183"/>
      <c r="AL21" s="184"/>
      <c r="AM21" s="184"/>
      <c r="AN21" s="184"/>
      <c r="AO21" s="185" t="n">
        <f aca="false">SUM(AO4:AO20)</f>
        <v>0</v>
      </c>
    </row>
  </sheetData>
  <mergeCells count="7">
    <mergeCell ref="A1:E1"/>
    <mergeCell ref="G1:K1"/>
    <mergeCell ref="M1:Q1"/>
    <mergeCell ref="S1:W1"/>
    <mergeCell ref="Y1:AC1"/>
    <mergeCell ref="AE1:AI1"/>
    <mergeCell ref="AK1:AO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F1C8"/>
    <pageSetUpPr fitToPage="false"/>
  </sheetPr>
  <dimension ref="A1:AO40"/>
  <sheetViews>
    <sheetView showFormulas="false" showGridLines="true" showRowColHeaders="true" showZeros="true" rightToLeft="false" tabSelected="false" showOutlineSymbols="true" defaultGridColor="true" view="normal" topLeftCell="C23" colorId="64" zoomScale="100" zoomScaleNormal="100" zoomScalePageLayoutView="100" workbookViewId="0">
      <selection pane="topLeft" activeCell="W40" activeCellId="0" sqref="W40"/>
    </sheetView>
  </sheetViews>
  <sheetFormatPr defaultColWidth="8.5390625" defaultRowHeight="13.5" zeroHeight="false" outlineLevelRow="0" outlineLevelCol="0"/>
  <cols>
    <col collapsed="false" customWidth="true" hidden="false" outlineLevel="0" max="2" min="2" style="44" width="12.1"/>
    <col collapsed="false" customWidth="true" hidden="false" outlineLevel="0" max="8" min="8" style="44" width="27.9"/>
    <col collapsed="false" customWidth="true" hidden="false" outlineLevel="0" max="10" min="9" style="44" width="8.9"/>
    <col collapsed="false" customWidth="true" hidden="false" outlineLevel="0" max="14" min="14" style="44" width="18.3"/>
    <col collapsed="false" customWidth="true" hidden="false" outlineLevel="0" max="20" min="20" style="44" width="12.1"/>
    <col collapsed="false" customWidth="true" hidden="false" outlineLevel="0" max="26" min="26" style="44" width="12.1"/>
    <col collapsed="false" customWidth="true" hidden="false" outlineLevel="0" max="32" min="32" style="44" width="16.6"/>
    <col collapsed="false" customWidth="true" hidden="false" outlineLevel="0" max="33" min="33" style="44" width="7.8"/>
    <col collapsed="false" customWidth="true" hidden="false" outlineLevel="0" max="37" min="37" style="44" width="11.8"/>
    <col collapsed="false" customWidth="true" hidden="false" outlineLevel="0" max="38" min="38" style="44" width="15.7"/>
    <col collapsed="false" customWidth="true" hidden="false" outlineLevel="0" max="39" min="39" style="44" width="11.8"/>
    <col collapsed="false" customWidth="true" hidden="false" outlineLevel="0" max="40" min="40" style="44" width="11.7"/>
    <col collapsed="false" customWidth="true" hidden="false" outlineLevel="0" max="41" min="41" style="44" width="12.7"/>
  </cols>
  <sheetData>
    <row r="1" s="178" customFormat="true" ht="40.5" hidden="false" customHeight="true" outlineLevel="0" collapsed="false">
      <c r="A1" s="177" t="s">
        <v>293</v>
      </c>
      <c r="B1" s="177"/>
      <c r="C1" s="177"/>
      <c r="D1" s="177"/>
      <c r="E1" s="177"/>
      <c r="G1" s="177" t="s">
        <v>294</v>
      </c>
      <c r="H1" s="177"/>
      <c r="I1" s="177"/>
      <c r="J1" s="177"/>
      <c r="K1" s="177"/>
      <c r="M1" s="177" t="s">
        <v>295</v>
      </c>
      <c r="N1" s="177"/>
      <c r="O1" s="177"/>
      <c r="P1" s="177"/>
      <c r="Q1" s="177"/>
      <c r="S1" s="177" t="s">
        <v>296</v>
      </c>
      <c r="T1" s="177"/>
      <c r="U1" s="177"/>
      <c r="V1" s="177"/>
      <c r="W1" s="177"/>
      <c r="Y1" s="177" t="s">
        <v>297</v>
      </c>
      <c r="Z1" s="177"/>
      <c r="AA1" s="177"/>
      <c r="AB1" s="177"/>
      <c r="AC1" s="177"/>
      <c r="AE1" s="177" t="s">
        <v>298</v>
      </c>
      <c r="AF1" s="177"/>
      <c r="AG1" s="177"/>
      <c r="AH1" s="177"/>
      <c r="AI1" s="177"/>
      <c r="AK1" s="179" t="s">
        <v>299</v>
      </c>
      <c r="AL1" s="179"/>
      <c r="AM1" s="179"/>
      <c r="AN1" s="179"/>
      <c r="AO1" s="179"/>
    </row>
    <row r="2" s="87" customFormat="true" ht="14.25" hidden="false" customHeight="true" outlineLevel="0" collapsed="false">
      <c r="A2" s="83" t="s">
        <v>131</v>
      </c>
      <c r="B2" s="84" t="s">
        <v>0</v>
      </c>
      <c r="C2" s="84" t="s">
        <v>300</v>
      </c>
      <c r="D2" s="84" t="s">
        <v>301</v>
      </c>
      <c r="E2" s="86" t="s">
        <v>137</v>
      </c>
      <c r="G2" s="83" t="s">
        <v>131</v>
      </c>
      <c r="H2" s="84" t="s">
        <v>0</v>
      </c>
      <c r="I2" s="84" t="s">
        <v>300</v>
      </c>
      <c r="J2" s="84" t="s">
        <v>301</v>
      </c>
      <c r="K2" s="86" t="s">
        <v>137</v>
      </c>
      <c r="M2" s="83" t="s">
        <v>131</v>
      </c>
      <c r="N2" s="84" t="s">
        <v>0</v>
      </c>
      <c r="O2" s="84" t="s">
        <v>300</v>
      </c>
      <c r="P2" s="84" t="s">
        <v>301</v>
      </c>
      <c r="Q2" s="86" t="s">
        <v>137</v>
      </c>
      <c r="S2" s="83" t="s">
        <v>131</v>
      </c>
      <c r="T2" s="84" t="s">
        <v>0</v>
      </c>
      <c r="U2" s="84" t="s">
        <v>300</v>
      </c>
      <c r="V2" s="84" t="s">
        <v>301</v>
      </c>
      <c r="W2" s="86" t="s">
        <v>137</v>
      </c>
      <c r="Y2" s="83" t="s">
        <v>131</v>
      </c>
      <c r="Z2" s="84" t="s">
        <v>0</v>
      </c>
      <c r="AA2" s="84" t="s">
        <v>300</v>
      </c>
      <c r="AB2" s="84" t="s">
        <v>301</v>
      </c>
      <c r="AC2" s="86" t="s">
        <v>137</v>
      </c>
      <c r="AE2" s="83" t="s">
        <v>131</v>
      </c>
      <c r="AF2" s="84" t="s">
        <v>0</v>
      </c>
      <c r="AG2" s="84" t="s">
        <v>300</v>
      </c>
      <c r="AH2" s="84" t="s">
        <v>301</v>
      </c>
      <c r="AI2" s="86" t="s">
        <v>137</v>
      </c>
      <c r="AK2" s="83" t="s">
        <v>131</v>
      </c>
      <c r="AL2" s="84" t="s">
        <v>0</v>
      </c>
      <c r="AM2" s="84" t="s">
        <v>300</v>
      </c>
      <c r="AN2" s="84" t="s">
        <v>301</v>
      </c>
      <c r="AO2" s="86" t="s">
        <v>137</v>
      </c>
    </row>
    <row r="3" customFormat="false" ht="13.5" hidden="false" customHeight="false" outlineLevel="0" collapsed="false">
      <c r="A3" s="167"/>
      <c r="B3" s="169"/>
      <c r="C3" s="169"/>
      <c r="D3" s="169"/>
      <c r="E3" s="170"/>
      <c r="G3" s="180"/>
      <c r="H3" s="181"/>
      <c r="I3" s="181"/>
      <c r="J3" s="181"/>
      <c r="K3" s="182"/>
      <c r="M3" s="88"/>
      <c r="N3" s="89"/>
      <c r="O3" s="89"/>
      <c r="P3" s="89"/>
      <c r="Q3" s="91"/>
      <c r="S3" s="88"/>
      <c r="T3" s="89"/>
      <c r="U3" s="89"/>
      <c r="V3" s="89"/>
      <c r="W3" s="91"/>
      <c r="Y3" s="88"/>
      <c r="Z3" s="89"/>
      <c r="AA3" s="89"/>
      <c r="AB3" s="89"/>
      <c r="AC3" s="91"/>
      <c r="AE3" s="167"/>
      <c r="AF3" s="169"/>
      <c r="AG3" s="169"/>
      <c r="AH3" s="169"/>
      <c r="AI3" s="170"/>
      <c r="AK3" s="88"/>
      <c r="AL3" s="89"/>
      <c r="AM3" s="89"/>
      <c r="AN3" s="89"/>
      <c r="AO3" s="91"/>
    </row>
    <row r="4" customFormat="false" ht="13.5" hidden="false" customHeight="false" outlineLevel="0" collapsed="false">
      <c r="A4" s="88" t="s">
        <v>138</v>
      </c>
      <c r="B4" s="89"/>
      <c r="C4" s="89"/>
      <c r="D4" s="89"/>
      <c r="E4" s="91"/>
      <c r="G4" s="88" t="s">
        <v>138</v>
      </c>
      <c r="H4" s="89" t="s">
        <v>335</v>
      </c>
      <c r="I4" s="89"/>
      <c r="J4" s="89"/>
      <c r="K4" s="91" t="n">
        <v>90.9</v>
      </c>
      <c r="M4" s="88" t="s">
        <v>138</v>
      </c>
      <c r="N4" s="89" t="s">
        <v>336</v>
      </c>
      <c r="O4" s="89"/>
      <c r="P4" s="89"/>
      <c r="Q4" s="91" t="n">
        <v>17.3</v>
      </c>
      <c r="S4" s="88" t="s">
        <v>138</v>
      </c>
      <c r="T4" s="89" t="s">
        <v>337</v>
      </c>
      <c r="U4" s="89"/>
      <c r="V4" s="89"/>
      <c r="W4" s="91" t="n">
        <v>15.3</v>
      </c>
      <c r="Y4" s="88"/>
      <c r="Z4" s="89"/>
      <c r="AA4" s="89"/>
      <c r="AB4" s="89"/>
      <c r="AC4" s="91"/>
      <c r="AE4" s="88" t="s">
        <v>138</v>
      </c>
      <c r="AF4" s="89"/>
      <c r="AG4" s="89"/>
      <c r="AH4" s="89"/>
      <c r="AI4" s="91"/>
      <c r="AK4" s="88" t="s">
        <v>138</v>
      </c>
      <c r="AL4" s="122"/>
      <c r="AM4" s="89"/>
      <c r="AN4" s="89"/>
      <c r="AO4" s="91"/>
    </row>
    <row r="5" customFormat="false" ht="13.5" hidden="false" customHeight="false" outlineLevel="0" collapsed="false">
      <c r="A5" s="88"/>
      <c r="B5" s="89"/>
      <c r="C5" s="89"/>
      <c r="D5" s="89"/>
      <c r="E5" s="91"/>
      <c r="G5" s="88"/>
      <c r="H5" s="89"/>
      <c r="I5" s="89"/>
      <c r="J5" s="89"/>
      <c r="K5" s="91"/>
      <c r="M5" s="88"/>
      <c r="N5" s="89"/>
      <c r="O5" s="89"/>
      <c r="P5" s="89"/>
      <c r="Q5" s="91"/>
      <c r="S5" s="88"/>
      <c r="T5" s="89"/>
      <c r="U5" s="89"/>
      <c r="V5" s="89"/>
      <c r="W5" s="91"/>
      <c r="Y5" s="88"/>
      <c r="Z5" s="89"/>
      <c r="AA5" s="89"/>
      <c r="AB5" s="89"/>
      <c r="AC5" s="91"/>
      <c r="AE5" s="88"/>
      <c r="AF5" s="89"/>
      <c r="AG5" s="89"/>
      <c r="AH5" s="89"/>
      <c r="AI5" s="91"/>
      <c r="AK5" s="88"/>
      <c r="AL5" s="89"/>
      <c r="AM5" s="89"/>
      <c r="AN5" s="89"/>
      <c r="AO5" s="91"/>
    </row>
    <row r="6" customFormat="false" ht="13.5" hidden="false" customHeight="false" outlineLevel="0" collapsed="false">
      <c r="A6" s="88" t="s">
        <v>141</v>
      </c>
      <c r="B6" s="89"/>
      <c r="C6" s="89"/>
      <c r="D6" s="89"/>
      <c r="E6" s="91"/>
      <c r="G6" s="88" t="s">
        <v>141</v>
      </c>
      <c r="H6" s="89" t="s">
        <v>338</v>
      </c>
      <c r="I6" s="89"/>
      <c r="J6" s="89"/>
      <c r="K6" s="91" t="n">
        <v>21.6</v>
      </c>
      <c r="M6" s="88" t="s">
        <v>141</v>
      </c>
      <c r="N6" s="89" t="s">
        <v>339</v>
      </c>
      <c r="O6" s="89"/>
      <c r="P6" s="89"/>
      <c r="Q6" s="91" t="n">
        <v>13.2</v>
      </c>
      <c r="S6" s="88" t="s">
        <v>141</v>
      </c>
      <c r="T6" s="89" t="s">
        <v>316</v>
      </c>
      <c r="U6" s="89"/>
      <c r="V6" s="89"/>
      <c r="W6" s="91" t="n">
        <v>11.8</v>
      </c>
      <c r="Y6" s="88"/>
      <c r="Z6" s="89"/>
      <c r="AA6" s="89"/>
      <c r="AB6" s="89"/>
      <c r="AC6" s="91"/>
      <c r="AE6" s="88" t="s">
        <v>141</v>
      </c>
      <c r="AF6" s="89"/>
      <c r="AG6" s="89"/>
      <c r="AH6" s="89"/>
      <c r="AI6" s="91"/>
      <c r="AK6" s="88"/>
      <c r="AL6" s="89"/>
      <c r="AM6" s="89"/>
      <c r="AN6" s="89"/>
      <c r="AO6" s="91"/>
    </row>
    <row r="7" customFormat="false" ht="13.5" hidden="false" customHeight="false" outlineLevel="0" collapsed="false">
      <c r="A7" s="88"/>
      <c r="B7" s="89"/>
      <c r="C7" s="89"/>
      <c r="D7" s="89"/>
      <c r="E7" s="91"/>
      <c r="G7" s="88"/>
      <c r="H7" s="89"/>
      <c r="I7" s="89"/>
      <c r="J7" s="89"/>
      <c r="K7" s="91"/>
      <c r="M7" s="88"/>
      <c r="N7" s="89"/>
      <c r="O7" s="89"/>
      <c r="P7" s="89"/>
      <c r="Q7" s="91"/>
      <c r="S7" s="88"/>
      <c r="T7" s="89"/>
      <c r="U7" s="89"/>
      <c r="V7" s="89"/>
      <c r="W7" s="91"/>
      <c r="Y7" s="88"/>
      <c r="Z7" s="89"/>
      <c r="AA7" s="89"/>
      <c r="AB7" s="89"/>
      <c r="AC7" s="91"/>
      <c r="AE7" s="88"/>
      <c r="AF7" s="89"/>
      <c r="AG7" s="89"/>
      <c r="AH7" s="89"/>
      <c r="AI7" s="91"/>
      <c r="AK7" s="88"/>
      <c r="AL7" s="89"/>
      <c r="AM7" s="89"/>
      <c r="AN7" s="89"/>
      <c r="AO7" s="91"/>
    </row>
    <row r="8" customFormat="false" ht="13.5" hidden="false" customHeight="false" outlineLevel="0" collapsed="false">
      <c r="A8" s="88" t="s">
        <v>151</v>
      </c>
      <c r="B8" s="89"/>
      <c r="C8" s="89"/>
      <c r="D8" s="89"/>
      <c r="E8" s="91"/>
      <c r="G8" s="88" t="s">
        <v>151</v>
      </c>
      <c r="H8" s="89" t="s">
        <v>313</v>
      </c>
      <c r="I8" s="89"/>
      <c r="J8" s="89"/>
      <c r="K8" s="91" t="n">
        <v>12.5</v>
      </c>
      <c r="M8" s="88" t="s">
        <v>151</v>
      </c>
      <c r="N8" s="89" t="s">
        <v>340</v>
      </c>
      <c r="O8" s="89"/>
      <c r="P8" s="89"/>
      <c r="Q8" s="91" t="n">
        <v>17.7</v>
      </c>
      <c r="S8" s="88" t="s">
        <v>151</v>
      </c>
      <c r="T8" s="89" t="s">
        <v>308</v>
      </c>
      <c r="U8" s="89"/>
      <c r="V8" s="89"/>
      <c r="W8" s="91" t="n">
        <v>3</v>
      </c>
      <c r="Y8" s="88"/>
      <c r="Z8" s="89"/>
      <c r="AA8" s="89"/>
      <c r="AB8" s="89"/>
      <c r="AC8" s="91"/>
      <c r="AE8" s="88" t="s">
        <v>151</v>
      </c>
      <c r="AF8" s="89"/>
      <c r="AG8" s="89"/>
      <c r="AH8" s="89"/>
      <c r="AI8" s="91"/>
      <c r="AK8" s="88"/>
      <c r="AL8" s="89"/>
      <c r="AM8" s="89"/>
      <c r="AN8" s="89"/>
      <c r="AO8" s="91"/>
    </row>
    <row r="9" customFormat="false" ht="13.5" hidden="false" customHeight="false" outlineLevel="0" collapsed="false">
      <c r="A9" s="88"/>
      <c r="B9" s="89"/>
      <c r="C9" s="89"/>
      <c r="D9" s="89"/>
      <c r="E9" s="91"/>
      <c r="G9" s="88"/>
      <c r="H9" s="89"/>
      <c r="I9" s="89"/>
      <c r="J9" s="89"/>
      <c r="K9" s="91"/>
      <c r="M9" s="88"/>
      <c r="N9" s="89"/>
      <c r="O9" s="89"/>
      <c r="P9" s="89"/>
      <c r="Q9" s="91"/>
      <c r="S9" s="88"/>
      <c r="T9" s="89"/>
      <c r="U9" s="89"/>
      <c r="V9" s="89"/>
      <c r="W9" s="91"/>
      <c r="Y9" s="88"/>
      <c r="Z9" s="89"/>
      <c r="AA9" s="89"/>
      <c r="AB9" s="89"/>
      <c r="AC9" s="91"/>
      <c r="AE9" s="88"/>
      <c r="AF9" s="89"/>
      <c r="AG9" s="89"/>
      <c r="AH9" s="89"/>
      <c r="AI9" s="91"/>
      <c r="AK9" s="88"/>
      <c r="AL9" s="89"/>
      <c r="AM9" s="89"/>
      <c r="AN9" s="89"/>
      <c r="AO9" s="91"/>
    </row>
    <row r="10" customFormat="false" ht="13.5" hidden="false" customHeight="false" outlineLevel="0" collapsed="false">
      <c r="A10" s="88"/>
      <c r="B10" s="89"/>
      <c r="C10" s="89"/>
      <c r="D10" s="89"/>
      <c r="E10" s="91"/>
      <c r="G10" s="88" t="s">
        <v>155</v>
      </c>
      <c r="H10" s="89" t="s">
        <v>341</v>
      </c>
      <c r="I10" s="89"/>
      <c r="J10" s="89"/>
      <c r="K10" s="91" t="n">
        <v>31.9</v>
      </c>
      <c r="M10" s="88" t="s">
        <v>155</v>
      </c>
      <c r="N10" s="89"/>
      <c r="O10" s="89"/>
      <c r="P10" s="89"/>
      <c r="Q10" s="91"/>
      <c r="S10" s="88" t="s">
        <v>155</v>
      </c>
      <c r="T10" s="89" t="s">
        <v>323</v>
      </c>
      <c r="U10" s="89"/>
      <c r="V10" s="89"/>
      <c r="W10" s="91" t="n">
        <v>2.9</v>
      </c>
      <c r="Y10" s="88"/>
      <c r="Z10" s="89"/>
      <c r="AA10" s="89"/>
      <c r="AB10" s="89"/>
      <c r="AC10" s="91"/>
      <c r="AE10" s="88" t="s">
        <v>155</v>
      </c>
      <c r="AF10" s="89"/>
      <c r="AG10" s="89"/>
      <c r="AH10" s="89"/>
      <c r="AI10" s="91"/>
      <c r="AK10" s="88"/>
      <c r="AL10" s="89"/>
      <c r="AM10" s="89"/>
      <c r="AN10" s="89"/>
      <c r="AO10" s="91"/>
    </row>
    <row r="11" customFormat="false" ht="13.5" hidden="false" customHeight="false" outlineLevel="0" collapsed="false">
      <c r="A11" s="88"/>
      <c r="B11" s="89"/>
      <c r="C11" s="89"/>
      <c r="D11" s="89"/>
      <c r="E11" s="91"/>
      <c r="G11" s="88"/>
      <c r="H11" s="89"/>
      <c r="I11" s="89"/>
      <c r="J11" s="89"/>
      <c r="K11" s="91"/>
      <c r="M11" s="88"/>
      <c r="N11" s="89"/>
      <c r="O11" s="89"/>
      <c r="P11" s="89"/>
      <c r="Q11" s="91"/>
      <c r="S11" s="88"/>
      <c r="T11" s="89"/>
      <c r="U11" s="89"/>
      <c r="V11" s="89"/>
      <c r="W11" s="91"/>
      <c r="Y11" s="88"/>
      <c r="Z11" s="89"/>
      <c r="AA11" s="89"/>
      <c r="AB11" s="89"/>
      <c r="AC11" s="91"/>
      <c r="AE11" s="88"/>
      <c r="AF11" s="89"/>
      <c r="AG11" s="89"/>
      <c r="AH11" s="89"/>
      <c r="AI11" s="91"/>
      <c r="AK11" s="88"/>
      <c r="AL11" s="89"/>
      <c r="AM11" s="89"/>
      <c r="AN11" s="89"/>
      <c r="AO11" s="91"/>
    </row>
    <row r="12" customFormat="false" ht="13.5" hidden="false" customHeight="false" outlineLevel="0" collapsed="false">
      <c r="A12" s="88"/>
      <c r="B12" s="89"/>
      <c r="C12" s="89"/>
      <c r="D12" s="89"/>
      <c r="E12" s="91"/>
      <c r="G12" s="88" t="s">
        <v>157</v>
      </c>
      <c r="H12" s="89" t="s">
        <v>342</v>
      </c>
      <c r="I12" s="89"/>
      <c r="J12" s="89"/>
      <c r="K12" s="91" t="n">
        <v>6.3</v>
      </c>
      <c r="M12" s="88"/>
      <c r="N12" s="89"/>
      <c r="O12" s="89"/>
      <c r="P12" s="89"/>
      <c r="Q12" s="91"/>
      <c r="S12" s="88" t="s">
        <v>157</v>
      </c>
      <c r="T12" s="89" t="s">
        <v>321</v>
      </c>
      <c r="U12" s="89"/>
      <c r="V12" s="89"/>
      <c r="W12" s="91" t="n">
        <v>13.2</v>
      </c>
      <c r="Y12" s="88"/>
      <c r="Z12" s="89"/>
      <c r="AA12" s="89"/>
      <c r="AB12" s="89"/>
      <c r="AC12" s="91"/>
      <c r="AE12" s="88" t="s">
        <v>157</v>
      </c>
      <c r="AF12" s="89"/>
      <c r="AG12" s="89"/>
      <c r="AH12" s="89"/>
      <c r="AI12" s="91"/>
      <c r="AK12" s="88"/>
      <c r="AL12" s="89"/>
      <c r="AM12" s="89"/>
      <c r="AN12" s="89"/>
      <c r="AO12" s="91"/>
    </row>
    <row r="13" customFormat="false" ht="13.5" hidden="false" customHeight="false" outlineLevel="0" collapsed="false">
      <c r="A13" s="88"/>
      <c r="B13" s="89"/>
      <c r="C13" s="89"/>
      <c r="D13" s="89"/>
      <c r="E13" s="91"/>
      <c r="G13" s="88"/>
      <c r="H13" s="89"/>
      <c r="I13" s="89"/>
      <c r="J13" s="89"/>
      <c r="K13" s="91"/>
      <c r="M13" s="88"/>
      <c r="N13" s="89"/>
      <c r="O13" s="89"/>
      <c r="P13" s="89"/>
      <c r="Q13" s="91"/>
      <c r="S13" s="88"/>
      <c r="T13" s="89"/>
      <c r="U13" s="89"/>
      <c r="V13" s="89"/>
      <c r="W13" s="91"/>
      <c r="Y13" s="88"/>
      <c r="Z13" s="89"/>
      <c r="AA13" s="89"/>
      <c r="AB13" s="89"/>
      <c r="AC13" s="91"/>
      <c r="AE13" s="88"/>
      <c r="AF13" s="89"/>
      <c r="AG13" s="89"/>
      <c r="AH13" s="89"/>
      <c r="AI13" s="91"/>
      <c r="AK13" s="88"/>
      <c r="AL13" s="89"/>
      <c r="AM13" s="89"/>
      <c r="AN13" s="89"/>
      <c r="AO13" s="91"/>
    </row>
    <row r="14" customFormat="false" ht="13.5" hidden="false" customHeight="false" outlineLevel="0" collapsed="false">
      <c r="A14" s="88"/>
      <c r="B14" s="89"/>
      <c r="C14" s="89"/>
      <c r="D14" s="89"/>
      <c r="E14" s="91"/>
      <c r="G14" s="88" t="s">
        <v>159</v>
      </c>
      <c r="H14" s="89" t="s">
        <v>343</v>
      </c>
      <c r="I14" s="89"/>
      <c r="J14" s="89"/>
      <c r="K14" s="91" t="n">
        <v>25.9</v>
      </c>
      <c r="M14" s="88"/>
      <c r="N14" s="89"/>
      <c r="O14" s="89"/>
      <c r="P14" s="89"/>
      <c r="Q14" s="91"/>
      <c r="S14" s="88"/>
      <c r="T14" s="89"/>
      <c r="U14" s="89"/>
      <c r="V14" s="89"/>
      <c r="W14" s="91"/>
      <c r="Y14" s="88"/>
      <c r="Z14" s="89"/>
      <c r="AA14" s="89"/>
      <c r="AB14" s="89"/>
      <c r="AC14" s="91"/>
      <c r="AE14" s="88" t="s">
        <v>159</v>
      </c>
      <c r="AF14" s="89"/>
      <c r="AG14" s="89"/>
      <c r="AH14" s="89"/>
      <c r="AI14" s="91"/>
      <c r="AK14" s="88"/>
      <c r="AL14" s="89"/>
      <c r="AM14" s="89"/>
      <c r="AN14" s="89"/>
      <c r="AO14" s="91"/>
    </row>
    <row r="15" customFormat="false" ht="13.5" hidden="false" customHeight="false" outlineLevel="0" collapsed="false">
      <c r="A15" s="88"/>
      <c r="B15" s="89"/>
      <c r="C15" s="89"/>
      <c r="D15" s="89"/>
      <c r="E15" s="91"/>
      <c r="G15" s="88"/>
      <c r="H15" s="89"/>
      <c r="I15" s="89"/>
      <c r="J15" s="89"/>
      <c r="K15" s="91"/>
      <c r="M15" s="88"/>
      <c r="N15" s="89"/>
      <c r="O15" s="89"/>
      <c r="P15" s="89"/>
      <c r="Q15" s="91"/>
      <c r="S15" s="88"/>
      <c r="T15" s="89"/>
      <c r="U15" s="89"/>
      <c r="V15" s="89"/>
      <c r="W15" s="91"/>
      <c r="Y15" s="88"/>
      <c r="Z15" s="89"/>
      <c r="AA15" s="89"/>
      <c r="AB15" s="89"/>
      <c r="AC15" s="91"/>
      <c r="AE15" s="88"/>
      <c r="AF15" s="89"/>
      <c r="AG15" s="89"/>
      <c r="AH15" s="89"/>
      <c r="AI15" s="91"/>
      <c r="AK15" s="88"/>
      <c r="AL15" s="89"/>
      <c r="AM15" s="89"/>
      <c r="AN15" s="89"/>
      <c r="AO15" s="91"/>
    </row>
    <row r="16" customFormat="false" ht="13.5" hidden="false" customHeight="false" outlineLevel="0" collapsed="false">
      <c r="A16" s="88"/>
      <c r="B16" s="89"/>
      <c r="C16" s="89"/>
      <c r="D16" s="89"/>
      <c r="E16" s="91"/>
      <c r="G16" s="88" t="s">
        <v>160</v>
      </c>
      <c r="H16" s="89" t="s">
        <v>344</v>
      </c>
      <c r="I16" s="89"/>
      <c r="J16" s="89"/>
      <c r="K16" s="91" t="n">
        <v>4.7</v>
      </c>
      <c r="M16" s="88"/>
      <c r="N16" s="89"/>
      <c r="O16" s="89"/>
      <c r="P16" s="89"/>
      <c r="Q16" s="91"/>
      <c r="S16" s="88"/>
      <c r="T16" s="89"/>
      <c r="U16" s="89"/>
      <c r="V16" s="89"/>
      <c r="W16" s="91"/>
      <c r="Y16" s="88"/>
      <c r="Z16" s="89"/>
      <c r="AA16" s="89"/>
      <c r="AB16" s="89"/>
      <c r="AC16" s="91"/>
      <c r="AE16" s="88" t="s">
        <v>160</v>
      </c>
      <c r="AF16" s="89"/>
      <c r="AG16" s="89"/>
      <c r="AH16" s="89"/>
      <c r="AI16" s="91"/>
      <c r="AK16" s="88"/>
      <c r="AL16" s="89"/>
      <c r="AM16" s="89"/>
      <c r="AN16" s="89"/>
      <c r="AO16" s="91"/>
    </row>
    <row r="17" customFormat="false" ht="13.5" hidden="false" customHeight="false" outlineLevel="0" collapsed="false">
      <c r="A17" s="88"/>
      <c r="B17" s="89"/>
      <c r="C17" s="89"/>
      <c r="D17" s="89"/>
      <c r="E17" s="91"/>
      <c r="G17" s="88"/>
      <c r="H17" s="89"/>
      <c r="I17" s="89"/>
      <c r="J17" s="89"/>
      <c r="K17" s="91"/>
      <c r="M17" s="88"/>
      <c r="N17" s="89"/>
      <c r="O17" s="89"/>
      <c r="P17" s="89"/>
      <c r="Q17" s="91"/>
      <c r="S17" s="88"/>
      <c r="T17" s="89"/>
      <c r="U17" s="89"/>
      <c r="V17" s="89"/>
      <c r="W17" s="91"/>
      <c r="Y17" s="88"/>
      <c r="Z17" s="89"/>
      <c r="AA17" s="89"/>
      <c r="AB17" s="89"/>
      <c r="AC17" s="91"/>
      <c r="AE17" s="88"/>
      <c r="AF17" s="89"/>
      <c r="AG17" s="89"/>
      <c r="AH17" s="89"/>
      <c r="AI17" s="91"/>
      <c r="AK17" s="88"/>
      <c r="AL17" s="89"/>
      <c r="AM17" s="89"/>
      <c r="AN17" s="89"/>
      <c r="AO17" s="91"/>
    </row>
    <row r="18" customFormat="false" ht="13.5" hidden="false" customHeight="false" outlineLevel="0" collapsed="false">
      <c r="A18" s="88"/>
      <c r="B18" s="89"/>
      <c r="C18" s="89"/>
      <c r="D18" s="89"/>
      <c r="E18" s="91"/>
      <c r="G18" s="88" t="s">
        <v>164</v>
      </c>
      <c r="H18" s="89" t="s">
        <v>305</v>
      </c>
      <c r="I18" s="89"/>
      <c r="J18" s="89"/>
      <c r="K18" s="91" t="n">
        <v>14.5</v>
      </c>
      <c r="M18" s="88"/>
      <c r="N18" s="89"/>
      <c r="O18" s="89"/>
      <c r="P18" s="89"/>
      <c r="Q18" s="91"/>
      <c r="S18" s="88"/>
      <c r="T18" s="89"/>
      <c r="U18" s="89"/>
      <c r="V18" s="89"/>
      <c r="W18" s="91"/>
      <c r="Y18" s="88"/>
      <c r="Z18" s="89"/>
      <c r="AA18" s="89"/>
      <c r="AB18" s="89"/>
      <c r="AC18" s="91"/>
      <c r="AE18" s="88" t="s">
        <v>164</v>
      </c>
      <c r="AF18" s="89"/>
      <c r="AG18" s="89"/>
      <c r="AH18" s="89"/>
      <c r="AI18" s="91"/>
      <c r="AK18" s="88"/>
      <c r="AL18" s="89"/>
      <c r="AM18" s="89"/>
      <c r="AN18" s="89"/>
      <c r="AO18" s="91"/>
    </row>
    <row r="19" customFormat="false" ht="13.5" hidden="false" customHeight="false" outlineLevel="0" collapsed="false">
      <c r="A19" s="88"/>
      <c r="B19" s="89"/>
      <c r="C19" s="89"/>
      <c r="D19" s="89"/>
      <c r="E19" s="91"/>
      <c r="G19" s="88"/>
      <c r="H19" s="89"/>
      <c r="I19" s="89"/>
      <c r="J19" s="89"/>
      <c r="K19" s="91"/>
      <c r="M19" s="88"/>
      <c r="N19" s="89"/>
      <c r="O19" s="89"/>
      <c r="P19" s="89"/>
      <c r="Q19" s="91"/>
      <c r="S19" s="88"/>
      <c r="T19" s="89"/>
      <c r="U19" s="89"/>
      <c r="V19" s="89"/>
      <c r="W19" s="91"/>
      <c r="Y19" s="88"/>
      <c r="Z19" s="89"/>
      <c r="AA19" s="89"/>
      <c r="AB19" s="89"/>
      <c r="AC19" s="91"/>
      <c r="AE19" s="88"/>
      <c r="AF19" s="89"/>
      <c r="AG19" s="89"/>
      <c r="AH19" s="89"/>
      <c r="AI19" s="91"/>
      <c r="AK19" s="88"/>
      <c r="AL19" s="89"/>
      <c r="AM19" s="89"/>
      <c r="AN19" s="89"/>
      <c r="AO19" s="91"/>
    </row>
    <row r="20" customFormat="false" ht="13.5" hidden="false" customHeight="false" outlineLevel="0" collapsed="false">
      <c r="A20" s="88"/>
      <c r="B20" s="89"/>
      <c r="C20" s="89"/>
      <c r="D20" s="89"/>
      <c r="E20" s="91"/>
      <c r="G20" s="88" t="s">
        <v>345</v>
      </c>
      <c r="H20" s="89" t="s">
        <v>346</v>
      </c>
      <c r="I20" s="89"/>
      <c r="J20" s="89"/>
      <c r="K20" s="91" t="n">
        <v>18.5</v>
      </c>
      <c r="M20" s="88"/>
      <c r="N20" s="89"/>
      <c r="O20" s="89"/>
      <c r="P20" s="89"/>
      <c r="Q20" s="91"/>
      <c r="S20" s="88"/>
      <c r="T20" s="89"/>
      <c r="U20" s="89"/>
      <c r="V20" s="89"/>
      <c r="W20" s="91"/>
      <c r="Y20" s="88"/>
      <c r="Z20" s="89"/>
      <c r="AA20" s="89"/>
      <c r="AB20" s="89"/>
      <c r="AC20" s="91"/>
      <c r="AE20" s="88"/>
      <c r="AF20" s="89"/>
      <c r="AG20" s="89"/>
      <c r="AH20" s="89"/>
      <c r="AI20" s="91"/>
      <c r="AK20" s="88"/>
      <c r="AL20" s="89"/>
      <c r="AM20" s="89"/>
      <c r="AN20" s="89"/>
      <c r="AO20" s="91"/>
    </row>
    <row r="21" customFormat="false" ht="13.5" hidden="false" customHeight="false" outlineLevel="0" collapsed="false">
      <c r="A21" s="88"/>
      <c r="B21" s="89"/>
      <c r="C21" s="89"/>
      <c r="D21" s="89"/>
      <c r="E21" s="91"/>
      <c r="G21" s="88"/>
      <c r="H21" s="89"/>
      <c r="I21" s="89"/>
      <c r="J21" s="89"/>
      <c r="K21" s="91"/>
      <c r="M21" s="88"/>
      <c r="N21" s="89"/>
      <c r="O21" s="89"/>
      <c r="P21" s="89"/>
      <c r="Q21" s="91"/>
      <c r="S21" s="88"/>
      <c r="T21" s="89"/>
      <c r="U21" s="89"/>
      <c r="V21" s="89"/>
      <c r="W21" s="91"/>
      <c r="Y21" s="88"/>
      <c r="Z21" s="89"/>
      <c r="AA21" s="89"/>
      <c r="AB21" s="89"/>
      <c r="AC21" s="91"/>
      <c r="AE21" s="88"/>
      <c r="AF21" s="89"/>
      <c r="AG21" s="89"/>
      <c r="AH21" s="89"/>
      <c r="AI21" s="91"/>
      <c r="AK21" s="88"/>
      <c r="AL21" s="89"/>
      <c r="AM21" s="89"/>
      <c r="AN21" s="89"/>
      <c r="AO21" s="91"/>
    </row>
    <row r="22" customFormat="false" ht="13.5" hidden="false" customHeight="false" outlineLevel="0" collapsed="false">
      <c r="A22" s="88"/>
      <c r="B22" s="89"/>
      <c r="C22" s="89"/>
      <c r="D22" s="89"/>
      <c r="E22" s="91"/>
      <c r="G22" s="88" t="s">
        <v>347</v>
      </c>
      <c r="H22" s="89" t="s">
        <v>336</v>
      </c>
      <c r="I22" s="89"/>
      <c r="J22" s="89"/>
      <c r="K22" s="91" t="n">
        <v>56.5</v>
      </c>
      <c r="M22" s="88"/>
      <c r="N22" s="89"/>
      <c r="O22" s="89"/>
      <c r="P22" s="89"/>
      <c r="Q22" s="91"/>
      <c r="S22" s="88"/>
      <c r="T22" s="89"/>
      <c r="U22" s="89"/>
      <c r="V22" s="89"/>
      <c r="W22" s="91"/>
      <c r="Y22" s="88"/>
      <c r="Z22" s="89"/>
      <c r="AA22" s="89"/>
      <c r="AB22" s="89"/>
      <c r="AC22" s="91"/>
      <c r="AE22" s="88"/>
      <c r="AF22" s="89"/>
      <c r="AG22" s="89"/>
      <c r="AH22" s="89"/>
      <c r="AI22" s="91"/>
      <c r="AK22" s="88"/>
      <c r="AL22" s="89"/>
      <c r="AM22" s="89"/>
      <c r="AN22" s="89"/>
      <c r="AO22" s="91"/>
    </row>
    <row r="23" customFormat="false" ht="13.5" hidden="false" customHeight="false" outlineLevel="0" collapsed="false">
      <c r="A23" s="88"/>
      <c r="B23" s="89"/>
      <c r="C23" s="89"/>
      <c r="D23" s="89"/>
      <c r="E23" s="91"/>
      <c r="G23" s="88"/>
      <c r="H23" s="89"/>
      <c r="I23" s="89"/>
      <c r="J23" s="89"/>
      <c r="K23" s="91"/>
      <c r="M23" s="88"/>
      <c r="N23" s="89"/>
      <c r="O23" s="89"/>
      <c r="P23" s="89"/>
      <c r="Q23" s="91"/>
      <c r="S23" s="88"/>
      <c r="T23" s="89"/>
      <c r="U23" s="89"/>
      <c r="V23" s="89"/>
      <c r="W23" s="91"/>
      <c r="Y23" s="88"/>
      <c r="Z23" s="89"/>
      <c r="AA23" s="89"/>
      <c r="AB23" s="89"/>
      <c r="AC23" s="91"/>
      <c r="AE23" s="88"/>
      <c r="AF23" s="89"/>
      <c r="AG23" s="89"/>
      <c r="AH23" s="89"/>
      <c r="AI23" s="91"/>
      <c r="AK23" s="88"/>
      <c r="AL23" s="89"/>
      <c r="AM23" s="89"/>
      <c r="AN23" s="89"/>
      <c r="AO23" s="91"/>
    </row>
    <row r="24" customFormat="false" ht="13.5" hidden="false" customHeight="false" outlineLevel="0" collapsed="false">
      <c r="A24" s="88"/>
      <c r="B24" s="89"/>
      <c r="C24" s="89"/>
      <c r="D24" s="89"/>
      <c r="E24" s="91"/>
      <c r="G24" s="88" t="s">
        <v>348</v>
      </c>
      <c r="H24" s="89" t="s">
        <v>349</v>
      </c>
      <c r="I24" s="89"/>
      <c r="J24" s="89"/>
      <c r="K24" s="91" t="n">
        <v>41.9</v>
      </c>
      <c r="M24" s="88"/>
      <c r="N24" s="89"/>
      <c r="O24" s="89"/>
      <c r="P24" s="89"/>
      <c r="Q24" s="91"/>
      <c r="S24" s="88"/>
      <c r="T24" s="89"/>
      <c r="U24" s="89"/>
      <c r="V24" s="89"/>
      <c r="W24" s="91"/>
      <c r="Y24" s="88"/>
      <c r="Z24" s="89"/>
      <c r="AA24" s="89"/>
      <c r="AB24" s="89"/>
      <c r="AC24" s="91"/>
      <c r="AE24" s="88"/>
      <c r="AF24" s="89"/>
      <c r="AG24" s="89"/>
      <c r="AH24" s="89"/>
      <c r="AI24" s="91"/>
      <c r="AK24" s="88"/>
      <c r="AL24" s="89"/>
      <c r="AM24" s="89"/>
      <c r="AN24" s="89"/>
      <c r="AO24" s="91"/>
    </row>
    <row r="25" customFormat="false" ht="13.5" hidden="false" customHeight="false" outlineLevel="0" collapsed="false">
      <c r="A25" s="88"/>
      <c r="B25" s="89"/>
      <c r="C25" s="89"/>
      <c r="D25" s="89"/>
      <c r="E25" s="91"/>
      <c r="G25" s="88"/>
      <c r="H25" s="89"/>
      <c r="I25" s="89"/>
      <c r="J25" s="89"/>
      <c r="K25" s="91"/>
      <c r="M25" s="88"/>
      <c r="N25" s="89"/>
      <c r="O25" s="89"/>
      <c r="P25" s="89"/>
      <c r="Q25" s="91"/>
      <c r="S25" s="88"/>
      <c r="T25" s="89"/>
      <c r="U25" s="89"/>
      <c r="V25" s="89"/>
      <c r="W25" s="91"/>
      <c r="Y25" s="88"/>
      <c r="Z25" s="89"/>
      <c r="AA25" s="89"/>
      <c r="AB25" s="89"/>
      <c r="AC25" s="91"/>
      <c r="AE25" s="88"/>
      <c r="AF25" s="89"/>
      <c r="AG25" s="89"/>
      <c r="AH25" s="89"/>
      <c r="AI25" s="91"/>
      <c r="AK25" s="88"/>
      <c r="AL25" s="89"/>
      <c r="AM25" s="89"/>
      <c r="AN25" s="89"/>
      <c r="AO25" s="91"/>
    </row>
    <row r="26" customFormat="false" ht="13.5" hidden="false" customHeight="false" outlineLevel="0" collapsed="false">
      <c r="A26" s="88"/>
      <c r="B26" s="89"/>
      <c r="C26" s="89"/>
      <c r="D26" s="89"/>
      <c r="E26" s="91"/>
      <c r="G26" s="88" t="s">
        <v>350</v>
      </c>
      <c r="H26" s="89" t="s">
        <v>309</v>
      </c>
      <c r="I26" s="89"/>
      <c r="J26" s="89"/>
      <c r="K26" s="91" t="n">
        <v>19.4</v>
      </c>
      <c r="M26" s="88"/>
      <c r="N26" s="89"/>
      <c r="O26" s="89"/>
      <c r="P26" s="89"/>
      <c r="Q26" s="91"/>
      <c r="S26" s="88"/>
      <c r="T26" s="89"/>
      <c r="U26" s="89"/>
      <c r="V26" s="89"/>
      <c r="W26" s="91"/>
      <c r="Y26" s="88"/>
      <c r="Z26" s="89"/>
      <c r="AA26" s="89"/>
      <c r="AB26" s="89"/>
      <c r="AC26" s="91"/>
      <c r="AE26" s="88"/>
      <c r="AF26" s="89"/>
      <c r="AG26" s="89"/>
      <c r="AH26" s="89"/>
      <c r="AI26" s="91"/>
      <c r="AK26" s="88"/>
      <c r="AL26" s="89"/>
      <c r="AM26" s="89"/>
      <c r="AN26" s="89"/>
      <c r="AO26" s="91"/>
    </row>
    <row r="27" customFormat="false" ht="13.5" hidden="false" customHeight="false" outlineLevel="0" collapsed="false">
      <c r="A27" s="88"/>
      <c r="B27" s="89"/>
      <c r="C27" s="89"/>
      <c r="D27" s="89"/>
      <c r="E27" s="91"/>
      <c r="G27" s="88"/>
      <c r="H27" s="89"/>
      <c r="I27" s="89"/>
      <c r="J27" s="89"/>
      <c r="K27" s="91"/>
      <c r="M27" s="88"/>
      <c r="N27" s="89"/>
      <c r="O27" s="89"/>
      <c r="P27" s="89"/>
      <c r="Q27" s="91"/>
      <c r="S27" s="88"/>
      <c r="T27" s="89"/>
      <c r="U27" s="89"/>
      <c r="V27" s="89"/>
      <c r="W27" s="91"/>
      <c r="Y27" s="88"/>
      <c r="Z27" s="89"/>
      <c r="AA27" s="89"/>
      <c r="AB27" s="89"/>
      <c r="AC27" s="91"/>
      <c r="AE27" s="88"/>
      <c r="AF27" s="89"/>
      <c r="AG27" s="89"/>
      <c r="AH27" s="89"/>
      <c r="AI27" s="91"/>
      <c r="AK27" s="88"/>
      <c r="AL27" s="89"/>
      <c r="AM27" s="89"/>
      <c r="AN27" s="89"/>
      <c r="AO27" s="91"/>
    </row>
    <row r="28" customFormat="false" ht="13.5" hidden="false" customHeight="false" outlineLevel="0" collapsed="false">
      <c r="A28" s="88"/>
      <c r="B28" s="89"/>
      <c r="C28" s="89"/>
      <c r="D28" s="89"/>
      <c r="E28" s="91"/>
      <c r="G28" s="88" t="s">
        <v>351</v>
      </c>
      <c r="H28" s="89" t="s">
        <v>352</v>
      </c>
      <c r="I28" s="89"/>
      <c r="J28" s="89"/>
      <c r="K28" s="91" t="n">
        <v>22.8</v>
      </c>
      <c r="M28" s="88"/>
      <c r="N28" s="89"/>
      <c r="O28" s="89"/>
      <c r="P28" s="89"/>
      <c r="Q28" s="91"/>
      <c r="S28" s="88"/>
      <c r="T28" s="89"/>
      <c r="U28" s="89"/>
      <c r="V28" s="89"/>
      <c r="W28" s="91"/>
      <c r="Y28" s="88"/>
      <c r="Z28" s="89"/>
      <c r="AA28" s="89"/>
      <c r="AB28" s="89"/>
      <c r="AC28" s="91"/>
      <c r="AE28" s="88"/>
      <c r="AF28" s="89"/>
      <c r="AG28" s="89"/>
      <c r="AH28" s="89"/>
      <c r="AI28" s="91"/>
      <c r="AK28" s="88"/>
      <c r="AL28" s="89"/>
      <c r="AM28" s="89"/>
      <c r="AN28" s="89"/>
      <c r="AO28" s="91"/>
    </row>
    <row r="29" customFormat="false" ht="13.5" hidden="false" customHeight="false" outlineLevel="0" collapsed="false">
      <c r="A29" s="88"/>
      <c r="B29" s="89"/>
      <c r="C29" s="89"/>
      <c r="D29" s="89"/>
      <c r="E29" s="91"/>
      <c r="G29" s="88"/>
      <c r="H29" s="89"/>
      <c r="I29" s="89"/>
      <c r="J29" s="89"/>
      <c r="K29" s="91"/>
      <c r="M29" s="88"/>
      <c r="N29" s="89"/>
      <c r="O29" s="89"/>
      <c r="P29" s="89"/>
      <c r="Q29" s="91"/>
      <c r="S29" s="88"/>
      <c r="T29" s="89"/>
      <c r="U29" s="89"/>
      <c r="V29" s="89"/>
      <c r="W29" s="91"/>
      <c r="Y29" s="88"/>
      <c r="Z29" s="89"/>
      <c r="AA29" s="89"/>
      <c r="AB29" s="89"/>
      <c r="AC29" s="91"/>
      <c r="AE29" s="88"/>
      <c r="AF29" s="89"/>
      <c r="AG29" s="89"/>
      <c r="AH29" s="89"/>
      <c r="AI29" s="91"/>
      <c r="AK29" s="88"/>
      <c r="AL29" s="89"/>
      <c r="AM29" s="89"/>
      <c r="AN29" s="89"/>
      <c r="AO29" s="91"/>
    </row>
    <row r="30" customFormat="false" ht="13.5" hidden="false" customHeight="false" outlineLevel="0" collapsed="false">
      <c r="A30" s="88"/>
      <c r="B30" s="89"/>
      <c r="C30" s="89"/>
      <c r="D30" s="89"/>
      <c r="E30" s="91"/>
      <c r="G30" s="88" t="s">
        <v>353</v>
      </c>
      <c r="H30" s="89" t="s">
        <v>354</v>
      </c>
      <c r="I30" s="89"/>
      <c r="J30" s="89"/>
      <c r="K30" s="91" t="n">
        <v>38.7</v>
      </c>
      <c r="M30" s="88"/>
      <c r="N30" s="89"/>
      <c r="O30" s="89"/>
      <c r="P30" s="89"/>
      <c r="Q30" s="91"/>
      <c r="S30" s="88"/>
      <c r="T30" s="89"/>
      <c r="U30" s="89"/>
      <c r="V30" s="89"/>
      <c r="W30" s="91"/>
      <c r="Y30" s="88"/>
      <c r="Z30" s="89"/>
      <c r="AA30" s="89"/>
      <c r="AB30" s="89"/>
      <c r="AC30" s="91"/>
      <c r="AE30" s="88"/>
      <c r="AF30" s="89"/>
      <c r="AG30" s="89"/>
      <c r="AH30" s="89"/>
      <c r="AI30" s="91"/>
      <c r="AK30" s="88"/>
      <c r="AL30" s="89"/>
      <c r="AM30" s="89"/>
      <c r="AN30" s="89"/>
      <c r="AO30" s="91"/>
    </row>
    <row r="31" customFormat="false" ht="13.5" hidden="false" customHeight="false" outlineLevel="0" collapsed="false">
      <c r="A31" s="88"/>
      <c r="B31" s="89"/>
      <c r="C31" s="89"/>
      <c r="D31" s="89"/>
      <c r="E31" s="91"/>
      <c r="G31" s="88"/>
      <c r="H31" s="89"/>
      <c r="I31" s="89"/>
      <c r="J31" s="89"/>
      <c r="K31" s="91"/>
      <c r="M31" s="88"/>
      <c r="N31" s="89"/>
      <c r="O31" s="89"/>
      <c r="P31" s="89"/>
      <c r="Q31" s="91"/>
      <c r="S31" s="88"/>
      <c r="T31" s="89"/>
      <c r="U31" s="89"/>
      <c r="V31" s="89"/>
      <c r="W31" s="91"/>
      <c r="Y31" s="88"/>
      <c r="Z31" s="89"/>
      <c r="AA31" s="89"/>
      <c r="AB31" s="89"/>
      <c r="AC31" s="91"/>
      <c r="AE31" s="88"/>
      <c r="AF31" s="89"/>
      <c r="AG31" s="89"/>
      <c r="AH31" s="89"/>
      <c r="AI31" s="91"/>
      <c r="AK31" s="88"/>
      <c r="AL31" s="89"/>
      <c r="AM31" s="89"/>
      <c r="AN31" s="89"/>
      <c r="AO31" s="91"/>
    </row>
    <row r="32" customFormat="false" ht="13.5" hidden="false" customHeight="false" outlineLevel="0" collapsed="false">
      <c r="A32" s="88"/>
      <c r="B32" s="89"/>
      <c r="C32" s="89"/>
      <c r="D32" s="89"/>
      <c r="E32" s="91"/>
      <c r="G32" s="88" t="s">
        <v>355</v>
      </c>
      <c r="H32" s="89" t="s">
        <v>356</v>
      </c>
      <c r="I32" s="89"/>
      <c r="J32" s="89"/>
      <c r="K32" s="91" t="n">
        <v>13</v>
      </c>
      <c r="M32" s="88"/>
      <c r="N32" s="89"/>
      <c r="O32" s="89"/>
      <c r="P32" s="89"/>
      <c r="Q32" s="91"/>
      <c r="S32" s="88"/>
      <c r="T32" s="89"/>
      <c r="U32" s="89"/>
      <c r="V32" s="89"/>
      <c r="W32" s="91"/>
      <c r="Y32" s="88"/>
      <c r="Z32" s="89"/>
      <c r="AA32" s="89"/>
      <c r="AB32" s="89"/>
      <c r="AC32" s="91"/>
      <c r="AE32" s="88"/>
      <c r="AF32" s="89"/>
      <c r="AG32" s="89"/>
      <c r="AH32" s="89"/>
      <c r="AI32" s="91"/>
      <c r="AK32" s="88"/>
      <c r="AL32" s="89"/>
      <c r="AM32" s="89"/>
      <c r="AN32" s="89"/>
      <c r="AO32" s="91"/>
    </row>
    <row r="33" customFormat="false" ht="13.5" hidden="false" customHeight="false" outlineLevel="0" collapsed="false">
      <c r="A33" s="88"/>
      <c r="B33" s="89"/>
      <c r="C33" s="89"/>
      <c r="D33" s="89"/>
      <c r="E33" s="91"/>
      <c r="G33" s="88"/>
      <c r="H33" s="89"/>
      <c r="I33" s="89"/>
      <c r="J33" s="89"/>
      <c r="K33" s="91"/>
      <c r="M33" s="88"/>
      <c r="N33" s="89"/>
      <c r="O33" s="89"/>
      <c r="P33" s="89"/>
      <c r="Q33" s="91"/>
      <c r="S33" s="88"/>
      <c r="T33" s="89"/>
      <c r="U33" s="89"/>
      <c r="V33" s="89"/>
      <c r="W33" s="91"/>
      <c r="Y33" s="88"/>
      <c r="Z33" s="89"/>
      <c r="AA33" s="89"/>
      <c r="AB33" s="89"/>
      <c r="AC33" s="91"/>
      <c r="AE33" s="88"/>
      <c r="AF33" s="89"/>
      <c r="AG33" s="89"/>
      <c r="AH33" s="89"/>
      <c r="AI33" s="91"/>
      <c r="AK33" s="88"/>
      <c r="AL33" s="89"/>
      <c r="AM33" s="89"/>
      <c r="AN33" s="89"/>
      <c r="AO33" s="91"/>
    </row>
    <row r="34" customFormat="false" ht="13.5" hidden="false" customHeight="false" outlineLevel="0" collapsed="false">
      <c r="A34" s="88"/>
      <c r="B34" s="89"/>
      <c r="C34" s="89"/>
      <c r="D34" s="89"/>
      <c r="E34" s="91"/>
      <c r="G34" s="88" t="s">
        <v>357</v>
      </c>
      <c r="H34" s="89" t="s">
        <v>316</v>
      </c>
      <c r="I34" s="89"/>
      <c r="J34" s="89"/>
      <c r="K34" s="91" t="n">
        <v>3.5</v>
      </c>
      <c r="M34" s="88"/>
      <c r="N34" s="89"/>
      <c r="O34" s="89"/>
      <c r="P34" s="89"/>
      <c r="Q34" s="91"/>
      <c r="S34" s="88"/>
      <c r="T34" s="89"/>
      <c r="U34" s="89"/>
      <c r="V34" s="89"/>
      <c r="W34" s="91"/>
      <c r="Y34" s="88"/>
      <c r="Z34" s="89"/>
      <c r="AA34" s="89"/>
      <c r="AB34" s="89"/>
      <c r="AC34" s="91"/>
      <c r="AE34" s="88"/>
      <c r="AF34" s="89"/>
      <c r="AG34" s="89"/>
      <c r="AH34" s="89"/>
      <c r="AI34" s="91"/>
      <c r="AK34" s="88"/>
      <c r="AL34" s="89"/>
      <c r="AM34" s="89"/>
      <c r="AN34" s="89"/>
      <c r="AO34" s="91"/>
    </row>
    <row r="35" customFormat="false" ht="13.5" hidden="false" customHeight="false" outlineLevel="0" collapsed="false">
      <c r="A35" s="88"/>
      <c r="B35" s="89"/>
      <c r="C35" s="89"/>
      <c r="D35" s="89"/>
      <c r="E35" s="91"/>
      <c r="G35" s="88"/>
      <c r="H35" s="89"/>
      <c r="I35" s="89"/>
      <c r="J35" s="89"/>
      <c r="K35" s="91"/>
      <c r="M35" s="88"/>
      <c r="N35" s="89"/>
      <c r="O35" s="89"/>
      <c r="P35" s="89"/>
      <c r="Q35" s="91"/>
      <c r="S35" s="88"/>
      <c r="T35" s="89"/>
      <c r="U35" s="89"/>
      <c r="V35" s="89"/>
      <c r="W35" s="91"/>
      <c r="Y35" s="88"/>
      <c r="Z35" s="89"/>
      <c r="AA35" s="89"/>
      <c r="AB35" s="89"/>
      <c r="AC35" s="91"/>
      <c r="AE35" s="88"/>
      <c r="AF35" s="89"/>
      <c r="AG35" s="89"/>
      <c r="AH35" s="89"/>
      <c r="AI35" s="91"/>
      <c r="AK35" s="88"/>
      <c r="AL35" s="89"/>
      <c r="AM35" s="89"/>
      <c r="AN35" s="89"/>
      <c r="AO35" s="91"/>
    </row>
    <row r="36" customFormat="false" ht="13.5" hidden="false" customHeight="false" outlineLevel="0" collapsed="false">
      <c r="A36" s="88"/>
      <c r="B36" s="89"/>
      <c r="C36" s="89"/>
      <c r="D36" s="89"/>
      <c r="E36" s="91"/>
      <c r="G36" s="88" t="s">
        <v>358</v>
      </c>
      <c r="H36" s="89" t="s">
        <v>309</v>
      </c>
      <c r="I36" s="89"/>
      <c r="J36" s="89"/>
      <c r="K36" s="91" t="n">
        <v>10.9</v>
      </c>
      <c r="M36" s="88"/>
      <c r="N36" s="89"/>
      <c r="O36" s="89"/>
      <c r="P36" s="89"/>
      <c r="Q36" s="91"/>
      <c r="S36" s="88"/>
      <c r="T36" s="89"/>
      <c r="U36" s="89"/>
      <c r="V36" s="89"/>
      <c r="W36" s="91"/>
      <c r="Y36" s="88"/>
      <c r="Z36" s="89"/>
      <c r="AA36" s="89"/>
      <c r="AB36" s="89"/>
      <c r="AC36" s="91"/>
      <c r="AE36" s="88"/>
      <c r="AF36" s="89"/>
      <c r="AG36" s="89"/>
      <c r="AH36" s="89"/>
      <c r="AI36" s="91"/>
      <c r="AK36" s="88"/>
      <c r="AL36" s="89"/>
      <c r="AM36" s="89"/>
      <c r="AN36" s="89"/>
      <c r="AO36" s="91"/>
    </row>
    <row r="37" customFormat="false" ht="13.5" hidden="false" customHeight="false" outlineLevel="0" collapsed="false">
      <c r="A37" s="88"/>
      <c r="B37" s="89"/>
      <c r="C37" s="89"/>
      <c r="D37" s="89"/>
      <c r="E37" s="91"/>
      <c r="G37" s="88"/>
      <c r="H37" s="89"/>
      <c r="I37" s="89"/>
      <c r="J37" s="89"/>
      <c r="K37" s="91"/>
      <c r="M37" s="88"/>
      <c r="N37" s="89"/>
      <c r="O37" s="89"/>
      <c r="P37" s="89"/>
      <c r="Q37" s="91"/>
      <c r="S37" s="88"/>
      <c r="T37" s="89"/>
      <c r="U37" s="89"/>
      <c r="V37" s="89"/>
      <c r="W37" s="91"/>
      <c r="Y37" s="88"/>
      <c r="Z37" s="89"/>
      <c r="AA37" s="89"/>
      <c r="AB37" s="89"/>
      <c r="AC37" s="91"/>
      <c r="AE37" s="88"/>
      <c r="AF37" s="89"/>
      <c r="AG37" s="89"/>
      <c r="AH37" s="89"/>
      <c r="AI37" s="91"/>
      <c r="AK37" s="88"/>
      <c r="AL37" s="89"/>
      <c r="AM37" s="89"/>
      <c r="AN37" s="89"/>
      <c r="AO37" s="91"/>
    </row>
    <row r="38" customFormat="false" ht="13.5" hidden="false" customHeight="false" outlineLevel="0" collapsed="false">
      <c r="A38" s="88"/>
      <c r="B38" s="89"/>
      <c r="C38" s="89"/>
      <c r="D38" s="89"/>
      <c r="E38" s="91"/>
      <c r="G38" s="88" t="s">
        <v>359</v>
      </c>
      <c r="H38" s="89" t="s">
        <v>360</v>
      </c>
      <c r="I38" s="89"/>
      <c r="J38" s="89"/>
      <c r="K38" s="91" t="n">
        <v>46.6</v>
      </c>
      <c r="M38" s="88"/>
      <c r="N38" s="89"/>
      <c r="O38" s="89"/>
      <c r="P38" s="89"/>
      <c r="Q38" s="91"/>
      <c r="S38" s="88"/>
      <c r="T38" s="89"/>
      <c r="U38" s="89"/>
      <c r="V38" s="89"/>
      <c r="W38" s="91"/>
      <c r="Y38" s="88"/>
      <c r="Z38" s="89"/>
      <c r="AA38" s="89"/>
      <c r="AB38" s="89"/>
      <c r="AC38" s="91"/>
      <c r="AE38" s="88"/>
      <c r="AF38" s="89"/>
      <c r="AG38" s="89"/>
      <c r="AH38" s="89"/>
      <c r="AI38" s="91"/>
      <c r="AK38" s="88"/>
      <c r="AL38" s="89"/>
      <c r="AM38" s="89"/>
      <c r="AN38" s="89"/>
      <c r="AO38" s="91"/>
    </row>
    <row r="39" customFormat="false" ht="14.25" hidden="false" customHeight="true" outlineLevel="0" collapsed="false">
      <c r="A39" s="88"/>
      <c r="B39" s="89"/>
      <c r="C39" s="89"/>
      <c r="D39" s="89"/>
      <c r="E39" s="91"/>
      <c r="G39" s="88"/>
      <c r="H39" s="89"/>
      <c r="I39" s="89"/>
      <c r="J39" s="89"/>
      <c r="K39" s="91"/>
      <c r="M39" s="88"/>
      <c r="N39" s="89"/>
      <c r="O39" s="89"/>
      <c r="P39" s="89"/>
      <c r="Q39" s="91"/>
      <c r="S39" s="88"/>
      <c r="T39" s="89"/>
      <c r="U39" s="89"/>
      <c r="V39" s="89"/>
      <c r="W39" s="91"/>
      <c r="Y39" s="88"/>
      <c r="Z39" s="89"/>
      <c r="AA39" s="89"/>
      <c r="AB39" s="89"/>
      <c r="AC39" s="91"/>
      <c r="AE39" s="88"/>
      <c r="AF39" s="89"/>
      <c r="AG39" s="89"/>
      <c r="AH39" s="89"/>
      <c r="AI39" s="91"/>
      <c r="AK39" s="88"/>
      <c r="AL39" s="89"/>
      <c r="AM39" s="89"/>
      <c r="AN39" s="89"/>
      <c r="AO39" s="91"/>
    </row>
    <row r="40" s="80" customFormat="true" ht="14.25" hidden="false" customHeight="true" outlineLevel="0" collapsed="false">
      <c r="A40" s="183"/>
      <c r="B40" s="184"/>
      <c r="C40" s="184"/>
      <c r="D40" s="184"/>
      <c r="E40" s="185" t="n">
        <f aca="false">SUM(E4:E39)</f>
        <v>0</v>
      </c>
      <c r="F40" s="172"/>
      <c r="G40" s="183"/>
      <c r="H40" s="184"/>
      <c r="I40" s="184"/>
      <c r="J40" s="184"/>
      <c r="K40" s="185" t="n">
        <f aca="false">SUM(K4:K39)</f>
        <v>480.1</v>
      </c>
      <c r="L40" s="172"/>
      <c r="M40" s="183"/>
      <c r="N40" s="184"/>
      <c r="O40" s="184"/>
      <c r="P40" s="184"/>
      <c r="Q40" s="185" t="n">
        <f aca="false">SUM(Q4:Q39)</f>
        <v>48.2</v>
      </c>
      <c r="R40" s="172"/>
      <c r="S40" s="183"/>
      <c r="T40" s="184"/>
      <c r="U40" s="184"/>
      <c r="V40" s="184"/>
      <c r="W40" s="185" t="n">
        <f aca="false">SUM(W4:W39)</f>
        <v>46.2</v>
      </c>
      <c r="X40" s="172"/>
      <c r="Y40" s="183"/>
      <c r="Z40" s="184"/>
      <c r="AA40" s="184"/>
      <c r="AB40" s="184"/>
      <c r="AC40" s="185" t="n">
        <f aca="false">SUM(AC4:AC39)</f>
        <v>0</v>
      </c>
      <c r="AD40" s="172"/>
      <c r="AE40" s="183"/>
      <c r="AF40" s="184"/>
      <c r="AG40" s="184"/>
      <c r="AH40" s="184"/>
      <c r="AI40" s="185" t="n">
        <f aca="false">SUM(AI4:AI39)</f>
        <v>0</v>
      </c>
      <c r="AJ40" s="172"/>
      <c r="AK40" s="183"/>
      <c r="AL40" s="184"/>
      <c r="AM40" s="184"/>
      <c r="AN40" s="184"/>
      <c r="AO40" s="185" t="n">
        <f aca="false">SUM(AO4:AO39)</f>
        <v>0</v>
      </c>
    </row>
  </sheetData>
  <mergeCells count="7">
    <mergeCell ref="A1:E1"/>
    <mergeCell ref="G1:K1"/>
    <mergeCell ref="M1:Q1"/>
    <mergeCell ref="S1:W1"/>
    <mergeCell ref="Y1:AC1"/>
    <mergeCell ref="AE1:AI1"/>
    <mergeCell ref="AK1:AO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2026-09-03T14:59:10Z</dcterms:created>
  <dc:creator>Office</dc:creator>
  <dc:description/>
  <dc:language>en-US</dc:language>
  <cp:lastModifiedBy>Build</cp:lastModifiedBy>
  <dcterms:modified xsi:type="dcterms:W3CDTF">2026-10-02T09:52:53Z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