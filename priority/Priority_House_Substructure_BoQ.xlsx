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STUCTURE BILL" sheetId="1" state="visible" r:id="rId3"/>
    <sheet name="calculations" sheetId="2" state="visible" r:id="rId4"/>
    <sheet name="QUERI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20" authorId="0">
      <text>
        <r>
          <rPr>
            <sz val="10"/>
            <rFont val="Arial"/>
            <family val="2"/>
          </rPr>
          <t xml:space="preserve">EGL assumed −1.05 – see calculations AP3 and Query 1.</t>
        </r>
      </text>
    </comment>
    <comment ref="B28" authorId="0">
      <text>
        <r>
          <rPr>
            <sz val="10"/>
            <rFont val="Arial"/>
            <family val="2"/>
          </rPr>
          <t xml:space="preserve">Type A RW length × ~5.0 m. Party-wall side to be confirmed.</t>
        </r>
      </text>
    </comment>
    <comment ref="E17" authorId="0">
      <text>
        <r>
          <rPr>
            <sz val="10"/>
            <rFont val="Arial"/>
            <family val="2"/>
          </rPr>
          <t xml:space="preserve">CONFIRM RATE</t>
        </r>
      </text>
    </comment>
    <comment ref="E18" authorId="0">
      <text>
        <r>
          <rPr>
            <sz val="10"/>
            <rFont val="Arial"/>
            <family val="2"/>
          </rPr>
          <t xml:space="preserve">CONFIRM RATE</t>
        </r>
      </text>
    </comment>
    <comment ref="E20" authorId="0">
      <text>
        <r>
          <rPr>
            <sz val="10"/>
            <rFont val="Arial"/>
            <family val="2"/>
          </rPr>
          <t xml:space="preserve">CONFIRM RATE</t>
        </r>
      </text>
    </comment>
    <comment ref="E21" authorId="0">
      <text>
        <r>
          <rPr>
            <sz val="10"/>
            <rFont val="Arial"/>
            <family val="2"/>
          </rPr>
          <t xml:space="preserve">CONFIRM RATE</t>
        </r>
      </text>
    </comment>
    <comment ref="E22" authorId="0">
      <text>
        <r>
          <rPr>
            <sz val="10"/>
            <rFont val="Arial"/>
            <family val="2"/>
          </rPr>
          <t xml:space="preserve">CONFIRM RATE</t>
        </r>
      </text>
    </comment>
    <comment ref="E23" authorId="0">
      <text>
        <r>
          <rPr>
            <sz val="10"/>
            <rFont val="Arial"/>
            <family val="2"/>
          </rPr>
          <t xml:space="preserve">CONFIRM RATE</t>
        </r>
      </text>
    </comment>
    <comment ref="E24" authorId="0">
      <text>
        <r>
          <rPr>
            <sz val="10"/>
            <rFont val="Arial"/>
            <family val="2"/>
          </rPr>
          <t xml:space="preserve">CONFIRM RATE</t>
        </r>
      </text>
    </comment>
    <comment ref="E25" authorId="0">
      <text>
        <r>
          <rPr>
            <sz val="10"/>
            <rFont val="Arial"/>
            <family val="2"/>
          </rPr>
          <t xml:space="preserve">CONFIRM RATE</t>
        </r>
      </text>
    </comment>
    <comment ref="E27" authorId="0">
      <text>
        <r>
          <rPr>
            <sz val="10"/>
            <rFont val="Arial"/>
            <family val="2"/>
          </rPr>
          <t xml:space="preserve">CONFIRM RATE</t>
        </r>
      </text>
    </comment>
    <comment ref="E28" authorId="0">
      <text>
        <r>
          <rPr>
            <sz val="10"/>
            <rFont val="Arial"/>
            <family val="2"/>
          </rPr>
          <t xml:space="preserve">CONFIRM RATE</t>
        </r>
      </text>
    </comment>
    <comment ref="E30" authorId="0">
      <text>
        <r>
          <rPr>
            <sz val="10"/>
            <rFont val="Arial"/>
            <family val="2"/>
          </rPr>
          <t xml:space="preserve">CONFIRM RATE</t>
        </r>
      </text>
    </comment>
    <comment ref="E31" authorId="0">
      <text>
        <r>
          <rPr>
            <sz val="10"/>
            <rFont val="Arial"/>
            <family val="2"/>
          </rPr>
          <t xml:space="preserve">CONFIRM RATE</t>
        </r>
      </text>
    </comment>
    <comment ref="E33" authorId="0">
      <text>
        <r>
          <rPr>
            <sz val="10"/>
            <rFont val="Arial"/>
            <family val="2"/>
          </rPr>
          <t xml:space="preserve">CONFIRM RATE</t>
        </r>
      </text>
    </comment>
    <comment ref="E34" authorId="0">
      <text>
        <r>
          <rPr>
            <sz val="10"/>
            <rFont val="Arial"/>
            <family val="2"/>
          </rPr>
          <t xml:space="preserve">CONFIRM RATE</t>
        </r>
      </text>
    </comment>
    <comment ref="E35" authorId="0">
      <text>
        <r>
          <rPr>
            <sz val="10"/>
            <rFont val="Arial"/>
            <family val="2"/>
          </rPr>
          <t xml:space="preserve">CONFIRM RATE</t>
        </r>
      </text>
    </comment>
    <comment ref="E37" authorId="0">
      <text>
        <r>
          <rPr>
            <sz val="10"/>
            <rFont val="Arial"/>
            <family val="2"/>
          </rPr>
          <t xml:space="preserve">CONFIRM RATE</t>
        </r>
      </text>
    </comment>
    <comment ref="E38" authorId="0">
      <text>
        <r>
          <rPr>
            <sz val="10"/>
            <rFont val="Arial"/>
            <family val="2"/>
          </rPr>
          <t xml:space="preserve">CONFIRM RATE</t>
        </r>
      </text>
    </comment>
    <comment ref="E39" authorId="0">
      <text>
        <r>
          <rPr>
            <sz val="10"/>
            <rFont val="Arial"/>
            <family val="2"/>
          </rPr>
          <t xml:space="preserve">CONFIRM RATE</t>
        </r>
      </text>
    </comment>
    <comment ref="E41" authorId="0">
      <text>
        <r>
          <rPr>
            <sz val="10"/>
            <rFont val="Arial"/>
            <family val="2"/>
          </rPr>
          <t xml:space="preserve">CONFIRM RATE</t>
        </r>
      </text>
    </comment>
    <comment ref="E42" authorId="0">
      <text>
        <r>
          <rPr>
            <sz val="10"/>
            <rFont val="Arial"/>
            <family val="2"/>
          </rPr>
          <t xml:space="preserve">CONFIRM RATE</t>
        </r>
      </text>
    </comment>
    <comment ref="E50" authorId="0">
      <text>
        <r>
          <rPr>
            <sz val="10"/>
            <rFont val="Arial"/>
            <family val="2"/>
          </rPr>
          <t xml:space="preserve">CONFIRM RATE</t>
        </r>
      </text>
    </comment>
    <comment ref="E52" authorId="0">
      <text>
        <r>
          <rPr>
            <sz val="10"/>
            <rFont val="Arial"/>
            <family val="2"/>
          </rPr>
          <t xml:space="preserve">CONFIRM RATE</t>
        </r>
      </text>
    </comment>
    <comment ref="E53" authorId="0">
      <text>
        <r>
          <rPr>
            <sz val="10"/>
            <rFont val="Arial"/>
            <family val="2"/>
          </rPr>
          <t xml:space="preserve">CONFIRM RATE</t>
        </r>
      </text>
    </comment>
    <comment ref="E54" authorId="0">
      <text>
        <r>
          <rPr>
            <sz val="10"/>
            <rFont val="Arial"/>
            <family val="2"/>
          </rPr>
          <t xml:space="preserve">CONFIRM RATE</t>
        </r>
      </text>
    </comment>
    <comment ref="E55" authorId="0">
      <text>
        <r>
          <rPr>
            <sz val="10"/>
            <rFont val="Arial"/>
            <family val="2"/>
          </rPr>
          <t xml:space="preserve">CONFIRM RATE</t>
        </r>
      </text>
    </comment>
    <comment ref="E56" authorId="0">
      <text>
        <r>
          <rPr>
            <sz val="10"/>
            <rFont val="Arial"/>
            <family val="2"/>
          </rPr>
          <t xml:space="preserve">CONFIRM RATE</t>
        </r>
      </text>
    </comment>
    <comment ref="E57" authorId="0">
      <text>
        <r>
          <rPr>
            <sz val="10"/>
            <rFont val="Arial"/>
            <family val="2"/>
          </rPr>
          <t xml:space="preserve">CONFIRM RATE</t>
        </r>
      </text>
    </comment>
    <comment ref="E58" authorId="0">
      <text>
        <r>
          <rPr>
            <sz val="10"/>
            <rFont val="Arial"/>
            <family val="2"/>
          </rPr>
          <t xml:space="preserve">CONFIRM RATE</t>
        </r>
      </text>
    </comment>
    <comment ref="E59" authorId="0">
      <text>
        <r>
          <rPr>
            <sz val="10"/>
            <rFont val="Arial"/>
            <family val="2"/>
          </rPr>
          <t xml:space="preserve">CONFIRM RATE</t>
        </r>
      </text>
    </comment>
    <comment ref="E60" authorId="0">
      <text>
        <r>
          <rPr>
            <sz val="10"/>
            <rFont val="Arial"/>
            <family val="2"/>
          </rPr>
          <t xml:space="preserve">CONFIRM RATE</t>
        </r>
      </text>
    </comment>
    <comment ref="E62" authorId="0">
      <text>
        <r>
          <rPr>
            <sz val="10"/>
            <rFont val="Arial"/>
            <family val="2"/>
          </rPr>
          <t xml:space="preserve">CONFIRM RATE</t>
        </r>
      </text>
    </comment>
    <comment ref="E64" authorId="0">
      <text>
        <r>
          <rPr>
            <sz val="10"/>
            <rFont val="Arial"/>
            <family val="2"/>
          </rPr>
          <t xml:space="preserve">CONFIRM RATE</t>
        </r>
      </text>
    </comment>
    <comment ref="E65" authorId="0">
      <text>
        <r>
          <rPr>
            <sz val="10"/>
            <rFont val="Arial"/>
            <family val="2"/>
          </rPr>
          <t xml:space="preserve">CONFIRM RATE</t>
        </r>
      </text>
    </comment>
    <comment ref="E66" authorId="0">
      <text>
        <r>
          <rPr>
            <sz val="10"/>
            <rFont val="Arial"/>
            <family val="2"/>
          </rPr>
          <t xml:space="preserve">CONFIRM RATE</t>
        </r>
      </text>
    </comment>
    <comment ref="E67" authorId="0">
      <text>
        <r>
          <rPr>
            <sz val="10"/>
            <rFont val="Arial"/>
            <family val="2"/>
          </rPr>
          <t xml:space="preserve">CONFIRM RATE</t>
        </r>
      </text>
    </comment>
    <comment ref="E68" authorId="0">
      <text>
        <r>
          <rPr>
            <sz val="10"/>
            <rFont val="Arial"/>
            <family val="2"/>
          </rPr>
          <t xml:space="preserve">CONFIRM RATE</t>
        </r>
      </text>
    </comment>
    <comment ref="E69" authorId="0">
      <text>
        <r>
          <rPr>
            <sz val="10"/>
            <rFont val="Arial"/>
            <family val="2"/>
          </rPr>
          <t xml:space="preserve">CONFIRM RATE</t>
        </r>
      </text>
    </comment>
    <comment ref="E70" authorId="0">
      <text>
        <r>
          <rPr>
            <sz val="10"/>
            <rFont val="Arial"/>
            <family val="2"/>
          </rPr>
          <t xml:space="preserve">CONFIRM RATE</t>
        </r>
      </text>
    </comment>
    <comment ref="E71" authorId="0">
      <text>
        <r>
          <rPr>
            <sz val="10"/>
            <rFont val="Arial"/>
            <family val="2"/>
          </rPr>
          <t xml:space="preserve">CONFIRM RATE</t>
        </r>
      </text>
    </comment>
    <comment ref="E72" authorId="0">
      <text>
        <r>
          <rPr>
            <sz val="10"/>
            <rFont val="Arial"/>
            <family val="2"/>
          </rPr>
          <t xml:space="preserve">CONFIRM RATE</t>
        </r>
      </text>
    </comment>
    <comment ref="E74" authorId="0">
      <text>
        <r>
          <rPr>
            <sz val="10"/>
            <rFont val="Arial"/>
            <family val="2"/>
          </rPr>
          <t xml:space="preserve">CONFIRM RATE</t>
        </r>
      </text>
    </comment>
    <comment ref="E75" authorId="0">
      <text>
        <r>
          <rPr>
            <sz val="10"/>
            <rFont val="Arial"/>
            <family val="2"/>
          </rPr>
          <t xml:space="preserve">CONFIRM RATE</t>
        </r>
      </text>
    </comment>
    <comment ref="E76" authorId="0">
      <text>
        <r>
          <rPr>
            <sz val="10"/>
            <rFont val="Arial"/>
            <family val="2"/>
          </rPr>
          <t xml:space="preserve">CONFIRM RATE</t>
        </r>
      </text>
    </comment>
    <comment ref="E77" authorId="0">
      <text>
        <r>
          <rPr>
            <sz val="10"/>
            <rFont val="Arial"/>
            <family val="2"/>
          </rPr>
          <t xml:space="preserve">CONFIRM RATE</t>
        </r>
      </text>
    </comment>
    <comment ref="E78" authorId="0">
      <text>
        <r>
          <rPr>
            <sz val="10"/>
            <rFont val="Arial"/>
            <family val="2"/>
          </rPr>
          <t xml:space="preserve">CONFIRM RATE</t>
        </r>
      </text>
    </comment>
    <comment ref="E79" authorId="0">
      <text>
        <r>
          <rPr>
            <sz val="10"/>
            <rFont val="Arial"/>
            <family val="2"/>
          </rPr>
          <t xml:space="preserve">CONFIRM RATE</t>
        </r>
      </text>
    </comment>
    <comment ref="E80" authorId="0">
      <text>
        <r>
          <rPr>
            <sz val="10"/>
            <rFont val="Arial"/>
            <family val="2"/>
          </rPr>
          <t xml:space="preserve">CONFIRM RATE</t>
        </r>
      </text>
    </comment>
    <comment ref="E81" authorId="0">
      <text>
        <r>
          <rPr>
            <sz val="10"/>
            <rFont val="Arial"/>
            <family val="2"/>
          </rPr>
          <t xml:space="preserve">CONFIRM RATE</t>
        </r>
      </text>
    </comment>
    <comment ref="E82" authorId="0">
      <text>
        <r>
          <rPr>
            <sz val="10"/>
            <rFont val="Arial"/>
            <family val="2"/>
          </rPr>
          <t xml:space="preserve">CONFIRM RATE</t>
        </r>
      </text>
    </comment>
    <comment ref="E83" authorId="0">
      <text>
        <r>
          <rPr>
            <sz val="10"/>
            <rFont val="Arial"/>
            <family val="2"/>
          </rPr>
          <t xml:space="preserve">CONFIRM RATE</t>
        </r>
      </text>
    </comment>
    <comment ref="E84" authorId="0">
      <text>
        <r>
          <rPr>
            <sz val="10"/>
            <rFont val="Arial"/>
            <family val="2"/>
          </rPr>
          <t xml:space="preserve">CONFIRM RATE</t>
        </r>
      </text>
    </comment>
    <comment ref="E85" authorId="0">
      <text>
        <r>
          <rPr>
            <sz val="10"/>
            <rFont val="Arial"/>
            <family val="2"/>
          </rPr>
          <t xml:space="preserve">CONFIRM RATE</t>
        </r>
      </text>
    </comment>
    <comment ref="E86" authorId="0">
      <text>
        <r>
          <rPr>
            <sz val="10"/>
            <rFont val="Arial"/>
            <family val="2"/>
          </rPr>
          <t xml:space="preserve">CONFIRM RATE</t>
        </r>
      </text>
    </comment>
    <comment ref="E87" authorId="0">
      <text>
        <r>
          <rPr>
            <sz val="10"/>
            <rFont val="Arial"/>
            <family val="2"/>
          </rPr>
          <t xml:space="preserve">CONFIRM RATE</t>
        </r>
      </text>
    </comment>
    <comment ref="E88" authorId="0">
      <text>
        <r>
          <rPr>
            <sz val="10"/>
            <rFont val="Arial"/>
            <family val="2"/>
          </rPr>
          <t xml:space="preserve">CONFIRM RATE</t>
        </r>
      </text>
    </comment>
    <comment ref="E89" authorId="0">
      <text>
        <r>
          <rPr>
            <sz val="10"/>
            <rFont val="Arial"/>
            <family val="2"/>
          </rPr>
          <t xml:space="preserve">CONFIRM RATE</t>
        </r>
      </text>
    </comment>
    <comment ref="E91" authorId="0">
      <text>
        <r>
          <rPr>
            <sz val="10"/>
            <rFont val="Arial"/>
            <family val="2"/>
          </rPr>
          <t xml:space="preserve">CONFIRM RATE</t>
        </r>
      </text>
    </comment>
    <comment ref="E92" authorId="0">
      <text>
        <r>
          <rPr>
            <sz val="10"/>
            <rFont val="Arial"/>
            <family val="2"/>
          </rPr>
          <t xml:space="preserve">CONFIRM RATE</t>
        </r>
      </text>
    </comment>
    <comment ref="E105" authorId="0">
      <text>
        <r>
          <rPr>
            <sz val="10"/>
            <rFont val="Arial"/>
            <family val="2"/>
          </rPr>
          <t xml:space="preserve">CONFIRM RATE</t>
        </r>
      </text>
    </comment>
    <comment ref="E106" authorId="0">
      <text>
        <r>
          <rPr>
            <sz val="10"/>
            <rFont val="Arial"/>
            <family val="2"/>
          </rPr>
          <t xml:space="preserve">CONFIRM RATE</t>
        </r>
      </text>
    </comment>
    <comment ref="E107" authorId="0">
      <text>
        <r>
          <rPr>
            <sz val="10"/>
            <rFont val="Arial"/>
            <family val="2"/>
          </rPr>
          <t xml:space="preserve">CONFIRM RATE</t>
        </r>
      </text>
    </comment>
    <comment ref="E109" authorId="0">
      <text>
        <r>
          <rPr>
            <sz val="10"/>
            <rFont val="Arial"/>
            <family val="2"/>
          </rPr>
          <t xml:space="preserve">CONFIRM RATE</t>
        </r>
      </text>
    </comment>
    <comment ref="E111" authorId="0">
      <text>
        <r>
          <rPr>
            <sz val="10"/>
            <rFont val="Arial"/>
            <family val="2"/>
          </rPr>
          <t xml:space="preserve">CONFIRM RATE</t>
        </r>
      </text>
    </comment>
    <comment ref="E117" authorId="0">
      <text>
        <r>
          <rPr>
            <sz val="10"/>
            <rFont val="Arial"/>
            <family val="2"/>
          </rPr>
          <t xml:space="preserve">CONFIRM RATE</t>
        </r>
      </text>
    </comment>
    <comment ref="E118" authorId="0">
      <text>
        <r>
          <rPr>
            <sz val="10"/>
            <rFont val="Arial"/>
            <family val="2"/>
          </rPr>
          <t xml:space="preserve">CONFIRM RATE</t>
        </r>
      </text>
    </comment>
    <comment ref="E119" authorId="0">
      <text>
        <r>
          <rPr>
            <sz val="10"/>
            <rFont val="Arial"/>
            <family val="2"/>
          </rPr>
          <t xml:space="preserve">CONFIRM RATE</t>
        </r>
      </text>
    </comment>
    <comment ref="E120" authorId="0">
      <text>
        <r>
          <rPr>
            <sz val="10"/>
            <rFont val="Arial"/>
            <family val="2"/>
          </rPr>
          <t xml:space="preserve">CONFIRM RATE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C190" authorId="0">
      <text>
        <r>
          <rPr>
            <sz val="10"/>
            <rFont val="Arial"/>
            <family val="2"/>
          </rPr>
          <t xml:space="preserve">PROVISIONAL kg/m³ allowance – no bar schedule issued. Replace with measured schedule when details are issued.</t>
        </r>
      </text>
    </comment>
    <comment ref="AC191" authorId="0">
      <text>
        <r>
          <rPr>
            <sz val="10"/>
            <rFont val="Arial"/>
            <family val="2"/>
          </rPr>
          <t xml:space="preserve">PROVISIONAL kg/m³ allowance – no bar schedule issued. Replace with measured schedule when details are issued.</t>
        </r>
      </text>
    </comment>
    <comment ref="AC192" authorId="0">
      <text>
        <r>
          <rPr>
            <sz val="10"/>
            <rFont val="Arial"/>
            <family val="2"/>
          </rPr>
          <t xml:space="preserve">PROVISIONAL kg/m³ allowance – no bar schedule issued. Replace with measured schedule when details are issued.</t>
        </r>
      </text>
    </comment>
    <comment ref="AC193" authorId="0">
      <text>
        <r>
          <rPr>
            <sz val="10"/>
            <rFont val="Arial"/>
            <family val="2"/>
          </rPr>
          <t xml:space="preserve">PROVISIONAL kg/m³ allowance – no bar schedule issued. Replace with measured schedule when details are issued.</t>
        </r>
      </text>
    </comment>
    <comment ref="AP3" authorId="0">
      <text>
        <r>
          <rPr>
            <sz val="10"/>
            <rFont val="Arial"/>
            <family val="2"/>
          </rPr>
          <t xml:space="preserve">ASSUMPTION – confirm. ASSUMED. No topographic survey issued (arch. A093/A094 missing). Mean of retained ground implied by RW Type A (top of wall −2.10 on grids A &amp; 6) and RW Type B (retains to ±0.000 on grids 1(H–J), J, 6(H–J)). Replace with level-grid average from topo survey.</t>
        </r>
      </text>
    </comment>
    <comment ref="AP6" authorId="0">
      <text>
        <r>
          <rPr>
            <sz val="10"/>
            <rFont val="Arial"/>
            <family val="2"/>
          </rPr>
          <t xml:space="preserve">ASSUMPTION – confirm. ASSUMED. General notes S-001 specify hardcore grading but no thickness.</t>
        </r>
      </text>
    </comment>
    <comment ref="AP15" authorId="0">
      <text>
        <r>
          <rPr>
            <sz val="10"/>
            <rFont val="Arial"/>
            <family val="2"/>
          </rPr>
          <t xml:space="preserve">ASSUMPTION – confirm. ASSUMED standard 600 mm outside RW for formwork/tanking.</t>
        </r>
      </text>
    </comment>
  </commentList>
</comments>
</file>

<file path=xl/sharedStrings.xml><?xml version="1.0" encoding="utf-8"?>
<sst xmlns="http://schemas.openxmlformats.org/spreadsheetml/2006/main" count="1126" uniqueCount="723">
  <si>
    <t xml:space="preserve">PROPOSED 6 STOREY OFFICE BUILDING WITH 1 LEVEL BASEMENT – PRIORITY HOUSE, NORTH RIDGE, ACCRA</t>
  </si>
  <si>
    <t xml:space="preserve">Client: Priority Insurance Company Ltd.  Structural: ESPCo, drawings ESPCo/PI/6SB-1B/2026/SDD/001 (Aug 2026, Rev 001).  BILL No.1 SUBSTRUCTURE (ALL PROVISIONAL) – to basement top (ground floor) slab</t>
  </si>
  <si>
    <t xml:space="preserve">DRAFT FOR REVIEW – quantities subject to the queries listed on the QUERIES sheet; rates to be inserted (yellow).</t>
  </si>
  <si>
    <t xml:space="preserve">DESCRIPTION</t>
  </si>
  <si>
    <t xml:space="preserve">QTY</t>
  </si>
  <si>
    <t xml:space="preserve">UNIT</t>
  </si>
  <si>
    <t xml:space="preserve">RATE</t>
  </si>
  <si>
    <t xml:space="preserve">AMOUNT GH¢</t>
  </si>
  <si>
    <t xml:space="preserve">D  GROUNDWORK</t>
  </si>
  <si>
    <t xml:space="preserve">E  IN-SITU CONCRETE</t>
  </si>
  <si>
    <t xml:space="preserve">F  MASONRY</t>
  </si>
  <si>
    <t xml:space="preserve">J  WATERPROOFING</t>
  </si>
  <si>
    <t xml:space="preserve">PROVISIONAL SUMS &amp; CONTINGENCY</t>
  </si>
  <si>
    <t xml:space="preserve">SUB-TOTAL SUBSTRUCTURE (carried to General Summary)</t>
  </si>
  <si>
    <t xml:space="preserve">D20  Excavating and filling</t>
  </si>
  <si>
    <t xml:space="preserve">Site preparation</t>
  </si>
  <si>
    <t xml:space="preserve">A</t>
  </si>
  <si>
    <t xml:space="preserve">Clear site of all vegetation, debris and existing surface obstructions; dispose off site</t>
  </si>
  <si>
    <t xml:space="preserve">m2</t>
  </si>
  <si>
    <t xml:space="preserve">B</t>
  </si>
  <si>
    <t xml:space="preserve">Excavate topsoil average 150 mm deep and remove from site</t>
  </si>
  <si>
    <t xml:space="preserve">Excavation (sloping site – depths from assumed average existing ground level; re-measure on topo survey)</t>
  </si>
  <si>
    <t xml:space="preserve">C</t>
  </si>
  <si>
    <t xml:space="preserve">Bulk excavation for basement, commencing at existing ground level, maximum depth not exceeding 4.00 m (average ~2.95 m) to formation</t>
  </si>
  <si>
    <t xml:space="preserve">m3</t>
  </si>
  <si>
    <t xml:space="preserve">D</t>
  </si>
  <si>
    <t xml:space="preserve">Excavate pits for pad and combined bases commencing at basement formation level, maximum depth not exceeding 4.00 m</t>
  </si>
  <si>
    <t xml:space="preserve">E</t>
  </si>
  <si>
    <t xml:space="preserve">Excavate trenches for retaining wall bases, strip footings and ground beams commencing at basement formation level, maximum depth not exceeding 4.00 m (RW bases 2.05 m)</t>
  </si>
  <si>
    <t xml:space="preserve">F</t>
  </si>
  <si>
    <t xml:space="preserve">Extra over excavation for excavating in rock (Provisional)</t>
  </si>
  <si>
    <t xml:space="preserve">G</t>
  </si>
  <si>
    <t xml:space="preserve">Extra over excavation for breaking out obstructions / old foundations (Provisional)</t>
  </si>
  <si>
    <t xml:space="preserve">H</t>
  </si>
  <si>
    <t xml:space="preserve">Working space allowance to excavations for retaining walls (outside face)</t>
  </si>
  <si>
    <t xml:space="preserve">Earthwork support</t>
  </si>
  <si>
    <t xml:space="preserve">J</t>
  </si>
  <si>
    <t xml:space="preserve">Earthwork support to faces of basement excavation, maximum depth 4.00–6.00 m, distance between opposing faces exceeding 4.00 m</t>
  </si>
  <si>
    <t xml:space="preserve">K</t>
  </si>
  <si>
    <t xml:space="preserve">Extra over earthwork support for support adjoining existing building (Sunny FM party wall) – temporary works design by Contractor (Provisional)</t>
  </si>
  <si>
    <t xml:space="preserve">Disposal</t>
  </si>
  <si>
    <t xml:space="preserve">L</t>
  </si>
  <si>
    <t xml:space="preserve">Remove surplus excavated material from site to a tip provided by the Contractor</t>
  </si>
  <si>
    <t xml:space="preserve">M</t>
  </si>
  <si>
    <t xml:space="preserve">Keep excavations free from ground and surface water (dewatering) – S-001 Concrete note 3</t>
  </si>
  <si>
    <t xml:space="preserve">Item</t>
  </si>
  <si>
    <t xml:space="preserve">Filling</t>
  </si>
  <si>
    <t xml:space="preserve">N</t>
  </si>
  <si>
    <t xml:space="preserve">Filling to excavations with approved hardcore material graded per S-001 note 4, compacted in layers to 95% MDD at OMC</t>
  </si>
  <si>
    <t xml:space="preserve">P</t>
  </si>
  <si>
    <t xml:space="preserve">Hardcore bed under basement slab, thickness assumed 150 mm (not stated), compacted to 95% MDD</t>
  </si>
  <si>
    <t xml:space="preserve">Q</t>
  </si>
  <si>
    <t xml:space="preserve">0–40 crushed rock filling to soft spots / overdig beneath foundations, compacted to 98% MDD (Provisional)</t>
  </si>
  <si>
    <t xml:space="preserve">Surface treatments</t>
  </si>
  <si>
    <t xml:space="preserve">R</t>
  </si>
  <si>
    <t xml:space="preserve">Level and compact bottoms of excavations to receive blinding</t>
  </si>
  <si>
    <t xml:space="preserve">S</t>
  </si>
  <si>
    <t xml:space="preserve">Level and compact basement formation</t>
  </si>
  <si>
    <t xml:space="preserve">T</t>
  </si>
  <si>
    <t xml:space="preserve">Blind surface of hardcore with sand and compact</t>
  </si>
  <si>
    <t xml:space="preserve">Sundries</t>
  </si>
  <si>
    <t xml:space="preserve">U</t>
  </si>
  <si>
    <t xml:space="preserve">Allow for condition (dilapidation) survey of adjoining Sunny FM building and neighbouring properties before and after works</t>
  </si>
  <si>
    <t xml:space="preserve">V</t>
  </si>
  <si>
    <t xml:space="preserve">Allow for monitoring of adjoining structures and excavation movement during basement works</t>
  </si>
  <si>
    <t xml:space="preserve">D  GROUNDWORK – Carried to Collection</t>
  </si>
  <si>
    <t xml:space="preserve">E10  Mixing, casting, curing in-situ concrete</t>
  </si>
  <si>
    <t xml:space="preserve">Plain concrete GEN2 (C12/15), 20 mm aggregate</t>
  </si>
  <si>
    <t xml:space="preserve">W</t>
  </si>
  <si>
    <t xml:space="preserve">Blinding 50 mm thick under bases, retaining wall bases and strip footings</t>
  </si>
  <si>
    <t xml:space="preserve">Reinforced concrete C25/30, 20 mm aggregate, vibrated</t>
  </si>
  <si>
    <t xml:space="preserve">X</t>
  </si>
  <si>
    <t xml:space="preserve">Isolated and combined pad foundations (F1–F11), 400–1100 thick, poured against blinding</t>
  </si>
  <si>
    <t xml:space="preserve">Y</t>
  </si>
  <si>
    <t xml:space="preserve">Retaining wall bases 2500 × 400</t>
  </si>
  <si>
    <t xml:space="preserve">Z</t>
  </si>
  <si>
    <t xml:space="preserve">Strip footings 450 × 225 (level to be confirmed)</t>
  </si>
  <si>
    <t xml:space="preserve">A1</t>
  </si>
  <si>
    <t xml:space="preserve">Retaining walls 300 thick (Types A &amp; B) including 75 mm kickers</t>
  </si>
  <si>
    <t xml:space="preserve">B1</t>
  </si>
  <si>
    <t xml:space="preserve">Columns (C1, C3, C4, C6–C10B) from top of base to underside of ground floor slab</t>
  </si>
  <si>
    <t xml:space="preserve">C1</t>
  </si>
  <si>
    <t xml:space="preserve">Ground beams 300×200 and 600×200 (downstand below basement slab)</t>
  </si>
  <si>
    <t xml:space="preserve">D1</t>
  </si>
  <si>
    <t xml:space="preserve">Basement slab 150 mm thick, non-suspended, on DPM and hardcore</t>
  </si>
  <si>
    <t xml:space="preserve">E1</t>
  </si>
  <si>
    <t xml:space="preserve">Suspended ground floor (basement top) slab 150 / 225 / 300 mm thick</t>
  </si>
  <si>
    <t xml:space="preserve">F1</t>
  </si>
  <si>
    <t xml:space="preserve">Ground floor beams (downstand below slab) and upstand beams</t>
  </si>
  <si>
    <t xml:space="preserve">Reinforced concrete C30/37 (ductile walls)</t>
  </si>
  <si>
    <t xml:space="preserve">G1</t>
  </si>
  <si>
    <t xml:space="preserve">Lift core and shear walls 200/300 thick (cores 1 &amp; 2, W1–W5) from top of base to underside of ground floor slab</t>
  </si>
  <si>
    <t xml:space="preserve">E20  Formwork (fair finish to exposed basement faces)</t>
  </si>
  <si>
    <t xml:space="preserve">H1</t>
  </si>
  <si>
    <t xml:space="preserve">Sides of foundations, 400–1100 high</t>
  </si>
  <si>
    <t xml:space="preserve">J1</t>
  </si>
  <si>
    <t xml:space="preserve">Sides of retaining wall bases and strip footings, ≤ 500 high</t>
  </si>
  <si>
    <t xml:space="preserve">K1</t>
  </si>
  <si>
    <t xml:space="preserve">Vertical faces of retaining walls, lift cores and shear walls</t>
  </si>
  <si>
    <t xml:space="preserve">L1</t>
  </si>
  <si>
    <t xml:space="preserve">Sides of columns</t>
  </si>
  <si>
    <t xml:space="preserve">M1</t>
  </si>
  <si>
    <t xml:space="preserve">Sides of ground beams</t>
  </si>
  <si>
    <t xml:space="preserve">N1</t>
  </si>
  <si>
    <t xml:space="preserve">Edges of basement slab, ≤ 250 high</t>
  </si>
  <si>
    <t xml:space="preserve">m</t>
  </si>
  <si>
    <t xml:space="preserve">P1</t>
  </si>
  <si>
    <t xml:space="preserve">Soffits of ground floor slab, propping 3.50–5.00 m high</t>
  </si>
  <si>
    <t xml:space="preserve">Q1</t>
  </si>
  <si>
    <t xml:space="preserve">Sides and soffits of ground floor beams</t>
  </si>
  <si>
    <t xml:space="preserve">R1</t>
  </si>
  <si>
    <t xml:space="preserve">Edges of ground floor slab at voids and ramp, 150–300 high (Provisional)</t>
  </si>
  <si>
    <t xml:space="preserve">E30  Reinforcement (high-yield 500 N/mm² to EN 10080 unless noted)</t>
  </si>
  <si>
    <t xml:space="preserve">S1</t>
  </si>
  <si>
    <t xml:space="preserve">10 mm high-yield bars in column links</t>
  </si>
  <si>
    <t xml:space="preserve">t</t>
  </si>
  <si>
    <t xml:space="preserve">T1</t>
  </si>
  <si>
    <t xml:space="preserve">20 mm high-yield bars in columns</t>
  </si>
  <si>
    <t xml:space="preserve">U1</t>
  </si>
  <si>
    <t xml:space="preserve">25 mm high-yield bars in columns</t>
  </si>
  <si>
    <t xml:space="preserve">V1</t>
  </si>
  <si>
    <t xml:space="preserve">10 mm high-yield bars in walls &amp; cores</t>
  </si>
  <si>
    <t xml:space="preserve">W1</t>
  </si>
  <si>
    <t xml:space="preserve">16 mm high-yield bars in walls &amp; cores</t>
  </si>
  <si>
    <t xml:space="preserve">X1</t>
  </si>
  <si>
    <t xml:space="preserve">20 mm high-yield bars in walls &amp; cores</t>
  </si>
  <si>
    <t xml:space="preserve">Y1</t>
  </si>
  <si>
    <t xml:space="preserve">25 mm high-yield bars in walls &amp; cores</t>
  </si>
  <si>
    <t xml:space="preserve">Z1</t>
  </si>
  <si>
    <t xml:space="preserve">12 mm mild steel (R) bars in ground beams (as scheduled S-006 – query)</t>
  </si>
  <si>
    <t xml:space="preserve">A2</t>
  </si>
  <si>
    <t xml:space="preserve">10 mm mild steel (R) links in ground beams (as scheduled S-006 – query)</t>
  </si>
  <si>
    <t xml:space="preserve">B2</t>
  </si>
  <si>
    <t xml:space="preserve">12 mm high-yield bars in ground floor slab</t>
  </si>
  <si>
    <t xml:space="preserve">C2</t>
  </si>
  <si>
    <t xml:space="preserve">16 mm high-yield bars in ground floor slab drop panels / additional reinforcement</t>
  </si>
  <si>
    <t xml:space="preserve">D2</t>
  </si>
  <si>
    <t xml:space="preserve">High-yield bars in pad foundations (Provisional allowance 90 kg/m³ – no details issued)</t>
  </si>
  <si>
    <t xml:space="preserve">E2</t>
  </si>
  <si>
    <t xml:space="preserve">High-yield bars in retaining wall bases and walls (Provisional allowance 110 kg/m³ – no schedule issued)</t>
  </si>
  <si>
    <t xml:space="preserve">F2</t>
  </si>
  <si>
    <t xml:space="preserve">High-yield bars in strip footings (Provisional allowance 80 kg/m³)</t>
  </si>
  <si>
    <t xml:space="preserve">G2</t>
  </si>
  <si>
    <t xml:space="preserve">High-yield bars in ground floor beams (Provisional allowance 180 kg/m³ – no beam details issued)</t>
  </si>
  <si>
    <t xml:space="preserve">H2</t>
  </si>
  <si>
    <t xml:space="preserve">BRC A252 fabric reinforcement to basement slab, laid 50 mm from top, 200 mm side &amp; end laps</t>
  </si>
  <si>
    <t xml:space="preserve">J2</t>
  </si>
  <si>
    <t xml:space="preserve">75 mm high kicker to retaining walls</t>
  </si>
  <si>
    <t xml:space="preserve">K2</t>
  </si>
  <si>
    <t xml:space="preserve">Allow for concrete cube testing (9 cubes per set per S-001 note 12) and trial mixes</t>
  </si>
  <si>
    <t xml:space="preserve">E  IN-SITU CONCRETE – Carried to Collection</t>
  </si>
  <si>
    <t xml:space="preserve">No load-bearing or foundation masonry below ground floor slab on the structural drawings. Basement partitions (architectural) are measured in the superstructure.</t>
  </si>
  <si>
    <t xml:space="preserve">F  MASONRY – Carried to Collection</t>
  </si>
  <si>
    <t xml:space="preserve">J40  Flexible sheet tanking / damp proof membranes</t>
  </si>
  <si>
    <t xml:space="preserve">L2</t>
  </si>
  <si>
    <t xml:space="preserve">Approved waterproofing (tanking) system to external face of retaining walls Type A, including protection board (system to be specified – query)</t>
  </si>
  <si>
    <t xml:space="preserve">M2</t>
  </si>
  <si>
    <t xml:space="preserve">Ditto to retaining walls Type B</t>
  </si>
  <si>
    <t xml:space="preserve">N2</t>
  </si>
  <si>
    <t xml:space="preserve">Damp proof membrane under basement slab, 300 mm lapped and sealed joints (gauge by specialist – S-001)</t>
  </si>
  <si>
    <t xml:space="preserve">J30  Liquid applied coatings</t>
  </si>
  <si>
    <t xml:space="preserve">P2</t>
  </si>
  <si>
    <t xml:space="preserve">Sika bituminous emulsion (or approved) two coats to buried concrete surfaces before backfilling (S-001 misc. note 9)</t>
  </si>
  <si>
    <t xml:space="preserve">Water bars</t>
  </si>
  <si>
    <t xml:space="preserve">Q2</t>
  </si>
  <si>
    <t xml:space="preserve">PVC water stop at retaining wall kicker joint (type to be specified)</t>
  </si>
  <si>
    <t xml:space="preserve">J  WATERPROOFING – Carried to Collection</t>
  </si>
  <si>
    <t xml:space="preserve">R2</t>
  </si>
  <si>
    <t xml:space="preserve">Provisional sum: temporary works – embedded retaining / shoring design and installation along the party boundary with Sunny FM and street frontages</t>
  </si>
  <si>
    <t xml:space="preserve">S2</t>
  </si>
  <si>
    <t xml:space="preserve">Provisional sum: lift pits (2 No.) – not detailed on the structural drawings</t>
  </si>
  <si>
    <t xml:space="preserve">T2</t>
  </si>
  <si>
    <t xml:space="preserve">Provisional sum: basement-to-ground ramp structure and staircase Type 3 (basement–GF)</t>
  </si>
  <si>
    <t xml:space="preserve">U2</t>
  </si>
  <si>
    <t xml:space="preserve">Contingency on substructure (Provisional)</t>
  </si>
  <si>
    <t xml:space="preserve">PROVISIONAL SUMS &amp; CONTINGENCY – Carried to Collection</t>
  </si>
  <si>
    <t xml:space="preserve">EXCAVATION &amp; FILLING</t>
  </si>
  <si>
    <t xml:space="preserve">SUB CONCRETE (m³)</t>
  </si>
  <si>
    <t xml:space="preserve">FORMWORK</t>
  </si>
  <si>
    <t xml:space="preserve">REINFORCEMENT (kg)</t>
  </si>
  <si>
    <t xml:space="preserve">WATERPROOFING &amp; SUNDRIES</t>
  </si>
  <si>
    <t xml:space="preserve">KEY INPUTS &amp; ASSUMPTIONS (yellow = assumed, confirm)</t>
  </si>
  <si>
    <t xml:space="preserve">DRAWING REF / NOTE</t>
  </si>
  <si>
    <t xml:space="preserve">Nr</t>
  </si>
  <si>
    <t xml:space="preserve">len</t>
  </si>
  <si>
    <t xml:space="preserve">width</t>
  </si>
  <si>
    <t xml:space="preserve">Ht/Dp</t>
  </si>
  <si>
    <t xml:space="preserve">m³ / m²</t>
  </si>
  <si>
    <t xml:space="preserve">thk/ht</t>
  </si>
  <si>
    <t xml:space="preserve">m³</t>
  </si>
  <si>
    <t xml:space="preserve">NR</t>
  </si>
  <si>
    <t xml:space="preserve">LEN</t>
  </si>
  <si>
    <t xml:space="preserve">GIRTH/W</t>
  </si>
  <si>
    <t xml:space="preserve">HT</t>
  </si>
  <si>
    <t xml:space="preserve">m² / m</t>
  </si>
  <si>
    <t xml:space="preserve">ELEMENT</t>
  </si>
  <si>
    <t xml:space="preserve">BAR MARK / NOTE</t>
  </si>
  <si>
    <t xml:space="preserve">DIA</t>
  </si>
  <si>
    <t xml:space="preserve">No. (total)</t>
  </si>
  <si>
    <t xml:space="preserve">LENGTH m</t>
  </si>
  <si>
    <t xml:space="preserve">kg/m</t>
  </si>
  <si>
    <t xml:space="preserve">kg</t>
  </si>
  <si>
    <t xml:space="preserve">H/W</t>
  </si>
  <si>
    <t xml:space="preserve">-</t>
  </si>
  <si>
    <t xml:space="preserve">qty</t>
  </si>
  <si>
    <t xml:space="preserve">Average existing ground level over basement footprint (m, rel. GF ±0.000)</t>
  </si>
  <si>
    <t xml:space="preserve">ASSUMED. No topographic survey issued (arch. A093/A094 missing). Mean of retained ground implied by RW Type A (top of wall −2.10 on grids A &amp; 6) and RW Type B (retains to ±0.000 on grids 1(H–J), J, 6(H–J)). Replace with level-grid average from topo survey.</t>
  </si>
  <si>
    <t xml:space="preserve">Site preparation (m²)</t>
  </si>
  <si>
    <t xml:space="preserve">Blinding GEN2 C12/15, 50 mm</t>
  </si>
  <si>
    <t xml:space="preserve">Foundations</t>
  </si>
  <si>
    <t xml:space="preserve">COLUMNS (base to GF)</t>
  </si>
  <si>
    <t xml:space="preserve">Tanking / membranes (m²)</t>
  </si>
  <si>
    <t xml:space="preserve">Top of basement slab (m)</t>
  </si>
  <si>
    <t xml:space="preserve">S-006 Basement GA CFL −3700; column details S-039–041 "BASEMENT −3700". (RW details S-005 show −3600 – see query.)</t>
  </si>
  <si>
    <t xml:space="preserve">Clear site of vegetation / debris</t>
  </si>
  <si>
    <t xml:space="preserve">Site area A002</t>
  </si>
  <si>
    <t xml:space="preserve">Blinding under F1 (C1, E/3)</t>
  </si>
  <si>
    <t xml:space="preserve">S-001/002 F1 4600×4600 (meas.), 1100 thk</t>
  </si>
  <si>
    <t xml:space="preserve">Sides of F1 (C1, E/3)</t>
  </si>
  <si>
    <t xml:space="preserve">C1 ×6 (S-039–043)</t>
  </si>
  <si>
    <t xml:space="preserve">H2501 – 16/col × 6</t>
  </si>
  <si>
    <t xml:space="preserve">Approved waterproofing to RW Type A external face</t>
  </si>
  <si>
    <t xml:space="preserve">S-005; base underside −6.00 to top −2.10</t>
  </si>
  <si>
    <t xml:space="preserve">Basement slab thickness (m)</t>
  </si>
  <si>
    <t xml:space="preserve">S-006: 150 mm non-suspended slab with BRC A252 (column details show 200 – query).</t>
  </si>
  <si>
    <t xml:space="preserve">Excavate topsoil avg 150 mm</t>
  </si>
  <si>
    <t xml:space="preserve">Note: site area</t>
  </si>
  <si>
    <t xml:space="preserve">Blinding under F1 (C1, E/5)</t>
  </si>
  <si>
    <t xml:space="preserve">S-001/002 F1 4400×4400 (meas.), 1100 thk</t>
  </si>
  <si>
    <t xml:space="preserve">Sides of F1 (C1, E/5)</t>
  </si>
  <si>
    <t xml:space="preserve">H2502 – 16/col × 6</t>
  </si>
  <si>
    <t xml:space="preserve">Approved waterproofing to RW Type B external face</t>
  </si>
  <si>
    <t xml:space="preserve">S-005; −6.00 to ±0.00</t>
  </si>
  <si>
    <t xml:space="preserve">Hardcore bed thickness under basement slab (m)</t>
  </si>
  <si>
    <t xml:space="preserve">ASSUMED. General notes S-001 specify hardcore grading but no thickness.</t>
  </si>
  <si>
    <t xml:space="preserve">Bulk excavation for basement (m³)</t>
  </si>
  <si>
    <t xml:space="preserve">Blinding under F2 (C4/C1, grid 2 C,D,E)</t>
  </si>
  <si>
    <t xml:space="preserve">S-002 F2 4400×4400, 1100 thk; 3 No.</t>
  </si>
  <si>
    <t xml:space="preserve">Sides of F2 (C4/C1, grid 2 C,D,E)</t>
  </si>
  <si>
    <t xml:space="preserve">H1001 – 64/col × 6</t>
  </si>
  <si>
    <t xml:space="preserve">DPM under basement slab (gauge by specialist)</t>
  </si>
  <si>
    <t xml:space="preserve">S-001 misc. note 4</t>
  </si>
  <si>
    <t xml:space="preserve">Basement formation level (m)</t>
  </si>
  <si>
    <t xml:space="preserve">Note: top of slab − slab − hardcore.</t>
  </si>
  <si>
    <t xml:space="preserve">Basement bulk excavation, EGL to formation</t>
  </si>
  <si>
    <t xml:space="preserve">Area to RW outer face; depth = EGL − formation</t>
  </si>
  <si>
    <t xml:space="preserve">Blinding under F4 (C1 ×2, F/5a–5)</t>
  </si>
  <si>
    <t xml:space="preserve">S-001 F4 7050×4200 (meas.), 1100 thk</t>
  </si>
  <si>
    <t xml:space="preserve">Sides of F4 (C1 ×2, F/5a–5)</t>
  </si>
  <si>
    <t xml:space="preserve">H1002 – 192/col × 6</t>
  </si>
  <si>
    <t xml:space="preserve">BRC A252 mesh to basement slab</t>
  </si>
  <si>
    <t xml:space="preserve">S-006</t>
  </si>
  <si>
    <t xml:space="preserve">Top of pad foundations (m)</t>
  </si>
  <si>
    <t xml:space="preserve">S-039–041 column elevations: 2600 from basement level −3700 to top of base.</t>
  </si>
  <si>
    <t xml:space="preserve">Excavation below formation – pits for bases (m³)</t>
  </si>
  <si>
    <t xml:space="preserve">Blinding under F5 (W2 + C3)</t>
  </si>
  <si>
    <t xml:space="preserve">S-001 F5 L-shaped, 30.20 m² (meas.), 1100 thk</t>
  </si>
  <si>
    <t xml:space="preserve">Sides of F5 (W2 + C3) (perimeter scaled from area)</t>
  </si>
  <si>
    <t xml:space="preserve">C3 ×1 (S-039–043)</t>
  </si>
  <si>
    <t xml:space="preserve">H2506 – 16/col × 1</t>
  </si>
  <si>
    <t xml:space="preserve">Water stops &amp; joints (m)</t>
  </si>
  <si>
    <t xml:space="preserve">Underside of RW base (m)</t>
  </si>
  <si>
    <t xml:space="preserve">S-005: basement −3600 − 2000 − 400 base.</t>
  </si>
  <si>
    <t xml:space="preserve">Pit for F1 (C1, E/3)</t>
  </si>
  <si>
    <t xml:space="preserve">Blinding under F6 (W1)</t>
  </si>
  <si>
    <t xml:space="preserve">S-001 F6 4000×5700 (meas.), 600 thk</t>
  </si>
  <si>
    <t xml:space="preserve">Sides of F6 (W1)</t>
  </si>
  <si>
    <t xml:space="preserve">H2502 – 16/col × 1</t>
  </si>
  <si>
    <t xml:space="preserve">PVC water stop at RW kicker joint</t>
  </si>
  <si>
    <t xml:space="preserve">S-005</t>
  </si>
  <si>
    <t xml:space="preserve">Blinding thickness (m)</t>
  </si>
  <si>
    <t xml:space="preserve">Blinding GEN2 C12/15 (S-001 note 5); 50 mm standard.</t>
  </si>
  <si>
    <t xml:space="preserve">Pit for F1 (C1, E/5)</t>
  </si>
  <si>
    <t xml:space="preserve">Blinding under F7 (W3)</t>
  </si>
  <si>
    <t xml:space="preserve">S-002 F7 3000×4500, 600 thk</t>
  </si>
  <si>
    <t xml:space="preserve">Sides of F7 (W3)</t>
  </si>
  <si>
    <t xml:space="preserve">H1006 – 54/col × 1</t>
  </si>
  <si>
    <t xml:space="preserve">Protective coatings (m²)</t>
  </si>
  <si>
    <t xml:space="preserve">Site area (m²)</t>
  </si>
  <si>
    <t xml:space="preserve">Arch. A002 Plan of Land: 0.40 acre (0.16 ha).</t>
  </si>
  <si>
    <t xml:space="preserve">Pit for F2 (C4/C1, grid 2 C,D,E)</t>
  </si>
  <si>
    <t xml:space="preserve">Blinding under F8 (lift core 2 + W4/W5)</t>
  </si>
  <si>
    <t xml:space="preserve">S-001 F8 combined, 56.25 m² (meas.), 600 thk</t>
  </si>
  <si>
    <t xml:space="preserve">Sides of F8 (lift core 2 + W4/W5) (perimeter scaled from area)</t>
  </si>
  <si>
    <t xml:space="preserve">H1007 – 108/col × 1</t>
  </si>
  <si>
    <t xml:space="preserve">Bitumen emulsion to top &amp; sides of F1 (C1, E/3)</t>
  </si>
  <si>
    <t xml:space="preserve">NE chamfer area excluded from rectangle (m²)</t>
  </si>
  <si>
    <t xml:space="preserve">S-001: RW Type B diagonal 5.68 m × 6.10 m legs; triangle.</t>
  </si>
  <si>
    <t xml:space="preserve">Pit for F4 (C1 ×2, F/5a–5)</t>
  </si>
  <si>
    <t xml:space="preserve">Blinding under F9 (C9 + lift core 1)</t>
  </si>
  <si>
    <t xml:space="preserve">S-001/002 F9 combined, 41.98 m² (meas.), 600 thk</t>
  </si>
  <si>
    <t xml:space="preserve">Sides of F9 (C9 + lift core 1) (perimeter scaled from area)</t>
  </si>
  <si>
    <t xml:space="preserve">H1008 – 54/col × 1</t>
  </si>
  <si>
    <t xml:space="preserve">Bitumen emulsion to top &amp; sides of F1 (C1, E/5)</t>
  </si>
  <si>
    <t xml:space="preserve">Basement plan area to outer face of RW (m²)</t>
  </si>
  <si>
    <t xml:space="preserve">Grid A–J 53.65 m × grid 1–6 29.85 m (S-001) + 150 mm each side to outer face of 300 RW.</t>
  </si>
  <si>
    <t xml:space="preserve">Pit for F5 (W2 + C3)</t>
  </si>
  <si>
    <t xml:space="preserve">Blinding under F3 (C6 ×7, C7 ×1)</t>
  </si>
  <si>
    <t xml:space="preserve">S-001 F3 2400×2400, 400 thk; 8 No.</t>
  </si>
  <si>
    <t xml:space="preserve">Sides of F3 (C6 ×7, C7 ×1)</t>
  </si>
  <si>
    <t xml:space="preserve">H1009 – 54/col × 1</t>
  </si>
  <si>
    <t xml:space="preserve">Bitumen emulsion to top &amp; sides of F2 (C4/C1, grid 2 C,D,E)</t>
  </si>
  <si>
    <t xml:space="preserve">Basement slab area (m²)</t>
  </si>
  <si>
    <t xml:space="preserve">Inside faces of RW less lift core 1 (5.00×2.75) and core 2 (2.00×2.65) footprints (S-003).</t>
  </si>
  <si>
    <t xml:space="preserve">Pit for F6 (W1)</t>
  </si>
  <si>
    <t xml:space="preserve">Blinding under F10/F11 (C8 ×5, C10A, C10B, C10 ×2 grid 1)</t>
  </si>
  <si>
    <t xml:space="preserve">S-001/002 1500×1500, 400 thk; 9 No.</t>
  </si>
  <si>
    <t xml:space="preserve">Sides of F10/F11 (C8 ×5, C10A, C10B, C10 ×2 grid 1)</t>
  </si>
  <si>
    <t xml:space="preserve">C4 ×1 (S-039–043)</t>
  </si>
  <si>
    <t xml:space="preserve">Bitumen emulsion to top &amp; sides of F4 (C1 ×2, F/5a–5)</t>
  </si>
  <si>
    <t xml:space="preserve">Working space allowance width (m)</t>
  </si>
  <si>
    <t xml:space="preserve">ASSUMED standard 600 mm outside RW for formwork/tanking.</t>
  </si>
  <si>
    <t xml:space="preserve">Pit for F7 (W3)</t>
  </si>
  <si>
    <t xml:space="preserve">Blinding under RW bases (A + B)</t>
  </si>
  <si>
    <t xml:space="preserve">S-005 base 2500 wide</t>
  </si>
  <si>
    <t xml:space="preserve">TOTAL SIDES OF BASES (m²)</t>
  </si>
  <si>
    <t xml:space="preserve">Bitumen emulsion to top &amp; sides of F5 (W2 + C3)</t>
  </si>
  <si>
    <t xml:space="preserve">RW Type A length (m)</t>
  </si>
  <si>
    <t xml:space="preserve">S-005 "LENGTH = 68 m" (grids A and 6 A–H).</t>
  </si>
  <si>
    <t xml:space="preserve">Pit for F8 (lift core 2 + W4/W5)</t>
  </si>
  <si>
    <t xml:space="preserve">Blinding under strip footings</t>
  </si>
  <si>
    <t xml:space="preserve">S-001 450 wide</t>
  </si>
  <si>
    <t xml:space="preserve">H1001 – 44/col × 1</t>
  </si>
  <si>
    <t xml:space="preserve">Bitumen emulsion to top &amp; sides of F6 (W1)</t>
  </si>
  <si>
    <t xml:space="preserve">RW Type B length (m)</t>
  </si>
  <si>
    <t xml:space="preserve">S-005 "LENGTH = 55.4 m" (measured on S-004 ≈ 56.2 m – query).</t>
  </si>
  <si>
    <t xml:space="preserve">Pit for F9 (C9 + lift core 1)</t>
  </si>
  <si>
    <t xml:space="preserve">TOTAL BLINDING</t>
  </si>
  <si>
    <t xml:space="preserve">Edges of RW bases 400 high (both edges)</t>
  </si>
  <si>
    <t xml:space="preserve">H1002 – 132/col × 1</t>
  </si>
  <si>
    <t xml:space="preserve">Bitumen emulsion to top &amp; sides of F7 (W3)</t>
  </si>
  <si>
    <t xml:space="preserve">RW Type A wall height above base (m)</t>
  </si>
  <si>
    <t xml:space="preserve">S-005: 2000 + 150 + 1500.</t>
  </si>
  <si>
    <t xml:space="preserve">Pit for F3 (C6 ×7, C7 ×1)</t>
  </si>
  <si>
    <t xml:space="preserve">Sides of strip footings 225 high</t>
  </si>
  <si>
    <t xml:space="preserve">S-001</t>
  </si>
  <si>
    <t xml:space="preserve">C6 ×7 (S-039–043)</t>
  </si>
  <si>
    <t xml:space="preserve">H2001 – 8/col × 7</t>
  </si>
  <si>
    <t xml:space="preserve">Bitumen emulsion to top &amp; sides of F8 (lift core 2 + W4/W5)</t>
  </si>
  <si>
    <t xml:space="preserve">RW Type B wall height above base to GF slab soffit (m)</t>
  </si>
  <si>
    <t xml:space="preserve">S-005: 2000 + 150 + 3475 (225 GF slab measured with slab).</t>
  </si>
  <si>
    <t xml:space="preserve">Pit for F10/F11 (C8 ×5, C10A, C10B, C10 ×2 grid 1)</t>
  </si>
  <si>
    <t xml:space="preserve">Isolated / combined pad foundations C25/30</t>
  </si>
  <si>
    <t xml:space="preserve">TOTAL SIDES OF RW BASES &amp; STRIPS (m²)</t>
  </si>
  <si>
    <t xml:space="preserve">H2002 – 8/col × 7</t>
  </si>
  <si>
    <t xml:space="preserve">Bitumen emulsion to top &amp; sides of F9 (C9 + lift core 1)</t>
  </si>
  <si>
    <t xml:space="preserve">RW base width (m)</t>
  </si>
  <si>
    <t xml:space="preserve">S-005.</t>
  </si>
  <si>
    <t xml:space="preserve">TOTAL PIT EXCAVATION</t>
  </si>
  <si>
    <t xml:space="preserve">Pad F1 (C1, E/3)</t>
  </si>
  <si>
    <t xml:space="preserve">H1010 – 56/col × 7</t>
  </si>
  <si>
    <t xml:space="preserve">Bitumen emulsion to top &amp; sides of F3 (C6 ×7, C7 ×1)</t>
  </si>
  <si>
    <t xml:space="preserve">RW base thickness (m)</t>
  </si>
  <si>
    <t xml:space="preserve">S-005; "400 mm THICKNESS" labels S-001.</t>
  </si>
  <si>
    <t xml:space="preserve">Pad F1 (C1, E/5)</t>
  </si>
  <si>
    <t xml:space="preserve">Walls (vertical)</t>
  </si>
  <si>
    <t xml:space="preserve">H1011 – 112/col × 7</t>
  </si>
  <si>
    <t xml:space="preserve">Bitumen emulsion to top &amp; sides of F10/F11 (C8 ×5, C10A, C10B, C10 ×2 grid 1)</t>
  </si>
  <si>
    <t xml:space="preserve">Strip footing length net between bases (m)</t>
  </si>
  <si>
    <t xml:space="preserve">S-001 "strip footing 450x225" measured on plan, net of pads/RW bases.</t>
  </si>
  <si>
    <t xml:space="preserve">Excavation below formation – trenches (m³)</t>
  </si>
  <si>
    <t xml:space="preserve">Pad F2 (C4/C1, grid 2 C,D,E)</t>
  </si>
  <si>
    <t xml:space="preserve">RW Type A both faces</t>
  </si>
  <si>
    <t xml:space="preserve">C7 ×1 (S-039–043)</t>
  </si>
  <si>
    <t xml:space="preserve">H2001 – 8/col × 1</t>
  </si>
  <si>
    <t xml:space="preserve">Bitumen emulsion to RW bases (top heel + edges)</t>
  </si>
  <si>
    <t xml:space="preserve">Perimeter of basement excavation for earthwork support (m)</t>
  </si>
  <si>
    <t xml:space="preserve">RW A + RW B + grid 1 A–H (no RW shown – query).</t>
  </si>
  <si>
    <t xml:space="preserve">Trench for RW Type A base</t>
  </si>
  <si>
    <t xml:space="preserve">Pad F4 (C1 ×2, F/5a–5)</t>
  </si>
  <si>
    <t xml:space="preserve">RW Type B both faces</t>
  </si>
  <si>
    <t xml:space="preserve">H2003 – 8/col × 1</t>
  </si>
  <si>
    <t xml:space="preserve">Bitumen emulsion to strip footings</t>
  </si>
  <si>
    <t xml:space="preserve">Trench for RW Type B base</t>
  </si>
  <si>
    <t xml:space="preserve">Pad F5 (W2 + C3)</t>
  </si>
  <si>
    <t xml:space="preserve">Lift core 1 faces (outer 15.50 + inner 17.00 m)</t>
  </si>
  <si>
    <t xml:space="preserve">S-003</t>
  </si>
  <si>
    <t xml:space="preserve">H1010 – 56/col × 1</t>
  </si>
  <si>
    <t xml:space="preserve">Bitumen emulsion to columns below formation</t>
  </si>
  <si>
    <t xml:space="preserve">Trench for strip footings (assumed at formation)</t>
  </si>
  <si>
    <t xml:space="preserve">S-001 – level to confirm</t>
  </si>
  <si>
    <t xml:space="preserve">Pad F6 (W1)</t>
  </si>
  <si>
    <t xml:space="preserve">Lift core 2 faces (outer 9.30 + inner 7.70 m)</t>
  </si>
  <si>
    <t xml:space="preserve">H1011 – 112/col × 1</t>
  </si>
  <si>
    <t xml:space="preserve">TOTAL BITUMEN EMULSION (m²)</t>
  </si>
  <si>
    <t xml:space="preserve">Trench for ground beams 300×200 downstand</t>
  </si>
  <si>
    <t xml:space="preserve">Pad F7 (W3)</t>
  </si>
  <si>
    <t xml:space="preserve">W4 300 thk faces + ends</t>
  </si>
  <si>
    <t xml:space="preserve">S-003: 200+2200+2850+200 = 5.45 m</t>
  </si>
  <si>
    <t xml:space="preserve">C8 ×5 (S-039–043)</t>
  </si>
  <si>
    <t xml:space="preserve">H2001 – 8/col × 5</t>
  </si>
  <si>
    <t xml:space="preserve">Trench for ground beam 600×200 downstand</t>
  </si>
  <si>
    <t xml:space="preserve">Pad F8 (lift core 2 + W4/W5)</t>
  </si>
  <si>
    <t xml:space="preserve">W5 300 thk faces + ends</t>
  </si>
  <si>
    <t xml:space="preserve">S-003: 5.45 m</t>
  </si>
  <si>
    <t xml:space="preserve">H2002 – 8/col × 5</t>
  </si>
  <si>
    <t xml:space="preserve">Kickers (m)</t>
  </si>
  <si>
    <t xml:space="preserve">TOTAL TRENCH EXCAVATION</t>
  </si>
  <si>
    <t xml:space="preserve">Pad F9 (C9 + lift core 1)</t>
  </si>
  <si>
    <t xml:space="preserve">W1 300 thk faces + ends</t>
  </si>
  <si>
    <t xml:space="preserve">S-003: 150+1750+250 = 2.15 m</t>
  </si>
  <si>
    <t xml:space="preserve">H1012 – 56/col × 5</t>
  </si>
  <si>
    <t xml:space="preserve">75 mm kicker to RW</t>
  </si>
  <si>
    <t xml:space="preserve">Pad F3 (C6 ×7, C7 ×1)</t>
  </si>
  <si>
    <t xml:space="preserve">W2 300 thk faces + ends</t>
  </si>
  <si>
    <t xml:space="preserve">S-003: 150+1900+250 = 2.30 m</t>
  </si>
  <si>
    <t xml:space="preserve">H1013 – 112/col × 5</t>
  </si>
  <si>
    <t xml:space="preserve">Working space &amp; support</t>
  </si>
  <si>
    <t xml:space="preserve">Pad F10/F11 (C8 ×5, C10A, C10B, C10 ×2 grid 1)</t>
  </si>
  <si>
    <t xml:space="preserve">W3 300 thk faces + ends</t>
  </si>
  <si>
    <t xml:space="preserve">S-001 scaled ≈1.85 m (dim. not given – query); top +0.45</t>
  </si>
  <si>
    <t xml:space="preserve">C9 ×1 (S-039–043)</t>
  </si>
  <si>
    <t xml:space="preserve">Working space allowance to RW outer face (m²)</t>
  </si>
  <si>
    <t xml:space="preserve">RW length × depth EGL to RW formation</t>
  </si>
  <si>
    <t xml:space="preserve">TOTAL PAD CONCRETE</t>
  </si>
  <si>
    <t xml:space="preserve">TOTAL WALL FORMWORK (m²)</t>
  </si>
  <si>
    <t xml:space="preserve">Earthwork support to basement perimeter, max depth &gt;4 m (m²)</t>
  </si>
  <si>
    <t xml:space="preserve">Perimeter × depth EGL to RW formation</t>
  </si>
  <si>
    <t xml:space="preserve">Filling, disposal, hardcore</t>
  </si>
  <si>
    <t xml:space="preserve">Base count (check = 28: 6×C1/C4/C9/C3 group pads + 8 F3 + 9 F10/F11)</t>
  </si>
  <si>
    <t xml:space="preserve">Columns</t>
  </si>
  <si>
    <t xml:space="preserve">Filling to excavation (pits &amp; trenches) – selected/hardcore fill 95% MDD</t>
  </si>
  <si>
    <t xml:space="preserve">Note: pits + trenches − concrete below formation</t>
  </si>
  <si>
    <t xml:space="preserve">Sides of C1 500×500 (GF +750)</t>
  </si>
  <si>
    <t xml:space="preserve">S-039 6 No.; −6.300 to +0.525</t>
  </si>
  <si>
    <t xml:space="preserve">C10 ×10 (S-039–043)</t>
  </si>
  <si>
    <t xml:space="preserve">H2001 – 12/col × 10</t>
  </si>
  <si>
    <t xml:space="preserve">Disposal of surplus excavated material off site</t>
  </si>
  <si>
    <t xml:space="preserve">Note: bulk + pits + trenches − filling</t>
  </si>
  <si>
    <t xml:space="preserve">Retaining wall bases &amp; strip footings C25/30</t>
  </si>
  <si>
    <t xml:space="preserve">Sides of C3 800×300 (GF +000)</t>
  </si>
  <si>
    <t xml:space="preserve">S-039 1 No.; −6.300 to −0.225</t>
  </si>
  <si>
    <t xml:space="preserve">H2002 – 12/col × 10</t>
  </si>
  <si>
    <t xml:space="preserve">Hardcore bed under basement slab</t>
  </si>
  <si>
    <t xml:space="preserve">Basement slab area × assumed thickness</t>
  </si>
  <si>
    <t xml:space="preserve">RW Type A base</t>
  </si>
  <si>
    <t xml:space="preserve">S-005 2500×400</t>
  </si>
  <si>
    <t xml:space="preserve">Sides of C4 500×500 (GF +750)</t>
  </si>
  <si>
    <t xml:space="preserve">S-040 1 No.</t>
  </si>
  <si>
    <t xml:space="preserve">H1014 – 56/col × 10</t>
  </si>
  <si>
    <t xml:space="preserve">Compact bottoms of excavation (m²)</t>
  </si>
  <si>
    <t xml:space="preserve">Pits + RW trenches + strip trenches plan</t>
  </si>
  <si>
    <t xml:space="preserve">RW Type B base</t>
  </si>
  <si>
    <t xml:space="preserve">Sides of C6 400×400 (GF +000)</t>
  </si>
  <si>
    <t xml:space="preserve">S-040 7 No.</t>
  </si>
  <si>
    <t xml:space="preserve">H1015 – 56/col × 10</t>
  </si>
  <si>
    <t xml:space="preserve">Compact surface of hardcore (m²)</t>
  </si>
  <si>
    <t xml:space="preserve">Note: basement slab area</t>
  </si>
  <si>
    <t xml:space="preserve">TOTAL RW BASES</t>
  </si>
  <si>
    <t xml:space="preserve">Sides of C7 400×400 (GF +000)</t>
  </si>
  <si>
    <t xml:space="preserve">H1016 – 56/col × 10</t>
  </si>
  <si>
    <t xml:space="preserve">Level and compact basement formation (m²)</t>
  </si>
  <si>
    <t xml:space="preserve">Sides of C8 300×300 (GF +000)</t>
  </si>
  <si>
    <t xml:space="preserve">S-041 5 No.</t>
  </si>
  <si>
    <t xml:space="preserve">C10A ×1 (S-039–043)</t>
  </si>
  <si>
    <t xml:space="preserve">H2003 – 12/col × 1</t>
  </si>
  <si>
    <t xml:space="preserve">Reconciliation checks</t>
  </si>
  <si>
    <t xml:space="preserve">Strip footings 450×225</t>
  </si>
  <si>
    <t xml:space="preserve">S-001 (level/detail not given – query)</t>
  </si>
  <si>
    <t xml:space="preserve">Sides of C9 500×500 (GF +750)</t>
  </si>
  <si>
    <t xml:space="preserve">S-041 1 No.</t>
  </si>
  <si>
    <t xml:space="preserve">H1014 – 24/col × 1</t>
  </si>
  <si>
    <t xml:space="preserve">Check: pit plan vs pad plan (should be equal)</t>
  </si>
  <si>
    <t xml:space="preserve">TOTAL STRIP FOOTINGS</t>
  </si>
  <si>
    <t xml:space="preserve">Sides of C10 700×300 (GF +000)</t>
  </si>
  <si>
    <t xml:space="preserve">S-041 10 No. (in RW Type A line)</t>
  </si>
  <si>
    <t xml:space="preserve">H1015 – 24/col × 1</t>
  </si>
  <si>
    <t xml:space="preserve">Check: blinding thickness used = 0.05</t>
  </si>
  <si>
    <t xml:space="preserve">Sides of C10A 700×300 stub to basement</t>
  </si>
  <si>
    <t xml:space="preserve">S-041 1 No.; base to −3.700</t>
  </si>
  <si>
    <t xml:space="preserve">H1016 – 24/col × 1</t>
  </si>
  <si>
    <t xml:space="preserve">Retaining walls 300 thick C25/30 (incl. 75 kicker)</t>
  </si>
  <si>
    <t xml:space="preserve">Sides of C10B 700×300 stub to basement</t>
  </si>
  <si>
    <t xml:space="preserve">C10B ×1 (S-039–043)</t>
  </si>
  <si>
    <t xml:space="preserve">H2004 (not scheduled – as C10A) – 12/col × 1</t>
  </si>
  <si>
    <t xml:space="preserve">RW Type A wall (net of 10 No. C10 700 wide)</t>
  </si>
  <si>
    <t xml:space="preserve">S-005; C10 measured as columns</t>
  </si>
  <si>
    <t xml:space="preserve">TOTAL COLUMN FORMWORK (m²)</t>
  </si>
  <si>
    <t xml:space="preserve">RW Type B wall to GF slab soffit</t>
  </si>
  <si>
    <t xml:space="preserve">TOTAL RW WALLS</t>
  </si>
  <si>
    <t xml:space="preserve">Beams &amp; slabs</t>
  </si>
  <si>
    <t xml:space="preserve">Sides of ground beams 300×200 (downstand 150)</t>
  </si>
  <si>
    <t xml:space="preserve">TOTAL COLUMNS (base to GF)</t>
  </si>
  <si>
    <t xml:space="preserve">Columns from top of base to GF slab soffit C25/30</t>
  </si>
  <si>
    <t xml:space="preserve">Sides of ground beam 600×200 (downstand 450)</t>
  </si>
  <si>
    <t xml:space="preserve">C1 500×500 (GF +750)</t>
  </si>
  <si>
    <t xml:space="preserve">TOTAL GROUND BEAM SIDES (m²)</t>
  </si>
  <si>
    <t xml:space="preserve">WALLS &amp; CORES (basement schedules)</t>
  </si>
  <si>
    <t xml:space="preserve">C3 800×300 (GF +000)</t>
  </si>
  <si>
    <t xml:space="preserve">W1 basement schedule (S-044)</t>
  </si>
  <si>
    <t xml:space="preserve">H1001</t>
  </si>
  <si>
    <t xml:space="preserve">C4 500×500 (GF +750)</t>
  </si>
  <si>
    <t xml:space="preserve">Edges of basement slab ≤250 at perimeter &amp; cores (m)</t>
  </si>
  <si>
    <t xml:space="preserve">Perimeter inside RW + core perimeters</t>
  </si>
  <si>
    <t xml:space="preserve">H1002</t>
  </si>
  <si>
    <t xml:space="preserve">C6 400×400 (GF +000)</t>
  </si>
  <si>
    <t xml:space="preserve">H1201*</t>
  </si>
  <si>
    <t xml:space="preserve">C7 400×400 (GF +000)</t>
  </si>
  <si>
    <t xml:space="preserve">Soffit of GF slab, 3.5–5.0 m high</t>
  </si>
  <si>
    <t xml:space="preserve">Note: GF net slab area</t>
  </si>
  <si>
    <t xml:space="preserve">H1601</t>
  </si>
  <si>
    <t xml:space="preserve">C8 300×300 (GF +000)</t>
  </si>
  <si>
    <t xml:space="preserve">TOTAL GF SLAB SOFFIT (m²)</t>
  </si>
  <si>
    <t xml:space="preserve">H2501</t>
  </si>
  <si>
    <t xml:space="preserve">C9 500×500 (GF +750)</t>
  </si>
  <si>
    <t xml:space="preserve">W2 basement schedule (S-044)</t>
  </si>
  <si>
    <t xml:space="preserve">C10 700×300 (GF +000)</t>
  </si>
  <si>
    <t xml:space="preserve">Sides &amp; soffit of GF beam 1350×300</t>
  </si>
  <si>
    <t xml:space="preserve">S-007</t>
  </si>
  <si>
    <t xml:space="preserve">C10A 700×300 stub to basement</t>
  </si>
  <si>
    <t xml:space="preserve">Sides &amp; soffit of GF beam 1200×600</t>
  </si>
  <si>
    <t xml:space="preserve">C10B 700×300 stub to basement</t>
  </si>
  <si>
    <t xml:space="preserve">Sides &amp; soffit of GF beam 975×300</t>
  </si>
  <si>
    <t xml:space="preserve">TOTAL COLUMNS</t>
  </si>
  <si>
    <t xml:space="preserve">Sides &amp; soffit of GF beam 975×500</t>
  </si>
  <si>
    <t xml:space="preserve">Sides &amp; soffit of GF beam 750×500</t>
  </si>
  <si>
    <t xml:space="preserve">W3 basement schedule (S-044)</t>
  </si>
  <si>
    <t xml:space="preserve">Shear / lift core walls, base to GF slab soffit C30/37 (ductile walls)</t>
  </si>
  <si>
    <t xml:space="preserve">Sides &amp; soffit of GF beam 750×300</t>
  </si>
  <si>
    <t xml:space="preserve">Lift core 1, 300 thk (C–D/3–4a)</t>
  </si>
  <si>
    <t xml:space="preserve">S-003: 2×5.00 + 3×2.15 = 16.45 m c/l</t>
  </si>
  <si>
    <t xml:space="preserve">Sides &amp; soffit of GF beam 600×300</t>
  </si>
  <si>
    <t xml:space="preserve">Lift core 2, 200 thk (C–D/4–5)</t>
  </si>
  <si>
    <t xml:space="preserve">S-003: 2×2.00 + 2×2.25 = 8.50 m c/l</t>
  </si>
  <si>
    <t xml:space="preserve">Sides of upstand beam 600×200</t>
  </si>
  <si>
    <t xml:space="preserve">W4 300 thk</t>
  </si>
  <si>
    <t xml:space="preserve">Sides of upstand beam 750×200</t>
  </si>
  <si>
    <t xml:space="preserve">W5 300 thk</t>
  </si>
  <si>
    <t xml:space="preserve">TOTAL GF BEAM FORMWORK (m²)</t>
  </si>
  <si>
    <t xml:space="preserve">W4 basement schedule (S-046)</t>
  </si>
  <si>
    <t xml:space="preserve">W1 300 thk</t>
  </si>
  <si>
    <t xml:space="preserve">W2 300 thk</t>
  </si>
  <si>
    <t xml:space="preserve">Edges of GF slab at voids &amp; ramp, 150–300 high (m) – PROVISIONAL</t>
  </si>
  <si>
    <t xml:space="preserve">Ramp 28.0 + steps 10.7 + stair/lift voids ≈81</t>
  </si>
  <si>
    <t xml:space="preserve">W3 300 thk</t>
  </si>
  <si>
    <t xml:space="preserve">TOTAL CORE / SHEAR WALLS</t>
  </si>
  <si>
    <t xml:space="preserve">W5 basement schedule (S-046)</t>
  </si>
  <si>
    <t xml:space="preserve">Basement ground beams (below slab) &amp; slab</t>
  </si>
  <si>
    <t xml:space="preserve">Ground beam 300×200 – downstand below 150 slab</t>
  </si>
  <si>
    <t xml:space="preserve">S-006 measured 410.8 m less crossings</t>
  </si>
  <si>
    <t xml:space="preserve">H1003</t>
  </si>
  <si>
    <t xml:space="preserve">Ground beam 600×200 grid 1 – downstand below slab</t>
  </si>
  <si>
    <t xml:space="preserve">S-006 measured A–H</t>
  </si>
  <si>
    <t xml:space="preserve">TOTAL GROUND BEAMS</t>
  </si>
  <si>
    <t xml:space="preserve">Basement slab 150 non-suspended</t>
  </si>
  <si>
    <t xml:space="preserve">Core 1 basement schedule (S-047)</t>
  </si>
  <si>
    <t xml:space="preserve">TOTAL BASEMENT SLAB</t>
  </si>
  <si>
    <t xml:space="preserve">Ground floor (basement top) slab C25/30</t>
  </si>
  <si>
    <t xml:space="preserve">H1004</t>
  </si>
  <si>
    <t xml:space="preserve">GF plate within grids A–J / 1–6 less NE chamfer (m²)</t>
  </si>
  <si>
    <t xml:space="preserve">Less ramp void rows 5–6, A to 20.82 m (m²)</t>
  </si>
  <si>
    <t xml:space="preserve">S-007 (void not dimensioned – query)</t>
  </si>
  <si>
    <t xml:space="preserve">H1202*</t>
  </si>
  <si>
    <t xml:space="preserve">150 slab zone (+750/+600) gross: A–F × 2–5 + A–A' × 1–2 (m²)</t>
  </si>
  <si>
    <t xml:space="preserve">H2001</t>
  </si>
  <si>
    <t xml:space="preserve">Less stair &amp; lift voids in 150 zone (m²) – PROVISIONAL</t>
  </si>
  <si>
    <t xml:space="preserve">S-007 voids not dimensioned – query</t>
  </si>
  <si>
    <t xml:space="preserve">300 slab strips grids H &amp; I (m²)</t>
  </si>
  <si>
    <t xml:space="preserve">S-007 2 No. 3.00 × 20.52 (meas.)</t>
  </si>
  <si>
    <t xml:space="preserve">Less north steps void D'–D'' rows 1–1A (m²)</t>
  </si>
  <si>
    <t xml:space="preserve">Core 2 basement schedule (S-047)</t>
  </si>
  <si>
    <t xml:space="preserve">225 slab zone (+000) net (m²)</t>
  </si>
  <si>
    <t xml:space="preserve">Note: plate − ramp − 150 zone − 300 strips − steps void</t>
  </si>
  <si>
    <t xml:space="preserve">GF slab 150 thick</t>
  </si>
  <si>
    <t xml:space="preserve">GF slab 225 thick</t>
  </si>
  <si>
    <t xml:space="preserve">GF slab 300 thick strips</t>
  </si>
  <si>
    <t xml:space="preserve">TOTAL GF SLAB</t>
  </si>
  <si>
    <t xml:space="preserve">GF slab net soffit area (m²)</t>
  </si>
  <si>
    <t xml:space="preserve">H1602</t>
  </si>
  <si>
    <t xml:space="preserve">TOTAL WALLS &amp; CORES (basement schedules)</t>
  </si>
  <si>
    <t xml:space="preserve">GF beams – downstand below slab (depth × width as labelled; slab 150 deducted)</t>
  </si>
  <si>
    <t xml:space="preserve">Beam 1350×300</t>
  </si>
  <si>
    <t xml:space="preserve">S-007 length measured on plan</t>
  </si>
  <si>
    <t xml:space="preserve">GROUND BEAMS (R – mild steel per schedule)</t>
  </si>
  <si>
    <t xml:space="preserve">Beam 1200×600</t>
  </si>
  <si>
    <t xml:space="preserve">Ground beams (S-006) MILD STEEL</t>
  </si>
  <si>
    <t xml:space="preserve">R1201</t>
  </si>
  <si>
    <t xml:space="preserve">Beam 975×300</t>
  </si>
  <si>
    <t xml:space="preserve">R1202</t>
  </si>
  <si>
    <t xml:space="preserve">Beam 975×500</t>
  </si>
  <si>
    <t xml:space="preserve">Ground beams links (S-006) MILD STEEL</t>
  </si>
  <si>
    <t xml:space="preserve">R1001</t>
  </si>
  <si>
    <t xml:space="preserve">Beam 750×500</t>
  </si>
  <si>
    <t xml:space="preserve">TOTAL GROUND BEAMS (R – mild steel per schedule)</t>
  </si>
  <si>
    <t xml:space="preserve">Beam 750×300</t>
  </si>
  <si>
    <t xml:space="preserve">Beam 600×300</t>
  </si>
  <si>
    <t xml:space="preserve">GF SLAB (bending schedules)</t>
  </si>
  <si>
    <t xml:space="preserve">Upstand beam 600×200 (above slab)</t>
  </si>
  <si>
    <t xml:space="preserve">S-007/008</t>
  </si>
  <si>
    <t xml:space="preserve">GF slab +000 (S-023)</t>
  </si>
  <si>
    <t xml:space="preserve">H1201</t>
  </si>
  <si>
    <t xml:space="preserve">Upstand beam 750×200 (curved, around stair void)</t>
  </si>
  <si>
    <t xml:space="preserve">S-007 length scaled ≈12 m – query</t>
  </si>
  <si>
    <t xml:space="preserve">H1202</t>
  </si>
  <si>
    <t xml:space="preserve">TOTAL GF BEAMS</t>
  </si>
  <si>
    <t xml:space="preserve">H1203</t>
  </si>
  <si>
    <t xml:space="preserve">H1204</t>
  </si>
  <si>
    <t xml:space="preserve">GF beams full-section volume (for steel allowance)</t>
  </si>
  <si>
    <t xml:space="preserve">H1205</t>
  </si>
  <si>
    <t xml:space="preserve">H1206</t>
  </si>
  <si>
    <t xml:space="preserve">Concrete below basement formation (for backfill)</t>
  </si>
  <si>
    <t xml:space="preserve">H1207</t>
  </si>
  <si>
    <t xml:space="preserve">Columns from top of base to formation</t>
  </si>
  <si>
    <t xml:space="preserve">2.30 m each</t>
  </si>
  <si>
    <t xml:space="preserve">H1208</t>
  </si>
  <si>
    <t xml:space="preserve">Walls from top of base to formation</t>
  </si>
  <si>
    <t xml:space="preserve">H1209</t>
  </si>
  <si>
    <t xml:space="preserve">RW walls from top of base to formation</t>
  </si>
  <si>
    <t xml:space="preserve">H1210</t>
  </si>
  <si>
    <t xml:space="preserve">SUB-TOTAL</t>
  </si>
  <si>
    <t xml:space="preserve">H1211</t>
  </si>
  <si>
    <t xml:space="preserve">H1212</t>
  </si>
  <si>
    <t xml:space="preserve">H1213</t>
  </si>
  <si>
    <t xml:space="preserve">H1214</t>
  </si>
  <si>
    <t xml:space="preserve">H1215</t>
  </si>
  <si>
    <t xml:space="preserve">H1216</t>
  </si>
  <si>
    <t xml:space="preserve">H1217</t>
  </si>
  <si>
    <t xml:space="preserve">H1218 (varies 2750–12000, mean)</t>
  </si>
  <si>
    <t xml:space="preserve">H1219</t>
  </si>
  <si>
    <t xml:space="preserve">H1220</t>
  </si>
  <si>
    <t xml:space="preserve">H1221</t>
  </si>
  <si>
    <t xml:space="preserve">H1222</t>
  </si>
  <si>
    <t xml:space="preserve">H1223</t>
  </si>
  <si>
    <t xml:space="preserve">H1224</t>
  </si>
  <si>
    <t xml:space="preserve">H1225</t>
  </si>
  <si>
    <t xml:space="preserve">H1226</t>
  </si>
  <si>
    <t xml:space="preserve">H1227</t>
  </si>
  <si>
    <t xml:space="preserve">H1228</t>
  </si>
  <si>
    <t xml:space="preserve">H1229</t>
  </si>
  <si>
    <t xml:space="preserve">H1230</t>
  </si>
  <si>
    <t xml:space="preserve">H1231</t>
  </si>
  <si>
    <t xml:space="preserve">H1232</t>
  </si>
  <si>
    <t xml:space="preserve">GF slab +750 (S-024)</t>
  </si>
  <si>
    <t xml:space="preserve">H1218</t>
  </si>
  <si>
    <t xml:space="preserve">GF drop panel / additional (S-025)</t>
  </si>
  <si>
    <t xml:space="preserve">H1603</t>
  </si>
  <si>
    <t xml:space="preserve">H1604</t>
  </si>
  <si>
    <t xml:space="preserve">H1605</t>
  </si>
  <si>
    <t xml:space="preserve">H1606</t>
  </si>
  <si>
    <t xml:space="preserve">H1607</t>
  </si>
  <si>
    <t xml:space="preserve">H1608</t>
  </si>
  <si>
    <t xml:space="preserve">TOTAL GF SLAB (bending schedules)</t>
  </si>
  <si>
    <t xml:space="preserve">SUMMARY BY ELEMENT &amp; DIAMETER (kg)</t>
  </si>
  <si>
    <t xml:space="preserve">10 mm</t>
  </si>
  <si>
    <t xml:space="preserve">20 mm</t>
  </si>
  <si>
    <t xml:space="preserve">25 mm</t>
  </si>
  <si>
    <t xml:space="preserve">Walls &amp; cores</t>
  </si>
  <si>
    <t xml:space="preserve">16 mm</t>
  </si>
  <si>
    <t xml:space="preserve">Ground beams (mild steel)</t>
  </si>
  <si>
    <t xml:space="preserve">12 mm</t>
  </si>
  <si>
    <t xml:space="preserve">GF slab</t>
  </si>
  <si>
    <t xml:space="preserve">PROVISIONAL ALLOWANCES – no reinforcement details issued (yellow, confirm)</t>
  </si>
  <si>
    <t xml:space="preserve">Pads F1–F12 (no details)</t>
  </si>
  <si>
    <t xml:space="preserve">kg/m³ allowance ×  m³</t>
  </si>
  <si>
    <t xml:space="preserve">RW bases + walls (no schedule)</t>
  </si>
  <si>
    <t xml:space="preserve">Strip footings (no details)</t>
  </si>
  <si>
    <t xml:space="preserve">GF beams full section (no details)</t>
  </si>
  <si>
    <t xml:space="preserve">QS QUERIES ON STRUCTURAL DRAWINGS – PRIORITY HOUSE (ESPCo, Aug 2026, Rev 001)</t>
  </si>
  <si>
    <t xml:space="preserve">No.</t>
  </si>
  <si>
    <t xml:space="preserve">QUERY</t>
  </si>
  <si>
    <t xml:space="preserve">EFFECT ON THIS BoQ / ASSUMPTION MADE</t>
  </si>
  <si>
    <t xml:space="preserve">A. SITE, LEVELS &amp; SETTING OUT</t>
  </si>
  <si>
    <t xml:space="preserve">No topographic survey or existing ground levels are issued with the structural set (architectural sheets A093 "Topo levels on block plan" and A094 "Topo on basement level" are listed but missing). The site is sloping; excavation depths cannot be fixed. Issue a levelled grid survey related to the GF ±0.000 datum and state that datum relative to MSL.</t>
  </si>
  <si>
    <t xml:space="preserve">Bulk excavation, earthwork support and disposal are priced on an ASSUMED average EGL of −1.05 m (calculations AP3).</t>
  </si>
  <si>
    <t xml:space="preserve">Structural grid 1–6 totals 29,850 mm (5150/2850/3550/2500/3550/2200/2850/7200) but the architectural grid totals 29,500 mm (5150/2950/3450/2525/3575/2175/2825/6850). Bay 5–6 differs by 350 mm. Confirm which governs.</t>
  </si>
  <si>
    <t xml:space="preserve">Basement plan area and slab areas follow the structural grid.</t>
  </si>
  <si>
    <t xml:space="preserve">Basement level is −3600 on the retaining wall details (S-005) but −3700 on the basement GA (CFL −3700/−3550) and on all column elevations. Confirm the structural level and the 150 mm step between CFL −3700 and −3550 zones (no detail).</t>
  </si>
  <si>
    <t xml:space="preserve">−3.700 adopted.</t>
  </si>
  <si>
    <t xml:space="preserve">Founding levels conflict: column elevations give top of base 2,600 below basement level (−6.300), while the RW base top is 2,000 below −3,600 (−5.600). Confirm formation levels for pads and RW bases and confirm they satisfy the geotechnical report (not issued).</t>
  </si>
  <si>
    <t xml:space="preserve">Pads measured to −6.300 top; RW base underside −6.000.</t>
  </si>
  <si>
    <t xml:space="preserve">Plot is 0.16 ha (1,619 m²) and the basement footprint to outer face of walls is ~1,609 m². Excavation is effectively boundary-to-boundary up to ~5 m deep. No temporary works, embedded retaining wall (sheet/secant/contiguous piles), propping or underpinning is shown.</t>
  </si>
  <si>
    <t xml:space="preserve">Earthwork support measured + provisional sum for temporary works.</t>
  </si>
  <si>
    <t xml:space="preserve">B. PARTY WALL – SUNNY FM (45 Hilla Limann Avenue)</t>
  </si>
  <si>
    <t xml:space="preserve">Confirm which boundary is shared with Sunny FM (west grid A or south grid 6 – both are RW Type A). Provide the foundation type/depth of the Sunny FM building; a 6 m deep excavation at the party line will undermine shallow footings.</t>
  </si>
  <si>
    <t xml:space="preserve">Item for dilapidation survey and monitoring included.</t>
  </si>
  <si>
    <t xml:space="preserve">RW Type A is detailed as a cantilever wall with a 2,500 mm base and backfill on the retained side. On the party side there is no space to excavate for the base heel/backfill/working space. Confirm the base projects inward only, and the construction sequence (bottom-up vs. embedded wall).</t>
  </si>
  <si>
    <t xml:space="preserve">Working space measured to both RW types – omit on party side if embedded wall adopted.</t>
  </si>
  <si>
    <t xml:space="preserve">RW Type A rises only 1,500 mm above basement level (top −2.100). Confirm what forms the external wall from −2.100 to GF on grids A and 6 between the C10 columns (the architectural basement plan shows a full-height concrete wall), and confirm retained ground levels there.</t>
  </si>
  <si>
    <t xml:space="preserve">Nothing measured above −2.100 except C10 columns.</t>
  </si>
  <si>
    <t xml:space="preserve">Grid 1 (A–H, north) has no retaining wall or wall footing – only 450×225 strip footings and F10/F11 pads. The architectural plan shows a concrete wall along grid 1. Confirm ground level on the north side and the wall/retaining provision required.</t>
  </si>
  <si>
    <t xml:space="preserve">Not measured.</t>
  </si>
  <si>
    <t xml:space="preserve">C. FOUNDATIONS</t>
  </si>
  <si>
    <t xml:space="preserve">No foundation details or reinforcement schedules for pads F1–F12 (only plan sizes from setting-out and thickness labels). Issue base sections, bar schedules and starter details.</t>
  </si>
  <si>
    <t xml:space="preserve">Steel measured as a PROVISIONAL 90 kg/m³ allowance.</t>
  </si>
  <si>
    <t xml:space="preserve">F1 at E/5 measures 4,400×4,400 on plan whereas F1 at E/3 is dimensioned 4,600×4,500 and measures 4,600×4,600. Confirm F1 sizes. Confirm sizes of F4, F5 (L-shaped), F8 and F9 (combined with lift cores) – not fully dimensioned.</t>
  </si>
  <si>
    <t xml:space="preserve">Measured from drawing geometry.</t>
  </si>
  <si>
    <t xml:space="preserve">"Strip footing 450x225" runs on all grid lines between bases: no section, founding level, reinforcement or purpose is given (pads are ~2.3 m deeper than basement formation). Confirm level and detail.</t>
  </si>
  <si>
    <t xml:space="preserve">Measured at basement formation level; if at base level add ~210 m³ excavation.</t>
  </si>
  <si>
    <t xml:space="preserve">F12 is marked under C10 columns within the RW base band: confirm whether F12 is a separate pad/thickening or simply the 400 mm RW base.</t>
  </si>
  <si>
    <t xml:space="preserve">Treated as RW base.</t>
  </si>
  <si>
    <t xml:space="preserve">Geotechnical report (325 kN/m² allowable bearing) and groundwater level are not issued. Confirm presence of rock and groundwater; dewatering requirement (S-001 concrete note 3).</t>
  </si>
  <si>
    <t xml:space="preserve">Rock EO and dewatering included provisionally.</t>
  </si>
  <si>
    <t xml:space="preserve">Notes refer to C25/30 "raft foundations" but the design is pads/combined bases. Confirm concrete grade for foundations and walls (C30/37 for ductile walls).</t>
  </si>
  <si>
    <t xml:space="preserve">D. RETAINING WALLS</t>
  </si>
  <si>
    <t xml:space="preserve">No bending schedule for retaining walls; base reinforcement is not labelled; corner detail bars (H16@200, H1610@200) not scheduled.</t>
  </si>
  <si>
    <t xml:space="preserve">Steel PROVISIONAL 110 kg/m³.</t>
  </si>
  <si>
    <t xml:space="preserve">Stated lengths: Type A 68 m, Type B 55.4 m. Type B measures ≈56.2 m on S-004 (9.42 + 8.33 diagonal + 23.39 + 15.10). Confirm.</t>
  </si>
  <si>
    <t xml:space="preserve">Stated lengths used.</t>
  </si>
  <si>
    <t xml:space="preserve">Waterproofing is "approved water proofing material" – specify the system (membrane type, protection board, drainage), the basement grade (BS 8102 Grade 2/3) and the water stop type at kicker and slab/wall joints.</t>
  </si>
  <si>
    <t xml:space="preserve">E. BASEMENT SLAB &amp; GROUND BEAMS</t>
  </si>
  <si>
    <t xml:space="preserve">Basement slab is 150 mm non-suspended (S-006) but column details show 200 mm. Confirm thickness, hardcore thickness (not stated) and DPM gauge ("consult specialist").</t>
  </si>
  <si>
    <t xml:space="preserve">150 slab + 150 hardcore assumed.</t>
  </si>
  <si>
    <t xml:space="preserve">Ground beam schedule uses R (round mild steel) bars – conflicts with the high-tensile specification. Quantities (85 No. R12 ×9 m ×2 marks, 808 R10 links @225) do not match ~445 m of 300×200/600×200 beams measured (~1,980 links required). Re-issue schedule.</t>
  </si>
  <si>
    <t xml:space="preserve">Measured as scheduled – will be under-measured.</t>
  </si>
  <si>
    <t xml:space="preserve">Lift pits (cores 1 and 2) – no pit depth, base, walls or waterproofing detail.</t>
  </si>
  <si>
    <t xml:space="preserve">Provisional sum.</t>
  </si>
  <si>
    <t xml:space="preserve">F. COLUMNS &amp; WALLS</t>
  </si>
  <si>
    <t xml:space="preserve">Column schedule totals inconsistent with "No. THUS": C6 (7 No.) H1010 total 336 (=6×56), H2001/H2002 total 16 (should be 56); C8 (5 No.) H1013 total 518 (=7×74), H2001/H2002 total 16 (should be 40); C3 H1007 No. each 484 vs total 446; C10A (1 No.) H1014 each 24 vs total 560, H1015/H1016 total 560; C10B is not scheduled (12-H2004 on elevation). C6/C7/C8 link counts on elevations (2× per set = 112) differ from schedule each (74).</t>
  </si>
  <si>
    <t xml:space="preserve">Measured from elevation call-outs × No. thus.</t>
  </si>
  <si>
    <t xml:space="preserve">Wall schedules list bar marks H1201/H1202 with diameter 16 mm. Confirm diameter (12 or 16).</t>
  </si>
  <si>
    <t xml:space="preserve">Measured as 16 mm per schedule.</t>
  </si>
  <si>
    <t xml:space="preserve">Wall W3 length not dimensioned on S-003 (scaled ≈1.85 m); W4/W5 drawn 300 thick but labelled near "200 mm thick wall" – confirm thicknesses.</t>
  </si>
  <si>
    <t xml:space="preserve">C2 and C5 start at ground floor on 1200×600 / 975×500 / 750×500 beams (transfer). Confirm the transfer beam design.</t>
  </si>
  <si>
    <t xml:space="preserve">G. GROUND FLOOR (BASEMENT TOP) SLAB</t>
  </si>
  <si>
    <t xml:space="preserve">No beam reinforcement details/schedules for any GF beam (1350×300, 1200×600, 975×300/500, 750×500/300, 600×300, upstands 600×200/750×200). Confirm notation is depth × width.</t>
  </si>
  <si>
    <t xml:space="preserve">Steel PROVISIONAL 180 kg/m³.</t>
  </si>
  <si>
    <t xml:space="preserve">Slab openings (ramp, stairs, lifts, steps) are not dimensioned on the slab drawings; the curved 750×200 upstand around the stair void is not dimensioned.</t>
  </si>
  <si>
    <t xml:space="preserve">Voids taken provisionally (ramp 20.82×7.20; stairs/lifts 69.5 m²).</t>
  </si>
  <si>
    <t xml:space="preserve">GF slab bending schedule (LVL +000) bar H1218 "varies 2750–12000" – issue individual lengths.</t>
  </si>
  <si>
    <t xml:space="preserve">Mean length 7.375 m used.</t>
  </si>
  <si>
    <t xml:space="preserve">Ramp from basement to ground and Staircase Type 3 (basement–GF): ramp structure not detailed; confirm whether the external ramp (rows 5–6) is suspended or on grade.</t>
  </si>
  <si>
    <t xml:space="preserve">H. DOCUMENT CONTROL</t>
  </si>
  <si>
    <t xml:space="preserve">Drawings are titled Aug 2026, Rev 001, stamped "Issued for construction", signed 30-09-2026 while submitted "for permit". Confirm status; revision notes are blank.</t>
  </si>
</sst>
</file>

<file path=xl/styles.xml><?xml version="1.0" encoding="utf-8"?>
<styleSheet xmlns="http://schemas.openxmlformats.org/spreadsheetml/2006/main">
  <numFmts count="7">
    <numFmt numFmtId="164" formatCode="General"/>
    <numFmt numFmtId="165" formatCode="_([$GHC]\ * #,##0.00_);_([$GHC]\ * \(#,##0.00\);_([$GHC]\ * \-??_);_(@_)"/>
    <numFmt numFmtId="166" formatCode="#,##0.00"/>
    <numFmt numFmtId="167" formatCode="0.00"/>
    <numFmt numFmtId="168" formatCode="General"/>
    <numFmt numFmtId="169" formatCode="#,##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3"/>
      <name val="Calibri"/>
      <family val="0"/>
      <charset val="1"/>
    </font>
    <font>
      <b val="true"/>
      <sz val="11"/>
      <color rgb="FFC00000"/>
      <name val="Calibri"/>
      <family val="0"/>
      <charset val="1"/>
    </font>
    <font>
      <b val="true"/>
      <sz val="11"/>
      <name val="Calibri"/>
      <family val="0"/>
      <charset val="1"/>
    </font>
    <font>
      <b val="true"/>
      <sz val="12"/>
      <name val="Calibri"/>
      <family val="0"/>
      <charset val="1"/>
    </font>
    <font>
      <b val="true"/>
      <i val="true"/>
      <sz val="11"/>
      <name val="Calibri"/>
      <family val="0"/>
      <charset val="1"/>
    </font>
    <font>
      <i val="true"/>
      <sz val="11"/>
      <name val="Calibri"/>
      <family val="0"/>
      <charset val="1"/>
    </font>
    <font>
      <sz val="10"/>
      <name val="Arial"/>
      <family val="2"/>
    </font>
    <font>
      <sz val="11"/>
      <color rgb="FF0000FF"/>
      <name val="Calibri"/>
      <family val="0"/>
      <charset val="1"/>
    </font>
    <font>
      <sz val="11"/>
      <name val="Calibri"/>
      <family val="0"/>
      <charset val="1"/>
    </font>
  </fonts>
  <fills count="5">
    <fill>
      <patternFill patternType="none"/>
    </fill>
    <fill>
      <patternFill patternType="gray125"/>
    </fill>
    <fill>
      <patternFill patternType="solid">
        <fgColor rgb="FFD9E1F2"/>
        <bgColor rgb="FFE2EFDA"/>
      </patternFill>
    </fill>
    <fill>
      <patternFill patternType="solid">
        <fgColor rgb="FFE2EFDA"/>
        <bgColor rgb="FFD9E1F2"/>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6" fillId="3"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67" fontId="12" fillId="4"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00"/>
    <col collapsed="false" customWidth="true" hidden="false" outlineLevel="0" max="3" min="3" style="0" width="14"/>
    <col collapsed="false" customWidth="true" hidden="false" outlineLevel="0" max="4" min="4" style="0" width="9"/>
    <col collapsed="false" customWidth="true" hidden="false" outlineLevel="0" max="5" min="5" style="0" width="14"/>
    <col collapsed="false" customWidth="true" hidden="false" outlineLevel="0" max="6" min="6" style="0" width="18"/>
  </cols>
  <sheetData>
    <row r="1" customFormat="false" ht="16.15" hidden="false" customHeight="false" outlineLevel="0" collapsed="false">
      <c r="A1" s="1" t="s">
        <v>0</v>
      </c>
    </row>
    <row r="2" customFormat="false" ht="31.5" hidden="false" customHeight="true" outlineLevel="0" collapsed="false">
      <c r="A2" s="2" t="s">
        <v>1</v>
      </c>
    </row>
    <row r="3" customFormat="false" ht="15" hidden="false" customHeight="false" outlineLevel="0" collapsed="false">
      <c r="A3" s="3" t="s">
        <v>2</v>
      </c>
    </row>
    <row r="5" customFormat="false" ht="15" hidden="false" customHeight="false" outlineLevel="0" collapsed="false">
      <c r="A5" s="4"/>
      <c r="B5" s="4" t="s">
        <v>3</v>
      </c>
      <c r="C5" s="4" t="s">
        <v>4</v>
      </c>
      <c r="D5" s="4" t="s">
        <v>5</v>
      </c>
      <c r="E5" s="4" t="s">
        <v>6</v>
      </c>
      <c r="F5" s="4" t="s">
        <v>7</v>
      </c>
    </row>
    <row r="6" customFormat="false" ht="15" hidden="false" customHeight="false" outlineLevel="0" collapsed="false">
      <c r="A6" s="5"/>
      <c r="B6" s="5" t="s">
        <v>8</v>
      </c>
      <c r="C6" s="5"/>
      <c r="D6" s="5"/>
      <c r="E6" s="5"/>
      <c r="F6" s="6" t="n">
        <f aca="false">F44</f>
        <v>0</v>
      </c>
    </row>
    <row r="7" customFormat="false" ht="15" hidden="false" customHeight="false" outlineLevel="0" collapsed="false">
      <c r="A7" s="5"/>
      <c r="B7" s="5" t="s">
        <v>9</v>
      </c>
      <c r="C7" s="5"/>
      <c r="D7" s="5"/>
      <c r="E7" s="5"/>
      <c r="F7" s="6" t="n">
        <f aca="false">F94</f>
        <v>0</v>
      </c>
    </row>
    <row r="8" customFormat="false" ht="15" hidden="false" customHeight="false" outlineLevel="0" collapsed="false">
      <c r="A8" s="5"/>
      <c r="B8" s="5" t="s">
        <v>10</v>
      </c>
      <c r="C8" s="5"/>
      <c r="D8" s="5"/>
      <c r="E8" s="5"/>
      <c r="F8" s="6" t="n">
        <f aca="false">F100</f>
        <v>0</v>
      </c>
    </row>
    <row r="9" customFormat="false" ht="15" hidden="false" customHeight="false" outlineLevel="0" collapsed="false">
      <c r="A9" s="5"/>
      <c r="B9" s="5" t="s">
        <v>11</v>
      </c>
      <c r="C9" s="5"/>
      <c r="D9" s="5"/>
      <c r="E9" s="5"/>
      <c r="F9" s="6" t="n">
        <f aca="false">F113</f>
        <v>0</v>
      </c>
    </row>
    <row r="10" customFormat="false" ht="15" hidden="false" customHeight="false" outlineLevel="0" collapsed="false">
      <c r="A10" s="5"/>
      <c r="B10" s="5" t="s">
        <v>12</v>
      </c>
      <c r="C10" s="5"/>
      <c r="D10" s="5"/>
      <c r="E10" s="5"/>
      <c r="F10" s="6" t="n">
        <f aca="false">F122</f>
        <v>0</v>
      </c>
    </row>
    <row r="11" customFormat="false" ht="15" hidden="false" customHeight="false" outlineLevel="0" collapsed="false">
      <c r="A11" s="5"/>
      <c r="B11" s="7" t="s">
        <v>13</v>
      </c>
      <c r="C11" s="5"/>
      <c r="D11" s="5"/>
      <c r="E11" s="5"/>
      <c r="F11" s="8" t="n">
        <f aca="false">SUM(F6:F10)</f>
        <v>0</v>
      </c>
    </row>
    <row r="14" customFormat="false" ht="15" hidden="false" customHeight="false" outlineLevel="0" collapsed="false">
      <c r="B14" s="9" t="s">
        <v>8</v>
      </c>
    </row>
    <row r="15" customFormat="false" ht="15" hidden="false" customHeight="false" outlineLevel="0" collapsed="false">
      <c r="B15" s="10" t="s">
        <v>14</v>
      </c>
    </row>
    <row r="16" customFormat="false" ht="15" hidden="false" customHeight="false" outlineLevel="0" collapsed="false">
      <c r="B16" s="11" t="s">
        <v>15</v>
      </c>
    </row>
    <row r="17" customFormat="false" ht="15" hidden="false" customHeight="false" outlineLevel="0" collapsed="false">
      <c r="A17" s="0" t="s">
        <v>16</v>
      </c>
      <c r="B17" s="2" t="s">
        <v>17</v>
      </c>
      <c r="C17" s="12" t="n">
        <f aca="false">calculations!G5</f>
        <v>1619</v>
      </c>
      <c r="D17" s="13" t="s">
        <v>18</v>
      </c>
      <c r="E17" s="14"/>
      <c r="F17" s="15" t="str">
        <f aca="false">IF(D17="","",IF(E17="","",E17*C17))</f>
        <v/>
      </c>
    </row>
    <row r="18" customFormat="false" ht="15" hidden="false" customHeight="false" outlineLevel="0" collapsed="false">
      <c r="A18" s="0" t="s">
        <v>19</v>
      </c>
      <c r="B18" s="2" t="s">
        <v>20</v>
      </c>
      <c r="C18" s="12" t="n">
        <f aca="false">calculations!G6</f>
        <v>1619</v>
      </c>
      <c r="D18" s="13" t="s">
        <v>18</v>
      </c>
      <c r="E18" s="14"/>
      <c r="F18" s="15" t="str">
        <f aca="false">IF(D18="","",IF(E18="","",E18*C18))</f>
        <v/>
      </c>
    </row>
    <row r="19" customFormat="false" ht="15" hidden="false" customHeight="false" outlineLevel="0" collapsed="false">
      <c r="B19" s="11" t="s">
        <v>21</v>
      </c>
    </row>
    <row r="20" customFormat="false" ht="28.35" hidden="false" customHeight="false" outlineLevel="0" collapsed="false">
      <c r="A20" s="0" t="s">
        <v>22</v>
      </c>
      <c r="B20" s="2" t="s">
        <v>23</v>
      </c>
      <c r="C20" s="16" t="n">
        <f aca="false">calculations!G8</f>
        <v>4747</v>
      </c>
      <c r="D20" s="13" t="s">
        <v>24</v>
      </c>
      <c r="E20" s="14"/>
      <c r="F20" s="15" t="str">
        <f aca="false">IF(D20="","",IF(E20="","",E20*C20))</f>
        <v/>
      </c>
    </row>
    <row r="21" customFormat="false" ht="28.35" hidden="false" customHeight="false" outlineLevel="0" collapsed="false">
      <c r="A21" s="0" t="s">
        <v>25</v>
      </c>
      <c r="B21" s="2" t="s">
        <v>26</v>
      </c>
      <c r="C21" s="12" t="n">
        <f aca="false">calculations!G21</f>
        <v>1126</v>
      </c>
      <c r="D21" s="13" t="s">
        <v>24</v>
      </c>
      <c r="E21" s="14"/>
      <c r="F21" s="15" t="str">
        <f aca="false">IF(D21="","",IF(E21="","",E21*C21))</f>
        <v/>
      </c>
    </row>
    <row r="22" customFormat="false" ht="28.35" hidden="false" customHeight="false" outlineLevel="0" collapsed="false">
      <c r="A22" s="0" t="s">
        <v>27</v>
      </c>
      <c r="B22" s="2" t="s">
        <v>28</v>
      </c>
      <c r="C22" s="12" t="n">
        <f aca="false">calculations!G29</f>
        <v>674</v>
      </c>
      <c r="D22" s="13" t="s">
        <v>24</v>
      </c>
      <c r="E22" s="14"/>
      <c r="F22" s="15" t="str">
        <f aca="false">IF(D22="","",IF(E22="","",E22*C22))</f>
        <v/>
      </c>
    </row>
    <row r="23" customFormat="false" ht="15" hidden="false" customHeight="false" outlineLevel="0" collapsed="false">
      <c r="A23" s="0" t="s">
        <v>29</v>
      </c>
      <c r="B23" s="2" t="s">
        <v>30</v>
      </c>
      <c r="C23" s="16" t="n">
        <v>50</v>
      </c>
      <c r="D23" s="13" t="s">
        <v>24</v>
      </c>
      <c r="E23" s="14"/>
      <c r="F23" s="15" t="str">
        <f aca="false">IF(D23="","",IF(E23="","",E23*C23))</f>
        <v/>
      </c>
    </row>
    <row r="24" customFormat="false" ht="15" hidden="false" customHeight="false" outlineLevel="0" collapsed="false">
      <c r="A24" s="0" t="s">
        <v>31</v>
      </c>
      <c r="B24" s="2" t="s">
        <v>32</v>
      </c>
      <c r="C24" s="16" t="n">
        <v>20</v>
      </c>
      <c r="D24" s="13" t="s">
        <v>24</v>
      </c>
      <c r="E24" s="14"/>
      <c r="F24" s="15" t="str">
        <f aca="false">IF(D24="","",IF(E24="","",E24*C24))</f>
        <v/>
      </c>
    </row>
    <row r="25" customFormat="false" ht="15" hidden="false" customHeight="false" outlineLevel="0" collapsed="false">
      <c r="A25" s="0" t="s">
        <v>33</v>
      </c>
      <c r="B25" s="2" t="s">
        <v>34</v>
      </c>
      <c r="C25" s="12" t="n">
        <f aca="false">calculations!G32</f>
        <v>617</v>
      </c>
      <c r="D25" s="13" t="s">
        <v>18</v>
      </c>
      <c r="E25" s="14"/>
      <c r="F25" s="15" t="str">
        <f aca="false">IF(D25="","",IF(E25="","",E25*C25))</f>
        <v/>
      </c>
    </row>
    <row r="26" customFormat="false" ht="15" hidden="false" customHeight="false" outlineLevel="0" collapsed="false">
      <c r="B26" s="11" t="s">
        <v>35</v>
      </c>
    </row>
    <row r="27" customFormat="false" ht="28.35" hidden="false" customHeight="false" outlineLevel="0" collapsed="false">
      <c r="A27" s="0" t="s">
        <v>36</v>
      </c>
      <c r="B27" s="2" t="s">
        <v>37</v>
      </c>
      <c r="C27" s="12" t="n">
        <f aca="false">calculations!G33</f>
        <v>812</v>
      </c>
      <c r="D27" s="13" t="s">
        <v>18</v>
      </c>
      <c r="E27" s="14"/>
      <c r="F27" s="15" t="str">
        <f aca="false">IF(D27="","",IF(E27="","",E27*C27))</f>
        <v/>
      </c>
    </row>
    <row r="28" customFormat="false" ht="28.35" hidden="false" customHeight="false" outlineLevel="0" collapsed="false">
      <c r="A28" s="0" t="s">
        <v>38</v>
      </c>
      <c r="B28" s="2" t="s">
        <v>39</v>
      </c>
      <c r="C28" s="16" t="n">
        <f aca="false">ROUND(calculations!$AP$16*5,0)</f>
        <v>340</v>
      </c>
      <c r="D28" s="13" t="s">
        <v>18</v>
      </c>
      <c r="E28" s="14"/>
      <c r="F28" s="15" t="str">
        <f aca="false">IF(D28="","",IF(E28="","",E28*C28))</f>
        <v/>
      </c>
    </row>
    <row r="29" customFormat="false" ht="15" hidden="false" customHeight="false" outlineLevel="0" collapsed="false">
      <c r="B29" s="11" t="s">
        <v>40</v>
      </c>
    </row>
    <row r="30" customFormat="false" ht="15" hidden="false" customHeight="false" outlineLevel="0" collapsed="false">
      <c r="A30" s="0" t="s">
        <v>41</v>
      </c>
      <c r="B30" s="2" t="s">
        <v>42</v>
      </c>
      <c r="C30" s="12" t="n">
        <f aca="false">calculations!G36</f>
        <v>5320</v>
      </c>
      <c r="D30" s="13" t="s">
        <v>24</v>
      </c>
      <c r="E30" s="14"/>
      <c r="F30" s="15" t="str">
        <f aca="false">IF(D30="","",IF(E30="","",E30*C30))</f>
        <v/>
      </c>
    </row>
    <row r="31" customFormat="false" ht="15" hidden="false" customHeight="false" outlineLevel="0" collapsed="false">
      <c r="A31" s="0" t="s">
        <v>43</v>
      </c>
      <c r="B31" s="2" t="s">
        <v>44</v>
      </c>
      <c r="C31" s="12"/>
      <c r="D31" s="13" t="s">
        <v>45</v>
      </c>
      <c r="E31" s="14"/>
      <c r="F31" s="15" t="str">
        <f aca="false">IF(D31="","",IF(E31="","",E31*C31))</f>
        <v/>
      </c>
    </row>
    <row r="32" customFormat="false" ht="15" hidden="false" customHeight="false" outlineLevel="0" collapsed="false">
      <c r="B32" s="11" t="s">
        <v>46</v>
      </c>
    </row>
    <row r="33" customFormat="false" ht="28.35" hidden="false" customHeight="false" outlineLevel="0" collapsed="false">
      <c r="A33" s="0" t="s">
        <v>47</v>
      </c>
      <c r="B33" s="2" t="s">
        <v>48</v>
      </c>
      <c r="C33" s="12" t="n">
        <f aca="false">calculations!G35</f>
        <v>1227</v>
      </c>
      <c r="D33" s="13" t="s">
        <v>24</v>
      </c>
      <c r="E33" s="14"/>
      <c r="F33" s="15" t="str">
        <f aca="false">IF(D33="","",IF(E33="","",E33*C33))</f>
        <v/>
      </c>
    </row>
    <row r="34" customFormat="false" ht="15" hidden="false" customHeight="false" outlineLevel="0" collapsed="false">
      <c r="A34" s="0" t="s">
        <v>49</v>
      </c>
      <c r="B34" s="2" t="s">
        <v>50</v>
      </c>
      <c r="C34" s="16" t="n">
        <f aca="false">calculations!G37</f>
        <v>231</v>
      </c>
      <c r="D34" s="13" t="s">
        <v>24</v>
      </c>
      <c r="E34" s="14"/>
      <c r="F34" s="15" t="str">
        <f aca="false">IF(D34="","",IF(E34="","",E34*C34))</f>
        <v/>
      </c>
    </row>
    <row r="35" customFormat="false" ht="15" hidden="false" customHeight="false" outlineLevel="0" collapsed="false">
      <c r="A35" s="0" t="s">
        <v>51</v>
      </c>
      <c r="B35" s="2" t="s">
        <v>52</v>
      </c>
      <c r="C35" s="16" t="n">
        <v>30</v>
      </c>
      <c r="D35" s="13" t="s">
        <v>24</v>
      </c>
      <c r="E35" s="14"/>
      <c r="F35" s="15" t="str">
        <f aca="false">IF(D35="","",IF(E35="","",E35*C35))</f>
        <v/>
      </c>
    </row>
    <row r="36" customFormat="false" ht="15" hidden="false" customHeight="false" outlineLevel="0" collapsed="false">
      <c r="B36" s="11" t="s">
        <v>53</v>
      </c>
    </row>
    <row r="37" customFormat="false" ht="15" hidden="false" customHeight="false" outlineLevel="0" collapsed="false">
      <c r="A37" s="0" t="s">
        <v>54</v>
      </c>
      <c r="B37" s="2" t="s">
        <v>55</v>
      </c>
      <c r="C37" s="12" t="n">
        <f aca="false">calculations!G38</f>
        <v>761</v>
      </c>
      <c r="D37" s="13" t="s">
        <v>18</v>
      </c>
      <c r="E37" s="14"/>
      <c r="F37" s="15" t="str">
        <f aca="false">IF(D37="","",IF(E37="","",E37*C37))</f>
        <v/>
      </c>
    </row>
    <row r="38" customFormat="false" ht="15" hidden="false" customHeight="false" outlineLevel="0" collapsed="false">
      <c r="A38" s="0" t="s">
        <v>56</v>
      </c>
      <c r="B38" s="2" t="s">
        <v>57</v>
      </c>
      <c r="C38" s="12" t="n">
        <f aca="false">calculations!G40</f>
        <v>1540</v>
      </c>
      <c r="D38" s="13" t="s">
        <v>18</v>
      </c>
      <c r="E38" s="14"/>
      <c r="F38" s="15" t="str">
        <f aca="false">IF(D38="","",IF(E38="","",E38*C38))</f>
        <v/>
      </c>
    </row>
    <row r="39" customFormat="false" ht="15" hidden="false" customHeight="false" outlineLevel="0" collapsed="false">
      <c r="A39" s="0" t="s">
        <v>58</v>
      </c>
      <c r="B39" s="2" t="s">
        <v>59</v>
      </c>
      <c r="C39" s="12" t="n">
        <f aca="false">calculations!G39</f>
        <v>1540</v>
      </c>
      <c r="D39" s="13" t="s">
        <v>18</v>
      </c>
      <c r="E39" s="14"/>
      <c r="F39" s="15" t="str">
        <f aca="false">IF(D39="","",IF(E39="","",E39*C39))</f>
        <v/>
      </c>
    </row>
    <row r="40" customFormat="false" ht="15" hidden="false" customHeight="false" outlineLevel="0" collapsed="false">
      <c r="B40" s="11" t="s">
        <v>60</v>
      </c>
    </row>
    <row r="41" customFormat="false" ht="28.35" hidden="false" customHeight="false" outlineLevel="0" collapsed="false">
      <c r="A41" s="0" t="s">
        <v>61</v>
      </c>
      <c r="B41" s="2" t="s">
        <v>62</v>
      </c>
      <c r="C41" s="12"/>
      <c r="D41" s="13" t="s">
        <v>45</v>
      </c>
      <c r="E41" s="14"/>
      <c r="F41" s="15" t="str">
        <f aca="false">IF(D41="","",IF(E41="","",E41*C41))</f>
        <v/>
      </c>
    </row>
    <row r="42" customFormat="false" ht="15" hidden="false" customHeight="false" outlineLevel="0" collapsed="false">
      <c r="A42" s="0" t="s">
        <v>63</v>
      </c>
      <c r="B42" s="2" t="s">
        <v>64</v>
      </c>
      <c r="C42" s="12"/>
      <c r="D42" s="13" t="s">
        <v>45</v>
      </c>
      <c r="E42" s="14"/>
      <c r="F42" s="15" t="str">
        <f aca="false">IF(D42="","",IF(E42="","",E42*C42))</f>
        <v/>
      </c>
    </row>
    <row r="44" customFormat="false" ht="15" hidden="false" customHeight="false" outlineLevel="0" collapsed="false">
      <c r="B44" s="10" t="s">
        <v>65</v>
      </c>
      <c r="F44" s="17" t="n">
        <f aca="false">SUM(F16:F43)</f>
        <v>0</v>
      </c>
    </row>
    <row r="47" customFormat="false" ht="15" hidden="false" customHeight="false" outlineLevel="0" collapsed="false">
      <c r="B47" s="9" t="s">
        <v>9</v>
      </c>
    </row>
    <row r="48" customFormat="false" ht="15" hidden="false" customHeight="false" outlineLevel="0" collapsed="false">
      <c r="B48" s="10" t="s">
        <v>66</v>
      </c>
    </row>
    <row r="49" customFormat="false" ht="15" hidden="false" customHeight="false" outlineLevel="0" collapsed="false">
      <c r="B49" s="11" t="s">
        <v>67</v>
      </c>
    </row>
    <row r="50" customFormat="false" ht="15" hidden="false" customHeight="false" outlineLevel="0" collapsed="false">
      <c r="A50" s="0" t="s">
        <v>68</v>
      </c>
      <c r="B50" s="2" t="s">
        <v>69</v>
      </c>
      <c r="C50" s="12" t="n">
        <f aca="false">calculations!O18</f>
        <v>38.1</v>
      </c>
      <c r="D50" s="13" t="s">
        <v>24</v>
      </c>
      <c r="E50" s="14"/>
      <c r="F50" s="15" t="str">
        <f aca="false">IF(D50="","",IF(E50="","",E50*C50))</f>
        <v/>
      </c>
    </row>
    <row r="51" customFormat="false" ht="15" hidden="false" customHeight="false" outlineLevel="0" collapsed="false">
      <c r="B51" s="11" t="s">
        <v>70</v>
      </c>
    </row>
    <row r="52" customFormat="false" ht="15" hidden="false" customHeight="false" outlineLevel="0" collapsed="false">
      <c r="A52" s="0" t="s">
        <v>71</v>
      </c>
      <c r="B52" s="2" t="s">
        <v>72</v>
      </c>
      <c r="C52" s="12" t="n">
        <f aca="false">calculations!O32</f>
        <v>281.5</v>
      </c>
      <c r="D52" s="13" t="s">
        <v>24</v>
      </c>
      <c r="E52" s="14"/>
      <c r="F52" s="15" t="str">
        <f aca="false">IF(D52="","",IF(E52="","",E52*C52))</f>
        <v/>
      </c>
    </row>
    <row r="53" customFormat="false" ht="15" hidden="false" customHeight="false" outlineLevel="0" collapsed="false">
      <c r="A53" s="0" t="s">
        <v>73</v>
      </c>
      <c r="B53" s="2" t="s">
        <v>74</v>
      </c>
      <c r="C53" s="12" t="n">
        <f aca="false">calculations!O39</f>
        <v>123.4</v>
      </c>
      <c r="D53" s="13" t="s">
        <v>24</v>
      </c>
      <c r="E53" s="14"/>
      <c r="F53" s="15" t="str">
        <f aca="false">IF(D53="","",IF(E53="","",E53*C53))</f>
        <v/>
      </c>
    </row>
    <row r="54" customFormat="false" ht="15" hidden="false" customHeight="false" outlineLevel="0" collapsed="false">
      <c r="A54" s="0" t="s">
        <v>75</v>
      </c>
      <c r="B54" s="2" t="s">
        <v>76</v>
      </c>
      <c r="C54" s="16" t="n">
        <f aca="false">calculations!O42</f>
        <v>21</v>
      </c>
      <c r="D54" s="13" t="s">
        <v>24</v>
      </c>
      <c r="E54" s="14"/>
      <c r="F54" s="15" t="str">
        <f aca="false">IF(D54="","",IF(E54="","",E54*C54))</f>
        <v/>
      </c>
    </row>
    <row r="55" customFormat="false" ht="15" hidden="false" customHeight="false" outlineLevel="0" collapsed="false">
      <c r="A55" s="0" t="s">
        <v>77</v>
      </c>
      <c r="B55" s="2" t="s">
        <v>78</v>
      </c>
      <c r="C55" s="12" t="n">
        <f aca="false">calculations!O47</f>
        <v>160.3</v>
      </c>
      <c r="D55" s="13" t="s">
        <v>24</v>
      </c>
      <c r="E55" s="14"/>
      <c r="F55" s="15" t="str">
        <f aca="false">IF(D55="","",IF(E55="","",E55*C55))</f>
        <v/>
      </c>
    </row>
    <row r="56" customFormat="false" ht="15" hidden="false" customHeight="false" outlineLevel="0" collapsed="false">
      <c r="A56" s="0" t="s">
        <v>79</v>
      </c>
      <c r="B56" s="2" t="s">
        <v>80</v>
      </c>
      <c r="C56" s="12" t="n">
        <f aca="false">calculations!O60</f>
        <v>39.5</v>
      </c>
      <c r="D56" s="13" t="s">
        <v>24</v>
      </c>
      <c r="E56" s="14"/>
      <c r="F56" s="15" t="str">
        <f aca="false">IF(D56="","",IF(E56="","",E56*C56))</f>
        <v/>
      </c>
    </row>
    <row r="57" customFormat="false" ht="15" hidden="false" customHeight="false" outlineLevel="0" collapsed="false">
      <c r="A57" s="0" t="s">
        <v>81</v>
      </c>
      <c r="B57" s="2" t="s">
        <v>82</v>
      </c>
      <c r="C57" s="12" t="n">
        <f aca="false">calculations!O75</f>
        <v>15.7</v>
      </c>
      <c r="D57" s="13" t="s">
        <v>24</v>
      </c>
      <c r="E57" s="14"/>
      <c r="F57" s="15" t="str">
        <f aca="false">IF(D57="","",IF(E57="","",E57*C57))</f>
        <v/>
      </c>
    </row>
    <row r="58" customFormat="false" ht="15" hidden="false" customHeight="false" outlineLevel="0" collapsed="false">
      <c r="A58" s="0" t="s">
        <v>83</v>
      </c>
      <c r="B58" s="2" t="s">
        <v>84</v>
      </c>
      <c r="C58" s="12" t="n">
        <f aca="false">calculations!O78</f>
        <v>231</v>
      </c>
      <c r="D58" s="13" t="s">
        <v>24</v>
      </c>
      <c r="E58" s="14"/>
      <c r="F58" s="15" t="str">
        <f aca="false">IF(D58="","",IF(E58="","",E58*C58))</f>
        <v/>
      </c>
    </row>
    <row r="59" customFormat="false" ht="15" hidden="false" customHeight="false" outlineLevel="0" collapsed="false">
      <c r="A59" s="0" t="s">
        <v>85</v>
      </c>
      <c r="B59" s="2" t="s">
        <v>86</v>
      </c>
      <c r="C59" s="12" t="n">
        <f aca="false">calculations!O91</f>
        <v>277</v>
      </c>
      <c r="D59" s="13" t="s">
        <v>24</v>
      </c>
      <c r="E59" s="14"/>
      <c r="F59" s="15" t="str">
        <f aca="false">IF(D59="","",IF(E59="","",E59*C59))</f>
        <v/>
      </c>
    </row>
    <row r="60" customFormat="false" ht="15" hidden="false" customHeight="false" outlineLevel="0" collapsed="false">
      <c r="A60" s="0" t="s">
        <v>87</v>
      </c>
      <c r="B60" s="2" t="s">
        <v>88</v>
      </c>
      <c r="C60" s="12" t="n">
        <f aca="false">calculations!O105</f>
        <v>86.6</v>
      </c>
      <c r="D60" s="13" t="s">
        <v>24</v>
      </c>
      <c r="E60" s="14"/>
      <c r="F60" s="15" t="str">
        <f aca="false">IF(D60="","",IF(E60="","",E60*C60))</f>
        <v/>
      </c>
    </row>
    <row r="61" customFormat="false" ht="15" hidden="false" customHeight="false" outlineLevel="0" collapsed="false">
      <c r="B61" s="11" t="s">
        <v>89</v>
      </c>
    </row>
    <row r="62" customFormat="false" ht="15" hidden="false" customHeight="false" outlineLevel="0" collapsed="false">
      <c r="A62" s="0" t="s">
        <v>90</v>
      </c>
      <c r="B62" s="2" t="s">
        <v>91</v>
      </c>
      <c r="C62" s="12" t="n">
        <f aca="false">calculations!O70</f>
        <v>81.3</v>
      </c>
      <c r="D62" s="13" t="s">
        <v>24</v>
      </c>
      <c r="E62" s="14"/>
      <c r="F62" s="15" t="str">
        <f aca="false">IF(D62="","",IF(E62="","",E62*C62))</f>
        <v/>
      </c>
    </row>
    <row r="63" customFormat="false" ht="15" hidden="false" customHeight="false" outlineLevel="0" collapsed="false">
      <c r="B63" s="10" t="s">
        <v>92</v>
      </c>
    </row>
    <row r="64" customFormat="false" ht="15" hidden="false" customHeight="false" outlineLevel="0" collapsed="false">
      <c r="A64" s="0" t="s">
        <v>93</v>
      </c>
      <c r="B64" s="2" t="s">
        <v>94</v>
      </c>
      <c r="C64" s="12" t="n">
        <f aca="false">calculations!W16</f>
        <v>253</v>
      </c>
      <c r="D64" s="13" t="s">
        <v>18</v>
      </c>
      <c r="E64" s="14"/>
      <c r="F64" s="15" t="str">
        <f aca="false">IF(D64="","",IF(E64="","",E64*C64))</f>
        <v/>
      </c>
    </row>
    <row r="65" customFormat="false" ht="15" hidden="false" customHeight="false" outlineLevel="0" collapsed="false">
      <c r="A65" s="0" t="s">
        <v>95</v>
      </c>
      <c r="B65" s="2" t="s">
        <v>96</v>
      </c>
      <c r="C65" s="12" t="n">
        <f aca="false">calculations!W20</f>
        <v>192</v>
      </c>
      <c r="D65" s="13" t="s">
        <v>18</v>
      </c>
      <c r="E65" s="14"/>
      <c r="F65" s="15" t="str">
        <f aca="false">IF(D65="","",IF(E65="","",E65*C65))</f>
        <v/>
      </c>
    </row>
    <row r="66" customFormat="false" ht="15" hidden="false" customHeight="false" outlineLevel="0" collapsed="false">
      <c r="A66" s="0" t="s">
        <v>97</v>
      </c>
      <c r="B66" s="2" t="s">
        <v>98</v>
      </c>
      <c r="C66" s="12" t="n">
        <f aca="false">calculations!W32</f>
        <v>1668</v>
      </c>
      <c r="D66" s="13" t="s">
        <v>18</v>
      </c>
      <c r="E66" s="14"/>
      <c r="F66" s="15" t="str">
        <f aca="false">IF(D66="","",IF(E66="","",E66*C66))</f>
        <v/>
      </c>
    </row>
    <row r="67" customFormat="false" ht="15" hidden="false" customHeight="false" outlineLevel="0" collapsed="false">
      <c r="A67" s="0" t="s">
        <v>99</v>
      </c>
      <c r="B67" s="2" t="s">
        <v>100</v>
      </c>
      <c r="C67" s="12" t="n">
        <f aca="false">calculations!W45</f>
        <v>369</v>
      </c>
      <c r="D67" s="13" t="s">
        <v>18</v>
      </c>
      <c r="E67" s="14"/>
      <c r="F67" s="15" t="str">
        <f aca="false">IF(D67="","",IF(E67="","",E67*C67))</f>
        <v/>
      </c>
    </row>
    <row r="68" customFormat="false" ht="15" hidden="false" customHeight="false" outlineLevel="0" collapsed="false">
      <c r="A68" s="0" t="s">
        <v>101</v>
      </c>
      <c r="B68" s="2" t="s">
        <v>102</v>
      </c>
      <c r="C68" s="12" t="n">
        <f aca="false">calculations!W50</f>
        <v>157</v>
      </c>
      <c r="D68" s="13" t="s">
        <v>18</v>
      </c>
      <c r="E68" s="14"/>
      <c r="F68" s="15" t="str">
        <f aca="false">IF(D68="","",IF(E68="","",E68*C68))</f>
        <v/>
      </c>
    </row>
    <row r="69" customFormat="false" ht="15" hidden="false" customHeight="false" outlineLevel="0" collapsed="false">
      <c r="A69" s="0" t="s">
        <v>103</v>
      </c>
      <c r="B69" s="2" t="s">
        <v>104</v>
      </c>
      <c r="C69" s="12" t="n">
        <f aca="false">calculations!W52</f>
        <v>187</v>
      </c>
      <c r="D69" s="13" t="s">
        <v>105</v>
      </c>
      <c r="E69" s="14"/>
      <c r="F69" s="15" t="str">
        <f aca="false">IF(D69="","",IF(E69="","",E69*C69))</f>
        <v/>
      </c>
    </row>
    <row r="70" customFormat="false" ht="15" hidden="false" customHeight="false" outlineLevel="0" collapsed="false">
      <c r="A70" s="0" t="s">
        <v>106</v>
      </c>
      <c r="B70" s="2" t="s">
        <v>107</v>
      </c>
      <c r="C70" s="12" t="n">
        <f aca="false">calculations!W55</f>
        <v>1351</v>
      </c>
      <c r="D70" s="13" t="s">
        <v>18</v>
      </c>
      <c r="E70" s="14"/>
      <c r="F70" s="15" t="str">
        <f aca="false">IF(D70="","",IF(E70="","",E70*C70))</f>
        <v/>
      </c>
    </row>
    <row r="71" customFormat="false" ht="15" hidden="false" customHeight="false" outlineLevel="0" collapsed="false">
      <c r="A71" s="0" t="s">
        <v>108</v>
      </c>
      <c r="B71" s="2" t="s">
        <v>109</v>
      </c>
      <c r="C71" s="12" t="n">
        <f aca="false">calculations!W66</f>
        <v>652</v>
      </c>
      <c r="D71" s="13" t="s">
        <v>18</v>
      </c>
      <c r="E71" s="14"/>
      <c r="F71" s="15" t="str">
        <f aca="false">IF(D71="","",IF(E71="","",E71*C71))</f>
        <v/>
      </c>
    </row>
    <row r="72" customFormat="false" ht="15" hidden="false" customHeight="false" outlineLevel="0" collapsed="false">
      <c r="A72" s="0" t="s">
        <v>110</v>
      </c>
      <c r="B72" s="2" t="s">
        <v>111</v>
      </c>
      <c r="C72" s="16" t="n">
        <f aca="false">calculations!W68</f>
        <v>120</v>
      </c>
      <c r="D72" s="13" t="s">
        <v>105</v>
      </c>
      <c r="E72" s="14"/>
      <c r="F72" s="15" t="str">
        <f aca="false">IF(D72="","",IF(E72="","",E72*C72))</f>
        <v/>
      </c>
    </row>
    <row r="73" customFormat="false" ht="15" hidden="false" customHeight="false" outlineLevel="0" collapsed="false">
      <c r="B73" s="10" t="s">
        <v>112</v>
      </c>
    </row>
    <row r="74" customFormat="false" ht="15" hidden="false" customHeight="false" outlineLevel="0" collapsed="false">
      <c r="A74" s="0" t="s">
        <v>113</v>
      </c>
      <c r="B74" s="2" t="s">
        <v>114</v>
      </c>
      <c r="C74" s="12" t="n">
        <f aca="false">ROUND(calculations!AE177/1000,3)</f>
        <v>4.639</v>
      </c>
      <c r="D74" s="13" t="s">
        <v>115</v>
      </c>
      <c r="E74" s="14"/>
      <c r="F74" s="15" t="str">
        <f aca="false">IF(D74="","",IF(E74="","",E74*C74))</f>
        <v/>
      </c>
    </row>
    <row r="75" customFormat="false" ht="15" hidden="false" customHeight="false" outlineLevel="0" collapsed="false">
      <c r="A75" s="0" t="s">
        <v>116</v>
      </c>
      <c r="B75" s="2" t="s">
        <v>117</v>
      </c>
      <c r="C75" s="12" t="n">
        <f aca="false">ROUND(calculations!AE178/1000,3)</f>
        <v>5.036</v>
      </c>
      <c r="D75" s="13" t="s">
        <v>115</v>
      </c>
      <c r="E75" s="14"/>
      <c r="F75" s="15" t="str">
        <f aca="false">IF(D75="","",IF(E75="","",E75*C75))</f>
        <v/>
      </c>
    </row>
    <row r="76" customFormat="false" ht="15" hidden="false" customHeight="false" outlineLevel="0" collapsed="false">
      <c r="A76" s="0" t="s">
        <v>118</v>
      </c>
      <c r="B76" s="2" t="s">
        <v>119</v>
      </c>
      <c r="C76" s="12" t="n">
        <f aca="false">ROUND(calculations!AE179/1000,3)</f>
        <v>6.618</v>
      </c>
      <c r="D76" s="13" t="s">
        <v>115</v>
      </c>
      <c r="E76" s="14"/>
      <c r="F76" s="15" t="str">
        <f aca="false">IF(D76="","",IF(E76="","",E76*C76))</f>
        <v/>
      </c>
    </row>
    <row r="77" customFormat="false" ht="15" hidden="false" customHeight="false" outlineLevel="0" collapsed="false">
      <c r="A77" s="0" t="s">
        <v>120</v>
      </c>
      <c r="B77" s="2" t="s">
        <v>121</v>
      </c>
      <c r="C77" s="12" t="n">
        <f aca="false">ROUND(calculations!AE180/1000,3)</f>
        <v>3.157</v>
      </c>
      <c r="D77" s="13" t="s">
        <v>115</v>
      </c>
      <c r="E77" s="14"/>
      <c r="F77" s="15" t="str">
        <f aca="false">IF(D77="","",IF(E77="","",E77*C77))</f>
        <v/>
      </c>
    </row>
    <row r="78" customFormat="false" ht="15" hidden="false" customHeight="false" outlineLevel="0" collapsed="false">
      <c r="A78" s="0" t="s">
        <v>122</v>
      </c>
      <c r="B78" s="2" t="s">
        <v>123</v>
      </c>
      <c r="C78" s="12" t="n">
        <f aca="false">ROUND(calculations!AE181/1000,3)</f>
        <v>6.117</v>
      </c>
      <c r="D78" s="13" t="s">
        <v>115</v>
      </c>
      <c r="E78" s="14"/>
      <c r="F78" s="15" t="str">
        <f aca="false">IF(D78="","",IF(E78="","",E78*C78))</f>
        <v/>
      </c>
    </row>
    <row r="79" customFormat="false" ht="15" hidden="false" customHeight="false" outlineLevel="0" collapsed="false">
      <c r="A79" s="0" t="s">
        <v>124</v>
      </c>
      <c r="B79" s="2" t="s">
        <v>125</v>
      </c>
      <c r="C79" s="12" t="n">
        <f aca="false">ROUND(calculations!AE182/1000,3)</f>
        <v>0.898</v>
      </c>
      <c r="D79" s="13" t="s">
        <v>115</v>
      </c>
      <c r="E79" s="14"/>
      <c r="F79" s="15" t="str">
        <f aca="false">IF(D79="","",IF(E79="","",E79*C79))</f>
        <v/>
      </c>
    </row>
    <row r="80" customFormat="false" ht="15" hidden="false" customHeight="false" outlineLevel="0" collapsed="false">
      <c r="A80" s="0" t="s">
        <v>126</v>
      </c>
      <c r="B80" s="2" t="s">
        <v>127</v>
      </c>
      <c r="C80" s="12" t="n">
        <f aca="false">ROUND(calculations!AE183/1000,3)</f>
        <v>7.295</v>
      </c>
      <c r="D80" s="13" t="s">
        <v>115</v>
      </c>
      <c r="E80" s="14"/>
      <c r="F80" s="15" t="str">
        <f aca="false">IF(D80="","",IF(E80="","",E80*C80))</f>
        <v/>
      </c>
    </row>
    <row r="81" customFormat="false" ht="15" hidden="false" customHeight="false" outlineLevel="0" collapsed="false">
      <c r="A81" s="0" t="s">
        <v>128</v>
      </c>
      <c r="B81" s="2" t="s">
        <v>129</v>
      </c>
      <c r="C81" s="12" t="n">
        <f aca="false">ROUND(calculations!AE185/1000,3)</f>
        <v>1.359</v>
      </c>
      <c r="D81" s="13" t="s">
        <v>115</v>
      </c>
      <c r="E81" s="14"/>
      <c r="F81" s="15" t="str">
        <f aca="false">IF(D81="","",IF(E81="","",E81*C81))</f>
        <v/>
      </c>
    </row>
    <row r="82" customFormat="false" ht="15" hidden="false" customHeight="false" outlineLevel="0" collapsed="false">
      <c r="A82" s="0" t="s">
        <v>130</v>
      </c>
      <c r="B82" s="2" t="s">
        <v>131</v>
      </c>
      <c r="C82" s="12" t="n">
        <f aca="false">ROUND(calculations!AE184/1000,3)</f>
        <v>0.449</v>
      </c>
      <c r="D82" s="13" t="s">
        <v>115</v>
      </c>
      <c r="E82" s="14"/>
      <c r="F82" s="15" t="str">
        <f aca="false">IF(D82="","",IF(E82="","",E82*C82))</f>
        <v/>
      </c>
    </row>
    <row r="83" customFormat="false" ht="15" hidden="false" customHeight="false" outlineLevel="0" collapsed="false">
      <c r="A83" s="0" t="s">
        <v>132</v>
      </c>
      <c r="B83" s="2" t="s">
        <v>133</v>
      </c>
      <c r="C83" s="12" t="n">
        <f aca="false">ROUND(calculations!AE186/1000,3)</f>
        <v>33.562</v>
      </c>
      <c r="D83" s="13" t="s">
        <v>115</v>
      </c>
      <c r="E83" s="14"/>
      <c r="F83" s="15" t="str">
        <f aca="false">IF(D83="","",IF(E83="","",E83*C83))</f>
        <v/>
      </c>
    </row>
    <row r="84" customFormat="false" ht="15" hidden="false" customHeight="false" outlineLevel="0" collapsed="false">
      <c r="A84" s="0" t="s">
        <v>134</v>
      </c>
      <c r="B84" s="2" t="s">
        <v>135</v>
      </c>
      <c r="C84" s="12" t="n">
        <f aca="false">ROUND(calculations!AE187/1000,3)</f>
        <v>10.415</v>
      </c>
      <c r="D84" s="13" t="s">
        <v>115</v>
      </c>
      <c r="E84" s="14"/>
      <c r="F84" s="15" t="str">
        <f aca="false">IF(D84="","",IF(E84="","",E84*C84))</f>
        <v/>
      </c>
    </row>
    <row r="85" customFormat="false" ht="15" hidden="false" customHeight="false" outlineLevel="0" collapsed="false">
      <c r="A85" s="0" t="s">
        <v>136</v>
      </c>
      <c r="B85" s="2" t="s">
        <v>137</v>
      </c>
      <c r="C85" s="16" t="n">
        <f aca="false">ROUND(calculations!AE190/1000,3)</f>
        <v>25.335</v>
      </c>
      <c r="D85" s="13" t="s">
        <v>115</v>
      </c>
      <c r="E85" s="14"/>
      <c r="F85" s="15" t="str">
        <f aca="false">IF(D85="","",IF(E85="","",E85*C85))</f>
        <v/>
      </c>
    </row>
    <row r="86" customFormat="false" ht="15" hidden="false" customHeight="false" outlineLevel="0" collapsed="false">
      <c r="A86" s="0" t="s">
        <v>138</v>
      </c>
      <c r="B86" s="2" t="s">
        <v>139</v>
      </c>
      <c r="C86" s="16" t="n">
        <f aca="false">ROUND(calculations!AE191/1000,3)</f>
        <v>31.207</v>
      </c>
      <c r="D86" s="13" t="s">
        <v>115</v>
      </c>
      <c r="E86" s="14"/>
      <c r="F86" s="15" t="str">
        <f aca="false">IF(D86="","",IF(E86="","",E86*C86))</f>
        <v/>
      </c>
    </row>
    <row r="87" customFormat="false" ht="15" hidden="false" customHeight="false" outlineLevel="0" collapsed="false">
      <c r="A87" s="0" t="s">
        <v>140</v>
      </c>
      <c r="B87" s="2" t="s">
        <v>141</v>
      </c>
      <c r="C87" s="16" t="n">
        <f aca="false">ROUND(calculations!AE192/1000,3)</f>
        <v>1.68</v>
      </c>
      <c r="D87" s="13" t="s">
        <v>115</v>
      </c>
      <c r="E87" s="14"/>
      <c r="F87" s="15" t="str">
        <f aca="false">IF(D87="","",IF(E87="","",E87*C87))</f>
        <v/>
      </c>
    </row>
    <row r="88" customFormat="false" ht="15" hidden="false" customHeight="false" outlineLevel="0" collapsed="false">
      <c r="A88" s="0" t="s">
        <v>142</v>
      </c>
      <c r="B88" s="2" t="s">
        <v>143</v>
      </c>
      <c r="C88" s="16" t="n">
        <f aca="false">ROUND(calculations!AE193/1000,3)</f>
        <v>19.273</v>
      </c>
      <c r="D88" s="13" t="s">
        <v>115</v>
      </c>
      <c r="E88" s="14"/>
      <c r="F88" s="15" t="str">
        <f aca="false">IF(D88="","",IF(E88="","",E88*C88))</f>
        <v/>
      </c>
    </row>
    <row r="89" customFormat="false" ht="15" hidden="false" customHeight="false" outlineLevel="0" collapsed="false">
      <c r="A89" s="0" t="s">
        <v>144</v>
      </c>
      <c r="B89" s="2" t="s">
        <v>145</v>
      </c>
      <c r="C89" s="12" t="n">
        <f aca="false">calculations!AM8</f>
        <v>1540</v>
      </c>
      <c r="D89" s="13" t="s">
        <v>18</v>
      </c>
      <c r="E89" s="14"/>
      <c r="F89" s="15" t="str">
        <f aca="false">IF(D89="","",IF(E89="","",E89*C89))</f>
        <v/>
      </c>
    </row>
    <row r="90" customFormat="false" ht="15" hidden="false" customHeight="false" outlineLevel="0" collapsed="false">
      <c r="B90" s="10" t="s">
        <v>60</v>
      </c>
    </row>
    <row r="91" customFormat="false" ht="15" hidden="false" customHeight="false" outlineLevel="0" collapsed="false">
      <c r="A91" s="0" t="s">
        <v>146</v>
      </c>
      <c r="B91" s="2" t="s">
        <v>147</v>
      </c>
      <c r="C91" s="12" t="n">
        <f aca="false">calculations!AM29</f>
        <v>123</v>
      </c>
      <c r="D91" s="13" t="s">
        <v>105</v>
      </c>
      <c r="E91" s="14"/>
      <c r="F91" s="15" t="str">
        <f aca="false">IF(D91="","",IF(E91="","",E91*C91))</f>
        <v/>
      </c>
    </row>
    <row r="92" customFormat="false" ht="15" hidden="false" customHeight="false" outlineLevel="0" collapsed="false">
      <c r="A92" s="0" t="s">
        <v>148</v>
      </c>
      <c r="B92" s="2" t="s">
        <v>149</v>
      </c>
      <c r="C92" s="12"/>
      <c r="D92" s="13" t="s">
        <v>45</v>
      </c>
      <c r="E92" s="14"/>
      <c r="F92" s="15" t="str">
        <f aca="false">IF(D92="","",IF(E92="","",E92*C92))</f>
        <v/>
      </c>
    </row>
    <row r="94" customFormat="false" ht="15" hidden="false" customHeight="false" outlineLevel="0" collapsed="false">
      <c r="B94" s="10" t="s">
        <v>150</v>
      </c>
      <c r="F94" s="17" t="n">
        <f aca="false">SUM(F49:F93)</f>
        <v>0</v>
      </c>
    </row>
    <row r="97" customFormat="false" ht="15" hidden="false" customHeight="false" outlineLevel="0" collapsed="false">
      <c r="B97" s="9" t="s">
        <v>10</v>
      </c>
    </row>
    <row r="98" customFormat="false" ht="28.35" hidden="false" customHeight="false" outlineLevel="0" collapsed="false">
      <c r="B98" s="18" t="s">
        <v>151</v>
      </c>
    </row>
    <row r="100" customFormat="false" ht="15" hidden="false" customHeight="false" outlineLevel="0" collapsed="false">
      <c r="B100" s="10" t="s">
        <v>152</v>
      </c>
      <c r="F100" s="17" t="n">
        <f aca="false">SUM(F98:F99)</f>
        <v>0</v>
      </c>
    </row>
    <row r="103" customFormat="false" ht="15" hidden="false" customHeight="false" outlineLevel="0" collapsed="false">
      <c r="B103" s="9" t="s">
        <v>11</v>
      </c>
    </row>
    <row r="104" customFormat="false" ht="15" hidden="false" customHeight="false" outlineLevel="0" collapsed="false">
      <c r="B104" s="10" t="s">
        <v>153</v>
      </c>
    </row>
    <row r="105" customFormat="false" ht="28.35" hidden="false" customHeight="false" outlineLevel="0" collapsed="false">
      <c r="A105" s="0" t="s">
        <v>154</v>
      </c>
      <c r="B105" s="2" t="s">
        <v>155</v>
      </c>
      <c r="C105" s="12" t="n">
        <f aca="false">calculations!AM5</f>
        <v>265</v>
      </c>
      <c r="D105" s="13" t="s">
        <v>18</v>
      </c>
      <c r="E105" s="14"/>
      <c r="F105" s="15" t="str">
        <f aca="false">IF(D105="","",IF(E105="","",E105*C105))</f>
        <v/>
      </c>
    </row>
    <row r="106" customFormat="false" ht="15" hidden="false" customHeight="false" outlineLevel="0" collapsed="false">
      <c r="A106" s="0" t="s">
        <v>156</v>
      </c>
      <c r="B106" s="2" t="s">
        <v>157</v>
      </c>
      <c r="C106" s="12" t="n">
        <f aca="false">calculations!AM6</f>
        <v>332</v>
      </c>
      <c r="D106" s="13" t="s">
        <v>18</v>
      </c>
      <c r="E106" s="14"/>
      <c r="F106" s="15" t="str">
        <f aca="false">IF(D106="","",IF(E106="","",E106*C106))</f>
        <v/>
      </c>
    </row>
    <row r="107" customFormat="false" ht="15" hidden="false" customHeight="false" outlineLevel="0" collapsed="false">
      <c r="A107" s="0" t="s">
        <v>158</v>
      </c>
      <c r="B107" s="2" t="s">
        <v>159</v>
      </c>
      <c r="C107" s="12" t="n">
        <f aca="false">calculations!AM7</f>
        <v>1540</v>
      </c>
      <c r="D107" s="13" t="s">
        <v>18</v>
      </c>
      <c r="E107" s="14"/>
      <c r="F107" s="15" t="str">
        <f aca="false">IF(D107="","",IF(E107="","",E107*C107))</f>
        <v/>
      </c>
    </row>
    <row r="108" customFormat="false" ht="15" hidden="false" customHeight="false" outlineLevel="0" collapsed="false">
      <c r="B108" s="10" t="s">
        <v>160</v>
      </c>
    </row>
    <row r="109" customFormat="false" ht="15" hidden="false" customHeight="false" outlineLevel="0" collapsed="false">
      <c r="A109" s="0" t="s">
        <v>161</v>
      </c>
      <c r="B109" s="2" t="s">
        <v>162</v>
      </c>
      <c r="C109" s="12" t="n">
        <f aca="false">calculations!AM26</f>
        <v>1309</v>
      </c>
      <c r="D109" s="13" t="s">
        <v>18</v>
      </c>
      <c r="E109" s="14"/>
      <c r="F109" s="15" t="str">
        <f aca="false">IF(D109="","",IF(E109="","",E109*C109))</f>
        <v/>
      </c>
    </row>
    <row r="110" customFormat="false" ht="15" hidden="false" customHeight="false" outlineLevel="0" collapsed="false">
      <c r="B110" s="10" t="s">
        <v>163</v>
      </c>
    </row>
    <row r="111" customFormat="false" ht="15" hidden="false" customHeight="false" outlineLevel="0" collapsed="false">
      <c r="A111" s="0" t="s">
        <v>164</v>
      </c>
      <c r="B111" s="2" t="s">
        <v>165</v>
      </c>
      <c r="C111" s="12" t="n">
        <f aca="false">calculations!AM10</f>
        <v>123</v>
      </c>
      <c r="D111" s="13" t="s">
        <v>105</v>
      </c>
      <c r="E111" s="14"/>
      <c r="F111" s="15" t="str">
        <f aca="false">IF(D111="","",IF(E111="","",E111*C111))</f>
        <v/>
      </c>
    </row>
    <row r="113" customFormat="false" ht="15" hidden="false" customHeight="false" outlineLevel="0" collapsed="false">
      <c r="B113" s="10" t="s">
        <v>166</v>
      </c>
      <c r="F113" s="17" t="n">
        <f aca="false">SUM(F104:F112)</f>
        <v>0</v>
      </c>
    </row>
    <row r="116" customFormat="false" ht="15" hidden="false" customHeight="false" outlineLevel="0" collapsed="false">
      <c r="B116" s="9" t="s">
        <v>12</v>
      </c>
    </row>
    <row r="117" customFormat="false" ht="28.35" hidden="false" customHeight="false" outlineLevel="0" collapsed="false">
      <c r="A117" s="0" t="s">
        <v>167</v>
      </c>
      <c r="B117" s="2" t="s">
        <v>168</v>
      </c>
      <c r="C117" s="12"/>
      <c r="D117" s="13" t="s">
        <v>45</v>
      </c>
      <c r="E117" s="14"/>
      <c r="F117" s="15" t="str">
        <f aca="false">IF(D117="","",IF(E117="","",E117*C117))</f>
        <v/>
      </c>
    </row>
    <row r="118" customFormat="false" ht="15" hidden="false" customHeight="false" outlineLevel="0" collapsed="false">
      <c r="A118" s="0" t="s">
        <v>169</v>
      </c>
      <c r="B118" s="2" t="s">
        <v>170</v>
      </c>
      <c r="C118" s="12"/>
      <c r="D118" s="13" t="s">
        <v>45</v>
      </c>
      <c r="E118" s="14"/>
      <c r="F118" s="15" t="str">
        <f aca="false">IF(D118="","",IF(E118="","",E118*C118))</f>
        <v/>
      </c>
    </row>
    <row r="119" customFormat="false" ht="15" hidden="false" customHeight="false" outlineLevel="0" collapsed="false">
      <c r="A119" s="0" t="s">
        <v>171</v>
      </c>
      <c r="B119" s="2" t="s">
        <v>172</v>
      </c>
      <c r="C119" s="12"/>
      <c r="D119" s="13" t="s">
        <v>45</v>
      </c>
      <c r="E119" s="14"/>
      <c r="F119" s="15" t="str">
        <f aca="false">IF(D119="","",IF(E119="","",E119*C119))</f>
        <v/>
      </c>
    </row>
    <row r="120" customFormat="false" ht="15" hidden="false" customHeight="false" outlineLevel="0" collapsed="false">
      <c r="A120" s="0" t="s">
        <v>173</v>
      </c>
      <c r="B120" s="2" t="s">
        <v>174</v>
      </c>
      <c r="C120" s="12"/>
      <c r="D120" s="13" t="s">
        <v>45</v>
      </c>
      <c r="E120" s="14"/>
      <c r="F120" s="15" t="str">
        <f aca="false">IF(D120="","",IF(E120="","",E120*C120))</f>
        <v/>
      </c>
    </row>
    <row r="122" customFormat="false" ht="15" hidden="false" customHeight="false" outlineLevel="0" collapsed="false">
      <c r="B122" s="10" t="s">
        <v>175</v>
      </c>
      <c r="F122" s="17" t="n">
        <f aca="false">SUM(F117:F121)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46"/>
    <col collapsed="false" customWidth="true" hidden="false" outlineLevel="0" max="3" min="3" style="0" width="6"/>
    <col collapsed="false" customWidth="true" hidden="false" outlineLevel="0" max="6" min="4" style="0" width="9"/>
    <col collapsed="false" customWidth="true" hidden="false" outlineLevel="0" max="7" min="7" style="0" width="11"/>
    <col collapsed="false" customWidth="true" hidden="false" outlineLevel="0" max="10" min="9" style="0" width="46"/>
    <col collapsed="false" customWidth="true" hidden="false" outlineLevel="0" max="11" min="11" style="0" width="6"/>
    <col collapsed="false" customWidth="true" hidden="false" outlineLevel="0" max="14" min="12" style="0" width="9"/>
    <col collapsed="false" customWidth="true" hidden="false" outlineLevel="0" max="15" min="15" style="0" width="11"/>
    <col collapsed="false" customWidth="true" hidden="false" outlineLevel="0" max="17" min="17" style="0" width="46"/>
    <col collapsed="false" customWidth="true" hidden="false" outlineLevel="0" max="18" min="18" style="0" width="40"/>
    <col collapsed="false" customWidth="true" hidden="false" outlineLevel="0" max="19" min="19" style="0" width="6"/>
    <col collapsed="false" customWidth="true" hidden="false" outlineLevel="0" max="22" min="20" style="0" width="9"/>
    <col collapsed="false" customWidth="true" hidden="false" outlineLevel="0" max="23" min="23" style="0" width="11"/>
    <col collapsed="false" customWidth="true" hidden="false" outlineLevel="0" max="26" min="25" style="0" width="34"/>
    <col collapsed="false" customWidth="true" hidden="false" outlineLevel="0" max="27" min="27" style="0" width="6"/>
    <col collapsed="false" customWidth="true" hidden="false" outlineLevel="0" max="28" min="28" style="0" width="10"/>
    <col collapsed="false" customWidth="true" hidden="false" outlineLevel="0" max="29" min="29" style="0" width="9"/>
    <col collapsed="false" customWidth="true" hidden="false" outlineLevel="0" max="30" min="30" style="0" width="8"/>
    <col collapsed="false" customWidth="true" hidden="false" outlineLevel="0" max="31" min="31" style="0" width="11"/>
    <col collapsed="false" customWidth="true" hidden="false" outlineLevel="0" max="33" min="33" style="0" width="44"/>
    <col collapsed="false" customWidth="true" hidden="false" outlineLevel="0" max="34" min="34" style="0" width="40"/>
    <col collapsed="false" customWidth="true" hidden="false" outlineLevel="0" max="35" min="35" style="0" width="6"/>
    <col collapsed="false" customWidth="true" hidden="false" outlineLevel="0" max="37" min="36" style="0" width="9"/>
    <col collapsed="false" customWidth="true" hidden="false" outlineLevel="0" max="38" min="38" style="0" width="4"/>
    <col collapsed="false" customWidth="true" hidden="false" outlineLevel="0" max="39" min="39" style="0" width="11"/>
    <col collapsed="false" customWidth="true" hidden="false" outlineLevel="0" max="41" min="41" style="0" width="58"/>
    <col collapsed="false" customWidth="true" hidden="false" outlineLevel="0" max="42" min="42" style="0" width="12"/>
    <col collapsed="false" customWidth="true" hidden="false" outlineLevel="0" max="43" min="43" style="0" width="90"/>
  </cols>
  <sheetData>
    <row r="1" customFormat="false" ht="15" hidden="false" customHeight="false" outlineLevel="0" collapsed="false">
      <c r="A1" s="9" t="s">
        <v>176</v>
      </c>
      <c r="I1" s="9" t="s">
        <v>177</v>
      </c>
      <c r="Q1" s="9" t="s">
        <v>178</v>
      </c>
      <c r="Y1" s="9" t="s">
        <v>179</v>
      </c>
      <c r="AG1" s="9" t="s">
        <v>180</v>
      </c>
      <c r="AO1" s="9" t="s">
        <v>181</v>
      </c>
    </row>
    <row r="3" customFormat="false" ht="15" hidden="false" customHeight="false" outlineLevel="0" collapsed="false">
      <c r="A3" s="19" t="s">
        <v>3</v>
      </c>
      <c r="B3" s="19" t="s">
        <v>182</v>
      </c>
      <c r="C3" s="19" t="s">
        <v>183</v>
      </c>
      <c r="D3" s="19" t="s">
        <v>184</v>
      </c>
      <c r="E3" s="19" t="s">
        <v>185</v>
      </c>
      <c r="F3" s="19" t="s">
        <v>186</v>
      </c>
      <c r="G3" s="19" t="s">
        <v>187</v>
      </c>
      <c r="I3" s="19" t="s">
        <v>3</v>
      </c>
      <c r="J3" s="19" t="s">
        <v>182</v>
      </c>
      <c r="K3" s="19" t="s">
        <v>183</v>
      </c>
      <c r="L3" s="19" t="s">
        <v>184</v>
      </c>
      <c r="M3" s="19" t="s">
        <v>185</v>
      </c>
      <c r="N3" s="19" t="s">
        <v>188</v>
      </c>
      <c r="O3" s="19" t="s">
        <v>189</v>
      </c>
      <c r="Q3" s="19" t="s">
        <v>3</v>
      </c>
      <c r="R3" s="19" t="s">
        <v>182</v>
      </c>
      <c r="S3" s="19" t="s">
        <v>190</v>
      </c>
      <c r="T3" s="19" t="s">
        <v>191</v>
      </c>
      <c r="U3" s="19" t="s">
        <v>192</v>
      </c>
      <c r="V3" s="19" t="s">
        <v>193</v>
      </c>
      <c r="W3" s="19" t="s">
        <v>194</v>
      </c>
      <c r="Y3" s="19" t="s">
        <v>195</v>
      </c>
      <c r="Z3" s="19" t="s">
        <v>196</v>
      </c>
      <c r="AA3" s="19" t="s">
        <v>197</v>
      </c>
      <c r="AB3" s="19" t="s">
        <v>198</v>
      </c>
      <c r="AC3" s="19" t="s">
        <v>199</v>
      </c>
      <c r="AD3" s="19" t="s">
        <v>200</v>
      </c>
      <c r="AE3" s="19" t="s">
        <v>201</v>
      </c>
      <c r="AG3" s="19" t="s">
        <v>3</v>
      </c>
      <c r="AH3" s="19" t="s">
        <v>182</v>
      </c>
      <c r="AI3" s="19" t="s">
        <v>183</v>
      </c>
      <c r="AJ3" s="19" t="s">
        <v>41</v>
      </c>
      <c r="AK3" s="19" t="s">
        <v>202</v>
      </c>
      <c r="AL3" s="19" t="s">
        <v>203</v>
      </c>
      <c r="AM3" s="19" t="s">
        <v>204</v>
      </c>
      <c r="AO3" s="13" t="s">
        <v>205</v>
      </c>
      <c r="AP3" s="20" t="n">
        <v>-1.05</v>
      </c>
      <c r="AQ3" s="13" t="s">
        <v>206</v>
      </c>
    </row>
    <row r="4" customFormat="false" ht="15" hidden="false" customHeight="false" outlineLevel="0" collapsed="false">
      <c r="A4" s="11" t="s">
        <v>207</v>
      </c>
      <c r="I4" s="11" t="s">
        <v>208</v>
      </c>
      <c r="Q4" s="11" t="s">
        <v>209</v>
      </c>
      <c r="Y4" s="11" t="s">
        <v>210</v>
      </c>
      <c r="AG4" s="11" t="s">
        <v>211</v>
      </c>
      <c r="AO4" s="13" t="s">
        <v>212</v>
      </c>
      <c r="AP4" s="21" t="n">
        <v>-3.7</v>
      </c>
      <c r="AQ4" s="13" t="s">
        <v>213</v>
      </c>
    </row>
    <row r="5" customFormat="false" ht="15" hidden="false" customHeight="false" outlineLevel="0" collapsed="false">
      <c r="A5" s="0" t="s">
        <v>214</v>
      </c>
      <c r="B5" s="0" t="s">
        <v>215</v>
      </c>
      <c r="C5" s="21" t="n">
        <v>1</v>
      </c>
      <c r="D5" s="13" t="n">
        <f aca="false">$AP$11</f>
        <v>1619</v>
      </c>
      <c r="E5" s="21" t="n">
        <v>1</v>
      </c>
      <c r="G5" s="22" t="n">
        <f aca="false">ROUND(C5*D5*E5,0)</f>
        <v>1619</v>
      </c>
      <c r="I5" s="13" t="s">
        <v>216</v>
      </c>
      <c r="J5" s="13" t="s">
        <v>217</v>
      </c>
      <c r="K5" s="21" t="n">
        <v>1</v>
      </c>
      <c r="L5" s="21" t="n">
        <v>4.6</v>
      </c>
      <c r="M5" s="21" t="n">
        <v>4.6</v>
      </c>
      <c r="N5" s="13" t="n">
        <f aca="false">$AP$10</f>
        <v>0.05</v>
      </c>
      <c r="O5" s="22" t="n">
        <f aca="false">ROUND(K5*L5*M5*N5,2)</f>
        <v>1.06</v>
      </c>
      <c r="Q5" s="13" t="s">
        <v>218</v>
      </c>
      <c r="R5" s="13" t="s">
        <v>217</v>
      </c>
      <c r="S5" s="21" t="n">
        <v>1</v>
      </c>
      <c r="T5" s="21" t="n">
        <v>9.2</v>
      </c>
      <c r="U5" s="21" t="n">
        <v>2</v>
      </c>
      <c r="V5" s="21" t="n">
        <v>1.1</v>
      </c>
      <c r="W5" s="22" t="n">
        <f aca="false">ROUND(S5*T5*U5*V5,2)</f>
        <v>20.24</v>
      </c>
      <c r="Y5" s="13" t="s">
        <v>219</v>
      </c>
      <c r="Z5" s="13" t="s">
        <v>220</v>
      </c>
      <c r="AA5" s="21" t="n">
        <v>25</v>
      </c>
      <c r="AB5" s="21" t="n">
        <v>96</v>
      </c>
      <c r="AC5" s="21" t="n">
        <v>5.95</v>
      </c>
      <c r="AD5" s="13" t="n">
        <f aca="false">ROUND(AA5^2/162.162,3)</f>
        <v>3.854</v>
      </c>
      <c r="AE5" s="22" t="n">
        <f aca="false">ROUND(AB5*AC5*AD5,1)</f>
        <v>2201.4</v>
      </c>
      <c r="AG5" s="13" t="s">
        <v>221</v>
      </c>
      <c r="AH5" s="13" t="s">
        <v>222</v>
      </c>
      <c r="AI5" s="21" t="n">
        <v>1</v>
      </c>
      <c r="AJ5" s="13" t="n">
        <f aca="false">$AP$16</f>
        <v>68</v>
      </c>
      <c r="AK5" s="21" t="n">
        <v>3.9</v>
      </c>
      <c r="AM5" s="22" t="n">
        <f aca="false">ROUND(AI5*AJ5*AK5,0)</f>
        <v>265</v>
      </c>
      <c r="AO5" s="13" t="s">
        <v>223</v>
      </c>
      <c r="AP5" s="21" t="n">
        <v>0.15</v>
      </c>
      <c r="AQ5" s="13" t="s">
        <v>224</v>
      </c>
    </row>
    <row r="6" customFormat="false" ht="15" hidden="false" customHeight="false" outlineLevel="0" collapsed="false">
      <c r="A6" s="0" t="s">
        <v>225</v>
      </c>
      <c r="B6" s="0" t="s">
        <v>226</v>
      </c>
      <c r="C6" s="21" t="n">
        <v>1</v>
      </c>
      <c r="D6" s="13" t="n">
        <f aca="false">$AP$11</f>
        <v>1619</v>
      </c>
      <c r="E6" s="21" t="n">
        <v>1</v>
      </c>
      <c r="G6" s="22" t="n">
        <f aca="false">ROUND(C6*D6*E6,0)</f>
        <v>1619</v>
      </c>
      <c r="I6" s="13" t="s">
        <v>227</v>
      </c>
      <c r="J6" s="13" t="s">
        <v>228</v>
      </c>
      <c r="K6" s="21" t="n">
        <v>1</v>
      </c>
      <c r="L6" s="21" t="n">
        <v>4.4</v>
      </c>
      <c r="M6" s="21" t="n">
        <v>4.4</v>
      </c>
      <c r="N6" s="13" t="n">
        <f aca="false">$AP$10</f>
        <v>0.05</v>
      </c>
      <c r="O6" s="22" t="n">
        <f aca="false">ROUND(K6*L6*M6*N6,2)</f>
        <v>0.97</v>
      </c>
      <c r="Q6" s="13" t="s">
        <v>229</v>
      </c>
      <c r="R6" s="13" t="s">
        <v>228</v>
      </c>
      <c r="S6" s="21" t="n">
        <v>1</v>
      </c>
      <c r="T6" s="21" t="n">
        <v>8.8</v>
      </c>
      <c r="U6" s="21" t="n">
        <v>2</v>
      </c>
      <c r="V6" s="21" t="n">
        <v>1.1</v>
      </c>
      <c r="W6" s="22" t="n">
        <f aca="false">ROUND(S6*T6*U6*V6,2)</f>
        <v>19.36</v>
      </c>
      <c r="Y6" s="13" t="s">
        <v>219</v>
      </c>
      <c r="Z6" s="13" t="s">
        <v>230</v>
      </c>
      <c r="AA6" s="21" t="n">
        <v>25</v>
      </c>
      <c r="AB6" s="21" t="n">
        <v>96</v>
      </c>
      <c r="AC6" s="21" t="n">
        <v>6.1</v>
      </c>
      <c r="AD6" s="13" t="n">
        <f aca="false">ROUND(AA6^2/162.162,3)</f>
        <v>3.854</v>
      </c>
      <c r="AE6" s="22" t="n">
        <f aca="false">ROUND(AB6*AC6*AD6,1)</f>
        <v>2256.9</v>
      </c>
      <c r="AG6" s="13" t="s">
        <v>231</v>
      </c>
      <c r="AH6" s="13" t="s">
        <v>232</v>
      </c>
      <c r="AI6" s="21" t="n">
        <v>1</v>
      </c>
      <c r="AJ6" s="13" t="n">
        <f aca="false">$AP$17</f>
        <v>55.4</v>
      </c>
      <c r="AK6" s="21" t="n">
        <v>6</v>
      </c>
      <c r="AM6" s="22" t="n">
        <f aca="false">ROUND(AI6*AJ6*AK6,0)</f>
        <v>332</v>
      </c>
      <c r="AO6" s="13" t="s">
        <v>233</v>
      </c>
      <c r="AP6" s="20" t="n">
        <v>0.15</v>
      </c>
      <c r="AQ6" s="13" t="s">
        <v>234</v>
      </c>
    </row>
    <row r="7" customFormat="false" ht="15" hidden="false" customHeight="false" outlineLevel="0" collapsed="false">
      <c r="A7" s="11" t="s">
        <v>235</v>
      </c>
      <c r="I7" s="13" t="s">
        <v>236</v>
      </c>
      <c r="J7" s="13" t="s">
        <v>237</v>
      </c>
      <c r="K7" s="21" t="n">
        <v>3</v>
      </c>
      <c r="L7" s="21" t="n">
        <v>4.4</v>
      </c>
      <c r="M7" s="21" t="n">
        <v>4.4</v>
      </c>
      <c r="N7" s="13" t="n">
        <f aca="false">$AP$10</f>
        <v>0.05</v>
      </c>
      <c r="O7" s="22" t="n">
        <f aca="false">ROUND(K7*L7*M7*N7,2)</f>
        <v>2.9</v>
      </c>
      <c r="Q7" s="13" t="s">
        <v>238</v>
      </c>
      <c r="R7" s="13" t="s">
        <v>237</v>
      </c>
      <c r="S7" s="21" t="n">
        <v>3</v>
      </c>
      <c r="T7" s="21" t="n">
        <v>8.8</v>
      </c>
      <c r="U7" s="21" t="n">
        <v>2</v>
      </c>
      <c r="V7" s="21" t="n">
        <v>1.1</v>
      </c>
      <c r="W7" s="22" t="n">
        <f aca="false">ROUND(S7*T7*U7*V7,2)</f>
        <v>58.08</v>
      </c>
      <c r="Y7" s="13" t="s">
        <v>219</v>
      </c>
      <c r="Z7" s="13" t="s">
        <v>239</v>
      </c>
      <c r="AA7" s="21" t="n">
        <v>10</v>
      </c>
      <c r="AB7" s="21" t="n">
        <v>384</v>
      </c>
      <c r="AC7" s="21" t="n">
        <v>1.88</v>
      </c>
      <c r="AD7" s="13" t="n">
        <f aca="false">ROUND(AA7^2/162.162,3)</f>
        <v>0.617</v>
      </c>
      <c r="AE7" s="22" t="n">
        <f aca="false">ROUND(AB7*AC7*AD7,1)</f>
        <v>445.4</v>
      </c>
      <c r="AG7" s="13" t="s">
        <v>240</v>
      </c>
      <c r="AH7" s="13" t="s">
        <v>241</v>
      </c>
      <c r="AI7" s="21" t="n">
        <v>1</v>
      </c>
      <c r="AJ7" s="13" t="n">
        <f aca="false">$AP$14</f>
        <v>1540.1225</v>
      </c>
      <c r="AK7" s="21" t="n">
        <v>1</v>
      </c>
      <c r="AM7" s="22" t="n">
        <f aca="false">ROUND(AI7*AJ7*AK7,0)</f>
        <v>1540</v>
      </c>
      <c r="AO7" s="13" t="s">
        <v>242</v>
      </c>
      <c r="AP7" s="23" t="n">
        <f aca="false">AP4-AP5-AP6</f>
        <v>-4</v>
      </c>
      <c r="AQ7" s="13" t="s">
        <v>243</v>
      </c>
    </row>
    <row r="8" customFormat="false" ht="15" hidden="false" customHeight="false" outlineLevel="0" collapsed="false">
      <c r="A8" s="0" t="s">
        <v>244</v>
      </c>
      <c r="B8" s="0" t="s">
        <v>245</v>
      </c>
      <c r="C8" s="21" t="n">
        <v>1</v>
      </c>
      <c r="D8" s="13" t="n">
        <f aca="false">$AP$13</f>
        <v>1609.2725</v>
      </c>
      <c r="E8" s="21" t="n">
        <v>1</v>
      </c>
      <c r="F8" s="13" t="n">
        <f aca="false">$AP$3-$AP$7</f>
        <v>2.95</v>
      </c>
      <c r="G8" s="22" t="n">
        <f aca="false">ROUND(C8*D8*E8*F8,0)</f>
        <v>4747</v>
      </c>
      <c r="I8" s="13" t="s">
        <v>246</v>
      </c>
      <c r="J8" s="13" t="s">
        <v>247</v>
      </c>
      <c r="K8" s="21" t="n">
        <v>1</v>
      </c>
      <c r="L8" s="21" t="n">
        <v>7.05</v>
      </c>
      <c r="M8" s="21" t="n">
        <v>4.2</v>
      </c>
      <c r="N8" s="13" t="n">
        <f aca="false">$AP$10</f>
        <v>0.05</v>
      </c>
      <c r="O8" s="22" t="n">
        <f aca="false">ROUND(K8*L8*M8*N8,2)</f>
        <v>1.48</v>
      </c>
      <c r="Q8" s="13" t="s">
        <v>248</v>
      </c>
      <c r="R8" s="13" t="s">
        <v>247</v>
      </c>
      <c r="S8" s="21" t="n">
        <v>1</v>
      </c>
      <c r="T8" s="21" t="n">
        <v>11.25</v>
      </c>
      <c r="U8" s="21" t="n">
        <v>2</v>
      </c>
      <c r="V8" s="21" t="n">
        <v>1.1</v>
      </c>
      <c r="W8" s="22" t="n">
        <f aca="false">ROUND(S8*T8*U8*V8,2)</f>
        <v>24.75</v>
      </c>
      <c r="Y8" s="13" t="s">
        <v>219</v>
      </c>
      <c r="Z8" s="13" t="s">
        <v>249</v>
      </c>
      <c r="AA8" s="21" t="n">
        <v>10</v>
      </c>
      <c r="AB8" s="21" t="n">
        <v>1152</v>
      </c>
      <c r="AC8" s="21" t="n">
        <v>1.32</v>
      </c>
      <c r="AD8" s="13" t="n">
        <f aca="false">ROUND(AA8^2/162.162,3)</f>
        <v>0.617</v>
      </c>
      <c r="AE8" s="22" t="n">
        <f aca="false">ROUND(AB8*AC8*AD8,1)</f>
        <v>938.2</v>
      </c>
      <c r="AG8" s="13" t="s">
        <v>250</v>
      </c>
      <c r="AH8" s="13" t="s">
        <v>251</v>
      </c>
      <c r="AI8" s="21" t="n">
        <v>1</v>
      </c>
      <c r="AJ8" s="13" t="n">
        <f aca="false">$AP$14</f>
        <v>1540.1225</v>
      </c>
      <c r="AK8" s="21" t="n">
        <v>1</v>
      </c>
      <c r="AM8" s="22" t="n">
        <f aca="false">ROUND(AI8*AJ8*AK8,0)</f>
        <v>1540</v>
      </c>
      <c r="AO8" s="13" t="s">
        <v>252</v>
      </c>
      <c r="AP8" s="21" t="n">
        <v>-6.3</v>
      </c>
      <c r="AQ8" s="13" t="s">
        <v>253</v>
      </c>
    </row>
    <row r="9" customFormat="false" ht="15" hidden="false" customHeight="false" outlineLevel="0" collapsed="false">
      <c r="A9" s="11" t="s">
        <v>254</v>
      </c>
      <c r="I9" s="13" t="s">
        <v>255</v>
      </c>
      <c r="J9" s="13" t="s">
        <v>256</v>
      </c>
      <c r="K9" s="21" t="n">
        <v>1</v>
      </c>
      <c r="L9" s="21" t="n">
        <v>30.2</v>
      </c>
      <c r="M9" s="21" t="n">
        <v>1</v>
      </c>
      <c r="N9" s="13" t="n">
        <f aca="false">$AP$10</f>
        <v>0.05</v>
      </c>
      <c r="O9" s="22" t="n">
        <f aca="false">ROUND(K9*L9*M9*N9,2)</f>
        <v>1.51</v>
      </c>
      <c r="Q9" s="13" t="s">
        <v>257</v>
      </c>
      <c r="R9" s="13" t="s">
        <v>256</v>
      </c>
      <c r="S9" s="21" t="n">
        <v>1</v>
      </c>
      <c r="T9" s="13" t="n">
        <f aca="false">4*SQRT(K25*L25)</f>
        <v>21.9818106624545</v>
      </c>
      <c r="U9" s="21" t="n">
        <v>1</v>
      </c>
      <c r="V9" s="21" t="n">
        <v>1.1</v>
      </c>
      <c r="W9" s="22" t="n">
        <f aca="false">ROUND(S9*T9*U9*V9,2)</f>
        <v>24.18</v>
      </c>
      <c r="Y9" s="13" t="s">
        <v>258</v>
      </c>
      <c r="Z9" s="13" t="s">
        <v>259</v>
      </c>
      <c r="AA9" s="21" t="n">
        <v>25</v>
      </c>
      <c r="AB9" s="21" t="n">
        <v>16</v>
      </c>
      <c r="AC9" s="21" t="n">
        <v>5.575</v>
      </c>
      <c r="AD9" s="13" t="n">
        <f aca="false">ROUND(AA9^2/162.162,3)</f>
        <v>3.854</v>
      </c>
      <c r="AE9" s="22" t="n">
        <f aca="false">ROUND(AB9*AC9*AD9,1)</f>
        <v>343.8</v>
      </c>
      <c r="AG9" s="11" t="s">
        <v>260</v>
      </c>
      <c r="AO9" s="13" t="s">
        <v>261</v>
      </c>
      <c r="AP9" s="21" t="n">
        <v>-6</v>
      </c>
      <c r="AQ9" s="13" t="s">
        <v>262</v>
      </c>
    </row>
    <row r="10" customFormat="false" ht="15" hidden="false" customHeight="false" outlineLevel="0" collapsed="false">
      <c r="A10" s="0" t="s">
        <v>263</v>
      </c>
      <c r="B10" s="0" t="s">
        <v>217</v>
      </c>
      <c r="C10" s="21" t="n">
        <v>1</v>
      </c>
      <c r="D10" s="21" t="n">
        <v>4.6</v>
      </c>
      <c r="E10" s="21" t="n">
        <v>4.6</v>
      </c>
      <c r="F10" s="13" t="n">
        <f aca="false">$AP$7-($AP$8-1.1-$AP$10)</f>
        <v>3.45</v>
      </c>
      <c r="G10" s="22" t="n">
        <f aca="false">ROUND(C10*D10*E10*F10,1)</f>
        <v>73</v>
      </c>
      <c r="I10" s="13" t="s">
        <v>264</v>
      </c>
      <c r="J10" s="13" t="s">
        <v>265</v>
      </c>
      <c r="K10" s="21" t="n">
        <v>1</v>
      </c>
      <c r="L10" s="21" t="n">
        <v>4</v>
      </c>
      <c r="M10" s="21" t="n">
        <v>5.7</v>
      </c>
      <c r="N10" s="13" t="n">
        <f aca="false">$AP$10</f>
        <v>0.05</v>
      </c>
      <c r="O10" s="22" t="n">
        <f aca="false">ROUND(K10*L10*M10*N10,2)</f>
        <v>1.14</v>
      </c>
      <c r="Q10" s="13" t="s">
        <v>266</v>
      </c>
      <c r="R10" s="13" t="s">
        <v>265</v>
      </c>
      <c r="S10" s="21" t="n">
        <v>1</v>
      </c>
      <c r="T10" s="21" t="n">
        <v>9.7</v>
      </c>
      <c r="U10" s="21" t="n">
        <v>2</v>
      </c>
      <c r="V10" s="21" t="n">
        <v>0.6</v>
      </c>
      <c r="W10" s="22" t="n">
        <f aca="false">ROUND(S10*T10*U10*V10,2)</f>
        <v>11.64</v>
      </c>
      <c r="Y10" s="13" t="s">
        <v>258</v>
      </c>
      <c r="Z10" s="13" t="s">
        <v>267</v>
      </c>
      <c r="AA10" s="21" t="n">
        <v>25</v>
      </c>
      <c r="AB10" s="21" t="n">
        <v>16</v>
      </c>
      <c r="AC10" s="21" t="n">
        <v>6.1</v>
      </c>
      <c r="AD10" s="13" t="n">
        <f aca="false">ROUND(AA10^2/162.162,3)</f>
        <v>3.854</v>
      </c>
      <c r="AE10" s="22" t="n">
        <f aca="false">ROUND(AB10*AC10*AD10,1)</f>
        <v>376.2</v>
      </c>
      <c r="AG10" s="13" t="s">
        <v>268</v>
      </c>
      <c r="AH10" s="13" t="s">
        <v>269</v>
      </c>
      <c r="AI10" s="21" t="n">
        <v>1</v>
      </c>
      <c r="AJ10" s="13" t="n">
        <f aca="false">$AP$16+$AP$17</f>
        <v>123.4</v>
      </c>
      <c r="AK10" s="21" t="n">
        <v>1</v>
      </c>
      <c r="AM10" s="22" t="n">
        <f aca="false">ROUND(AI10*AJ10*AK10,0)</f>
        <v>123</v>
      </c>
      <c r="AO10" s="13" t="s">
        <v>270</v>
      </c>
      <c r="AP10" s="21" t="n">
        <v>0.05</v>
      </c>
      <c r="AQ10" s="13" t="s">
        <v>271</v>
      </c>
    </row>
    <row r="11" customFormat="false" ht="15" hidden="false" customHeight="false" outlineLevel="0" collapsed="false">
      <c r="A11" s="0" t="s">
        <v>272</v>
      </c>
      <c r="B11" s="0" t="s">
        <v>228</v>
      </c>
      <c r="C11" s="21" t="n">
        <v>1</v>
      </c>
      <c r="D11" s="21" t="n">
        <v>4.4</v>
      </c>
      <c r="E11" s="21" t="n">
        <v>4.4</v>
      </c>
      <c r="F11" s="13" t="n">
        <f aca="false">$AP$7-($AP$8-1.1-$AP$10)</f>
        <v>3.45</v>
      </c>
      <c r="G11" s="22" t="n">
        <f aca="false">ROUND(C11*D11*E11*F11,1)</f>
        <v>66.8</v>
      </c>
      <c r="I11" s="13" t="s">
        <v>273</v>
      </c>
      <c r="J11" s="13" t="s">
        <v>274</v>
      </c>
      <c r="K11" s="21" t="n">
        <v>1</v>
      </c>
      <c r="L11" s="21" t="n">
        <v>3</v>
      </c>
      <c r="M11" s="21" t="n">
        <v>4.5</v>
      </c>
      <c r="N11" s="13" t="n">
        <f aca="false">$AP$10</f>
        <v>0.05</v>
      </c>
      <c r="O11" s="22" t="n">
        <f aca="false">ROUND(K11*L11*M11*N11,2)</f>
        <v>0.68</v>
      </c>
      <c r="Q11" s="13" t="s">
        <v>275</v>
      </c>
      <c r="R11" s="13" t="s">
        <v>274</v>
      </c>
      <c r="S11" s="21" t="n">
        <v>1</v>
      </c>
      <c r="T11" s="21" t="n">
        <v>7.5</v>
      </c>
      <c r="U11" s="21" t="n">
        <v>2</v>
      </c>
      <c r="V11" s="21" t="n">
        <v>0.6</v>
      </c>
      <c r="W11" s="22" t="n">
        <f aca="false">ROUND(S11*T11*U11*V11,2)</f>
        <v>9</v>
      </c>
      <c r="Y11" s="13" t="s">
        <v>258</v>
      </c>
      <c r="Z11" s="13" t="s">
        <v>276</v>
      </c>
      <c r="AA11" s="21" t="n">
        <v>10</v>
      </c>
      <c r="AB11" s="21" t="n">
        <v>54</v>
      </c>
      <c r="AC11" s="21" t="n">
        <v>2.08</v>
      </c>
      <c r="AD11" s="13" t="n">
        <f aca="false">ROUND(AA11^2/162.162,3)</f>
        <v>0.617</v>
      </c>
      <c r="AE11" s="22" t="n">
        <f aca="false">ROUND(AB11*AC11*AD11,1)</f>
        <v>69.3</v>
      </c>
      <c r="AG11" s="11" t="s">
        <v>277</v>
      </c>
      <c r="AO11" s="13" t="s">
        <v>278</v>
      </c>
      <c r="AP11" s="21" t="n">
        <v>1619</v>
      </c>
      <c r="AQ11" s="13" t="s">
        <v>279</v>
      </c>
    </row>
    <row r="12" customFormat="false" ht="15" hidden="false" customHeight="false" outlineLevel="0" collapsed="false">
      <c r="A12" s="0" t="s">
        <v>280</v>
      </c>
      <c r="B12" s="0" t="s">
        <v>237</v>
      </c>
      <c r="C12" s="21" t="n">
        <v>3</v>
      </c>
      <c r="D12" s="21" t="n">
        <v>4.4</v>
      </c>
      <c r="E12" s="21" t="n">
        <v>4.4</v>
      </c>
      <c r="F12" s="13" t="n">
        <f aca="false">$AP$7-($AP$8-1.1-$AP$10)</f>
        <v>3.45</v>
      </c>
      <c r="G12" s="22" t="n">
        <f aca="false">ROUND(C12*D12*E12*F12,1)</f>
        <v>200.4</v>
      </c>
      <c r="I12" s="13" t="s">
        <v>281</v>
      </c>
      <c r="J12" s="13" t="s">
        <v>282</v>
      </c>
      <c r="K12" s="21" t="n">
        <v>1</v>
      </c>
      <c r="L12" s="21" t="n">
        <v>56.25</v>
      </c>
      <c r="M12" s="21" t="n">
        <v>1</v>
      </c>
      <c r="N12" s="13" t="n">
        <f aca="false">$AP$10</f>
        <v>0.05</v>
      </c>
      <c r="O12" s="22" t="n">
        <f aca="false">ROUND(K12*L12*M12*N12,2)</f>
        <v>2.81</v>
      </c>
      <c r="Q12" s="13" t="s">
        <v>283</v>
      </c>
      <c r="R12" s="13" t="s">
        <v>282</v>
      </c>
      <c r="S12" s="21" t="n">
        <v>1</v>
      </c>
      <c r="T12" s="13" t="n">
        <f aca="false">4*SQRT(K28*L28)</f>
        <v>30</v>
      </c>
      <c r="U12" s="21" t="n">
        <v>1</v>
      </c>
      <c r="V12" s="21" t="n">
        <v>0.6</v>
      </c>
      <c r="W12" s="22" t="n">
        <f aca="false">ROUND(S12*T12*U12*V12,2)</f>
        <v>18</v>
      </c>
      <c r="Y12" s="13" t="s">
        <v>258</v>
      </c>
      <c r="Z12" s="13" t="s">
        <v>284</v>
      </c>
      <c r="AA12" s="21" t="n">
        <v>10</v>
      </c>
      <c r="AB12" s="21" t="n">
        <v>108</v>
      </c>
      <c r="AC12" s="21" t="n">
        <v>1.17</v>
      </c>
      <c r="AD12" s="13" t="n">
        <f aca="false">ROUND(AA12^2/162.162,3)</f>
        <v>0.617</v>
      </c>
      <c r="AE12" s="22" t="n">
        <f aca="false">ROUND(AB12*AC12*AD12,1)</f>
        <v>78</v>
      </c>
      <c r="AG12" s="13" t="s">
        <v>285</v>
      </c>
      <c r="AH12" s="13" t="s">
        <v>217</v>
      </c>
      <c r="AI12" s="21" t="n">
        <v>1</v>
      </c>
      <c r="AJ12" s="13" t="n">
        <f aca="false">4.6*4.6+2*(4.6+4.6)*1.1</f>
        <v>41.4</v>
      </c>
      <c r="AK12" s="21" t="n">
        <v>1</v>
      </c>
      <c r="AM12" s="22" t="n">
        <f aca="false">ROUND(AI12*AJ12*AK12,2)</f>
        <v>41.4</v>
      </c>
      <c r="AO12" s="13" t="s">
        <v>286</v>
      </c>
      <c r="AP12" s="21" t="n">
        <v>17.32</v>
      </c>
      <c r="AQ12" s="13" t="s">
        <v>287</v>
      </c>
    </row>
    <row r="13" customFormat="false" ht="15" hidden="false" customHeight="false" outlineLevel="0" collapsed="false">
      <c r="A13" s="0" t="s">
        <v>288</v>
      </c>
      <c r="B13" s="0" t="s">
        <v>247</v>
      </c>
      <c r="C13" s="21" t="n">
        <v>1</v>
      </c>
      <c r="D13" s="21" t="n">
        <v>7.05</v>
      </c>
      <c r="E13" s="21" t="n">
        <v>4.2</v>
      </c>
      <c r="F13" s="13" t="n">
        <f aca="false">$AP$7-($AP$8-1.1-$AP$10)</f>
        <v>3.45</v>
      </c>
      <c r="G13" s="22" t="n">
        <f aca="false">ROUND(C13*D13*E13*F13,1)</f>
        <v>102.2</v>
      </c>
      <c r="I13" s="13" t="s">
        <v>289</v>
      </c>
      <c r="J13" s="13" t="s">
        <v>290</v>
      </c>
      <c r="K13" s="21" t="n">
        <v>1</v>
      </c>
      <c r="L13" s="21" t="n">
        <v>41.98</v>
      </c>
      <c r="M13" s="21" t="n">
        <v>1</v>
      </c>
      <c r="N13" s="13" t="n">
        <f aca="false">$AP$10</f>
        <v>0.05</v>
      </c>
      <c r="O13" s="22" t="n">
        <f aca="false">ROUND(K13*L13*M13*N13,2)</f>
        <v>2.1</v>
      </c>
      <c r="Q13" s="13" t="s">
        <v>291</v>
      </c>
      <c r="R13" s="13" t="s">
        <v>290</v>
      </c>
      <c r="S13" s="21" t="n">
        <v>1</v>
      </c>
      <c r="T13" s="13" t="n">
        <f aca="false">4*SQRT(K29*L29)</f>
        <v>25.9167899246801</v>
      </c>
      <c r="U13" s="21" t="n">
        <v>1</v>
      </c>
      <c r="V13" s="21" t="n">
        <v>0.6</v>
      </c>
      <c r="W13" s="22" t="n">
        <f aca="false">ROUND(S13*T13*U13*V13,2)</f>
        <v>15.55</v>
      </c>
      <c r="Y13" s="13" t="s">
        <v>258</v>
      </c>
      <c r="Z13" s="13" t="s">
        <v>292</v>
      </c>
      <c r="AA13" s="21" t="n">
        <v>10</v>
      </c>
      <c r="AB13" s="21" t="n">
        <v>54</v>
      </c>
      <c r="AC13" s="21" t="n">
        <v>1.18</v>
      </c>
      <c r="AD13" s="13" t="n">
        <f aca="false">ROUND(AA13^2/162.162,3)</f>
        <v>0.617</v>
      </c>
      <c r="AE13" s="22" t="n">
        <f aca="false">ROUND(AB13*AC13*AD13,1)</f>
        <v>39.3</v>
      </c>
      <c r="AG13" s="13" t="s">
        <v>293</v>
      </c>
      <c r="AH13" s="13" t="s">
        <v>228</v>
      </c>
      <c r="AI13" s="21" t="n">
        <v>1</v>
      </c>
      <c r="AJ13" s="13" t="n">
        <f aca="false">4.4*4.4+2*(4.4+4.4)*1.1</f>
        <v>38.72</v>
      </c>
      <c r="AK13" s="21" t="n">
        <v>1</v>
      </c>
      <c r="AM13" s="22" t="n">
        <f aca="false">ROUND(AI13*AJ13*AK13,2)</f>
        <v>38.72</v>
      </c>
      <c r="AO13" s="13" t="s">
        <v>294</v>
      </c>
      <c r="AP13" s="23" t="n">
        <f aca="false">(53.65+0.3)*(29.85+0.3)-AP12</f>
        <v>1609.2725</v>
      </c>
      <c r="AQ13" s="13" t="s">
        <v>295</v>
      </c>
    </row>
    <row r="14" customFormat="false" ht="15" hidden="false" customHeight="false" outlineLevel="0" collapsed="false">
      <c r="A14" s="0" t="s">
        <v>296</v>
      </c>
      <c r="B14" s="0" t="s">
        <v>256</v>
      </c>
      <c r="C14" s="21" t="n">
        <v>1</v>
      </c>
      <c r="D14" s="21" t="n">
        <v>30.2</v>
      </c>
      <c r="E14" s="21" t="n">
        <v>1</v>
      </c>
      <c r="F14" s="13" t="n">
        <f aca="false">$AP$7-($AP$8-1.1-$AP$10)</f>
        <v>3.45</v>
      </c>
      <c r="G14" s="22" t="n">
        <f aca="false">ROUND(C14*D14*E14*F14,1)</f>
        <v>104.2</v>
      </c>
      <c r="I14" s="13" t="s">
        <v>297</v>
      </c>
      <c r="J14" s="13" t="s">
        <v>298</v>
      </c>
      <c r="K14" s="21" t="n">
        <v>8</v>
      </c>
      <c r="L14" s="21" t="n">
        <v>2.4</v>
      </c>
      <c r="M14" s="21" t="n">
        <v>2.4</v>
      </c>
      <c r="N14" s="13" t="n">
        <f aca="false">$AP$10</f>
        <v>0.05</v>
      </c>
      <c r="O14" s="22" t="n">
        <f aca="false">ROUND(K14*L14*M14*N14,2)</f>
        <v>2.3</v>
      </c>
      <c r="Q14" s="13" t="s">
        <v>299</v>
      </c>
      <c r="R14" s="13" t="s">
        <v>298</v>
      </c>
      <c r="S14" s="21" t="n">
        <v>8</v>
      </c>
      <c r="T14" s="21" t="n">
        <v>4.8</v>
      </c>
      <c r="U14" s="21" t="n">
        <v>2</v>
      </c>
      <c r="V14" s="21" t="n">
        <v>0.4</v>
      </c>
      <c r="W14" s="22" t="n">
        <f aca="false">ROUND(S14*T14*U14*V14,2)</f>
        <v>30.72</v>
      </c>
      <c r="Y14" s="13" t="s">
        <v>258</v>
      </c>
      <c r="Z14" s="13" t="s">
        <v>300</v>
      </c>
      <c r="AA14" s="21" t="n">
        <v>10</v>
      </c>
      <c r="AB14" s="21" t="n">
        <v>54</v>
      </c>
      <c r="AC14" s="21" t="n">
        <v>1.18</v>
      </c>
      <c r="AD14" s="13" t="n">
        <f aca="false">ROUND(AA14^2/162.162,3)</f>
        <v>0.617</v>
      </c>
      <c r="AE14" s="22" t="n">
        <f aca="false">ROUND(AB14*AC14*AD14,1)</f>
        <v>39.3</v>
      </c>
      <c r="AG14" s="13" t="s">
        <v>301</v>
      </c>
      <c r="AH14" s="13" t="s">
        <v>237</v>
      </c>
      <c r="AI14" s="21" t="n">
        <v>3</v>
      </c>
      <c r="AJ14" s="13" t="n">
        <f aca="false">4.4*4.4+2*(4.4+4.4)*1.1</f>
        <v>38.72</v>
      </c>
      <c r="AK14" s="21" t="n">
        <v>1</v>
      </c>
      <c r="AM14" s="22" t="n">
        <f aca="false">ROUND(AI14*AJ14*AK14,2)</f>
        <v>116.16</v>
      </c>
      <c r="AO14" s="13" t="s">
        <v>302</v>
      </c>
      <c r="AP14" s="23" t="n">
        <f aca="false">(53.65-0.3)*(29.85-0.3)-AP12-5*2.75-2*2.65</f>
        <v>1540.1225</v>
      </c>
      <c r="AQ14" s="13" t="s">
        <v>303</v>
      </c>
    </row>
    <row r="15" customFormat="false" ht="15" hidden="false" customHeight="false" outlineLevel="0" collapsed="false">
      <c r="A15" s="0" t="s">
        <v>304</v>
      </c>
      <c r="B15" s="0" t="s">
        <v>265</v>
      </c>
      <c r="C15" s="21" t="n">
        <v>1</v>
      </c>
      <c r="D15" s="21" t="n">
        <v>4</v>
      </c>
      <c r="E15" s="21" t="n">
        <v>5.7</v>
      </c>
      <c r="F15" s="13" t="n">
        <f aca="false">$AP$7-($AP$8-0.6-$AP$10)</f>
        <v>2.95</v>
      </c>
      <c r="G15" s="22" t="n">
        <f aca="false">ROUND(C15*D15*E15*F15,1)</f>
        <v>67.3</v>
      </c>
      <c r="I15" s="13" t="s">
        <v>305</v>
      </c>
      <c r="J15" s="13" t="s">
        <v>306</v>
      </c>
      <c r="K15" s="21" t="n">
        <v>9</v>
      </c>
      <c r="L15" s="21" t="n">
        <v>1.5</v>
      </c>
      <c r="M15" s="21" t="n">
        <v>1.5</v>
      </c>
      <c r="N15" s="13" t="n">
        <f aca="false">$AP$10</f>
        <v>0.05</v>
      </c>
      <c r="O15" s="22" t="n">
        <f aca="false">ROUND(K15*L15*M15*N15,2)</f>
        <v>1.01</v>
      </c>
      <c r="Q15" s="13" t="s">
        <v>307</v>
      </c>
      <c r="R15" s="13" t="s">
        <v>306</v>
      </c>
      <c r="S15" s="21" t="n">
        <v>9</v>
      </c>
      <c r="T15" s="21" t="n">
        <v>3</v>
      </c>
      <c r="U15" s="21" t="n">
        <v>2</v>
      </c>
      <c r="V15" s="21" t="n">
        <v>0.4</v>
      </c>
      <c r="W15" s="22" t="n">
        <f aca="false">ROUND(S15*T15*U15*V15,2)</f>
        <v>21.6</v>
      </c>
      <c r="Y15" s="13" t="s">
        <v>308</v>
      </c>
      <c r="Z15" s="13" t="s">
        <v>259</v>
      </c>
      <c r="AA15" s="21" t="n">
        <v>25</v>
      </c>
      <c r="AB15" s="21" t="n">
        <v>16</v>
      </c>
      <c r="AC15" s="21" t="n">
        <v>5.575</v>
      </c>
      <c r="AD15" s="13" t="n">
        <f aca="false">ROUND(AA15^2/162.162,3)</f>
        <v>3.854</v>
      </c>
      <c r="AE15" s="22" t="n">
        <f aca="false">ROUND(AB15*AC15*AD15,1)</f>
        <v>343.8</v>
      </c>
      <c r="AG15" s="13" t="s">
        <v>309</v>
      </c>
      <c r="AH15" s="13" t="s">
        <v>247</v>
      </c>
      <c r="AI15" s="21" t="n">
        <v>1</v>
      </c>
      <c r="AJ15" s="13" t="n">
        <f aca="false">7.05*4.2+2*(7.05+4.2)*1.1</f>
        <v>54.36</v>
      </c>
      <c r="AK15" s="21" t="n">
        <v>1</v>
      </c>
      <c r="AM15" s="22" t="n">
        <f aca="false">ROUND(AI15*AJ15*AK15,2)</f>
        <v>54.36</v>
      </c>
      <c r="AO15" s="13" t="s">
        <v>310</v>
      </c>
      <c r="AP15" s="20" t="n">
        <v>0.6</v>
      </c>
      <c r="AQ15" s="13" t="s">
        <v>311</v>
      </c>
    </row>
    <row r="16" customFormat="false" ht="15" hidden="false" customHeight="false" outlineLevel="0" collapsed="false">
      <c r="A16" s="0" t="s">
        <v>312</v>
      </c>
      <c r="B16" s="0" t="s">
        <v>274</v>
      </c>
      <c r="C16" s="21" t="n">
        <v>1</v>
      </c>
      <c r="D16" s="21" t="n">
        <v>3</v>
      </c>
      <c r="E16" s="21" t="n">
        <v>4.5</v>
      </c>
      <c r="F16" s="13" t="n">
        <f aca="false">$AP$7-($AP$8-0.6-$AP$10)</f>
        <v>2.95</v>
      </c>
      <c r="G16" s="22" t="n">
        <f aca="false">ROUND(C16*D16*E16*F16,1)</f>
        <v>39.8</v>
      </c>
      <c r="I16" s="13" t="s">
        <v>313</v>
      </c>
      <c r="J16" s="13" t="s">
        <v>314</v>
      </c>
      <c r="K16" s="21" t="n">
        <v>1</v>
      </c>
      <c r="L16" s="13" t="n">
        <f aca="false">$AP$16+$AP$17</f>
        <v>123.4</v>
      </c>
      <c r="M16" s="13" t="n">
        <f aca="false">$AP$20</f>
        <v>2.5</v>
      </c>
      <c r="N16" s="13" t="n">
        <f aca="false">$AP$10</f>
        <v>0.05</v>
      </c>
      <c r="O16" s="22" t="n">
        <f aca="false">ROUND(K16*L16*M16*N16,2)</f>
        <v>15.43</v>
      </c>
      <c r="Q16" s="10" t="s">
        <v>315</v>
      </c>
      <c r="W16" s="24" t="n">
        <f aca="false">ROUND(SUM(W5:W15),0)</f>
        <v>253</v>
      </c>
      <c r="Y16" s="13" t="s">
        <v>308</v>
      </c>
      <c r="Z16" s="13" t="s">
        <v>267</v>
      </c>
      <c r="AA16" s="21" t="n">
        <v>25</v>
      </c>
      <c r="AB16" s="21" t="n">
        <v>16</v>
      </c>
      <c r="AC16" s="21" t="n">
        <v>6.1</v>
      </c>
      <c r="AD16" s="13" t="n">
        <f aca="false">ROUND(AA16^2/162.162,3)</f>
        <v>3.854</v>
      </c>
      <c r="AE16" s="22" t="n">
        <f aca="false">ROUND(AB16*AC16*AD16,1)</f>
        <v>376.2</v>
      </c>
      <c r="AG16" s="13" t="s">
        <v>316</v>
      </c>
      <c r="AH16" s="13" t="s">
        <v>256</v>
      </c>
      <c r="AI16" s="21" t="n">
        <v>1</v>
      </c>
      <c r="AJ16" s="13" t="n">
        <f aca="false">K25*L25+4*SQRT(K25*L25)*1.1</f>
        <v>54.3799917287</v>
      </c>
      <c r="AK16" s="21" t="n">
        <v>1</v>
      </c>
      <c r="AM16" s="22" t="n">
        <f aca="false">ROUND(AI16*AJ16*AK16,2)</f>
        <v>54.38</v>
      </c>
      <c r="AO16" s="13" t="s">
        <v>317</v>
      </c>
      <c r="AP16" s="21" t="n">
        <v>68</v>
      </c>
      <c r="AQ16" s="13" t="s">
        <v>318</v>
      </c>
    </row>
    <row r="17" customFormat="false" ht="15" hidden="false" customHeight="false" outlineLevel="0" collapsed="false">
      <c r="A17" s="0" t="s">
        <v>319</v>
      </c>
      <c r="B17" s="0" t="s">
        <v>282</v>
      </c>
      <c r="C17" s="21" t="n">
        <v>1</v>
      </c>
      <c r="D17" s="21" t="n">
        <v>56.25</v>
      </c>
      <c r="E17" s="21" t="n">
        <v>1</v>
      </c>
      <c r="F17" s="13" t="n">
        <f aca="false">$AP$7-($AP$8-0.6-$AP$10)</f>
        <v>2.95</v>
      </c>
      <c r="G17" s="22" t="n">
        <f aca="false">ROUND(C17*D17*E17*F17,1)</f>
        <v>165.9</v>
      </c>
      <c r="I17" s="13" t="s">
        <v>320</v>
      </c>
      <c r="J17" s="13" t="s">
        <v>321</v>
      </c>
      <c r="K17" s="21" t="n">
        <v>1</v>
      </c>
      <c r="L17" s="13" t="n">
        <f aca="false">$AP$22</f>
        <v>207</v>
      </c>
      <c r="M17" s="21" t="n">
        <v>0.45</v>
      </c>
      <c r="N17" s="13" t="n">
        <f aca="false">$AP$10</f>
        <v>0.05</v>
      </c>
      <c r="O17" s="22" t="n">
        <f aca="false">ROUND(K17*L17*M17*N17,2)</f>
        <v>4.66</v>
      </c>
      <c r="Y17" s="13" t="s">
        <v>308</v>
      </c>
      <c r="Z17" s="13" t="s">
        <v>322</v>
      </c>
      <c r="AA17" s="21" t="n">
        <v>10</v>
      </c>
      <c r="AB17" s="21" t="n">
        <v>44</v>
      </c>
      <c r="AC17" s="21" t="n">
        <v>1.88</v>
      </c>
      <c r="AD17" s="13" t="n">
        <f aca="false">ROUND(AA17^2/162.162,3)</f>
        <v>0.617</v>
      </c>
      <c r="AE17" s="22" t="n">
        <f aca="false">ROUND(AB17*AC17*AD17,1)</f>
        <v>51</v>
      </c>
      <c r="AG17" s="13" t="s">
        <v>323</v>
      </c>
      <c r="AH17" s="13" t="s">
        <v>265</v>
      </c>
      <c r="AI17" s="21" t="n">
        <v>1</v>
      </c>
      <c r="AJ17" s="13" t="n">
        <f aca="false">4*5.7+2*(4+5.7)*0.6</f>
        <v>34.44</v>
      </c>
      <c r="AK17" s="21" t="n">
        <v>1</v>
      </c>
      <c r="AM17" s="22" t="n">
        <f aca="false">ROUND(AI17*AJ17*AK17,2)</f>
        <v>34.44</v>
      </c>
      <c r="AO17" s="13" t="s">
        <v>324</v>
      </c>
      <c r="AP17" s="21" t="n">
        <v>55.4</v>
      </c>
      <c r="AQ17" s="13" t="s">
        <v>325</v>
      </c>
    </row>
    <row r="18" customFormat="false" ht="15" hidden="false" customHeight="false" outlineLevel="0" collapsed="false">
      <c r="A18" s="0" t="s">
        <v>326</v>
      </c>
      <c r="B18" s="0" t="s">
        <v>290</v>
      </c>
      <c r="C18" s="21" t="n">
        <v>1</v>
      </c>
      <c r="D18" s="21" t="n">
        <v>41.98</v>
      </c>
      <c r="E18" s="21" t="n">
        <v>1</v>
      </c>
      <c r="F18" s="13" t="n">
        <f aca="false">$AP$7-($AP$8-0.6-$AP$10)</f>
        <v>2.95</v>
      </c>
      <c r="G18" s="22" t="n">
        <f aca="false">ROUND(C18*D18*E18*F18,1)</f>
        <v>123.8</v>
      </c>
      <c r="I18" s="10" t="s">
        <v>327</v>
      </c>
      <c r="O18" s="24" t="n">
        <f aca="false">ROUND(SUM(O5:O17),1)</f>
        <v>38.1</v>
      </c>
      <c r="Q18" s="13" t="s">
        <v>328</v>
      </c>
      <c r="R18" s="13" t="s">
        <v>269</v>
      </c>
      <c r="S18" s="21" t="n">
        <v>1</v>
      </c>
      <c r="T18" s="13" t="n">
        <f aca="false">$AP$16+$AP$17</f>
        <v>123.4</v>
      </c>
      <c r="U18" s="21" t="n">
        <v>2</v>
      </c>
      <c r="V18" s="13" t="n">
        <f aca="false">$AP$21</f>
        <v>0.4</v>
      </c>
      <c r="W18" s="22" t="n">
        <f aca="false">ROUND(S18*T18*U18*V18,2)</f>
        <v>98.72</v>
      </c>
      <c r="Y18" s="13" t="s">
        <v>308</v>
      </c>
      <c r="Z18" s="13" t="s">
        <v>329</v>
      </c>
      <c r="AA18" s="21" t="n">
        <v>10</v>
      </c>
      <c r="AB18" s="21" t="n">
        <v>132</v>
      </c>
      <c r="AC18" s="21" t="n">
        <v>1.32</v>
      </c>
      <c r="AD18" s="13" t="n">
        <f aca="false">ROUND(AA18^2/162.162,3)</f>
        <v>0.617</v>
      </c>
      <c r="AE18" s="22" t="n">
        <f aca="false">ROUND(AB18*AC18*AD18,1)</f>
        <v>107.5</v>
      </c>
      <c r="AG18" s="13" t="s">
        <v>330</v>
      </c>
      <c r="AH18" s="13" t="s">
        <v>274</v>
      </c>
      <c r="AI18" s="21" t="n">
        <v>1</v>
      </c>
      <c r="AJ18" s="13" t="n">
        <f aca="false">3*4.5+2*(3+4.5)*0.6</f>
        <v>22.5</v>
      </c>
      <c r="AK18" s="21" t="n">
        <v>1</v>
      </c>
      <c r="AM18" s="22" t="n">
        <f aca="false">ROUND(AI18*AJ18*AK18,2)</f>
        <v>22.5</v>
      </c>
      <c r="AO18" s="13" t="s">
        <v>331</v>
      </c>
      <c r="AP18" s="21" t="n">
        <v>3.65</v>
      </c>
      <c r="AQ18" s="13" t="s">
        <v>332</v>
      </c>
    </row>
    <row r="19" customFormat="false" ht="15" hidden="false" customHeight="false" outlineLevel="0" collapsed="false">
      <c r="A19" s="0" t="s">
        <v>333</v>
      </c>
      <c r="B19" s="0" t="s">
        <v>298</v>
      </c>
      <c r="C19" s="21" t="n">
        <v>8</v>
      </c>
      <c r="D19" s="21" t="n">
        <v>2.4</v>
      </c>
      <c r="E19" s="21" t="n">
        <v>2.4</v>
      </c>
      <c r="F19" s="13" t="n">
        <f aca="false">$AP$7-($AP$8-0.4-$AP$10)</f>
        <v>2.75</v>
      </c>
      <c r="G19" s="22" t="n">
        <f aca="false">ROUND(C19*D19*E19*F19,1)</f>
        <v>126.7</v>
      </c>
      <c r="Q19" s="13" t="s">
        <v>334</v>
      </c>
      <c r="R19" s="13" t="s">
        <v>335</v>
      </c>
      <c r="S19" s="21" t="n">
        <v>1</v>
      </c>
      <c r="T19" s="13" t="n">
        <f aca="false">$AP$22</f>
        <v>207</v>
      </c>
      <c r="U19" s="21" t="n">
        <v>2</v>
      </c>
      <c r="V19" s="21" t="n">
        <v>0.225</v>
      </c>
      <c r="W19" s="22" t="n">
        <f aca="false">ROUND(S19*T19*U19*V19,2)</f>
        <v>93.15</v>
      </c>
      <c r="Y19" s="13" t="s">
        <v>336</v>
      </c>
      <c r="Z19" s="13" t="s">
        <v>337</v>
      </c>
      <c r="AA19" s="21" t="n">
        <v>20</v>
      </c>
      <c r="AB19" s="21" t="n">
        <v>56</v>
      </c>
      <c r="AC19" s="21" t="n">
        <v>5.575</v>
      </c>
      <c r="AD19" s="13" t="n">
        <f aca="false">ROUND(AA19^2/162.162,3)</f>
        <v>2.467</v>
      </c>
      <c r="AE19" s="22" t="n">
        <f aca="false">ROUND(AB19*AC19*AD19,1)</f>
        <v>770.2</v>
      </c>
      <c r="AG19" s="13" t="s">
        <v>338</v>
      </c>
      <c r="AH19" s="13" t="s">
        <v>282</v>
      </c>
      <c r="AI19" s="21" t="n">
        <v>1</v>
      </c>
      <c r="AJ19" s="13" t="n">
        <f aca="false">K28*L28+4*SQRT(K28*L28)*0.6</f>
        <v>74.25</v>
      </c>
      <c r="AK19" s="21" t="n">
        <v>1</v>
      </c>
      <c r="AM19" s="22" t="n">
        <f aca="false">ROUND(AI19*AJ19*AK19,2)</f>
        <v>74.25</v>
      </c>
      <c r="AO19" s="13" t="s">
        <v>339</v>
      </c>
      <c r="AP19" s="21" t="n">
        <v>5.625</v>
      </c>
      <c r="AQ19" s="13" t="s">
        <v>340</v>
      </c>
    </row>
    <row r="20" customFormat="false" ht="15" hidden="false" customHeight="false" outlineLevel="0" collapsed="false">
      <c r="A20" s="0" t="s">
        <v>341</v>
      </c>
      <c r="B20" s="0" t="s">
        <v>306</v>
      </c>
      <c r="C20" s="21" t="n">
        <v>9</v>
      </c>
      <c r="D20" s="21" t="n">
        <v>1.5</v>
      </c>
      <c r="E20" s="21" t="n">
        <v>1.5</v>
      </c>
      <c r="F20" s="13" t="n">
        <f aca="false">$AP$7-($AP$8-0.4-$AP$10)</f>
        <v>2.75</v>
      </c>
      <c r="G20" s="22" t="n">
        <f aca="false">ROUND(C20*D20*E20*F20,1)</f>
        <v>55.7</v>
      </c>
      <c r="I20" s="11" t="s">
        <v>342</v>
      </c>
      <c r="Q20" s="10" t="s">
        <v>343</v>
      </c>
      <c r="W20" s="24" t="n">
        <f aca="false">ROUND(SUM(W18:W19),0)</f>
        <v>192</v>
      </c>
      <c r="Y20" s="13" t="s">
        <v>336</v>
      </c>
      <c r="Z20" s="13" t="s">
        <v>344</v>
      </c>
      <c r="AA20" s="21" t="n">
        <v>20</v>
      </c>
      <c r="AB20" s="21" t="n">
        <v>56</v>
      </c>
      <c r="AC20" s="21" t="n">
        <v>2.825</v>
      </c>
      <c r="AD20" s="13" t="n">
        <f aca="false">ROUND(AA20^2/162.162,3)</f>
        <v>2.467</v>
      </c>
      <c r="AE20" s="22" t="n">
        <f aca="false">ROUND(AB20*AC20*AD20,1)</f>
        <v>390.3</v>
      </c>
      <c r="AG20" s="13" t="s">
        <v>345</v>
      </c>
      <c r="AH20" s="13" t="s">
        <v>290</v>
      </c>
      <c r="AI20" s="21" t="n">
        <v>1</v>
      </c>
      <c r="AJ20" s="13" t="n">
        <f aca="false">K29*L29+4*SQRT(K29*L29)*0.6</f>
        <v>57.5300739548081</v>
      </c>
      <c r="AK20" s="21" t="n">
        <v>1</v>
      </c>
      <c r="AM20" s="22" t="n">
        <f aca="false">ROUND(AI20*AJ20*AK20,2)</f>
        <v>57.53</v>
      </c>
      <c r="AO20" s="13" t="s">
        <v>346</v>
      </c>
      <c r="AP20" s="21" t="n">
        <v>2.5</v>
      </c>
      <c r="AQ20" s="13" t="s">
        <v>347</v>
      </c>
    </row>
    <row r="21" customFormat="false" ht="15" hidden="false" customHeight="false" outlineLevel="0" collapsed="false">
      <c r="A21" s="10" t="s">
        <v>348</v>
      </c>
      <c r="G21" s="24" t="n">
        <f aca="false">ROUND(SUM(G10:G20),0)</f>
        <v>1126</v>
      </c>
      <c r="I21" s="13" t="s">
        <v>349</v>
      </c>
      <c r="J21" s="13" t="s">
        <v>217</v>
      </c>
      <c r="K21" s="21" t="n">
        <v>1</v>
      </c>
      <c r="L21" s="21" t="n">
        <v>4.6</v>
      </c>
      <c r="M21" s="21" t="n">
        <v>4.6</v>
      </c>
      <c r="N21" s="21" t="n">
        <v>1.1</v>
      </c>
      <c r="O21" s="22" t="n">
        <f aca="false">ROUND(K21*L21*M21*N21,2)</f>
        <v>23.28</v>
      </c>
      <c r="Y21" s="13" t="s">
        <v>336</v>
      </c>
      <c r="Z21" s="13" t="s">
        <v>350</v>
      </c>
      <c r="AA21" s="21" t="n">
        <v>10</v>
      </c>
      <c r="AB21" s="21" t="n">
        <v>392</v>
      </c>
      <c r="AC21" s="21" t="n">
        <v>1.08</v>
      </c>
      <c r="AD21" s="13" t="n">
        <f aca="false">ROUND(AA21^2/162.162,3)</f>
        <v>0.617</v>
      </c>
      <c r="AE21" s="22" t="n">
        <f aca="false">ROUND(AB21*AC21*AD21,1)</f>
        <v>261.2</v>
      </c>
      <c r="AG21" s="13" t="s">
        <v>351</v>
      </c>
      <c r="AH21" s="13" t="s">
        <v>298</v>
      </c>
      <c r="AI21" s="21" t="n">
        <v>8</v>
      </c>
      <c r="AJ21" s="13" t="n">
        <f aca="false">2.4*2.4+2*(2.4+2.4)*0.4</f>
        <v>9.6</v>
      </c>
      <c r="AK21" s="21" t="n">
        <v>1</v>
      </c>
      <c r="AM21" s="22" t="n">
        <f aca="false">ROUND(AI21*AJ21*AK21,2)</f>
        <v>76.8</v>
      </c>
      <c r="AO21" s="13" t="s">
        <v>352</v>
      </c>
      <c r="AP21" s="21" t="n">
        <v>0.4</v>
      </c>
      <c r="AQ21" s="13" t="s">
        <v>353</v>
      </c>
    </row>
    <row r="22" customFormat="false" ht="15" hidden="false" customHeight="false" outlineLevel="0" collapsed="false">
      <c r="I22" s="0" t="s">
        <v>354</v>
      </c>
      <c r="J22" s="0" t="s">
        <v>228</v>
      </c>
      <c r="K22" s="21" t="n">
        <v>1</v>
      </c>
      <c r="L22" s="21" t="n">
        <v>4.4</v>
      </c>
      <c r="M22" s="21" t="n">
        <v>4.4</v>
      </c>
      <c r="N22" s="21" t="n">
        <v>1.1</v>
      </c>
      <c r="O22" s="22" t="n">
        <f aca="false">ROUND(K22*L22*M22*N22,2)</f>
        <v>21.3</v>
      </c>
      <c r="Q22" s="11" t="s">
        <v>355</v>
      </c>
      <c r="Y22" s="13" t="s">
        <v>336</v>
      </c>
      <c r="Z22" s="13" t="s">
        <v>356</v>
      </c>
      <c r="AA22" s="21" t="n">
        <v>10</v>
      </c>
      <c r="AB22" s="21" t="n">
        <v>784</v>
      </c>
      <c r="AC22" s="21" t="n">
        <v>0.68</v>
      </c>
      <c r="AD22" s="13" t="n">
        <f aca="false">ROUND(AA22^2/162.162,3)</f>
        <v>0.617</v>
      </c>
      <c r="AE22" s="22" t="n">
        <f aca="false">ROUND(AB22*AC22*AD22,1)</f>
        <v>328.9</v>
      </c>
      <c r="AG22" s="13" t="s">
        <v>357</v>
      </c>
      <c r="AH22" s="13" t="s">
        <v>306</v>
      </c>
      <c r="AI22" s="21" t="n">
        <v>9</v>
      </c>
      <c r="AJ22" s="13" t="n">
        <f aca="false">1.5*1.5+2*(1.5+1.5)*0.4</f>
        <v>4.65</v>
      </c>
      <c r="AK22" s="21" t="n">
        <v>1</v>
      </c>
      <c r="AM22" s="22" t="n">
        <f aca="false">ROUND(AI22*AJ22*AK22,2)</f>
        <v>41.85</v>
      </c>
      <c r="AO22" s="13" t="s">
        <v>358</v>
      </c>
      <c r="AP22" s="21" t="n">
        <v>207</v>
      </c>
      <c r="AQ22" s="13" t="s">
        <v>359</v>
      </c>
    </row>
    <row r="23" customFormat="false" ht="15" hidden="false" customHeight="false" outlineLevel="0" collapsed="false">
      <c r="A23" s="11" t="s">
        <v>360</v>
      </c>
      <c r="I23" s="13" t="s">
        <v>361</v>
      </c>
      <c r="J23" s="13" t="s">
        <v>237</v>
      </c>
      <c r="K23" s="21" t="n">
        <v>3</v>
      </c>
      <c r="L23" s="21" t="n">
        <v>4.4</v>
      </c>
      <c r="M23" s="21" t="n">
        <v>4.4</v>
      </c>
      <c r="N23" s="21" t="n">
        <v>1.1</v>
      </c>
      <c r="O23" s="22" t="n">
        <f aca="false">ROUND(K23*L23*M23*N23,2)</f>
        <v>63.89</v>
      </c>
      <c r="Q23" s="13" t="s">
        <v>362</v>
      </c>
      <c r="R23" s="13" t="s">
        <v>269</v>
      </c>
      <c r="S23" s="21" t="n">
        <v>1</v>
      </c>
      <c r="T23" s="13" t="n">
        <f aca="false">$AP$16-10*0.7</f>
        <v>61</v>
      </c>
      <c r="U23" s="21" t="n">
        <v>2</v>
      </c>
      <c r="V23" s="13" t="n">
        <f aca="false">$AP$18</f>
        <v>3.65</v>
      </c>
      <c r="W23" s="22" t="n">
        <f aca="false">ROUND(S23*T23*U23*V23,2)</f>
        <v>445.3</v>
      </c>
      <c r="Y23" s="13" t="s">
        <v>363</v>
      </c>
      <c r="Z23" s="13" t="s">
        <v>364</v>
      </c>
      <c r="AA23" s="21" t="n">
        <v>20</v>
      </c>
      <c r="AB23" s="21" t="n">
        <v>8</v>
      </c>
      <c r="AC23" s="21" t="n">
        <v>5.575</v>
      </c>
      <c r="AD23" s="13" t="n">
        <f aca="false">ROUND(AA23^2/162.162,3)</f>
        <v>2.467</v>
      </c>
      <c r="AE23" s="22" t="n">
        <f aca="false">ROUND(AB23*AC23*AD23,1)</f>
        <v>110</v>
      </c>
      <c r="AG23" s="13" t="s">
        <v>365</v>
      </c>
      <c r="AI23" s="21" t="n">
        <v>1</v>
      </c>
      <c r="AJ23" s="13" t="n">
        <f aca="false">$AP$16+$AP$17</f>
        <v>123.4</v>
      </c>
      <c r="AK23" s="13" t="n">
        <f aca="false">$AP$20-0.3+2*$AP$21</f>
        <v>3</v>
      </c>
      <c r="AM23" s="22" t="n">
        <f aca="false">ROUND(AI23*AJ23*AK23,2)</f>
        <v>370.2</v>
      </c>
      <c r="AO23" s="13" t="s">
        <v>366</v>
      </c>
      <c r="AP23" s="23" t="n">
        <f aca="false">AP16+AP17+38.95</f>
        <v>162.35</v>
      </c>
      <c r="AQ23" s="13" t="s">
        <v>367</v>
      </c>
    </row>
    <row r="24" customFormat="false" ht="15" hidden="false" customHeight="false" outlineLevel="0" collapsed="false">
      <c r="A24" s="0" t="s">
        <v>368</v>
      </c>
      <c r="B24" s="0" t="s">
        <v>269</v>
      </c>
      <c r="C24" s="21" t="n">
        <v>1</v>
      </c>
      <c r="D24" s="13" t="n">
        <f aca="false">$AP$16</f>
        <v>68</v>
      </c>
      <c r="E24" s="13" t="n">
        <f aca="false">$AP$20</f>
        <v>2.5</v>
      </c>
      <c r="F24" s="13" t="n">
        <f aca="false">$AP$7-($AP$9-$AP$10)</f>
        <v>2.05</v>
      </c>
      <c r="G24" s="22" t="n">
        <f aca="false">ROUND(C24*D24*E24*F24,1)</f>
        <v>348.5</v>
      </c>
      <c r="I24" s="13" t="s">
        <v>369</v>
      </c>
      <c r="J24" s="13" t="s">
        <v>247</v>
      </c>
      <c r="K24" s="21" t="n">
        <v>1</v>
      </c>
      <c r="L24" s="21" t="n">
        <v>7.05</v>
      </c>
      <c r="M24" s="21" t="n">
        <v>4.2</v>
      </c>
      <c r="N24" s="21" t="n">
        <v>1.1</v>
      </c>
      <c r="O24" s="22" t="n">
        <f aca="false">ROUND(K24*L24*M24*N24,2)</f>
        <v>32.57</v>
      </c>
      <c r="Q24" s="13" t="s">
        <v>370</v>
      </c>
      <c r="R24" s="13" t="s">
        <v>269</v>
      </c>
      <c r="S24" s="21" t="n">
        <v>1</v>
      </c>
      <c r="T24" s="13" t="n">
        <f aca="false">$AP$17</f>
        <v>55.4</v>
      </c>
      <c r="U24" s="21" t="n">
        <v>2</v>
      </c>
      <c r="V24" s="13" t="n">
        <f aca="false">$AP$19</f>
        <v>5.625</v>
      </c>
      <c r="W24" s="22" t="n">
        <f aca="false">ROUND(S24*T24*U24*V24,2)</f>
        <v>623.25</v>
      </c>
      <c r="Y24" s="13" t="s">
        <v>363</v>
      </c>
      <c r="Z24" s="13" t="s">
        <v>371</v>
      </c>
      <c r="AA24" s="21" t="n">
        <v>20</v>
      </c>
      <c r="AB24" s="21" t="n">
        <v>8</v>
      </c>
      <c r="AC24" s="21" t="n">
        <v>6.075</v>
      </c>
      <c r="AD24" s="13" t="n">
        <f aca="false">ROUND(AA24^2/162.162,3)</f>
        <v>2.467</v>
      </c>
      <c r="AE24" s="22" t="n">
        <f aca="false">ROUND(AB24*AC24*AD24,1)</f>
        <v>119.9</v>
      </c>
      <c r="AG24" s="13" t="s">
        <v>372</v>
      </c>
      <c r="AI24" s="21" t="n">
        <v>1</v>
      </c>
      <c r="AJ24" s="13" t="n">
        <f aca="false">$AP$22</f>
        <v>207</v>
      </c>
      <c r="AK24" s="13" t="n">
        <f aca="false">0.45+2*0.225</f>
        <v>0.9</v>
      </c>
      <c r="AM24" s="22" t="n">
        <f aca="false">ROUND(AI24*AJ24*AK24,2)</f>
        <v>186.3</v>
      </c>
    </row>
    <row r="25" customFormat="false" ht="15" hidden="false" customHeight="false" outlineLevel="0" collapsed="false">
      <c r="A25" s="0" t="s">
        <v>373</v>
      </c>
      <c r="B25" s="0" t="s">
        <v>269</v>
      </c>
      <c r="C25" s="21" t="n">
        <v>1</v>
      </c>
      <c r="D25" s="13" t="n">
        <f aca="false">$AP$17</f>
        <v>55.4</v>
      </c>
      <c r="E25" s="13" t="n">
        <f aca="false">$AP$20</f>
        <v>2.5</v>
      </c>
      <c r="F25" s="13" t="n">
        <f aca="false">$AP$7-($AP$9-$AP$10)</f>
        <v>2.05</v>
      </c>
      <c r="G25" s="22" t="n">
        <f aca="false">ROUND(C25*D25*E25*F25,1)</f>
        <v>283.9</v>
      </c>
      <c r="I25" s="13" t="s">
        <v>374</v>
      </c>
      <c r="J25" s="13" t="s">
        <v>256</v>
      </c>
      <c r="K25" s="21" t="n">
        <v>1</v>
      </c>
      <c r="L25" s="21" t="n">
        <v>30.2</v>
      </c>
      <c r="M25" s="21" t="n">
        <v>1</v>
      </c>
      <c r="N25" s="21" t="n">
        <v>1.1</v>
      </c>
      <c r="O25" s="22" t="n">
        <f aca="false">ROUND(K25*L25*M25*N25,2)</f>
        <v>33.22</v>
      </c>
      <c r="Q25" s="13" t="s">
        <v>375</v>
      </c>
      <c r="R25" s="13" t="s">
        <v>376</v>
      </c>
      <c r="S25" s="21" t="n">
        <v>1</v>
      </c>
      <c r="T25" s="21" t="n">
        <v>32.5</v>
      </c>
      <c r="U25" s="21" t="n">
        <v>1</v>
      </c>
      <c r="V25" s="21" t="n">
        <v>6.9</v>
      </c>
      <c r="W25" s="22" t="n">
        <f aca="false">ROUND(S25*T25*U25*V25,2)</f>
        <v>224.25</v>
      </c>
      <c r="Y25" s="13" t="s">
        <v>363</v>
      </c>
      <c r="Z25" s="13" t="s">
        <v>377</v>
      </c>
      <c r="AA25" s="21" t="n">
        <v>10</v>
      </c>
      <c r="AB25" s="21" t="n">
        <v>56</v>
      </c>
      <c r="AC25" s="21" t="n">
        <v>1.08</v>
      </c>
      <c r="AD25" s="13" t="n">
        <f aca="false">ROUND(AA25^2/162.162,3)</f>
        <v>0.617</v>
      </c>
      <c r="AE25" s="22" t="n">
        <f aca="false">ROUND(AB25*AC25*AD25,1)</f>
        <v>37.3</v>
      </c>
      <c r="AG25" s="13" t="s">
        <v>378</v>
      </c>
      <c r="AI25" s="21" t="n">
        <v>1</v>
      </c>
      <c r="AJ25" s="13" t="n">
        <f aca="false">K50*2*(L50+M50)+K51*2*(L51+M51)+K52*2*(L52+M52)+K53*2*(L53+M53)+K54*2*(L54+M54)+K55*2*(L55+M55)+K56*2*(L56+M56)+K57*2*(L57+M57)+K58*2*(L58+M58)+K59*2*(L59+M59)</f>
        <v>61</v>
      </c>
      <c r="AK25" s="13" t="n">
        <f aca="false">$AP$7-$AP$8</f>
        <v>2.3</v>
      </c>
      <c r="AM25" s="22" t="n">
        <f aca="false">ROUND(AI25*AJ25*AK25,2)</f>
        <v>140.3</v>
      </c>
    </row>
    <row r="26" customFormat="false" ht="15" hidden="false" customHeight="false" outlineLevel="0" collapsed="false">
      <c r="A26" s="0" t="s">
        <v>379</v>
      </c>
      <c r="B26" s="0" t="s">
        <v>380</v>
      </c>
      <c r="C26" s="21" t="n">
        <v>1</v>
      </c>
      <c r="D26" s="13" t="n">
        <f aca="false">$AP$22</f>
        <v>207</v>
      </c>
      <c r="E26" s="21" t="n">
        <v>0.45</v>
      </c>
      <c r="F26" s="13" t="n">
        <f aca="false">0.225+$AP$10</f>
        <v>0.275</v>
      </c>
      <c r="G26" s="22" t="n">
        <f aca="false">ROUND(C26*D26*E26*F26,1)</f>
        <v>25.6</v>
      </c>
      <c r="I26" s="13" t="s">
        <v>381</v>
      </c>
      <c r="J26" s="13" t="s">
        <v>265</v>
      </c>
      <c r="K26" s="21" t="n">
        <v>1</v>
      </c>
      <c r="L26" s="21" t="n">
        <v>4</v>
      </c>
      <c r="M26" s="21" t="n">
        <v>5.7</v>
      </c>
      <c r="N26" s="21" t="n">
        <v>0.6</v>
      </c>
      <c r="O26" s="22" t="n">
        <f aca="false">ROUND(K26*L26*M26*N26,2)</f>
        <v>13.68</v>
      </c>
      <c r="Q26" s="13" t="s">
        <v>382</v>
      </c>
      <c r="R26" s="13" t="s">
        <v>376</v>
      </c>
      <c r="S26" s="21" t="n">
        <v>1</v>
      </c>
      <c r="T26" s="21" t="n">
        <v>17</v>
      </c>
      <c r="U26" s="21" t="n">
        <v>1</v>
      </c>
      <c r="V26" s="21" t="n">
        <v>6.9</v>
      </c>
      <c r="W26" s="22" t="n">
        <f aca="false">ROUND(S26*T26*U26*V26,2)</f>
        <v>117.3</v>
      </c>
      <c r="Y26" s="13" t="s">
        <v>363</v>
      </c>
      <c r="Z26" s="13" t="s">
        <v>383</v>
      </c>
      <c r="AA26" s="21" t="n">
        <v>10</v>
      </c>
      <c r="AB26" s="21" t="n">
        <v>112</v>
      </c>
      <c r="AC26" s="21" t="n">
        <v>0.68</v>
      </c>
      <c r="AD26" s="13" t="n">
        <f aca="false">ROUND(AA26^2/162.162,3)</f>
        <v>0.617</v>
      </c>
      <c r="AE26" s="22" t="n">
        <f aca="false">ROUND(AB26*AC26*AD26,1)</f>
        <v>47</v>
      </c>
      <c r="AG26" s="10" t="s">
        <v>384</v>
      </c>
      <c r="AM26" s="25" t="n">
        <f aca="false">ROUND(SUM(AM12:AM25),0)</f>
        <v>1309</v>
      </c>
    </row>
    <row r="27" customFormat="false" ht="15" hidden="false" customHeight="false" outlineLevel="0" collapsed="false">
      <c r="A27" s="0" t="s">
        <v>385</v>
      </c>
      <c r="B27" s="0" t="s">
        <v>251</v>
      </c>
      <c r="C27" s="21" t="n">
        <v>1</v>
      </c>
      <c r="D27" s="21" t="n">
        <v>406</v>
      </c>
      <c r="E27" s="21" t="n">
        <v>0.2</v>
      </c>
      <c r="F27" s="21" t="n">
        <v>0.15</v>
      </c>
      <c r="G27" s="22" t="n">
        <f aca="false">ROUND(C27*D27*E27*F27,1)</f>
        <v>12.2</v>
      </c>
      <c r="I27" s="13" t="s">
        <v>386</v>
      </c>
      <c r="J27" s="13" t="s">
        <v>274</v>
      </c>
      <c r="K27" s="21" t="n">
        <v>1</v>
      </c>
      <c r="L27" s="21" t="n">
        <v>3</v>
      </c>
      <c r="M27" s="21" t="n">
        <v>4.5</v>
      </c>
      <c r="N27" s="21" t="n">
        <v>0.6</v>
      </c>
      <c r="O27" s="22" t="n">
        <f aca="false">ROUND(K27*L27*M27*N27,2)</f>
        <v>8.1</v>
      </c>
      <c r="Q27" s="13" t="s">
        <v>387</v>
      </c>
      <c r="R27" s="13" t="s">
        <v>388</v>
      </c>
      <c r="S27" s="21" t="n">
        <v>1</v>
      </c>
      <c r="T27" s="13" t="n">
        <f aca="false">2*5.45+2*0.3</f>
        <v>11.5</v>
      </c>
      <c r="U27" s="21" t="n">
        <v>1</v>
      </c>
      <c r="V27" s="21" t="n">
        <v>6.9</v>
      </c>
      <c r="W27" s="22" t="n">
        <f aca="false">ROUND(S27*T27*U27*V27,2)</f>
        <v>79.35</v>
      </c>
      <c r="Y27" s="13" t="s">
        <v>389</v>
      </c>
      <c r="Z27" s="13" t="s">
        <v>390</v>
      </c>
      <c r="AA27" s="21" t="n">
        <v>20</v>
      </c>
      <c r="AB27" s="21" t="n">
        <v>40</v>
      </c>
      <c r="AC27" s="21" t="n">
        <v>5.575</v>
      </c>
      <c r="AD27" s="13" t="n">
        <f aca="false">ROUND(AA27^2/162.162,3)</f>
        <v>2.467</v>
      </c>
      <c r="AE27" s="22" t="n">
        <f aca="false">ROUND(AB27*AC27*AD27,1)</f>
        <v>550.1</v>
      </c>
    </row>
    <row r="28" customFormat="false" ht="15" hidden="false" customHeight="false" outlineLevel="0" collapsed="false">
      <c r="A28" s="0" t="s">
        <v>391</v>
      </c>
      <c r="B28" s="0" t="s">
        <v>251</v>
      </c>
      <c r="C28" s="21" t="n">
        <v>1</v>
      </c>
      <c r="D28" s="21" t="n">
        <v>38.6</v>
      </c>
      <c r="E28" s="21" t="n">
        <v>0.2</v>
      </c>
      <c r="F28" s="21" t="n">
        <v>0.45</v>
      </c>
      <c r="G28" s="22" t="n">
        <f aca="false">ROUND(C28*D28*E28*F28,1)</f>
        <v>3.5</v>
      </c>
      <c r="I28" s="13" t="s">
        <v>392</v>
      </c>
      <c r="J28" s="13" t="s">
        <v>282</v>
      </c>
      <c r="K28" s="21" t="n">
        <v>1</v>
      </c>
      <c r="L28" s="21" t="n">
        <v>56.25</v>
      </c>
      <c r="M28" s="21" t="n">
        <v>1</v>
      </c>
      <c r="N28" s="21" t="n">
        <v>0.6</v>
      </c>
      <c r="O28" s="22" t="n">
        <f aca="false">ROUND(K28*L28*M28*N28,2)</f>
        <v>33.75</v>
      </c>
      <c r="Q28" s="13" t="s">
        <v>393</v>
      </c>
      <c r="R28" s="13" t="s">
        <v>394</v>
      </c>
      <c r="S28" s="21" t="n">
        <v>1</v>
      </c>
      <c r="T28" s="13" t="n">
        <f aca="false">2*5.45+2*0.3</f>
        <v>11.5</v>
      </c>
      <c r="U28" s="21" t="n">
        <v>1</v>
      </c>
      <c r="V28" s="21" t="n">
        <v>6.9</v>
      </c>
      <c r="W28" s="22" t="n">
        <f aca="false">ROUND(S28*T28*U28*V28,2)</f>
        <v>79.35</v>
      </c>
      <c r="Y28" s="13" t="s">
        <v>389</v>
      </c>
      <c r="Z28" s="13" t="s">
        <v>395</v>
      </c>
      <c r="AA28" s="21" t="n">
        <v>20</v>
      </c>
      <c r="AB28" s="21" t="n">
        <v>40</v>
      </c>
      <c r="AC28" s="21" t="n">
        <v>2.825</v>
      </c>
      <c r="AD28" s="13" t="n">
        <f aca="false">ROUND(AA28^2/162.162,3)</f>
        <v>2.467</v>
      </c>
      <c r="AE28" s="22" t="n">
        <f aca="false">ROUND(AB28*AC28*AD28,1)</f>
        <v>278.8</v>
      </c>
      <c r="AG28" s="11" t="s">
        <v>396</v>
      </c>
    </row>
    <row r="29" customFormat="false" ht="15" hidden="false" customHeight="false" outlineLevel="0" collapsed="false">
      <c r="A29" s="10" t="s">
        <v>397</v>
      </c>
      <c r="G29" s="24" t="n">
        <f aca="false">ROUND(SUM(G24:G28),0)</f>
        <v>674</v>
      </c>
      <c r="I29" s="13" t="s">
        <v>398</v>
      </c>
      <c r="J29" s="13" t="s">
        <v>290</v>
      </c>
      <c r="K29" s="21" t="n">
        <v>1</v>
      </c>
      <c r="L29" s="21" t="n">
        <v>41.98</v>
      </c>
      <c r="M29" s="21" t="n">
        <v>1</v>
      </c>
      <c r="N29" s="21" t="n">
        <v>0.6</v>
      </c>
      <c r="O29" s="22" t="n">
        <f aca="false">ROUND(K29*L29*M29*N29,2)</f>
        <v>25.19</v>
      </c>
      <c r="Q29" s="13" t="s">
        <v>399</v>
      </c>
      <c r="R29" s="13" t="s">
        <v>400</v>
      </c>
      <c r="S29" s="21" t="n">
        <v>1</v>
      </c>
      <c r="T29" s="13" t="n">
        <f aca="false">2*2.15+2*0.3</f>
        <v>4.9</v>
      </c>
      <c r="U29" s="21" t="n">
        <v>1</v>
      </c>
      <c r="V29" s="21" t="n">
        <v>6.9</v>
      </c>
      <c r="W29" s="22" t="n">
        <f aca="false">ROUND(S29*T29*U29*V29,2)</f>
        <v>33.81</v>
      </c>
      <c r="Y29" s="13" t="s">
        <v>389</v>
      </c>
      <c r="Z29" s="13" t="s">
        <v>401</v>
      </c>
      <c r="AA29" s="21" t="n">
        <v>10</v>
      </c>
      <c r="AB29" s="21" t="n">
        <v>280</v>
      </c>
      <c r="AC29" s="21" t="n">
        <v>1.08</v>
      </c>
      <c r="AD29" s="13" t="n">
        <f aca="false">ROUND(AA29^2/162.162,3)</f>
        <v>0.617</v>
      </c>
      <c r="AE29" s="22" t="n">
        <f aca="false">ROUND(AB29*AC29*AD29,1)</f>
        <v>186.6</v>
      </c>
      <c r="AG29" s="13" t="s">
        <v>402</v>
      </c>
      <c r="AH29" s="13" t="s">
        <v>269</v>
      </c>
      <c r="AI29" s="21" t="n">
        <v>1</v>
      </c>
      <c r="AJ29" s="13" t="n">
        <f aca="false">$AP$16+$AP$17</f>
        <v>123.4</v>
      </c>
      <c r="AK29" s="21" t="n">
        <v>1</v>
      </c>
      <c r="AM29" s="22" t="n">
        <f aca="false">ROUND(AI29*AJ29*AK29,0)</f>
        <v>123</v>
      </c>
    </row>
    <row r="30" customFormat="false" ht="15" hidden="false" customHeight="false" outlineLevel="0" collapsed="false">
      <c r="I30" s="0" t="s">
        <v>403</v>
      </c>
      <c r="J30" s="0" t="s">
        <v>298</v>
      </c>
      <c r="K30" s="21" t="n">
        <v>8</v>
      </c>
      <c r="L30" s="21" t="n">
        <v>2.4</v>
      </c>
      <c r="M30" s="21" t="n">
        <v>2.4</v>
      </c>
      <c r="N30" s="21" t="n">
        <v>0.4</v>
      </c>
      <c r="O30" s="22" t="n">
        <f aca="false">ROUND(K30*L30*M30*N30,2)</f>
        <v>18.43</v>
      </c>
      <c r="Q30" s="13" t="s">
        <v>404</v>
      </c>
      <c r="R30" s="13" t="s">
        <v>405</v>
      </c>
      <c r="S30" s="21" t="n">
        <v>1</v>
      </c>
      <c r="T30" s="13" t="n">
        <f aca="false">2*2.3+2*0.3</f>
        <v>5.2</v>
      </c>
      <c r="U30" s="21" t="n">
        <v>1</v>
      </c>
      <c r="V30" s="21" t="n">
        <v>6.9</v>
      </c>
      <c r="W30" s="22" t="n">
        <f aca="false">ROUND(S30*T30*U30*V30,2)</f>
        <v>35.88</v>
      </c>
      <c r="Y30" s="13" t="s">
        <v>389</v>
      </c>
      <c r="Z30" s="13" t="s">
        <v>406</v>
      </c>
      <c r="AA30" s="21" t="n">
        <v>10</v>
      </c>
      <c r="AB30" s="21" t="n">
        <v>560</v>
      </c>
      <c r="AC30" s="21" t="n">
        <v>0.68</v>
      </c>
      <c r="AD30" s="13" t="n">
        <f aca="false">ROUND(AA30^2/162.162,3)</f>
        <v>0.617</v>
      </c>
      <c r="AE30" s="22" t="n">
        <f aca="false">ROUND(AB30*AC30*AD30,1)</f>
        <v>235</v>
      </c>
    </row>
    <row r="31" customFormat="false" ht="15" hidden="false" customHeight="false" outlineLevel="0" collapsed="false">
      <c r="A31" s="11" t="s">
        <v>407</v>
      </c>
      <c r="I31" s="13" t="s">
        <v>408</v>
      </c>
      <c r="J31" s="13" t="s">
        <v>306</v>
      </c>
      <c r="K31" s="21" t="n">
        <v>9</v>
      </c>
      <c r="L31" s="21" t="n">
        <v>1.5</v>
      </c>
      <c r="M31" s="21" t="n">
        <v>1.5</v>
      </c>
      <c r="N31" s="21" t="n">
        <v>0.4</v>
      </c>
      <c r="O31" s="22" t="n">
        <f aca="false">ROUND(K31*L31*M31*N31,2)</f>
        <v>8.1</v>
      </c>
      <c r="Q31" s="13" t="s">
        <v>409</v>
      </c>
      <c r="R31" s="13" t="s">
        <v>410</v>
      </c>
      <c r="S31" s="21" t="n">
        <v>1</v>
      </c>
      <c r="T31" s="13" t="n">
        <f aca="false">2*1.85+2*0.3</f>
        <v>4.3</v>
      </c>
      <c r="U31" s="21" t="n">
        <v>1</v>
      </c>
      <c r="V31" s="21" t="n">
        <v>6.75</v>
      </c>
      <c r="W31" s="22" t="n">
        <f aca="false">ROUND(S31*T31*U31*V31,2)</f>
        <v>29.03</v>
      </c>
      <c r="Y31" s="13" t="s">
        <v>411</v>
      </c>
      <c r="Z31" s="13" t="s">
        <v>259</v>
      </c>
      <c r="AA31" s="21" t="n">
        <v>25</v>
      </c>
      <c r="AB31" s="21" t="n">
        <v>16</v>
      </c>
      <c r="AC31" s="21" t="n">
        <v>5.575</v>
      </c>
      <c r="AD31" s="13" t="n">
        <f aca="false">ROUND(AA31^2/162.162,3)</f>
        <v>3.854</v>
      </c>
      <c r="AE31" s="22" t="n">
        <f aca="false">ROUND(AB31*AC31*AD31,1)</f>
        <v>343.8</v>
      </c>
    </row>
    <row r="32" customFormat="false" ht="15" hidden="false" customHeight="false" outlineLevel="0" collapsed="false">
      <c r="A32" s="0" t="s">
        <v>412</v>
      </c>
      <c r="B32" s="0" t="s">
        <v>413</v>
      </c>
      <c r="C32" s="21" t="n">
        <v>1</v>
      </c>
      <c r="D32" s="13" t="n">
        <f aca="false">$AP$16+$AP$17</f>
        <v>123.4</v>
      </c>
      <c r="E32" s="21" t="n">
        <v>1</v>
      </c>
      <c r="F32" s="13" t="n">
        <f aca="false">$AP$3-($AP$9-$AP$10)</f>
        <v>5</v>
      </c>
      <c r="G32" s="22" t="n">
        <f aca="false">ROUND(C32*D32*E32*F32,0)</f>
        <v>617</v>
      </c>
      <c r="I32" s="10" t="s">
        <v>414</v>
      </c>
      <c r="O32" s="24" t="n">
        <f aca="false">ROUND(SUM(O21:O31),1)</f>
        <v>281.5</v>
      </c>
      <c r="Q32" s="10" t="s">
        <v>415</v>
      </c>
      <c r="W32" s="24" t="n">
        <f aca="false">ROUND(SUM(W23:W31),0)</f>
        <v>1668</v>
      </c>
      <c r="Y32" s="13" t="s">
        <v>411</v>
      </c>
      <c r="Z32" s="13" t="s">
        <v>267</v>
      </c>
      <c r="AA32" s="21" t="n">
        <v>25</v>
      </c>
      <c r="AB32" s="21" t="n">
        <v>16</v>
      </c>
      <c r="AC32" s="21" t="n">
        <v>6.1</v>
      </c>
      <c r="AD32" s="13" t="n">
        <f aca="false">ROUND(AA32^2/162.162,3)</f>
        <v>3.854</v>
      </c>
      <c r="AE32" s="22" t="n">
        <f aca="false">ROUND(AB32*AC32*AD32,1)</f>
        <v>376.2</v>
      </c>
    </row>
    <row r="33" customFormat="false" ht="15" hidden="false" customHeight="false" outlineLevel="0" collapsed="false">
      <c r="A33" s="0" t="s">
        <v>416</v>
      </c>
      <c r="B33" s="0" t="s">
        <v>417</v>
      </c>
      <c r="C33" s="21" t="n">
        <v>1</v>
      </c>
      <c r="D33" s="13" t="n">
        <f aca="false">$AP$23</f>
        <v>162.35</v>
      </c>
      <c r="E33" s="21" t="n">
        <v>1</v>
      </c>
      <c r="F33" s="13" t="n">
        <f aca="false">$AP$3-($AP$9-$AP$10)</f>
        <v>5</v>
      </c>
      <c r="G33" s="22" t="n">
        <f aca="false">ROUND(C33*D33*E33*F33,0)</f>
        <v>812</v>
      </c>
      <c r="Y33" s="13" t="s">
        <v>411</v>
      </c>
      <c r="Z33" s="13" t="s">
        <v>322</v>
      </c>
      <c r="AA33" s="21" t="n">
        <v>10</v>
      </c>
      <c r="AB33" s="21" t="n">
        <v>44</v>
      </c>
      <c r="AC33" s="21" t="n">
        <v>1.88</v>
      </c>
      <c r="AD33" s="13" t="n">
        <f aca="false">ROUND(AA33^2/162.162,3)</f>
        <v>0.617</v>
      </c>
      <c r="AE33" s="22" t="n">
        <f aca="false">ROUND(AB33*AC33*AD33,1)</f>
        <v>51</v>
      </c>
    </row>
    <row r="34" customFormat="false" ht="15" hidden="false" customHeight="false" outlineLevel="0" collapsed="false">
      <c r="A34" s="11" t="s">
        <v>418</v>
      </c>
      <c r="I34" s="13" t="s">
        <v>419</v>
      </c>
      <c r="O34" s="13" t="n">
        <f aca="false">K21+K22+K23+K24+K25+K26+K27+K28+K29+K30+K31</f>
        <v>28</v>
      </c>
      <c r="Q34" s="11" t="s">
        <v>420</v>
      </c>
      <c r="Y34" s="13" t="s">
        <v>411</v>
      </c>
      <c r="Z34" s="13" t="s">
        <v>329</v>
      </c>
      <c r="AA34" s="21" t="n">
        <v>10</v>
      </c>
      <c r="AB34" s="21" t="n">
        <v>132</v>
      </c>
      <c r="AC34" s="21" t="n">
        <v>1.32</v>
      </c>
      <c r="AD34" s="13" t="n">
        <f aca="false">ROUND(AA34^2/162.162,3)</f>
        <v>0.617</v>
      </c>
      <c r="AE34" s="22" t="n">
        <f aca="false">ROUND(AB34*AC34*AD34,1)</f>
        <v>107.5</v>
      </c>
    </row>
    <row r="35" customFormat="false" ht="15" hidden="false" customHeight="false" outlineLevel="0" collapsed="false">
      <c r="A35" s="0" t="s">
        <v>421</v>
      </c>
      <c r="B35" s="0" t="s">
        <v>422</v>
      </c>
      <c r="C35" s="21" t="n">
        <v>1</v>
      </c>
      <c r="G35" s="26" t="n">
        <f aca="false">ROUND(G21+G29-(O18+O32+O39+O42+O113+O75),0)</f>
        <v>1227</v>
      </c>
      <c r="Q35" s="13" t="s">
        <v>423</v>
      </c>
      <c r="R35" s="13" t="s">
        <v>424</v>
      </c>
      <c r="S35" s="21" t="n">
        <v>6</v>
      </c>
      <c r="T35" s="13" t="n">
        <f aca="false">2*(0.5+0.5)</f>
        <v>2</v>
      </c>
      <c r="U35" s="21" t="n">
        <v>1</v>
      </c>
      <c r="V35" s="21" t="n">
        <v>6.825</v>
      </c>
      <c r="W35" s="22" t="n">
        <f aca="false">ROUND(S35*T35*U35*V35,2)</f>
        <v>81.9</v>
      </c>
      <c r="Y35" s="13" t="s">
        <v>425</v>
      </c>
      <c r="Z35" s="13" t="s">
        <v>426</v>
      </c>
      <c r="AA35" s="21" t="n">
        <v>20</v>
      </c>
      <c r="AB35" s="21" t="n">
        <v>120</v>
      </c>
      <c r="AC35" s="21" t="n">
        <v>5.575</v>
      </c>
      <c r="AD35" s="13" t="n">
        <f aca="false">ROUND(AA35^2/162.162,3)</f>
        <v>2.467</v>
      </c>
      <c r="AE35" s="22" t="n">
        <f aca="false">ROUND(AB35*AC35*AD35,1)</f>
        <v>1650.4</v>
      </c>
    </row>
    <row r="36" customFormat="false" ht="15" hidden="false" customHeight="false" outlineLevel="0" collapsed="false">
      <c r="A36" s="0" t="s">
        <v>427</v>
      </c>
      <c r="B36" s="0" t="s">
        <v>428</v>
      </c>
      <c r="C36" s="21" t="n">
        <v>1</v>
      </c>
      <c r="G36" s="26" t="n">
        <f aca="false">ROUND(G8+G21+G29-G35,0)</f>
        <v>5320</v>
      </c>
      <c r="I36" s="11" t="s">
        <v>429</v>
      </c>
      <c r="Q36" s="13" t="s">
        <v>430</v>
      </c>
      <c r="R36" s="13" t="s">
        <v>431</v>
      </c>
      <c r="S36" s="21" t="n">
        <v>1</v>
      </c>
      <c r="T36" s="13" t="n">
        <f aca="false">2*(0.8+0.3)</f>
        <v>2.2</v>
      </c>
      <c r="U36" s="21" t="n">
        <v>1</v>
      </c>
      <c r="V36" s="21" t="n">
        <v>6.075</v>
      </c>
      <c r="W36" s="22" t="n">
        <f aca="false">ROUND(S36*T36*U36*V36,2)</f>
        <v>13.37</v>
      </c>
      <c r="Y36" s="13" t="s">
        <v>425</v>
      </c>
      <c r="Z36" s="13" t="s">
        <v>432</v>
      </c>
      <c r="AA36" s="21" t="n">
        <v>20</v>
      </c>
      <c r="AB36" s="21" t="n">
        <v>120</v>
      </c>
      <c r="AC36" s="21" t="n">
        <v>2.825</v>
      </c>
      <c r="AD36" s="13" t="n">
        <f aca="false">ROUND(AA36^2/162.162,3)</f>
        <v>2.467</v>
      </c>
      <c r="AE36" s="22" t="n">
        <f aca="false">ROUND(AB36*AC36*AD36,1)</f>
        <v>836.3</v>
      </c>
    </row>
    <row r="37" customFormat="false" ht="15" hidden="false" customHeight="false" outlineLevel="0" collapsed="false">
      <c r="A37" s="0" t="s">
        <v>433</v>
      </c>
      <c r="B37" s="0" t="s">
        <v>434</v>
      </c>
      <c r="C37" s="21" t="n">
        <v>1</v>
      </c>
      <c r="D37" s="13" t="n">
        <f aca="false">$AP$14</f>
        <v>1540.1225</v>
      </c>
      <c r="E37" s="21" t="n">
        <v>1</v>
      </c>
      <c r="F37" s="13" t="n">
        <f aca="false">$AP$6</f>
        <v>0.15</v>
      </c>
      <c r="G37" s="22" t="n">
        <f aca="false">ROUND(C37*D37*E37*F37,0)</f>
        <v>231</v>
      </c>
      <c r="I37" s="13" t="s">
        <v>435</v>
      </c>
      <c r="J37" s="13" t="s">
        <v>436</v>
      </c>
      <c r="K37" s="21" t="n">
        <v>1</v>
      </c>
      <c r="L37" s="13" t="n">
        <f aca="false">$AP$16</f>
        <v>68</v>
      </c>
      <c r="M37" s="13" t="n">
        <f aca="false">$AP$20</f>
        <v>2.5</v>
      </c>
      <c r="N37" s="13" t="n">
        <f aca="false">$AP$21</f>
        <v>0.4</v>
      </c>
      <c r="O37" s="22" t="n">
        <f aca="false">ROUND(K37*L37*M37*N37,2)</f>
        <v>68</v>
      </c>
      <c r="Q37" s="13" t="s">
        <v>437</v>
      </c>
      <c r="R37" s="13" t="s">
        <v>438</v>
      </c>
      <c r="S37" s="21" t="n">
        <v>1</v>
      </c>
      <c r="T37" s="13" t="n">
        <f aca="false">2*(0.5+0.5)</f>
        <v>2</v>
      </c>
      <c r="U37" s="21" t="n">
        <v>1</v>
      </c>
      <c r="V37" s="21" t="n">
        <v>6.825</v>
      </c>
      <c r="W37" s="22" t="n">
        <f aca="false">ROUND(S37*T37*U37*V37,2)</f>
        <v>13.65</v>
      </c>
      <c r="Y37" s="13" t="s">
        <v>425</v>
      </c>
      <c r="Z37" s="13" t="s">
        <v>439</v>
      </c>
      <c r="AA37" s="21" t="n">
        <v>10</v>
      </c>
      <c r="AB37" s="21" t="n">
        <v>560</v>
      </c>
      <c r="AC37" s="21" t="n">
        <v>1.88</v>
      </c>
      <c r="AD37" s="13" t="n">
        <f aca="false">ROUND(AA37^2/162.162,3)</f>
        <v>0.617</v>
      </c>
      <c r="AE37" s="22" t="n">
        <f aca="false">ROUND(AB37*AC37*AD37,1)</f>
        <v>649.6</v>
      </c>
    </row>
    <row r="38" customFormat="false" ht="15" hidden="false" customHeight="false" outlineLevel="0" collapsed="false">
      <c r="A38" s="0" t="s">
        <v>440</v>
      </c>
      <c r="B38" s="0" t="s">
        <v>441</v>
      </c>
      <c r="C38" s="21" t="n">
        <v>1</v>
      </c>
      <c r="G38" s="22" t="n">
        <f aca="false">ROUND(C10*D10*E10+C11*D11*E11+C12*D12*E12+C13*D13*E13+C14*D14*E14+C15*D15*E15+C16*D16*E16+C17*D17*E17+C18*D18*E18+C19*D19*E19+C20*D20*E20+($AP$16+$AP$17)*$AP$20+$AP$22*0.45,0)</f>
        <v>761</v>
      </c>
      <c r="I38" s="13" t="s">
        <v>442</v>
      </c>
      <c r="J38" s="13" t="s">
        <v>436</v>
      </c>
      <c r="K38" s="21" t="n">
        <v>1</v>
      </c>
      <c r="L38" s="13" t="n">
        <f aca="false">$AP$17</f>
        <v>55.4</v>
      </c>
      <c r="M38" s="13" t="n">
        <f aca="false">$AP$20</f>
        <v>2.5</v>
      </c>
      <c r="N38" s="13" t="n">
        <f aca="false">$AP$21</f>
        <v>0.4</v>
      </c>
      <c r="O38" s="22" t="n">
        <f aca="false">ROUND(K38*L38*M38*N38,2)</f>
        <v>55.4</v>
      </c>
      <c r="Q38" s="13" t="s">
        <v>443</v>
      </c>
      <c r="R38" s="13" t="s">
        <v>444</v>
      </c>
      <c r="S38" s="21" t="n">
        <v>7</v>
      </c>
      <c r="T38" s="13" t="n">
        <f aca="false">2*(0.4+0.4)</f>
        <v>1.6</v>
      </c>
      <c r="U38" s="21" t="n">
        <v>1</v>
      </c>
      <c r="V38" s="21" t="n">
        <v>6.075</v>
      </c>
      <c r="W38" s="22" t="n">
        <f aca="false">ROUND(S38*T38*U38*V38,2)</f>
        <v>68.04</v>
      </c>
      <c r="Y38" s="13" t="s">
        <v>425</v>
      </c>
      <c r="Z38" s="13" t="s">
        <v>445</v>
      </c>
      <c r="AA38" s="21" t="n">
        <v>10</v>
      </c>
      <c r="AB38" s="21" t="n">
        <v>560</v>
      </c>
      <c r="AC38" s="21" t="n">
        <v>1.37</v>
      </c>
      <c r="AD38" s="13" t="n">
        <f aca="false">ROUND(AA38^2/162.162,3)</f>
        <v>0.617</v>
      </c>
      <c r="AE38" s="22" t="n">
        <f aca="false">ROUND(AB38*AC38*AD38,1)</f>
        <v>473.4</v>
      </c>
    </row>
    <row r="39" customFormat="false" ht="15" hidden="false" customHeight="false" outlineLevel="0" collapsed="false">
      <c r="A39" s="0" t="s">
        <v>446</v>
      </c>
      <c r="B39" s="0" t="s">
        <v>447</v>
      </c>
      <c r="C39" s="21" t="n">
        <v>1</v>
      </c>
      <c r="D39" s="13" t="n">
        <f aca="false">$AP$14</f>
        <v>1540.1225</v>
      </c>
      <c r="E39" s="21" t="n">
        <v>1</v>
      </c>
      <c r="G39" s="22" t="n">
        <f aca="false">ROUND(C39*D39*E39,0)</f>
        <v>1540</v>
      </c>
      <c r="I39" s="10" t="s">
        <v>448</v>
      </c>
      <c r="O39" s="24" t="n">
        <f aca="false">ROUND(SUM(O37:O38),1)</f>
        <v>123.4</v>
      </c>
      <c r="Q39" s="13" t="s">
        <v>449</v>
      </c>
      <c r="R39" s="13" t="s">
        <v>438</v>
      </c>
      <c r="S39" s="21" t="n">
        <v>1</v>
      </c>
      <c r="T39" s="13" t="n">
        <f aca="false">2*(0.4+0.4)</f>
        <v>1.6</v>
      </c>
      <c r="U39" s="21" t="n">
        <v>1</v>
      </c>
      <c r="V39" s="21" t="n">
        <v>6.075</v>
      </c>
      <c r="W39" s="22" t="n">
        <f aca="false">ROUND(S39*T39*U39*V39,2)</f>
        <v>9.72</v>
      </c>
      <c r="Y39" s="13" t="s">
        <v>425</v>
      </c>
      <c r="Z39" s="13" t="s">
        <v>450</v>
      </c>
      <c r="AA39" s="21" t="n">
        <v>10</v>
      </c>
      <c r="AB39" s="21" t="n">
        <v>560</v>
      </c>
      <c r="AC39" s="21" t="n">
        <v>1.06</v>
      </c>
      <c r="AD39" s="13" t="n">
        <f aca="false">ROUND(AA39^2/162.162,3)</f>
        <v>0.617</v>
      </c>
      <c r="AE39" s="22" t="n">
        <f aca="false">ROUND(AB39*AC39*AD39,1)</f>
        <v>366.3</v>
      </c>
    </row>
    <row r="40" customFormat="false" ht="15" hidden="false" customHeight="false" outlineLevel="0" collapsed="false">
      <c r="A40" s="0" t="s">
        <v>451</v>
      </c>
      <c r="B40" s="0" t="s">
        <v>447</v>
      </c>
      <c r="C40" s="21" t="n">
        <v>1</v>
      </c>
      <c r="D40" s="13" t="n">
        <f aca="false">$AP$14</f>
        <v>1540.1225</v>
      </c>
      <c r="E40" s="21" t="n">
        <v>1</v>
      </c>
      <c r="G40" s="22" t="n">
        <f aca="false">ROUND(C40*D40*E40,0)</f>
        <v>1540</v>
      </c>
      <c r="Q40" s="13" t="s">
        <v>452</v>
      </c>
      <c r="R40" s="13" t="s">
        <v>453</v>
      </c>
      <c r="S40" s="21" t="n">
        <v>5</v>
      </c>
      <c r="T40" s="13" t="n">
        <f aca="false">2*(0.3+0.3)</f>
        <v>1.2</v>
      </c>
      <c r="U40" s="21" t="n">
        <v>1</v>
      </c>
      <c r="V40" s="21" t="n">
        <v>6.075</v>
      </c>
      <c r="W40" s="22" t="n">
        <f aca="false">ROUND(S40*T40*U40*V40,2)</f>
        <v>36.45</v>
      </c>
      <c r="Y40" s="13" t="s">
        <v>454</v>
      </c>
      <c r="Z40" s="13" t="s">
        <v>455</v>
      </c>
      <c r="AA40" s="21" t="n">
        <v>20</v>
      </c>
      <c r="AB40" s="21" t="n">
        <v>12</v>
      </c>
      <c r="AC40" s="21" t="n">
        <v>5.575</v>
      </c>
      <c r="AD40" s="13" t="n">
        <f aca="false">ROUND(AA40^2/162.162,3)</f>
        <v>2.467</v>
      </c>
      <c r="AE40" s="22" t="n">
        <f aca="false">ROUND(AB40*AC40*AD40,1)</f>
        <v>165</v>
      </c>
    </row>
    <row r="41" customFormat="false" ht="15" hidden="false" customHeight="false" outlineLevel="0" collapsed="false">
      <c r="A41" s="11" t="s">
        <v>456</v>
      </c>
      <c r="I41" s="13" t="s">
        <v>457</v>
      </c>
      <c r="J41" s="13" t="s">
        <v>458</v>
      </c>
      <c r="K41" s="21" t="n">
        <v>1</v>
      </c>
      <c r="L41" s="13" t="n">
        <f aca="false">$AP$22</f>
        <v>207</v>
      </c>
      <c r="M41" s="21" t="n">
        <v>0.45</v>
      </c>
      <c r="N41" s="21" t="n">
        <v>0.225</v>
      </c>
      <c r="O41" s="22" t="n">
        <f aca="false">ROUND(K41*L41*M41*N41,2)</f>
        <v>20.96</v>
      </c>
      <c r="Q41" s="13" t="s">
        <v>459</v>
      </c>
      <c r="R41" s="13" t="s">
        <v>460</v>
      </c>
      <c r="S41" s="21" t="n">
        <v>1</v>
      </c>
      <c r="T41" s="13" t="n">
        <f aca="false">2*(0.5+0.5)</f>
        <v>2</v>
      </c>
      <c r="U41" s="21" t="n">
        <v>1</v>
      </c>
      <c r="V41" s="21" t="n">
        <v>6.825</v>
      </c>
      <c r="W41" s="22" t="n">
        <f aca="false">ROUND(S41*T41*U41*V41,2)</f>
        <v>13.65</v>
      </c>
      <c r="Y41" s="13" t="s">
        <v>454</v>
      </c>
      <c r="Z41" s="13" t="s">
        <v>461</v>
      </c>
      <c r="AA41" s="21" t="n">
        <v>10</v>
      </c>
      <c r="AB41" s="21" t="n">
        <v>24</v>
      </c>
      <c r="AC41" s="21" t="n">
        <v>1.88</v>
      </c>
      <c r="AD41" s="13" t="n">
        <f aca="false">ROUND(AA41^2/162.162,3)</f>
        <v>0.617</v>
      </c>
      <c r="AE41" s="22" t="n">
        <f aca="false">ROUND(AB41*AC41*AD41,1)</f>
        <v>27.8</v>
      </c>
    </row>
    <row r="42" customFormat="false" ht="15" hidden="false" customHeight="false" outlineLevel="0" collapsed="false">
      <c r="A42" s="0" t="s">
        <v>462</v>
      </c>
      <c r="G42" s="0" t="n">
        <f aca="false">C10*D10*E10+C11*D11*E11+C12*D12*E12+C13*D13*E13+C14*D14*E14+C15*D15*E15+C16*D16*E16+C17*D17*E17+C18*D18*E18+C19*D19*E19+C20*D20*E20-(K21*L21*M21+K22*L22*M22+K23*L23*M23+K24*L24*M24+K25*L25*M25+K26*L26*M26+K27*L27*M27+K28*L28*M28+K29*L29*M29+K30*L30*M30+K31*L31*M31)</f>
        <v>0</v>
      </c>
      <c r="I42" s="10" t="s">
        <v>463</v>
      </c>
      <c r="O42" s="24" t="n">
        <f aca="false">ROUND(SUM(O41:O41),1)</f>
        <v>21</v>
      </c>
      <c r="Q42" s="13" t="s">
        <v>464</v>
      </c>
      <c r="R42" s="13" t="s">
        <v>465</v>
      </c>
      <c r="S42" s="21" t="n">
        <v>10</v>
      </c>
      <c r="T42" s="13" t="n">
        <f aca="false">2*(0.7+0.3)</f>
        <v>2</v>
      </c>
      <c r="U42" s="21" t="n">
        <v>1</v>
      </c>
      <c r="V42" s="21" t="n">
        <v>6.075</v>
      </c>
      <c r="W42" s="22" t="n">
        <f aca="false">ROUND(S42*T42*U42*V42,2)</f>
        <v>121.5</v>
      </c>
      <c r="Y42" s="13" t="s">
        <v>454</v>
      </c>
      <c r="Z42" s="13" t="s">
        <v>466</v>
      </c>
      <c r="AA42" s="21" t="n">
        <v>10</v>
      </c>
      <c r="AB42" s="21" t="n">
        <v>24</v>
      </c>
      <c r="AC42" s="21" t="n">
        <v>1.37</v>
      </c>
      <c r="AD42" s="13" t="n">
        <f aca="false">ROUND(AA42^2/162.162,3)</f>
        <v>0.617</v>
      </c>
      <c r="AE42" s="22" t="n">
        <f aca="false">ROUND(AB42*AC42*AD42,1)</f>
        <v>20.3</v>
      </c>
    </row>
    <row r="43" customFormat="false" ht="15" hidden="false" customHeight="false" outlineLevel="0" collapsed="false">
      <c r="A43" s="0" t="s">
        <v>467</v>
      </c>
      <c r="G43" s="0" t="n">
        <f aca="false">$AP$10</f>
        <v>0.05</v>
      </c>
      <c r="Q43" s="0" t="s">
        <v>468</v>
      </c>
      <c r="R43" s="0" t="s">
        <v>469</v>
      </c>
      <c r="S43" s="21" t="n">
        <v>1</v>
      </c>
      <c r="T43" s="13" t="n">
        <f aca="false">2*(0.7+0.3)</f>
        <v>2</v>
      </c>
      <c r="U43" s="21" t="n">
        <v>1</v>
      </c>
      <c r="V43" s="21" t="n">
        <v>2.6</v>
      </c>
      <c r="W43" s="22" t="n">
        <f aca="false">ROUND(S43*T43*U43*V43,2)</f>
        <v>5.2</v>
      </c>
      <c r="Y43" s="13" t="s">
        <v>454</v>
      </c>
      <c r="Z43" s="13" t="s">
        <v>470</v>
      </c>
      <c r="AA43" s="21" t="n">
        <v>10</v>
      </c>
      <c r="AB43" s="21" t="n">
        <v>24</v>
      </c>
      <c r="AC43" s="21" t="n">
        <v>1.06</v>
      </c>
      <c r="AD43" s="13" t="n">
        <f aca="false">ROUND(AA43^2/162.162,3)</f>
        <v>0.617</v>
      </c>
      <c r="AE43" s="22" t="n">
        <f aca="false">ROUND(AB43*AC43*AD43,1)</f>
        <v>15.7</v>
      </c>
    </row>
    <row r="44" customFormat="false" ht="15" hidden="false" customHeight="false" outlineLevel="0" collapsed="false">
      <c r="I44" s="11" t="s">
        <v>471</v>
      </c>
      <c r="Q44" s="13" t="s">
        <v>472</v>
      </c>
      <c r="R44" s="13" t="s">
        <v>469</v>
      </c>
      <c r="S44" s="21" t="n">
        <v>1</v>
      </c>
      <c r="T44" s="13" t="n">
        <f aca="false">2*(0.7+0.3)</f>
        <v>2</v>
      </c>
      <c r="U44" s="21" t="n">
        <v>1</v>
      </c>
      <c r="V44" s="21" t="n">
        <v>2.6</v>
      </c>
      <c r="W44" s="22" t="n">
        <f aca="false">ROUND(S44*T44*U44*V44,2)</f>
        <v>5.2</v>
      </c>
      <c r="Y44" s="13" t="s">
        <v>473</v>
      </c>
      <c r="Z44" s="13" t="s">
        <v>474</v>
      </c>
      <c r="AA44" s="21" t="n">
        <v>20</v>
      </c>
      <c r="AB44" s="21" t="n">
        <v>12</v>
      </c>
      <c r="AC44" s="21" t="n">
        <v>5.575</v>
      </c>
      <c r="AD44" s="13" t="n">
        <f aca="false">ROUND(AA44^2/162.162,3)</f>
        <v>2.467</v>
      </c>
      <c r="AE44" s="22" t="n">
        <f aca="false">ROUND(AB44*AC44*AD44,1)</f>
        <v>165</v>
      </c>
    </row>
    <row r="45" customFormat="false" ht="15" hidden="false" customHeight="false" outlineLevel="0" collapsed="false">
      <c r="I45" s="0" t="s">
        <v>475</v>
      </c>
      <c r="J45" s="0" t="s">
        <v>476</v>
      </c>
      <c r="K45" s="21" t="n">
        <v>1</v>
      </c>
      <c r="L45" s="13" t="n">
        <f aca="false">$AP$16-10*0.7</f>
        <v>61</v>
      </c>
      <c r="M45" s="21" t="n">
        <v>0.3</v>
      </c>
      <c r="N45" s="13" t="n">
        <f aca="false">$AP$18</f>
        <v>3.65</v>
      </c>
      <c r="O45" s="22" t="n">
        <f aca="false">ROUND(K45*L45*M45*N45,2)</f>
        <v>66.8</v>
      </c>
      <c r="Q45" s="10" t="s">
        <v>477</v>
      </c>
      <c r="W45" s="24" t="n">
        <f aca="false">ROUND(SUM(W35:W44),0)</f>
        <v>369</v>
      </c>
      <c r="Y45" s="13" t="s">
        <v>473</v>
      </c>
      <c r="Z45" s="13" t="s">
        <v>461</v>
      </c>
      <c r="AA45" s="21" t="n">
        <v>10</v>
      </c>
      <c r="AB45" s="21" t="n">
        <v>24</v>
      </c>
      <c r="AC45" s="21" t="n">
        <v>1.88</v>
      </c>
      <c r="AD45" s="13" t="n">
        <f aca="false">ROUND(AA45^2/162.162,3)</f>
        <v>0.617</v>
      </c>
      <c r="AE45" s="22" t="n">
        <f aca="false">ROUND(AB45*AC45*AD45,1)</f>
        <v>27.8</v>
      </c>
    </row>
    <row r="46" customFormat="false" ht="15" hidden="false" customHeight="false" outlineLevel="0" collapsed="false">
      <c r="I46" s="0" t="s">
        <v>478</v>
      </c>
      <c r="J46" s="0" t="s">
        <v>269</v>
      </c>
      <c r="K46" s="21" t="n">
        <v>1</v>
      </c>
      <c r="L46" s="13" t="n">
        <f aca="false">$AP$17</f>
        <v>55.4</v>
      </c>
      <c r="M46" s="21" t="n">
        <v>0.3</v>
      </c>
      <c r="N46" s="13" t="n">
        <f aca="false">$AP$19</f>
        <v>5.625</v>
      </c>
      <c r="O46" s="22" t="n">
        <f aca="false">ROUND(K46*L46*M46*N46,2)</f>
        <v>93.49</v>
      </c>
      <c r="Y46" s="13" t="s">
        <v>473</v>
      </c>
      <c r="Z46" s="13" t="s">
        <v>466</v>
      </c>
      <c r="AA46" s="21" t="n">
        <v>10</v>
      </c>
      <c r="AB46" s="21" t="n">
        <v>24</v>
      </c>
      <c r="AC46" s="21" t="n">
        <v>1.37</v>
      </c>
      <c r="AD46" s="13" t="n">
        <f aca="false">ROUND(AA46^2/162.162,3)</f>
        <v>0.617</v>
      </c>
      <c r="AE46" s="22" t="n">
        <f aca="false">ROUND(AB46*AC46*AD46,1)</f>
        <v>20.3</v>
      </c>
    </row>
    <row r="47" customFormat="false" ht="15" hidden="false" customHeight="false" outlineLevel="0" collapsed="false">
      <c r="I47" s="10" t="s">
        <v>479</v>
      </c>
      <c r="O47" s="24" t="n">
        <f aca="false">ROUND(SUM(O45:O46),1)</f>
        <v>160.3</v>
      </c>
      <c r="Q47" s="11" t="s">
        <v>480</v>
      </c>
      <c r="Y47" s="13" t="s">
        <v>473</v>
      </c>
      <c r="Z47" s="13" t="s">
        <v>470</v>
      </c>
      <c r="AA47" s="21" t="n">
        <v>10</v>
      </c>
      <c r="AB47" s="21" t="n">
        <v>24</v>
      </c>
      <c r="AC47" s="21" t="n">
        <v>1.06</v>
      </c>
      <c r="AD47" s="13" t="n">
        <f aca="false">ROUND(AA47^2/162.162,3)</f>
        <v>0.617</v>
      </c>
      <c r="AE47" s="22" t="n">
        <f aca="false">ROUND(AB47*AC47*AD47,1)</f>
        <v>15.7</v>
      </c>
    </row>
    <row r="48" customFormat="false" ht="15" hidden="false" customHeight="false" outlineLevel="0" collapsed="false">
      <c r="Q48" s="0" t="s">
        <v>481</v>
      </c>
      <c r="R48" s="0" t="s">
        <v>251</v>
      </c>
      <c r="S48" s="21" t="n">
        <v>1</v>
      </c>
      <c r="T48" s="21" t="n">
        <v>406</v>
      </c>
      <c r="U48" s="21" t="n">
        <v>2</v>
      </c>
      <c r="V48" s="21" t="n">
        <v>0.15</v>
      </c>
      <c r="W48" s="22" t="n">
        <f aca="false">ROUND(S48*T48*U48*V48,2)</f>
        <v>121.8</v>
      </c>
      <c r="Y48" s="10" t="s">
        <v>482</v>
      </c>
      <c r="AE48" s="27" t="n">
        <f aca="false">ROUND(SUM(AE5:AE47),1)</f>
        <v>16293.7</v>
      </c>
    </row>
    <row r="49" customFormat="false" ht="15" hidden="false" customHeight="false" outlineLevel="0" collapsed="false">
      <c r="I49" s="11" t="s">
        <v>483</v>
      </c>
      <c r="Q49" s="13" t="s">
        <v>484</v>
      </c>
      <c r="R49" s="13" t="s">
        <v>251</v>
      </c>
      <c r="S49" s="21" t="n">
        <v>1</v>
      </c>
      <c r="T49" s="21" t="n">
        <v>38.6</v>
      </c>
      <c r="U49" s="21" t="n">
        <v>2</v>
      </c>
      <c r="V49" s="21" t="n">
        <v>0.45</v>
      </c>
      <c r="W49" s="22" t="n">
        <f aca="false">ROUND(S49*T49*U49*V49,2)</f>
        <v>34.74</v>
      </c>
    </row>
    <row r="50" customFormat="false" ht="15" hidden="false" customHeight="false" outlineLevel="0" collapsed="false">
      <c r="I50" s="0" t="s">
        <v>485</v>
      </c>
      <c r="J50" s="0" t="s">
        <v>424</v>
      </c>
      <c r="K50" s="21" t="n">
        <v>6</v>
      </c>
      <c r="L50" s="21" t="n">
        <v>0.5</v>
      </c>
      <c r="M50" s="21" t="n">
        <v>0.5</v>
      </c>
      <c r="N50" s="21" t="n">
        <v>6.825</v>
      </c>
      <c r="O50" s="22" t="n">
        <f aca="false">ROUND(K50*L50*M50*N50,2)</f>
        <v>10.24</v>
      </c>
      <c r="Q50" s="10" t="s">
        <v>486</v>
      </c>
      <c r="W50" s="24" t="n">
        <f aca="false">ROUND(SUM(W48:W49),0)</f>
        <v>157</v>
      </c>
      <c r="Y50" s="11" t="s">
        <v>487</v>
      </c>
    </row>
    <row r="51" customFormat="false" ht="15" hidden="false" customHeight="false" outlineLevel="0" collapsed="false">
      <c r="I51" s="0" t="s">
        <v>488</v>
      </c>
      <c r="J51" s="0" t="s">
        <v>431</v>
      </c>
      <c r="K51" s="21" t="n">
        <v>1</v>
      </c>
      <c r="L51" s="21" t="n">
        <v>0.8</v>
      </c>
      <c r="M51" s="21" t="n">
        <v>0.3</v>
      </c>
      <c r="N51" s="21" t="n">
        <v>6.075</v>
      </c>
      <c r="O51" s="22" t="n">
        <f aca="false">ROUND(K51*L51*M51*N51,2)</f>
        <v>1.46</v>
      </c>
      <c r="Y51" s="13" t="s">
        <v>489</v>
      </c>
      <c r="Z51" s="13" t="s">
        <v>490</v>
      </c>
      <c r="AA51" s="21" t="n">
        <v>10</v>
      </c>
      <c r="AB51" s="21" t="n">
        <v>110</v>
      </c>
      <c r="AC51" s="21" t="n">
        <v>1.12</v>
      </c>
      <c r="AD51" s="13" t="n">
        <f aca="false">ROUND(AA51^2/162.162,3)</f>
        <v>0.617</v>
      </c>
      <c r="AE51" s="22" t="n">
        <f aca="false">ROUND(AB51*AC51*AD51,1)</f>
        <v>76</v>
      </c>
    </row>
    <row r="52" customFormat="false" ht="15" hidden="false" customHeight="false" outlineLevel="0" collapsed="false">
      <c r="I52" s="0" t="s">
        <v>491</v>
      </c>
      <c r="J52" s="0" t="s">
        <v>438</v>
      </c>
      <c r="K52" s="21" t="n">
        <v>1</v>
      </c>
      <c r="L52" s="21" t="n">
        <v>0.5</v>
      </c>
      <c r="M52" s="21" t="n">
        <v>0.5</v>
      </c>
      <c r="N52" s="21" t="n">
        <v>6.825</v>
      </c>
      <c r="O52" s="22" t="n">
        <f aca="false">ROUND(K52*L52*M52*N52,2)</f>
        <v>1.71</v>
      </c>
      <c r="Q52" s="13" t="s">
        <v>492</v>
      </c>
      <c r="R52" s="13" t="s">
        <v>493</v>
      </c>
      <c r="S52" s="21" t="n">
        <v>1</v>
      </c>
      <c r="T52" s="13" t="n">
        <f aca="false">2*(53.35+29.55)-5.68-6.1+8.33+15.5+9.3</f>
        <v>187.15</v>
      </c>
      <c r="U52" s="21" t="n">
        <v>1</v>
      </c>
      <c r="V52" s="21" t="n">
        <v>1</v>
      </c>
      <c r="W52" s="26" t="n">
        <f aca="false">ROUND(S52*T52*U52*V52,0)</f>
        <v>187</v>
      </c>
      <c r="Y52" s="13" t="s">
        <v>489</v>
      </c>
      <c r="Z52" s="13" t="s">
        <v>494</v>
      </c>
      <c r="AA52" s="21" t="n">
        <v>10</v>
      </c>
      <c r="AB52" s="21" t="n">
        <v>110</v>
      </c>
      <c r="AC52" s="21" t="n">
        <v>1.8</v>
      </c>
      <c r="AD52" s="13" t="n">
        <f aca="false">ROUND(AA52^2/162.162,3)</f>
        <v>0.617</v>
      </c>
      <c r="AE52" s="22" t="n">
        <f aca="false">ROUND(AB52*AC52*AD52,1)</f>
        <v>122.2</v>
      </c>
    </row>
    <row r="53" customFormat="false" ht="15" hidden="false" customHeight="false" outlineLevel="0" collapsed="false">
      <c r="I53" s="0" t="s">
        <v>495</v>
      </c>
      <c r="J53" s="0" t="s">
        <v>444</v>
      </c>
      <c r="K53" s="21" t="n">
        <v>7</v>
      </c>
      <c r="L53" s="21" t="n">
        <v>0.4</v>
      </c>
      <c r="M53" s="21" t="n">
        <v>0.4</v>
      </c>
      <c r="N53" s="21" t="n">
        <v>6.075</v>
      </c>
      <c r="O53" s="22" t="n">
        <f aca="false">ROUND(K53*L53*M53*N53,2)</f>
        <v>6.8</v>
      </c>
      <c r="Y53" s="13" t="s">
        <v>489</v>
      </c>
      <c r="Z53" s="13" t="s">
        <v>496</v>
      </c>
      <c r="AA53" s="21" t="n">
        <v>16</v>
      </c>
      <c r="AB53" s="21" t="n">
        <v>56</v>
      </c>
      <c r="AC53" s="21" t="n">
        <v>2.62</v>
      </c>
      <c r="AD53" s="13" t="n">
        <f aca="false">ROUND(AA53^2/162.162,3)</f>
        <v>1.579</v>
      </c>
      <c r="AE53" s="22" t="n">
        <f aca="false">ROUND(AB53*AC53*AD53,1)</f>
        <v>231.7</v>
      </c>
    </row>
    <row r="54" customFormat="false" ht="15" hidden="false" customHeight="false" outlineLevel="0" collapsed="false">
      <c r="I54" s="0" t="s">
        <v>497</v>
      </c>
      <c r="J54" s="0" t="s">
        <v>438</v>
      </c>
      <c r="K54" s="21" t="n">
        <v>1</v>
      </c>
      <c r="L54" s="21" t="n">
        <v>0.4</v>
      </c>
      <c r="M54" s="21" t="n">
        <v>0.4</v>
      </c>
      <c r="N54" s="21" t="n">
        <v>6.075</v>
      </c>
      <c r="O54" s="22" t="n">
        <f aca="false">ROUND(K54*L54*M54*N54,2)</f>
        <v>0.97</v>
      </c>
      <c r="Q54" s="13" t="s">
        <v>498</v>
      </c>
      <c r="R54" s="13" t="s">
        <v>499</v>
      </c>
      <c r="S54" s="21" t="n">
        <v>1</v>
      </c>
      <c r="T54" s="13" t="n">
        <f aca="false">O93</f>
        <v>1351.27</v>
      </c>
      <c r="U54" s="21" t="n">
        <v>1</v>
      </c>
      <c r="V54" s="21" t="n">
        <v>1</v>
      </c>
      <c r="W54" s="22" t="n">
        <f aca="false">ROUND(S54*T54*U54*V54,2)</f>
        <v>1351.27</v>
      </c>
      <c r="Y54" s="13" t="s">
        <v>489</v>
      </c>
      <c r="Z54" s="13" t="s">
        <v>500</v>
      </c>
      <c r="AA54" s="21" t="n">
        <v>16</v>
      </c>
      <c r="AB54" s="21" t="n">
        <v>6</v>
      </c>
      <c r="AC54" s="21" t="n">
        <v>5.2</v>
      </c>
      <c r="AD54" s="13" t="n">
        <f aca="false">ROUND(AA54^2/162.162,3)</f>
        <v>1.579</v>
      </c>
      <c r="AE54" s="22" t="n">
        <f aca="false">ROUND(AB54*AC54*AD54,1)</f>
        <v>49.3</v>
      </c>
    </row>
    <row r="55" customFormat="false" ht="15" hidden="false" customHeight="false" outlineLevel="0" collapsed="false">
      <c r="I55" s="0" t="s">
        <v>501</v>
      </c>
      <c r="J55" s="0" t="s">
        <v>453</v>
      </c>
      <c r="K55" s="21" t="n">
        <v>5</v>
      </c>
      <c r="L55" s="21" t="n">
        <v>0.3</v>
      </c>
      <c r="M55" s="21" t="n">
        <v>0.3</v>
      </c>
      <c r="N55" s="21" t="n">
        <v>6.075</v>
      </c>
      <c r="O55" s="22" t="n">
        <f aca="false">ROUND(K55*L55*M55*N55,2)</f>
        <v>2.73</v>
      </c>
      <c r="Q55" s="10" t="s">
        <v>502</v>
      </c>
      <c r="W55" s="24" t="n">
        <f aca="false">ROUND(SUM(W54:W54),0)</f>
        <v>1351</v>
      </c>
      <c r="Y55" s="13" t="s">
        <v>489</v>
      </c>
      <c r="Z55" s="13" t="s">
        <v>503</v>
      </c>
      <c r="AA55" s="21" t="n">
        <v>25</v>
      </c>
      <c r="AB55" s="21" t="n">
        <v>24</v>
      </c>
      <c r="AC55" s="21" t="n">
        <v>5.2</v>
      </c>
      <c r="AD55" s="13" t="n">
        <f aca="false">ROUND(AA55^2/162.162,3)</f>
        <v>3.854</v>
      </c>
      <c r="AE55" s="22" t="n">
        <f aca="false">ROUND(AB55*AC55*AD55,1)</f>
        <v>481</v>
      </c>
    </row>
    <row r="56" customFormat="false" ht="15" hidden="false" customHeight="false" outlineLevel="0" collapsed="false">
      <c r="I56" s="0" t="s">
        <v>504</v>
      </c>
      <c r="J56" s="0" t="s">
        <v>460</v>
      </c>
      <c r="K56" s="21" t="n">
        <v>1</v>
      </c>
      <c r="L56" s="21" t="n">
        <v>0.5</v>
      </c>
      <c r="M56" s="21" t="n">
        <v>0.5</v>
      </c>
      <c r="N56" s="21" t="n">
        <v>6.825</v>
      </c>
      <c r="O56" s="22" t="n">
        <f aca="false">ROUND(K56*L56*M56*N56,2)</f>
        <v>1.71</v>
      </c>
      <c r="Y56" s="13" t="s">
        <v>505</v>
      </c>
      <c r="Z56" s="13" t="s">
        <v>490</v>
      </c>
      <c r="AA56" s="21" t="n">
        <v>10</v>
      </c>
      <c r="AB56" s="21" t="n">
        <v>110</v>
      </c>
      <c r="AC56" s="21" t="n">
        <v>1.12</v>
      </c>
      <c r="AD56" s="13" t="n">
        <f aca="false">ROUND(AA56^2/162.162,3)</f>
        <v>0.617</v>
      </c>
      <c r="AE56" s="22" t="n">
        <f aca="false">ROUND(AB56*AC56*AD56,1)</f>
        <v>76</v>
      </c>
    </row>
    <row r="57" customFormat="false" ht="15" hidden="false" customHeight="false" outlineLevel="0" collapsed="false">
      <c r="I57" s="0" t="s">
        <v>506</v>
      </c>
      <c r="J57" s="0" t="s">
        <v>465</v>
      </c>
      <c r="K57" s="21" t="n">
        <v>10</v>
      </c>
      <c r="L57" s="21" t="n">
        <v>0.7</v>
      </c>
      <c r="M57" s="21" t="n">
        <v>0.3</v>
      </c>
      <c r="N57" s="21" t="n">
        <v>6.075</v>
      </c>
      <c r="O57" s="22" t="n">
        <f aca="false">ROUND(K57*L57*M57*N57,2)</f>
        <v>12.76</v>
      </c>
      <c r="Q57" s="13" t="s">
        <v>507</v>
      </c>
      <c r="R57" s="13" t="s">
        <v>508</v>
      </c>
      <c r="S57" s="21" t="n">
        <v>1</v>
      </c>
      <c r="T57" s="21" t="n">
        <v>25.2</v>
      </c>
      <c r="U57" s="13" t="n">
        <f aca="false">2*(1.35-0.15)+0.3</f>
        <v>2.7</v>
      </c>
      <c r="V57" s="21" t="n">
        <v>1</v>
      </c>
      <c r="W57" s="22" t="n">
        <f aca="false">ROUND(S57*T57*U57*V57,2)</f>
        <v>68.04</v>
      </c>
      <c r="Y57" s="13" t="s">
        <v>505</v>
      </c>
      <c r="Z57" s="13" t="s">
        <v>494</v>
      </c>
      <c r="AA57" s="21" t="n">
        <v>10</v>
      </c>
      <c r="AB57" s="21" t="n">
        <v>110</v>
      </c>
      <c r="AC57" s="21" t="n">
        <v>1.8</v>
      </c>
      <c r="AD57" s="13" t="n">
        <f aca="false">ROUND(AA57^2/162.162,3)</f>
        <v>0.617</v>
      </c>
      <c r="AE57" s="22" t="n">
        <f aca="false">ROUND(AB57*AC57*AD57,1)</f>
        <v>122.2</v>
      </c>
    </row>
    <row r="58" customFormat="false" ht="15" hidden="false" customHeight="false" outlineLevel="0" collapsed="false">
      <c r="I58" s="0" t="s">
        <v>509</v>
      </c>
      <c r="J58" s="0" t="s">
        <v>469</v>
      </c>
      <c r="K58" s="21" t="n">
        <v>1</v>
      </c>
      <c r="L58" s="21" t="n">
        <v>0.7</v>
      </c>
      <c r="M58" s="21" t="n">
        <v>0.3</v>
      </c>
      <c r="N58" s="21" t="n">
        <v>2.6</v>
      </c>
      <c r="O58" s="22" t="n">
        <f aca="false">ROUND(K58*L58*M58*N58,2)</f>
        <v>0.55</v>
      </c>
      <c r="Q58" s="13" t="s">
        <v>510</v>
      </c>
      <c r="R58" s="13" t="s">
        <v>508</v>
      </c>
      <c r="S58" s="21" t="n">
        <v>1</v>
      </c>
      <c r="T58" s="21" t="n">
        <v>26.4</v>
      </c>
      <c r="U58" s="13" t="n">
        <f aca="false">2*(1.2-0.15)+0.6</f>
        <v>2.7</v>
      </c>
      <c r="V58" s="21" t="n">
        <v>1</v>
      </c>
      <c r="W58" s="22" t="n">
        <f aca="false">ROUND(S58*T58*U58*V58,2)</f>
        <v>71.28</v>
      </c>
      <c r="Y58" s="13" t="s">
        <v>505</v>
      </c>
      <c r="Z58" s="13" t="s">
        <v>496</v>
      </c>
      <c r="AA58" s="21" t="n">
        <v>16</v>
      </c>
      <c r="AB58" s="21" t="n">
        <v>56</v>
      </c>
      <c r="AC58" s="21" t="n">
        <v>3.02</v>
      </c>
      <c r="AD58" s="13" t="n">
        <f aca="false">ROUND(AA58^2/162.162,3)</f>
        <v>1.579</v>
      </c>
      <c r="AE58" s="22" t="n">
        <f aca="false">ROUND(AB58*AC58*AD58,1)</f>
        <v>267</v>
      </c>
    </row>
    <row r="59" customFormat="false" ht="15" hidden="false" customHeight="false" outlineLevel="0" collapsed="false">
      <c r="I59" s="0" t="s">
        <v>511</v>
      </c>
      <c r="J59" s="0" t="s">
        <v>469</v>
      </c>
      <c r="K59" s="21" t="n">
        <v>1</v>
      </c>
      <c r="L59" s="21" t="n">
        <v>0.7</v>
      </c>
      <c r="M59" s="21" t="n">
        <v>0.3</v>
      </c>
      <c r="N59" s="21" t="n">
        <v>2.6</v>
      </c>
      <c r="O59" s="22" t="n">
        <f aca="false">ROUND(K59*L59*M59*N59,2)</f>
        <v>0.55</v>
      </c>
      <c r="Q59" s="13" t="s">
        <v>512</v>
      </c>
      <c r="R59" s="13" t="s">
        <v>508</v>
      </c>
      <c r="S59" s="21" t="n">
        <v>1</v>
      </c>
      <c r="T59" s="21" t="n">
        <v>41.8</v>
      </c>
      <c r="U59" s="13" t="n">
        <f aca="false">2*(0.975-0.15)+0.3</f>
        <v>1.95</v>
      </c>
      <c r="V59" s="21" t="n">
        <v>1</v>
      </c>
      <c r="W59" s="22" t="n">
        <f aca="false">ROUND(S59*T59*U59*V59,2)</f>
        <v>81.51</v>
      </c>
      <c r="Y59" s="13" t="s">
        <v>505</v>
      </c>
      <c r="Z59" s="13" t="s">
        <v>500</v>
      </c>
      <c r="AA59" s="21" t="n">
        <v>16</v>
      </c>
      <c r="AB59" s="21" t="n">
        <v>10</v>
      </c>
      <c r="AC59" s="21" t="n">
        <v>5.2</v>
      </c>
      <c r="AD59" s="13" t="n">
        <f aca="false">ROUND(AA59^2/162.162,3)</f>
        <v>1.579</v>
      </c>
      <c r="AE59" s="22" t="n">
        <f aca="false">ROUND(AB59*AC59*AD59,1)</f>
        <v>82.1</v>
      </c>
    </row>
    <row r="60" customFormat="false" ht="15" hidden="false" customHeight="false" outlineLevel="0" collapsed="false">
      <c r="I60" s="10" t="s">
        <v>513</v>
      </c>
      <c r="O60" s="24" t="n">
        <f aca="false">ROUND(SUM(O50:O59),1)</f>
        <v>39.5</v>
      </c>
      <c r="Q60" s="13" t="s">
        <v>514</v>
      </c>
      <c r="R60" s="13" t="s">
        <v>508</v>
      </c>
      <c r="S60" s="21" t="n">
        <v>1</v>
      </c>
      <c r="T60" s="21" t="n">
        <v>8.2</v>
      </c>
      <c r="U60" s="13" t="n">
        <f aca="false">2*(0.975-0.15)+0.5</f>
        <v>2.15</v>
      </c>
      <c r="V60" s="21" t="n">
        <v>1</v>
      </c>
      <c r="W60" s="22" t="n">
        <f aca="false">ROUND(S60*T60*U60*V60,2)</f>
        <v>17.63</v>
      </c>
      <c r="Y60" s="13" t="s">
        <v>505</v>
      </c>
      <c r="Z60" s="13" t="s">
        <v>503</v>
      </c>
      <c r="AA60" s="21" t="n">
        <v>25</v>
      </c>
      <c r="AB60" s="21" t="n">
        <v>24</v>
      </c>
      <c r="AC60" s="21" t="n">
        <v>5.2</v>
      </c>
      <c r="AD60" s="13" t="n">
        <f aca="false">ROUND(AA60^2/162.162,3)</f>
        <v>3.854</v>
      </c>
      <c r="AE60" s="22" t="n">
        <f aca="false">ROUND(AB60*AC60*AD60,1)</f>
        <v>481</v>
      </c>
    </row>
    <row r="61" customFormat="false" ht="15" hidden="false" customHeight="false" outlineLevel="0" collapsed="false">
      <c r="Q61" s="0" t="s">
        <v>515</v>
      </c>
      <c r="R61" s="0" t="s">
        <v>508</v>
      </c>
      <c r="S61" s="21" t="n">
        <v>1</v>
      </c>
      <c r="T61" s="21" t="n">
        <v>7.8</v>
      </c>
      <c r="U61" s="13" t="n">
        <f aca="false">2*(0.75-0.15)+0.5</f>
        <v>1.7</v>
      </c>
      <c r="V61" s="21" t="n">
        <v>1</v>
      </c>
      <c r="W61" s="22" t="n">
        <f aca="false">ROUND(S61*T61*U61*V61,2)</f>
        <v>13.26</v>
      </c>
      <c r="Y61" s="13" t="s">
        <v>516</v>
      </c>
      <c r="Z61" s="13" t="s">
        <v>490</v>
      </c>
      <c r="AA61" s="21" t="n">
        <v>10</v>
      </c>
      <c r="AB61" s="21" t="n">
        <v>110</v>
      </c>
      <c r="AC61" s="21" t="n">
        <v>1.12</v>
      </c>
      <c r="AD61" s="13" t="n">
        <f aca="false">ROUND(AA61^2/162.162,3)</f>
        <v>0.617</v>
      </c>
      <c r="AE61" s="22" t="n">
        <f aca="false">ROUND(AB61*AC61*AD61,1)</f>
        <v>76</v>
      </c>
    </row>
    <row r="62" customFormat="false" ht="15" hidden="false" customHeight="false" outlineLevel="0" collapsed="false">
      <c r="I62" s="11" t="s">
        <v>517</v>
      </c>
      <c r="Q62" s="13" t="s">
        <v>518</v>
      </c>
      <c r="R62" s="13" t="s">
        <v>508</v>
      </c>
      <c r="S62" s="21" t="n">
        <v>1</v>
      </c>
      <c r="T62" s="21" t="n">
        <v>8.1</v>
      </c>
      <c r="U62" s="13" t="n">
        <f aca="false">2*(0.75-0.15)+0.3</f>
        <v>1.5</v>
      </c>
      <c r="V62" s="21" t="n">
        <v>1</v>
      </c>
      <c r="W62" s="22" t="n">
        <f aca="false">ROUND(S62*T62*U62*V62,2)</f>
        <v>12.15</v>
      </c>
      <c r="Y62" s="13" t="s">
        <v>516</v>
      </c>
      <c r="Z62" s="13" t="s">
        <v>494</v>
      </c>
      <c r="AA62" s="21" t="n">
        <v>10</v>
      </c>
      <c r="AB62" s="21" t="n">
        <v>110</v>
      </c>
      <c r="AC62" s="21" t="n">
        <v>1.36</v>
      </c>
      <c r="AD62" s="13" t="n">
        <f aca="false">ROUND(AA62^2/162.162,3)</f>
        <v>0.617</v>
      </c>
      <c r="AE62" s="22" t="n">
        <f aca="false">ROUND(AB62*AC62*AD62,1)</f>
        <v>92.3</v>
      </c>
    </row>
    <row r="63" customFormat="false" ht="15" hidden="false" customHeight="false" outlineLevel="0" collapsed="false">
      <c r="I63" s="0" t="s">
        <v>519</v>
      </c>
      <c r="J63" s="0" t="s">
        <v>520</v>
      </c>
      <c r="K63" s="21" t="n">
        <v>1</v>
      </c>
      <c r="L63" s="21" t="n">
        <v>16.45</v>
      </c>
      <c r="M63" s="21" t="n">
        <v>0.3</v>
      </c>
      <c r="N63" s="21" t="n">
        <v>6.9</v>
      </c>
      <c r="O63" s="22" t="n">
        <f aca="false">ROUND(K63*L63*M63*N63,2)</f>
        <v>34.05</v>
      </c>
      <c r="Q63" s="13" t="s">
        <v>521</v>
      </c>
      <c r="R63" s="13" t="s">
        <v>508</v>
      </c>
      <c r="S63" s="21" t="n">
        <v>1</v>
      </c>
      <c r="T63" s="21" t="n">
        <v>301.5</v>
      </c>
      <c r="U63" s="13" t="n">
        <f aca="false">2*(0.6-0.15)+0.3</f>
        <v>1.2</v>
      </c>
      <c r="V63" s="21" t="n">
        <v>1</v>
      </c>
      <c r="W63" s="22" t="n">
        <f aca="false">ROUND(S63*T63*U63*V63,2)</f>
        <v>361.8</v>
      </c>
      <c r="Y63" s="13" t="s">
        <v>516</v>
      </c>
      <c r="Z63" s="13" t="s">
        <v>496</v>
      </c>
      <c r="AA63" s="21" t="n">
        <v>16</v>
      </c>
      <c r="AB63" s="21" t="n">
        <v>76</v>
      </c>
      <c r="AC63" s="21" t="n">
        <v>2.42</v>
      </c>
      <c r="AD63" s="13" t="n">
        <f aca="false">ROUND(AA63^2/162.162,3)</f>
        <v>1.579</v>
      </c>
      <c r="AE63" s="22" t="n">
        <f aca="false">ROUND(AB63*AC63*AD63,1)</f>
        <v>290.4</v>
      </c>
    </row>
    <row r="64" customFormat="false" ht="15" hidden="false" customHeight="false" outlineLevel="0" collapsed="false">
      <c r="I64" s="0" t="s">
        <v>522</v>
      </c>
      <c r="J64" s="0" t="s">
        <v>523</v>
      </c>
      <c r="K64" s="21" t="n">
        <v>1</v>
      </c>
      <c r="L64" s="21" t="n">
        <v>8.5</v>
      </c>
      <c r="M64" s="21" t="n">
        <v>0.2</v>
      </c>
      <c r="N64" s="21" t="n">
        <v>6.9</v>
      </c>
      <c r="O64" s="22" t="n">
        <f aca="false">ROUND(K64*L64*M64*N64,2)</f>
        <v>11.73</v>
      </c>
      <c r="Q64" s="13" t="s">
        <v>524</v>
      </c>
      <c r="R64" s="13" t="s">
        <v>508</v>
      </c>
      <c r="S64" s="21" t="n">
        <v>1</v>
      </c>
      <c r="T64" s="21" t="n">
        <v>6.8</v>
      </c>
      <c r="U64" s="21" t="n">
        <v>2</v>
      </c>
      <c r="V64" s="21" t="n">
        <v>0.6</v>
      </c>
      <c r="W64" s="22" t="n">
        <f aca="false">ROUND(S64*T64*U64*V64,2)</f>
        <v>8.16</v>
      </c>
      <c r="Y64" s="13" t="s">
        <v>516</v>
      </c>
      <c r="Z64" s="13" t="s">
        <v>500</v>
      </c>
      <c r="AA64" s="21" t="n">
        <v>16</v>
      </c>
      <c r="AB64" s="21" t="n">
        <v>8</v>
      </c>
      <c r="AC64" s="21" t="n">
        <v>5.2</v>
      </c>
      <c r="AD64" s="13" t="n">
        <f aca="false">ROUND(AA64^2/162.162,3)</f>
        <v>1.579</v>
      </c>
      <c r="AE64" s="22" t="n">
        <f aca="false">ROUND(AB64*AC64*AD64,1)</f>
        <v>65.7</v>
      </c>
    </row>
    <row r="65" customFormat="false" ht="15" hidden="false" customHeight="false" outlineLevel="0" collapsed="false">
      <c r="I65" s="0" t="s">
        <v>525</v>
      </c>
      <c r="J65" s="0" t="s">
        <v>388</v>
      </c>
      <c r="K65" s="21" t="n">
        <v>1</v>
      </c>
      <c r="L65" s="21" t="n">
        <v>5.45</v>
      </c>
      <c r="M65" s="21" t="n">
        <v>0.3</v>
      </c>
      <c r="N65" s="21" t="n">
        <v>6.9</v>
      </c>
      <c r="O65" s="22" t="n">
        <f aca="false">ROUND(K65*L65*M65*N65,2)</f>
        <v>11.28</v>
      </c>
      <c r="Q65" s="13" t="s">
        <v>526</v>
      </c>
      <c r="R65" s="13" t="s">
        <v>508</v>
      </c>
      <c r="S65" s="21" t="n">
        <v>1</v>
      </c>
      <c r="T65" s="21" t="n">
        <v>12</v>
      </c>
      <c r="U65" s="21" t="n">
        <v>2</v>
      </c>
      <c r="V65" s="21" t="n">
        <v>0.75</v>
      </c>
      <c r="W65" s="22" t="n">
        <f aca="false">ROUND(S65*T65*U65*V65,2)</f>
        <v>18</v>
      </c>
      <c r="Y65" s="13" t="s">
        <v>516</v>
      </c>
      <c r="Z65" s="13" t="s">
        <v>503</v>
      </c>
      <c r="AA65" s="21" t="n">
        <v>25</v>
      </c>
      <c r="AB65" s="21" t="n">
        <v>16</v>
      </c>
      <c r="AC65" s="21" t="n">
        <v>5.2</v>
      </c>
      <c r="AD65" s="13" t="n">
        <f aca="false">ROUND(AA65^2/162.162,3)</f>
        <v>3.854</v>
      </c>
      <c r="AE65" s="22" t="n">
        <f aca="false">ROUND(AB65*AC65*AD65,1)</f>
        <v>320.7</v>
      </c>
    </row>
    <row r="66" customFormat="false" ht="15" hidden="false" customHeight="false" outlineLevel="0" collapsed="false">
      <c r="I66" s="0" t="s">
        <v>527</v>
      </c>
      <c r="J66" s="0" t="s">
        <v>394</v>
      </c>
      <c r="K66" s="21" t="n">
        <v>1</v>
      </c>
      <c r="L66" s="21" t="n">
        <v>5.45</v>
      </c>
      <c r="M66" s="21" t="n">
        <v>0.3</v>
      </c>
      <c r="N66" s="21" t="n">
        <v>6.9</v>
      </c>
      <c r="O66" s="22" t="n">
        <f aca="false">ROUND(K66*L66*M66*N66,2)</f>
        <v>11.28</v>
      </c>
      <c r="Q66" s="10" t="s">
        <v>528</v>
      </c>
      <c r="W66" s="24" t="n">
        <f aca="false">ROUND(SUM(W57:W65),0)</f>
        <v>652</v>
      </c>
      <c r="Y66" s="13" t="s">
        <v>529</v>
      </c>
      <c r="Z66" s="13" t="s">
        <v>490</v>
      </c>
      <c r="AA66" s="21" t="n">
        <v>10</v>
      </c>
      <c r="AB66" s="21" t="n">
        <v>220</v>
      </c>
      <c r="AC66" s="21" t="n">
        <v>1.12</v>
      </c>
      <c r="AD66" s="13" t="n">
        <f aca="false">ROUND(AA66^2/162.162,3)</f>
        <v>0.617</v>
      </c>
      <c r="AE66" s="22" t="n">
        <f aca="false">ROUND(AB66*AC66*AD66,1)</f>
        <v>152</v>
      </c>
    </row>
    <row r="67" customFormat="false" ht="15" hidden="false" customHeight="false" outlineLevel="0" collapsed="false">
      <c r="I67" s="0" t="s">
        <v>530</v>
      </c>
      <c r="J67" s="0" t="s">
        <v>400</v>
      </c>
      <c r="K67" s="21" t="n">
        <v>1</v>
      </c>
      <c r="L67" s="21" t="n">
        <v>2.15</v>
      </c>
      <c r="M67" s="21" t="n">
        <v>0.3</v>
      </c>
      <c r="N67" s="21" t="n">
        <v>6.9</v>
      </c>
      <c r="O67" s="22" t="n">
        <f aca="false">ROUND(K67*L67*M67*N67,2)</f>
        <v>4.45</v>
      </c>
      <c r="Y67" s="13" t="s">
        <v>529</v>
      </c>
      <c r="Z67" s="13" t="s">
        <v>494</v>
      </c>
      <c r="AA67" s="21" t="n">
        <v>10</v>
      </c>
      <c r="AB67" s="21" t="n">
        <v>110</v>
      </c>
      <c r="AC67" s="21" t="n">
        <v>2.62</v>
      </c>
      <c r="AD67" s="13" t="n">
        <f aca="false">ROUND(AA67^2/162.162,3)</f>
        <v>0.617</v>
      </c>
      <c r="AE67" s="22" t="n">
        <f aca="false">ROUND(AB67*AC67*AD67,1)</f>
        <v>177.8</v>
      </c>
    </row>
    <row r="68" customFormat="false" ht="15" hidden="false" customHeight="false" outlineLevel="0" collapsed="false">
      <c r="I68" s="0" t="s">
        <v>531</v>
      </c>
      <c r="J68" s="0" t="s">
        <v>405</v>
      </c>
      <c r="K68" s="21" t="n">
        <v>1</v>
      </c>
      <c r="L68" s="21" t="n">
        <v>2.3</v>
      </c>
      <c r="M68" s="21" t="n">
        <v>0.3</v>
      </c>
      <c r="N68" s="21" t="n">
        <v>6.9</v>
      </c>
      <c r="O68" s="22" t="n">
        <f aca="false">ROUND(K68*L68*M68*N68,2)</f>
        <v>4.76</v>
      </c>
      <c r="Q68" s="13" t="s">
        <v>532</v>
      </c>
      <c r="R68" s="13" t="s">
        <v>533</v>
      </c>
      <c r="S68" s="21" t="n">
        <v>1</v>
      </c>
      <c r="T68" s="21" t="n">
        <v>120</v>
      </c>
      <c r="U68" s="21" t="n">
        <v>1</v>
      </c>
      <c r="V68" s="21" t="n">
        <v>1</v>
      </c>
      <c r="W68" s="28" t="n">
        <f aca="false">ROUND(S68*T68*U68*V68,0)</f>
        <v>120</v>
      </c>
      <c r="Y68" s="13" t="s">
        <v>529</v>
      </c>
      <c r="Z68" s="13" t="s">
        <v>496</v>
      </c>
      <c r="AA68" s="21" t="n">
        <v>16</v>
      </c>
      <c r="AB68" s="21" t="n">
        <v>76</v>
      </c>
      <c r="AC68" s="21" t="n">
        <v>6.02</v>
      </c>
      <c r="AD68" s="13" t="n">
        <f aca="false">ROUND(AA68^2/162.162,3)</f>
        <v>1.579</v>
      </c>
      <c r="AE68" s="22" t="n">
        <f aca="false">ROUND(AB68*AC68*AD68,1)</f>
        <v>722.4</v>
      </c>
    </row>
    <row r="69" customFormat="false" ht="15" hidden="false" customHeight="false" outlineLevel="0" collapsed="false">
      <c r="I69" s="0" t="s">
        <v>534</v>
      </c>
      <c r="J69" s="0" t="s">
        <v>410</v>
      </c>
      <c r="K69" s="21" t="n">
        <v>1</v>
      </c>
      <c r="L69" s="21" t="n">
        <v>1.85</v>
      </c>
      <c r="M69" s="21" t="n">
        <v>0.3</v>
      </c>
      <c r="N69" s="21" t="n">
        <v>6.75</v>
      </c>
      <c r="O69" s="22" t="n">
        <f aca="false">ROUND(K69*L69*M69*N69,2)</f>
        <v>3.75</v>
      </c>
      <c r="Y69" s="13" t="s">
        <v>529</v>
      </c>
      <c r="Z69" s="13" t="s">
        <v>500</v>
      </c>
      <c r="AA69" s="21" t="n">
        <v>16</v>
      </c>
      <c r="AB69" s="21" t="n">
        <v>32</v>
      </c>
      <c r="AC69" s="21" t="n">
        <v>5.2</v>
      </c>
      <c r="AD69" s="13" t="n">
        <f aca="false">ROUND(AA69^2/162.162,3)</f>
        <v>1.579</v>
      </c>
      <c r="AE69" s="22" t="n">
        <f aca="false">ROUND(AB69*AC69*AD69,1)</f>
        <v>262.7</v>
      </c>
    </row>
    <row r="70" customFormat="false" ht="15" hidden="false" customHeight="false" outlineLevel="0" collapsed="false">
      <c r="I70" s="10" t="s">
        <v>535</v>
      </c>
      <c r="O70" s="24" t="n">
        <f aca="false">ROUND(SUM(O63:O69),1)</f>
        <v>81.3</v>
      </c>
      <c r="Y70" s="13" t="s">
        <v>529</v>
      </c>
      <c r="Z70" s="13" t="s">
        <v>503</v>
      </c>
      <c r="AA70" s="21" t="n">
        <v>25</v>
      </c>
      <c r="AB70" s="21" t="n">
        <v>40</v>
      </c>
      <c r="AC70" s="21" t="n">
        <v>5.2</v>
      </c>
      <c r="AD70" s="13" t="n">
        <f aca="false">ROUND(AA70^2/162.162,3)</f>
        <v>3.854</v>
      </c>
      <c r="AE70" s="22" t="n">
        <f aca="false">ROUND(AB70*AC70*AD70,1)</f>
        <v>801.6</v>
      </c>
    </row>
    <row r="71" customFormat="false" ht="15" hidden="false" customHeight="false" outlineLevel="0" collapsed="false">
      <c r="Y71" s="0" t="s">
        <v>536</v>
      </c>
      <c r="Z71" s="0" t="s">
        <v>490</v>
      </c>
      <c r="AA71" s="21" t="n">
        <v>10</v>
      </c>
      <c r="AB71" s="21" t="n">
        <v>385</v>
      </c>
      <c r="AC71" s="21" t="n">
        <v>1.12</v>
      </c>
      <c r="AD71" s="13" t="n">
        <f aca="false">ROUND(AA71^2/162.162,3)</f>
        <v>0.617</v>
      </c>
      <c r="AE71" s="22" t="n">
        <f aca="false">ROUND(AB71*AC71*AD71,1)</f>
        <v>266.1</v>
      </c>
    </row>
    <row r="72" customFormat="false" ht="15" hidden="false" customHeight="false" outlineLevel="0" collapsed="false">
      <c r="I72" s="11" t="s">
        <v>537</v>
      </c>
      <c r="Y72" s="13" t="s">
        <v>536</v>
      </c>
      <c r="Z72" s="13" t="s">
        <v>494</v>
      </c>
      <c r="AA72" s="21" t="n">
        <v>10</v>
      </c>
      <c r="AB72" s="21" t="n">
        <v>110</v>
      </c>
      <c r="AC72" s="21" t="n">
        <v>2.62</v>
      </c>
      <c r="AD72" s="13" t="n">
        <f aca="false">ROUND(AA72^2/162.162,3)</f>
        <v>0.617</v>
      </c>
      <c r="AE72" s="22" t="n">
        <f aca="false">ROUND(AB72*AC72*AD72,1)</f>
        <v>177.8</v>
      </c>
    </row>
    <row r="73" customFormat="false" ht="15" hidden="false" customHeight="false" outlineLevel="0" collapsed="false">
      <c r="I73" s="0" t="s">
        <v>538</v>
      </c>
      <c r="J73" s="0" t="s">
        <v>539</v>
      </c>
      <c r="K73" s="21" t="n">
        <v>1</v>
      </c>
      <c r="L73" s="21" t="n">
        <v>406</v>
      </c>
      <c r="M73" s="21" t="n">
        <v>0.2</v>
      </c>
      <c r="N73" s="21" t="n">
        <v>0.15</v>
      </c>
      <c r="O73" s="22" t="n">
        <f aca="false">ROUND(K73*L73*M73*N73,2)</f>
        <v>12.18</v>
      </c>
      <c r="Y73" s="13" t="s">
        <v>536</v>
      </c>
      <c r="Z73" s="13" t="s">
        <v>540</v>
      </c>
      <c r="AA73" s="21" t="n">
        <v>10</v>
      </c>
      <c r="AB73" s="21" t="n">
        <v>55</v>
      </c>
      <c r="AC73" s="21" t="n">
        <v>3.52</v>
      </c>
      <c r="AD73" s="13" t="n">
        <f aca="false">ROUND(AA73^2/162.162,3)</f>
        <v>0.617</v>
      </c>
      <c r="AE73" s="22" t="n">
        <f aca="false">ROUND(AB73*AC73*AD73,1)</f>
        <v>119.5</v>
      </c>
    </row>
    <row r="74" customFormat="false" ht="15" hidden="false" customHeight="false" outlineLevel="0" collapsed="false">
      <c r="I74" s="0" t="s">
        <v>541</v>
      </c>
      <c r="J74" s="0" t="s">
        <v>542</v>
      </c>
      <c r="K74" s="21" t="n">
        <v>1</v>
      </c>
      <c r="L74" s="21" t="n">
        <v>38.6</v>
      </c>
      <c r="M74" s="21" t="n">
        <v>0.2</v>
      </c>
      <c r="N74" s="21" t="n">
        <v>0.45</v>
      </c>
      <c r="O74" s="22" t="n">
        <f aca="false">ROUND(K74*L74*M74*N74,2)</f>
        <v>3.47</v>
      </c>
      <c r="Y74" s="13" t="s">
        <v>536</v>
      </c>
      <c r="Z74" s="13" t="s">
        <v>496</v>
      </c>
      <c r="AA74" s="21" t="n">
        <v>16</v>
      </c>
      <c r="AB74" s="21" t="n">
        <v>26</v>
      </c>
      <c r="AC74" s="21" t="n">
        <v>6.02</v>
      </c>
      <c r="AD74" s="13" t="n">
        <f aca="false">ROUND(AA74^2/162.162,3)</f>
        <v>1.579</v>
      </c>
      <c r="AE74" s="22" t="n">
        <f aca="false">ROUND(AB74*AC74*AD74,1)</f>
        <v>247.1</v>
      </c>
    </row>
    <row r="75" customFormat="false" ht="15" hidden="false" customHeight="false" outlineLevel="0" collapsed="false">
      <c r="I75" s="10" t="s">
        <v>543</v>
      </c>
      <c r="O75" s="24" t="n">
        <f aca="false">ROUND(SUM(O73:O74),1)</f>
        <v>15.7</v>
      </c>
      <c r="Y75" s="13" t="s">
        <v>536</v>
      </c>
      <c r="Z75" s="13" t="s">
        <v>500</v>
      </c>
      <c r="AA75" s="21" t="n">
        <v>16</v>
      </c>
      <c r="AB75" s="21" t="n">
        <v>16</v>
      </c>
      <c r="AC75" s="21" t="n">
        <v>2.7</v>
      </c>
      <c r="AD75" s="13" t="n">
        <f aca="false">ROUND(AA75^2/162.162,3)</f>
        <v>1.579</v>
      </c>
      <c r="AE75" s="22" t="n">
        <f aca="false">ROUND(AB75*AC75*AD75,1)</f>
        <v>68.2</v>
      </c>
    </row>
    <row r="76" customFormat="false" ht="15" hidden="false" customHeight="false" outlineLevel="0" collapsed="false">
      <c r="Y76" s="0" t="s">
        <v>536</v>
      </c>
      <c r="Z76" s="0" t="s">
        <v>503</v>
      </c>
      <c r="AA76" s="21" t="n">
        <v>25</v>
      </c>
      <c r="AB76" s="21" t="n">
        <v>68</v>
      </c>
      <c r="AC76" s="21" t="n">
        <v>5.2</v>
      </c>
      <c r="AD76" s="13" t="n">
        <f aca="false">ROUND(AA76^2/162.162,3)</f>
        <v>3.854</v>
      </c>
      <c r="AE76" s="22" t="n">
        <f aca="false">ROUND(AB76*AC76*AD76,1)</f>
        <v>1362.8</v>
      </c>
    </row>
    <row r="77" customFormat="false" ht="15" hidden="false" customHeight="false" outlineLevel="0" collapsed="false">
      <c r="I77" s="0" t="s">
        <v>544</v>
      </c>
      <c r="J77" s="0" t="s">
        <v>251</v>
      </c>
      <c r="K77" s="21" t="n">
        <v>1</v>
      </c>
      <c r="L77" s="13" t="n">
        <f aca="false">$AP$14</f>
        <v>1540.1225</v>
      </c>
      <c r="M77" s="21" t="n">
        <v>1</v>
      </c>
      <c r="N77" s="13" t="n">
        <f aca="false">$AP$5</f>
        <v>0.15</v>
      </c>
      <c r="O77" s="22" t="n">
        <f aca="false">ROUND(K77*L77*M77*N77,2)</f>
        <v>231.02</v>
      </c>
      <c r="Y77" s="13" t="s">
        <v>545</v>
      </c>
      <c r="Z77" s="13" t="s">
        <v>490</v>
      </c>
      <c r="AA77" s="21" t="n">
        <v>10</v>
      </c>
      <c r="AB77" s="21" t="n">
        <v>330</v>
      </c>
      <c r="AC77" s="21" t="n">
        <v>1</v>
      </c>
      <c r="AD77" s="13" t="n">
        <f aca="false">ROUND(AA77^2/162.162,3)</f>
        <v>0.617</v>
      </c>
      <c r="AE77" s="22" t="n">
        <f aca="false">ROUND(AB77*AC77*AD77,1)</f>
        <v>203.6</v>
      </c>
    </row>
    <row r="78" customFormat="false" ht="15" hidden="false" customHeight="false" outlineLevel="0" collapsed="false">
      <c r="I78" s="10" t="s">
        <v>546</v>
      </c>
      <c r="O78" s="24" t="n">
        <f aca="false">ROUND(SUM(O77:O77),1)</f>
        <v>231</v>
      </c>
      <c r="Y78" s="13" t="s">
        <v>545</v>
      </c>
      <c r="Z78" s="13" t="s">
        <v>494</v>
      </c>
      <c r="AA78" s="21" t="n">
        <v>10</v>
      </c>
      <c r="AB78" s="21" t="n">
        <v>440</v>
      </c>
      <c r="AC78" s="21" t="n">
        <v>1.8</v>
      </c>
      <c r="AD78" s="13" t="n">
        <f aca="false">ROUND(AA78^2/162.162,3)</f>
        <v>0.617</v>
      </c>
      <c r="AE78" s="22" t="n">
        <f aca="false">ROUND(AB78*AC78*AD78,1)</f>
        <v>488.7</v>
      </c>
    </row>
    <row r="79" customFormat="false" ht="15" hidden="false" customHeight="false" outlineLevel="0" collapsed="false">
      <c r="Y79" s="0" t="s">
        <v>545</v>
      </c>
      <c r="Z79" s="0" t="s">
        <v>540</v>
      </c>
      <c r="AA79" s="21" t="n">
        <v>10</v>
      </c>
      <c r="AB79" s="21" t="n">
        <v>550</v>
      </c>
      <c r="AC79" s="21" t="n">
        <v>1.12</v>
      </c>
      <c r="AD79" s="13" t="n">
        <f aca="false">ROUND(AA79^2/162.162,3)</f>
        <v>0.617</v>
      </c>
      <c r="AE79" s="22" t="n">
        <f aca="false">ROUND(AB79*AC79*AD79,1)</f>
        <v>380.1</v>
      </c>
    </row>
    <row r="80" customFormat="false" ht="15" hidden="false" customHeight="false" outlineLevel="0" collapsed="false">
      <c r="I80" s="11" t="s">
        <v>547</v>
      </c>
      <c r="Y80" s="13" t="s">
        <v>545</v>
      </c>
      <c r="Z80" s="13" t="s">
        <v>548</v>
      </c>
      <c r="AA80" s="21" t="n">
        <v>10</v>
      </c>
      <c r="AB80" s="21" t="n">
        <v>55</v>
      </c>
      <c r="AC80" s="21" t="n">
        <v>2.62</v>
      </c>
      <c r="AD80" s="13" t="n">
        <f aca="false">ROUND(AA80^2/162.162,3)</f>
        <v>0.617</v>
      </c>
      <c r="AE80" s="22" t="n">
        <f aca="false">ROUND(AB80*AC80*AD80,1)</f>
        <v>88.9</v>
      </c>
    </row>
    <row r="81" customFormat="false" ht="15" hidden="false" customHeight="false" outlineLevel="0" collapsed="false">
      <c r="I81" s="0" t="s">
        <v>549</v>
      </c>
      <c r="J81" s="0" t="s">
        <v>508</v>
      </c>
      <c r="K81" s="21" t="n">
        <v>1</v>
      </c>
      <c r="L81" s="21" t="n">
        <v>53.65</v>
      </c>
      <c r="M81" s="21" t="n">
        <v>29.85</v>
      </c>
      <c r="O81" s="22" t="n">
        <f aca="false">ROUND(L81*M81-$AP$12,2)</f>
        <v>1584.13</v>
      </c>
      <c r="Y81" s="13" t="s">
        <v>545</v>
      </c>
      <c r="Z81" s="13" t="s">
        <v>496</v>
      </c>
      <c r="AA81" s="21" t="n">
        <v>16</v>
      </c>
      <c r="AB81" s="21" t="n">
        <v>102</v>
      </c>
      <c r="AC81" s="21" t="n">
        <v>5.62</v>
      </c>
      <c r="AD81" s="13" t="n">
        <f aca="false">ROUND(AA81^2/162.162,3)</f>
        <v>1.579</v>
      </c>
      <c r="AE81" s="22" t="n">
        <f aca="false">ROUND(AB81*AC81*AD81,1)</f>
        <v>905.1</v>
      </c>
    </row>
    <row r="82" customFormat="false" ht="15" hidden="false" customHeight="false" outlineLevel="0" collapsed="false">
      <c r="I82" s="0" t="s">
        <v>550</v>
      </c>
      <c r="J82" s="0" t="s">
        <v>551</v>
      </c>
      <c r="K82" s="21" t="n">
        <v>1</v>
      </c>
      <c r="L82" s="21" t="n">
        <v>20.82</v>
      </c>
      <c r="M82" s="21" t="n">
        <v>7.2</v>
      </c>
      <c r="O82" s="22" t="n">
        <f aca="false">ROUND(L82*M82,2)</f>
        <v>149.9</v>
      </c>
      <c r="Y82" s="13" t="s">
        <v>545</v>
      </c>
      <c r="Z82" s="13" t="s">
        <v>552</v>
      </c>
      <c r="AA82" s="21" t="n">
        <v>16</v>
      </c>
      <c r="AB82" s="21" t="n">
        <v>228</v>
      </c>
      <c r="AC82" s="21" t="n">
        <v>3.37</v>
      </c>
      <c r="AD82" s="13" t="n">
        <f aca="false">ROUND(AA82^2/162.162,3)</f>
        <v>1.579</v>
      </c>
      <c r="AE82" s="22" t="n">
        <f aca="false">ROUND(AB82*AC82*AD82,1)</f>
        <v>1213.2</v>
      </c>
    </row>
    <row r="83" customFormat="false" ht="15" hidden="false" customHeight="false" outlineLevel="0" collapsed="false">
      <c r="I83" s="0" t="s">
        <v>553</v>
      </c>
      <c r="J83" s="0" t="s">
        <v>508</v>
      </c>
      <c r="K83" s="21" t="n">
        <v>1</v>
      </c>
      <c r="O83" s="22" t="n">
        <f aca="false">ROUND(30.85*17.5+2.7*5.15,2)</f>
        <v>553.78</v>
      </c>
      <c r="Y83" s="13" t="s">
        <v>545</v>
      </c>
      <c r="Z83" s="13" t="s">
        <v>554</v>
      </c>
      <c r="AA83" s="21" t="n">
        <v>20</v>
      </c>
      <c r="AB83" s="21" t="n">
        <v>70</v>
      </c>
      <c r="AC83" s="21" t="n">
        <v>5.2</v>
      </c>
      <c r="AD83" s="13" t="n">
        <f aca="false">ROUND(AA83^2/162.162,3)</f>
        <v>2.467</v>
      </c>
      <c r="AE83" s="22" t="n">
        <f aca="false">ROUND(AB83*AC83*AD83,1)</f>
        <v>898</v>
      </c>
    </row>
    <row r="84" customFormat="false" ht="15" hidden="false" customHeight="false" outlineLevel="0" collapsed="false">
      <c r="I84" s="0" t="s">
        <v>555</v>
      </c>
      <c r="J84" s="0" t="s">
        <v>556</v>
      </c>
      <c r="K84" s="21" t="n">
        <v>1</v>
      </c>
      <c r="O84" s="29" t="n">
        <v>69.5</v>
      </c>
      <c r="Y84" s="13" t="s">
        <v>545</v>
      </c>
      <c r="Z84" s="13" t="s">
        <v>503</v>
      </c>
      <c r="AA84" s="21" t="n">
        <v>25</v>
      </c>
      <c r="AB84" s="21" t="n">
        <v>128</v>
      </c>
      <c r="AC84" s="21" t="n">
        <v>5.2</v>
      </c>
      <c r="AD84" s="13" t="n">
        <f aca="false">ROUND(AA84^2/162.162,3)</f>
        <v>3.854</v>
      </c>
      <c r="AE84" s="22" t="n">
        <f aca="false">ROUND(AB84*AC84*AD84,1)</f>
        <v>2565.2</v>
      </c>
    </row>
    <row r="85" customFormat="false" ht="15" hidden="false" customHeight="false" outlineLevel="0" collapsed="false">
      <c r="I85" s="0" t="s">
        <v>557</v>
      </c>
      <c r="J85" s="0" t="s">
        <v>558</v>
      </c>
      <c r="K85" s="21" t="n">
        <v>2</v>
      </c>
      <c r="L85" s="21" t="n">
        <v>20.52</v>
      </c>
      <c r="M85" s="21" t="n">
        <v>3</v>
      </c>
      <c r="O85" s="22" t="n">
        <f aca="false">ROUND(K85*L85*M85,2)</f>
        <v>123.12</v>
      </c>
      <c r="Y85" s="13" t="s">
        <v>545</v>
      </c>
      <c r="Z85" s="13" t="s">
        <v>500</v>
      </c>
      <c r="AA85" s="21" t="n">
        <v>16</v>
      </c>
      <c r="AB85" s="21" t="n">
        <v>28</v>
      </c>
      <c r="AC85" s="21" t="n">
        <v>2.7</v>
      </c>
      <c r="AD85" s="13" t="n">
        <f aca="false">ROUND(AA85^2/162.162,3)</f>
        <v>1.579</v>
      </c>
      <c r="AE85" s="22" t="n">
        <f aca="false">ROUND(AB85*AC85*AD85,1)</f>
        <v>119.4</v>
      </c>
    </row>
    <row r="86" customFormat="false" ht="15" hidden="false" customHeight="false" outlineLevel="0" collapsed="false">
      <c r="I86" s="0" t="s">
        <v>559</v>
      </c>
      <c r="J86" s="0" t="s">
        <v>508</v>
      </c>
      <c r="K86" s="21" t="n">
        <v>1</v>
      </c>
      <c r="L86" s="21" t="n">
        <v>6.9</v>
      </c>
      <c r="M86" s="21" t="n">
        <v>1.95</v>
      </c>
      <c r="O86" s="22" t="n">
        <f aca="false">ROUND(L86*M86,2)</f>
        <v>13.46</v>
      </c>
      <c r="Y86" s="13" t="s">
        <v>560</v>
      </c>
      <c r="Z86" s="13" t="s">
        <v>490</v>
      </c>
      <c r="AA86" s="21" t="n">
        <v>10</v>
      </c>
      <c r="AB86" s="21" t="n">
        <v>220</v>
      </c>
      <c r="AC86" s="21" t="n">
        <v>0.6</v>
      </c>
      <c r="AD86" s="13" t="n">
        <f aca="false">ROUND(AA86^2/162.162,3)</f>
        <v>0.617</v>
      </c>
      <c r="AE86" s="22" t="n">
        <f aca="false">ROUND(AB86*AC86*AD86,1)</f>
        <v>81.4</v>
      </c>
    </row>
    <row r="87" customFormat="false" ht="15" hidden="false" customHeight="false" outlineLevel="0" collapsed="false">
      <c r="I87" s="0" t="s">
        <v>561</v>
      </c>
      <c r="J87" s="0" t="s">
        <v>562</v>
      </c>
      <c r="K87" s="21" t="n">
        <v>1</v>
      </c>
      <c r="O87" s="22" t="n">
        <f aca="false">ROUND(O81-O82-O83-O85-O86,2)</f>
        <v>743.87</v>
      </c>
      <c r="Y87" s="13" t="s">
        <v>560</v>
      </c>
      <c r="Z87" s="13" t="s">
        <v>494</v>
      </c>
      <c r="AA87" s="21" t="n">
        <v>10</v>
      </c>
      <c r="AB87" s="21" t="n">
        <v>330</v>
      </c>
      <c r="AC87" s="21" t="n">
        <v>1.36</v>
      </c>
      <c r="AD87" s="13" t="n">
        <f aca="false">ROUND(AA87^2/162.162,3)</f>
        <v>0.617</v>
      </c>
      <c r="AE87" s="22" t="n">
        <f aca="false">ROUND(AB87*AC87*AD87,1)</f>
        <v>276.9</v>
      </c>
    </row>
    <row r="88" customFormat="false" ht="15" hidden="false" customHeight="false" outlineLevel="0" collapsed="false">
      <c r="I88" s="0" t="s">
        <v>563</v>
      </c>
      <c r="K88" s="21" t="n">
        <v>1</v>
      </c>
      <c r="L88" s="13" t="n">
        <f aca="false">O83-O84</f>
        <v>484.28</v>
      </c>
      <c r="M88" s="21" t="n">
        <v>1</v>
      </c>
      <c r="N88" s="21" t="n">
        <v>0.15</v>
      </c>
      <c r="O88" s="22" t="n">
        <f aca="false">ROUND(K88*L88*M88*N88,2)</f>
        <v>72.64</v>
      </c>
      <c r="Y88" s="13" t="s">
        <v>560</v>
      </c>
      <c r="Z88" s="13" t="s">
        <v>540</v>
      </c>
      <c r="AA88" s="21" t="n">
        <v>10</v>
      </c>
      <c r="AB88" s="21" t="n">
        <v>330</v>
      </c>
      <c r="AC88" s="21" t="n">
        <v>0.88</v>
      </c>
      <c r="AD88" s="13" t="n">
        <f aca="false">ROUND(AA88^2/162.162,3)</f>
        <v>0.617</v>
      </c>
      <c r="AE88" s="22" t="n">
        <f aca="false">ROUND(AB88*AC88*AD88,1)</f>
        <v>179.2</v>
      </c>
    </row>
    <row r="89" customFormat="false" ht="15" hidden="false" customHeight="false" outlineLevel="0" collapsed="false">
      <c r="I89" s="0" t="s">
        <v>564</v>
      </c>
      <c r="K89" s="21" t="n">
        <v>1</v>
      </c>
      <c r="L89" s="30" t="n">
        <f aca="false">O87</f>
        <v>743.87</v>
      </c>
      <c r="M89" s="21" t="n">
        <v>1</v>
      </c>
      <c r="N89" s="21" t="n">
        <v>0.225</v>
      </c>
      <c r="O89" s="22" t="n">
        <f aca="false">ROUND(K89*L89*M89*N89,2)</f>
        <v>167.37</v>
      </c>
      <c r="Y89" s="13" t="s">
        <v>560</v>
      </c>
      <c r="Z89" s="13" t="s">
        <v>496</v>
      </c>
      <c r="AA89" s="21" t="n">
        <v>16</v>
      </c>
      <c r="AB89" s="21" t="n">
        <v>102</v>
      </c>
      <c r="AC89" s="21" t="n">
        <v>2.42</v>
      </c>
      <c r="AD89" s="13" t="n">
        <f aca="false">ROUND(AA89^2/162.162,3)</f>
        <v>1.579</v>
      </c>
      <c r="AE89" s="22" t="n">
        <f aca="false">ROUND(AB89*AC89*AD89,1)</f>
        <v>389.8</v>
      </c>
    </row>
    <row r="90" customFormat="false" ht="15" hidden="false" customHeight="false" outlineLevel="0" collapsed="false">
      <c r="I90" s="0" t="s">
        <v>565</v>
      </c>
      <c r="K90" s="21" t="n">
        <v>1</v>
      </c>
      <c r="L90" s="30" t="n">
        <f aca="false">O85</f>
        <v>123.12</v>
      </c>
      <c r="M90" s="21" t="n">
        <v>1</v>
      </c>
      <c r="N90" s="21" t="n">
        <v>0.3</v>
      </c>
      <c r="O90" s="22" t="n">
        <f aca="false">ROUND(K90*L90*M90*N90,2)</f>
        <v>36.94</v>
      </c>
      <c r="Y90" s="13" t="s">
        <v>560</v>
      </c>
      <c r="Z90" s="13" t="s">
        <v>552</v>
      </c>
      <c r="AA90" s="21" t="n">
        <v>16</v>
      </c>
      <c r="AB90" s="21" t="n">
        <v>152</v>
      </c>
      <c r="AC90" s="21" t="n">
        <v>3.02</v>
      </c>
      <c r="AD90" s="13" t="n">
        <f aca="false">ROUND(AA90^2/162.162,3)</f>
        <v>1.579</v>
      </c>
      <c r="AE90" s="22" t="n">
        <f aca="false">ROUND(AB90*AC90*AD90,1)</f>
        <v>724.8</v>
      </c>
    </row>
    <row r="91" customFormat="false" ht="15" hidden="false" customHeight="false" outlineLevel="0" collapsed="false">
      <c r="I91" s="10" t="s">
        <v>566</v>
      </c>
      <c r="O91" s="24" t="n">
        <f aca="false">ROUND(SUM(O88:O90),1)</f>
        <v>277</v>
      </c>
      <c r="Y91" s="13" t="s">
        <v>560</v>
      </c>
      <c r="Z91" s="13" t="s">
        <v>500</v>
      </c>
      <c r="AA91" s="21" t="n">
        <v>16</v>
      </c>
      <c r="AB91" s="21" t="n">
        <v>52</v>
      </c>
      <c r="AC91" s="21" t="n">
        <v>5.2</v>
      </c>
      <c r="AD91" s="13" t="n">
        <f aca="false">ROUND(AA91^2/162.162,3)</f>
        <v>1.579</v>
      </c>
      <c r="AE91" s="22" t="n">
        <f aca="false">ROUND(AB91*AC91*AD91,1)</f>
        <v>427</v>
      </c>
    </row>
    <row r="92" customFormat="false" ht="15" hidden="false" customHeight="false" outlineLevel="0" collapsed="false">
      <c r="Y92" s="0" t="s">
        <v>560</v>
      </c>
      <c r="Z92" s="0" t="s">
        <v>503</v>
      </c>
      <c r="AA92" s="21" t="n">
        <v>25</v>
      </c>
      <c r="AB92" s="21" t="n">
        <v>64</v>
      </c>
      <c r="AC92" s="21" t="n">
        <v>5.2</v>
      </c>
      <c r="AD92" s="13" t="n">
        <f aca="false">ROUND(AA92^2/162.162,3)</f>
        <v>3.854</v>
      </c>
      <c r="AE92" s="22" t="n">
        <f aca="false">ROUND(AB92*AC92*AD92,1)</f>
        <v>1282.6</v>
      </c>
    </row>
    <row r="93" customFormat="false" ht="15" hidden="false" customHeight="false" outlineLevel="0" collapsed="false">
      <c r="I93" s="0" t="s">
        <v>567</v>
      </c>
      <c r="O93" s="0" t="n">
        <f aca="false">L88+L89+L90</f>
        <v>1351.27</v>
      </c>
      <c r="Y93" s="0" t="s">
        <v>560</v>
      </c>
      <c r="Z93" s="0" t="s">
        <v>568</v>
      </c>
      <c r="AA93" s="21" t="n">
        <v>16</v>
      </c>
      <c r="AB93" s="21" t="n">
        <v>12</v>
      </c>
      <c r="AC93" s="21" t="n">
        <v>2.7</v>
      </c>
      <c r="AD93" s="13" t="n">
        <f aca="false">ROUND(AA93^2/162.162,3)</f>
        <v>1.579</v>
      </c>
      <c r="AE93" s="22" t="n">
        <f aca="false">ROUND(AB93*AC93*AD93,1)</f>
        <v>51.2</v>
      </c>
    </row>
    <row r="94" customFormat="false" ht="15" hidden="false" customHeight="false" outlineLevel="0" collapsed="false">
      <c r="Y94" s="10" t="s">
        <v>569</v>
      </c>
      <c r="AE94" s="27" t="n">
        <f aca="false">ROUND(SUM(AE51:AE93),1)</f>
        <v>17466.7</v>
      </c>
    </row>
    <row r="95" customFormat="false" ht="15" hidden="false" customHeight="false" outlineLevel="0" collapsed="false">
      <c r="I95" s="11" t="s">
        <v>570</v>
      </c>
    </row>
    <row r="96" customFormat="false" ht="15" hidden="false" customHeight="false" outlineLevel="0" collapsed="false">
      <c r="I96" s="0" t="s">
        <v>571</v>
      </c>
      <c r="J96" s="0" t="s">
        <v>572</v>
      </c>
      <c r="K96" s="21" t="n">
        <v>1</v>
      </c>
      <c r="L96" s="21" t="n">
        <v>25.2</v>
      </c>
      <c r="M96" s="21" t="n">
        <v>0.3</v>
      </c>
      <c r="N96" s="13" t="n">
        <f aca="false">1.35-0.15</f>
        <v>1.2</v>
      </c>
      <c r="O96" s="22" t="n">
        <f aca="false">ROUND(K96*L96*M96*N96,2)</f>
        <v>9.07</v>
      </c>
      <c r="Y96" s="11" t="s">
        <v>573</v>
      </c>
    </row>
    <row r="97" customFormat="false" ht="15" hidden="false" customHeight="false" outlineLevel="0" collapsed="false">
      <c r="I97" s="0" t="s">
        <v>574</v>
      </c>
      <c r="J97" s="0" t="s">
        <v>572</v>
      </c>
      <c r="K97" s="21" t="n">
        <v>1</v>
      </c>
      <c r="L97" s="21" t="n">
        <v>26.4</v>
      </c>
      <c r="M97" s="21" t="n">
        <v>0.6</v>
      </c>
      <c r="N97" s="13" t="n">
        <f aca="false">1.2-0.15</f>
        <v>1.05</v>
      </c>
      <c r="O97" s="22" t="n">
        <f aca="false">ROUND(K97*L97*M97*N97,2)</f>
        <v>16.63</v>
      </c>
      <c r="Y97" s="13" t="s">
        <v>575</v>
      </c>
      <c r="Z97" s="13" t="s">
        <v>576</v>
      </c>
      <c r="AA97" s="21" t="n">
        <v>12</v>
      </c>
      <c r="AB97" s="21" t="n">
        <v>85</v>
      </c>
      <c r="AC97" s="21" t="n">
        <v>9</v>
      </c>
      <c r="AD97" s="13" t="n">
        <f aca="false">ROUND(AA97^2/162.162,3)</f>
        <v>0.888</v>
      </c>
      <c r="AE97" s="22" t="n">
        <f aca="false">ROUND(AB97*AC97*AD97,1)</f>
        <v>679.3</v>
      </c>
    </row>
    <row r="98" customFormat="false" ht="15" hidden="false" customHeight="false" outlineLevel="0" collapsed="false">
      <c r="I98" s="0" t="s">
        <v>577</v>
      </c>
      <c r="J98" s="0" t="s">
        <v>572</v>
      </c>
      <c r="K98" s="21" t="n">
        <v>1</v>
      </c>
      <c r="L98" s="21" t="n">
        <v>41.8</v>
      </c>
      <c r="M98" s="21" t="n">
        <v>0.3</v>
      </c>
      <c r="N98" s="13" t="n">
        <f aca="false">0.975-0.15</f>
        <v>0.825</v>
      </c>
      <c r="O98" s="22" t="n">
        <f aca="false">ROUND(K98*L98*M98*N98,2)</f>
        <v>10.35</v>
      </c>
      <c r="Y98" s="13" t="s">
        <v>575</v>
      </c>
      <c r="Z98" s="13" t="s">
        <v>578</v>
      </c>
      <c r="AA98" s="21" t="n">
        <v>12</v>
      </c>
      <c r="AB98" s="21" t="n">
        <v>85</v>
      </c>
      <c r="AC98" s="21" t="n">
        <v>9</v>
      </c>
      <c r="AD98" s="13" t="n">
        <f aca="false">ROUND(AA98^2/162.162,3)</f>
        <v>0.888</v>
      </c>
      <c r="AE98" s="22" t="n">
        <f aca="false">ROUND(AB98*AC98*AD98,1)</f>
        <v>679.3</v>
      </c>
    </row>
    <row r="99" customFormat="false" ht="15" hidden="false" customHeight="false" outlineLevel="0" collapsed="false">
      <c r="I99" s="0" t="s">
        <v>579</v>
      </c>
      <c r="J99" s="0" t="s">
        <v>572</v>
      </c>
      <c r="K99" s="21" t="n">
        <v>1</v>
      </c>
      <c r="L99" s="21" t="n">
        <v>8.2</v>
      </c>
      <c r="M99" s="21" t="n">
        <v>0.5</v>
      </c>
      <c r="N99" s="13" t="n">
        <f aca="false">0.975-0.15</f>
        <v>0.825</v>
      </c>
      <c r="O99" s="22" t="n">
        <f aca="false">ROUND(K99*L99*M99*N99,2)</f>
        <v>3.38</v>
      </c>
      <c r="Y99" s="13" t="s">
        <v>580</v>
      </c>
      <c r="Z99" s="13" t="s">
        <v>581</v>
      </c>
      <c r="AA99" s="21" t="n">
        <v>10</v>
      </c>
      <c r="AB99" s="21" t="n">
        <v>808</v>
      </c>
      <c r="AC99" s="21" t="n">
        <v>0.9</v>
      </c>
      <c r="AD99" s="13" t="n">
        <f aca="false">ROUND(AA99^2/162.162,3)</f>
        <v>0.617</v>
      </c>
      <c r="AE99" s="22" t="n">
        <f aca="false">ROUND(AB99*AC99*AD99,1)</f>
        <v>448.7</v>
      </c>
    </row>
    <row r="100" customFormat="false" ht="15" hidden="false" customHeight="false" outlineLevel="0" collapsed="false">
      <c r="I100" s="0" t="s">
        <v>582</v>
      </c>
      <c r="J100" s="0" t="s">
        <v>572</v>
      </c>
      <c r="K100" s="21" t="n">
        <v>1</v>
      </c>
      <c r="L100" s="21" t="n">
        <v>7.8</v>
      </c>
      <c r="M100" s="21" t="n">
        <v>0.5</v>
      </c>
      <c r="N100" s="13" t="n">
        <f aca="false">0.75-0.15</f>
        <v>0.6</v>
      </c>
      <c r="O100" s="22" t="n">
        <f aca="false">ROUND(K100*L100*M100*N100,2)</f>
        <v>2.34</v>
      </c>
      <c r="Y100" s="10" t="s">
        <v>583</v>
      </c>
      <c r="AE100" s="27" t="n">
        <f aca="false">ROUND(SUM(AE97:AE99),1)</f>
        <v>1807.3</v>
      </c>
    </row>
    <row r="101" customFormat="false" ht="15" hidden="false" customHeight="false" outlineLevel="0" collapsed="false">
      <c r="I101" s="0" t="s">
        <v>584</v>
      </c>
      <c r="J101" s="0" t="s">
        <v>572</v>
      </c>
      <c r="K101" s="21" t="n">
        <v>1</v>
      </c>
      <c r="L101" s="21" t="n">
        <v>8.1</v>
      </c>
      <c r="M101" s="21" t="n">
        <v>0.3</v>
      </c>
      <c r="N101" s="13" t="n">
        <f aca="false">0.75-0.15</f>
        <v>0.6</v>
      </c>
      <c r="O101" s="22" t="n">
        <f aca="false">ROUND(K101*L101*M101*N101,2)</f>
        <v>1.46</v>
      </c>
    </row>
    <row r="102" customFormat="false" ht="15" hidden="false" customHeight="false" outlineLevel="0" collapsed="false">
      <c r="I102" s="0" t="s">
        <v>585</v>
      </c>
      <c r="J102" s="0" t="s">
        <v>572</v>
      </c>
      <c r="K102" s="21" t="n">
        <v>1</v>
      </c>
      <c r="L102" s="21" t="n">
        <v>301.5</v>
      </c>
      <c r="M102" s="21" t="n">
        <v>0.3</v>
      </c>
      <c r="N102" s="13" t="n">
        <f aca="false">0.6-0.15</f>
        <v>0.45</v>
      </c>
      <c r="O102" s="22" t="n">
        <f aca="false">ROUND(K102*L102*M102*N102,2)</f>
        <v>40.7</v>
      </c>
      <c r="Y102" s="11" t="s">
        <v>586</v>
      </c>
    </row>
    <row r="103" customFormat="false" ht="15" hidden="false" customHeight="false" outlineLevel="0" collapsed="false">
      <c r="I103" s="0" t="s">
        <v>587</v>
      </c>
      <c r="J103" s="0" t="s">
        <v>588</v>
      </c>
      <c r="K103" s="21" t="n">
        <v>1</v>
      </c>
      <c r="L103" s="21" t="n">
        <v>6.8</v>
      </c>
      <c r="M103" s="21" t="n">
        <v>0.2</v>
      </c>
      <c r="N103" s="21" t="n">
        <v>0.6</v>
      </c>
      <c r="O103" s="22" t="n">
        <f aca="false">ROUND(K103*L103*M103*N103,2)</f>
        <v>0.82</v>
      </c>
      <c r="Y103" s="13" t="s">
        <v>589</v>
      </c>
      <c r="Z103" s="13" t="s">
        <v>590</v>
      </c>
      <c r="AA103" s="21" t="n">
        <v>12</v>
      </c>
      <c r="AB103" s="21" t="n">
        <v>19</v>
      </c>
      <c r="AC103" s="21" t="n">
        <v>9.05</v>
      </c>
      <c r="AD103" s="13" t="n">
        <f aca="false">ROUND(AA103^2/162.162,3)</f>
        <v>0.888</v>
      </c>
      <c r="AE103" s="22" t="n">
        <f aca="false">ROUND(AB103*AC103*AD103,1)</f>
        <v>152.7</v>
      </c>
    </row>
    <row r="104" customFormat="false" ht="15" hidden="false" customHeight="false" outlineLevel="0" collapsed="false">
      <c r="I104" s="0" t="s">
        <v>591</v>
      </c>
      <c r="J104" s="0" t="s">
        <v>592</v>
      </c>
      <c r="K104" s="21" t="n">
        <v>1</v>
      </c>
      <c r="L104" s="21" t="n">
        <v>12</v>
      </c>
      <c r="M104" s="21" t="n">
        <v>0.2</v>
      </c>
      <c r="N104" s="21" t="n">
        <v>0.75</v>
      </c>
      <c r="O104" s="22" t="n">
        <f aca="false">ROUND(K104*L104*M104*N104,2)</f>
        <v>1.8</v>
      </c>
      <c r="Y104" s="13" t="s">
        <v>589</v>
      </c>
      <c r="Z104" s="13" t="s">
        <v>593</v>
      </c>
      <c r="AA104" s="21" t="n">
        <v>12</v>
      </c>
      <c r="AB104" s="21" t="n">
        <v>19</v>
      </c>
      <c r="AC104" s="21" t="n">
        <v>5.95</v>
      </c>
      <c r="AD104" s="13" t="n">
        <f aca="false">ROUND(AA104^2/162.162,3)</f>
        <v>0.888</v>
      </c>
      <c r="AE104" s="22" t="n">
        <f aca="false">ROUND(AB104*AC104*AD104,1)</f>
        <v>100.4</v>
      </c>
    </row>
    <row r="105" customFormat="false" ht="15" hidden="false" customHeight="false" outlineLevel="0" collapsed="false">
      <c r="I105" s="10" t="s">
        <v>594</v>
      </c>
      <c r="O105" s="24" t="n">
        <f aca="false">ROUND(SUM(O96:O104),1)</f>
        <v>86.6</v>
      </c>
      <c r="Y105" s="13" t="s">
        <v>589</v>
      </c>
      <c r="Z105" s="13" t="s">
        <v>595</v>
      </c>
      <c r="AA105" s="21" t="n">
        <v>12</v>
      </c>
      <c r="AB105" s="21" t="n">
        <v>24</v>
      </c>
      <c r="AC105" s="21" t="n">
        <v>10.75</v>
      </c>
      <c r="AD105" s="13" t="n">
        <f aca="false">ROUND(AA105^2/162.162,3)</f>
        <v>0.888</v>
      </c>
      <c r="AE105" s="22" t="n">
        <f aca="false">ROUND(AB105*AC105*AD105,1)</f>
        <v>229.1</v>
      </c>
    </row>
    <row r="106" customFormat="false" ht="15" hidden="false" customHeight="false" outlineLevel="0" collapsed="false">
      <c r="Y106" s="0" t="s">
        <v>589</v>
      </c>
      <c r="Z106" s="0" t="s">
        <v>596</v>
      </c>
      <c r="AA106" s="21" t="n">
        <v>12</v>
      </c>
      <c r="AB106" s="21" t="n">
        <v>20</v>
      </c>
      <c r="AC106" s="21" t="n">
        <v>7.3</v>
      </c>
      <c r="AD106" s="13" t="n">
        <f aca="false">ROUND(AA106^2/162.162,3)</f>
        <v>0.888</v>
      </c>
      <c r="AE106" s="22" t="n">
        <f aca="false">ROUND(AB106*AC106*AD106,1)</f>
        <v>129.6</v>
      </c>
    </row>
    <row r="107" customFormat="false" ht="15" hidden="false" customHeight="false" outlineLevel="0" collapsed="false">
      <c r="I107" s="0" t="s">
        <v>597</v>
      </c>
      <c r="O107" s="0" t="n">
        <f aca="false">L96*1.35*0.3+L97*1.2*0.6+L98*0.975*0.3+L99*0.975*0.5+L100*0.75*0.5+L101*0.75*0.3+L102*0.6*0.3+L103*0.6*0.2+L104*0.75*0.2</f>
        <v>107.0715</v>
      </c>
      <c r="Y107" s="0" t="s">
        <v>589</v>
      </c>
      <c r="Z107" s="0" t="s">
        <v>598</v>
      </c>
      <c r="AA107" s="21" t="n">
        <v>12</v>
      </c>
      <c r="AB107" s="21" t="n">
        <v>20</v>
      </c>
      <c r="AC107" s="21" t="n">
        <v>8.2</v>
      </c>
      <c r="AD107" s="13" t="n">
        <f aca="false">ROUND(AA107^2/162.162,3)</f>
        <v>0.888</v>
      </c>
      <c r="AE107" s="22" t="n">
        <f aca="false">ROUND(AB107*AC107*AD107,1)</f>
        <v>145.6</v>
      </c>
    </row>
    <row r="108" customFormat="false" ht="15" hidden="false" customHeight="false" outlineLevel="0" collapsed="false">
      <c r="Y108" s="0" t="s">
        <v>589</v>
      </c>
      <c r="Z108" s="0" t="s">
        <v>599</v>
      </c>
      <c r="AA108" s="21" t="n">
        <v>12</v>
      </c>
      <c r="AB108" s="21" t="n">
        <v>20</v>
      </c>
      <c r="AC108" s="21" t="n">
        <v>8.7</v>
      </c>
      <c r="AD108" s="13" t="n">
        <f aca="false">ROUND(AA108^2/162.162,3)</f>
        <v>0.888</v>
      </c>
      <c r="AE108" s="22" t="n">
        <f aca="false">ROUND(AB108*AC108*AD108,1)</f>
        <v>154.5</v>
      </c>
    </row>
    <row r="109" customFormat="false" ht="15" hidden="false" customHeight="false" outlineLevel="0" collapsed="false">
      <c r="I109" s="11" t="s">
        <v>600</v>
      </c>
      <c r="Y109" s="13" t="s">
        <v>589</v>
      </c>
      <c r="Z109" s="13" t="s">
        <v>601</v>
      </c>
      <c r="AA109" s="21" t="n">
        <v>12</v>
      </c>
      <c r="AB109" s="21" t="n">
        <v>20</v>
      </c>
      <c r="AC109" s="21" t="n">
        <v>9.2</v>
      </c>
      <c r="AD109" s="13" t="n">
        <f aca="false">ROUND(AA109^2/162.162,3)</f>
        <v>0.888</v>
      </c>
      <c r="AE109" s="22" t="n">
        <f aca="false">ROUND(AB109*AC109*AD109,1)</f>
        <v>163.4</v>
      </c>
    </row>
    <row r="110" customFormat="false" ht="15" hidden="false" customHeight="false" outlineLevel="0" collapsed="false">
      <c r="I110" s="0" t="s">
        <v>602</v>
      </c>
      <c r="J110" s="0" t="s">
        <v>603</v>
      </c>
      <c r="K110" s="21" t="n">
        <v>1</v>
      </c>
      <c r="O110" s="22" t="n">
        <f aca="false">K50*L50*M50+K51*L51*M51+K52*L52*M52+K53*L53*M53+K54*L54*M54+K55*L55*M55+K56*L56*M56+K57*L57*M57+K58*L58*M58+K59*L59*M59*($AP$7-$AP$8)</f>
        <v>6.763</v>
      </c>
      <c r="Y110" s="13" t="s">
        <v>589</v>
      </c>
      <c r="Z110" s="13" t="s">
        <v>604</v>
      </c>
      <c r="AA110" s="21" t="n">
        <v>12</v>
      </c>
      <c r="AB110" s="21" t="n">
        <v>65</v>
      </c>
      <c r="AC110" s="21" t="n">
        <v>9.85</v>
      </c>
      <c r="AD110" s="13" t="n">
        <f aca="false">ROUND(AA110^2/162.162,3)</f>
        <v>0.888</v>
      </c>
      <c r="AE110" s="22" t="n">
        <f aca="false">ROUND(AB110*AC110*AD110,1)</f>
        <v>568.5</v>
      </c>
    </row>
    <row r="111" customFormat="false" ht="15" hidden="false" customHeight="false" outlineLevel="0" collapsed="false">
      <c r="I111" s="0" t="s">
        <v>605</v>
      </c>
      <c r="K111" s="21" t="n">
        <v>1</v>
      </c>
      <c r="O111" s="22" t="n">
        <f aca="false">(L63*M63+L64*M64+L65*M65+L66*M66+L67*M67+L68*M68+L69*M69)*($AP$7-$AP$8)</f>
        <v>27.1285</v>
      </c>
      <c r="Y111" s="13" t="s">
        <v>589</v>
      </c>
      <c r="Z111" s="13" t="s">
        <v>606</v>
      </c>
      <c r="AA111" s="21" t="n">
        <v>12</v>
      </c>
      <c r="AB111" s="21" t="n">
        <v>12</v>
      </c>
      <c r="AC111" s="21" t="n">
        <v>3.95</v>
      </c>
      <c r="AD111" s="13" t="n">
        <f aca="false">ROUND(AA111^2/162.162,3)</f>
        <v>0.888</v>
      </c>
      <c r="AE111" s="22" t="n">
        <f aca="false">ROUND(AB111*AC111*AD111,1)</f>
        <v>42.1</v>
      </c>
    </row>
    <row r="112" customFormat="false" ht="15" hidden="false" customHeight="false" outlineLevel="0" collapsed="false">
      <c r="I112" s="0" t="s">
        <v>607</v>
      </c>
      <c r="K112" s="21" t="n">
        <v>1</v>
      </c>
      <c r="L112" s="13" t="n">
        <f aca="false">$AP$16+$AP$17</f>
        <v>123.4</v>
      </c>
      <c r="M112" s="21" t="n">
        <v>0.3</v>
      </c>
      <c r="N112" s="13" t="n">
        <f aca="false">$AP$7-($AP$9+$AP$21)</f>
        <v>1.6</v>
      </c>
      <c r="O112" s="22" t="n">
        <f aca="false">ROUND(K112*L112*M112*N112,2)</f>
        <v>59.23</v>
      </c>
      <c r="Y112" s="13" t="s">
        <v>589</v>
      </c>
      <c r="Z112" s="13" t="s">
        <v>608</v>
      </c>
      <c r="AA112" s="21" t="n">
        <v>12</v>
      </c>
      <c r="AB112" s="21" t="n">
        <v>168</v>
      </c>
      <c r="AC112" s="21" t="n">
        <v>8.7</v>
      </c>
      <c r="AD112" s="13" t="n">
        <f aca="false">ROUND(AA112^2/162.162,3)</f>
        <v>0.888</v>
      </c>
      <c r="AE112" s="22" t="n">
        <f aca="false">ROUND(AB112*AC112*AD112,1)</f>
        <v>1297.9</v>
      </c>
    </row>
    <row r="113" customFormat="false" ht="15" hidden="false" customHeight="false" outlineLevel="0" collapsed="false">
      <c r="I113" s="10" t="s">
        <v>609</v>
      </c>
      <c r="O113" s="24" t="n">
        <f aca="false">ROUND(SUM(O110:O112),1)</f>
        <v>93.1</v>
      </c>
      <c r="Y113" s="13" t="s">
        <v>589</v>
      </c>
      <c r="Z113" s="13" t="s">
        <v>610</v>
      </c>
      <c r="AA113" s="21" t="n">
        <v>12</v>
      </c>
      <c r="AB113" s="21" t="n">
        <v>107</v>
      </c>
      <c r="AC113" s="21" t="n">
        <v>8.8</v>
      </c>
      <c r="AD113" s="13" t="n">
        <f aca="false">ROUND(AA113^2/162.162,3)</f>
        <v>0.888</v>
      </c>
      <c r="AE113" s="22" t="n">
        <f aca="false">ROUND(AB113*AC113*AD113,1)</f>
        <v>836.1</v>
      </c>
    </row>
    <row r="114" customFormat="false" ht="15" hidden="false" customHeight="false" outlineLevel="0" collapsed="false">
      <c r="Y114" s="0" t="s">
        <v>589</v>
      </c>
      <c r="Z114" s="0" t="s">
        <v>611</v>
      </c>
      <c r="AA114" s="21" t="n">
        <v>12</v>
      </c>
      <c r="AB114" s="21" t="n">
        <v>32</v>
      </c>
      <c r="AC114" s="21" t="n">
        <v>9.7</v>
      </c>
      <c r="AD114" s="13" t="n">
        <f aca="false">ROUND(AA114^2/162.162,3)</f>
        <v>0.888</v>
      </c>
      <c r="AE114" s="22" t="n">
        <f aca="false">ROUND(AB114*AC114*AD114,1)</f>
        <v>275.6</v>
      </c>
    </row>
    <row r="115" customFormat="false" ht="15" hidden="false" customHeight="false" outlineLevel="0" collapsed="false">
      <c r="Y115" s="0" t="s">
        <v>589</v>
      </c>
      <c r="Z115" s="0" t="s">
        <v>612</v>
      </c>
      <c r="AA115" s="21" t="n">
        <v>12</v>
      </c>
      <c r="AB115" s="21" t="n">
        <v>43</v>
      </c>
      <c r="AC115" s="21" t="n">
        <v>9.05</v>
      </c>
      <c r="AD115" s="13" t="n">
        <f aca="false">ROUND(AA115^2/162.162,3)</f>
        <v>0.888</v>
      </c>
      <c r="AE115" s="22" t="n">
        <f aca="false">ROUND(AB115*AC115*AD115,1)</f>
        <v>345.6</v>
      </c>
    </row>
    <row r="116" customFormat="false" ht="15" hidden="false" customHeight="false" outlineLevel="0" collapsed="false">
      <c r="Y116" s="0" t="s">
        <v>589</v>
      </c>
      <c r="Z116" s="0" t="s">
        <v>613</v>
      </c>
      <c r="AA116" s="21" t="n">
        <v>12</v>
      </c>
      <c r="AB116" s="21" t="n">
        <v>43</v>
      </c>
      <c r="AC116" s="21" t="n">
        <v>6.7</v>
      </c>
      <c r="AD116" s="13" t="n">
        <f aca="false">ROUND(AA116^2/162.162,3)</f>
        <v>0.888</v>
      </c>
      <c r="AE116" s="22" t="n">
        <f aca="false">ROUND(AB116*AC116*AD116,1)</f>
        <v>255.8</v>
      </c>
    </row>
    <row r="117" customFormat="false" ht="15" hidden="false" customHeight="false" outlineLevel="0" collapsed="false">
      <c r="Y117" s="0" t="s">
        <v>589</v>
      </c>
      <c r="Z117" s="0" t="s">
        <v>614</v>
      </c>
      <c r="AA117" s="21" t="n">
        <v>12</v>
      </c>
      <c r="AB117" s="21" t="n">
        <v>152</v>
      </c>
      <c r="AC117" s="21" t="n">
        <v>7.6</v>
      </c>
      <c r="AD117" s="13" t="n">
        <f aca="false">ROUND(AA117^2/162.162,3)</f>
        <v>0.888</v>
      </c>
      <c r="AE117" s="22" t="n">
        <f aca="false">ROUND(AB117*AC117*AD117,1)</f>
        <v>1025.8</v>
      </c>
    </row>
    <row r="118" customFormat="false" ht="15" hidden="false" customHeight="false" outlineLevel="0" collapsed="false">
      <c r="Y118" s="0" t="s">
        <v>589</v>
      </c>
      <c r="Z118" s="0" t="s">
        <v>615</v>
      </c>
      <c r="AA118" s="21" t="n">
        <v>12</v>
      </c>
      <c r="AB118" s="21" t="n">
        <v>132</v>
      </c>
      <c r="AC118" s="21" t="n">
        <v>7.5</v>
      </c>
      <c r="AD118" s="13" t="n">
        <f aca="false">ROUND(AA118^2/162.162,3)</f>
        <v>0.888</v>
      </c>
      <c r="AE118" s="22" t="n">
        <f aca="false">ROUND(AB118*AC118*AD118,1)</f>
        <v>879.1</v>
      </c>
    </row>
    <row r="119" customFormat="false" ht="15" hidden="false" customHeight="false" outlineLevel="0" collapsed="false">
      <c r="Y119" s="0" t="s">
        <v>589</v>
      </c>
      <c r="Z119" s="0" t="s">
        <v>616</v>
      </c>
      <c r="AA119" s="21" t="n">
        <v>12</v>
      </c>
      <c r="AB119" s="21" t="n">
        <v>195</v>
      </c>
      <c r="AC119" s="21" t="n">
        <v>7.2</v>
      </c>
      <c r="AD119" s="13" t="n">
        <f aca="false">ROUND(AA119^2/162.162,3)</f>
        <v>0.888</v>
      </c>
      <c r="AE119" s="22" t="n">
        <f aca="false">ROUND(AB119*AC119*AD119,1)</f>
        <v>1246.8</v>
      </c>
    </row>
    <row r="120" customFormat="false" ht="15" hidden="false" customHeight="false" outlineLevel="0" collapsed="false">
      <c r="Y120" s="0" t="s">
        <v>589</v>
      </c>
      <c r="Z120" s="0" t="s">
        <v>617</v>
      </c>
      <c r="AA120" s="21" t="n">
        <v>12</v>
      </c>
      <c r="AB120" s="21" t="n">
        <v>156</v>
      </c>
      <c r="AC120" s="21" t="n">
        <v>7.375</v>
      </c>
      <c r="AD120" s="13" t="n">
        <f aca="false">ROUND(AA120^2/162.162,3)</f>
        <v>0.888</v>
      </c>
      <c r="AE120" s="22" t="n">
        <f aca="false">ROUND(AB120*AC120*AD120,1)</f>
        <v>1021.6</v>
      </c>
    </row>
    <row r="121" customFormat="false" ht="15" hidden="false" customHeight="false" outlineLevel="0" collapsed="false">
      <c r="Y121" s="0" t="s">
        <v>589</v>
      </c>
      <c r="Z121" s="0" t="s">
        <v>618</v>
      </c>
      <c r="AA121" s="21" t="n">
        <v>12</v>
      </c>
      <c r="AB121" s="21" t="n">
        <v>98</v>
      </c>
      <c r="AC121" s="21" t="n">
        <v>8.6</v>
      </c>
      <c r="AD121" s="13" t="n">
        <f aca="false">ROUND(AA121^2/162.162,3)</f>
        <v>0.888</v>
      </c>
      <c r="AE121" s="22" t="n">
        <f aca="false">ROUND(AB121*AC121*AD121,1)</f>
        <v>748.4</v>
      </c>
    </row>
    <row r="122" customFormat="false" ht="15" hidden="false" customHeight="false" outlineLevel="0" collapsed="false">
      <c r="Y122" s="0" t="s">
        <v>589</v>
      </c>
      <c r="Z122" s="0" t="s">
        <v>619</v>
      </c>
      <c r="AA122" s="21" t="n">
        <v>12</v>
      </c>
      <c r="AB122" s="21" t="n">
        <v>459</v>
      </c>
      <c r="AC122" s="21" t="n">
        <v>12</v>
      </c>
      <c r="AD122" s="13" t="n">
        <f aca="false">ROUND(AA122^2/162.162,3)</f>
        <v>0.888</v>
      </c>
      <c r="AE122" s="22" t="n">
        <f aca="false">ROUND(AB122*AC122*AD122,1)</f>
        <v>4891.1</v>
      </c>
    </row>
    <row r="123" customFormat="false" ht="15" hidden="false" customHeight="false" outlineLevel="0" collapsed="false">
      <c r="Y123" s="0" t="s">
        <v>589</v>
      </c>
      <c r="Z123" s="0" t="s">
        <v>620</v>
      </c>
      <c r="AA123" s="21" t="n">
        <v>12</v>
      </c>
      <c r="AB123" s="21" t="n">
        <v>250</v>
      </c>
      <c r="AC123" s="21" t="n">
        <v>5.7</v>
      </c>
      <c r="AD123" s="13" t="n">
        <f aca="false">ROUND(AA123^2/162.162,3)</f>
        <v>0.888</v>
      </c>
      <c r="AE123" s="22" t="n">
        <f aca="false">ROUND(AB123*AC123*AD123,1)</f>
        <v>1265.4</v>
      </c>
    </row>
    <row r="124" customFormat="false" ht="15" hidden="false" customHeight="false" outlineLevel="0" collapsed="false">
      <c r="Y124" s="0" t="s">
        <v>589</v>
      </c>
      <c r="Z124" s="0" t="s">
        <v>621</v>
      </c>
      <c r="AA124" s="21" t="n">
        <v>12</v>
      </c>
      <c r="AB124" s="21" t="n">
        <v>137</v>
      </c>
      <c r="AC124" s="21" t="n">
        <v>6.7</v>
      </c>
      <c r="AD124" s="13" t="n">
        <f aca="false">ROUND(AA124^2/162.162,3)</f>
        <v>0.888</v>
      </c>
      <c r="AE124" s="22" t="n">
        <f aca="false">ROUND(AB124*AC124*AD124,1)</f>
        <v>815.1</v>
      </c>
    </row>
    <row r="125" customFormat="false" ht="15" hidden="false" customHeight="false" outlineLevel="0" collapsed="false">
      <c r="Y125" s="0" t="s">
        <v>589</v>
      </c>
      <c r="Z125" s="0" t="s">
        <v>622</v>
      </c>
      <c r="AA125" s="21" t="n">
        <v>12</v>
      </c>
      <c r="AB125" s="21" t="n">
        <v>274</v>
      </c>
      <c r="AC125" s="21" t="n">
        <v>7.4</v>
      </c>
      <c r="AD125" s="13" t="n">
        <f aca="false">ROUND(AA125^2/162.162,3)</f>
        <v>0.888</v>
      </c>
      <c r="AE125" s="22" t="n">
        <f aca="false">ROUND(AB125*AC125*AD125,1)</f>
        <v>1800.5</v>
      </c>
    </row>
    <row r="126" customFormat="false" ht="15" hidden="false" customHeight="false" outlineLevel="0" collapsed="false">
      <c r="Y126" s="0" t="s">
        <v>589</v>
      </c>
      <c r="Z126" s="0" t="s">
        <v>623</v>
      </c>
      <c r="AA126" s="21" t="n">
        <v>12</v>
      </c>
      <c r="AB126" s="21" t="n">
        <v>68</v>
      </c>
      <c r="AC126" s="21" t="n">
        <v>9.75</v>
      </c>
      <c r="AD126" s="13" t="n">
        <f aca="false">ROUND(AA126^2/162.162,3)</f>
        <v>0.888</v>
      </c>
      <c r="AE126" s="22" t="n">
        <f aca="false">ROUND(AB126*AC126*AD126,1)</f>
        <v>588.7</v>
      </c>
    </row>
    <row r="127" customFormat="false" ht="15" hidden="false" customHeight="false" outlineLevel="0" collapsed="false">
      <c r="Y127" s="0" t="s">
        <v>589</v>
      </c>
      <c r="Z127" s="0" t="s">
        <v>624</v>
      </c>
      <c r="AA127" s="21" t="n">
        <v>12</v>
      </c>
      <c r="AB127" s="21" t="n">
        <v>68</v>
      </c>
      <c r="AC127" s="21" t="n">
        <v>7.05</v>
      </c>
      <c r="AD127" s="13" t="n">
        <f aca="false">ROUND(AA127^2/162.162,3)</f>
        <v>0.888</v>
      </c>
      <c r="AE127" s="22" t="n">
        <f aca="false">ROUND(AB127*AC127*AD127,1)</f>
        <v>425.7</v>
      </c>
    </row>
    <row r="128" customFormat="false" ht="15" hidden="false" customHeight="false" outlineLevel="0" collapsed="false">
      <c r="Y128" s="0" t="s">
        <v>589</v>
      </c>
      <c r="Z128" s="0" t="s">
        <v>625</v>
      </c>
      <c r="AA128" s="21" t="n">
        <v>12</v>
      </c>
      <c r="AB128" s="21" t="n">
        <v>205</v>
      </c>
      <c r="AC128" s="21" t="n">
        <v>9.4</v>
      </c>
      <c r="AD128" s="13" t="n">
        <f aca="false">ROUND(AA128^2/162.162,3)</f>
        <v>0.888</v>
      </c>
      <c r="AE128" s="22" t="n">
        <f aca="false">ROUND(AB128*AC128*AD128,1)</f>
        <v>1711.2</v>
      </c>
    </row>
    <row r="129" customFormat="false" ht="15" hidden="false" customHeight="false" outlineLevel="0" collapsed="false">
      <c r="Y129" s="0" t="s">
        <v>589</v>
      </c>
      <c r="Z129" s="0" t="s">
        <v>626</v>
      </c>
      <c r="AA129" s="21" t="n">
        <v>12</v>
      </c>
      <c r="AB129" s="21" t="n">
        <v>30</v>
      </c>
      <c r="AC129" s="21" t="n">
        <v>7.35</v>
      </c>
      <c r="AD129" s="13" t="n">
        <f aca="false">ROUND(AA129^2/162.162,3)</f>
        <v>0.888</v>
      </c>
      <c r="AE129" s="22" t="n">
        <f aca="false">ROUND(AB129*AC129*AD129,1)</f>
        <v>195.8</v>
      </c>
    </row>
    <row r="130" customFormat="false" ht="15" hidden="false" customHeight="false" outlineLevel="0" collapsed="false">
      <c r="Y130" s="0" t="s">
        <v>589</v>
      </c>
      <c r="Z130" s="0" t="s">
        <v>627</v>
      </c>
      <c r="AA130" s="21" t="n">
        <v>12</v>
      </c>
      <c r="AB130" s="21" t="n">
        <v>75</v>
      </c>
      <c r="AC130" s="21" t="n">
        <v>5.1</v>
      </c>
      <c r="AD130" s="13" t="n">
        <f aca="false">ROUND(AA130^2/162.162,3)</f>
        <v>0.888</v>
      </c>
      <c r="AE130" s="22" t="n">
        <f aca="false">ROUND(AB130*AC130*AD130,1)</f>
        <v>339.7</v>
      </c>
    </row>
    <row r="131" customFormat="false" ht="15" hidden="false" customHeight="false" outlineLevel="0" collapsed="false">
      <c r="Y131" s="0" t="s">
        <v>589</v>
      </c>
      <c r="Z131" s="0" t="s">
        <v>628</v>
      </c>
      <c r="AA131" s="21" t="n">
        <v>12</v>
      </c>
      <c r="AB131" s="21" t="n">
        <v>75</v>
      </c>
      <c r="AC131" s="21" t="n">
        <v>9.85</v>
      </c>
      <c r="AD131" s="13" t="n">
        <f aca="false">ROUND(AA131^2/162.162,3)</f>
        <v>0.888</v>
      </c>
      <c r="AE131" s="22" t="n">
        <f aca="false">ROUND(AB131*AC131*AD131,1)</f>
        <v>656</v>
      </c>
    </row>
    <row r="132" customFormat="false" ht="15" hidden="false" customHeight="false" outlineLevel="0" collapsed="false">
      <c r="Y132" s="0" t="s">
        <v>589</v>
      </c>
      <c r="Z132" s="0" t="s">
        <v>629</v>
      </c>
      <c r="AA132" s="21" t="n">
        <v>12</v>
      </c>
      <c r="AB132" s="21" t="n">
        <v>45</v>
      </c>
      <c r="AC132" s="21" t="n">
        <v>8.7</v>
      </c>
      <c r="AD132" s="13" t="n">
        <f aca="false">ROUND(AA132^2/162.162,3)</f>
        <v>0.888</v>
      </c>
      <c r="AE132" s="22" t="n">
        <f aca="false">ROUND(AB132*AC132*AD132,1)</f>
        <v>347.7</v>
      </c>
    </row>
    <row r="133" customFormat="false" ht="15" hidden="false" customHeight="false" outlineLevel="0" collapsed="false">
      <c r="Y133" s="0" t="s">
        <v>589</v>
      </c>
      <c r="Z133" s="0" t="s">
        <v>630</v>
      </c>
      <c r="AA133" s="21" t="n">
        <v>12</v>
      </c>
      <c r="AB133" s="21" t="n">
        <v>16</v>
      </c>
      <c r="AC133" s="21" t="n">
        <v>12</v>
      </c>
      <c r="AD133" s="13" t="n">
        <f aca="false">ROUND(AA133^2/162.162,3)</f>
        <v>0.888</v>
      </c>
      <c r="AE133" s="22" t="n">
        <f aca="false">ROUND(AB133*AC133*AD133,1)</f>
        <v>170.5</v>
      </c>
    </row>
    <row r="134" customFormat="false" ht="15" hidden="false" customHeight="false" outlineLevel="0" collapsed="false">
      <c r="Y134" s="0" t="s">
        <v>589</v>
      </c>
      <c r="Z134" s="0" t="s">
        <v>631</v>
      </c>
      <c r="AA134" s="21" t="n">
        <v>12</v>
      </c>
      <c r="AB134" s="21" t="n">
        <v>146</v>
      </c>
      <c r="AC134" s="21" t="n">
        <v>3.75</v>
      </c>
      <c r="AD134" s="13" t="n">
        <f aca="false">ROUND(AA134^2/162.162,3)</f>
        <v>0.888</v>
      </c>
      <c r="AE134" s="22" t="n">
        <f aca="false">ROUND(AB134*AC134*AD134,1)</f>
        <v>486.2</v>
      </c>
    </row>
    <row r="135" customFormat="false" ht="15" hidden="false" customHeight="false" outlineLevel="0" collapsed="false">
      <c r="Y135" s="0" t="s">
        <v>632</v>
      </c>
      <c r="Z135" s="0" t="s">
        <v>590</v>
      </c>
      <c r="AA135" s="21" t="n">
        <v>12</v>
      </c>
      <c r="AB135" s="21" t="n">
        <v>98</v>
      </c>
      <c r="AC135" s="21" t="n">
        <v>2.9</v>
      </c>
      <c r="AD135" s="13" t="n">
        <f aca="false">ROUND(AA135^2/162.162,3)</f>
        <v>0.888</v>
      </c>
      <c r="AE135" s="22" t="n">
        <f aca="false">ROUND(AB135*AC135*AD135,1)</f>
        <v>252.4</v>
      </c>
    </row>
    <row r="136" customFormat="false" ht="15" hidden="false" customHeight="false" outlineLevel="0" collapsed="false">
      <c r="Y136" s="0" t="s">
        <v>632</v>
      </c>
      <c r="Z136" s="0" t="s">
        <v>593</v>
      </c>
      <c r="AA136" s="21" t="n">
        <v>12</v>
      </c>
      <c r="AB136" s="21" t="n">
        <v>17</v>
      </c>
      <c r="AC136" s="21" t="n">
        <v>4.35</v>
      </c>
      <c r="AD136" s="13" t="n">
        <f aca="false">ROUND(AA136^2/162.162,3)</f>
        <v>0.888</v>
      </c>
      <c r="AE136" s="22" t="n">
        <f aca="false">ROUND(AB136*AC136*AD136,1)</f>
        <v>65.7</v>
      </c>
    </row>
    <row r="137" customFormat="false" ht="15" hidden="false" customHeight="false" outlineLevel="0" collapsed="false">
      <c r="Y137" s="0" t="s">
        <v>632</v>
      </c>
      <c r="Z137" s="0" t="s">
        <v>595</v>
      </c>
      <c r="AA137" s="21" t="n">
        <v>12</v>
      </c>
      <c r="AB137" s="21" t="n">
        <v>17</v>
      </c>
      <c r="AC137" s="21" t="n">
        <v>7.9</v>
      </c>
      <c r="AD137" s="13" t="n">
        <f aca="false">ROUND(AA137^2/162.162,3)</f>
        <v>0.888</v>
      </c>
      <c r="AE137" s="22" t="n">
        <f aca="false">ROUND(AB137*AC137*AD137,1)</f>
        <v>119.3</v>
      </c>
    </row>
    <row r="138" customFormat="false" ht="15" hidden="false" customHeight="false" outlineLevel="0" collapsed="false">
      <c r="Y138" s="0" t="s">
        <v>632</v>
      </c>
      <c r="Z138" s="0" t="s">
        <v>596</v>
      </c>
      <c r="AA138" s="21" t="n">
        <v>12</v>
      </c>
      <c r="AB138" s="21" t="n">
        <v>47</v>
      </c>
      <c r="AC138" s="21" t="n">
        <v>7.3</v>
      </c>
      <c r="AD138" s="13" t="n">
        <f aca="false">ROUND(AA138^2/162.162,3)</f>
        <v>0.888</v>
      </c>
      <c r="AE138" s="22" t="n">
        <f aca="false">ROUND(AB138*AC138*AD138,1)</f>
        <v>304.7</v>
      </c>
    </row>
    <row r="139" customFormat="false" ht="15" hidden="false" customHeight="false" outlineLevel="0" collapsed="false">
      <c r="Y139" s="0" t="s">
        <v>632</v>
      </c>
      <c r="Z139" s="0" t="s">
        <v>598</v>
      </c>
      <c r="AA139" s="21" t="n">
        <v>12</v>
      </c>
      <c r="AB139" s="21" t="n">
        <v>64</v>
      </c>
      <c r="AC139" s="21" t="n">
        <v>8.2</v>
      </c>
      <c r="AD139" s="13" t="n">
        <f aca="false">ROUND(AA139^2/162.162,3)</f>
        <v>0.888</v>
      </c>
      <c r="AE139" s="22" t="n">
        <f aca="false">ROUND(AB139*AC139*AD139,1)</f>
        <v>466</v>
      </c>
    </row>
    <row r="140" customFormat="false" ht="15" hidden="false" customHeight="false" outlineLevel="0" collapsed="false">
      <c r="Y140" s="0" t="s">
        <v>632</v>
      </c>
      <c r="Z140" s="0" t="s">
        <v>599</v>
      </c>
      <c r="AA140" s="21" t="n">
        <v>12</v>
      </c>
      <c r="AB140" s="21" t="n">
        <v>41</v>
      </c>
      <c r="AC140" s="21" t="n">
        <v>9.2</v>
      </c>
      <c r="AD140" s="13" t="n">
        <f aca="false">ROUND(AA140^2/162.162,3)</f>
        <v>0.888</v>
      </c>
      <c r="AE140" s="22" t="n">
        <f aca="false">ROUND(AB140*AC140*AD140,1)</f>
        <v>335</v>
      </c>
    </row>
    <row r="141" customFormat="false" ht="15" hidden="false" customHeight="false" outlineLevel="0" collapsed="false">
      <c r="Y141" s="0" t="s">
        <v>632</v>
      </c>
      <c r="Z141" s="0" t="s">
        <v>601</v>
      </c>
      <c r="AA141" s="21" t="n">
        <v>12</v>
      </c>
      <c r="AB141" s="21" t="n">
        <v>41</v>
      </c>
      <c r="AC141" s="21" t="n">
        <v>8.7</v>
      </c>
      <c r="AD141" s="13" t="n">
        <f aca="false">ROUND(AA141^2/162.162,3)</f>
        <v>0.888</v>
      </c>
      <c r="AE141" s="22" t="n">
        <f aca="false">ROUND(AB141*AC141*AD141,1)</f>
        <v>316.7</v>
      </c>
    </row>
    <row r="142" customFormat="false" ht="15" hidden="false" customHeight="false" outlineLevel="0" collapsed="false">
      <c r="Y142" s="0" t="s">
        <v>632</v>
      </c>
      <c r="Z142" s="0" t="s">
        <v>604</v>
      </c>
      <c r="AA142" s="21" t="n">
        <v>12</v>
      </c>
      <c r="AB142" s="21" t="n">
        <v>41</v>
      </c>
      <c r="AC142" s="21" t="n">
        <v>6.2</v>
      </c>
      <c r="AD142" s="13" t="n">
        <f aca="false">ROUND(AA142^2/162.162,3)</f>
        <v>0.888</v>
      </c>
      <c r="AE142" s="22" t="n">
        <f aca="false">ROUND(AB142*AC142*AD142,1)</f>
        <v>225.7</v>
      </c>
    </row>
    <row r="143" customFormat="false" ht="15" hidden="false" customHeight="false" outlineLevel="0" collapsed="false">
      <c r="Y143" s="0" t="s">
        <v>632</v>
      </c>
      <c r="Z143" s="0" t="s">
        <v>606</v>
      </c>
      <c r="AA143" s="21" t="n">
        <v>12</v>
      </c>
      <c r="AB143" s="21" t="n">
        <v>41</v>
      </c>
      <c r="AC143" s="21" t="n">
        <v>10.65</v>
      </c>
      <c r="AD143" s="13" t="n">
        <f aca="false">ROUND(AA143^2/162.162,3)</f>
        <v>0.888</v>
      </c>
      <c r="AE143" s="22" t="n">
        <f aca="false">ROUND(AB143*AC143*AD143,1)</f>
        <v>387.7</v>
      </c>
    </row>
    <row r="144" customFormat="false" ht="15" hidden="false" customHeight="false" outlineLevel="0" collapsed="false">
      <c r="Y144" s="0" t="s">
        <v>632</v>
      </c>
      <c r="Z144" s="0" t="s">
        <v>608</v>
      </c>
      <c r="AA144" s="21" t="n">
        <v>12</v>
      </c>
      <c r="AB144" s="21" t="n">
        <v>132</v>
      </c>
      <c r="AC144" s="21" t="n">
        <v>6.95</v>
      </c>
      <c r="AD144" s="13" t="n">
        <f aca="false">ROUND(AA144^2/162.162,3)</f>
        <v>0.888</v>
      </c>
      <c r="AE144" s="22" t="n">
        <f aca="false">ROUND(AB144*AC144*AD144,1)</f>
        <v>814.7</v>
      </c>
    </row>
    <row r="145" customFormat="false" ht="15" hidden="false" customHeight="false" outlineLevel="0" collapsed="false">
      <c r="Y145" s="0" t="s">
        <v>632</v>
      </c>
      <c r="Z145" s="0" t="s">
        <v>610</v>
      </c>
      <c r="AA145" s="21" t="n">
        <v>12</v>
      </c>
      <c r="AB145" s="21" t="n">
        <v>22</v>
      </c>
      <c r="AC145" s="21" t="n">
        <v>4.65</v>
      </c>
      <c r="AD145" s="13" t="n">
        <f aca="false">ROUND(AA145^2/162.162,3)</f>
        <v>0.888</v>
      </c>
      <c r="AE145" s="22" t="n">
        <f aca="false">ROUND(AB145*AC145*AD145,1)</f>
        <v>90.8</v>
      </c>
    </row>
    <row r="146" customFormat="false" ht="15" hidden="false" customHeight="false" outlineLevel="0" collapsed="false">
      <c r="Y146" s="0" t="s">
        <v>632</v>
      </c>
      <c r="Z146" s="0" t="s">
        <v>611</v>
      </c>
      <c r="AA146" s="21" t="n">
        <v>12</v>
      </c>
      <c r="AB146" s="21" t="n">
        <v>22</v>
      </c>
      <c r="AC146" s="21" t="n">
        <v>8.7</v>
      </c>
      <c r="AD146" s="13" t="n">
        <f aca="false">ROUND(AA146^2/162.162,3)</f>
        <v>0.888</v>
      </c>
      <c r="AE146" s="22" t="n">
        <f aca="false">ROUND(AB146*AC146*AD146,1)</f>
        <v>170</v>
      </c>
    </row>
    <row r="147" customFormat="false" ht="15" hidden="false" customHeight="false" outlineLevel="0" collapsed="false">
      <c r="Y147" s="0" t="s">
        <v>632</v>
      </c>
      <c r="Z147" s="0" t="s">
        <v>612</v>
      </c>
      <c r="AA147" s="21" t="n">
        <v>12</v>
      </c>
      <c r="AB147" s="21" t="n">
        <v>86</v>
      </c>
      <c r="AC147" s="21" t="n">
        <v>8.7</v>
      </c>
      <c r="AD147" s="13" t="n">
        <f aca="false">ROUND(AA147^2/162.162,3)</f>
        <v>0.888</v>
      </c>
      <c r="AE147" s="22" t="n">
        <f aca="false">ROUND(AB147*AC147*AD147,1)</f>
        <v>664.4</v>
      </c>
    </row>
    <row r="148" customFormat="false" ht="15" hidden="false" customHeight="false" outlineLevel="0" collapsed="false">
      <c r="Y148" s="0" t="s">
        <v>632</v>
      </c>
      <c r="Z148" s="0" t="s">
        <v>613</v>
      </c>
      <c r="AA148" s="21" t="n">
        <v>12</v>
      </c>
      <c r="AB148" s="21" t="n">
        <v>30</v>
      </c>
      <c r="AC148" s="21" t="n">
        <v>10.35</v>
      </c>
      <c r="AD148" s="13" t="n">
        <f aca="false">ROUND(AA148^2/162.162,3)</f>
        <v>0.888</v>
      </c>
      <c r="AE148" s="22" t="n">
        <f aca="false">ROUND(AB148*AC148*AD148,1)</f>
        <v>275.7</v>
      </c>
    </row>
    <row r="149" customFormat="false" ht="15" hidden="false" customHeight="false" outlineLevel="0" collapsed="false">
      <c r="Y149" s="0" t="s">
        <v>632</v>
      </c>
      <c r="Z149" s="0" t="s">
        <v>614</v>
      </c>
      <c r="AA149" s="21" t="n">
        <v>12</v>
      </c>
      <c r="AB149" s="21" t="n">
        <v>56</v>
      </c>
      <c r="AC149" s="21" t="n">
        <v>9.9</v>
      </c>
      <c r="AD149" s="13" t="n">
        <f aca="false">ROUND(AA149^2/162.162,3)</f>
        <v>0.888</v>
      </c>
      <c r="AE149" s="22" t="n">
        <f aca="false">ROUND(AB149*AC149*AD149,1)</f>
        <v>492.3</v>
      </c>
    </row>
    <row r="150" customFormat="false" ht="15" hidden="false" customHeight="false" outlineLevel="0" collapsed="false">
      <c r="Y150" s="0" t="s">
        <v>632</v>
      </c>
      <c r="Z150" s="0" t="s">
        <v>615</v>
      </c>
      <c r="AA150" s="21" t="n">
        <v>12</v>
      </c>
      <c r="AB150" s="21" t="n">
        <v>47</v>
      </c>
      <c r="AC150" s="21" t="n">
        <v>11.7</v>
      </c>
      <c r="AD150" s="13" t="n">
        <f aca="false">ROUND(AA150^2/162.162,3)</f>
        <v>0.888</v>
      </c>
      <c r="AE150" s="22" t="n">
        <f aca="false">ROUND(AB150*AC150*AD150,1)</f>
        <v>488.3</v>
      </c>
    </row>
    <row r="151" customFormat="false" ht="15" hidden="false" customHeight="false" outlineLevel="0" collapsed="false">
      <c r="Y151" s="0" t="s">
        <v>632</v>
      </c>
      <c r="Z151" s="0" t="s">
        <v>616</v>
      </c>
      <c r="AA151" s="21" t="n">
        <v>12</v>
      </c>
      <c r="AB151" s="21" t="n">
        <v>47</v>
      </c>
      <c r="AC151" s="21" t="n">
        <v>8.6</v>
      </c>
      <c r="AD151" s="13" t="n">
        <f aca="false">ROUND(AA151^2/162.162,3)</f>
        <v>0.888</v>
      </c>
      <c r="AE151" s="22" t="n">
        <f aca="false">ROUND(AB151*AC151*AD151,1)</f>
        <v>358.9</v>
      </c>
    </row>
    <row r="152" customFormat="false" ht="15" hidden="false" customHeight="false" outlineLevel="0" collapsed="false">
      <c r="Y152" s="0" t="s">
        <v>632</v>
      </c>
      <c r="Z152" s="0" t="s">
        <v>633</v>
      </c>
      <c r="AA152" s="21" t="n">
        <v>12</v>
      </c>
      <c r="AB152" s="21" t="n">
        <v>57</v>
      </c>
      <c r="AC152" s="21" t="n">
        <v>8.95</v>
      </c>
      <c r="AD152" s="13" t="n">
        <f aca="false">ROUND(AA152^2/162.162,3)</f>
        <v>0.888</v>
      </c>
      <c r="AE152" s="22" t="n">
        <f aca="false">ROUND(AB152*AC152*AD152,1)</f>
        <v>453</v>
      </c>
    </row>
    <row r="153" customFormat="false" ht="15" hidden="false" customHeight="false" outlineLevel="0" collapsed="false">
      <c r="Y153" s="0" t="s">
        <v>632</v>
      </c>
      <c r="Z153" s="0" t="s">
        <v>618</v>
      </c>
      <c r="AA153" s="21" t="n">
        <v>12</v>
      </c>
      <c r="AB153" s="21" t="n">
        <v>57</v>
      </c>
      <c r="AC153" s="21" t="n">
        <v>5.35</v>
      </c>
      <c r="AD153" s="13" t="n">
        <f aca="false">ROUND(AA153^2/162.162,3)</f>
        <v>0.888</v>
      </c>
      <c r="AE153" s="22" t="n">
        <f aca="false">ROUND(AB153*AC153*AD153,1)</f>
        <v>270.8</v>
      </c>
    </row>
    <row r="154" customFormat="false" ht="15" hidden="false" customHeight="false" outlineLevel="0" collapsed="false">
      <c r="Y154" s="0" t="s">
        <v>632</v>
      </c>
      <c r="Z154" s="0" t="s">
        <v>619</v>
      </c>
      <c r="AA154" s="21" t="n">
        <v>12</v>
      </c>
      <c r="AB154" s="21" t="n">
        <v>53</v>
      </c>
      <c r="AC154" s="21" t="n">
        <v>9</v>
      </c>
      <c r="AD154" s="13" t="n">
        <f aca="false">ROUND(AA154^2/162.162,3)</f>
        <v>0.888</v>
      </c>
      <c r="AE154" s="22" t="n">
        <f aca="false">ROUND(AB154*AC154*AD154,1)</f>
        <v>423.6</v>
      </c>
    </row>
    <row r="155" customFormat="false" ht="15" hidden="false" customHeight="false" outlineLevel="0" collapsed="false">
      <c r="Y155" s="0" t="s">
        <v>632</v>
      </c>
      <c r="Z155" s="0" t="s">
        <v>620</v>
      </c>
      <c r="AA155" s="21" t="n">
        <v>12</v>
      </c>
      <c r="AB155" s="21" t="n">
        <v>53</v>
      </c>
      <c r="AC155" s="21" t="n">
        <v>11.75</v>
      </c>
      <c r="AD155" s="13" t="n">
        <f aca="false">ROUND(AA155^2/162.162,3)</f>
        <v>0.888</v>
      </c>
      <c r="AE155" s="22" t="n">
        <f aca="false">ROUND(AB155*AC155*AD155,1)</f>
        <v>553</v>
      </c>
    </row>
    <row r="156" customFormat="false" ht="15" hidden="false" customHeight="false" outlineLevel="0" collapsed="false">
      <c r="Y156" s="0" t="s">
        <v>632</v>
      </c>
      <c r="Z156" s="0" t="s">
        <v>621</v>
      </c>
      <c r="AA156" s="21" t="n">
        <v>12</v>
      </c>
      <c r="AB156" s="21" t="n">
        <v>68</v>
      </c>
      <c r="AC156" s="21" t="n">
        <v>4.1</v>
      </c>
      <c r="AD156" s="13" t="n">
        <f aca="false">ROUND(AA156^2/162.162,3)</f>
        <v>0.888</v>
      </c>
      <c r="AE156" s="22" t="n">
        <f aca="false">ROUND(AB156*AC156*AD156,1)</f>
        <v>247.6</v>
      </c>
    </row>
    <row r="157" customFormat="false" ht="15" hidden="false" customHeight="false" outlineLevel="0" collapsed="false">
      <c r="Y157" s="0" t="s">
        <v>632</v>
      </c>
      <c r="Z157" s="0" t="s">
        <v>622</v>
      </c>
      <c r="AA157" s="21" t="n">
        <v>12</v>
      </c>
      <c r="AB157" s="21" t="n">
        <v>62</v>
      </c>
      <c r="AC157" s="21" t="n">
        <v>5.1</v>
      </c>
      <c r="AD157" s="13" t="n">
        <f aca="false">ROUND(AA157^2/162.162,3)</f>
        <v>0.888</v>
      </c>
      <c r="AE157" s="22" t="n">
        <f aca="false">ROUND(AB157*AC157*AD157,1)</f>
        <v>280.8</v>
      </c>
    </row>
    <row r="158" customFormat="false" ht="15" hidden="false" customHeight="false" outlineLevel="0" collapsed="false">
      <c r="Y158" s="0" t="s">
        <v>632</v>
      </c>
      <c r="Z158" s="0" t="s">
        <v>623</v>
      </c>
      <c r="AA158" s="21" t="n">
        <v>12</v>
      </c>
      <c r="AB158" s="21" t="n">
        <v>62</v>
      </c>
      <c r="AC158" s="21" t="n">
        <v>7.2</v>
      </c>
      <c r="AD158" s="13" t="n">
        <f aca="false">ROUND(AA158^2/162.162,3)</f>
        <v>0.888</v>
      </c>
      <c r="AE158" s="22" t="n">
        <f aca="false">ROUND(AB158*AC158*AD158,1)</f>
        <v>396.4</v>
      </c>
    </row>
    <row r="159" customFormat="false" ht="15" hidden="false" customHeight="false" outlineLevel="0" collapsed="false">
      <c r="Y159" s="0" t="s">
        <v>632</v>
      </c>
      <c r="Z159" s="0" t="s">
        <v>624</v>
      </c>
      <c r="AA159" s="21" t="n">
        <v>12</v>
      </c>
      <c r="AB159" s="21" t="n">
        <v>62</v>
      </c>
      <c r="AC159" s="21" t="n">
        <v>6.95</v>
      </c>
      <c r="AD159" s="13" t="n">
        <f aca="false">ROUND(AA159^2/162.162,3)</f>
        <v>0.888</v>
      </c>
      <c r="AE159" s="22" t="n">
        <f aca="false">ROUND(AB159*AC159*AD159,1)</f>
        <v>382.6</v>
      </c>
    </row>
    <row r="160" customFormat="false" ht="15" hidden="false" customHeight="false" outlineLevel="0" collapsed="false">
      <c r="Y160" s="0" t="s">
        <v>632</v>
      </c>
      <c r="Z160" s="0" t="s">
        <v>625</v>
      </c>
      <c r="AA160" s="21" t="n">
        <v>12</v>
      </c>
      <c r="AB160" s="21" t="n">
        <v>53</v>
      </c>
      <c r="AC160" s="21" t="n">
        <v>9.75</v>
      </c>
      <c r="AD160" s="13" t="n">
        <f aca="false">ROUND(AA160^2/162.162,3)</f>
        <v>0.888</v>
      </c>
      <c r="AE160" s="22" t="n">
        <f aca="false">ROUND(AB160*AC160*AD160,1)</f>
        <v>458.9</v>
      </c>
    </row>
    <row r="161" customFormat="false" ht="15" hidden="false" customHeight="false" outlineLevel="0" collapsed="false">
      <c r="Y161" s="0" t="s">
        <v>632</v>
      </c>
      <c r="Z161" s="0" t="s">
        <v>626</v>
      </c>
      <c r="AA161" s="21" t="n">
        <v>12</v>
      </c>
      <c r="AB161" s="21" t="n">
        <v>53</v>
      </c>
      <c r="AC161" s="21" t="n">
        <v>7</v>
      </c>
      <c r="AD161" s="13" t="n">
        <f aca="false">ROUND(AA161^2/162.162,3)</f>
        <v>0.888</v>
      </c>
      <c r="AE161" s="22" t="n">
        <f aca="false">ROUND(AB161*AC161*AD161,1)</f>
        <v>329.4</v>
      </c>
    </row>
    <row r="162" customFormat="false" ht="15" hidden="false" customHeight="false" outlineLevel="0" collapsed="false">
      <c r="Y162" s="0" t="s">
        <v>632</v>
      </c>
      <c r="Z162" s="0" t="s">
        <v>627</v>
      </c>
      <c r="AA162" s="21" t="n">
        <v>12</v>
      </c>
      <c r="AB162" s="21" t="n">
        <v>51</v>
      </c>
      <c r="AC162" s="21" t="n">
        <v>2.55</v>
      </c>
      <c r="AD162" s="13" t="n">
        <f aca="false">ROUND(AA162^2/162.162,3)</f>
        <v>0.888</v>
      </c>
      <c r="AE162" s="22" t="n">
        <f aca="false">ROUND(AB162*AC162*AD162,1)</f>
        <v>115.5</v>
      </c>
    </row>
    <row r="163" customFormat="false" ht="15" hidden="false" customHeight="false" outlineLevel="0" collapsed="false">
      <c r="Y163" s="0" t="s">
        <v>632</v>
      </c>
      <c r="Z163" s="0" t="s">
        <v>628</v>
      </c>
      <c r="AA163" s="21" t="n">
        <v>12</v>
      </c>
      <c r="AB163" s="21" t="n">
        <v>51</v>
      </c>
      <c r="AC163" s="21" t="n">
        <v>4.2</v>
      </c>
      <c r="AD163" s="13" t="n">
        <f aca="false">ROUND(AA163^2/162.162,3)</f>
        <v>0.888</v>
      </c>
      <c r="AE163" s="22" t="n">
        <f aca="false">ROUND(AB163*AC163*AD163,1)</f>
        <v>190.2</v>
      </c>
    </row>
    <row r="164" customFormat="false" ht="15" hidden="false" customHeight="false" outlineLevel="0" collapsed="false">
      <c r="Y164" s="0" t="s">
        <v>632</v>
      </c>
      <c r="Z164" s="0" t="s">
        <v>629</v>
      </c>
      <c r="AA164" s="21" t="n">
        <v>12</v>
      </c>
      <c r="AB164" s="21" t="n">
        <v>16</v>
      </c>
      <c r="AC164" s="21" t="n">
        <v>10.5</v>
      </c>
      <c r="AD164" s="13" t="n">
        <f aca="false">ROUND(AA164^2/162.162,3)</f>
        <v>0.888</v>
      </c>
      <c r="AE164" s="22" t="n">
        <f aca="false">ROUND(AB164*AC164*AD164,1)</f>
        <v>149.2</v>
      </c>
    </row>
    <row r="165" customFormat="false" ht="15" hidden="false" customHeight="false" outlineLevel="0" collapsed="false">
      <c r="Y165" s="0" t="s">
        <v>632</v>
      </c>
      <c r="Z165" s="0" t="s">
        <v>630</v>
      </c>
      <c r="AA165" s="21" t="n">
        <v>12</v>
      </c>
      <c r="AB165" s="21" t="n">
        <v>16</v>
      </c>
      <c r="AC165" s="21" t="n">
        <v>12</v>
      </c>
      <c r="AD165" s="13" t="n">
        <f aca="false">ROUND(AA165^2/162.162,3)</f>
        <v>0.888</v>
      </c>
      <c r="AE165" s="22" t="n">
        <f aca="false">ROUND(AB165*AC165*AD165,1)</f>
        <v>170.5</v>
      </c>
    </row>
    <row r="166" customFormat="false" ht="15" hidden="false" customHeight="false" outlineLevel="0" collapsed="false">
      <c r="Y166" s="0" t="s">
        <v>634</v>
      </c>
      <c r="Z166" s="0" t="s">
        <v>500</v>
      </c>
      <c r="AA166" s="21" t="n">
        <v>16</v>
      </c>
      <c r="AB166" s="21" t="n">
        <v>412</v>
      </c>
      <c r="AC166" s="21" t="n">
        <v>4.1</v>
      </c>
      <c r="AD166" s="13" t="n">
        <f aca="false">ROUND(AA166^2/162.162,3)</f>
        <v>1.579</v>
      </c>
      <c r="AE166" s="22" t="n">
        <f aca="false">ROUND(AB166*AC166*AD166,1)</f>
        <v>2667.2</v>
      </c>
    </row>
    <row r="167" customFormat="false" ht="15" hidden="false" customHeight="false" outlineLevel="0" collapsed="false">
      <c r="Y167" s="0" t="s">
        <v>634</v>
      </c>
      <c r="Z167" s="0" t="s">
        <v>568</v>
      </c>
      <c r="AA167" s="21" t="n">
        <v>16</v>
      </c>
      <c r="AB167" s="21" t="n">
        <v>412</v>
      </c>
      <c r="AC167" s="21" t="n">
        <v>5.05</v>
      </c>
      <c r="AD167" s="13" t="n">
        <f aca="false">ROUND(AA167^2/162.162,3)</f>
        <v>1.579</v>
      </c>
      <c r="AE167" s="22" t="n">
        <f aca="false">ROUND(AB167*AC167*AD167,1)</f>
        <v>3285.3</v>
      </c>
    </row>
    <row r="168" customFormat="false" ht="15" hidden="false" customHeight="false" outlineLevel="0" collapsed="false">
      <c r="Y168" s="0" t="s">
        <v>634</v>
      </c>
      <c r="Z168" s="0" t="s">
        <v>635</v>
      </c>
      <c r="AA168" s="21" t="n">
        <v>16</v>
      </c>
      <c r="AB168" s="21" t="n">
        <v>60</v>
      </c>
      <c r="AC168" s="21" t="n">
        <v>5.4</v>
      </c>
      <c r="AD168" s="13" t="n">
        <f aca="false">ROUND(AA168^2/162.162,3)</f>
        <v>1.579</v>
      </c>
      <c r="AE168" s="22" t="n">
        <f aca="false">ROUND(AB168*AC168*AD168,1)</f>
        <v>511.6</v>
      </c>
    </row>
    <row r="169" customFormat="false" ht="15" hidden="false" customHeight="false" outlineLevel="0" collapsed="false">
      <c r="Y169" s="0" t="s">
        <v>634</v>
      </c>
      <c r="Z169" s="0" t="s">
        <v>636</v>
      </c>
      <c r="AA169" s="21" t="n">
        <v>16</v>
      </c>
      <c r="AB169" s="21" t="n">
        <v>60</v>
      </c>
      <c r="AC169" s="21" t="n">
        <v>9.35</v>
      </c>
      <c r="AD169" s="13" t="n">
        <f aca="false">ROUND(AA169^2/162.162,3)</f>
        <v>1.579</v>
      </c>
      <c r="AE169" s="22" t="n">
        <f aca="false">ROUND(AB169*AC169*AD169,1)</f>
        <v>885.8</v>
      </c>
    </row>
    <row r="170" customFormat="false" ht="15" hidden="false" customHeight="false" outlineLevel="0" collapsed="false">
      <c r="Y170" s="0" t="s">
        <v>634</v>
      </c>
      <c r="Z170" s="0" t="s">
        <v>637</v>
      </c>
      <c r="AA170" s="21" t="n">
        <v>16</v>
      </c>
      <c r="AB170" s="21" t="n">
        <v>60</v>
      </c>
      <c r="AC170" s="21" t="n">
        <v>7.2</v>
      </c>
      <c r="AD170" s="13" t="n">
        <f aca="false">ROUND(AA170^2/162.162,3)</f>
        <v>1.579</v>
      </c>
      <c r="AE170" s="22" t="n">
        <f aca="false">ROUND(AB170*AC170*AD170,1)</f>
        <v>682.1</v>
      </c>
    </row>
    <row r="171" customFormat="false" ht="15" hidden="false" customHeight="false" outlineLevel="0" collapsed="false">
      <c r="Y171" s="0" t="s">
        <v>634</v>
      </c>
      <c r="Z171" s="0" t="s">
        <v>638</v>
      </c>
      <c r="AA171" s="21" t="n">
        <v>16</v>
      </c>
      <c r="AB171" s="21" t="n">
        <v>60</v>
      </c>
      <c r="AC171" s="21" t="n">
        <v>6.9</v>
      </c>
      <c r="AD171" s="13" t="n">
        <f aca="false">ROUND(AA171^2/162.162,3)</f>
        <v>1.579</v>
      </c>
      <c r="AE171" s="22" t="n">
        <f aca="false">ROUND(AB171*AC171*AD171,1)</f>
        <v>653.7</v>
      </c>
    </row>
    <row r="172" customFormat="false" ht="15" hidden="false" customHeight="false" outlineLevel="0" collapsed="false">
      <c r="Y172" s="0" t="s">
        <v>634</v>
      </c>
      <c r="Z172" s="0" t="s">
        <v>639</v>
      </c>
      <c r="AA172" s="21" t="n">
        <v>16</v>
      </c>
      <c r="AB172" s="21" t="n">
        <v>60</v>
      </c>
      <c r="AC172" s="21" t="n">
        <v>10.3</v>
      </c>
      <c r="AD172" s="13" t="n">
        <f aca="false">ROUND(AA172^2/162.162,3)</f>
        <v>1.579</v>
      </c>
      <c r="AE172" s="22" t="n">
        <f aca="false">ROUND(AB172*AC172*AD172,1)</f>
        <v>975.8</v>
      </c>
    </row>
    <row r="173" customFormat="false" ht="15" hidden="false" customHeight="false" outlineLevel="0" collapsed="false">
      <c r="Y173" s="0" t="s">
        <v>634</v>
      </c>
      <c r="Z173" s="0" t="s">
        <v>640</v>
      </c>
      <c r="AA173" s="21" t="n">
        <v>16</v>
      </c>
      <c r="AB173" s="21" t="n">
        <v>60</v>
      </c>
      <c r="AC173" s="21" t="n">
        <v>7.95</v>
      </c>
      <c r="AD173" s="13" t="n">
        <f aca="false">ROUND(AA173^2/162.162,3)</f>
        <v>1.579</v>
      </c>
      <c r="AE173" s="22" t="n">
        <f aca="false">ROUND(AB173*AC173*AD173,1)</f>
        <v>753.2</v>
      </c>
    </row>
    <row r="174" customFormat="false" ht="15" hidden="false" customHeight="false" outlineLevel="0" collapsed="false">
      <c r="Y174" s="10" t="s">
        <v>641</v>
      </c>
      <c r="AE174" s="27" t="n">
        <f aca="false">ROUND(SUM(AE103:AE173),1)</f>
        <v>43976.7</v>
      </c>
    </row>
    <row r="176" customFormat="false" ht="15" hidden="false" customHeight="false" outlineLevel="0" collapsed="false">
      <c r="Y176" s="11" t="s">
        <v>642</v>
      </c>
    </row>
    <row r="177" customFormat="false" ht="15" hidden="false" customHeight="false" outlineLevel="0" collapsed="false">
      <c r="Y177" s="0" t="s">
        <v>420</v>
      </c>
      <c r="Z177" s="0" t="s">
        <v>643</v>
      </c>
      <c r="AA177" s="21" t="n">
        <v>10</v>
      </c>
      <c r="AE177" s="31" t="n">
        <f aca="false">SUMIF(AA5:AA48,10,AE5:AE48)</f>
        <v>4639.4</v>
      </c>
    </row>
    <row r="178" customFormat="false" ht="15" hidden="false" customHeight="false" outlineLevel="0" collapsed="false">
      <c r="Y178" s="0" t="s">
        <v>420</v>
      </c>
      <c r="Z178" s="0" t="s">
        <v>644</v>
      </c>
      <c r="AA178" s="21" t="n">
        <v>20</v>
      </c>
      <c r="AE178" s="31" t="n">
        <f aca="false">SUMIF(AA5:AA48,20,AE5:AE48)</f>
        <v>5036</v>
      </c>
    </row>
    <row r="179" customFormat="false" ht="15" hidden="false" customHeight="false" outlineLevel="0" collapsed="false">
      <c r="Y179" s="0" t="s">
        <v>420</v>
      </c>
      <c r="Z179" s="0" t="s">
        <v>645</v>
      </c>
      <c r="AA179" s="21" t="n">
        <v>25</v>
      </c>
      <c r="AE179" s="31" t="n">
        <f aca="false">SUMIF(AA5:AA48,25,AE5:AE48)</f>
        <v>6618.3</v>
      </c>
    </row>
    <row r="180" customFormat="false" ht="15" hidden="false" customHeight="false" outlineLevel="0" collapsed="false">
      <c r="Y180" s="0" t="s">
        <v>646</v>
      </c>
      <c r="Z180" s="0" t="s">
        <v>643</v>
      </c>
      <c r="AA180" s="21" t="n">
        <v>10</v>
      </c>
      <c r="AE180" s="31" t="n">
        <f aca="false">SUMIF(AA51:AA94,10,AE51:AE94)</f>
        <v>3156.7</v>
      </c>
    </row>
    <row r="181" customFormat="false" ht="15" hidden="false" customHeight="false" outlineLevel="0" collapsed="false">
      <c r="Y181" s="0" t="s">
        <v>646</v>
      </c>
      <c r="Z181" s="0" t="s">
        <v>647</v>
      </c>
      <c r="AA181" s="21" t="n">
        <v>16</v>
      </c>
      <c r="AE181" s="31" t="n">
        <f aca="false">SUMIF(AA51:AA94,16,AE51:AE94)</f>
        <v>6117.1</v>
      </c>
    </row>
    <row r="182" customFormat="false" ht="15" hidden="false" customHeight="false" outlineLevel="0" collapsed="false">
      <c r="Y182" s="0" t="s">
        <v>646</v>
      </c>
      <c r="Z182" s="0" t="s">
        <v>644</v>
      </c>
      <c r="AA182" s="21" t="n">
        <v>20</v>
      </c>
      <c r="AE182" s="31" t="n">
        <f aca="false">SUMIF(AA51:AA94,20,AE51:AE94)</f>
        <v>898</v>
      </c>
    </row>
    <row r="183" customFormat="false" ht="15" hidden="false" customHeight="false" outlineLevel="0" collapsed="false">
      <c r="Y183" s="0" t="s">
        <v>646</v>
      </c>
      <c r="Z183" s="0" t="s">
        <v>645</v>
      </c>
      <c r="AA183" s="21" t="n">
        <v>25</v>
      </c>
      <c r="AE183" s="31" t="n">
        <f aca="false">SUMIF(AA51:AA94,25,AE51:AE94)</f>
        <v>7294.9</v>
      </c>
    </row>
    <row r="184" customFormat="false" ht="15" hidden="false" customHeight="false" outlineLevel="0" collapsed="false">
      <c r="Y184" s="0" t="s">
        <v>648</v>
      </c>
      <c r="Z184" s="0" t="s">
        <v>643</v>
      </c>
      <c r="AA184" s="21" t="n">
        <v>10</v>
      </c>
      <c r="AE184" s="31" t="n">
        <f aca="false">SUMIF(AA97:AA100,10,AE97:AE100)</f>
        <v>448.7</v>
      </c>
    </row>
    <row r="185" customFormat="false" ht="15" hidden="false" customHeight="false" outlineLevel="0" collapsed="false">
      <c r="Y185" s="0" t="s">
        <v>648</v>
      </c>
      <c r="Z185" s="0" t="s">
        <v>649</v>
      </c>
      <c r="AA185" s="21" t="n">
        <v>12</v>
      </c>
      <c r="AE185" s="31" t="n">
        <f aca="false">SUMIF(AA97:AA100,12,AE97:AE100)</f>
        <v>1358.6</v>
      </c>
    </row>
    <row r="186" customFormat="false" ht="15" hidden="false" customHeight="false" outlineLevel="0" collapsed="false">
      <c r="Y186" s="0" t="s">
        <v>650</v>
      </c>
      <c r="Z186" s="0" t="s">
        <v>649</v>
      </c>
      <c r="AA186" s="21" t="n">
        <v>12</v>
      </c>
      <c r="AE186" s="31" t="n">
        <f aca="false">SUMIF(AA103:AA174,12,AE103:AE174)</f>
        <v>33562</v>
      </c>
    </row>
    <row r="187" customFormat="false" ht="15" hidden="false" customHeight="false" outlineLevel="0" collapsed="false">
      <c r="Y187" s="0" t="s">
        <v>650</v>
      </c>
      <c r="Z187" s="0" t="s">
        <v>647</v>
      </c>
      <c r="AA187" s="21" t="n">
        <v>16</v>
      </c>
      <c r="AE187" s="31" t="n">
        <f aca="false">SUMIF(AA103:AA174,16,AE103:AE174)</f>
        <v>10414.7</v>
      </c>
    </row>
    <row r="189" customFormat="false" ht="15" hidden="false" customHeight="false" outlineLevel="0" collapsed="false">
      <c r="Y189" s="11" t="s">
        <v>651</v>
      </c>
    </row>
    <row r="190" customFormat="false" ht="15" hidden="false" customHeight="false" outlineLevel="0" collapsed="false">
      <c r="Y190" s="0" t="s">
        <v>652</v>
      </c>
      <c r="Z190" s="0" t="s">
        <v>653</v>
      </c>
      <c r="AB190" s="12" t="n">
        <f aca="false">O32</f>
        <v>281.5</v>
      </c>
      <c r="AC190" s="32" t="n">
        <v>90</v>
      </c>
      <c r="AE190" s="33" t="n">
        <f aca="false">ROUND(AB190*AC190,0)</f>
        <v>25335</v>
      </c>
    </row>
    <row r="191" customFormat="false" ht="15" hidden="false" customHeight="false" outlineLevel="0" collapsed="false">
      <c r="Y191" s="0" t="s">
        <v>654</v>
      </c>
      <c r="Z191" s="0" t="s">
        <v>653</v>
      </c>
      <c r="AB191" s="0" t="n">
        <f aca="false">(O39+O47)</f>
        <v>283.7</v>
      </c>
      <c r="AC191" s="32" t="n">
        <v>110</v>
      </c>
      <c r="AE191" s="33" t="n">
        <f aca="false">ROUND(AB191*AC191,0)</f>
        <v>31207</v>
      </c>
    </row>
    <row r="192" customFormat="false" ht="15" hidden="false" customHeight="false" outlineLevel="0" collapsed="false">
      <c r="Y192" s="0" t="s">
        <v>655</v>
      </c>
      <c r="Z192" s="0" t="s">
        <v>653</v>
      </c>
      <c r="AB192" s="12" t="n">
        <f aca="false">O42</f>
        <v>21</v>
      </c>
      <c r="AC192" s="32" t="n">
        <v>80</v>
      </c>
      <c r="AE192" s="33" t="n">
        <f aca="false">ROUND(AB192*AC192,0)</f>
        <v>1680</v>
      </c>
    </row>
    <row r="193" customFormat="false" ht="15" hidden="false" customHeight="false" outlineLevel="0" collapsed="false">
      <c r="Y193" s="0" t="s">
        <v>656</v>
      </c>
      <c r="Z193" s="0" t="s">
        <v>653</v>
      </c>
      <c r="AB193" s="0" t="n">
        <f aca="false">O107</f>
        <v>107.0715</v>
      </c>
      <c r="AC193" s="32" t="n">
        <v>180</v>
      </c>
      <c r="AE193" s="33" t="n">
        <f aca="false">ROUND(AB193*AC193,0)</f>
        <v>19273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0"/>
    <col collapsed="false" customWidth="true" hidden="false" outlineLevel="0" max="3" min="3" style="0" width="50"/>
  </cols>
  <sheetData>
    <row r="1" customFormat="false" ht="16.15" hidden="false" customHeight="false" outlineLevel="0" collapsed="false">
      <c r="A1" s="1" t="s">
        <v>657</v>
      </c>
    </row>
    <row r="3" customFormat="false" ht="15" hidden="false" customHeight="false" outlineLevel="0" collapsed="false">
      <c r="A3" s="19" t="s">
        <v>658</v>
      </c>
      <c r="B3" s="19" t="s">
        <v>659</v>
      </c>
      <c r="C3" s="19" t="s">
        <v>660</v>
      </c>
    </row>
    <row r="4" customFormat="false" ht="15" hidden="false" customHeight="false" outlineLevel="0" collapsed="false">
      <c r="A4" s="10" t="s">
        <v>661</v>
      </c>
    </row>
    <row r="5" customFormat="false" ht="60" hidden="false" customHeight="true" outlineLevel="0" collapsed="false">
      <c r="A5" s="34" t="n">
        <v>1</v>
      </c>
      <c r="B5" s="34" t="s">
        <v>662</v>
      </c>
      <c r="C5" s="34" t="s">
        <v>663</v>
      </c>
    </row>
    <row r="6" customFormat="false" ht="45" hidden="false" customHeight="true" outlineLevel="0" collapsed="false">
      <c r="A6" s="34" t="n">
        <v>2</v>
      </c>
      <c r="B6" s="34" t="s">
        <v>664</v>
      </c>
      <c r="C6" s="34" t="s">
        <v>665</v>
      </c>
    </row>
    <row r="7" customFormat="false" ht="45" hidden="false" customHeight="true" outlineLevel="0" collapsed="false">
      <c r="A7" s="34" t="n">
        <v>3</v>
      </c>
      <c r="B7" s="34" t="s">
        <v>666</v>
      </c>
      <c r="C7" s="34" t="s">
        <v>667</v>
      </c>
    </row>
    <row r="8" customFormat="false" ht="45" hidden="false" customHeight="true" outlineLevel="0" collapsed="false">
      <c r="A8" s="34" t="n">
        <v>4</v>
      </c>
      <c r="B8" s="34" t="s">
        <v>668</v>
      </c>
      <c r="C8" s="34" t="s">
        <v>669</v>
      </c>
    </row>
    <row r="9" customFormat="false" ht="45" hidden="false" customHeight="true" outlineLevel="0" collapsed="false">
      <c r="A9" s="34" t="n">
        <v>5</v>
      </c>
      <c r="B9" s="34" t="s">
        <v>670</v>
      </c>
      <c r="C9" s="34" t="s">
        <v>671</v>
      </c>
    </row>
    <row r="10" customFormat="false" ht="15" hidden="false" customHeight="false" outlineLevel="0" collapsed="false">
      <c r="A10" s="10" t="s">
        <v>672</v>
      </c>
    </row>
    <row r="11" customFormat="false" ht="45" hidden="false" customHeight="true" outlineLevel="0" collapsed="false">
      <c r="A11" s="34" t="n">
        <v>6</v>
      </c>
      <c r="B11" s="34" t="s">
        <v>673</v>
      </c>
      <c r="C11" s="34" t="s">
        <v>674</v>
      </c>
    </row>
    <row r="12" customFormat="false" ht="60" hidden="false" customHeight="true" outlineLevel="0" collapsed="false">
      <c r="A12" s="34" t="n">
        <v>7</v>
      </c>
      <c r="B12" s="34" t="s">
        <v>675</v>
      </c>
      <c r="C12" s="34" t="s">
        <v>676</v>
      </c>
    </row>
    <row r="13" customFormat="false" ht="45" hidden="false" customHeight="true" outlineLevel="0" collapsed="false">
      <c r="A13" s="34" t="n">
        <v>8</v>
      </c>
      <c r="B13" s="34" t="s">
        <v>677</v>
      </c>
      <c r="C13" s="34" t="s">
        <v>678</v>
      </c>
    </row>
    <row r="14" customFormat="false" ht="45" hidden="false" customHeight="true" outlineLevel="0" collapsed="false">
      <c r="A14" s="34" t="n">
        <v>9</v>
      </c>
      <c r="B14" s="34" t="s">
        <v>679</v>
      </c>
      <c r="C14" s="34" t="s">
        <v>680</v>
      </c>
    </row>
    <row r="15" customFormat="false" ht="15" hidden="false" customHeight="false" outlineLevel="0" collapsed="false">
      <c r="A15" s="10" t="s">
        <v>681</v>
      </c>
    </row>
    <row r="16" customFormat="false" ht="30" hidden="false" customHeight="true" outlineLevel="0" collapsed="false">
      <c r="A16" s="34" t="n">
        <v>10</v>
      </c>
      <c r="B16" s="34" t="s">
        <v>682</v>
      </c>
      <c r="C16" s="34" t="s">
        <v>683</v>
      </c>
    </row>
    <row r="17" customFormat="false" ht="45" hidden="false" customHeight="true" outlineLevel="0" collapsed="false">
      <c r="A17" s="34" t="n">
        <v>11</v>
      </c>
      <c r="B17" s="34" t="s">
        <v>684</v>
      </c>
      <c r="C17" s="34" t="s">
        <v>685</v>
      </c>
    </row>
    <row r="18" customFormat="false" ht="45" hidden="false" customHeight="true" outlineLevel="0" collapsed="false">
      <c r="A18" s="34" t="n">
        <v>12</v>
      </c>
      <c r="B18" s="34" t="s">
        <v>686</v>
      </c>
      <c r="C18" s="34" t="s">
        <v>687</v>
      </c>
    </row>
    <row r="19" customFormat="false" ht="30" hidden="false" customHeight="true" outlineLevel="0" collapsed="false">
      <c r="A19" s="34" t="n">
        <v>13</v>
      </c>
      <c r="B19" s="34" t="s">
        <v>688</v>
      </c>
      <c r="C19" s="34" t="s">
        <v>689</v>
      </c>
    </row>
    <row r="20" customFormat="false" ht="30" hidden="false" customHeight="true" outlineLevel="0" collapsed="false">
      <c r="A20" s="34" t="n">
        <v>14</v>
      </c>
      <c r="B20" s="34" t="s">
        <v>690</v>
      </c>
      <c r="C20" s="34" t="s">
        <v>691</v>
      </c>
    </row>
    <row r="21" customFormat="false" ht="30" hidden="false" customHeight="true" outlineLevel="0" collapsed="false">
      <c r="A21" s="34" t="n">
        <v>15</v>
      </c>
      <c r="B21" s="34" t="s">
        <v>692</v>
      </c>
      <c r="C21" s="34"/>
    </row>
    <row r="22" customFormat="false" ht="15" hidden="false" customHeight="false" outlineLevel="0" collapsed="false">
      <c r="A22" s="10" t="s">
        <v>693</v>
      </c>
    </row>
    <row r="23" customFormat="false" ht="30" hidden="false" customHeight="true" outlineLevel="0" collapsed="false">
      <c r="A23" s="34" t="n">
        <v>16</v>
      </c>
      <c r="B23" s="34" t="s">
        <v>694</v>
      </c>
      <c r="C23" s="34" t="s">
        <v>695</v>
      </c>
    </row>
    <row r="24" customFormat="false" ht="30" hidden="false" customHeight="true" outlineLevel="0" collapsed="false">
      <c r="A24" s="34" t="n">
        <v>17</v>
      </c>
      <c r="B24" s="34" t="s">
        <v>696</v>
      </c>
      <c r="C24" s="34" t="s">
        <v>697</v>
      </c>
    </row>
    <row r="25" customFormat="false" ht="45" hidden="false" customHeight="true" outlineLevel="0" collapsed="false">
      <c r="A25" s="34" t="n">
        <v>18</v>
      </c>
      <c r="B25" s="34" t="s">
        <v>698</v>
      </c>
      <c r="C25" s="34"/>
    </row>
    <row r="26" customFormat="false" ht="15" hidden="false" customHeight="false" outlineLevel="0" collapsed="false">
      <c r="A26" s="10" t="s">
        <v>699</v>
      </c>
    </row>
    <row r="27" customFormat="false" ht="30" hidden="false" customHeight="true" outlineLevel="0" collapsed="false">
      <c r="A27" s="34" t="n">
        <v>19</v>
      </c>
      <c r="B27" s="34" t="s">
        <v>700</v>
      </c>
      <c r="C27" s="34" t="s">
        <v>701</v>
      </c>
    </row>
    <row r="28" customFormat="false" ht="45" hidden="false" customHeight="true" outlineLevel="0" collapsed="false">
      <c r="A28" s="34" t="n">
        <v>20</v>
      </c>
      <c r="B28" s="34" t="s">
        <v>702</v>
      </c>
      <c r="C28" s="34" t="s">
        <v>703</v>
      </c>
    </row>
    <row r="29" customFormat="false" ht="30" hidden="false" customHeight="true" outlineLevel="0" collapsed="false">
      <c r="A29" s="34" t="n">
        <v>21</v>
      </c>
      <c r="B29" s="34" t="s">
        <v>704</v>
      </c>
      <c r="C29" s="34" t="s">
        <v>705</v>
      </c>
    </row>
    <row r="30" customFormat="false" ht="15" hidden="false" customHeight="false" outlineLevel="0" collapsed="false">
      <c r="A30" s="10" t="s">
        <v>706</v>
      </c>
    </row>
    <row r="31" customFormat="false" ht="75" hidden="false" customHeight="true" outlineLevel="0" collapsed="false">
      <c r="A31" s="34" t="n">
        <v>22</v>
      </c>
      <c r="B31" s="34" t="s">
        <v>707</v>
      </c>
      <c r="C31" s="34" t="s">
        <v>708</v>
      </c>
    </row>
    <row r="32" customFormat="false" ht="30" hidden="false" customHeight="true" outlineLevel="0" collapsed="false">
      <c r="A32" s="34" t="n">
        <v>23</v>
      </c>
      <c r="B32" s="34" t="s">
        <v>709</v>
      </c>
      <c r="C32" s="34" t="s">
        <v>710</v>
      </c>
    </row>
    <row r="33" customFormat="false" ht="30" hidden="false" customHeight="true" outlineLevel="0" collapsed="false">
      <c r="A33" s="34" t="n">
        <v>24</v>
      </c>
      <c r="B33" s="34" t="s">
        <v>711</v>
      </c>
      <c r="C33" s="34"/>
    </row>
    <row r="34" customFormat="false" ht="30" hidden="false" customHeight="true" outlineLevel="0" collapsed="false">
      <c r="A34" s="34" t="n">
        <v>25</v>
      </c>
      <c r="B34" s="34" t="s">
        <v>712</v>
      </c>
      <c r="C34" s="34"/>
    </row>
    <row r="35" customFormat="false" ht="15" hidden="false" customHeight="false" outlineLevel="0" collapsed="false">
      <c r="A35" s="10" t="s">
        <v>713</v>
      </c>
    </row>
    <row r="36" customFormat="false" ht="30" hidden="false" customHeight="true" outlineLevel="0" collapsed="false">
      <c r="A36" s="34" t="n">
        <v>26</v>
      </c>
      <c r="B36" s="34" t="s">
        <v>714</v>
      </c>
      <c r="C36" s="34" t="s">
        <v>715</v>
      </c>
    </row>
    <row r="37" customFormat="false" ht="30" hidden="false" customHeight="true" outlineLevel="0" collapsed="false">
      <c r="A37" s="34" t="n">
        <v>27</v>
      </c>
      <c r="B37" s="34" t="s">
        <v>716</v>
      </c>
      <c r="C37" s="34" t="s">
        <v>717</v>
      </c>
    </row>
    <row r="38" customFormat="false" ht="30" hidden="false" customHeight="true" outlineLevel="0" collapsed="false">
      <c r="A38" s="34" t="n">
        <v>28</v>
      </c>
      <c r="B38" s="34" t="s">
        <v>718</v>
      </c>
      <c r="C38" s="34" t="s">
        <v>719</v>
      </c>
    </row>
    <row r="39" customFormat="false" ht="30" hidden="false" customHeight="true" outlineLevel="0" collapsed="false">
      <c r="A39" s="34" t="n">
        <v>29</v>
      </c>
      <c r="B39" s="34" t="s">
        <v>720</v>
      </c>
      <c r="C39" s="34" t="s">
        <v>705</v>
      </c>
    </row>
    <row r="40" customFormat="false" ht="15" hidden="false" customHeight="false" outlineLevel="0" collapsed="false">
      <c r="A40" s="10" t="s">
        <v>721</v>
      </c>
    </row>
    <row r="41" customFormat="false" ht="30" hidden="false" customHeight="true" outlineLevel="0" collapsed="false">
      <c r="A41" s="34" t="n">
        <v>30</v>
      </c>
      <c r="B41" s="34" t="s">
        <v>722</v>
      </c>
      <c r="C41"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2026-10-02T14:09:58Z</dcterms:created>
  <dc:creator>openpyxl</dc:creator>
  <dc:description/>
  <dc:language>en-US</dc:language>
  <cp:lastModifiedBy/>
  <dcterms:modified xsi:type="dcterms:W3CDTF">2026-10-02T14:09:59Z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